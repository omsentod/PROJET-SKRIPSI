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cbookpro/Documents/GITHUB/PROJET-SKRIPSI/SCRAPING/hasil-htm/"/>
    </mc:Choice>
  </mc:AlternateContent>
  <xr:revisionPtr revIDLastSave="0" documentId="13_ncr:1_{A4A10694-2C03-154A-A348-A330184605B0}" xr6:coauthVersionLast="47" xr6:coauthVersionMax="47" xr10:uidLastSave="{00000000-0000-0000-0000-000000000000}"/>
  <bookViews>
    <workbookView xWindow="0" yWindow="520" windowWidth="28800" windowHeight="15800" activeTab="1" xr2:uid="{00000000-000D-0000-FFFF-FFFF00000000}"/>
  </bookViews>
  <sheets>
    <sheet name="Ringkasan Kelengkapan" sheetId="1" r:id="rId1"/>
    <sheet name="Distribusi Portal Sumber" sheetId="2" r:id="rId2"/>
    <sheet name="Statistik Deskriptif" sheetId="3" r:id="rId3"/>
    <sheet name="Distribusi Rentang Harga" sheetId="4" r:id="rId4"/>
    <sheet name="Daftar Harga Koso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2" l="1"/>
  <c r="J7" i="2"/>
  <c r="J8" i="2"/>
  <c r="J9" i="2"/>
  <c r="J10" i="2"/>
  <c r="J11" i="2"/>
  <c r="J12" i="2"/>
  <c r="J13" i="2"/>
  <c r="J6" i="2"/>
</calcChain>
</file>

<file path=xl/sharedStrings.xml><?xml version="1.0" encoding="utf-8"?>
<sst xmlns="http://schemas.openxmlformats.org/spreadsheetml/2006/main" count="147" uniqueCount="67">
  <si>
    <t>LAPORAN RINGKASAN KELENGKAPAN DATA HARGA</t>
  </si>
  <si>
    <t>Mengukur data 'Ada Harga' vs 'Harga Kosong' (Penelitian Skripsi Malang Raya)</t>
  </si>
  <si>
    <t>Kategori</t>
  </si>
  <si>
    <t>Total Data</t>
  </si>
  <si>
    <t>Ada Harga</t>
  </si>
  <si>
    <t>Persen Ada</t>
  </si>
  <si>
    <t>Harga Kosong</t>
  </si>
  <si>
    <t>Persen Kosong</t>
  </si>
  <si>
    <t>Tempat Wisata</t>
  </si>
  <si>
    <t>Akomodasi (Hotel)</t>
  </si>
  <si>
    <t>Kuliner (Tempat Makan)</t>
  </si>
  <si>
    <t>Total Gabungan</t>
  </si>
  <si>
    <t>DISTRIBUSI DATA BERDASARKAN PORTAL ASAL</t>
  </si>
  <si>
    <t>Detail kontribusi masing-masing platform portal (Instagram, GoFood, Traveloka, dsb)</t>
  </si>
  <si>
    <t>Platform</t>
  </si>
  <si>
    <t>Jumlah</t>
  </si>
  <si>
    <t>Persentase</t>
  </si>
  <si>
    <t>Lainnya (Web/Blog Wisata)</t>
  </si>
  <si>
    <t>Portal Berita (Kompas/Tribun/dll)</t>
  </si>
  <si>
    <t>Google Search/Snippet</t>
  </si>
  <si>
    <t>Traveloka</t>
  </si>
  <si>
    <t>Instagram</t>
  </si>
  <si>
    <t>Travelspromo</t>
  </si>
  <si>
    <t>Tiket.com</t>
  </si>
  <si>
    <t>N/A</t>
  </si>
  <si>
    <t>Google General</t>
  </si>
  <si>
    <t>GoFood</t>
  </si>
  <si>
    <t>STATISTIK DESKRIPTIF DATA HARGA VALID</t>
  </si>
  <si>
    <t>Kalkulasi nilai min, max, median, rata-rata, dan standar deviasi (harga kosong diabaikan)</t>
  </si>
  <si>
    <t>Min</t>
  </si>
  <si>
    <t>Max</t>
  </si>
  <si>
    <t>Mean</t>
  </si>
  <si>
    <t>Median</t>
  </si>
  <si>
    <t>Std Dev</t>
  </si>
  <si>
    <t>ANALISIS BRACKET / RENTANG HARGA AKADEMIS</t>
  </si>
  <si>
    <t>Pengelompokan data ke dalam rentang harga yang disesuaikan untuk skripsi</t>
  </si>
  <si>
    <t>Rentang</t>
  </si>
  <si>
    <t>Gratis / Kosong</t>
  </si>
  <si>
    <t>Sangat Murah (&lt; Rp 25k)</t>
  </si>
  <si>
    <t>Murah (Rp 25k - Rp 100k)</t>
  </si>
  <si>
    <t>Sedang (Rp 100k - Rp 300k)</t>
  </si>
  <si>
    <t>Mahal (Rp 300k - Rp 1M)</t>
  </si>
  <si>
    <t>Sangat Mahal (&gt; Rp 1M)</t>
  </si>
  <si>
    <t>DAFTAR DATA HARGA KOSONG (AUDIT TRAIL)</t>
  </si>
  <si>
    <t>Daftar tempat wisata/hotel/kuliner yang harga tiket/kamarnya masih bernilai Rp 0 atau NaN</t>
  </si>
  <si>
    <t>Id Tempat</t>
  </si>
  <si>
    <t>Nama Tempat</t>
  </si>
  <si>
    <t>Sumber Sebelum</t>
  </si>
  <si>
    <t>Watu Gilang (ꦮꦠꦸꦒꦶꦭꦁ)</t>
  </si>
  <si>
    <t>Pantai Nglurung ꦥꦼꦱꦶꦱꦶꦂꦔ꧀ꦭꦸꦫꦸꦁ</t>
  </si>
  <si>
    <t>Danau Dawuhan - Senggreng</t>
  </si>
  <si>
    <t>Embung Babadan ꦄꦼꦩ꧀ꦧꦸꦁꦧꦧꦢꦤ꧀</t>
  </si>
  <si>
    <t>Jatikerto Rest Area</t>
  </si>
  <si>
    <t>Kwan Im Tong (Guan Yin Dang) (Mahayana, Tridharma)</t>
  </si>
  <si>
    <t>Taman Krida Budaya Jawa Timur</t>
  </si>
  <si>
    <t>Gramophone Taman Cerme</t>
  </si>
  <si>
    <t>Wisata Religi Gunung Mujur ꦒꦸꦤꦸꦁꦩꦸꦗꦸꦂ</t>
  </si>
  <si>
    <t>Oude Indië Aquaduct bij Boeloelawang - Malang Regentschap - Wisata Talang</t>
  </si>
  <si>
    <t>Siphon Metro Talangagung Kepanjen</t>
  </si>
  <si>
    <t>Oud Malang , Tweede Afstandpaal " Km 0 " - 0 Km Kota Malang</t>
  </si>
  <si>
    <t>Monumen Melati Kadet Suropati</t>
  </si>
  <si>
    <t>Monumen Tentara Genie Pelajar</t>
  </si>
  <si>
    <t>Tomboan Ngawonggo</t>
  </si>
  <si>
    <t>"BAMBOO MEWEK PARK"</t>
  </si>
  <si>
    <t>Embung Wisata Lowokjati</t>
  </si>
  <si>
    <t>Museum Singhasari</t>
  </si>
  <si>
    <t>Goa Maria Sendang Retno 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</si>
</sst>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R\p#,##0"/>
  </numFmts>
  <fonts count="6" x14ac:knownFonts="1">
    <font>
      <sz val="11"/>
      <color theme="1"/>
      <name val="Calibri"/>
      <family val="2"/>
      <scheme val="minor"/>
    </font>
    <font>
      <b/>
      <sz val="16"/>
      <color rgb="FF1F4E79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1"/>
      <name val="Segoe UI"/>
    </font>
    <font>
      <b/>
      <sz val="11"/>
      <color rgb="FF00000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4F7"/>
        <bgColor rgb="FFF2F4F7"/>
      </patternFill>
    </fill>
    <fill>
      <patternFill patternType="solid">
        <fgColor rgb="FFD9E1F2"/>
        <bgColor rgb="FFD9E1F2"/>
      </patternFill>
    </fill>
    <fill>
      <patternFill patternType="solid">
        <fgColor rgb="FFA51D24"/>
        <bgColor rgb="FFA51D24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E79"/>
      </top>
      <bottom style="double">
        <color rgb="FF1F4E7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/>
    </xf>
    <xf numFmtId="3" fontId="5" fillId="4" borderId="2" xfId="0" applyNumberFormat="1" applyFont="1" applyFill="1" applyBorder="1" applyAlignment="1">
      <alignment horizontal="right" vertical="center"/>
    </xf>
    <xf numFmtId="164" fontId="5" fillId="4" borderId="2" xfId="0" applyNumberFormat="1" applyFont="1" applyFill="1" applyBorder="1" applyAlignment="1">
      <alignment horizontal="right" vertical="center"/>
    </xf>
    <xf numFmtId="165" fontId="4" fillId="3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D"/>
              <a:t>Analisis Kelengkapan Data: Ada Harga vs Harga Kosong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'Ringkasan Kelengkapan'!$C$5</c:f>
              <c:strCache>
                <c:ptCount val="1"/>
                <c:pt idx="0">
                  <c:v>Ada Harga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'Ringkasan Kelengkapan'!$A$6:$A$8</c:f>
              <c:strCache>
                <c:ptCount val="3"/>
                <c:pt idx="0">
                  <c:v>Tempat Wisata</c:v>
                </c:pt>
                <c:pt idx="1">
                  <c:v>Akomodasi (Hotel)</c:v>
                </c:pt>
                <c:pt idx="2">
                  <c:v>Kuliner (Tempat Makan)</c:v>
                </c:pt>
              </c:strCache>
            </c:strRef>
          </c:cat>
          <c:val>
            <c:numRef>
              <c:f>'Ringkasan Kelengkapan'!$C$6:$C$8</c:f>
              <c:numCache>
                <c:formatCode>#,##0</c:formatCode>
                <c:ptCount val="3"/>
                <c:pt idx="0">
                  <c:v>610</c:v>
                </c:pt>
                <c:pt idx="1">
                  <c:v>467</c:v>
                </c:pt>
                <c:pt idx="2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B-FB46-A10F-828AA732C431}"/>
            </c:ext>
          </c:extLst>
        </c:ser>
        <c:ser>
          <c:idx val="1"/>
          <c:order val="1"/>
          <c:tx>
            <c:strRef>
              <c:f>'Ringkasan Kelengkapan'!$E$5</c:f>
              <c:strCache>
                <c:ptCount val="1"/>
                <c:pt idx="0">
                  <c:v>Harga Kosong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'Ringkasan Kelengkapan'!$A$6:$A$8</c:f>
              <c:strCache>
                <c:ptCount val="3"/>
                <c:pt idx="0">
                  <c:v>Tempat Wisata</c:v>
                </c:pt>
                <c:pt idx="1">
                  <c:v>Akomodasi (Hotel)</c:v>
                </c:pt>
                <c:pt idx="2">
                  <c:v>Kuliner (Tempat Makan)</c:v>
                </c:pt>
              </c:strCache>
            </c:strRef>
          </c:cat>
          <c:val>
            <c:numRef>
              <c:f>'Ringkasan Kelengkapan'!$E$6:$E$8</c:f>
              <c:numCache>
                <c:formatCode>#,##0</c:formatCode>
                <c:ptCount val="3"/>
                <c:pt idx="0">
                  <c:v>19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CB-FB46-A10F-828AA732C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Kategori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Jumlah Data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/>
  </sheetViews>
  <sheetFormatPr baseColWidth="10" defaultColWidth="8.83203125" defaultRowHeight="15" x14ac:dyDescent="0.2"/>
  <cols>
    <col min="1" max="1" width="28" customWidth="1"/>
    <col min="2" max="3" width="14" customWidth="1"/>
    <col min="4" max="4" width="21" customWidth="1"/>
    <col min="5" max="5" width="15" customWidth="1"/>
    <col min="6" max="6" width="22" customWidth="1"/>
  </cols>
  <sheetData>
    <row r="1" spans="1:6" ht="20" x14ac:dyDescent="0.25">
      <c r="A1" s="1" t="s">
        <v>0</v>
      </c>
    </row>
    <row r="2" spans="1:6" x14ac:dyDescent="0.2">
      <c r="A2" s="2" t="s">
        <v>1</v>
      </c>
    </row>
    <row r="5" spans="1:6" x14ac:dyDescent="0.2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6" spans="1:6" ht="16" x14ac:dyDescent="0.2">
      <c r="A6" s="4" t="s">
        <v>8</v>
      </c>
      <c r="B6" s="5">
        <v>629</v>
      </c>
      <c r="C6" s="5">
        <v>610</v>
      </c>
      <c r="D6" s="6">
        <v>0.96979332273449925</v>
      </c>
      <c r="E6" s="5">
        <v>19</v>
      </c>
      <c r="F6" s="6">
        <v>3.02066772655008E-2</v>
      </c>
    </row>
    <row r="7" spans="1:6" ht="16" x14ac:dyDescent="0.2">
      <c r="A7" s="7" t="s">
        <v>9</v>
      </c>
      <c r="B7" s="8">
        <v>467</v>
      </c>
      <c r="C7" s="8">
        <v>467</v>
      </c>
      <c r="D7" s="9">
        <v>1</v>
      </c>
      <c r="E7" s="8">
        <v>0</v>
      </c>
      <c r="F7" s="9">
        <v>0</v>
      </c>
    </row>
    <row r="8" spans="1:6" ht="16" x14ac:dyDescent="0.2">
      <c r="A8" s="4" t="s">
        <v>10</v>
      </c>
      <c r="B8" s="5">
        <v>640</v>
      </c>
      <c r="C8" s="5">
        <v>640</v>
      </c>
      <c r="D8" s="6">
        <v>1</v>
      </c>
      <c r="E8" s="5">
        <v>0</v>
      </c>
      <c r="F8" s="6">
        <v>0</v>
      </c>
    </row>
    <row r="9" spans="1:6" ht="16" x14ac:dyDescent="0.2">
      <c r="A9" s="10" t="s">
        <v>11</v>
      </c>
      <c r="B9" s="11">
        <v>1736</v>
      </c>
      <c r="C9" s="11">
        <v>1717</v>
      </c>
      <c r="D9" s="12">
        <v>0.98905529953917048</v>
      </c>
      <c r="E9" s="11">
        <v>19</v>
      </c>
      <c r="F9" s="12">
        <v>1.0944700460829491E-2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tabSelected="1" workbookViewId="0">
      <selection activeCell="D29" sqref="D29"/>
    </sheetView>
  </sheetViews>
  <sheetFormatPr baseColWidth="10" defaultColWidth="8.83203125" defaultRowHeight="15" x14ac:dyDescent="0.2"/>
  <cols>
    <col min="1" max="1" width="28" customWidth="1"/>
    <col min="2" max="2" width="38" customWidth="1"/>
    <col min="3" max="3" width="14" customWidth="1"/>
    <col min="4" max="4" width="23" customWidth="1"/>
    <col min="10" max="10" width="15.5" customWidth="1"/>
  </cols>
  <sheetData>
    <row r="1" spans="1:10" ht="20" x14ac:dyDescent="0.25">
      <c r="A1" s="1" t="s">
        <v>12</v>
      </c>
    </row>
    <row r="2" spans="1:10" x14ac:dyDescent="0.2">
      <c r="A2" s="2" t="s">
        <v>13</v>
      </c>
    </row>
    <row r="5" spans="1:10" x14ac:dyDescent="0.2">
      <c r="A5" s="3" t="s">
        <v>2</v>
      </c>
      <c r="B5" s="3" t="s">
        <v>14</v>
      </c>
      <c r="C5" s="3" t="s">
        <v>15</v>
      </c>
      <c r="D5" s="3" t="s">
        <v>16</v>
      </c>
    </row>
    <row r="6" spans="1:10" ht="16" x14ac:dyDescent="0.2">
      <c r="A6" s="4" t="s">
        <v>8</v>
      </c>
      <c r="B6" s="4" t="s">
        <v>17</v>
      </c>
      <c r="C6" s="5">
        <v>226</v>
      </c>
      <c r="D6" s="6">
        <v>0.01</v>
      </c>
      <c r="E6" s="5"/>
      <c r="G6" s="4" t="s">
        <v>8</v>
      </c>
      <c r="H6" s="4" t="s">
        <v>17</v>
      </c>
      <c r="I6" s="5">
        <v>226</v>
      </c>
      <c r="J6" s="6">
        <f>I6/$I$14</f>
        <v>0.35930047694753575</v>
      </c>
    </row>
    <row r="7" spans="1:10" ht="16" x14ac:dyDescent="0.2">
      <c r="A7" s="7" t="s">
        <v>8</v>
      </c>
      <c r="B7" s="7" t="s">
        <v>18</v>
      </c>
      <c r="C7" s="8">
        <v>105</v>
      </c>
      <c r="D7" s="9">
        <v>0.16693163751987281</v>
      </c>
      <c r="E7" s="8"/>
      <c r="G7" s="7" t="s">
        <v>8</v>
      </c>
      <c r="H7" s="7" t="s">
        <v>18</v>
      </c>
      <c r="I7" s="8">
        <v>105</v>
      </c>
      <c r="J7" s="6">
        <f t="shared" ref="J7:J13" si="0">I7/$I$14</f>
        <v>0.16693163751987281</v>
      </c>
    </row>
    <row r="8" spans="1:10" ht="16" x14ac:dyDescent="0.2">
      <c r="A8" s="4" t="s">
        <v>8</v>
      </c>
      <c r="B8" s="4" t="s">
        <v>19</v>
      </c>
      <c r="C8" s="5">
        <v>76</v>
      </c>
      <c r="D8" s="6">
        <v>0.1208267090620032</v>
      </c>
      <c r="E8" s="5"/>
      <c r="G8" s="4" t="s">
        <v>8</v>
      </c>
      <c r="H8" s="4" t="s">
        <v>19</v>
      </c>
      <c r="I8" s="5">
        <v>76</v>
      </c>
      <c r="J8" s="6">
        <f t="shared" si="0"/>
        <v>0.12082670906200318</v>
      </c>
    </row>
    <row r="9" spans="1:10" ht="16" x14ac:dyDescent="0.2">
      <c r="A9" s="7" t="s">
        <v>8</v>
      </c>
      <c r="B9" s="7" t="s">
        <v>20</v>
      </c>
      <c r="C9" s="8">
        <v>66</v>
      </c>
      <c r="D9" s="9">
        <v>0.1049284578696343</v>
      </c>
      <c r="E9" s="8"/>
      <c r="G9" s="7" t="s">
        <v>8</v>
      </c>
      <c r="H9" s="7" t="s">
        <v>20</v>
      </c>
      <c r="I9" s="8">
        <v>66</v>
      </c>
      <c r="J9" s="6">
        <f t="shared" si="0"/>
        <v>0.10492845786963434</v>
      </c>
    </row>
    <row r="10" spans="1:10" ht="16" x14ac:dyDescent="0.2">
      <c r="A10" s="4" t="s">
        <v>8</v>
      </c>
      <c r="B10" s="4" t="s">
        <v>21</v>
      </c>
      <c r="C10" s="5">
        <v>60</v>
      </c>
      <c r="D10" s="6">
        <v>9.5389507154213043E-2</v>
      </c>
      <c r="E10" s="5"/>
      <c r="G10" s="4" t="s">
        <v>8</v>
      </c>
      <c r="H10" s="4" t="s">
        <v>21</v>
      </c>
      <c r="I10" s="5">
        <v>60</v>
      </c>
      <c r="J10" s="6">
        <f t="shared" si="0"/>
        <v>9.5389507154213043E-2</v>
      </c>
    </row>
    <row r="11" spans="1:10" ht="16" x14ac:dyDescent="0.2">
      <c r="A11" s="7" t="s">
        <v>8</v>
      </c>
      <c r="B11" s="7" t="s">
        <v>22</v>
      </c>
      <c r="C11" s="8">
        <v>55</v>
      </c>
      <c r="D11" s="9">
        <v>8.7440381558028621E-2</v>
      </c>
      <c r="E11" s="8"/>
      <c r="G11" s="7" t="s">
        <v>8</v>
      </c>
      <c r="H11" s="7" t="s">
        <v>22</v>
      </c>
      <c r="I11" s="8">
        <v>55</v>
      </c>
      <c r="J11" s="6">
        <f t="shared" si="0"/>
        <v>8.7440381558028621E-2</v>
      </c>
    </row>
    <row r="12" spans="1:10" ht="16" x14ac:dyDescent="0.2">
      <c r="A12" s="4" t="s">
        <v>8</v>
      </c>
      <c r="B12" s="4" t="s">
        <v>23</v>
      </c>
      <c r="C12" s="5">
        <v>22</v>
      </c>
      <c r="D12" s="6">
        <v>3.4976152623211451E-2</v>
      </c>
      <c r="E12" s="5"/>
      <c r="G12" s="4" t="s">
        <v>8</v>
      </c>
      <c r="H12" s="4" t="s">
        <v>23</v>
      </c>
      <c r="I12" s="5">
        <v>22</v>
      </c>
      <c r="J12" s="6">
        <f t="shared" si="0"/>
        <v>3.4976152623211444E-2</v>
      </c>
    </row>
    <row r="13" spans="1:10" ht="16" x14ac:dyDescent="0.2">
      <c r="A13" s="7" t="s">
        <v>8</v>
      </c>
      <c r="B13" s="7" t="s">
        <v>24</v>
      </c>
      <c r="C13" s="8">
        <v>19</v>
      </c>
      <c r="D13" s="9">
        <v>3.02066772655008E-2</v>
      </c>
      <c r="E13" s="8"/>
      <c r="G13" s="7" t="s">
        <v>8</v>
      </c>
      <c r="H13" s="7" t="s">
        <v>24</v>
      </c>
      <c r="I13" s="8">
        <v>19</v>
      </c>
      <c r="J13" s="6">
        <f t="shared" si="0"/>
        <v>3.0206677265500796E-2</v>
      </c>
    </row>
    <row r="14" spans="1:10" ht="16" x14ac:dyDescent="0.2">
      <c r="A14" s="4" t="s">
        <v>9</v>
      </c>
      <c r="B14" s="4" t="s">
        <v>20</v>
      </c>
      <c r="C14" s="5">
        <v>465</v>
      </c>
      <c r="D14" s="6">
        <v>0.99571734475374729</v>
      </c>
      <c r="E14" s="19"/>
      <c r="I14" s="19">
        <v>629</v>
      </c>
      <c r="J14" s="20">
        <f>SUM(J6:J13)</f>
        <v>0.99999999999999989</v>
      </c>
    </row>
    <row r="15" spans="1:10" ht="16" x14ac:dyDescent="0.2">
      <c r="A15" s="7" t="s">
        <v>9</v>
      </c>
      <c r="B15" s="7" t="s">
        <v>23</v>
      </c>
      <c r="C15" s="8">
        <v>1</v>
      </c>
      <c r="D15" s="9">
        <v>2.141327623126338E-3</v>
      </c>
    </row>
    <row r="16" spans="1:10" ht="16" x14ac:dyDescent="0.2">
      <c r="A16" s="4" t="s">
        <v>9</v>
      </c>
      <c r="B16" s="4" t="s">
        <v>25</v>
      </c>
      <c r="C16" s="5">
        <v>1</v>
      </c>
      <c r="D16" s="6">
        <v>2.141327623126338E-3</v>
      </c>
    </row>
    <row r="17" spans="1:4" ht="16" x14ac:dyDescent="0.2">
      <c r="A17" s="7" t="s">
        <v>10</v>
      </c>
      <c r="B17" s="7" t="s">
        <v>26</v>
      </c>
      <c r="C17" s="8">
        <v>640</v>
      </c>
      <c r="D17" s="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D8" sqref="D8"/>
    </sheetView>
  </sheetViews>
  <sheetFormatPr baseColWidth="10" defaultColWidth="8.83203125" defaultRowHeight="15" x14ac:dyDescent="0.2"/>
  <cols>
    <col min="1" max="1" width="28" customWidth="1"/>
    <col min="2" max="3" width="16" customWidth="1"/>
    <col min="4" max="4" width="20" customWidth="1"/>
    <col min="5" max="5" width="16" customWidth="1"/>
    <col min="6" max="6" width="20" customWidth="1"/>
  </cols>
  <sheetData>
    <row r="1" spans="1:6" ht="20" x14ac:dyDescent="0.25">
      <c r="A1" s="1" t="s">
        <v>27</v>
      </c>
    </row>
    <row r="2" spans="1:6" x14ac:dyDescent="0.2">
      <c r="A2" s="2" t="s">
        <v>28</v>
      </c>
    </row>
    <row r="5" spans="1:6" x14ac:dyDescent="0.2">
      <c r="A5" s="3" t="s">
        <v>2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</row>
    <row r="6" spans="1:6" ht="16" x14ac:dyDescent="0.2">
      <c r="A6" s="4" t="s">
        <v>8</v>
      </c>
      <c r="B6" s="13">
        <v>2000</v>
      </c>
      <c r="C6" s="13">
        <v>1800000</v>
      </c>
      <c r="D6" s="13">
        <v>37058.867213114747</v>
      </c>
      <c r="E6" s="13">
        <v>10000</v>
      </c>
      <c r="F6" s="13">
        <v>126211.8157834678</v>
      </c>
    </row>
    <row r="7" spans="1:6" ht="16" x14ac:dyDescent="0.2">
      <c r="A7" s="7" t="s">
        <v>9</v>
      </c>
      <c r="B7" s="14">
        <v>15000</v>
      </c>
      <c r="C7" s="14">
        <v>4304995</v>
      </c>
      <c r="D7" s="14">
        <v>275744.10706638108</v>
      </c>
      <c r="E7" s="14">
        <v>199091</v>
      </c>
      <c r="F7" s="14">
        <v>314949.46119797393</v>
      </c>
    </row>
    <row r="8" spans="1:6" ht="16" x14ac:dyDescent="0.2">
      <c r="A8" s="4" t="s">
        <v>10</v>
      </c>
      <c r="B8" s="13">
        <v>5000</v>
      </c>
      <c r="C8" s="13">
        <v>150000</v>
      </c>
      <c r="D8" s="13">
        <v>19731.264062499999</v>
      </c>
      <c r="E8" s="13">
        <v>16500</v>
      </c>
      <c r="F8" s="13">
        <v>12277.410730217351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28" customWidth="1"/>
    <col min="2" max="2" width="38" customWidth="1"/>
    <col min="3" max="3" width="14" customWidth="1"/>
    <col min="4" max="4" width="23" customWidth="1"/>
  </cols>
  <sheetData>
    <row r="1" spans="1:4" ht="20" x14ac:dyDescent="0.25">
      <c r="A1" s="1" t="s">
        <v>34</v>
      </c>
    </row>
    <row r="2" spans="1:4" x14ac:dyDescent="0.2">
      <c r="A2" s="2" t="s">
        <v>35</v>
      </c>
    </row>
    <row r="5" spans="1:4" x14ac:dyDescent="0.2">
      <c r="A5" s="3" t="s">
        <v>2</v>
      </c>
      <c r="B5" s="3" t="s">
        <v>36</v>
      </c>
      <c r="C5" s="3" t="s">
        <v>15</v>
      </c>
      <c r="D5" s="3" t="s">
        <v>16</v>
      </c>
    </row>
    <row r="6" spans="1:4" ht="16" x14ac:dyDescent="0.2">
      <c r="A6" s="4" t="s">
        <v>8</v>
      </c>
      <c r="B6" s="4" t="s">
        <v>37</v>
      </c>
      <c r="C6" s="5">
        <v>19</v>
      </c>
      <c r="D6" s="6">
        <v>3.02066772655008E-2</v>
      </c>
    </row>
    <row r="7" spans="1:4" ht="16" x14ac:dyDescent="0.2">
      <c r="A7" s="7" t="s">
        <v>8</v>
      </c>
      <c r="B7" s="7" t="s">
        <v>38</v>
      </c>
      <c r="C7" s="8">
        <v>453</v>
      </c>
      <c r="D7" s="9">
        <v>0.72019077901430828</v>
      </c>
    </row>
    <row r="8" spans="1:4" ht="16" x14ac:dyDescent="0.2">
      <c r="A8" s="4" t="s">
        <v>8</v>
      </c>
      <c r="B8" s="4" t="s">
        <v>39</v>
      </c>
      <c r="C8" s="5">
        <v>109</v>
      </c>
      <c r="D8" s="6">
        <v>0.1732909379968203</v>
      </c>
    </row>
    <row r="9" spans="1:4" ht="16" x14ac:dyDescent="0.2">
      <c r="A9" s="7" t="s">
        <v>8</v>
      </c>
      <c r="B9" s="7" t="s">
        <v>40</v>
      </c>
      <c r="C9" s="8">
        <v>40</v>
      </c>
      <c r="D9" s="9">
        <v>6.3593004769475353E-2</v>
      </c>
    </row>
    <row r="10" spans="1:4" ht="16" x14ac:dyDescent="0.2">
      <c r="A10" s="4" t="s">
        <v>8</v>
      </c>
      <c r="B10" s="4" t="s">
        <v>41</v>
      </c>
      <c r="C10" s="5">
        <v>5</v>
      </c>
      <c r="D10" s="6">
        <v>7.9491255961844191E-3</v>
      </c>
    </row>
    <row r="11" spans="1:4" ht="16" x14ac:dyDescent="0.2">
      <c r="A11" s="7" t="s">
        <v>8</v>
      </c>
      <c r="B11" s="7" t="s">
        <v>42</v>
      </c>
      <c r="C11" s="8">
        <v>3</v>
      </c>
      <c r="D11" s="9">
        <v>4.7694753577106506E-3</v>
      </c>
    </row>
    <row r="12" spans="1:4" ht="16" x14ac:dyDescent="0.2">
      <c r="A12" s="4" t="s">
        <v>9</v>
      </c>
      <c r="B12" s="4" t="s">
        <v>38</v>
      </c>
      <c r="C12" s="5">
        <v>1</v>
      </c>
      <c r="D12" s="6">
        <v>2.141327623126338E-3</v>
      </c>
    </row>
    <row r="13" spans="1:4" ht="16" x14ac:dyDescent="0.2">
      <c r="A13" s="7" t="s">
        <v>9</v>
      </c>
      <c r="B13" s="7" t="s">
        <v>39</v>
      </c>
      <c r="C13" s="8">
        <v>53</v>
      </c>
      <c r="D13" s="9">
        <v>0.1134903640256959</v>
      </c>
    </row>
    <row r="14" spans="1:4" ht="16" x14ac:dyDescent="0.2">
      <c r="A14" s="4" t="s">
        <v>9</v>
      </c>
      <c r="B14" s="4" t="s">
        <v>40</v>
      </c>
      <c r="C14" s="5">
        <v>291</v>
      </c>
      <c r="D14" s="6">
        <v>0.6231263383297645</v>
      </c>
    </row>
    <row r="15" spans="1:4" ht="16" x14ac:dyDescent="0.2">
      <c r="A15" s="7" t="s">
        <v>9</v>
      </c>
      <c r="B15" s="7" t="s">
        <v>41</v>
      </c>
      <c r="C15" s="8">
        <v>107</v>
      </c>
      <c r="D15" s="9">
        <v>0.22912205567451821</v>
      </c>
    </row>
    <row r="16" spans="1:4" ht="16" x14ac:dyDescent="0.2">
      <c r="A16" s="4" t="s">
        <v>9</v>
      </c>
      <c r="B16" s="4" t="s">
        <v>42</v>
      </c>
      <c r="C16" s="5">
        <v>15</v>
      </c>
      <c r="D16" s="6">
        <v>3.2119914346895068E-2</v>
      </c>
    </row>
    <row r="17" spans="1:4" ht="16" x14ac:dyDescent="0.2">
      <c r="A17" s="7" t="s">
        <v>10</v>
      </c>
      <c r="B17" s="7" t="s">
        <v>38</v>
      </c>
      <c r="C17" s="8">
        <v>498</v>
      </c>
      <c r="D17" s="9">
        <v>0.77812499999999996</v>
      </c>
    </row>
    <row r="18" spans="1:4" ht="16" x14ac:dyDescent="0.2">
      <c r="A18" s="4" t="s">
        <v>10</v>
      </c>
      <c r="B18" s="4" t="s">
        <v>39</v>
      </c>
      <c r="C18" s="5">
        <v>141</v>
      </c>
      <c r="D18" s="6">
        <v>0.22031249999999999</v>
      </c>
    </row>
    <row r="19" spans="1:4" ht="16" x14ac:dyDescent="0.2">
      <c r="A19" s="7" t="s">
        <v>10</v>
      </c>
      <c r="B19" s="7" t="s">
        <v>40</v>
      </c>
      <c r="C19" s="8">
        <v>1</v>
      </c>
      <c r="D19" s="9">
        <v>1.5625000000000001E-3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"/>
  <sheetViews>
    <sheetView workbookViewId="0"/>
  </sheetViews>
  <sheetFormatPr baseColWidth="10" defaultColWidth="8.83203125" defaultRowHeight="15" x14ac:dyDescent="0.2"/>
  <cols>
    <col min="1" max="1" width="28" customWidth="1"/>
    <col min="2" max="2" width="14" customWidth="1"/>
    <col min="3" max="3" width="45" customWidth="1"/>
    <col min="4" max="4" width="17" customWidth="1"/>
  </cols>
  <sheetData>
    <row r="1" spans="1:4" ht="20" x14ac:dyDescent="0.25">
      <c r="A1" s="1" t="s">
        <v>43</v>
      </c>
    </row>
    <row r="2" spans="1:4" x14ac:dyDescent="0.2">
      <c r="A2" s="2" t="s">
        <v>44</v>
      </c>
    </row>
    <row r="5" spans="1:4" x14ac:dyDescent="0.2">
      <c r="A5" s="15" t="s">
        <v>2</v>
      </c>
      <c r="B5" s="15" t="s">
        <v>45</v>
      </c>
      <c r="C5" s="15" t="s">
        <v>46</v>
      </c>
      <c r="D5" s="15" t="s">
        <v>47</v>
      </c>
    </row>
    <row r="6" spans="1:4" ht="16" x14ac:dyDescent="0.2">
      <c r="A6" s="16" t="s">
        <v>8</v>
      </c>
      <c r="B6" s="17">
        <v>24</v>
      </c>
      <c r="C6" s="16" t="s">
        <v>48</v>
      </c>
      <c r="D6" s="16"/>
    </row>
    <row r="7" spans="1:4" ht="16" x14ac:dyDescent="0.2">
      <c r="A7" s="7" t="s">
        <v>8</v>
      </c>
      <c r="B7" s="18">
        <v>34</v>
      </c>
      <c r="C7" s="7" t="s">
        <v>49</v>
      </c>
      <c r="D7" s="7"/>
    </row>
    <row r="8" spans="1:4" ht="16" x14ac:dyDescent="0.2">
      <c r="A8" s="16" t="s">
        <v>8</v>
      </c>
      <c r="B8" s="17">
        <v>94</v>
      </c>
      <c r="C8" s="16" t="s">
        <v>50</v>
      </c>
      <c r="D8" s="16"/>
    </row>
    <row r="9" spans="1:4" ht="16" x14ac:dyDescent="0.2">
      <c r="A9" s="7" t="s">
        <v>8</v>
      </c>
      <c r="B9" s="18">
        <v>117</v>
      </c>
      <c r="C9" s="7" t="s">
        <v>51</v>
      </c>
      <c r="D9" s="7"/>
    </row>
    <row r="10" spans="1:4" ht="16" x14ac:dyDescent="0.2">
      <c r="A10" s="16" t="s">
        <v>8</v>
      </c>
      <c r="B10" s="17">
        <v>183</v>
      </c>
      <c r="C10" s="16" t="s">
        <v>52</v>
      </c>
      <c r="D10" s="16"/>
    </row>
    <row r="11" spans="1:4" ht="16" x14ac:dyDescent="0.2">
      <c r="A11" s="7" t="s">
        <v>8</v>
      </c>
      <c r="B11" s="18">
        <v>227</v>
      </c>
      <c r="C11" s="7" t="s">
        <v>53</v>
      </c>
      <c r="D11" s="7"/>
    </row>
    <row r="12" spans="1:4" ht="16" x14ac:dyDescent="0.2">
      <c r="A12" s="16" t="s">
        <v>8</v>
      </c>
      <c r="B12" s="17">
        <v>277</v>
      </c>
      <c r="C12" s="16" t="s">
        <v>54</v>
      </c>
      <c r="D12" s="16"/>
    </row>
    <row r="13" spans="1:4" ht="16" x14ac:dyDescent="0.2">
      <c r="A13" s="7" t="s">
        <v>8</v>
      </c>
      <c r="B13" s="18">
        <v>316</v>
      </c>
      <c r="C13" s="7" t="s">
        <v>55</v>
      </c>
      <c r="D13" s="7"/>
    </row>
    <row r="14" spans="1:4" ht="16" x14ac:dyDescent="0.2">
      <c r="A14" s="16" t="s">
        <v>8</v>
      </c>
      <c r="B14" s="17">
        <v>351</v>
      </c>
      <c r="C14" s="16" t="s">
        <v>56</v>
      </c>
      <c r="D14" s="16"/>
    </row>
    <row r="15" spans="1:4" ht="16" x14ac:dyDescent="0.2">
      <c r="A15" s="7" t="s">
        <v>8</v>
      </c>
      <c r="B15" s="18">
        <v>373</v>
      </c>
      <c r="C15" s="7" t="s">
        <v>57</v>
      </c>
      <c r="D15" s="7"/>
    </row>
    <row r="16" spans="1:4" ht="16" x14ac:dyDescent="0.2">
      <c r="A16" s="16" t="s">
        <v>8</v>
      </c>
      <c r="B16" s="17">
        <v>374</v>
      </c>
      <c r="C16" s="16" t="s">
        <v>58</v>
      </c>
      <c r="D16" s="16"/>
    </row>
    <row r="17" spans="1:4" ht="16" x14ac:dyDescent="0.2">
      <c r="A17" s="7" t="s">
        <v>8</v>
      </c>
      <c r="B17" s="18">
        <v>386</v>
      </c>
      <c r="C17" s="7" t="s">
        <v>59</v>
      </c>
      <c r="D17" s="7"/>
    </row>
    <row r="18" spans="1:4" ht="16" x14ac:dyDescent="0.2">
      <c r="A18" s="16" t="s">
        <v>8</v>
      </c>
      <c r="B18" s="17">
        <v>391</v>
      </c>
      <c r="C18" s="16" t="s">
        <v>60</v>
      </c>
      <c r="D18" s="16"/>
    </row>
    <row r="19" spans="1:4" ht="16" x14ac:dyDescent="0.2">
      <c r="A19" s="7" t="s">
        <v>8</v>
      </c>
      <c r="B19" s="18">
        <v>394</v>
      </c>
      <c r="C19" s="7" t="s">
        <v>61</v>
      </c>
      <c r="D19" s="7"/>
    </row>
    <row r="20" spans="1:4" ht="16" x14ac:dyDescent="0.2">
      <c r="A20" s="16" t="s">
        <v>8</v>
      </c>
      <c r="B20" s="17">
        <v>435</v>
      </c>
      <c r="C20" s="16" t="s">
        <v>62</v>
      </c>
      <c r="D20" s="16"/>
    </row>
    <row r="21" spans="1:4" ht="16" x14ac:dyDescent="0.2">
      <c r="A21" s="7" t="s">
        <v>8</v>
      </c>
      <c r="B21" s="18">
        <v>438</v>
      </c>
      <c r="C21" s="7" t="s">
        <v>63</v>
      </c>
      <c r="D21" s="7"/>
    </row>
    <row r="22" spans="1:4" ht="16" x14ac:dyDescent="0.2">
      <c r="A22" s="16" t="s">
        <v>8</v>
      </c>
      <c r="B22" s="17">
        <v>514</v>
      </c>
      <c r="C22" s="16" t="s">
        <v>64</v>
      </c>
      <c r="D22" s="16"/>
    </row>
    <row r="23" spans="1:4" ht="16" x14ac:dyDescent="0.2">
      <c r="A23" s="7" t="s">
        <v>8</v>
      </c>
      <c r="B23" s="18">
        <v>515</v>
      </c>
      <c r="C23" s="7" t="s">
        <v>65</v>
      </c>
      <c r="D23" s="7"/>
    </row>
    <row r="24" spans="1:4" ht="16" x14ac:dyDescent="0.2">
      <c r="A24" s="16" t="s">
        <v>8</v>
      </c>
      <c r="B24" s="17">
        <v>569</v>
      </c>
      <c r="C24" s="16" t="s">
        <v>66</v>
      </c>
      <c r="D24" s="1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 Kelengkapan</vt:lpstr>
      <vt:lpstr>Distribusi Portal Sumber</vt:lpstr>
      <vt:lpstr>Statistik Deskriptif</vt:lpstr>
      <vt:lpstr>Distribusi Rentang Harga</vt:lpstr>
      <vt:lpstr>Daftar Harga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Soepin Tamvan</cp:lastModifiedBy>
  <dcterms:created xsi:type="dcterms:W3CDTF">2026-05-27T12:03:06Z</dcterms:created>
  <dcterms:modified xsi:type="dcterms:W3CDTF">2026-05-27T12:46:59Z</dcterms:modified>
</cp:coreProperties>
</file>