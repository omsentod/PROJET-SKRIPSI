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500" windowWidth="27240" windowHeight="14520" tabRatio="600" firstSheet="0" activeTab="5" autoFilterDateGrouping="1"/>
  </bookViews>
  <sheets>
    <sheet xmlns:r="http://schemas.openxmlformats.org/officeDocument/2006/relationships" name="HOTEL" sheetId="1" state="visible" r:id="rId1"/>
    <sheet xmlns:r="http://schemas.openxmlformats.org/officeDocument/2006/relationships" name="WISATA" sheetId="2" state="visible" r:id="rId2"/>
    <sheet xmlns:r="http://schemas.openxmlformats.org/officeDocument/2006/relationships" name="MAKAN" sheetId="3" state="visible" r:id="rId3"/>
    <sheet xmlns:r="http://schemas.openxmlformats.org/officeDocument/2006/relationships" name="HOTEL HIT_FCM" sheetId="4" state="visible" r:id="rId4"/>
    <sheet xmlns:r="http://schemas.openxmlformats.org/officeDocument/2006/relationships" name="WISATA HIT_FCM" sheetId="5" state="visible" r:id="rId5"/>
    <sheet xmlns:r="http://schemas.openxmlformats.org/officeDocument/2006/relationships" name="MAKAN HIT_FCM" sheetId="6" state="visible" r:id="rId6"/>
    <sheet xmlns:r="http://schemas.openxmlformats.org/officeDocument/2006/relationships" name="HOTEL_KAT" sheetId="7" state="visible" r:id="rId7"/>
    <sheet xmlns:r="http://schemas.openxmlformats.org/officeDocument/2006/relationships" name="WISATA_KAT" sheetId="8" state="visible" r:id="rId8"/>
    <sheet xmlns:r="http://schemas.openxmlformats.org/officeDocument/2006/relationships" name="MAKAN_KAT" sheetId="9" state="visible" r:id="rId9"/>
    <sheet xmlns:r="http://schemas.openxmlformats.org/officeDocument/2006/relationships" name="DEMO_PAKET" sheetId="10" state="visible" r:id="rId10"/>
  </sheets>
  <definedNames/>
  <calcPr calcId="179021" fullCalcOnLoad="1"/>
</workbook>
</file>

<file path=xl/styles.xml><?xml version="1.0" encoding="utf-8"?>
<styleSheet xmlns="http://schemas.openxmlformats.org/spreadsheetml/2006/main">
  <numFmts count="3">
    <numFmt numFmtId="164" formatCode="Rp #,##0"/>
    <numFmt numFmtId="165" formatCode="0.0000"/>
    <numFmt numFmtId="166" formatCode="0.00 &quot;km&quot;"/>
  </numFmts>
  <fonts count="30"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6"/>
      <scheme val="minor"/>
    </font>
    <font>
      <name val="Arial"/>
      <family val="2"/>
      <color rgb="FF1F1F1F"/>
      <sz val="12"/>
    </font>
    <font>
      <name val="Arial"/>
      <family val="2"/>
      <b val="1"/>
      <color rgb="FF1F1F1F"/>
      <sz val="12"/>
    </font>
    <font>
      <name val="Arial"/>
      <family val="2"/>
      <i val="1"/>
      <color rgb="FF1F1F1F"/>
      <sz val="12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Calibri"/>
      <family val="2"/>
      <i val="1"/>
      <color theme="1"/>
      <sz val="12"/>
      <scheme val="minor"/>
    </font>
    <font>
      <name val="Arial"/>
      <family val="2"/>
      <b val="1"/>
      <color rgb="FF444746"/>
      <sz val="12"/>
    </font>
    <font>
      <name val="Arial"/>
      <family val="2"/>
      <b val="1"/>
      <i val="1"/>
      <color rgb="FF1F1F1F"/>
      <sz val="12"/>
    </font>
    <font>
      <name val="Calibri"/>
      <family val="2"/>
      <b val="1"/>
      <i val="1"/>
      <color theme="1"/>
      <sz val="12"/>
      <scheme val="minor"/>
    </font>
    <font/>
    <font>
      <b val="1"/>
      <color rgb="001F4E78"/>
      <sz val="14"/>
    </font>
    <font>
      <b val="1"/>
      <color rgb="001F4E78"/>
      <sz val="12"/>
    </font>
    <font>
      <i val="1"/>
      <sz val="9"/>
    </font>
    <font>
      <i val="1"/>
      <color rgb="007F6000"/>
      <sz val="9"/>
    </font>
    <font>
      <b val="1"/>
      <color rgb="00FFFFFF"/>
      <sz val="10"/>
    </font>
    <font>
      <b val="1"/>
    </font>
    <font>
      <b val="1"/>
      <sz val="11"/>
    </font>
    <font>
      <b val="1"/>
      <color rgb="001F4E78"/>
    </font>
    <font>
      <b val="1"/>
      <color rgb="00FFFFFF"/>
      <sz val="12"/>
    </font>
    <font>
      <b val="1"/>
      <sz val="12"/>
    </font>
    <font>
      <sz val="9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5B9BD5"/>
        <bgColor rgb="005B9BD5"/>
      </patternFill>
    </fill>
    <fill>
      <patternFill patternType="solid">
        <fgColor rgb="00FFF2CC"/>
        <bgColor rgb="00FFF2CC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  <fill>
      <patternFill patternType="solid">
        <fgColor rgb="00203864"/>
        <bgColor rgb="002038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/>
    <border>
      <left style="thin"/>
      <right style="thin"/>
      <top style="thin"/>
      <bottom style="thin"/>
    </border>
    <border>
      <right style="thin"/>
      <bottom style="thin"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0" pivotButton="0" quotePrefix="0" xfId="0"/>
    <xf numFmtId="0" fontId="5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2" borderId="12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10" fillId="0" borderId="0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0" fontId="1" fillId="4" borderId="1" pivotButton="0" quotePrefix="0" xfId="0"/>
    <xf numFmtId="0" fontId="1" fillId="5" borderId="0" pivotButton="0" quotePrefix="0" xfId="0"/>
    <xf numFmtId="3" fontId="9" fillId="0" borderId="0" pivotButton="0" quotePrefix="0" xfId="0"/>
    <xf numFmtId="3" fontId="8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9" fillId="0" borderId="6" pivotButton="0" quotePrefix="0" xfId="0"/>
    <xf numFmtId="0" fontId="10" fillId="0" borderId="7" pivotButton="0" quotePrefix="0" xfId="0"/>
    <xf numFmtId="0" fontId="9" fillId="0" borderId="10" pivotButton="0" quotePrefix="0" xfId="0"/>
    <xf numFmtId="0" fontId="10" fillId="0" borderId="5" pivotButton="0" quotePrefix="0" xfId="0"/>
    <xf numFmtId="0" fontId="10" fillId="0" borderId="11" pivotButton="0" quotePrefix="0" xfId="0"/>
    <xf numFmtId="0" fontId="12" fillId="6" borderId="1" pivotButton="0" quotePrefix="0" xfId="0"/>
    <xf numFmtId="0" fontId="13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4" fillId="0" borderId="1" applyAlignment="1" pivotButton="0" quotePrefix="0" xfId="0">
      <alignment horizontal="center"/>
    </xf>
    <xf numFmtId="3" fontId="15" fillId="0" borderId="0" pivotButton="0" quotePrefix="0" xfId="0"/>
    <xf numFmtId="3" fontId="11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16" fillId="0" borderId="0" pivotButton="0" quotePrefix="0" xfId="0"/>
    <xf numFmtId="0" fontId="9" fillId="0" borderId="0" pivotButton="0" quotePrefix="0" xfId="0"/>
    <xf numFmtId="0" fontId="0" fillId="0" borderId="19" pivotButton="0" quotePrefix="0" xfId="0"/>
    <xf numFmtId="0" fontId="0" fillId="0" borderId="0" applyAlignment="1" pivotButton="0" quotePrefix="0" xfId="0">
      <alignment vertical="center"/>
    </xf>
    <xf numFmtId="3" fontId="0" fillId="0" borderId="0" pivotButton="0" quotePrefix="0" xfId="0"/>
    <xf numFmtId="0" fontId="0" fillId="0" borderId="18" pivotButton="0" quotePrefix="0" xfId="0"/>
    <xf numFmtId="0" fontId="0" fillId="0" borderId="20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9" fillId="0" borderId="1" pivotButton="0" quotePrefix="0" xfId="0"/>
    <xf numFmtId="0" fontId="9" fillId="0" borderId="16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7" pivotButton="0" quotePrefix="0" xfId="0"/>
    <xf numFmtId="0" fontId="17" fillId="0" borderId="22" pivotButton="0" quotePrefix="0" xfId="0"/>
    <xf numFmtId="0" fontId="18" fillId="0" borderId="22" pivotButton="0" quotePrefix="0" xfId="0"/>
    <xf numFmtId="3" fontId="17" fillId="0" borderId="22" pivotButton="0" quotePrefix="0" xfId="0"/>
    <xf numFmtId="164" fontId="17" fillId="7" borderId="22" pivotButton="0" quotePrefix="0" xfId="0"/>
    <xf numFmtId="0" fontId="17" fillId="7" borderId="22" pivotButton="0" quotePrefix="0" xfId="0"/>
    <xf numFmtId="0" fontId="19" fillId="0" borderId="22" pivotButton="0" quotePrefix="0" xfId="0"/>
    <xf numFmtId="164" fontId="17" fillId="8" borderId="22" pivotButton="0" quotePrefix="0" xfId="0"/>
    <xf numFmtId="0" fontId="20" fillId="0" borderId="22" pivotButton="0" quotePrefix="0" xfId="0"/>
    <xf numFmtId="0" fontId="17" fillId="8" borderId="22" pivotButton="0" quotePrefix="0" xfId="0"/>
    <xf numFmtId="0" fontId="21" fillId="0" borderId="22" pivotButton="0" quotePrefix="0" xfId="0"/>
    <xf numFmtId="0" fontId="22" fillId="9" borderId="23" applyAlignment="1" pivotButton="0" quotePrefix="0" xfId="0">
      <alignment horizontal="center"/>
    </xf>
    <xf numFmtId="3" fontId="17" fillId="0" borderId="23" applyAlignment="1" pivotButton="0" quotePrefix="0" xfId="0">
      <alignment horizontal="center"/>
    </xf>
    <xf numFmtId="164" fontId="17" fillId="0" borderId="23" pivotButton="0" quotePrefix="0" xfId="0"/>
    <xf numFmtId="0" fontId="23" fillId="0" borderId="22" pivotButton="0" quotePrefix="0" xfId="0"/>
    <xf numFmtId="164" fontId="23" fillId="10" borderId="23" pivotButton="0" quotePrefix="0" xfId="0"/>
    <xf numFmtId="164" fontId="23" fillId="0" borderId="23" pivotButton="0" quotePrefix="0" xfId="0"/>
    <xf numFmtId="0" fontId="19" fillId="0" borderId="22" applyAlignment="1" pivotButton="0" quotePrefix="0" xfId="0">
      <alignment horizontal="center" vertical="center"/>
    </xf>
    <xf numFmtId="3" fontId="17" fillId="0" borderId="22" applyAlignment="1" pivotButton="0" quotePrefix="0" xfId="0">
      <alignment horizontal="right" vertical="center"/>
    </xf>
    <xf numFmtId="0" fontId="24" fillId="0" borderId="23" applyAlignment="1" pivotButton="0" quotePrefix="0" xfId="0">
      <alignment horizontal="center"/>
    </xf>
    <xf numFmtId="3" fontId="24" fillId="11" borderId="23" applyAlignment="1" pivotButton="0" quotePrefix="0" xfId="0">
      <alignment horizontal="center"/>
    </xf>
    <xf numFmtId="3" fontId="24" fillId="12" borderId="23" applyAlignment="1" pivotButton="0" quotePrefix="0" xfId="0">
      <alignment horizontal="center"/>
    </xf>
    <xf numFmtId="3" fontId="24" fillId="13" borderId="23" applyAlignment="1" pivotButton="0" quotePrefix="0" xfId="0">
      <alignment horizontal="center"/>
    </xf>
    <xf numFmtId="0" fontId="25" fillId="0" borderId="22" pivotButton="0" quotePrefix="0" xfId="0"/>
    <xf numFmtId="0" fontId="17" fillId="0" borderId="22" applyAlignment="1" pivotButton="0" quotePrefix="0" xfId="0">
      <alignment horizontal="center"/>
    </xf>
    <xf numFmtId="164" fontId="23" fillId="8" borderId="23" pivotButton="0" quotePrefix="0" xfId="0"/>
    <xf numFmtId="0" fontId="20" fillId="0" borderId="23" pivotButton="0" quotePrefix="0" xfId="0"/>
    <xf numFmtId="0" fontId="26" fillId="14" borderId="22" applyAlignment="1" pivotButton="0" quotePrefix="0" xfId="0">
      <alignment horizontal="center"/>
    </xf>
    <xf numFmtId="164" fontId="27" fillId="11" borderId="23" pivotButton="0" quotePrefix="0" xfId="0"/>
    <xf numFmtId="164" fontId="27" fillId="12" borderId="23" pivotButton="0" quotePrefix="0" xfId="0"/>
    <xf numFmtId="164" fontId="27" fillId="13" borderId="23" pivotButton="0" quotePrefix="0" xfId="0"/>
    <xf numFmtId="165" fontId="28" fillId="0" borderId="23" pivotButton="0" quotePrefix="0" xfId="0"/>
    <xf numFmtId="165" fontId="28" fillId="11" borderId="23" pivotButton="0" quotePrefix="0" xfId="0"/>
    <xf numFmtId="165" fontId="28" fillId="12" borderId="23" pivotButton="0" quotePrefix="0" xfId="0"/>
    <xf numFmtId="165" fontId="28" fillId="13" borderId="23" pivotButton="0" quotePrefix="0" xfId="0"/>
    <xf numFmtId="0" fontId="19" fillId="0" borderId="24" pivotButton="0" quotePrefix="0" xfId="0"/>
    <xf numFmtId="0" fontId="0" fillId="0" borderId="26" pivotButton="0" quotePrefix="0" xfId="0"/>
    <xf numFmtId="0" fontId="0" fillId="0" borderId="27" pivotButton="0" quotePrefix="0" xfId="0"/>
    <xf numFmtId="0" fontId="21" fillId="0" borderId="24" pivotButton="0" quotePrefix="0" xfId="0"/>
    <xf numFmtId="0" fontId="29" fillId="9" borderId="23" applyAlignment="1" pivotButton="0" quotePrefix="0" xfId="0">
      <alignment horizontal="center"/>
    </xf>
    <xf numFmtId="166" fontId="17" fillId="0" borderId="23" pivotButton="0" quotePrefix="0" xfId="0"/>
    <xf numFmtId="166" fontId="23" fillId="1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2"/>
  <sheetViews>
    <sheetView workbookViewId="0">
      <selection activeCell="D372" sqref="D372"/>
    </sheetView>
  </sheetViews>
  <sheetFormatPr baseColWidth="10" defaultRowHeight="16"/>
  <cols>
    <col width="10.83203125" customWidth="1" style="7" min="1" max="1"/>
    <col width="69.6640625" bestFit="1" customWidth="1" style="21" min="2" max="2"/>
    <col width="12.5" bestFit="1" customWidth="1" style="21" min="3" max="4"/>
    <col width="12.1640625" bestFit="1" customWidth="1" style="21" min="5" max="5"/>
    <col width="21.83203125" bestFit="1" customWidth="1" style="21" min="8" max="8"/>
    <col width="25.33203125" bestFit="1" customWidth="1" style="21" min="9" max="9"/>
    <col width="23.5" bestFit="1" customWidth="1" style="21" min="10" max="10"/>
    <col width="20.83203125" bestFit="1" customWidth="1" style="21" min="11" max="11"/>
  </cols>
  <sheetData>
    <row r="1">
      <c r="A1" s="2" t="inlineStr">
        <is>
          <t>Id_Tempat</t>
        </is>
      </c>
      <c r="B1" s="3" t="inlineStr">
        <is>
          <t>Nama_Tempat</t>
        </is>
      </c>
      <c r="C1" s="3" t="inlineStr">
        <is>
          <t>Estimasi_Harga</t>
        </is>
      </c>
      <c r="D1" s="3" t="inlineStr">
        <is>
          <t>Latitude</t>
        </is>
      </c>
      <c r="E1" s="4" t="inlineStr">
        <is>
          <t>Longitude</t>
        </is>
      </c>
    </row>
    <row r="2">
      <c r="A2" s="5" t="n">
        <v>1</v>
      </c>
      <c r="B2" s="6" t="inlineStr">
        <is>
          <t>SUPER OYO Flagship 90502 Holistay Malang New</t>
        </is>
      </c>
      <c r="C2" s="6" t="n">
        <v>347052</v>
      </c>
      <c r="D2" s="6" t="n">
        <v>-7.9368115</v>
      </c>
      <c r="E2" s="6" t="n">
        <v>112.6486898</v>
      </c>
    </row>
    <row r="3">
      <c r="A3" s="5" t="n">
        <v>2</v>
      </c>
      <c r="B3" s="6" t="inlineStr">
        <is>
          <t>Hotel OYO 709 Menjangan Residen</t>
        </is>
      </c>
      <c r="C3" s="6" t="n">
        <v>51823</v>
      </c>
      <c r="D3" s="6" t="n">
        <v>-8.0040178</v>
      </c>
      <c r="E3" s="6" t="n">
        <v>112.6139426</v>
      </c>
      <c r="H3" s="60" t="n"/>
      <c r="I3" s="60" t="inlineStr">
        <is>
          <t>Kiri (0 pada Long)</t>
        </is>
      </c>
      <c r="J3" s="60" t="inlineStr">
        <is>
          <t>Tengah (0.5 pada Long)</t>
        </is>
      </c>
      <c r="K3" s="60" t="inlineStr">
        <is>
          <t>Kanan (1 pada Long)</t>
        </is>
      </c>
    </row>
    <row r="4">
      <c r="A4" s="5" t="n">
        <v>3</v>
      </c>
      <c r="B4" s="6" t="inlineStr">
        <is>
          <t>Super OYO 1376 Kina Family Residence Syariah</t>
        </is>
      </c>
      <c r="C4" s="6" t="n">
        <v>158466</v>
      </c>
      <c r="D4" s="6" t="n">
        <v>-7.943296</v>
      </c>
      <c r="E4" s="6" t="n">
        <v>112.601376</v>
      </c>
      <c r="H4" s="60" t="inlineStr">
        <is>
          <t>Atas (1 pada Lat)</t>
        </is>
      </c>
      <c r="I4" s="20" t="inlineStr">
        <is>
          <t>Pojok Kiri Atas</t>
        </is>
      </c>
      <c r="J4" s="20" t="inlineStr">
        <is>
          <t>Utara Tengah</t>
        </is>
      </c>
      <c r="K4" s="20" t="inlineStr">
        <is>
          <t>Pojok Kanan Atas</t>
        </is>
      </c>
    </row>
    <row r="5">
      <c r="A5" s="5" t="n">
        <v>4</v>
      </c>
      <c r="B5" s="6" t="inlineStr">
        <is>
          <t>OYO Flagship 90723 Khalifi House Malang</t>
        </is>
      </c>
      <c r="C5" s="6" t="n">
        <v>220540</v>
      </c>
      <c r="D5" s="6" t="n">
        <v>-7.9694153</v>
      </c>
      <c r="E5" s="6" t="n">
        <v>112.6684127</v>
      </c>
      <c r="H5" s="60" t="n"/>
      <c r="I5" s="6" t="n"/>
      <c r="J5" s="6" t="n"/>
      <c r="K5" s="6" t="n"/>
    </row>
    <row r="6">
      <c r="A6" s="5" t="n">
        <v>5</v>
      </c>
      <c r="B6" s="6" t="inlineStr">
        <is>
          <t>OYO 94769 Griya Djati Syariah 2</t>
        </is>
      </c>
      <c r="C6" s="6" t="n">
        <v>123967</v>
      </c>
      <c r="D6" s="6" t="n">
        <v>-7.9859953</v>
      </c>
      <c r="E6" s="6" t="n">
        <v>112.6597823</v>
      </c>
      <c r="H6" s="60" t="n"/>
      <c r="I6" s="28" t="inlineStr">
        <is>
          <t>(Area Batu Utara/Cangar)</t>
        </is>
      </c>
      <c r="J6" s="28" t="inlineStr">
        <is>
          <t>(Lawang/Singosari)</t>
        </is>
      </c>
      <c r="K6" s="28" t="inlineStr">
        <is>
          <t>(Arah Bromo)</t>
        </is>
      </c>
    </row>
    <row r="7">
      <c r="A7" s="5" t="n">
        <v>6</v>
      </c>
      <c r="B7" s="6" t="inlineStr">
        <is>
          <t>SPOT ON 2689 Safira Family Residence</t>
        </is>
      </c>
      <c r="C7" s="6" t="n">
        <v>119934</v>
      </c>
      <c r="D7" s="6" t="n">
        <v>-7.8721185</v>
      </c>
      <c r="E7" s="6" t="n">
        <v>112.6790929</v>
      </c>
      <c r="H7" s="60" t="inlineStr">
        <is>
          <t>Tengah (0.5 pada Lat)</t>
        </is>
      </c>
      <c r="I7" s="20" t="inlineStr">
        <is>
          <t>Barat Tengah</t>
        </is>
      </c>
      <c r="J7" s="60" t="inlineStr">
        <is>
          <t>PUSAT KOTA</t>
        </is>
      </c>
      <c r="K7" s="20" t="inlineStr">
        <is>
          <t>Timur Tengah</t>
        </is>
      </c>
    </row>
    <row r="8">
      <c r="A8" s="5" t="n">
        <v>7</v>
      </c>
      <c r="B8" s="6" t="inlineStr">
        <is>
          <t>OYO 90684 Happy Homestay Syariah</t>
        </is>
      </c>
      <c r="C8" s="6" t="n">
        <v>214198</v>
      </c>
      <c r="D8" s="6" t="n">
        <v>-7.9351406</v>
      </c>
      <c r="E8" s="6" t="n">
        <v>112.7005862</v>
      </c>
      <c r="H8" s="60" t="n"/>
      <c r="I8" s="6" t="n"/>
      <c r="J8" s="6" t="n"/>
      <c r="K8" s="6" t="n"/>
    </row>
    <row r="9">
      <c r="A9" s="5" t="n">
        <v>8</v>
      </c>
      <c r="B9" s="6" t="inlineStr">
        <is>
          <t>OYO LIfe 1036 Hotel Palem 1 Syariah</t>
        </is>
      </c>
      <c r="C9" s="6" t="n">
        <v>353157</v>
      </c>
      <c r="D9" s="6" t="n">
        <v>-7.9689919</v>
      </c>
      <c r="E9" s="6" t="n">
        <v>112.6312719</v>
      </c>
      <c r="H9" s="60" t="n"/>
      <c r="I9" s="28" t="inlineStr">
        <is>
          <t>(Kota Batu)</t>
        </is>
      </c>
      <c r="J9" s="28" t="inlineStr">
        <is>
          <t>(Alun-alun Malang)</t>
        </is>
      </c>
      <c r="K9" s="28" t="inlineStr">
        <is>
          <t>(Tumpang)</t>
        </is>
      </c>
    </row>
    <row r="10">
      <c r="A10" s="5" t="n">
        <v>9</v>
      </c>
      <c r="B10" s="6" t="inlineStr">
        <is>
          <t>SPOT ON 90797 Sukun Syariah Homestay</t>
        </is>
      </c>
      <c r="C10" s="6" t="n">
        <v>154217</v>
      </c>
      <c r="D10" s="6" t="n">
        <v>-8.0091813</v>
      </c>
      <c r="E10" s="6" t="n">
        <v>112.6203767</v>
      </c>
      <c r="H10" s="60" t="inlineStr">
        <is>
          <t>Bawah (0 pada Lat)</t>
        </is>
      </c>
      <c r="I10" s="20" t="inlineStr">
        <is>
          <t>Pojok Kiri Bawah</t>
        </is>
      </c>
      <c r="J10" s="20" t="inlineStr">
        <is>
          <t>Selatan Tengah</t>
        </is>
      </c>
      <c r="K10" s="20" t="inlineStr">
        <is>
          <t>Pojok Kanan Bawah</t>
        </is>
      </c>
    </row>
    <row r="11">
      <c r="A11" s="5" t="n">
        <v>10</v>
      </c>
      <c r="B11" s="6" t="inlineStr">
        <is>
          <t>OYO 90383 Avisha Guest House Syariah</t>
        </is>
      </c>
      <c r="C11" s="6" t="n">
        <v>259001</v>
      </c>
      <c r="D11" s="6" t="n">
        <v>-7.9670985</v>
      </c>
      <c r="E11" s="6" t="n">
        <v>112.6428725</v>
      </c>
      <c r="H11" s="60" t="n"/>
      <c r="I11" s="6" t="n"/>
      <c r="J11" s="6" t="n"/>
      <c r="K11" s="6" t="n"/>
    </row>
    <row r="12">
      <c r="A12" s="5" t="n">
        <v>11</v>
      </c>
      <c r="B12" s="6" t="inlineStr">
        <is>
          <t>OYO 353 Loesje Guest House Syariah</t>
        </is>
      </c>
      <c r="C12" s="6" t="n">
        <v>300000</v>
      </c>
      <c r="D12" s="6" t="n">
        <v>-7.9769477</v>
      </c>
      <c r="E12" s="6" t="n">
        <v>112.6252761</v>
      </c>
      <c r="H12" s="60" t="n"/>
      <c r="I12" s="28" t="inlineStr">
        <is>
          <t>(Perbatasan Blitar)</t>
        </is>
      </c>
      <c r="J12" s="28" t="inlineStr">
        <is>
          <t>(Kepanjen)</t>
        </is>
      </c>
      <c r="K12" s="28" t="inlineStr">
        <is>
          <t>(Lumajang)</t>
        </is>
      </c>
    </row>
    <row r="13">
      <c r="A13" s="5" t="n">
        <v>12</v>
      </c>
      <c r="B13" s="6" t="inlineStr">
        <is>
          <t>BTC Syariah near RS Saiful Anwar</t>
        </is>
      </c>
      <c r="C13" s="6" t="n">
        <v>36239</v>
      </c>
      <c r="D13" s="6" t="n">
        <v>-7.9644232</v>
      </c>
      <c r="E13" s="6" t="n">
        <v>112.6310739</v>
      </c>
    </row>
    <row r="14">
      <c r="A14" s="5" t="n">
        <v>13</v>
      </c>
      <c r="B14" s="6" t="inlineStr">
        <is>
          <t>OYO 778 Guest House Amalia Malang</t>
        </is>
      </c>
      <c r="C14" s="6" t="n">
        <v>281083</v>
      </c>
      <c r="D14" s="6" t="n">
        <v>-7.967616</v>
      </c>
      <c r="E14" s="6" t="n">
        <v>112.6262144</v>
      </c>
    </row>
    <row r="15">
      <c r="A15" s="5" t="n">
        <v>14</v>
      </c>
      <c r="B15" s="6" t="inlineStr">
        <is>
          <t>OYO 3350 Cozy Residence</t>
        </is>
      </c>
      <c r="C15" s="6" t="n">
        <v>365618</v>
      </c>
      <c r="D15" s="6" t="n">
        <v>-7.9454091</v>
      </c>
      <c r="E15" s="6" t="n">
        <v>112.6348957</v>
      </c>
    </row>
    <row r="16">
      <c r="A16" s="5" t="n">
        <v>15</v>
      </c>
      <c r="B16" s="6" t="inlineStr">
        <is>
          <t>Serayu Homestay Syariah</t>
        </is>
      </c>
      <c r="C16" s="6" t="n">
        <v>45892</v>
      </c>
      <c r="D16" s="6" t="n">
        <v>-7.9548405</v>
      </c>
      <c r="E16" s="6" t="n">
        <v>112.6112312</v>
      </c>
    </row>
    <row r="17">
      <c r="A17" s="5" t="n">
        <v>16</v>
      </c>
      <c r="B17" s="6" t="inlineStr">
        <is>
          <t>OYO 90319 Angler Guest House Malang</t>
        </is>
      </c>
      <c r="C17" s="6" t="n">
        <v>36239</v>
      </c>
      <c r="D17" s="6" t="n">
        <v>-7.9642849</v>
      </c>
      <c r="E17" s="6" t="n">
        <v>112.6221525</v>
      </c>
    </row>
    <row r="18">
      <c r="A18" s="5" t="n">
        <v>17</v>
      </c>
      <c r="B18" s="6" t="inlineStr">
        <is>
          <t>OYO Life 92568 Penginapan Joglo Syariah</t>
        </is>
      </c>
      <c r="C18" s="6" t="n">
        <v>103035</v>
      </c>
      <c r="D18" s="6" t="n">
        <v>-8.1186834</v>
      </c>
      <c r="E18" s="6" t="n">
        <v>112.5670108</v>
      </c>
    </row>
    <row r="19">
      <c r="A19" s="5" t="n">
        <v>18</v>
      </c>
      <c r="B19" s="6" t="inlineStr">
        <is>
          <t>OYO 90303 Cafe &amp; Homestay Kolam Pancing Abah</t>
        </is>
      </c>
      <c r="C19" s="6" t="n">
        <v>142451</v>
      </c>
      <c r="D19" s="6" t="n">
        <v>-7.9133065</v>
      </c>
      <c r="E19" s="6" t="n">
        <v>112.6364432</v>
      </c>
    </row>
    <row r="20">
      <c r="A20" s="5" t="n">
        <v>19</v>
      </c>
      <c r="B20" s="6" t="inlineStr">
        <is>
          <t>D Maktab Syariah Mitra RedDoorz Malang</t>
        </is>
      </c>
      <c r="C20" s="6" t="n">
        <v>233100</v>
      </c>
      <c r="D20" s="6" t="n">
        <v>-7.9510225</v>
      </c>
      <c r="E20" s="6" t="n">
        <v>112.6266283</v>
      </c>
    </row>
    <row r="21">
      <c r="A21" s="5" t="n">
        <v>20</v>
      </c>
      <c r="B21" s="6" t="inlineStr">
        <is>
          <t>OYO 94148 Forzando Hotel</t>
        </is>
      </c>
      <c r="C21" s="6" t="n">
        <v>90344</v>
      </c>
      <c r="D21" s="6" t="n">
        <v>-7.9223935</v>
      </c>
      <c r="E21" s="6" t="n">
        <v>112.6084139</v>
      </c>
    </row>
    <row r="22">
      <c r="A22" s="5" t="n">
        <v>21</v>
      </c>
      <c r="B22" s="6" t="inlineStr">
        <is>
          <t>Forzando House Redpartner near Universitas Muhammadiyah Malang</t>
        </is>
      </c>
      <c r="C22" s="6" t="n">
        <v>90344</v>
      </c>
      <c r="D22" s="6" t="n">
        <v>-7.9219222</v>
      </c>
      <c r="E22" s="6" t="n">
        <v>112.6084985</v>
      </c>
    </row>
    <row r="23">
      <c r="A23" s="5" t="n">
        <v>22</v>
      </c>
      <c r="B23" s="6" t="inlineStr">
        <is>
          <t>OYO 2771 D'soetta</t>
        </is>
      </c>
      <c r="C23" s="6" t="n">
        <v>237920</v>
      </c>
      <c r="D23" s="6" t="n">
        <v>-7.9392536</v>
      </c>
      <c r="E23" s="6" t="n">
        <v>112.6252384</v>
      </c>
    </row>
    <row r="24">
      <c r="A24" s="5" t="n">
        <v>23</v>
      </c>
      <c r="B24" s="6" t="inlineStr">
        <is>
          <t>OYO 1468 SM House</t>
        </is>
      </c>
      <c r="C24" s="6" t="n">
        <v>269126</v>
      </c>
      <c r="D24" s="6" t="n">
        <v>-7.9322681</v>
      </c>
      <c r="E24" s="6" t="n">
        <v>112.6294056</v>
      </c>
    </row>
    <row r="25">
      <c r="A25" s="5" t="n">
        <v>24</v>
      </c>
      <c r="B25" s="6" t="inlineStr">
        <is>
          <t>OYO 91084 Oke Guest House</t>
        </is>
      </c>
      <c r="C25" s="6" t="n">
        <v>60000</v>
      </c>
      <c r="D25" s="6" t="n">
        <v>-8.014431</v>
      </c>
      <c r="E25" s="6" t="n">
        <v>112.6426109</v>
      </c>
    </row>
    <row r="26">
      <c r="A26" s="5" t="n">
        <v>25</v>
      </c>
      <c r="B26" s="6" t="inlineStr">
        <is>
          <t>OYO Life 2760 Kost Simpang Borobudur 47</t>
        </is>
      </c>
      <c r="C26" s="6" t="n">
        <v>350000</v>
      </c>
      <c r="D26" s="6" t="n">
        <v>-7.9363803</v>
      </c>
      <c r="E26" s="6" t="n">
        <v>112.6379778</v>
      </c>
    </row>
    <row r="27">
      <c r="A27" s="5" t="n">
        <v>26</v>
      </c>
      <c r="B27" s="6" t="inlineStr">
        <is>
          <t>OYO 90217 Cmb 37 Guest House</t>
        </is>
      </c>
      <c r="C27" s="6" t="n">
        <v>36239</v>
      </c>
      <c r="D27" s="6" t="n">
        <v>-7.9397741</v>
      </c>
      <c r="E27" s="6" t="n">
        <v>112.6266644</v>
      </c>
    </row>
    <row r="28">
      <c r="A28" s="5" t="n">
        <v>27</v>
      </c>
      <c r="B28" s="6" t="inlineStr">
        <is>
          <t>Embun Pagi Syariah Bendungan Sempor 8 Malang</t>
        </is>
      </c>
      <c r="C28" s="6" t="n">
        <v>301928</v>
      </c>
      <c r="D28" s="6" t="n">
        <v>-7.9597593</v>
      </c>
      <c r="E28" s="6" t="n">
        <v>112.6124389</v>
      </c>
    </row>
    <row r="29">
      <c r="A29" s="5" t="n">
        <v>28</v>
      </c>
      <c r="B29" s="6" t="inlineStr">
        <is>
          <t>OYO 94767 Griya Djati Syariah 1</t>
        </is>
      </c>
      <c r="C29" s="6" t="n">
        <v>146986</v>
      </c>
      <c r="D29" s="6" t="n">
        <v>-7.9857367</v>
      </c>
      <c r="E29" s="6" t="n">
        <v>112.6595192</v>
      </c>
    </row>
    <row r="30">
      <c r="A30" s="5" t="n">
        <v>29</v>
      </c>
      <c r="B30" s="6" t="inlineStr">
        <is>
          <t>OYO 3510 Borobudur Townhouse</t>
        </is>
      </c>
      <c r="C30" s="6" t="n">
        <v>300000</v>
      </c>
      <c r="D30" s="6" t="n">
        <v>-7.937345</v>
      </c>
      <c r="E30" s="6" t="n">
        <v>112.6359318</v>
      </c>
    </row>
    <row r="31">
      <c r="A31" s="5" t="n">
        <v>30</v>
      </c>
      <c r="B31" s="6" t="inlineStr">
        <is>
          <t>OYO 1110 Ijen Butik House</t>
        </is>
      </c>
      <c r="C31" s="6" t="n">
        <v>36239</v>
      </c>
      <c r="D31" s="6" t="n">
        <v>-7.9794481</v>
      </c>
      <c r="E31" s="6" t="n">
        <v>112.6157734</v>
      </c>
    </row>
    <row r="32">
      <c r="A32" s="5" t="n">
        <v>31</v>
      </c>
      <c r="B32" s="6" t="inlineStr">
        <is>
          <t>Hotel Nugraha</t>
        </is>
      </c>
      <c r="C32" s="6" t="n">
        <v>146846</v>
      </c>
      <c r="D32" s="6" t="n">
        <v>-7.9354939</v>
      </c>
      <c r="E32" s="6" t="n">
        <v>112.6488756</v>
      </c>
    </row>
    <row r="33">
      <c r="A33" s="5" t="n">
        <v>32</v>
      </c>
      <c r="B33" s="6" t="inlineStr">
        <is>
          <t>SPOT ON 92450 Homestay Simpang Panji Suroso Syariah</t>
        </is>
      </c>
      <c r="C33" s="6" t="n">
        <v>36239</v>
      </c>
      <c r="D33" s="6" t="n">
        <v>-7.9331001</v>
      </c>
      <c r="E33" s="6" t="n">
        <v>112.6479563</v>
      </c>
    </row>
    <row r="34">
      <c r="A34" s="5" t="n">
        <v>33</v>
      </c>
      <c r="B34" s="6" t="inlineStr">
        <is>
          <t>OYO Life 2906 Rukost Larose</t>
        </is>
      </c>
      <c r="C34" s="6" t="n">
        <v>375007</v>
      </c>
      <c r="D34" s="6" t="n">
        <v>-7.9571165</v>
      </c>
      <c r="E34" s="6" t="n">
        <v>112.6337246</v>
      </c>
    </row>
    <row r="35">
      <c r="A35" s="5" t="n">
        <v>34</v>
      </c>
      <c r="B35" s="6" t="inlineStr">
        <is>
          <t>OYO Life 414 Loji Rejo Guest House</t>
        </is>
      </c>
      <c r="C35" s="6" t="n">
        <v>36239</v>
      </c>
      <c r="D35" s="6" t="n">
        <v>-7.9573189</v>
      </c>
      <c r="E35" s="6" t="n">
        <v>112.5910027</v>
      </c>
    </row>
    <row r="36">
      <c r="A36" s="5" t="n">
        <v>35</v>
      </c>
      <c r="B36" s="6" t="inlineStr">
        <is>
          <t>OYO 1293 Dei Residence Arjosari</t>
        </is>
      </c>
      <c r="C36" s="6" t="n">
        <v>36239</v>
      </c>
      <c r="D36" s="6" t="n">
        <v>-7.9303611</v>
      </c>
      <c r="E36" s="6" t="n">
        <v>112.6485267</v>
      </c>
    </row>
    <row r="37">
      <c r="A37" s="5" t="n">
        <v>36</v>
      </c>
      <c r="B37" s="6" t="inlineStr">
        <is>
          <t>OYO 350 D' Maktab Homestay Syariah</t>
        </is>
      </c>
      <c r="C37" s="6" t="n">
        <v>179564</v>
      </c>
      <c r="D37" s="6" t="n">
        <v>-7.950944</v>
      </c>
      <c r="E37" s="6" t="n">
        <v>112.626521</v>
      </c>
    </row>
    <row r="38">
      <c r="A38" s="5" t="n">
        <v>37</v>
      </c>
      <c r="B38" s="6" t="inlineStr">
        <is>
          <t>OYO 3371 Omah Saras Family</t>
        </is>
      </c>
      <c r="C38" s="6" t="n">
        <v>36239</v>
      </c>
      <c r="D38" s="6" t="n">
        <v>-7.962533</v>
      </c>
      <c r="E38" s="6" t="n">
        <v>112.622981</v>
      </c>
    </row>
    <row r="39">
      <c r="A39" s="5" t="n">
        <v>38</v>
      </c>
      <c r="B39" s="6" t="inlineStr">
        <is>
          <t>SPOT ON 91530 Sumpil Syariah</t>
        </is>
      </c>
      <c r="C39" s="6" t="n">
        <v>211964</v>
      </c>
      <c r="D39" s="6" t="n">
        <v>-7.9343941</v>
      </c>
      <c r="E39" s="6" t="n">
        <v>112.6453402</v>
      </c>
    </row>
    <row r="40">
      <c r="A40" s="5" t="n">
        <v>39</v>
      </c>
      <c r="B40" s="6" t="inlineStr">
        <is>
          <t>OYO 90734 Konzo Kostel Syariah Malang</t>
        </is>
      </c>
      <c r="C40" s="6" t="n">
        <v>179685</v>
      </c>
      <c r="D40" s="6" t="n">
        <v>-8.0061234</v>
      </c>
      <c r="E40" s="6" t="n">
        <v>112.6237223</v>
      </c>
    </row>
    <row r="41">
      <c r="A41" s="5" t="n">
        <v>40</v>
      </c>
      <c r="B41" s="6" t="inlineStr">
        <is>
          <t>Victory Hotel</t>
        </is>
      </c>
      <c r="C41" s="6" t="n">
        <v>185377</v>
      </c>
      <c r="D41" s="6" t="n">
        <v>-7.8221247</v>
      </c>
      <c r="E41" s="6" t="n">
        <v>112.5297343</v>
      </c>
    </row>
    <row r="42">
      <c r="A42" s="5" t="n">
        <v>41</v>
      </c>
      <c r="B42" s="6" t="inlineStr">
        <is>
          <t>Hotel Palem 2 Syariah Malang Redpartner</t>
        </is>
      </c>
      <c r="C42" s="6" t="n">
        <v>459007</v>
      </c>
      <c r="D42" s="6" t="n">
        <v>-7.9712784</v>
      </c>
      <c r="E42" s="6" t="n">
        <v>112.6356795</v>
      </c>
    </row>
    <row r="43">
      <c r="A43" s="5" t="n">
        <v>42</v>
      </c>
      <c r="B43" s="6" t="inlineStr">
        <is>
          <t>OYO Life 91931 Permata Brantas Syariah Homestay</t>
        </is>
      </c>
      <c r="C43" s="6" t="n">
        <v>590409</v>
      </c>
      <c r="D43" s="6" t="n">
        <v>-7.9326945</v>
      </c>
      <c r="E43" s="6" t="n">
        <v>112.6113372</v>
      </c>
    </row>
    <row r="44">
      <c r="A44" s="5" t="n">
        <v>43</v>
      </c>
      <c r="B44" s="6" t="inlineStr">
        <is>
          <t>OYO Life Hotel O Forzando Hotel</t>
        </is>
      </c>
      <c r="C44" s="6" t="n">
        <v>439562</v>
      </c>
      <c r="D44" s="6" t="n">
        <v>-7.9223948</v>
      </c>
      <c r="E44" s="6" t="n">
        <v>112.6084134</v>
      </c>
    </row>
    <row r="45">
      <c r="A45" s="5" t="n">
        <v>44</v>
      </c>
      <c r="B45" s="6" t="inlineStr">
        <is>
          <t>Hotel Malang</t>
        </is>
      </c>
      <c r="C45" s="6" t="n">
        <v>36239</v>
      </c>
      <c r="D45" s="6" t="n">
        <v>-7.9853106</v>
      </c>
      <c r="E45" s="6" t="n">
        <v>112.6337779</v>
      </c>
    </row>
    <row r="46">
      <c r="A46" s="5" t="n">
        <v>45</v>
      </c>
      <c r="B46" s="6" t="inlineStr">
        <is>
          <t>Warung ampiran Bromo</t>
        </is>
      </c>
      <c r="C46" s="6" t="n">
        <v>40394</v>
      </c>
      <c r="D46" s="6" t="n">
        <v>-8.0056545</v>
      </c>
      <c r="E46" s="6" t="n">
        <v>112.7465812</v>
      </c>
    </row>
    <row r="47">
      <c r="A47" s="5" t="n">
        <v>46</v>
      </c>
      <c r="B47" s="6" t="inlineStr">
        <is>
          <t>OYO 90480 sultan palace guest house</t>
        </is>
      </c>
      <c r="C47" s="6" t="n">
        <v>36239</v>
      </c>
      <c r="D47" s="6" t="n">
        <v>-7.9268265</v>
      </c>
      <c r="E47" s="6" t="n">
        <v>112.6020383</v>
      </c>
    </row>
    <row r="48">
      <c r="A48" s="5" t="n">
        <v>47</v>
      </c>
      <c r="B48" s="6" t="inlineStr">
        <is>
          <t>OYO 91137 Griya Cipu Syariah Guest House</t>
        </is>
      </c>
      <c r="C48" s="6" t="n">
        <v>36239</v>
      </c>
      <c r="D48" s="6" t="n">
        <v>-7.95535</v>
      </c>
      <c r="E48" s="6" t="n">
        <v>112.6412845</v>
      </c>
    </row>
    <row r="49">
      <c r="A49" s="5" t="n">
        <v>48</v>
      </c>
      <c r="B49" s="6" t="inlineStr">
        <is>
          <t>Villa Unik Dau Malang</t>
        </is>
      </c>
      <c r="C49" s="6" t="n">
        <v>126000</v>
      </c>
      <c r="D49" s="6" t="n">
        <v>-7.9335299</v>
      </c>
      <c r="E49" s="6" t="n">
        <v>112.5731735</v>
      </c>
    </row>
    <row r="50">
      <c r="A50" s="5" t="n">
        <v>49</v>
      </c>
      <c r="B50" s="6" t="inlineStr">
        <is>
          <t>Orange house Villa</t>
        </is>
      </c>
      <c r="C50" s="6" t="n">
        <v>780000</v>
      </c>
      <c r="D50" s="6" t="n">
        <v>-7.9332228</v>
      </c>
      <c r="E50" s="6" t="n">
        <v>112.5732727</v>
      </c>
    </row>
    <row r="51">
      <c r="A51" s="5" t="n">
        <v>50</v>
      </c>
      <c r="B51" s="6" t="inlineStr">
        <is>
          <t>Villa FiFa</t>
        </is>
      </c>
      <c r="C51" s="6" t="n">
        <v>184000</v>
      </c>
      <c r="D51" s="6" t="n">
        <v>-7.9229698</v>
      </c>
      <c r="E51" s="6" t="n">
        <v>112.6198807</v>
      </c>
    </row>
    <row r="52">
      <c r="A52" s="5" t="n">
        <v>51</v>
      </c>
      <c r="B52" s="6" t="inlineStr">
        <is>
          <t>Villa Nayyara</t>
        </is>
      </c>
      <c r="C52" s="6" t="n">
        <v>819001</v>
      </c>
      <c r="D52" s="6" t="n">
        <v>-7.9394898</v>
      </c>
      <c r="E52" s="6" t="n">
        <v>112.5730972</v>
      </c>
    </row>
    <row r="53">
      <c r="A53" s="5" t="n">
        <v>52</v>
      </c>
      <c r="B53" s="6" t="inlineStr">
        <is>
          <t>Villa Tidar Van Java, Private PooL, Sejuk  Nyaman</t>
        </is>
      </c>
      <c r="C53" s="6" t="n">
        <v>36239</v>
      </c>
      <c r="D53" s="6" t="n">
        <v>-7.9491901</v>
      </c>
      <c r="E53" s="6" t="n">
        <v>112.593689</v>
      </c>
    </row>
    <row r="54">
      <c r="A54" s="5" t="n">
        <v>53</v>
      </c>
      <c r="B54" s="6" t="inlineStr">
        <is>
          <t>Villa The Oz HE-05</t>
        </is>
      </c>
      <c r="C54" s="6" t="n">
        <v>637000</v>
      </c>
      <c r="D54" s="6" t="n">
        <v>-7.9516358</v>
      </c>
      <c r="E54" s="6" t="n">
        <v>112.5762482</v>
      </c>
    </row>
    <row r="55">
      <c r="A55" s="5" t="n">
        <v>54</v>
      </c>
      <c r="B55" s="6" t="inlineStr">
        <is>
          <t>Huis Van Gustafine Floor 1</t>
        </is>
      </c>
      <c r="C55" s="6" t="n">
        <v>1652145</v>
      </c>
      <c r="D55" s="6" t="n">
        <v>-7.969512</v>
      </c>
      <c r="E55" s="6" t="n">
        <v>112.6310196</v>
      </c>
    </row>
    <row r="56">
      <c r="A56" s="5" t="n">
        <v>55</v>
      </c>
      <c r="B56" s="6" t="inlineStr">
        <is>
          <t>Villa Harga Ekonomis di Malang</t>
        </is>
      </c>
      <c r="C56" s="6" t="n">
        <v>200000</v>
      </c>
      <c r="D56" s="6" t="n">
        <v>-7.9135885</v>
      </c>
      <c r="E56" s="6" t="n">
        <v>112.6102142</v>
      </c>
    </row>
    <row r="57">
      <c r="A57" s="5" t="n">
        <v>56</v>
      </c>
      <c r="B57" s="6" t="inlineStr">
        <is>
          <t>Vila Shopie WonderHouz</t>
        </is>
      </c>
      <c r="C57" s="6" t="n">
        <v>1352287</v>
      </c>
      <c r="D57" s="6" t="n">
        <v>-7.9252272</v>
      </c>
      <c r="E57" s="6" t="n">
        <v>112.6468506</v>
      </c>
    </row>
    <row r="58">
      <c r="A58" s="5" t="n">
        <v>57</v>
      </c>
      <c r="B58" s="6" t="inlineStr">
        <is>
          <t>Villa Griya Sumber Arum - 2 Bedrooms Privatepool</t>
        </is>
      </c>
      <c r="C58" s="6" t="n">
        <v>412890</v>
      </c>
      <c r="D58" s="6" t="n">
        <v>-7.9417987</v>
      </c>
      <c r="E58" s="6" t="n">
        <v>112.5721741</v>
      </c>
    </row>
    <row r="59">
      <c r="A59" s="5" t="n">
        <v>58</v>
      </c>
      <c r="B59" s="6" t="inlineStr">
        <is>
          <t>Villa Griya Samara  Kolam Renang Pribadi</t>
        </is>
      </c>
      <c r="C59" s="6" t="n">
        <v>866503</v>
      </c>
      <c r="D59" s="6" t="n">
        <v>-7.9075298</v>
      </c>
      <c r="E59" s="6" t="n">
        <v>112.6331787</v>
      </c>
    </row>
    <row r="60">
      <c r="A60" s="5" t="n">
        <v>59</v>
      </c>
      <c r="B60" s="6" t="inlineStr">
        <is>
          <t>Gerbera 4BR Villa Springhill Garden Malang</t>
        </is>
      </c>
      <c r="C60" s="6" t="n">
        <v>300000</v>
      </c>
      <c r="D60" s="6" t="n">
        <v>-7.9663482</v>
      </c>
      <c r="E60" s="6" t="n">
        <v>112.6679077</v>
      </c>
    </row>
    <row r="61">
      <c r="A61" s="5" t="n">
        <v>60</v>
      </c>
      <c r="B61" s="6" t="inlineStr">
        <is>
          <t>Gerbera 4BR Springhill Garden Malang</t>
        </is>
      </c>
      <c r="C61" s="6" t="n">
        <v>500000</v>
      </c>
      <c r="D61" s="6" t="n">
        <v>-7.9661298</v>
      </c>
      <c r="E61" s="6" t="n">
        <v>112.6664505</v>
      </c>
    </row>
    <row r="62">
      <c r="A62" s="5" t="n">
        <v>61</v>
      </c>
      <c r="B62" s="6" t="inlineStr">
        <is>
          <t>FLAZ Villa</t>
        </is>
      </c>
      <c r="C62" s="6" t="n">
        <v>331532</v>
      </c>
      <c r="D62" s="6" t="n">
        <v>-7.9251318</v>
      </c>
      <c r="E62" s="6" t="n">
        <v>112.5716629</v>
      </c>
    </row>
    <row r="63">
      <c r="A63" s="5" t="n">
        <v>62</v>
      </c>
      <c r="B63" s="6" t="inlineStr">
        <is>
          <t>Kertavilla</t>
        </is>
      </c>
      <c r="C63" s="6" t="n">
        <v>71108</v>
      </c>
      <c r="D63" s="6" t="n">
        <v>-7.9067998</v>
      </c>
      <c r="E63" s="6" t="n">
        <v>112.6190033</v>
      </c>
    </row>
    <row r="64">
      <c r="A64" s="5" t="n">
        <v>63</v>
      </c>
      <c r="B64" s="6" t="inlineStr">
        <is>
          <t>Villa Lisha Orolas</t>
        </is>
      </c>
      <c r="C64" s="6" t="n">
        <v>1767273</v>
      </c>
      <c r="D64" s="6" t="n">
        <v>-7.9228702</v>
      </c>
      <c r="E64" s="6" t="n">
        <v>112.6252136</v>
      </c>
    </row>
    <row r="65">
      <c r="A65" s="5" t="n">
        <v>64</v>
      </c>
      <c r="B65" s="6" t="inlineStr">
        <is>
          <t>Derumah 35 Villa</t>
        </is>
      </c>
      <c r="C65" s="6" t="n">
        <v>396695</v>
      </c>
      <c r="D65" s="6" t="n">
        <v>-7.95643</v>
      </c>
      <c r="E65" s="6" t="n">
        <v>112.6206665</v>
      </c>
    </row>
    <row r="66">
      <c r="A66" s="5" t="n">
        <v>65</v>
      </c>
      <c r="B66" s="6" t="inlineStr">
        <is>
          <t>Kateza Homestay by Yurooms-ID</t>
        </is>
      </c>
      <c r="C66" s="6" t="n">
        <v>196560</v>
      </c>
      <c r="D66" s="6" t="n">
        <v>-7.9612398</v>
      </c>
      <c r="E66" s="6" t="n">
        <v>112.6122513</v>
      </c>
    </row>
    <row r="67">
      <c r="A67" s="5" t="n">
        <v>66</v>
      </c>
      <c r="B67" s="6" t="inlineStr">
        <is>
          <t>Gerbera Springhill 4BR Villa Springhill Garden Malang</t>
        </is>
      </c>
      <c r="C67" s="6" t="n">
        <v>300000</v>
      </c>
      <c r="D67" s="6" t="n">
        <v>-7.9664402</v>
      </c>
      <c r="E67" s="6" t="n">
        <v>112.667984</v>
      </c>
    </row>
    <row r="68">
      <c r="A68" s="5" t="n">
        <v>67</v>
      </c>
      <c r="B68" s="6" t="inlineStr">
        <is>
          <t>Villa Malang MARRY IND Puncak Buring</t>
        </is>
      </c>
      <c r="C68" s="6" t="n">
        <v>3644629</v>
      </c>
      <c r="D68" s="6" t="n">
        <v>-8.0107985</v>
      </c>
      <c r="E68" s="6" t="n">
        <v>112.6551971</v>
      </c>
    </row>
    <row r="69">
      <c r="A69" s="5" t="n">
        <v>68</v>
      </c>
      <c r="B69" s="6" t="inlineStr">
        <is>
          <t>Villa Jingga Joyogrand Malang</t>
        </is>
      </c>
      <c r="C69" s="6" t="n">
        <v>300000</v>
      </c>
      <c r="D69" s="6" t="n">
        <v>-7.9430299</v>
      </c>
      <c r="E69" s="6" t="n">
        <v>112.5905304</v>
      </c>
    </row>
    <row r="70">
      <c r="A70" s="5" t="n">
        <v>69</v>
      </c>
      <c r="B70" s="6" t="inlineStr">
        <is>
          <t>Derumah 35 Univ Brawijaya</t>
        </is>
      </c>
      <c r="C70" s="6" t="n">
        <v>1000000</v>
      </c>
      <c r="D70" s="6" t="n">
        <v>-7.9564342</v>
      </c>
      <c r="E70" s="6" t="n">
        <v>112.6206665</v>
      </c>
    </row>
    <row r="71">
      <c r="A71" s="5" t="n">
        <v>70</v>
      </c>
      <c r="B71" s="6" t="inlineStr">
        <is>
          <t>Entire 250m villa without other guests</t>
        </is>
      </c>
      <c r="C71" s="6" t="n">
        <v>941851</v>
      </c>
      <c r="D71" s="6" t="n">
        <v>-7.96665</v>
      </c>
      <c r="E71" s="6" t="n">
        <v>112.6060104</v>
      </c>
    </row>
    <row r="72">
      <c r="A72" s="5" t="n">
        <v>71</v>
      </c>
      <c r="B72" s="6" t="inlineStr">
        <is>
          <t>Villa Sunrise F1</t>
        </is>
      </c>
      <c r="C72" s="6" t="n">
        <v>1000000</v>
      </c>
      <c r="D72" s="6" t="n">
        <v>-7.9253001</v>
      </c>
      <c r="E72" s="6" t="n">
        <v>112.5630112</v>
      </c>
    </row>
    <row r="73">
      <c r="A73" s="5" t="n">
        <v>72</v>
      </c>
      <c r="B73" s="6" t="inlineStr">
        <is>
          <t>SULFAT INDAH HOME STAY SYARIAH</t>
        </is>
      </c>
      <c r="C73" s="6" t="n">
        <v>341229</v>
      </c>
      <c r="D73" s="6" t="n">
        <v>-7.9613299</v>
      </c>
      <c r="E73" s="6" t="n">
        <v>112.6539307</v>
      </c>
    </row>
    <row r="74">
      <c r="A74" s="5" t="n">
        <v>73</v>
      </c>
      <c r="B74" s="6" t="inlineStr">
        <is>
          <t>Little Creek Lodge</t>
        </is>
      </c>
      <c r="C74" s="6" t="n">
        <v>2000000</v>
      </c>
      <c r="D74" s="6" t="n">
        <v>-7.94385</v>
      </c>
      <c r="E74" s="6" t="n">
        <v>112.6338501</v>
      </c>
    </row>
    <row r="75">
      <c r="A75" s="5" t="n">
        <v>74</v>
      </c>
      <c r="B75" s="6" t="inlineStr">
        <is>
          <t>Omah Venus Homestay</t>
        </is>
      </c>
      <c r="C75" s="6" t="n">
        <v>36239</v>
      </c>
      <c r="D75" s="6" t="n">
        <v>-7.9334707</v>
      </c>
      <c r="E75" s="6" t="n">
        <v>112.6051025</v>
      </c>
    </row>
    <row r="76">
      <c r="A76" s="5" t="n">
        <v>75</v>
      </c>
      <c r="B76" s="6" t="inlineStr">
        <is>
          <t>Villa Murah di Malang</t>
        </is>
      </c>
      <c r="C76" s="6" t="n">
        <v>941851</v>
      </c>
      <c r="D76" s="6" t="n">
        <v>-7.9139733</v>
      </c>
      <c r="E76" s="6" t="n">
        <v>112.61129</v>
      </c>
    </row>
    <row r="77">
      <c r="A77" s="5" t="n">
        <v>76</v>
      </c>
      <c r="B77" s="6" t="inlineStr">
        <is>
          <t>Fendis Homestay</t>
        </is>
      </c>
      <c r="C77" s="6" t="n">
        <v>1000000</v>
      </c>
      <c r="D77" s="6" t="n">
        <v>-7.974824</v>
      </c>
      <c r="E77" s="6" t="n">
        <v>112.61866</v>
      </c>
    </row>
    <row r="78">
      <c r="A78" s="5" t="n">
        <v>77</v>
      </c>
      <c r="B78" s="6" t="inlineStr">
        <is>
          <t>Inez Apartment 6</t>
        </is>
      </c>
      <c r="C78" s="6" t="n">
        <v>544636</v>
      </c>
      <c r="D78" s="6" t="n">
        <v>-7.9557748</v>
      </c>
      <c r="E78" s="6" t="n">
        <v>112.6218338</v>
      </c>
    </row>
    <row r="79">
      <c r="A79" s="5" t="n">
        <v>78</v>
      </c>
      <c r="B79" s="6" t="inlineStr">
        <is>
          <t>Vintage 58 (Khusus PutriFemale only)</t>
        </is>
      </c>
      <c r="C79" s="6" t="n">
        <v>73710</v>
      </c>
      <c r="D79" s="6" t="n">
        <v>-7.9658031</v>
      </c>
      <c r="E79" s="6" t="n">
        <v>112.6303024</v>
      </c>
    </row>
    <row r="80">
      <c r="A80" s="5" t="n">
        <v>79</v>
      </c>
      <c r="B80" s="6" t="inlineStr">
        <is>
          <t>The Kost Homestay Syariah</t>
        </is>
      </c>
      <c r="C80" s="6" t="n">
        <v>294840</v>
      </c>
      <c r="D80" s="6" t="n">
        <v>-7.9607</v>
      </c>
      <c r="E80" s="6" t="n">
        <v>112.6050034</v>
      </c>
    </row>
    <row r="81">
      <c r="A81" s="5" t="n">
        <v>80</v>
      </c>
      <c r="B81" s="6" t="inlineStr">
        <is>
          <t>Cerita PAGI Villa</t>
        </is>
      </c>
      <c r="C81" s="6" t="n">
        <v>1559115</v>
      </c>
      <c r="D81" s="6" t="n">
        <v>-8.0238304</v>
      </c>
      <c r="E81" s="6" t="n">
        <v>112.6143951</v>
      </c>
    </row>
    <row r="82">
      <c r="A82" s="5" t="n">
        <v>81</v>
      </c>
      <c r="B82" s="6" t="inlineStr">
        <is>
          <t>Villa Kebun Jeruk Syariah Malang by ecommerceloka</t>
        </is>
      </c>
      <c r="C82" s="6" t="n">
        <v>501523</v>
      </c>
      <c r="D82" s="6" t="n">
        <v>-7.9169502</v>
      </c>
      <c r="E82" s="6" t="n">
        <v>112.5846176</v>
      </c>
    </row>
    <row r="83">
      <c r="A83" s="5" t="n">
        <v>82</v>
      </c>
      <c r="B83" s="6" t="inlineStr">
        <is>
          <t>PALMVIEW HOMESTAY GRIYA MERTOJOYO MALANG</t>
        </is>
      </c>
      <c r="C83" s="6" t="n">
        <v>36239</v>
      </c>
      <c r="D83" s="6" t="n">
        <v>-7.9403</v>
      </c>
      <c r="E83" s="6" t="n">
        <v>112.6036987</v>
      </c>
    </row>
    <row r="84">
      <c r="A84" s="5" t="n">
        <v>83</v>
      </c>
      <c r="B84" s="6" t="inlineStr">
        <is>
          <t>Emka Villa</t>
        </is>
      </c>
      <c r="C84" s="6" t="n">
        <v>104125</v>
      </c>
      <c r="D84" s="6" t="n">
        <v>-7.9621658</v>
      </c>
      <c r="E84" s="6" t="n">
        <v>112.5856171</v>
      </c>
    </row>
    <row r="85">
      <c r="A85" s="5" t="n">
        <v>84</v>
      </c>
      <c r="B85" s="6" t="inlineStr">
        <is>
          <t>puncak dieng private villa at malang, batu</t>
        </is>
      </c>
      <c r="C85" s="6" t="n">
        <v>412890</v>
      </c>
      <c r="D85" s="6" t="n">
        <v>-7.97261</v>
      </c>
      <c r="E85" s="6" t="n">
        <v>112.5959091</v>
      </c>
    </row>
    <row r="86">
      <c r="A86" s="5" t="n">
        <v>85</v>
      </c>
      <c r="B86" s="6" t="inlineStr">
        <is>
          <t>Omahe Malang</t>
        </is>
      </c>
      <c r="C86" s="6" t="n">
        <v>100000</v>
      </c>
      <c r="D86" s="6" t="n">
        <v>-7.9637909</v>
      </c>
      <c r="E86" s="6" t="n">
        <v>112.6540756</v>
      </c>
    </row>
    <row r="87">
      <c r="A87" s="5" t="n">
        <v>86</v>
      </c>
      <c r="B87" s="6" t="inlineStr">
        <is>
          <t>Villa Tidar Van Java, Private PooL, Sejuk &amp; Nyaman</t>
        </is>
      </c>
      <c r="C87" s="6" t="n">
        <v>941851</v>
      </c>
      <c r="D87" s="6" t="n">
        <v>-7.9489779</v>
      </c>
      <c r="E87" s="6" t="n">
        <v>112.5933685</v>
      </c>
    </row>
    <row r="88">
      <c r="A88" s="5" t="n">
        <v>87</v>
      </c>
      <c r="B88" s="6" t="inlineStr">
        <is>
          <t>The Garden Homestay Syariah dekat Batu, pintu tol, UB, UMM</t>
        </is>
      </c>
      <c r="C88" s="6" t="n">
        <v>296950</v>
      </c>
      <c r="D88" s="6" t="n">
        <v>-7.9145498</v>
      </c>
      <c r="E88" s="6" t="n">
        <v>112.6145325</v>
      </c>
    </row>
    <row r="89">
      <c r="A89" s="5" t="n">
        <v>88</v>
      </c>
      <c r="B89" s="6" t="inlineStr">
        <is>
          <t>Kusuma Pinus M12 by Kusuma Estate</t>
        </is>
      </c>
      <c r="C89" s="6" t="n">
        <v>1123967</v>
      </c>
      <c r="D89" s="6" t="n">
        <v>-7.97855</v>
      </c>
      <c r="E89" s="6" t="n">
        <v>112.6282272</v>
      </c>
    </row>
    <row r="90">
      <c r="A90" s="5" t="n">
        <v>89</v>
      </c>
      <c r="B90" s="6" t="inlineStr">
        <is>
          <t>Rumah Oma Family</t>
        </is>
      </c>
      <c r="C90" s="6" t="n">
        <v>36239</v>
      </c>
      <c r="D90" s="6" t="n">
        <v>-7.9145508</v>
      </c>
      <c r="E90" s="6" t="n">
        <v>112.6145325</v>
      </c>
    </row>
    <row r="91">
      <c r="A91" s="5" t="n">
        <v>90</v>
      </c>
      <c r="B91" s="6" t="inlineStr">
        <is>
          <t>Adyvan Villa</t>
        </is>
      </c>
      <c r="C91" s="6" t="n">
        <v>1059300</v>
      </c>
      <c r="D91" s="6" t="n">
        <v>-7.9241328</v>
      </c>
      <c r="E91" s="6" t="n">
        <v>112.6039429</v>
      </c>
    </row>
    <row r="92">
      <c r="A92" s="5" t="n">
        <v>91</v>
      </c>
      <c r="B92" s="6" t="inlineStr">
        <is>
          <t>Urbanisia</t>
        </is>
      </c>
      <c r="C92" s="6" t="n">
        <v>36239</v>
      </c>
      <c r="D92" s="6" t="n">
        <v>-7.9604678</v>
      </c>
      <c r="E92" s="6" t="n">
        <v>112.624176</v>
      </c>
    </row>
    <row r="93">
      <c r="A93" s="5" t="n">
        <v>92</v>
      </c>
      <c r="B93" s="6" t="inlineStr">
        <is>
          <t>Villa Sulfat</t>
        </is>
      </c>
      <c r="C93" s="6" t="n">
        <v>341229</v>
      </c>
      <c r="D93" s="6" t="n">
        <v>-7.9675899</v>
      </c>
      <c r="E93" s="6" t="n">
        <v>112.6525497</v>
      </c>
    </row>
    <row r="94">
      <c r="A94" s="5" t="n">
        <v>93</v>
      </c>
      <c r="B94" s="6" t="inlineStr">
        <is>
          <t>Villa Dengan Kolam Renang di Malang</t>
        </is>
      </c>
      <c r="C94" s="6" t="n">
        <v>941851</v>
      </c>
      <c r="D94" s="6" t="n">
        <v>-7.9236002</v>
      </c>
      <c r="E94" s="6" t="n">
        <v>112.6027985</v>
      </c>
    </row>
    <row r="95">
      <c r="A95" s="5" t="n">
        <v>94</v>
      </c>
      <c r="B95" s="6" t="inlineStr">
        <is>
          <t>Villa Coco4 Malang</t>
        </is>
      </c>
      <c r="C95" s="6" t="n">
        <v>791022</v>
      </c>
      <c r="D95" s="6" t="n">
        <v>-7.9757876</v>
      </c>
      <c r="E95" s="6" t="n">
        <v>112.6152802</v>
      </c>
    </row>
    <row r="96">
      <c r="A96" s="5" t="n">
        <v>95</v>
      </c>
      <c r="B96" s="6" t="inlineStr">
        <is>
          <t>Villa Seventeen Araya</t>
        </is>
      </c>
      <c r="C96" s="6" t="n">
        <v>71108</v>
      </c>
      <c r="D96" s="6" t="n">
        <v>-7.94102</v>
      </c>
      <c r="E96" s="6" t="n">
        <v>112.6553268</v>
      </c>
    </row>
    <row r="97">
      <c r="A97" s="5" t="n">
        <v>96</v>
      </c>
      <c r="B97" s="6" t="inlineStr">
        <is>
          <t>Samanea Villa</t>
        </is>
      </c>
      <c r="C97" s="6" t="n">
        <v>1363676</v>
      </c>
      <c r="D97" s="6" t="n">
        <v>-7.925693</v>
      </c>
      <c r="E97" s="6" t="n">
        <v>112.6468735</v>
      </c>
    </row>
    <row r="98">
      <c r="A98" s="5" t="n">
        <v>97</v>
      </c>
      <c r="B98" s="6" t="inlineStr">
        <is>
          <t>Casa de Vie Homestay</t>
        </is>
      </c>
      <c r="C98" s="6" t="n">
        <v>393513</v>
      </c>
      <c r="D98" s="6" t="n">
        <v>-7.9257989</v>
      </c>
      <c r="E98" s="6" t="n">
        <v>112.6170578</v>
      </c>
    </row>
    <row r="99">
      <c r="A99" s="5" t="n">
        <v>98</v>
      </c>
      <c r="B99" s="6" t="inlineStr">
        <is>
          <t>Villa Kalimaya - 3 Bedrooms</t>
        </is>
      </c>
      <c r="C99" s="6" t="n">
        <v>412890</v>
      </c>
      <c r="D99" s="6" t="n">
        <v>-7.9335899</v>
      </c>
      <c r="E99" s="6" t="n">
        <v>112.6017838</v>
      </c>
    </row>
    <row r="100">
      <c r="A100" s="5" t="n">
        <v>99</v>
      </c>
      <c r="B100" s="6" t="inlineStr">
        <is>
          <t>MP Villa Permata Kencana 24A</t>
        </is>
      </c>
      <c r="C100" s="6" t="n">
        <v>1500000</v>
      </c>
      <c r="D100" s="6" t="n">
        <v>-7.9245701</v>
      </c>
      <c r="E100" s="6" t="n">
        <v>112.6037827</v>
      </c>
    </row>
    <row r="101">
      <c r="A101" s="5" t="n">
        <v>100</v>
      </c>
      <c r="B101" s="6" t="inlineStr">
        <is>
          <t>Vila Bumi Madinah Dau-Malang</t>
        </is>
      </c>
      <c r="C101" s="6" t="n">
        <v>2892562</v>
      </c>
      <c r="D101" s="6" t="n">
        <v>-7.9349599</v>
      </c>
      <c r="E101" s="6" t="n">
        <v>112.5721664</v>
      </c>
    </row>
    <row r="102">
      <c r="A102" s="5" t="n">
        <v>101</v>
      </c>
      <c r="B102" s="6" t="inlineStr">
        <is>
          <t>Rumah Fia (Villa kota Malang)</t>
        </is>
      </c>
      <c r="C102" s="6" t="n">
        <v>960000</v>
      </c>
      <c r="D102" s="6" t="n">
        <v>-7.9149499</v>
      </c>
      <c r="E102" s="6" t="n">
        <v>112.6080627</v>
      </c>
    </row>
    <row r="103">
      <c r="A103" s="5" t="n">
        <v>102</v>
      </c>
      <c r="B103" s="6" t="inlineStr">
        <is>
          <t>Vila Bumi Madinah Landungsari Malang</t>
        </is>
      </c>
      <c r="C103" s="6" t="n">
        <v>36239</v>
      </c>
      <c r="D103" s="6" t="n">
        <v>-7.9349999</v>
      </c>
      <c r="E103" s="6" t="n">
        <v>112.5722733</v>
      </c>
    </row>
    <row r="104">
      <c r="A104" s="5" t="n">
        <v>103</v>
      </c>
      <c r="B104" s="6" t="inlineStr">
        <is>
          <t>Villa Samawa</t>
        </is>
      </c>
      <c r="C104" s="6" t="n">
        <v>2500000</v>
      </c>
      <c r="D104" s="6" t="n">
        <v>-7.9312301</v>
      </c>
      <c r="E104" s="6" t="n">
        <v>112.6224518</v>
      </c>
    </row>
    <row r="105">
      <c r="A105" s="5" t="n">
        <v>104</v>
      </c>
      <c r="B105" s="6" t="inlineStr">
        <is>
          <t>Dekaka Riverside</t>
        </is>
      </c>
      <c r="C105" s="6" t="n">
        <v>36239</v>
      </c>
      <c r="D105" s="6" t="n">
        <v>-7.9232998</v>
      </c>
      <c r="E105" s="6" t="n">
        <v>112.6472931</v>
      </c>
    </row>
    <row r="106">
      <c r="A106" s="5" t="n">
        <v>105</v>
      </c>
      <c r="B106" s="6" t="inlineStr">
        <is>
          <t>AdyneVille - Syariah Premium HomeStay</t>
        </is>
      </c>
      <c r="C106" s="6" t="n">
        <v>235000</v>
      </c>
      <c r="D106" s="6" t="n">
        <v>-7.9196901</v>
      </c>
      <c r="E106" s="6" t="n">
        <v>112.6165771</v>
      </c>
    </row>
    <row r="107">
      <c r="A107" s="5" t="n">
        <v>106</v>
      </c>
      <c r="B107" s="6" t="inlineStr">
        <is>
          <t>Villa Bromo</t>
        </is>
      </c>
      <c r="C107" s="6" t="n">
        <v>2936118</v>
      </c>
      <c r="D107" s="6" t="n">
        <v>-7.9658499</v>
      </c>
      <c r="E107" s="6" t="n">
        <v>112.5847168</v>
      </c>
    </row>
    <row r="108">
      <c r="A108" s="5" t="n">
        <v>107</v>
      </c>
      <c r="B108" s="6" t="inlineStr">
        <is>
          <t>Sierra Villa Malang</t>
        </is>
      </c>
      <c r="C108" s="6" t="n">
        <v>75951</v>
      </c>
      <c r="D108" s="6" t="n">
        <v>-7.9662499</v>
      </c>
      <c r="E108" s="6" t="n">
        <v>112.6664963</v>
      </c>
    </row>
    <row r="109">
      <c r="A109" s="5" t="n">
        <v>108</v>
      </c>
      <c r="B109" s="6" t="inlineStr">
        <is>
          <t>Villa Griya Samara &amp; Kolam Renang Pribadi</t>
        </is>
      </c>
      <c r="C109" s="6" t="n">
        <v>866503</v>
      </c>
      <c r="D109" s="6" t="n">
        <v>-7.9074845</v>
      </c>
      <c r="E109" s="6" t="n">
        <v>112.6331024</v>
      </c>
    </row>
    <row r="110">
      <c r="A110" s="5" t="n">
        <v>109</v>
      </c>
      <c r="B110" s="6" t="inlineStr">
        <is>
          <t>Villa Greenland - 2 Bedrooms</t>
        </is>
      </c>
      <c r="C110" s="6" t="n">
        <v>440124</v>
      </c>
      <c r="D110" s="6" t="n">
        <v>-7.9502702</v>
      </c>
      <c r="E110" s="6" t="n">
        <v>112.5921783</v>
      </c>
    </row>
    <row r="111">
      <c r="A111" s="5" t="n">
        <v>110</v>
      </c>
      <c r="B111" s="6" t="inlineStr">
        <is>
          <t>Villa Malang Puncak Buring</t>
        </is>
      </c>
      <c r="C111" s="6" t="n">
        <v>3644629</v>
      </c>
      <c r="D111" s="6" t="n">
        <v>-8.01192</v>
      </c>
      <c r="E111" s="6" t="n">
        <v>112.6549072</v>
      </c>
    </row>
    <row r="112">
      <c r="A112" s="5" t="n">
        <v>111</v>
      </c>
      <c r="B112" s="6" t="inlineStr">
        <is>
          <t>Cozy villa @oma view malang</t>
        </is>
      </c>
      <c r="C112" s="6" t="n">
        <v>82000</v>
      </c>
      <c r="D112" s="6" t="n">
        <v>-7.9872999</v>
      </c>
      <c r="E112" s="6" t="n">
        <v>112.6746063</v>
      </c>
    </row>
    <row r="113">
      <c r="A113" s="5" t="n">
        <v>112</v>
      </c>
      <c r="B113" s="6" t="inlineStr">
        <is>
          <t>Villa Strategis di Malang View Pegunungan</t>
        </is>
      </c>
      <c r="C113" s="6" t="n">
        <v>241818</v>
      </c>
      <c r="D113" s="6" t="n">
        <v>-7.9132199</v>
      </c>
      <c r="E113" s="6" t="n">
        <v>112.6111984</v>
      </c>
    </row>
    <row r="114">
      <c r="A114" s="5" t="n">
        <v>113</v>
      </c>
      <c r="B114" s="6" t="inlineStr">
        <is>
          <t>Villa Griya Sumber Arum</t>
        </is>
      </c>
      <c r="C114" s="6" t="n">
        <v>412890</v>
      </c>
      <c r="D114" s="6" t="n">
        <v>-7.9432001</v>
      </c>
      <c r="E114" s="6" t="n">
        <v>112.5738525</v>
      </c>
    </row>
    <row r="115">
      <c r="A115" s="5" t="n">
        <v>114</v>
      </c>
      <c r="B115" s="6" t="inlineStr">
        <is>
          <t>Villa Graha Dewata</t>
        </is>
      </c>
      <c r="C115" s="6" t="n">
        <v>36239</v>
      </c>
      <c r="D115" s="6" t="n">
        <v>-7.93431</v>
      </c>
      <c r="E115" s="6" t="n">
        <v>112.5769501</v>
      </c>
    </row>
    <row r="116">
      <c r="A116" s="5" t="n">
        <v>115</v>
      </c>
      <c r="B116" s="6" t="inlineStr">
        <is>
          <t>The OZ HE-01, Villa Omah Dalem with Mountain View</t>
        </is>
      </c>
      <c r="C116" s="6" t="n">
        <v>100000</v>
      </c>
      <c r="D116" s="6" t="n">
        <v>-7.9517469</v>
      </c>
      <c r="E116" s="6" t="n">
        <v>112.576355</v>
      </c>
    </row>
    <row r="117">
      <c r="A117" s="5" t="n">
        <v>116</v>
      </c>
      <c r="B117" s="6" t="inlineStr">
        <is>
          <t>Omah Joglo Bugis</t>
        </is>
      </c>
      <c r="C117" s="6" t="n">
        <v>360808</v>
      </c>
      <c r="D117" s="6" t="n">
        <v>-7.958848</v>
      </c>
      <c r="E117" s="6" t="n">
        <v>112.68396</v>
      </c>
    </row>
    <row r="118">
      <c r="A118" s="5" t="n">
        <v>117</v>
      </c>
      <c r="B118" s="6" t="inlineStr">
        <is>
          <t>HS Villa</t>
        </is>
      </c>
      <c r="C118" s="6" t="n">
        <v>71108</v>
      </c>
      <c r="D118" s="6" t="n">
        <v>-7.9257102</v>
      </c>
      <c r="E118" s="6" t="n">
        <v>112.6537399</v>
      </c>
    </row>
    <row r="119">
      <c r="A119" s="5" t="n">
        <v>118</v>
      </c>
      <c r="B119" s="6" t="inlineStr">
        <is>
          <t>Villa Awwa</t>
        </is>
      </c>
      <c r="C119" s="6" t="n">
        <v>36239</v>
      </c>
      <c r="D119" s="6" t="n">
        <v>-7.9840698</v>
      </c>
      <c r="E119" s="6" t="n">
        <v>112.6820068</v>
      </c>
    </row>
    <row r="120">
      <c r="A120" s="5" t="n">
        <v>119</v>
      </c>
      <c r="B120" s="6" t="inlineStr">
        <is>
          <t>Homestay Villa Estetik di Malang</t>
        </is>
      </c>
      <c r="C120" s="6" t="n">
        <v>803604</v>
      </c>
      <c r="D120" s="6" t="n">
        <v>-7.91401</v>
      </c>
      <c r="E120" s="6" t="n">
        <v>112.6118317</v>
      </c>
    </row>
    <row r="121">
      <c r="A121" s="5" t="n">
        <v>120</v>
      </c>
      <c r="B121" s="6" t="inlineStr">
        <is>
          <t>Villa naca</t>
        </is>
      </c>
      <c r="C121" s="6" t="n">
        <v>115233</v>
      </c>
      <c r="D121" s="6" t="n">
        <v>-7.97789</v>
      </c>
      <c r="E121" s="6" t="n">
        <v>112.6286316</v>
      </c>
    </row>
    <row r="122">
      <c r="A122" s="5" t="n">
        <v>121</v>
      </c>
      <c r="B122" s="6" t="inlineStr">
        <is>
          <t>Villa Estetik di Malang</t>
        </is>
      </c>
      <c r="C122" s="6" t="n">
        <v>71108</v>
      </c>
      <c r="D122" s="6" t="n">
        <v>-7.9140902</v>
      </c>
      <c r="E122" s="6" t="n">
        <v>112.6112595</v>
      </c>
    </row>
    <row r="123">
      <c r="A123" s="5" t="n">
        <v>122</v>
      </c>
      <c r="B123" s="6" t="inlineStr">
        <is>
          <t>Villa Murah Malang</t>
        </is>
      </c>
      <c r="C123" s="6" t="n">
        <v>941851</v>
      </c>
      <c r="D123" s="6" t="n">
        <v>-7.9138975</v>
      </c>
      <c r="E123" s="6" t="n">
        <v>112.6116867</v>
      </c>
    </row>
    <row r="124">
      <c r="A124" s="5" t="n">
        <v>123</v>
      </c>
      <c r="B124" s="6" t="inlineStr">
        <is>
          <t>Lavah Guest House</t>
        </is>
      </c>
      <c r="C124" s="6" t="n">
        <v>1000000</v>
      </c>
      <c r="D124" s="6" t="n">
        <v>-7.9610872</v>
      </c>
      <c r="E124" s="6" t="n">
        <v>112.6638031</v>
      </c>
    </row>
    <row r="125">
      <c r="A125" s="5" t="n">
        <v>124</v>
      </c>
      <c r="B125" s="6" t="inlineStr">
        <is>
          <t>Bellecrown Rooms</t>
        </is>
      </c>
      <c r="C125" s="6" t="n">
        <v>36239</v>
      </c>
      <c r="D125" s="6" t="n">
        <v>-7.970336</v>
      </c>
      <c r="E125" s="6" t="n">
        <v>112.6033554</v>
      </c>
    </row>
    <row r="126">
      <c r="A126" s="5" t="n">
        <v>125</v>
      </c>
      <c r="B126" s="6" t="inlineStr">
        <is>
          <t>Adel Guest House</t>
        </is>
      </c>
      <c r="C126" s="6" t="n">
        <v>294840</v>
      </c>
      <c r="D126" s="6" t="n">
        <v>-7.9689288</v>
      </c>
      <c r="E126" s="6" t="n">
        <v>112.6077805</v>
      </c>
    </row>
    <row r="127">
      <c r="A127" s="5" t="n">
        <v>126</v>
      </c>
      <c r="B127" s="6" t="inlineStr">
        <is>
          <t>rumah bea malang</t>
        </is>
      </c>
      <c r="C127" s="6" t="n">
        <v>490172</v>
      </c>
      <c r="D127" s="6" t="n">
        <v>-7.9389701</v>
      </c>
      <c r="E127" s="6" t="n">
        <v>112.57267</v>
      </c>
    </row>
    <row r="128">
      <c r="A128" s="5" t="n">
        <v>127</v>
      </c>
      <c r="B128" s="6" t="inlineStr">
        <is>
          <t>Saraba Stays Syariah</t>
        </is>
      </c>
      <c r="C128" s="6" t="n">
        <v>36239</v>
      </c>
      <c r="D128" s="6" t="n">
        <v>-7.9636598</v>
      </c>
      <c r="E128" s="6" t="n">
        <v>112.6664886</v>
      </c>
    </row>
    <row r="129">
      <c r="A129" s="5" t="n">
        <v>128</v>
      </c>
      <c r="B129" s="6" t="inlineStr">
        <is>
          <t>Privat Homestay Malang Oz HK 39</t>
        </is>
      </c>
      <c r="C129" s="6" t="n">
        <v>100000</v>
      </c>
      <c r="D129" s="6" t="n">
        <v>-7.9503999</v>
      </c>
      <c r="E129" s="6" t="n">
        <v>112.575592</v>
      </c>
    </row>
    <row r="130">
      <c r="A130" s="5" t="n">
        <v>129</v>
      </c>
      <c r="B130" s="6" t="inlineStr">
        <is>
          <t>RJ Guest House</t>
        </is>
      </c>
      <c r="C130" s="6" t="n">
        <v>245518</v>
      </c>
      <c r="D130" s="6" t="n">
        <v>-7.9905601</v>
      </c>
      <c r="E130" s="6" t="n">
        <v>112.6805725</v>
      </c>
    </row>
    <row r="131">
      <c r="A131" s="5" t="n">
        <v>130</v>
      </c>
      <c r="B131" s="6" t="inlineStr">
        <is>
          <t>omah venus homestay</t>
        </is>
      </c>
      <c r="C131" s="6" t="n">
        <v>726230</v>
      </c>
      <c r="D131" s="6" t="n">
        <v>-7.9330101</v>
      </c>
      <c r="E131" s="6" t="n">
        <v>112.6053314</v>
      </c>
    </row>
    <row r="132">
      <c r="A132" s="5" t="n">
        <v>131</v>
      </c>
      <c r="B132" s="6" t="inlineStr">
        <is>
          <t>Closed</t>
        </is>
      </c>
      <c r="C132" s="6" t="n">
        <v>36239</v>
      </c>
      <c r="D132" s="6" t="n">
        <v>-7.9675756</v>
      </c>
      <c r="E132" s="6" t="n">
        <v>112.6661835</v>
      </c>
    </row>
    <row r="133">
      <c r="A133" s="5" t="n">
        <v>132</v>
      </c>
      <c r="B133" s="6" t="inlineStr">
        <is>
          <t>The Garden Vila dekat Batu, UB, UMM</t>
        </is>
      </c>
      <c r="C133" s="6" t="n">
        <v>150000</v>
      </c>
      <c r="D133" s="6" t="n">
        <v>-7.9145498</v>
      </c>
      <c r="E133" s="6" t="n">
        <v>112.6145325</v>
      </c>
    </row>
    <row r="134">
      <c r="A134" s="5" t="n">
        <v>133</v>
      </c>
      <c r="B134" s="6" t="inlineStr">
        <is>
          <t>De'Boutique Style Hotel</t>
        </is>
      </c>
      <c r="C134" s="6" t="n">
        <v>475020</v>
      </c>
      <c r="D134" s="6" t="n">
        <v>-7.962853</v>
      </c>
      <c r="E134" s="6" t="n">
        <v>112.631677</v>
      </c>
    </row>
    <row r="135">
      <c r="A135" s="5" t="n">
        <v>134</v>
      </c>
      <c r="B135" s="6" t="inlineStr">
        <is>
          <t>Kapal Garden Hotel</t>
        </is>
      </c>
      <c r="C135" s="6" t="n">
        <v>581554</v>
      </c>
      <c r="D135" s="6" t="n">
        <v>-7.91512</v>
      </c>
      <c r="E135" s="6" t="n">
        <v>112.587018</v>
      </c>
    </row>
    <row r="136">
      <c r="A136" s="5" t="n">
        <v>135</v>
      </c>
      <c r="B136" s="6" t="inlineStr">
        <is>
          <t>Ascent Hotel &amp; Cafe Malang</t>
        </is>
      </c>
      <c r="C136" s="6" t="n">
        <v>621488</v>
      </c>
      <c r="D136" s="6" t="n">
        <v>-7.9657854</v>
      </c>
      <c r="E136" s="6" t="n">
        <v>112.6338064</v>
      </c>
    </row>
    <row r="137">
      <c r="A137" s="5" t="n">
        <v>136</v>
      </c>
      <c r="B137" s="6" t="inlineStr">
        <is>
          <t>The Grand Palace Hotel Malang</t>
        </is>
      </c>
      <c r="C137" s="6" t="n">
        <v>450189</v>
      </c>
      <c r="D137" s="6" t="n">
        <v>-7.985059</v>
      </c>
      <c r="E137" s="6" t="n">
        <v>112.6292983</v>
      </c>
    </row>
    <row r="138">
      <c r="A138" s="5" t="n">
        <v>137</v>
      </c>
      <c r="B138" s="6" t="inlineStr">
        <is>
          <t>Sunrise Hotel</t>
        </is>
      </c>
      <c r="C138" s="6" t="n">
        <v>300000</v>
      </c>
      <c r="D138" s="6" t="n">
        <v>-7.9677298</v>
      </c>
      <c r="E138" s="6" t="n">
        <v>112.6349993</v>
      </c>
    </row>
    <row r="139">
      <c r="A139" s="5" t="n">
        <v>138</v>
      </c>
      <c r="B139" s="6" t="inlineStr">
        <is>
          <t>Swiss-Belinn Malang</t>
        </is>
      </c>
      <c r="C139" s="6" t="n">
        <v>930134</v>
      </c>
      <c r="D139" s="6" t="n">
        <v>-7.9554679</v>
      </c>
      <c r="E139" s="6" t="n">
        <v>112.6187277</v>
      </c>
    </row>
    <row r="140">
      <c r="A140" s="5" t="n">
        <v>139</v>
      </c>
      <c r="B140" s="6" t="inlineStr">
        <is>
          <t>Everyday Smart Hotel Malang</t>
        </is>
      </c>
      <c r="C140" s="6" t="n">
        <v>248342</v>
      </c>
      <c r="D140" s="6" t="n">
        <v>-7.9494421</v>
      </c>
      <c r="E140" s="6" t="n">
        <v>112.6166449</v>
      </c>
    </row>
    <row r="141">
      <c r="A141" s="5" t="n">
        <v>140</v>
      </c>
      <c r="B141" s="6" t="inlineStr">
        <is>
          <t>Tuwuh Hotel at Kayutangan</t>
        </is>
      </c>
      <c r="C141" s="6" t="n">
        <v>278803</v>
      </c>
      <c r="D141" s="6" t="n">
        <v>-7.9769735</v>
      </c>
      <c r="E141" s="6" t="n">
        <v>112.6323513</v>
      </c>
    </row>
    <row r="142">
      <c r="A142" s="5" t="n">
        <v>141</v>
      </c>
      <c r="B142" s="6" t="inlineStr">
        <is>
          <t>éL Hotel Malang</t>
        </is>
      </c>
      <c r="C142" s="6" t="n">
        <v>479279</v>
      </c>
      <c r="D142" s="6" t="n">
        <v>-7.9022006</v>
      </c>
      <c r="E142" s="6" t="n">
        <v>112.6056572</v>
      </c>
    </row>
    <row r="143">
      <c r="A143" s="5" t="n">
        <v>142</v>
      </c>
      <c r="B143" s="6" t="inlineStr">
        <is>
          <t>Whiz Prime Hotel Basuki Rahmat Malang</t>
        </is>
      </c>
      <c r="C143" s="6" t="n">
        <v>375091</v>
      </c>
      <c r="D143" s="6" t="n">
        <v>-7.9760377</v>
      </c>
      <c r="E143" s="6" t="n">
        <v>112.6291313</v>
      </c>
    </row>
    <row r="144">
      <c r="A144" s="5" t="n">
        <v>143</v>
      </c>
      <c r="B144" s="6" t="inlineStr">
        <is>
          <t>Hotel Wilis Indah Malang</t>
        </is>
      </c>
      <c r="C144" s="6" t="n">
        <v>239692</v>
      </c>
      <c r="D144" s="6" t="n">
        <v>-7.9686891</v>
      </c>
      <c r="E144" s="6" t="n">
        <v>112.6364406</v>
      </c>
    </row>
    <row r="145">
      <c r="A145" s="5" t="n">
        <v>144</v>
      </c>
      <c r="B145" s="6" t="inlineStr">
        <is>
          <t>Solaris Hotel Malang</t>
        </is>
      </c>
      <c r="C145" s="6" t="n">
        <v>445285</v>
      </c>
      <c r="D145" s="6" t="n">
        <v>-7.913566</v>
      </c>
      <c r="E145" s="6" t="n">
        <v>112.655618</v>
      </c>
    </row>
    <row r="146">
      <c r="A146" s="5" t="n">
        <v>145</v>
      </c>
      <c r="B146" s="6" t="inlineStr">
        <is>
          <t>Hotel Montana Dua Malang</t>
        </is>
      </c>
      <c r="C146" s="6" t="n">
        <v>449783</v>
      </c>
      <c r="D146" s="6" t="n">
        <v>-7.9387796</v>
      </c>
      <c r="E146" s="6" t="n">
        <v>112.6241621</v>
      </c>
    </row>
    <row r="147">
      <c r="A147" s="5" t="n">
        <v>146</v>
      </c>
      <c r="B147" s="6" t="inlineStr">
        <is>
          <t>Victoria Boutique Residence</t>
        </is>
      </c>
      <c r="C147" s="6" t="n">
        <v>354605</v>
      </c>
      <c r="D147" s="6" t="n">
        <v>-7.9546064</v>
      </c>
      <c r="E147" s="6" t="n">
        <v>112.6404972</v>
      </c>
    </row>
    <row r="148">
      <c r="A148" s="5" t="n">
        <v>147</v>
      </c>
      <c r="B148" s="6" t="inlineStr">
        <is>
          <t>The Alimar Hotel Malang</t>
        </is>
      </c>
      <c r="C148" s="6" t="n">
        <v>88500</v>
      </c>
      <c r="D148" s="6" t="n">
        <v>-7.9860364</v>
      </c>
      <c r="E148" s="6" t="n">
        <v>112.6323986</v>
      </c>
    </row>
    <row r="149">
      <c r="A149" s="5" t="n">
        <v>148</v>
      </c>
      <c r="B149" s="6" t="inlineStr">
        <is>
          <t>Gets Hotel Malang</t>
        </is>
      </c>
      <c r="C149" s="6" t="n">
        <v>424144</v>
      </c>
      <c r="D149" s="6" t="n">
        <v>-7.9715171</v>
      </c>
      <c r="E149" s="6" t="n">
        <v>112.6288385</v>
      </c>
    </row>
    <row r="150">
      <c r="A150" s="5" t="n">
        <v>149</v>
      </c>
      <c r="B150" s="6" t="inlineStr">
        <is>
          <t>Hotel Gajahmada Graha</t>
        </is>
      </c>
      <c r="C150" s="6" t="n">
        <v>556921</v>
      </c>
      <c r="D150" s="6" t="n">
        <v>-7.9687027</v>
      </c>
      <c r="E150" s="6" t="n">
        <v>112.6358411</v>
      </c>
    </row>
    <row r="151">
      <c r="A151" s="5" t="n">
        <v>150</v>
      </c>
      <c r="B151" s="6" t="inlineStr">
        <is>
          <t>Shinta Guest House</t>
        </is>
      </c>
      <c r="C151" s="6" t="n">
        <v>533784</v>
      </c>
      <c r="D151" s="6" t="n">
        <v>-7.9674368</v>
      </c>
      <c r="E151" s="6" t="n">
        <v>112.6250796</v>
      </c>
    </row>
    <row r="152">
      <c r="A152" s="5" t="n">
        <v>151</v>
      </c>
      <c r="B152" s="6" t="inlineStr">
        <is>
          <t>Sweet Garden Boutique Guest House</t>
        </is>
      </c>
      <c r="C152" s="6" t="n">
        <v>448500</v>
      </c>
      <c r="D152" s="6" t="n">
        <v>-7.9709026</v>
      </c>
      <c r="E152" s="6" t="n">
        <v>112.6204721</v>
      </c>
    </row>
    <row r="153">
      <c r="A153" s="5" t="n">
        <v>152</v>
      </c>
      <c r="B153" s="6" t="inlineStr">
        <is>
          <t>Ibis Styles Malang</t>
        </is>
      </c>
      <c r="C153" s="6" t="n">
        <v>669796</v>
      </c>
      <c r="D153" s="6" t="n">
        <v>-7.9525394</v>
      </c>
      <c r="E153" s="6" t="n">
        <v>112.6386412</v>
      </c>
    </row>
    <row r="154">
      <c r="A154" s="5" t="n">
        <v>153</v>
      </c>
      <c r="B154" s="6" t="inlineStr">
        <is>
          <t>Grand Citihub Hotel @Kajoetangan</t>
        </is>
      </c>
      <c r="C154" s="6" t="n">
        <v>605180</v>
      </c>
      <c r="D154" s="6" t="n">
        <v>-7.9770412</v>
      </c>
      <c r="E154" s="6" t="n">
        <v>112.6295652</v>
      </c>
    </row>
    <row r="155">
      <c r="A155" s="5" t="n">
        <v>154</v>
      </c>
      <c r="B155" s="6" t="inlineStr">
        <is>
          <t>Same Hotel Malang</t>
        </is>
      </c>
      <c r="C155" s="6" t="n">
        <v>344791</v>
      </c>
      <c r="D155" s="6" t="n">
        <v>-7.9725046</v>
      </c>
      <c r="E155" s="6" t="n">
        <v>112.633799</v>
      </c>
    </row>
    <row r="156">
      <c r="A156" s="5" t="n">
        <v>155</v>
      </c>
      <c r="B156" s="6" t="inlineStr">
        <is>
          <t>favehotel Malang</t>
        </is>
      </c>
      <c r="C156" s="6" t="n">
        <v>525619</v>
      </c>
      <c r="D156" s="6" t="n">
        <v>-7.9327936</v>
      </c>
      <c r="E156" s="6" t="n">
        <v>112.6035154</v>
      </c>
    </row>
    <row r="157">
      <c r="A157" s="5" t="n">
        <v>156</v>
      </c>
      <c r="B157" s="6" t="inlineStr">
        <is>
          <t>Boutique B21 Malang, Azana Hotels Collection</t>
        </is>
      </c>
      <c r="C157" s="6" t="n">
        <v>502231</v>
      </c>
      <c r="D157" s="6" t="n">
        <v>-7.9661987</v>
      </c>
      <c r="E157" s="6" t="n">
        <v>112.6264097</v>
      </c>
    </row>
    <row r="158">
      <c r="A158" s="5" t="n">
        <v>157</v>
      </c>
      <c r="B158" s="6" t="inlineStr">
        <is>
          <t>Ubud Cottages Malang</t>
        </is>
      </c>
      <c r="C158" s="6" t="n">
        <v>359316</v>
      </c>
      <c r="D158" s="6" t="n">
        <v>-7.9614215</v>
      </c>
      <c r="E158" s="6" t="n">
        <v>112.6049097</v>
      </c>
    </row>
    <row r="159">
      <c r="A159" s="5" t="n">
        <v>158</v>
      </c>
      <c r="B159" s="6" t="inlineStr">
        <is>
          <t>Hotel Dewarna Sutoyo Malang</t>
        </is>
      </c>
      <c r="C159" s="6" t="n">
        <v>368550</v>
      </c>
      <c r="D159" s="6" t="n">
        <v>-7.963377</v>
      </c>
      <c r="E159" s="6" t="n">
        <v>112.636253</v>
      </c>
    </row>
    <row r="160">
      <c r="A160" s="5" t="n">
        <v>159</v>
      </c>
      <c r="B160" s="6" t="inlineStr">
        <is>
          <t>Omahkoe guesthouse</t>
        </is>
      </c>
      <c r="C160" s="6" t="n">
        <v>45892</v>
      </c>
      <c r="D160" s="6" t="n">
        <v>-7.957439</v>
      </c>
      <c r="E160" s="6" t="n">
        <v>112.6100354</v>
      </c>
    </row>
    <row r="161">
      <c r="A161" s="5" t="n">
        <v>160</v>
      </c>
      <c r="B161" s="6" t="inlineStr">
        <is>
          <t>Hotel Kartika Graha</t>
        </is>
      </c>
      <c r="C161" s="6" t="n">
        <v>36239</v>
      </c>
      <c r="D161" s="6" t="n">
        <v>-7.9733305</v>
      </c>
      <c r="E161" s="6" t="n">
        <v>112.6301706</v>
      </c>
    </row>
    <row r="162">
      <c r="A162" s="5" t="n">
        <v>161</v>
      </c>
      <c r="B162" s="6" t="inlineStr">
        <is>
          <t>Padi Heritage Hotel</t>
        </is>
      </c>
      <c r="C162" s="6" t="n">
        <v>540541</v>
      </c>
      <c r="D162" s="6" t="n">
        <v>-7.9320172</v>
      </c>
      <c r="E162" s="6" t="n">
        <v>112.6066988</v>
      </c>
    </row>
    <row r="163">
      <c r="A163" s="5" t="n">
        <v>162</v>
      </c>
      <c r="B163" s="6" t="inlineStr">
        <is>
          <t>DE LAIA INN MALANG</t>
        </is>
      </c>
      <c r="C163" s="6" t="n">
        <v>310835</v>
      </c>
      <c r="D163" s="6" t="n">
        <v>-7.9437376</v>
      </c>
      <c r="E163" s="6" t="n">
        <v>112.6181877</v>
      </c>
    </row>
    <row r="164">
      <c r="A164" s="5" t="n">
        <v>163</v>
      </c>
      <c r="B164" s="6" t="inlineStr">
        <is>
          <t>De'Corner Guest House</t>
        </is>
      </c>
      <c r="C164" s="6" t="n">
        <v>601966</v>
      </c>
      <c r="D164" s="6" t="n">
        <v>-7.9731135</v>
      </c>
      <c r="E164" s="6" t="n">
        <v>112.6184562</v>
      </c>
    </row>
    <row r="165">
      <c r="A165" s="5" t="n">
        <v>164</v>
      </c>
      <c r="B165" s="6" t="inlineStr">
        <is>
          <t>CLASS Premium Guest House Malang</t>
        </is>
      </c>
      <c r="C165" s="6" t="n">
        <v>525430</v>
      </c>
      <c r="D165" s="6" t="n">
        <v>-7.9696028</v>
      </c>
      <c r="E165" s="6" t="n">
        <v>112.6032744</v>
      </c>
    </row>
    <row r="166">
      <c r="A166" s="5" t="n">
        <v>165</v>
      </c>
      <c r="B166" s="6" t="inlineStr">
        <is>
          <t>Regent's Park Hotel Malang</t>
        </is>
      </c>
      <c r="C166" s="6" t="n">
        <v>756495</v>
      </c>
      <c r="D166" s="6" t="n">
        <v>-7.9698434</v>
      </c>
      <c r="E166" s="6" t="n">
        <v>112.6327743</v>
      </c>
    </row>
    <row r="167">
      <c r="A167" s="5" t="n">
        <v>166</v>
      </c>
      <c r="B167" s="6" t="inlineStr">
        <is>
          <t>Sans Hotel Fif Fa Syariah Premiere Malang</t>
        </is>
      </c>
      <c r="C167" s="6" t="n">
        <v>492888</v>
      </c>
      <c r="D167" s="6" t="n">
        <v>-7.9582704</v>
      </c>
      <c r="E167" s="6" t="n">
        <v>112.6111671</v>
      </c>
    </row>
    <row r="168">
      <c r="A168" s="5" t="n">
        <v>167</v>
      </c>
      <c r="B168" s="6" t="inlineStr">
        <is>
          <t>Hotel Armi</t>
        </is>
      </c>
      <c r="C168" s="6" t="n">
        <v>410278</v>
      </c>
      <c r="D168" s="6" t="n">
        <v>-7.9624233</v>
      </c>
      <c r="E168" s="6" t="n">
        <v>112.6308822</v>
      </c>
    </row>
    <row r="169">
      <c r="A169" s="5" t="n">
        <v>168</v>
      </c>
      <c r="B169" s="6" t="inlineStr">
        <is>
          <t>The Himana Malang</t>
        </is>
      </c>
      <c r="C169" s="6" t="n">
        <v>309521</v>
      </c>
      <c r="D169" s="6" t="n">
        <v>-7.9735328</v>
      </c>
      <c r="E169" s="6" t="n">
        <v>112.6120045</v>
      </c>
    </row>
    <row r="170">
      <c r="A170" s="5" t="n">
        <v>169</v>
      </c>
      <c r="B170" s="6" t="inlineStr">
        <is>
          <t>Lovender Guest House</t>
        </is>
      </c>
      <c r="C170" s="6" t="n">
        <v>36239</v>
      </c>
      <c r="D170" s="6" t="n">
        <v>-7.9707444</v>
      </c>
      <c r="E170" s="6" t="n">
        <v>112.6240844</v>
      </c>
    </row>
    <row r="171">
      <c r="A171" s="5" t="n">
        <v>170</v>
      </c>
      <c r="B171" s="6" t="inlineStr">
        <is>
          <t>Cozy Boutique Guesthouse</t>
        </is>
      </c>
      <c r="C171" s="6" t="n">
        <v>592049</v>
      </c>
      <c r="D171" s="6" t="n">
        <v>-7.9646781</v>
      </c>
      <c r="E171" s="6" t="n">
        <v>112.6259134</v>
      </c>
    </row>
    <row r="172">
      <c r="A172" s="5" t="n">
        <v>171</v>
      </c>
      <c r="B172" s="6" t="inlineStr">
        <is>
          <t>Great Star Premium Homestay</t>
        </is>
      </c>
      <c r="C172" s="6" t="n">
        <v>182306</v>
      </c>
      <c r="D172" s="6" t="n">
        <v>-7.9623099</v>
      </c>
      <c r="E172" s="6" t="n">
        <v>112.6531753</v>
      </c>
    </row>
    <row r="173">
      <c r="A173" s="5" t="n">
        <v>172</v>
      </c>
      <c r="B173" s="6" t="inlineStr">
        <is>
          <t>Ratu Boarding House &amp; Homestay</t>
        </is>
      </c>
      <c r="C173" s="6" t="n">
        <v>424893</v>
      </c>
      <c r="D173" s="6" t="n">
        <v>-7.958125</v>
      </c>
      <c r="E173" s="6" t="n">
        <v>112.623491</v>
      </c>
    </row>
    <row r="174">
      <c r="A174" s="5" t="n">
        <v>173</v>
      </c>
      <c r="B174" s="6" t="inlineStr">
        <is>
          <t>Hotel Trio Indah 2</t>
        </is>
      </c>
      <c r="C174" s="6" t="n">
        <v>487305</v>
      </c>
      <c r="D174" s="6" t="n">
        <v>-7.9745158</v>
      </c>
      <c r="E174" s="6" t="n">
        <v>112.6295025</v>
      </c>
    </row>
    <row r="175">
      <c r="A175" s="5" t="n">
        <v>174</v>
      </c>
      <c r="B175" s="6" t="inlineStr">
        <is>
          <t>Tlogomas Guest House</t>
        </is>
      </c>
      <c r="C175" s="6" t="n">
        <v>470925</v>
      </c>
      <c r="D175" s="6" t="n">
        <v>-7.9332646</v>
      </c>
      <c r="E175" s="6" t="n">
        <v>112.6035974</v>
      </c>
    </row>
    <row r="176">
      <c r="A176" s="5" t="n">
        <v>175</v>
      </c>
      <c r="B176" s="6" t="inlineStr">
        <is>
          <t>Giri Palma Villa</t>
        </is>
      </c>
      <c r="C176" s="6" t="n">
        <v>395454</v>
      </c>
      <c r="D176" s="6" t="n">
        <v>-7.9561418</v>
      </c>
      <c r="E176" s="6" t="n">
        <v>112.5873277</v>
      </c>
    </row>
    <row r="177">
      <c r="A177" s="5" t="n">
        <v>176</v>
      </c>
      <c r="B177" s="6" t="inlineStr">
        <is>
          <t>Urbanview Hotel de Kopen Malang by RedDoorz</t>
        </is>
      </c>
      <c r="C177" s="6" t="n">
        <v>329657</v>
      </c>
      <c r="D177" s="6" t="n">
        <v>-7.9661099</v>
      </c>
      <c r="E177" s="6" t="n">
        <v>112.6392394</v>
      </c>
    </row>
    <row r="178">
      <c r="A178" s="5" t="n">
        <v>177</v>
      </c>
      <c r="B178" s="6" t="inlineStr">
        <is>
          <t>Kertanegara Premium Guest House</t>
        </is>
      </c>
      <c r="C178" s="6" t="n">
        <v>195234</v>
      </c>
      <c r="D178" s="6" t="n">
        <v>-7.972886</v>
      </c>
      <c r="E178" s="6" t="n">
        <v>112.6224259</v>
      </c>
    </row>
    <row r="179">
      <c r="A179" s="5" t="n">
        <v>178</v>
      </c>
      <c r="B179" s="6" t="inlineStr">
        <is>
          <t>RedDoorz Syariah @ Jl Simpang Gajayana (Hasanah Guest House Gajayana)</t>
        </is>
      </c>
      <c r="C179" s="6" t="n">
        <v>269296</v>
      </c>
      <c r="D179" s="6" t="n">
        <v>-7.9469596</v>
      </c>
      <c r="E179" s="6" t="n">
        <v>112.6084752</v>
      </c>
    </row>
    <row r="180">
      <c r="A180" s="5" t="n">
        <v>179</v>
      </c>
      <c r="B180" s="6" t="inlineStr">
        <is>
          <t>D'Fresh Guest House and Resto</t>
        </is>
      </c>
      <c r="C180" s="6" t="n">
        <v>327600</v>
      </c>
      <c r="D180" s="6" t="n">
        <v>-7.9396721</v>
      </c>
      <c r="E180" s="6" t="n">
        <v>112.633534</v>
      </c>
    </row>
    <row r="181">
      <c r="A181" s="5" t="n">
        <v>180</v>
      </c>
      <c r="B181" s="6" t="inlineStr">
        <is>
          <t>Hotel Santosa</t>
        </is>
      </c>
      <c r="C181" s="6" t="n">
        <v>245700</v>
      </c>
      <c r="D181" s="6" t="n">
        <v>-7.9842159</v>
      </c>
      <c r="E181" s="6" t="n">
        <v>112.6325137</v>
      </c>
    </row>
    <row r="182">
      <c r="A182" s="5" t="n">
        <v>181</v>
      </c>
      <c r="B182" s="6" t="inlineStr">
        <is>
          <t>RedDoorz near Plaza Araya</t>
        </is>
      </c>
      <c r="C182" s="6" t="n">
        <v>291809</v>
      </c>
      <c r="D182" s="6" t="n">
        <v>-7.9368317</v>
      </c>
      <c r="E182" s="6" t="n">
        <v>112.6489055</v>
      </c>
    </row>
    <row r="183">
      <c r="A183" s="5" t="n">
        <v>182</v>
      </c>
      <c r="B183" s="6" t="inlineStr">
        <is>
          <t>Helena Guest House</t>
        </is>
      </c>
      <c r="C183" s="6" t="n">
        <v>255646</v>
      </c>
      <c r="D183" s="6" t="n">
        <v>-7.9705419</v>
      </c>
      <c r="E183" s="6" t="n">
        <v>112.6270175</v>
      </c>
    </row>
    <row r="184">
      <c r="A184" s="5" t="n">
        <v>183</v>
      </c>
      <c r="B184" s="6" t="inlineStr">
        <is>
          <t>Esma Guest House</t>
        </is>
      </c>
      <c r="C184" s="6" t="n">
        <v>479115</v>
      </c>
      <c r="D184" s="6" t="n">
        <v>-7.9608927</v>
      </c>
      <c r="E184" s="6" t="n">
        <v>112.6353624</v>
      </c>
    </row>
    <row r="185">
      <c r="A185" s="5" t="n">
        <v>184</v>
      </c>
      <c r="B185" s="6" t="inlineStr">
        <is>
          <t>Guest House Lily</t>
        </is>
      </c>
      <c r="C185" s="6" t="n">
        <v>202293</v>
      </c>
      <c r="D185" s="6" t="n">
        <v>-7.9877561</v>
      </c>
      <c r="E185" s="6" t="n">
        <v>112.6346953</v>
      </c>
    </row>
    <row r="186">
      <c r="A186" s="5" t="n">
        <v>185</v>
      </c>
      <c r="B186" s="6" t="inlineStr">
        <is>
          <t>Griyo Sultan Agung Guest House (Book our rooms via WhatsApp Chat)</t>
        </is>
      </c>
      <c r="C186" s="6" t="n">
        <v>311220</v>
      </c>
      <c r="D186" s="6" t="n">
        <v>-7.978193</v>
      </c>
      <c r="E186" s="6" t="n">
        <v>112.635719</v>
      </c>
    </row>
    <row r="187">
      <c r="A187" s="5" t="n">
        <v>186</v>
      </c>
      <c r="B187" s="6" t="inlineStr">
        <is>
          <t>Merbabu Guest House</t>
        </is>
      </c>
      <c r="C187" s="6" t="n">
        <v>396110</v>
      </c>
      <c r="D187" s="6" t="n">
        <v>-7.9669282</v>
      </c>
      <c r="E187" s="6" t="n">
        <v>112.6261686</v>
      </c>
    </row>
    <row r="188">
      <c r="A188" s="5" t="n">
        <v>187</v>
      </c>
      <c r="B188" s="6" t="inlineStr">
        <is>
          <t>RedDoorz Plus near Politeknik Negeri Malang</t>
        </is>
      </c>
      <c r="C188" s="6" t="n">
        <v>468035</v>
      </c>
      <c r="D188" s="6" t="n">
        <v>-7.9430879</v>
      </c>
      <c r="E188" s="6" t="n">
        <v>112.619081</v>
      </c>
    </row>
    <row r="189">
      <c r="A189" s="5" t="n">
        <v>188</v>
      </c>
      <c r="B189" s="6" t="inlineStr">
        <is>
          <t>Jardin Smart Residence</t>
        </is>
      </c>
      <c r="C189" s="6" t="n">
        <v>233463</v>
      </c>
      <c r="D189" s="6" t="n">
        <v>-7.9374241</v>
      </c>
      <c r="E189" s="6" t="n">
        <v>112.6404008</v>
      </c>
    </row>
    <row r="190">
      <c r="A190" s="5" t="n">
        <v>189</v>
      </c>
      <c r="B190" s="6" t="inlineStr">
        <is>
          <t>RedDoorz near Cyber Mall</t>
        </is>
      </c>
      <c r="C190" s="6" t="n">
        <v>468035</v>
      </c>
      <c r="D190" s="6" t="n">
        <v>-7.9689192</v>
      </c>
      <c r="E190" s="6" t="n">
        <v>112.6077843</v>
      </c>
    </row>
    <row r="191">
      <c r="A191" s="5" t="n">
        <v>190</v>
      </c>
      <c r="B191" s="6" t="inlineStr">
        <is>
          <t>Penginapan Omah Wetan Homestay Malang</t>
        </is>
      </c>
      <c r="C191" s="6" t="n">
        <v>78121</v>
      </c>
      <c r="D191" s="6" t="n">
        <v>-7.9818727</v>
      </c>
      <c r="E191" s="6" t="n">
        <v>112.6529763</v>
      </c>
    </row>
    <row r="192">
      <c r="A192" s="5" t="n">
        <v>191</v>
      </c>
      <c r="B192" s="6" t="inlineStr">
        <is>
          <t>Hillside Suite Guest House</t>
        </is>
      </c>
      <c r="C192" s="6" t="n">
        <v>375921</v>
      </c>
      <c r="D192" s="6" t="n">
        <v>-7.9648264</v>
      </c>
      <c r="E192" s="6" t="n">
        <v>112.6055115</v>
      </c>
    </row>
    <row r="193">
      <c r="A193" s="5" t="n">
        <v>192</v>
      </c>
      <c r="B193" s="6" t="inlineStr">
        <is>
          <t>Jacatra Homestay</t>
        </is>
      </c>
      <c r="C193" s="6" t="n">
        <v>334152</v>
      </c>
      <c r="D193" s="6" t="n">
        <v>-7.9655413</v>
      </c>
      <c r="E193" s="6" t="n">
        <v>112.6198718</v>
      </c>
    </row>
    <row r="194">
      <c r="A194" s="5" t="n">
        <v>193</v>
      </c>
      <c r="B194" s="6" t="inlineStr">
        <is>
          <t>Hotel Tosari</t>
        </is>
      </c>
      <c r="C194" s="6" t="n">
        <v>220925</v>
      </c>
      <c r="D194" s="6" t="n">
        <v>-7.9847087</v>
      </c>
      <c r="E194" s="6" t="n">
        <v>112.6353291</v>
      </c>
    </row>
    <row r="195">
      <c r="A195" s="5" t="n">
        <v>194</v>
      </c>
      <c r="B195" s="6" t="inlineStr">
        <is>
          <t>AUGUSTINA HOME</t>
        </is>
      </c>
      <c r="C195" s="6" t="n">
        <v>429975</v>
      </c>
      <c r="D195" s="6" t="n">
        <v>-7.9690167</v>
      </c>
      <c r="E195" s="6" t="n">
        <v>112.6254985</v>
      </c>
    </row>
    <row r="196">
      <c r="A196" s="5" t="n">
        <v>195</v>
      </c>
      <c r="B196" s="6" t="inlineStr">
        <is>
          <t>Nat Nat Homestay</t>
        </is>
      </c>
      <c r="C196" s="6" t="n">
        <v>297672</v>
      </c>
      <c r="D196" s="6" t="n">
        <v>-7.9634963</v>
      </c>
      <c r="E196" s="6" t="n">
        <v>112.6255884</v>
      </c>
    </row>
    <row r="197">
      <c r="A197" s="5" t="n">
        <v>196</v>
      </c>
      <c r="B197" s="6" t="inlineStr">
        <is>
          <t>nDalem Kilen Homestay</t>
        </is>
      </c>
      <c r="C197" s="6" t="n">
        <v>185967</v>
      </c>
      <c r="D197" s="6" t="n">
        <v>-7.9543372</v>
      </c>
      <c r="E197" s="6" t="n">
        <v>112.620001</v>
      </c>
    </row>
    <row r="198">
      <c r="A198" s="5" t="n">
        <v>197</v>
      </c>
      <c r="B198" s="6" t="inlineStr">
        <is>
          <t>Jakarta 32 Homestay Syariah</t>
        </is>
      </c>
      <c r="C198" s="6" t="n">
        <v>450450</v>
      </c>
      <c r="D198" s="6" t="n">
        <v>-7.9631198</v>
      </c>
      <c r="E198" s="6" t="n">
        <v>112.6222954</v>
      </c>
    </row>
    <row r="199">
      <c r="A199" s="5" t="n">
        <v>198</v>
      </c>
      <c r="B199" s="6" t="inlineStr">
        <is>
          <t>Hotel Aloha Malang</t>
        </is>
      </c>
      <c r="C199" s="6" t="n">
        <v>36239</v>
      </c>
      <c r="D199" s="6" t="n">
        <v>-7.9786929</v>
      </c>
      <c r="E199" s="6" t="n">
        <v>112.6354288</v>
      </c>
    </row>
    <row r="200">
      <c r="A200" s="5" t="n">
        <v>199</v>
      </c>
      <c r="B200" s="6" t="inlineStr">
        <is>
          <t>Hotel Tidar</t>
        </is>
      </c>
      <c r="C200" s="6" t="n">
        <v>439132</v>
      </c>
      <c r="D200" s="6" t="n">
        <v>-7.9612861</v>
      </c>
      <c r="E200" s="6" t="n">
        <v>112.5973419</v>
      </c>
    </row>
    <row r="201">
      <c r="A201" s="5" t="n">
        <v>200</v>
      </c>
      <c r="B201" s="6" t="inlineStr">
        <is>
          <t>Airy Lowokwaru Sutoyo 22 Malang</t>
        </is>
      </c>
      <c r="C201" s="6" t="n">
        <v>196545</v>
      </c>
      <c r="D201" s="6" t="n">
        <v>-7.9632718</v>
      </c>
      <c r="E201" s="6" t="n">
        <v>112.6361453</v>
      </c>
    </row>
    <row r="202">
      <c r="A202" s="5" t="n">
        <v>201</v>
      </c>
      <c r="B202" s="6" t="inlineStr">
        <is>
          <t>Morse Hotel</t>
        </is>
      </c>
      <c r="C202" s="6" t="n">
        <v>339855</v>
      </c>
      <c r="D202" s="6" t="n">
        <v>-7.9789025</v>
      </c>
      <c r="E202" s="6" t="n">
        <v>112.6367121</v>
      </c>
    </row>
    <row r="203">
      <c r="A203" s="5" t="n">
        <v>202</v>
      </c>
      <c r="B203" s="6" t="inlineStr">
        <is>
          <t>RedDoorz near Gajayana Stadium Malang</t>
        </is>
      </c>
      <c r="C203" s="6" t="n">
        <v>250000</v>
      </c>
      <c r="D203" s="6" t="n">
        <v>-7.970011</v>
      </c>
      <c r="E203" s="6" t="n">
        <v>112.6276018</v>
      </c>
    </row>
    <row r="204">
      <c r="A204" s="5" t="n">
        <v>203</v>
      </c>
      <c r="B204" s="6" t="inlineStr">
        <is>
          <t>Armyn Luxury Guest House</t>
        </is>
      </c>
      <c r="C204" s="6" t="n">
        <v>200000</v>
      </c>
      <c r="D204" s="6" t="n">
        <v>-7.9728699</v>
      </c>
      <c r="E204" s="6" t="n">
        <v>112.6179886</v>
      </c>
    </row>
    <row r="205">
      <c r="A205" s="5" t="n">
        <v>204</v>
      </c>
      <c r="B205" s="6" t="inlineStr">
        <is>
          <t>Airy Klojen Lamongan 12 Malang</t>
        </is>
      </c>
      <c r="C205" s="6" t="n">
        <v>424893</v>
      </c>
      <c r="D205" s="6" t="n">
        <v>-7.9707</v>
      </c>
      <c r="E205" s="6" t="n">
        <v>112.6241</v>
      </c>
    </row>
    <row r="206">
      <c r="A206" s="5" t="n">
        <v>205</v>
      </c>
      <c r="B206" s="6" t="inlineStr">
        <is>
          <t>ZEN Rooms Basic Lamongan Malang</t>
        </is>
      </c>
      <c r="C206" s="6" t="n">
        <v>36239</v>
      </c>
      <c r="D206" s="6" t="n">
        <v>-7.9707108</v>
      </c>
      <c r="E206" s="6" t="n">
        <v>112.624103</v>
      </c>
    </row>
    <row r="207">
      <c r="A207" s="5" t="n">
        <v>206</v>
      </c>
      <c r="B207" s="6" t="inlineStr">
        <is>
          <t>Airy Alun Alun Malang Zainul Arifin 55</t>
        </is>
      </c>
      <c r="C207" s="6" t="n">
        <v>45892</v>
      </c>
      <c r="D207" s="6" t="n">
        <v>-7.9841576</v>
      </c>
      <c r="E207" s="6" t="n">
        <v>112.6341095</v>
      </c>
    </row>
    <row r="208">
      <c r="A208" s="5" t="n">
        <v>207</v>
      </c>
      <c r="B208" s="6" t="inlineStr">
        <is>
          <t>Guesthouse Syariah Cakalang 5</t>
        </is>
      </c>
      <c r="C208" s="6" t="n">
        <v>100000</v>
      </c>
      <c r="D208" s="6" t="n">
        <v>-7.9310472</v>
      </c>
      <c r="E208" s="6" t="n">
        <v>112.6441668</v>
      </c>
    </row>
    <row r="209">
      <c r="A209" s="5" t="n">
        <v>208</v>
      </c>
      <c r="B209" s="6" t="inlineStr">
        <is>
          <t>mcb Homestay</t>
        </is>
      </c>
      <c r="C209" s="6" t="n">
        <v>243243</v>
      </c>
      <c r="D209" s="6" t="n">
        <v>-7.9736553</v>
      </c>
      <c r="E209" s="6" t="n">
        <v>112.6143808</v>
      </c>
    </row>
    <row r="210">
      <c r="A210" s="5" t="n">
        <v>209</v>
      </c>
      <c r="B210" s="6" t="inlineStr">
        <is>
          <t>Homestay Villa Tidar</t>
        </is>
      </c>
      <c r="C210" s="6" t="n">
        <v>1000000</v>
      </c>
      <c r="D210" s="6" t="n">
        <v>-7.9575416</v>
      </c>
      <c r="E210" s="6" t="n">
        <v>112.5874199</v>
      </c>
    </row>
    <row r="211">
      <c r="A211" s="5" t="n">
        <v>210</v>
      </c>
      <c r="B211" s="6" t="inlineStr">
        <is>
          <t>Homestay Borobudur Tbs</t>
        </is>
      </c>
      <c r="C211" s="6" t="n">
        <v>91631</v>
      </c>
      <c r="D211" s="6" t="n">
        <v>-7.9371981</v>
      </c>
      <c r="E211" s="6" t="n">
        <v>112.6351272</v>
      </c>
    </row>
    <row r="212">
      <c r="A212" s="5" t="n">
        <v>211</v>
      </c>
      <c r="B212" s="6" t="inlineStr">
        <is>
          <t>de' Clove</t>
        </is>
      </c>
      <c r="C212" s="6" t="n">
        <v>36239</v>
      </c>
      <c r="D212" s="6" t="n">
        <v>-7.9453189</v>
      </c>
      <c r="E212" s="6" t="n">
        <v>112.6209688</v>
      </c>
    </row>
    <row r="213">
      <c r="A213" s="5" t="n">
        <v>212</v>
      </c>
      <c r="B213" s="6" t="inlineStr">
        <is>
          <t>Airy Klojen</t>
        </is>
      </c>
      <c r="C213" s="6" t="n">
        <v>1000000</v>
      </c>
      <c r="D213" s="6" t="n">
        <v>-7.9736553</v>
      </c>
      <c r="E213" s="6" t="n">
        <v>112.6143808</v>
      </c>
    </row>
    <row r="214">
      <c r="A214" s="5" t="n">
        <v>213</v>
      </c>
      <c r="B214" s="6" t="inlineStr">
        <is>
          <t>ZEN Rooms near Stasiun Kota Baru</t>
        </is>
      </c>
      <c r="C214" s="6" t="n">
        <v>36239</v>
      </c>
      <c r="D214" s="6" t="n">
        <v>-7.9790452</v>
      </c>
      <c r="E214" s="6" t="n">
        <v>112.6371335</v>
      </c>
    </row>
    <row r="215">
      <c r="A215" s="5" t="n">
        <v>214</v>
      </c>
      <c r="B215" s="6" t="inlineStr">
        <is>
          <t>Airy Lowokwaru Candi Trowulan 12 Malang</t>
        </is>
      </c>
      <c r="C215" s="6" t="n">
        <v>196545</v>
      </c>
      <c r="D215" s="6" t="n">
        <v>-7.9396635</v>
      </c>
      <c r="E215" s="6" t="n">
        <v>112.6335556</v>
      </c>
    </row>
    <row r="216">
      <c r="A216" s="5" t="n">
        <v>215</v>
      </c>
      <c r="B216" s="6" t="inlineStr">
        <is>
          <t>Airy Tunjungtirto Losawi Perusahaan 57 Malang</t>
        </is>
      </c>
      <c r="C216" s="6" t="n">
        <v>168785</v>
      </c>
      <c r="D216" s="6" t="n">
        <v>-7.91108</v>
      </c>
      <c r="E216" s="6" t="n">
        <v>112.635844</v>
      </c>
    </row>
    <row r="217">
      <c r="A217" s="5" t="n">
        <v>216</v>
      </c>
      <c r="B217" s="6" t="inlineStr">
        <is>
          <t>RedDoorz Plus @ Riverside Malang</t>
        </is>
      </c>
      <c r="C217" s="6" t="n">
        <v>90000</v>
      </c>
      <c r="D217" s="6" t="n">
        <v>-7.927774</v>
      </c>
      <c r="E217" s="6" t="n">
        <v>112.6495483</v>
      </c>
    </row>
    <row r="218">
      <c r="A218" s="5" t="n">
        <v>217</v>
      </c>
      <c r="B218" s="6" t="inlineStr">
        <is>
          <t>Emy's Guesthouse</t>
        </is>
      </c>
      <c r="C218" s="6" t="n">
        <v>286650</v>
      </c>
      <c r="D218" s="6" t="n">
        <v>-7.937839</v>
      </c>
      <c r="E218" s="6" t="n">
        <v>112.637019</v>
      </c>
    </row>
    <row r="219">
      <c r="A219" s="5" t="n">
        <v>218</v>
      </c>
      <c r="B219" s="6" t="inlineStr">
        <is>
          <t>De'Vita Family Homestay</t>
        </is>
      </c>
      <c r="C219" s="6" t="n">
        <v>36239</v>
      </c>
      <c r="D219" s="6" t="n">
        <v>-7.9424252</v>
      </c>
      <c r="E219" s="6" t="n">
        <v>112.5826408</v>
      </c>
    </row>
    <row r="220">
      <c r="A220" s="5" t="n">
        <v>219</v>
      </c>
      <c r="B220" s="6" t="inlineStr">
        <is>
          <t>RedDoorz Syariah @ Griya Shanta Malang</t>
        </is>
      </c>
      <c r="C220" s="6" t="n">
        <v>174038</v>
      </c>
      <c r="D220" s="6" t="n">
        <v>-7.9356673</v>
      </c>
      <c r="E220" s="6" t="n">
        <v>112.6211102</v>
      </c>
    </row>
    <row r="221">
      <c r="A221" s="5" t="n">
        <v>220</v>
      </c>
      <c r="B221" s="6" t="inlineStr">
        <is>
          <t>Vintage 58 Penginapan khusus wanita</t>
        </is>
      </c>
      <c r="C221" s="6" t="n">
        <v>73710</v>
      </c>
      <c r="D221" s="6" t="n">
        <v>-7.9658229</v>
      </c>
      <c r="E221" s="6" t="n">
        <v>112.6302866</v>
      </c>
    </row>
    <row r="222">
      <c r="A222" s="5" t="n">
        <v>221</v>
      </c>
      <c r="B222" s="6" t="inlineStr">
        <is>
          <t>Ador 46 Homestay Syariah &amp; Kost Harian Kota Malang</t>
        </is>
      </c>
      <c r="C222" s="6" t="n">
        <v>750000</v>
      </c>
      <c r="D222" s="6" t="n">
        <v>-7.9803697</v>
      </c>
      <c r="E222" s="6" t="n">
        <v>112.5993504</v>
      </c>
    </row>
    <row r="223">
      <c r="A223" s="5" t="n">
        <v>222</v>
      </c>
      <c r="B223" s="6" t="inlineStr">
        <is>
          <t>Griya Backpacker Pak yon</t>
        </is>
      </c>
      <c r="C223" s="6" t="n">
        <v>36239</v>
      </c>
      <c r="D223" s="6" t="n">
        <v>-7.9633274</v>
      </c>
      <c r="E223" s="6" t="n">
        <v>112.6384545</v>
      </c>
    </row>
    <row r="224">
      <c r="A224" s="5" t="n">
        <v>223</v>
      </c>
      <c r="B224" s="6" t="inlineStr">
        <is>
          <t>SO! Boutique Hostel</t>
        </is>
      </c>
      <c r="C224" s="6" t="n">
        <v>280735</v>
      </c>
      <c r="D224" s="6" t="n">
        <v>-7.9796921</v>
      </c>
      <c r="E224" s="6" t="n">
        <v>112.6312334</v>
      </c>
    </row>
    <row r="225">
      <c r="A225" s="5" t="n">
        <v>224</v>
      </c>
      <c r="B225" s="6" t="inlineStr">
        <is>
          <t>Hotel Setia Budi</t>
        </is>
      </c>
      <c r="C225" s="6" t="n">
        <v>151075</v>
      </c>
      <c r="D225" s="6" t="n">
        <v>-7.9732101</v>
      </c>
      <c r="E225" s="6" t="n">
        <v>112.6374008</v>
      </c>
    </row>
    <row r="226">
      <c r="A226" s="5" t="n">
        <v>225</v>
      </c>
      <c r="B226" s="6" t="inlineStr">
        <is>
          <t>Yutaka Inn Suhat Malang</t>
        </is>
      </c>
      <c r="C226" s="6" t="n">
        <v>140000</v>
      </c>
      <c r="D226" s="6" t="n">
        <v>-7.9336672</v>
      </c>
      <c r="E226" s="6" t="n">
        <v>112.6189484</v>
      </c>
    </row>
    <row r="227">
      <c r="A227" s="5" t="n">
        <v>226</v>
      </c>
      <c r="B227" s="6" t="inlineStr">
        <is>
          <t>KOS Harian/blnan Murah-Linns house</t>
        </is>
      </c>
      <c r="C227" s="6" t="n">
        <v>203839</v>
      </c>
      <c r="D227" s="6" t="n">
        <v>-7.9352059</v>
      </c>
      <c r="E227" s="6" t="n">
        <v>112.6352951</v>
      </c>
    </row>
    <row r="228">
      <c r="A228" s="5" t="n">
        <v>227</v>
      </c>
      <c r="B228" s="6" t="inlineStr">
        <is>
          <t>YUTAKA INN Araya Malang</t>
        </is>
      </c>
      <c r="C228" s="6" t="n">
        <v>132678</v>
      </c>
      <c r="D228" s="6" t="n">
        <v>-7.9359533</v>
      </c>
      <c r="E228" s="6" t="n">
        <v>112.6495324</v>
      </c>
    </row>
    <row r="229">
      <c r="A229" s="5" t="n">
        <v>228</v>
      </c>
      <c r="B229" s="6" t="inlineStr">
        <is>
          <t>MADOR Malang Dorm Hostel</t>
        </is>
      </c>
      <c r="C229" s="6" t="n">
        <v>201102</v>
      </c>
      <c r="D229" s="6" t="n">
        <v>-7.9881738</v>
      </c>
      <c r="E229" s="6" t="n">
        <v>112.6351839</v>
      </c>
    </row>
    <row r="230">
      <c r="A230" s="5" t="n">
        <v>229</v>
      </c>
      <c r="B230" s="6" t="inlineStr">
        <is>
          <t>Novon Family Hotel By Tripletree</t>
        </is>
      </c>
      <c r="C230" s="6" t="n">
        <v>300995</v>
      </c>
      <c r="D230" s="6" t="n">
        <v>-7.9308117</v>
      </c>
      <c r="E230" s="6" t="n">
        <v>112.6524642</v>
      </c>
    </row>
    <row r="231">
      <c r="A231" s="5" t="n">
        <v>230</v>
      </c>
      <c r="B231" s="6" t="inlineStr">
        <is>
          <t>Terima Kasih Malang by Zzz (TKM)</t>
        </is>
      </c>
      <c r="C231" s="6" t="n">
        <v>265576</v>
      </c>
      <c r="D231" s="6" t="n">
        <v>-7.9659045</v>
      </c>
      <c r="E231" s="6" t="n">
        <v>112.649378</v>
      </c>
    </row>
    <row r="232">
      <c r="A232" s="5" t="n">
        <v>231</v>
      </c>
      <c r="B232" s="6" t="inlineStr">
        <is>
          <t>Simple Stay</t>
        </is>
      </c>
      <c r="C232" s="6" t="n">
        <v>381517</v>
      </c>
      <c r="D232" s="6" t="n">
        <v>-7.9467613</v>
      </c>
      <c r="E232" s="6" t="n">
        <v>112.6327319</v>
      </c>
    </row>
    <row r="233">
      <c r="A233" s="5" t="n">
        <v>232</v>
      </c>
      <c r="B233" s="6" t="inlineStr">
        <is>
          <t>Mahveen Family Guest House Syariah</t>
        </is>
      </c>
      <c r="C233" s="6" t="n">
        <v>36239</v>
      </c>
      <c r="D233" s="6" t="n">
        <v>-7.9337163</v>
      </c>
      <c r="E233" s="6" t="n">
        <v>112.6191161</v>
      </c>
    </row>
    <row r="234">
      <c r="A234" s="5" t="n">
        <v>233</v>
      </c>
      <c r="B234" s="6" t="inlineStr">
        <is>
          <t>RedDoorz @ Simpang Borobudur</t>
        </is>
      </c>
      <c r="C234" s="6" t="n">
        <v>486333</v>
      </c>
      <c r="D234" s="6" t="n">
        <v>-7.9367994</v>
      </c>
      <c r="E234" s="6" t="n">
        <v>112.638996</v>
      </c>
    </row>
    <row r="235">
      <c r="A235" s="5" t="n">
        <v>234</v>
      </c>
      <c r="B235" s="6" t="inlineStr">
        <is>
          <t>Smart Tlogomas Syariah</t>
        </is>
      </c>
      <c r="C235" s="6" t="n">
        <v>368550</v>
      </c>
      <c r="D235" s="6" t="n">
        <v>-7.9343441</v>
      </c>
      <c r="E235" s="6" t="n">
        <v>112.6031137</v>
      </c>
    </row>
    <row r="236">
      <c r="A236" s="5" t="n">
        <v>235</v>
      </c>
      <c r="B236" s="6" t="inlineStr">
        <is>
          <t>RedDoorz Hostel near Malang Train Station 3</t>
        </is>
      </c>
      <c r="C236" s="6" t="n">
        <v>381971</v>
      </c>
      <c r="D236" s="6" t="n">
        <v>-7.9762923</v>
      </c>
      <c r="E236" s="6" t="n">
        <v>112.6300843</v>
      </c>
    </row>
    <row r="237">
      <c r="A237" s="5" t="n">
        <v>236</v>
      </c>
      <c r="B237" s="6" t="inlineStr">
        <is>
          <t>Bobopod Alun-Alun, Malang</t>
        </is>
      </c>
      <c r="C237" s="6" t="n">
        <v>303362</v>
      </c>
      <c r="D237" s="6" t="n">
        <v>-7.9835318</v>
      </c>
      <c r="E237" s="6" t="n">
        <v>112.6301217</v>
      </c>
    </row>
    <row r="238">
      <c r="A238" s="5" t="n">
        <v>237</v>
      </c>
      <c r="B238" s="6" t="inlineStr">
        <is>
          <t>Kedung Ombo Homestay</t>
        </is>
      </c>
      <c r="C238" s="6" t="n">
        <v>445430</v>
      </c>
      <c r="D238" s="6" t="n">
        <v>-7.9591389</v>
      </c>
      <c r="E238" s="6" t="n">
        <v>112.6118103</v>
      </c>
    </row>
    <row r="239">
      <c r="A239" s="5" t="n">
        <v>238</v>
      </c>
      <c r="B239" s="6" t="inlineStr">
        <is>
          <t>RedDoorz Syariah near RRI Malang</t>
        </is>
      </c>
      <c r="C239" s="6" t="n">
        <v>254889</v>
      </c>
      <c r="D239" s="6" t="n">
        <v>-7.9352717</v>
      </c>
      <c r="E239" s="6" t="n">
        <v>112.6175183</v>
      </c>
    </row>
    <row r="240">
      <c r="A240" s="5" t="n">
        <v>239</v>
      </c>
      <c r="B240" s="6" t="inlineStr">
        <is>
          <t>LUMIERE GUEST HOUSE</t>
        </is>
      </c>
      <c r="C240" s="6" t="n">
        <v>147420</v>
      </c>
      <c r="D240" s="6" t="n">
        <v>-7.9853322</v>
      </c>
      <c r="E240" s="6" t="n">
        <v>112.6298692</v>
      </c>
    </row>
    <row r="241">
      <c r="A241" s="5" t="n">
        <v>240</v>
      </c>
      <c r="B241" s="6" t="inlineStr">
        <is>
          <t>YUTAKA INN Dinoyo Malang</t>
        </is>
      </c>
      <c r="C241" s="6" t="n">
        <v>128851</v>
      </c>
      <c r="D241" s="6" t="n">
        <v>-7.9398561</v>
      </c>
      <c r="E241" s="6" t="n">
        <v>112.6047319</v>
      </c>
    </row>
    <row r="242">
      <c r="A242" s="5" t="n">
        <v>241</v>
      </c>
      <c r="B242" s="6" t="inlineStr">
        <is>
          <t>Sans Hotel La Vida Malang</t>
        </is>
      </c>
      <c r="C242" s="6" t="n">
        <v>398364</v>
      </c>
      <c r="D242" s="6" t="n">
        <v>-7.9745474</v>
      </c>
      <c r="E242" s="6" t="n">
        <v>112.6556206</v>
      </c>
    </row>
    <row r="243">
      <c r="A243" s="5" t="n">
        <v>242</v>
      </c>
      <c r="B243" s="6" t="inlineStr">
        <is>
          <t>Roomy guesthouse</t>
        </is>
      </c>
      <c r="C243" s="6" t="n">
        <v>315000</v>
      </c>
      <c r="D243" s="6" t="n">
        <v>-7.9209675</v>
      </c>
      <c r="E243" s="6" t="n">
        <v>112.5946975</v>
      </c>
    </row>
    <row r="244">
      <c r="A244" s="5" t="n">
        <v>243</v>
      </c>
      <c r="B244" s="6" t="inlineStr">
        <is>
          <t>Riche Heritage Hotel</t>
        </is>
      </c>
      <c r="C244" s="6" t="n">
        <v>294840</v>
      </c>
      <c r="D244" s="6" t="n">
        <v>-7.9813684</v>
      </c>
      <c r="E244" s="6" t="n">
        <v>112.630201</v>
      </c>
    </row>
    <row r="245">
      <c r="A245" s="5" t="n">
        <v>244</v>
      </c>
      <c r="B245" s="6" t="inlineStr">
        <is>
          <t>Grand Kadaka Syariah</t>
        </is>
      </c>
      <c r="C245" s="6" t="n">
        <v>156634</v>
      </c>
      <c r="D245" s="6" t="n">
        <v>-7.9456395</v>
      </c>
      <c r="E245" s="6" t="n">
        <v>112.6197856</v>
      </c>
    </row>
    <row r="246">
      <c r="A246" s="5" t="n">
        <v>245</v>
      </c>
      <c r="B246" s="6" t="inlineStr">
        <is>
          <t>Kalakoala by Zzz</t>
        </is>
      </c>
      <c r="C246" s="6" t="n">
        <v>265576</v>
      </c>
      <c r="D246" s="6" t="n">
        <v>-7.9560956</v>
      </c>
      <c r="E246" s="6" t="n">
        <v>112.6492091</v>
      </c>
    </row>
    <row r="247">
      <c r="A247" s="5" t="n">
        <v>246</v>
      </c>
      <c r="B247" s="6" t="inlineStr">
        <is>
          <t>Condro Wulan Hostel</t>
        </is>
      </c>
      <c r="C247" s="6" t="n">
        <v>36239</v>
      </c>
      <c r="D247" s="6" t="n">
        <v>-7.9943298</v>
      </c>
      <c r="E247" s="6" t="n">
        <v>112.6800647</v>
      </c>
    </row>
    <row r="248">
      <c r="A248" s="5" t="n">
        <v>247</v>
      </c>
      <c r="B248" s="6" t="inlineStr">
        <is>
          <t>RedDoorz near Malang Creative Center</t>
        </is>
      </c>
      <c r="C248" s="6" t="n">
        <v>387723</v>
      </c>
      <c r="D248" s="6" t="n">
        <v>-7.9352241</v>
      </c>
      <c r="E248" s="6" t="n">
        <v>112.6375664</v>
      </c>
    </row>
    <row r="249">
      <c r="A249" s="5" t="n">
        <v>248</v>
      </c>
      <c r="B249" s="6" t="inlineStr">
        <is>
          <t>SIMPANG HOMESTAY &amp; KOZZ</t>
        </is>
      </c>
      <c r="C249" s="6" t="n">
        <v>184275</v>
      </c>
      <c r="D249" s="6" t="n">
        <v>-7.9370428</v>
      </c>
      <c r="E249" s="6" t="n">
        <v>112.6375024</v>
      </c>
    </row>
    <row r="250">
      <c r="A250" s="5" t="n">
        <v>249</v>
      </c>
      <c r="B250" s="6" t="inlineStr">
        <is>
          <t>Neomi Homestay Malang (CV.Neomi perdana sukse)</t>
        </is>
      </c>
      <c r="C250" s="6" t="n">
        <v>266157</v>
      </c>
      <c r="D250" s="6" t="n">
        <v>-7.9419521</v>
      </c>
      <c r="E250" s="6" t="n">
        <v>112.6588887</v>
      </c>
    </row>
    <row r="251">
      <c r="A251" s="5" t="n">
        <v>250</v>
      </c>
      <c r="B251" s="6" t="inlineStr">
        <is>
          <t>Hotel O Sumpil Syariah</t>
        </is>
      </c>
      <c r="C251" s="6" t="n">
        <v>211964</v>
      </c>
      <c r="D251" s="6" t="n">
        <v>-7.934397</v>
      </c>
      <c r="E251" s="6" t="n">
        <v>112.645338</v>
      </c>
    </row>
    <row r="252">
      <c r="A252" s="5" t="n">
        <v>251</v>
      </c>
      <c r="B252" s="6" t="inlineStr">
        <is>
          <t>RedDoorz Syariah near Exit Tol Malang</t>
        </is>
      </c>
      <c r="C252" s="6" t="n">
        <v>387711</v>
      </c>
      <c r="D252" s="6" t="n">
        <v>-7.9815329</v>
      </c>
      <c r="E252" s="6" t="n">
        <v>112.6830877</v>
      </c>
    </row>
    <row r="253">
      <c r="A253" s="5" t="n">
        <v>252</v>
      </c>
      <c r="B253" s="6" t="inlineStr">
        <is>
          <t>Townhouse Oak Malang near ITN Malang</t>
        </is>
      </c>
      <c r="C253" s="6" t="n">
        <v>204451</v>
      </c>
      <c r="D253" s="6" t="n">
        <v>-7.911063</v>
      </c>
      <c r="E253" s="6" t="n">
        <v>112.635804</v>
      </c>
    </row>
    <row r="254">
      <c r="A254" s="5" t="n">
        <v>253</v>
      </c>
      <c r="B254" s="6" t="inlineStr">
        <is>
          <t>Linn's House Syariah</t>
        </is>
      </c>
      <c r="C254" s="6" t="n">
        <v>203839</v>
      </c>
      <c r="D254" s="6" t="n">
        <v>-7.9351032</v>
      </c>
      <c r="E254" s="6" t="n">
        <v>112.6353015</v>
      </c>
    </row>
    <row r="255">
      <c r="A255" s="5" t="n">
        <v>254</v>
      </c>
      <c r="B255" s="6" t="inlineStr">
        <is>
          <t>Velodrome Family House</t>
        </is>
      </c>
      <c r="C255" s="6" t="n">
        <v>45892</v>
      </c>
      <c r="D255" s="6" t="n">
        <v>-7.9723858</v>
      </c>
      <c r="E255" s="6" t="n">
        <v>112.6709966</v>
      </c>
    </row>
    <row r="256">
      <c r="A256" s="5" t="n">
        <v>255</v>
      </c>
      <c r="B256" s="6" t="inlineStr">
        <is>
          <t>RedDoorz near Sanan Malang</t>
        </is>
      </c>
      <c r="C256" s="6" t="n">
        <v>385421</v>
      </c>
      <c r="D256" s="6" t="n">
        <v>-7.9587634</v>
      </c>
      <c r="E256" s="6" t="n">
        <v>112.6431786</v>
      </c>
    </row>
    <row r="257">
      <c r="A257" s="5" t="n">
        <v>256</v>
      </c>
      <c r="B257" s="6" t="inlineStr">
        <is>
          <t>SOWAN Boutique Guest House Syariah</t>
        </is>
      </c>
      <c r="C257" s="6" t="n">
        <v>238329</v>
      </c>
      <c r="D257" s="6" t="n">
        <v>-7.9697672</v>
      </c>
      <c r="E257" s="6" t="n">
        <v>112.6654621</v>
      </c>
    </row>
    <row r="258">
      <c r="A258" s="5" t="n">
        <v>257</v>
      </c>
      <c r="B258" s="6" t="inlineStr">
        <is>
          <t>Homestay Kateza</t>
        </is>
      </c>
      <c r="C258" s="6" t="n">
        <v>196560</v>
      </c>
      <c r="D258" s="6" t="n">
        <v>-7.9612417</v>
      </c>
      <c r="E258" s="6" t="n">
        <v>112.6122526</v>
      </c>
    </row>
    <row r="259">
      <c r="A259" s="5" t="n">
        <v>258</v>
      </c>
      <c r="B259" s="6" t="inlineStr">
        <is>
          <t>Nipa Guest House near Universitas Widyagama Mitra</t>
        </is>
      </c>
      <c r="C259" s="6" t="n">
        <v>115850</v>
      </c>
      <c r="D259" s="6" t="n">
        <v>-7.9367337</v>
      </c>
      <c r="E259" s="6" t="n">
        <v>112.6340937</v>
      </c>
    </row>
    <row r="260">
      <c r="A260" s="5" t="n">
        <v>259</v>
      </c>
      <c r="B260" s="6" t="inlineStr">
        <is>
          <t>Rumah Larasati</t>
        </is>
      </c>
      <c r="C260" s="6" t="n">
        <v>301248</v>
      </c>
      <c r="D260" s="6" t="n">
        <v>-7.9762512</v>
      </c>
      <c r="E260" s="6" t="n">
        <v>112.6168217</v>
      </c>
    </row>
    <row r="261">
      <c r="A261" s="5" t="n">
        <v>260</v>
      </c>
      <c r="B261" s="6" t="inlineStr">
        <is>
          <t>One &amp; Quin Guest House Syariah</t>
        </is>
      </c>
      <c r="C261" s="6" t="n">
        <v>435660</v>
      </c>
      <c r="D261" s="6" t="n">
        <v>-7.9520598</v>
      </c>
      <c r="E261" s="6" t="n">
        <v>112.6033975</v>
      </c>
    </row>
    <row r="262">
      <c r="A262" s="5" t="n">
        <v>261</v>
      </c>
      <c r="B262" s="6" t="inlineStr">
        <is>
          <t>Fariz Hotel Malang</t>
        </is>
      </c>
      <c r="C262" s="6" t="n">
        <v>307051</v>
      </c>
      <c r="D262" s="6" t="n">
        <v>-7.9110727</v>
      </c>
      <c r="E262" s="6" t="n">
        <v>112.6358414</v>
      </c>
    </row>
    <row r="263">
      <c r="A263" s="5" t="n">
        <v>262</v>
      </c>
      <c r="B263" s="6" t="inlineStr">
        <is>
          <t>RedDoorz raya tidar</t>
        </is>
      </c>
      <c r="C263" s="6" t="n">
        <v>404016</v>
      </c>
      <c r="D263" s="6" t="n">
        <v>-7.9669811</v>
      </c>
      <c r="E263" s="6" t="n">
        <v>112.6132614</v>
      </c>
    </row>
    <row r="264">
      <c r="A264" s="5" t="n">
        <v>263</v>
      </c>
      <c r="B264" s="6" t="inlineStr">
        <is>
          <t>Tya Family Guest House</t>
        </is>
      </c>
      <c r="C264" s="6" t="n">
        <v>163800</v>
      </c>
      <c r="D264" s="6" t="n">
        <v>-7.9383559</v>
      </c>
      <c r="E264" s="6" t="n">
        <v>112.5885009</v>
      </c>
    </row>
    <row r="265">
      <c r="A265" s="5" t="n">
        <v>264</v>
      </c>
      <c r="B265" s="6" t="inlineStr">
        <is>
          <t>OYO Life 92620 Syfa Kost</t>
        </is>
      </c>
      <c r="C265" s="6" t="n">
        <v>45892</v>
      </c>
      <c r="D265" s="6" t="n">
        <v>-7.9228265</v>
      </c>
      <c r="E265" s="6" t="n">
        <v>112.5986025</v>
      </c>
    </row>
    <row r="266">
      <c r="A266" s="5" t="n">
        <v>265</v>
      </c>
      <c r="B266" s="6" t="inlineStr">
        <is>
          <t>Karjo Homestay</t>
        </is>
      </c>
      <c r="C266" s="6" t="n">
        <v>199017</v>
      </c>
      <c r="D266" s="6" t="n">
        <v>-7.9613829</v>
      </c>
      <c r="E266" s="6" t="n">
        <v>112.653596</v>
      </c>
    </row>
    <row r="267">
      <c r="A267" s="5" t="n">
        <v>266</v>
      </c>
      <c r="B267" s="6" t="inlineStr">
        <is>
          <t>OYO 3825 Lavender Sawojajar</t>
        </is>
      </c>
      <c r="C267" s="6" t="n">
        <v>36239</v>
      </c>
      <c r="D267" s="6" t="n">
        <v>-7.9724022</v>
      </c>
      <c r="E267" s="6" t="n">
        <v>112.6591519</v>
      </c>
    </row>
    <row r="268">
      <c r="A268" s="5" t="n">
        <v>267</v>
      </c>
      <c r="B268" s="6" t="inlineStr">
        <is>
          <t>Homestay Gayatri Sawojajar near Univ. Negeri Malang Kampus 2 Mitra RedDoorz</t>
        </is>
      </c>
      <c r="C268" s="6" t="n">
        <v>476914</v>
      </c>
      <c r="D268" s="6" t="n">
        <v>-7.9774828</v>
      </c>
      <c r="E268" s="6" t="n">
        <v>112.6673981</v>
      </c>
    </row>
    <row r="269">
      <c r="A269" s="5" t="n">
        <v>268</v>
      </c>
      <c r="B269" s="6" t="inlineStr">
        <is>
          <t>SM Guest House Malang Mitra RedDoorz</t>
        </is>
      </c>
      <c r="C269" s="6" t="n">
        <v>589609</v>
      </c>
      <c r="D269" s="6" t="n">
        <v>-7.9322731</v>
      </c>
      <c r="E269" s="6" t="n">
        <v>112.629404</v>
      </c>
    </row>
    <row r="270">
      <c r="A270" s="5" t="n">
        <v>269</v>
      </c>
      <c r="B270" s="6" t="inlineStr">
        <is>
          <t>Safa Guest House</t>
        </is>
      </c>
      <c r="C270" s="6" t="n">
        <v>117447</v>
      </c>
      <c r="D270" s="6" t="n">
        <v>-7.9723516</v>
      </c>
      <c r="E270" s="6" t="n">
        <v>112.6627635</v>
      </c>
    </row>
    <row r="271">
      <c r="A271" s="5" t="n">
        <v>270</v>
      </c>
      <c r="B271" s="6" t="inlineStr">
        <is>
          <t>Urbanview Hotel Gangnam near Mall Olympic Garden</t>
        </is>
      </c>
      <c r="C271" s="6" t="n">
        <v>315490</v>
      </c>
      <c r="D271" s="6" t="n">
        <v>-7.9721283</v>
      </c>
      <c r="E271" s="6" t="n">
        <v>112.61349</v>
      </c>
    </row>
    <row r="272">
      <c r="A272" s="5" t="n">
        <v>271</v>
      </c>
      <c r="B272" s="6" t="inlineStr">
        <is>
          <t>AMALIA Guest House &amp; Cafe</t>
        </is>
      </c>
      <c r="C272" s="6" t="n">
        <v>281083</v>
      </c>
      <c r="D272" s="6" t="n">
        <v>-7.9677916</v>
      </c>
      <c r="E272" s="6" t="n">
        <v>112.6262086</v>
      </c>
    </row>
    <row r="273">
      <c r="A273" s="5" t="n">
        <v>272</v>
      </c>
      <c r="B273" s="6" t="inlineStr">
        <is>
          <t>Sans Hotel Bobosini Malang</t>
        </is>
      </c>
      <c r="C273" s="6" t="n">
        <v>479690</v>
      </c>
      <c r="D273" s="6" t="n">
        <v>-7.9384694</v>
      </c>
      <c r="E273" s="6" t="n">
        <v>112.6333312</v>
      </c>
    </row>
    <row r="274">
      <c r="A274" s="5" t="n">
        <v>273</v>
      </c>
      <c r="B274" s="6" t="inlineStr">
        <is>
          <t>D'MAKTAB homestay &amp; cafe</t>
        </is>
      </c>
      <c r="C274" s="6" t="n">
        <v>36239</v>
      </c>
      <c r="D274" s="6" t="n">
        <v>-7.9509672</v>
      </c>
      <c r="E274" s="6" t="n">
        <v>112.6266273</v>
      </c>
    </row>
    <row r="275">
      <c r="A275" s="5" t="n">
        <v>274</v>
      </c>
      <c r="B275" s="6" t="inlineStr">
        <is>
          <t>Plum Dreamscape Inan Malang</t>
        </is>
      </c>
      <c r="C275" s="6" t="n">
        <v>520661</v>
      </c>
      <c r="D275" s="6" t="n">
        <v>-7.9703265</v>
      </c>
      <c r="E275" s="6" t="n">
        <v>112.6352386</v>
      </c>
    </row>
    <row r="276">
      <c r="A276" s="5" t="n">
        <v>275</v>
      </c>
      <c r="B276" s="6" t="inlineStr">
        <is>
          <t>Adisa Homestay</t>
        </is>
      </c>
      <c r="C276" s="6" t="n">
        <v>197188</v>
      </c>
      <c r="D276" s="6" t="n">
        <v>-7.9656722</v>
      </c>
      <c r="E276" s="6" t="n">
        <v>112.6319221</v>
      </c>
    </row>
    <row r="277">
      <c r="A277" s="5" t="n">
        <v>276</v>
      </c>
      <c r="B277" s="6" t="inlineStr">
        <is>
          <t>Shelter Hostel Malang</t>
        </is>
      </c>
      <c r="C277" s="6" t="n">
        <v>300000</v>
      </c>
      <c r="D277" s="6" t="n">
        <v>-7.9734603</v>
      </c>
      <c r="E277" s="6" t="n">
        <v>112.634562</v>
      </c>
    </row>
    <row r="278">
      <c r="A278" s="5" t="n">
        <v>277</v>
      </c>
      <c r="B278" s="6" t="inlineStr">
        <is>
          <t>OYO 90379 Holistay Malang</t>
        </is>
      </c>
      <c r="C278" s="6" t="n">
        <v>475007</v>
      </c>
      <c r="D278" s="6" t="n">
        <v>-7.9356437</v>
      </c>
      <c r="E278" s="6" t="n">
        <v>112.6495217</v>
      </c>
    </row>
    <row r="279">
      <c r="A279" s="5" t="n">
        <v>278</v>
      </c>
      <c r="B279" s="6" t="inlineStr">
        <is>
          <t>RedDoorz @ Simple Stay Malang</t>
        </is>
      </c>
      <c r="C279" s="6" t="n">
        <v>381517</v>
      </c>
      <c r="D279" s="6" t="n">
        <v>-7.946813</v>
      </c>
      <c r="E279" s="6" t="n">
        <v>112.632688</v>
      </c>
    </row>
    <row r="280">
      <c r="A280" s="5" t="n">
        <v>279</v>
      </c>
      <c r="B280" s="6" t="inlineStr">
        <is>
          <t>Reddoorz @ Ciliwung Guest House Syariah</t>
        </is>
      </c>
      <c r="C280" s="6" t="n">
        <v>486888</v>
      </c>
      <c r="D280" s="6" t="n">
        <v>-7.9526741</v>
      </c>
      <c r="E280" s="6" t="n">
        <v>112.6408287</v>
      </c>
    </row>
    <row r="281">
      <c r="A281" s="5" t="n">
        <v>280</v>
      </c>
      <c r="B281" s="6" t="inlineStr">
        <is>
          <t>Yutaka Inn Suhat Raya Malang</t>
        </is>
      </c>
      <c r="C281" s="6" t="n">
        <v>124024</v>
      </c>
      <c r="D281" s="6" t="n">
        <v>-7.9392584</v>
      </c>
      <c r="E281" s="6" t="n">
        <v>112.625338</v>
      </c>
    </row>
    <row r="282">
      <c r="A282" s="5" t="n">
        <v>281</v>
      </c>
      <c r="B282" s="6" t="inlineStr">
        <is>
          <t>D'Paragon Ijen Nirwana Malang</t>
        </is>
      </c>
      <c r="C282" s="6" t="n">
        <v>232546</v>
      </c>
      <c r="D282" s="6" t="n">
        <v>-7.9775474</v>
      </c>
      <c r="E282" s="6" t="n">
        <v>112.6195581</v>
      </c>
    </row>
    <row r="283">
      <c r="A283" s="5" t="n">
        <v>282</v>
      </c>
      <c r="B283" s="6" t="inlineStr">
        <is>
          <t>Shini Guest House</t>
        </is>
      </c>
      <c r="C283" s="6" t="n">
        <v>36239</v>
      </c>
      <c r="D283" s="6" t="n">
        <v>-7.9347155</v>
      </c>
      <c r="E283" s="6" t="n">
        <v>112.6170637</v>
      </c>
    </row>
    <row r="284">
      <c r="A284" s="5" t="n">
        <v>283</v>
      </c>
      <c r="B284" s="6" t="inlineStr">
        <is>
          <t>D'Paragon Songgolangit Malang</t>
        </is>
      </c>
      <c r="C284" s="6" t="n">
        <v>491400</v>
      </c>
      <c r="D284" s="6" t="n">
        <v>-7.946236</v>
      </c>
      <c r="E284" s="6" t="n">
        <v>112.623901</v>
      </c>
    </row>
    <row r="285">
      <c r="A285" s="5" t="n">
        <v>284</v>
      </c>
      <c r="B285" s="6" t="inlineStr">
        <is>
          <t>Griya Kendedes Guest House &amp; Kos</t>
        </is>
      </c>
      <c r="C285" s="6" t="n">
        <v>414281</v>
      </c>
      <c r="D285" s="6" t="n">
        <v>-7.9447396</v>
      </c>
      <c r="E285" s="6" t="n">
        <v>112.6203666</v>
      </c>
    </row>
    <row r="286">
      <c r="A286" s="5" t="n">
        <v>285</v>
      </c>
      <c r="B286" s="6" t="inlineStr">
        <is>
          <t>Fafana Syariah Mitra RedDoorz</t>
        </is>
      </c>
      <c r="C286" s="6" t="n">
        <v>156206</v>
      </c>
      <c r="D286" s="6" t="n">
        <v>-7.9572133</v>
      </c>
      <c r="E286" s="6" t="n">
        <v>112.6340556</v>
      </c>
    </row>
    <row r="287">
      <c r="A287" s="5" t="n">
        <v>286</v>
      </c>
      <c r="B287" s="6" t="inlineStr">
        <is>
          <t>RedDoorz @ Jalan Kedawung</t>
        </is>
      </c>
      <c r="C287" s="6" t="n">
        <v>328462</v>
      </c>
      <c r="D287" s="6" t="n">
        <v>-7.9533803</v>
      </c>
      <c r="E287" s="6" t="n">
        <v>112.6370464</v>
      </c>
    </row>
    <row r="288">
      <c r="A288" s="5" t="n">
        <v>287</v>
      </c>
      <c r="B288" s="6" t="inlineStr">
        <is>
          <t>Damar Boutique Hotel</t>
        </is>
      </c>
      <c r="C288" s="6" t="n">
        <v>253890</v>
      </c>
      <c r="D288" s="6" t="n">
        <v>-7.9526915</v>
      </c>
      <c r="E288" s="6" t="n">
        <v>112.6361312</v>
      </c>
    </row>
    <row r="289">
      <c r="A289" s="5" t="n">
        <v>288</v>
      </c>
      <c r="B289" s="6" t="inlineStr">
        <is>
          <t>Little Malang Hostel</t>
        </is>
      </c>
      <c r="C289" s="6" t="n">
        <v>88219</v>
      </c>
      <c r="D289" s="6" t="n">
        <v>-7.9877661</v>
      </c>
      <c r="E289" s="6" t="n">
        <v>112.631538</v>
      </c>
    </row>
    <row r="290">
      <c r="A290" s="5" t="n">
        <v>289</v>
      </c>
      <c r="B290" s="6" t="inlineStr">
        <is>
          <t>Reddoorz Near Universitas Widyagama Malang</t>
        </is>
      </c>
      <c r="C290" s="6" t="n">
        <v>329496</v>
      </c>
      <c r="D290" s="6" t="n">
        <v>-7.9366331</v>
      </c>
      <c r="E290" s="6" t="n">
        <v>112.6358111</v>
      </c>
    </row>
    <row r="291">
      <c r="A291" s="5" t="n">
        <v>290</v>
      </c>
      <c r="B291" s="6" t="inlineStr">
        <is>
          <t>OYO Life 92621 Zain Kost</t>
        </is>
      </c>
      <c r="C291" s="6" t="n">
        <v>285714</v>
      </c>
      <c r="D291" s="6" t="n">
        <v>-7.9100314</v>
      </c>
      <c r="E291" s="6" t="n">
        <v>112.6368854</v>
      </c>
    </row>
    <row r="292">
      <c r="A292" s="5" t="n">
        <v>291</v>
      </c>
      <c r="B292" s="6" t="inlineStr">
        <is>
          <t>Hotel O 94706 Rumah Kalimosodo</t>
        </is>
      </c>
      <c r="C292" s="6" t="n">
        <v>290083</v>
      </c>
      <c r="D292" s="6" t="n">
        <v>-7.98258</v>
      </c>
      <c r="E292" s="6" t="n">
        <v>112.649271</v>
      </c>
    </row>
    <row r="293">
      <c r="A293" s="5" t="n">
        <v>292</v>
      </c>
      <c r="B293" s="6" t="inlineStr">
        <is>
          <t>RedDoorz near Universitas Widyagama Malang 2</t>
        </is>
      </c>
      <c r="C293" s="6" t="n">
        <v>479741</v>
      </c>
      <c r="D293" s="6" t="n">
        <v>-7.9370977</v>
      </c>
      <c r="E293" s="6" t="n">
        <v>112.635225</v>
      </c>
    </row>
    <row r="294">
      <c r="A294" s="5" t="n">
        <v>293</v>
      </c>
      <c r="B294" s="6" t="inlineStr">
        <is>
          <t>Tree Homestay Mitra RedDoorz</t>
        </is>
      </c>
      <c r="C294" s="6" t="n">
        <v>509177</v>
      </c>
      <c r="D294" s="6" t="n">
        <v>-7.9608663</v>
      </c>
      <c r="E294" s="6" t="n">
        <v>112.6048963</v>
      </c>
    </row>
    <row r="295">
      <c r="A295" s="5" t="n">
        <v>294</v>
      </c>
      <c r="B295" s="6" t="inlineStr">
        <is>
          <t>Youkata Stay Hotel Malang</t>
        </is>
      </c>
      <c r="C295" s="6" t="n">
        <v>36239</v>
      </c>
      <c r="D295" s="6" t="n">
        <v>-7.9658718</v>
      </c>
      <c r="E295" s="6" t="n">
        <v>112.6369394</v>
      </c>
    </row>
    <row r="296">
      <c r="A296" s="5" t="n">
        <v>295</v>
      </c>
      <c r="B296" s="6" t="inlineStr">
        <is>
          <t>Bromo Breeze by Zzz</t>
        </is>
      </c>
      <c r="C296" s="6" t="n">
        <v>265576</v>
      </c>
      <c r="D296" s="6" t="n">
        <v>-7.9764613</v>
      </c>
      <c r="E296" s="6" t="n">
        <v>112.6566597</v>
      </c>
    </row>
    <row r="297">
      <c r="A297" s="5" t="n">
        <v>296</v>
      </c>
      <c r="B297" s="6" t="inlineStr">
        <is>
          <t>dinoyo homestay syariah</t>
        </is>
      </c>
      <c r="C297" s="6" t="n">
        <v>71658</v>
      </c>
      <c r="D297" s="6" t="n">
        <v>-7.9395241</v>
      </c>
      <c r="E297" s="6" t="n">
        <v>112.6085081</v>
      </c>
    </row>
    <row r="298">
      <c r="A298" s="5" t="n">
        <v>297</v>
      </c>
      <c r="B298" s="6" t="inlineStr">
        <is>
          <t>Griya Borobudur Malang RedPartner</t>
        </is>
      </c>
      <c r="C298" s="6" t="n">
        <v>553279</v>
      </c>
      <c r="D298" s="6" t="n">
        <v>-7.9365379</v>
      </c>
      <c r="E298" s="6" t="n">
        <v>112.6366452</v>
      </c>
    </row>
    <row r="299">
      <c r="A299" s="5" t="n">
        <v>298</v>
      </c>
      <c r="B299" s="6" t="inlineStr">
        <is>
          <t>Dpavilion Guest House &amp; Resto</t>
        </is>
      </c>
      <c r="C299" s="6" t="n">
        <v>331695</v>
      </c>
      <c r="D299" s="6" t="n">
        <v>-7.9709438</v>
      </c>
      <c r="E299" s="6" t="n">
        <v>112.6251358</v>
      </c>
    </row>
    <row r="300">
      <c r="A300" s="5" t="n">
        <v>299</v>
      </c>
      <c r="B300" s="6" t="inlineStr">
        <is>
          <t>Sentral homestay</t>
        </is>
      </c>
      <c r="C300" s="6" t="n">
        <v>286650</v>
      </c>
      <c r="D300" s="6" t="n">
        <v>-7.9813198</v>
      </c>
      <c r="E300" s="6" t="n">
        <v>112.6289104</v>
      </c>
    </row>
    <row r="301">
      <c r="A301" s="5" t="n">
        <v>300</v>
      </c>
      <c r="B301" s="6" t="inlineStr">
        <is>
          <t>D'Paragon Bukit Dieng Malang</t>
        </is>
      </c>
      <c r="C301" s="6" t="n">
        <v>209752</v>
      </c>
      <c r="D301" s="6" t="n">
        <v>-7.9726885</v>
      </c>
      <c r="E301" s="6" t="n">
        <v>112.6008373</v>
      </c>
    </row>
    <row r="302">
      <c r="A302" s="5" t="n">
        <v>301</v>
      </c>
      <c r="B302" s="6" t="inlineStr">
        <is>
          <t>Dei Kost</t>
        </is>
      </c>
      <c r="C302" s="6" t="n">
        <v>532350</v>
      </c>
      <c r="D302" s="6" t="n">
        <v>-7.9303611</v>
      </c>
      <c r="E302" s="6" t="n">
        <v>112.6485267</v>
      </c>
    </row>
    <row r="303">
      <c r="A303" s="5" t="n">
        <v>302</v>
      </c>
      <c r="B303" s="6" t="inlineStr">
        <is>
          <t>RedDoorz Syariah near Gor Ken Arok</t>
        </is>
      </c>
      <c r="C303" s="6" t="n">
        <v>268305</v>
      </c>
      <c r="D303" s="6" t="n">
        <v>-8.0143109</v>
      </c>
      <c r="E303" s="6" t="n">
        <v>112.6421937</v>
      </c>
    </row>
    <row r="304">
      <c r="A304" s="5" t="n">
        <v>303</v>
      </c>
      <c r="B304" s="6" t="inlineStr">
        <is>
          <t>Tini’s Guest House</t>
        </is>
      </c>
      <c r="C304" s="6" t="n">
        <v>176898</v>
      </c>
      <c r="D304" s="6" t="n">
        <v>-7.9728819</v>
      </c>
      <c r="E304" s="6" t="n">
        <v>112.618846</v>
      </c>
    </row>
    <row r="305">
      <c r="A305" s="5" t="n">
        <v>304</v>
      </c>
      <c r="B305" s="6" t="inlineStr">
        <is>
          <t>CUBIC ONE CAPSULE</t>
        </is>
      </c>
      <c r="C305" s="6" t="n">
        <v>143735</v>
      </c>
      <c r="D305" s="6" t="n">
        <v>-7.9418552</v>
      </c>
      <c r="E305" s="6" t="n">
        <v>112.6320865</v>
      </c>
    </row>
    <row r="306">
      <c r="A306" s="5" t="n">
        <v>305</v>
      </c>
      <c r="B306" s="6" t="inlineStr">
        <is>
          <t>Grand Mercure Malang Mirama</t>
        </is>
      </c>
      <c r="C306" s="6" t="n">
        <v>851695</v>
      </c>
      <c r="D306" s="6" t="n">
        <v>-7.941957</v>
      </c>
      <c r="E306" s="6" t="n">
        <v>112.648372</v>
      </c>
    </row>
    <row r="307">
      <c r="A307" s="5" t="n">
        <v>306</v>
      </c>
      <c r="B307" s="6" t="inlineStr">
        <is>
          <t>The Singhasari Resort</t>
        </is>
      </c>
      <c r="C307" s="6" t="n">
        <v>1695332</v>
      </c>
      <c r="D307" s="6" t="n">
        <v>-7.893131</v>
      </c>
      <c r="E307" s="6" t="n">
        <v>112.550214</v>
      </c>
    </row>
    <row r="308">
      <c r="A308" s="5" t="n">
        <v>307</v>
      </c>
      <c r="B308" s="6" t="inlineStr">
        <is>
          <t>Hotel Tugu Malang</t>
        </is>
      </c>
      <c r="C308" s="6" t="n">
        <v>1176767</v>
      </c>
      <c r="D308" s="6" t="n">
        <v>-7.9772124</v>
      </c>
      <c r="E308" s="6" t="n">
        <v>112.6331606</v>
      </c>
    </row>
    <row r="309">
      <c r="A309" s="5" t="n">
        <v>308</v>
      </c>
      <c r="B309" s="6" t="inlineStr">
        <is>
          <t>The Shalimar Boutique Hotel Malang</t>
        </is>
      </c>
      <c r="C309" s="6" t="n">
        <v>870247</v>
      </c>
      <c r="D309" s="6" t="n">
        <v>-7.9700247</v>
      </c>
      <c r="E309" s="6" t="n">
        <v>112.6251707</v>
      </c>
    </row>
    <row r="310">
      <c r="A310" s="5" t="n">
        <v>309</v>
      </c>
      <c r="B310" s="6" t="inlineStr">
        <is>
          <t>The Alana Hotel Malang</t>
        </is>
      </c>
      <c r="C310" s="6" t="n">
        <v>1097373</v>
      </c>
      <c r="D310" s="6" t="n">
        <v>-7.9439198</v>
      </c>
      <c r="E310" s="6" t="n">
        <v>112.6417984</v>
      </c>
    </row>
    <row r="311">
      <c r="A311" s="5" t="n">
        <v>310</v>
      </c>
      <c r="B311" s="6" t="inlineStr">
        <is>
          <t>HARRIS Hotel and Conventions Malang</t>
        </is>
      </c>
      <c r="C311" s="6" t="n">
        <v>791405</v>
      </c>
      <c r="D311" s="6" t="n">
        <v>-7.9260345</v>
      </c>
      <c r="E311" s="6" t="n">
        <v>112.6452199</v>
      </c>
    </row>
    <row r="312">
      <c r="A312" s="5" t="n">
        <v>311</v>
      </c>
      <c r="B312" s="6" t="inlineStr">
        <is>
          <t>Savana Hotel &amp; Convention</t>
        </is>
      </c>
      <c r="C312" s="6" t="n">
        <v>1185258</v>
      </c>
      <c r="D312" s="6" t="n">
        <v>-7.962378</v>
      </c>
      <c r="E312" s="6" t="n">
        <v>112.6362861</v>
      </c>
    </row>
    <row r="313">
      <c r="A313" s="5" t="n">
        <v>312</v>
      </c>
      <c r="B313" s="6" t="inlineStr">
        <is>
          <t>Atria Hotel Malang</t>
        </is>
      </c>
      <c r="C313" s="6" t="n">
        <v>939651</v>
      </c>
      <c r="D313" s="6" t="n">
        <v>-7.9494317</v>
      </c>
      <c r="E313" s="6" t="n">
        <v>112.6392224</v>
      </c>
    </row>
    <row r="314">
      <c r="A314" s="5" t="n">
        <v>313</v>
      </c>
      <c r="B314" s="6" t="inlineStr">
        <is>
          <t>Aria Gajayana Hotel</t>
        </is>
      </c>
      <c r="C314" s="6" t="n">
        <v>982801</v>
      </c>
      <c r="D314" s="6" t="n">
        <v>-7.977585</v>
      </c>
      <c r="E314" s="6" t="n">
        <v>112.624006</v>
      </c>
    </row>
    <row r="315">
      <c r="A315" s="5" t="n">
        <v>314</v>
      </c>
      <c r="B315" s="6" t="inlineStr">
        <is>
          <t>Ascent Premiere Hotel and Convention</t>
        </is>
      </c>
      <c r="C315" s="6" t="n">
        <v>1260000</v>
      </c>
      <c r="D315" s="6" t="n">
        <v>-7.995367</v>
      </c>
      <c r="E315" s="6" t="n">
        <v>112.632932</v>
      </c>
    </row>
    <row r="316">
      <c r="A316" s="5" t="n">
        <v>315</v>
      </c>
      <c r="B316" s="6" t="inlineStr">
        <is>
          <t>Hotel Grand Cakra</t>
        </is>
      </c>
      <c r="C316" s="6" t="n">
        <v>627485</v>
      </c>
      <c r="D316" s="6" t="n">
        <v>-7.9358583</v>
      </c>
      <c r="E316" s="6" t="n">
        <v>112.6512298</v>
      </c>
    </row>
    <row r="317">
      <c r="A317" s="5" t="n">
        <v>316</v>
      </c>
      <c r="B317" s="6" t="inlineStr">
        <is>
          <t>Rayz UMM Hotel Malang</t>
        </is>
      </c>
      <c r="C317" s="6" t="n">
        <v>530617</v>
      </c>
      <c r="D317" s="6" t="n">
        <v>-7.9207036</v>
      </c>
      <c r="E317" s="6" t="n">
        <v>112.5937484</v>
      </c>
    </row>
    <row r="318">
      <c r="A318" s="5" t="n">
        <v>317</v>
      </c>
      <c r="B318" s="6" t="inlineStr">
        <is>
          <t>Hotel Pelangi Malang, Kayutangan Heritage</t>
        </is>
      </c>
      <c r="C318" s="6" t="n">
        <v>379607</v>
      </c>
      <c r="D318" s="6" t="n">
        <v>-7.9836023</v>
      </c>
      <c r="E318" s="6" t="n">
        <v>112.6298098</v>
      </c>
    </row>
    <row r="319">
      <c r="A319" s="5" t="n">
        <v>318</v>
      </c>
      <c r="B319" s="6" t="inlineStr">
        <is>
          <t>THE 1O1 Malang OJ</t>
        </is>
      </c>
      <c r="C319" s="6" t="n">
        <v>1309877</v>
      </c>
      <c r="D319" s="6" t="n">
        <v>-7.9680455</v>
      </c>
      <c r="E319" s="6" t="n">
        <v>112.6354553</v>
      </c>
    </row>
    <row r="320">
      <c r="A320" s="5" t="n">
        <v>319</v>
      </c>
      <c r="B320" s="6" t="inlineStr">
        <is>
          <t>Hotel Tychi</t>
        </is>
      </c>
      <c r="C320" s="6" t="n">
        <v>516756</v>
      </c>
      <c r="D320" s="6" t="n">
        <v>-7.9729004</v>
      </c>
      <c r="E320" s="6" t="n">
        <v>112.6304453</v>
      </c>
    </row>
    <row r="321">
      <c r="A321" s="5" t="n">
        <v>320</v>
      </c>
      <c r="B321" s="6" t="inlineStr">
        <is>
          <t>Hotel Santika Premiere Malang</t>
        </is>
      </c>
      <c r="C321" s="6" t="n">
        <v>728725</v>
      </c>
      <c r="D321" s="6" t="n">
        <v>-7.9581655</v>
      </c>
      <c r="E321" s="6" t="n">
        <v>112.63698</v>
      </c>
    </row>
    <row r="322">
      <c r="A322" s="5" t="n">
        <v>321</v>
      </c>
      <c r="B322" s="6" t="inlineStr">
        <is>
          <t>Hotel Radho Syariah malang</t>
        </is>
      </c>
      <c r="C322" s="6" t="n">
        <v>480546</v>
      </c>
      <c r="D322" s="6" t="n">
        <v>-7.91585</v>
      </c>
      <c r="E322" s="6" t="n">
        <v>112.5869394</v>
      </c>
    </row>
    <row r="323">
      <c r="A323" s="5" t="n">
        <v>322</v>
      </c>
      <c r="B323" s="6" t="inlineStr">
        <is>
          <t>Djoglo Luxury Bungalow</t>
        </is>
      </c>
      <c r="C323" s="6" t="n">
        <v>2342884</v>
      </c>
      <c r="D323" s="6" t="n">
        <v>-7.9319402</v>
      </c>
      <c r="E323" s="6" t="n">
        <v>112.6641896</v>
      </c>
    </row>
    <row r="324">
      <c r="A324" s="5" t="n">
        <v>323</v>
      </c>
      <c r="B324" s="6" t="inlineStr">
        <is>
          <t>The Aliante Hotel &amp; Convention Center</t>
        </is>
      </c>
      <c r="C324" s="6" t="n">
        <v>573301</v>
      </c>
      <c r="D324" s="6" t="n">
        <v>-7.9815235</v>
      </c>
      <c r="E324" s="6" t="n">
        <v>112.6348243</v>
      </c>
    </row>
    <row r="325">
      <c r="A325" s="5" t="n">
        <v>324</v>
      </c>
      <c r="B325" s="6" t="inlineStr">
        <is>
          <t>Ijen Suites Resort &amp; Convention Malang</t>
        </is>
      </c>
      <c r="C325" s="6" t="n">
        <v>721333</v>
      </c>
      <c r="D325" s="6" t="n">
        <v>-7.9806558</v>
      </c>
      <c r="E325" s="6" t="n">
        <v>112.615438</v>
      </c>
    </row>
    <row r="326">
      <c r="A326" s="5" t="n">
        <v>325</v>
      </c>
      <c r="B326" s="6" t="inlineStr">
        <is>
          <t>RedDoorz near Balai Kota Malang</t>
        </is>
      </c>
      <c r="C326" s="6" t="n">
        <v>200771</v>
      </c>
      <c r="D326" s="6" t="n">
        <v>-7.9776647</v>
      </c>
      <c r="E326" s="6" t="n">
        <v>112.6331623</v>
      </c>
    </row>
    <row r="327">
      <c r="A327" s="5" t="n">
        <v>326</v>
      </c>
      <c r="B327" s="6" t="inlineStr">
        <is>
          <t>RedDoorz Syariah near Universitas Negeri Malang</t>
        </is>
      </c>
      <c r="C327" s="6" t="n">
        <v>461290</v>
      </c>
      <c r="D327" s="6" t="n">
        <v>-7.9644382</v>
      </c>
      <c r="E327" s="6" t="n">
        <v>112.6191322</v>
      </c>
    </row>
    <row r="328">
      <c r="A328" s="5" t="n">
        <v>327</v>
      </c>
      <c r="B328" s="6" t="inlineStr">
        <is>
          <t>RedDoorz Premium @ Jalan Cengkeh Malang</t>
        </is>
      </c>
      <c r="C328" s="6" t="n">
        <v>415488</v>
      </c>
      <c r="D328" s="6" t="n">
        <v>-7.9461178</v>
      </c>
      <c r="E328" s="6" t="n">
        <v>112.621726</v>
      </c>
    </row>
    <row r="329">
      <c r="A329" s="5" t="n">
        <v>328</v>
      </c>
      <c r="B329" s="6" t="inlineStr">
        <is>
          <t>RedDoorz Plus near Malang Town Square</t>
        </is>
      </c>
      <c r="C329" s="6" t="n">
        <v>260084</v>
      </c>
      <c r="D329" s="6" t="n">
        <v>-7.9543768</v>
      </c>
      <c r="E329" s="6" t="n">
        <v>112.6204369</v>
      </c>
    </row>
    <row r="330">
      <c r="A330" s="5" t="n">
        <v>329</v>
      </c>
      <c r="B330" s="6" t="inlineStr">
        <is>
          <t>RedDoorz @ Daffi Araya</t>
        </is>
      </c>
      <c r="C330" s="6" t="n">
        <v>140927</v>
      </c>
      <c r="D330" s="6" t="n">
        <v>-7.9413188</v>
      </c>
      <c r="E330" s="6" t="n">
        <v>112.6571294</v>
      </c>
    </row>
    <row r="331">
      <c r="A331" s="5" t="n">
        <v>330</v>
      </c>
      <c r="B331" s="6" t="inlineStr">
        <is>
          <t>RedDoorz near Araya Family Club House</t>
        </is>
      </c>
      <c r="C331" s="6" t="n">
        <v>187198</v>
      </c>
      <c r="D331" s="6" t="n">
        <v>-7.9413584</v>
      </c>
      <c r="E331" s="6" t="n">
        <v>112.6668099</v>
      </c>
    </row>
    <row r="332">
      <c r="A332" s="5" t="n">
        <v>331</v>
      </c>
      <c r="B332" s="6" t="inlineStr">
        <is>
          <t>RedDoorz Plus @ Swun Stay Raya Langsep</t>
        </is>
      </c>
      <c r="C332" s="6" t="n">
        <v>440989</v>
      </c>
      <c r="D332" s="6" t="n">
        <v>-7.9816774</v>
      </c>
      <c r="E332" s="6" t="n">
        <v>112.6144323</v>
      </c>
    </row>
    <row r="333">
      <c r="A333" s="5" t="n">
        <v>332</v>
      </c>
      <c r="B333" s="6" t="inlineStr">
        <is>
          <t>RedDoorz @ Jalan Danau Limboto</t>
        </is>
      </c>
      <c r="C333" s="6" t="n">
        <v>345088</v>
      </c>
      <c r="D333" s="6" t="n">
        <v>-7.9698047</v>
      </c>
      <c r="E333" s="6" t="n">
        <v>112.6617484</v>
      </c>
    </row>
    <row r="334">
      <c r="A334" s="5" t="n">
        <v>333</v>
      </c>
      <c r="B334" s="6" t="inlineStr">
        <is>
          <t>RedDoorz @ Soekarno Hatta Indah</t>
        </is>
      </c>
      <c r="C334" s="6" t="n">
        <v>343499</v>
      </c>
      <c r="D334" s="6" t="n">
        <v>-7.9393799</v>
      </c>
      <c r="E334" s="6" t="n">
        <v>112.6296212</v>
      </c>
    </row>
    <row r="335">
      <c r="A335" s="5" t="n">
        <v>334</v>
      </c>
      <c r="B335" s="6" t="inlineStr">
        <is>
          <t>RedDoorz Plus near Brawijaya Museum</t>
        </is>
      </c>
      <c r="C335" s="6" t="n">
        <v>415604</v>
      </c>
      <c r="D335" s="6" t="n">
        <v>-7.9728937</v>
      </c>
      <c r="E335" s="6" t="n">
        <v>112.6179994</v>
      </c>
    </row>
    <row r="336">
      <c r="A336" s="5" t="n">
        <v>335</v>
      </c>
      <c r="B336" s="6" t="inlineStr">
        <is>
          <t>RedDoorz Hostel @ Malang City Center 2</t>
        </is>
      </c>
      <c r="C336" s="6" t="n">
        <v>91032</v>
      </c>
      <c r="D336" s="6" t="n">
        <v>-7.9666938</v>
      </c>
      <c r="E336" s="6" t="n">
        <v>112.6338921</v>
      </c>
    </row>
    <row r="337">
      <c r="A337" s="5" t="n">
        <v>336</v>
      </c>
      <c r="B337" s="6" t="inlineStr">
        <is>
          <t>RedDoorz @ Lowokwaru</t>
        </is>
      </c>
      <c r="C337" s="6" t="n">
        <v>138588</v>
      </c>
      <c r="D337" s="6" t="n">
        <v>-7.9610014</v>
      </c>
      <c r="E337" s="6" t="n">
        <v>112.6342137</v>
      </c>
    </row>
    <row r="338">
      <c r="A338" s="5" t="n">
        <v>337</v>
      </c>
      <c r="B338" s="6" t="inlineStr">
        <is>
          <t>RedDoorz near Batik Tulis Celaket 2</t>
        </is>
      </c>
      <c r="C338" s="6" t="n">
        <v>51823</v>
      </c>
      <c r="D338" s="6" t="n">
        <v>-7.9643493</v>
      </c>
      <c r="E338" s="6" t="n">
        <v>112.6301868</v>
      </c>
    </row>
    <row r="339">
      <c r="A339" s="5" t="n">
        <v>338</v>
      </c>
      <c r="B339" s="6" t="inlineStr">
        <is>
          <t>RedDoorz Syariah @ Klojen Malang</t>
        </is>
      </c>
      <c r="C339" s="6" t="n">
        <v>173565</v>
      </c>
      <c r="D339" s="6" t="n">
        <v>-7.9898665</v>
      </c>
      <c r="E339" s="6" t="n">
        <v>112.6272314</v>
      </c>
    </row>
    <row r="340">
      <c r="A340" s="5" t="n">
        <v>339</v>
      </c>
      <c r="B340" s="6" t="inlineStr">
        <is>
          <t>RedDoorz near Jawa Timur Park 3</t>
        </is>
      </c>
      <c r="C340" s="6" t="n">
        <v>402423</v>
      </c>
      <c r="D340" s="6" t="n">
        <v>-7.904144</v>
      </c>
      <c r="E340" s="6" t="n">
        <v>112.5657147</v>
      </c>
    </row>
    <row r="341">
      <c r="A341" s="5" t="n">
        <v>340</v>
      </c>
      <c r="B341" s="6" t="inlineStr">
        <is>
          <t>RedDoorz Plus @ Kalpataru</t>
        </is>
      </c>
      <c r="C341" s="6" t="n">
        <v>517523</v>
      </c>
      <c r="D341" s="6" t="n">
        <v>-7.9511644</v>
      </c>
      <c r="E341" s="6" t="n">
        <v>112.6331157</v>
      </c>
    </row>
    <row r="342">
      <c r="A342" s="5" t="n">
        <v>341</v>
      </c>
      <c r="B342" s="6" t="inlineStr">
        <is>
          <t>RedDoorz Near Stasiun Lawang</t>
        </is>
      </c>
      <c r="C342" s="6" t="n">
        <v>528068</v>
      </c>
      <c r="D342" s="6" t="n">
        <v>-7.8301765</v>
      </c>
      <c r="E342" s="6" t="n">
        <v>112.6920854</v>
      </c>
    </row>
    <row r="343">
      <c r="A343" s="5" t="n">
        <v>342</v>
      </c>
      <c r="B343" s="6" t="inlineStr">
        <is>
          <t>RedDoorz @ Blimbing Malang</t>
        </is>
      </c>
      <c r="C343" s="6" t="n">
        <v>123382</v>
      </c>
      <c r="D343" s="6" t="n">
        <v>-7.9424881</v>
      </c>
      <c r="E343" s="6" t="n">
        <v>112.6387228</v>
      </c>
    </row>
    <row r="344">
      <c r="A344" s="5" t="n">
        <v>343</v>
      </c>
      <c r="B344" s="6" t="inlineStr">
        <is>
          <t>RedDoorz Plus @ Idjen Boulevard Malang</t>
        </is>
      </c>
      <c r="C344" s="6" t="n">
        <v>101275</v>
      </c>
      <c r="D344" s="6" t="n">
        <v>-7.9695437</v>
      </c>
      <c r="E344" s="6" t="n">
        <v>112.6241626</v>
      </c>
    </row>
    <row r="345">
      <c r="A345" s="5" t="n">
        <v>344</v>
      </c>
      <c r="B345" s="6" t="inlineStr">
        <is>
          <t>RedDoorz near Brawijaya University</t>
        </is>
      </c>
      <c r="C345" s="6" t="n">
        <v>415604</v>
      </c>
      <c r="D345" s="6" t="n">
        <v>-7.9542533</v>
      </c>
      <c r="E345" s="6" t="n">
        <v>112.6199554</v>
      </c>
    </row>
    <row r="346">
      <c r="A346" s="5" t="n">
        <v>345</v>
      </c>
      <c r="B346" s="6" t="inlineStr">
        <is>
          <t>RedDoorz Syariah @ Danau Kerinci Sawojajar</t>
        </is>
      </c>
      <c r="C346" s="6" t="n">
        <v>473363</v>
      </c>
      <c r="D346" s="6" t="n">
        <v>-7.9714902</v>
      </c>
      <c r="E346" s="6" t="n">
        <v>112.6641251</v>
      </c>
    </row>
    <row r="347">
      <c r="A347" s="5" t="n">
        <v>346</v>
      </c>
      <c r="B347" s="6" t="inlineStr">
        <is>
          <t>RedDoorz Hostel @ Borobudur Street</t>
        </is>
      </c>
      <c r="C347" s="6" t="n">
        <v>486333</v>
      </c>
      <c r="D347" s="6" t="n">
        <v>-7.9390946</v>
      </c>
      <c r="E347" s="6" t="n">
        <v>112.6333189</v>
      </c>
    </row>
    <row r="348">
      <c r="A348" s="5" t="n">
        <v>347</v>
      </c>
      <c r="B348" s="6" t="inlineStr">
        <is>
          <t>RedDoorz near Wisata Paribendo Lawang</t>
        </is>
      </c>
      <c r="C348" s="6" t="n">
        <v>459020</v>
      </c>
      <c r="D348" s="6" t="n">
        <v>-7.8359722</v>
      </c>
      <c r="E348" s="6" t="n">
        <v>112.6848278</v>
      </c>
    </row>
    <row r="349">
      <c r="A349" s="5" t="n">
        <v>348</v>
      </c>
      <c r="B349" s="6" t="inlineStr">
        <is>
          <t>RedDoorz Syariah @ Jl. Cengger Ayam Dalam</t>
        </is>
      </c>
      <c r="C349" s="6" t="n">
        <v>480622</v>
      </c>
      <c r="D349" s="6" t="n">
        <v>-7.9464165</v>
      </c>
      <c r="E349" s="6" t="n">
        <v>112.629455</v>
      </c>
    </row>
    <row r="350">
      <c r="A350" s="5" t="n">
        <v>349</v>
      </c>
      <c r="B350" s="6" t="inlineStr">
        <is>
          <t>Griya Gribig Guest House Mitra RedDoorz</t>
        </is>
      </c>
      <c r="C350" s="6" t="n">
        <v>347218</v>
      </c>
      <c r="D350" s="6" t="n">
        <v>-7.9803516</v>
      </c>
      <c r="E350" s="6" t="n">
        <v>112.6651629</v>
      </c>
    </row>
    <row r="351">
      <c r="A351" s="5" t="n">
        <v>350</v>
      </c>
      <c r="B351" s="6" t="inlineStr">
        <is>
          <t>RedDoorz @ Bukit Dieng 2</t>
        </is>
      </c>
      <c r="C351" s="6" t="n">
        <v>458472</v>
      </c>
      <c r="D351" s="6" t="n">
        <v>-7.9713225</v>
      </c>
      <c r="E351" s="6" t="n">
        <v>112.5982818</v>
      </c>
    </row>
    <row r="352">
      <c r="A352" s="5" t="n">
        <v>351</v>
      </c>
      <c r="B352" s="6" t="inlineStr">
        <is>
          <t>RedDoorz near Stasiun Malang Kota Lama 2</t>
        </is>
      </c>
      <c r="C352" s="6" t="n">
        <v>51823</v>
      </c>
      <c r="D352" s="6" t="n">
        <v>-7.9931945</v>
      </c>
      <c r="E352" s="6" t="n">
        <v>112.6314374</v>
      </c>
    </row>
    <row r="353">
      <c r="A353" s="5" t="n">
        <v>352</v>
      </c>
      <c r="B353" s="6" t="inlineStr">
        <is>
          <t>RedDoorz Plus near Malang Airport</t>
        </is>
      </c>
      <c r="C353" s="6" t="n">
        <v>494266</v>
      </c>
      <c r="D353" s="6" t="n">
        <v>-7.9628788</v>
      </c>
      <c r="E353" s="6" t="n">
        <v>112.6821606</v>
      </c>
    </row>
    <row r="354">
      <c r="A354" s="5" t="n">
        <v>353</v>
      </c>
      <c r="B354" s="6" t="inlineStr">
        <is>
          <t>Urbanview Hotel Griya Surya Malang by RedDoorz</t>
        </is>
      </c>
      <c r="C354" s="6" t="n">
        <v>387711</v>
      </c>
      <c r="D354" s="6" t="n">
        <v>-7.9700292</v>
      </c>
      <c r="E354" s="6" t="n">
        <v>112.6276169</v>
      </c>
    </row>
    <row r="355">
      <c r="A355" s="5" t="n">
        <v>354</v>
      </c>
      <c r="B355" s="6" t="inlineStr">
        <is>
          <t>Reddoorz Syariah @ Jl. Candi Kalasan</t>
        </is>
      </c>
      <c r="C355" s="6" t="n">
        <v>446316</v>
      </c>
      <c r="D355" s="6" t="n">
        <v>-7.9434769</v>
      </c>
      <c r="E355" s="6" t="n">
        <v>112.6393035</v>
      </c>
    </row>
    <row r="356">
      <c r="A356" s="5" t="n">
        <v>355</v>
      </c>
      <c r="B356" s="6" t="inlineStr">
        <is>
          <t>RedDoorz near Universitas PGRI Kanjuruhan</t>
        </is>
      </c>
      <c r="C356" s="6" t="n">
        <v>36239</v>
      </c>
      <c r="D356" s="6" t="n">
        <v>-8.0042951</v>
      </c>
      <c r="E356" s="6" t="n">
        <v>112.6138408</v>
      </c>
    </row>
    <row r="357">
      <c r="A357" s="5" t="n">
        <v>356</v>
      </c>
      <c r="B357" s="6" t="inlineStr">
        <is>
          <t>RedDoorz @ Dinoyo</t>
        </is>
      </c>
      <c r="C357" s="6" t="n">
        <v>51823</v>
      </c>
      <c r="D357" s="6" t="n">
        <v>-7.9452503</v>
      </c>
      <c r="E357" s="6" t="n">
        <v>112.60967</v>
      </c>
    </row>
    <row r="358">
      <c r="A358" s="5" t="n">
        <v>357</v>
      </c>
      <c r="B358" s="6" t="inlineStr">
        <is>
          <t>Reddoorz @ Homestay Gayatri</t>
        </is>
      </c>
      <c r="C358" s="6" t="n">
        <v>476914</v>
      </c>
      <c r="D358" s="6" t="n">
        <v>-8.005437499999999</v>
      </c>
      <c r="E358" s="6" t="n">
        <v>112.6208125</v>
      </c>
    </row>
    <row r="359">
      <c r="A359" s="5" t="n">
        <v>358</v>
      </c>
      <c r="B359" s="6" t="inlineStr">
        <is>
          <t>RedDoorz at CBR Residence</t>
        </is>
      </c>
      <c r="C359" s="6" t="n">
        <v>123382</v>
      </c>
      <c r="D359" s="6" t="n">
        <v>-7.944632</v>
      </c>
      <c r="E359" s="6" t="n">
        <v>112.639119</v>
      </c>
    </row>
    <row r="360">
      <c r="A360" s="5" t="n">
        <v>359</v>
      </c>
      <c r="B360" s="6" t="inlineStr">
        <is>
          <t>RedDoorz @ Soekarno Hatta 2</t>
        </is>
      </c>
      <c r="C360" s="6" t="n">
        <v>542125</v>
      </c>
      <c r="D360" s="6" t="n">
        <v>-7.9429058</v>
      </c>
      <c r="E360" s="6" t="n">
        <v>112.6172622</v>
      </c>
    </row>
    <row r="361">
      <c r="A361" s="5" t="n">
        <v>360</v>
      </c>
      <c r="B361" s="6" t="inlineStr">
        <is>
          <t>Hotel Bintang</t>
        </is>
      </c>
      <c r="C361" s="6" t="n">
        <v>412890</v>
      </c>
      <c r="D361" s="6" t="n">
        <v>-7.9690786</v>
      </c>
      <c r="E361" s="6" t="n">
        <v>112.642657</v>
      </c>
    </row>
    <row r="362">
      <c r="A362" s="5" t="n">
        <v>361</v>
      </c>
      <c r="B362" s="6" t="inlineStr">
        <is>
          <t>Amaris Hotel Malang</t>
        </is>
      </c>
      <c r="C362" s="6" t="n">
        <v>418919</v>
      </c>
      <c r="D362" s="6" t="n">
        <v>-7.960701</v>
      </c>
      <c r="E362" s="6" t="n">
        <v>112.63646</v>
      </c>
    </row>
    <row r="363">
      <c r="A363" s="5" t="n">
        <v>362</v>
      </c>
      <c r="B363" s="6" t="inlineStr">
        <is>
          <t>Urbanview Hotel FiFFa Kauman Malang</t>
        </is>
      </c>
      <c r="C363" s="6" t="n">
        <v>492546</v>
      </c>
      <c r="D363" s="6" t="n">
        <v>-7.983278</v>
      </c>
      <c r="E363" s="6" t="n">
        <v>112.6290058</v>
      </c>
    </row>
    <row r="364">
      <c r="A364" s="5" t="n">
        <v>363</v>
      </c>
      <c r="B364" s="6" t="inlineStr">
        <is>
          <t>My Dormy Hostel UMM</t>
        </is>
      </c>
      <c r="C364" s="6" t="n">
        <v>507806</v>
      </c>
      <c r="D364" s="6" t="n">
        <v>-7.9233879</v>
      </c>
      <c r="E364" s="6" t="n">
        <v>112.6015877</v>
      </c>
    </row>
    <row r="365" ht="17" customHeight="1" s="21" thickBot="1">
      <c r="A365" s="7" t="n"/>
    </row>
    <row r="366">
      <c r="A366" s="70" t="inlineStr">
        <is>
          <t>NORMALISASI</t>
        </is>
      </c>
      <c r="B366" s="71" t="n"/>
    </row>
    <row r="367" ht="17" customHeight="1" s="21" thickBot="1">
      <c r="A367" s="72" t="n"/>
      <c r="B367" s="73" t="n"/>
    </row>
    <row r="369">
      <c r="A369" s="9" t="inlineStr">
        <is>
          <t>Id_Tempat</t>
        </is>
      </c>
      <c r="B369" s="9" t="inlineStr">
        <is>
          <t>Nama_Tempat</t>
        </is>
      </c>
      <c r="C369" s="9" t="inlineStr">
        <is>
          <t>Estimasi_Harga</t>
        </is>
      </c>
      <c r="D369" s="9" t="inlineStr">
        <is>
          <t>Latitude</t>
        </is>
      </c>
      <c r="E369" s="25" t="inlineStr">
        <is>
          <t>Longitude</t>
        </is>
      </c>
      <c r="F369" s="10" t="n"/>
    </row>
    <row r="370">
      <c r="A370" s="5" t="n">
        <v>1</v>
      </c>
      <c r="B370" s="6" t="inlineStr">
        <is>
          <t>SUPER OYO Flagship 90502 Holistay Malang New</t>
        </is>
      </c>
      <c r="C370" s="6">
        <f>(C2-MIN($C$2:$C$364)) / (MAX($C$2:$C$364)-MIN($C$2:$C$364))</f>
        <v/>
      </c>
      <c r="D370" s="6">
        <f>(D2-MIN($D$2:$D$364)) / (MAX($D$2:$D$364)-MIN($D$2:$D$364))</f>
        <v/>
      </c>
      <c r="E370" s="14">
        <f>(E2-MIN($E$2:$E$364)) / (MAX($E$2:$E$364)-MIN($E$2:$E$364))</f>
        <v/>
      </c>
    </row>
    <row r="371">
      <c r="A371" s="5" t="n">
        <v>2</v>
      </c>
      <c r="B371" s="6" t="inlineStr">
        <is>
          <t>Hotel OYO 709 Menjangan Residen</t>
        </is>
      </c>
      <c r="C371" s="6">
        <f>(C3-MIN($C$2:$C$364)) / (MAX($C$2:$C$364)-MIN($C$2:$C$364))</f>
        <v/>
      </c>
      <c r="D371" s="6">
        <f>(D3-MIN($D$2:$D$364)) / (MAX($D$2:$D$364)-MIN($D$2:$D$364))</f>
        <v/>
      </c>
      <c r="E371" s="14">
        <f>(E3-MIN($E$2:$E$364)) / (MAX($E$2:$E$364)-MIN($E$2:$E$364))</f>
        <v/>
      </c>
    </row>
    <row r="372">
      <c r="A372" s="5" t="n">
        <v>3</v>
      </c>
      <c r="B372" s="6" t="inlineStr">
        <is>
          <t>Super OYO 1376 Kina Family Residence Syariah</t>
        </is>
      </c>
      <c r="C372" s="6">
        <f>(C4-MIN($C$2:$C$364)) / (MAX($C$2:$C$364)-MIN($C$2:$C$364))</f>
        <v/>
      </c>
      <c r="D372" s="6">
        <f>(D4-MIN($D$2:$D$364)) / (MAX($D$2:$D$364)-MIN($D$2:$D$364))</f>
        <v/>
      </c>
      <c r="E372" s="14">
        <f>(E4-MIN($E$2:$E$364)) / (MAX($E$2:$E$364)-MIN($E$2:$E$364))</f>
        <v/>
      </c>
    </row>
    <row r="373">
      <c r="A373" s="5" t="n">
        <v>4</v>
      </c>
      <c r="B373" s="6" t="inlineStr">
        <is>
          <t>OYO Flagship 90723 Khalifi House Malang</t>
        </is>
      </c>
      <c r="C373" s="6">
        <f>(C5-MIN($C$2:$C$364)) / (MAX($C$2:$C$364)-MIN($C$2:$C$364))</f>
        <v/>
      </c>
      <c r="D373" s="6">
        <f>(D5-MIN($D$2:$D$364)) / (MAX($D$2:$D$364)-MIN($D$2:$D$364))</f>
        <v/>
      </c>
      <c r="E373" s="14">
        <f>(E5-MIN($E$2:$E$364)) / (MAX($E$2:$E$364)-MIN($E$2:$E$364))</f>
        <v/>
      </c>
    </row>
    <row r="374">
      <c r="A374" s="5" t="n">
        <v>5</v>
      </c>
      <c r="B374" s="6" t="inlineStr">
        <is>
          <t>OYO 94769 Griya Djati Syariah 2</t>
        </is>
      </c>
      <c r="C374" s="6">
        <f>(C6-MIN($C$2:$C$364)) / (MAX($C$2:$C$364)-MIN($C$2:$C$364))</f>
        <v/>
      </c>
      <c r="D374" s="6">
        <f>(D6-MIN($D$2:$D$364)) / (MAX($D$2:$D$364)-MIN($D$2:$D$364))</f>
        <v/>
      </c>
      <c r="E374" s="14">
        <f>(E6-MIN($E$2:$E$364)) / (MAX($E$2:$E$364)-MIN($E$2:$E$364))</f>
        <v/>
      </c>
    </row>
    <row r="375">
      <c r="A375" s="5" t="n">
        <v>6</v>
      </c>
      <c r="B375" s="6" t="inlineStr">
        <is>
          <t>SPOT ON 2689 Safira Family Residence</t>
        </is>
      </c>
      <c r="C375" s="6">
        <f>(C7-MIN($C$2:$C$364)) / (MAX($C$2:$C$364)-MIN($C$2:$C$364))</f>
        <v/>
      </c>
      <c r="D375" s="6">
        <f>(D7-MIN($D$2:$D$364)) / (MAX($D$2:$D$364)-MIN($D$2:$D$364))</f>
        <v/>
      </c>
      <c r="E375" s="14">
        <f>(E7-MIN($E$2:$E$364)) / (MAX($E$2:$E$364)-MIN($E$2:$E$364))</f>
        <v/>
      </c>
    </row>
    <row r="376">
      <c r="A376" s="5" t="n">
        <v>7</v>
      </c>
      <c r="B376" s="6" t="inlineStr">
        <is>
          <t>OYO 90684 Happy Homestay Syariah</t>
        </is>
      </c>
      <c r="C376" s="6">
        <f>(C8-MIN($C$2:$C$364)) / (MAX($C$2:$C$364)-MIN($C$2:$C$364))</f>
        <v/>
      </c>
      <c r="D376" s="6">
        <f>(D8-MIN($D$2:$D$364)) / (MAX($D$2:$D$364)-MIN($D$2:$D$364))</f>
        <v/>
      </c>
      <c r="E376" s="14">
        <f>(E8-MIN($E$2:$E$364)) / (MAX($E$2:$E$364)-MIN($E$2:$E$364))</f>
        <v/>
      </c>
    </row>
    <row r="377">
      <c r="A377" s="5" t="n">
        <v>8</v>
      </c>
      <c r="B377" s="6" t="inlineStr">
        <is>
          <t>OYO LIfe 1036 Hotel Palem 1 Syariah</t>
        </is>
      </c>
      <c r="C377" s="6">
        <f>(C9-MIN($C$2:$C$364)) / (MAX($C$2:$C$364)-MIN($C$2:$C$364))</f>
        <v/>
      </c>
      <c r="D377" s="6">
        <f>(D9-MIN($D$2:$D$364)) / (MAX($D$2:$D$364)-MIN($D$2:$D$364))</f>
        <v/>
      </c>
      <c r="E377" s="14">
        <f>(E9-MIN($E$2:$E$364)) / (MAX($E$2:$E$364)-MIN($E$2:$E$364))</f>
        <v/>
      </c>
    </row>
    <row r="378">
      <c r="A378" s="5" t="n">
        <v>9</v>
      </c>
      <c r="B378" s="6" t="inlineStr">
        <is>
          <t>SPOT ON 90797 Sukun Syariah Homestay</t>
        </is>
      </c>
      <c r="C378" s="6">
        <f>(C10-MIN($C$2:$C$364)) / (MAX($C$2:$C$364)-MIN($C$2:$C$364))</f>
        <v/>
      </c>
      <c r="D378" s="6">
        <f>(D10-MIN($D$2:$D$364)) / (MAX($D$2:$D$364)-MIN($D$2:$D$364))</f>
        <v/>
      </c>
      <c r="E378" s="14">
        <f>(E10-MIN($E$2:$E$364)) / (MAX($E$2:$E$364)-MIN($E$2:$E$364))</f>
        <v/>
      </c>
    </row>
    <row r="379">
      <c r="A379" s="5" t="n">
        <v>10</v>
      </c>
      <c r="B379" s="6" t="inlineStr">
        <is>
          <t>OYO 90383 Avisha Guest House Syariah</t>
        </is>
      </c>
      <c r="C379" s="6">
        <f>(C11-MIN($C$2:$C$364)) / (MAX($C$2:$C$364)-MIN($C$2:$C$364))</f>
        <v/>
      </c>
      <c r="D379" s="6">
        <f>(D11-MIN($D$2:$D$364)) / (MAX($D$2:$D$364)-MIN($D$2:$D$364))</f>
        <v/>
      </c>
      <c r="E379" s="14">
        <f>(E11-MIN($E$2:$E$364)) / (MAX($E$2:$E$364)-MIN($E$2:$E$364))</f>
        <v/>
      </c>
    </row>
    <row r="380">
      <c r="A380" s="5" t="n">
        <v>11</v>
      </c>
      <c r="B380" s="6" t="inlineStr">
        <is>
          <t>OYO 353 Loesje Guest House Syariah</t>
        </is>
      </c>
      <c r="C380" s="6">
        <f>(C12-MIN($C$2:$C$364)) / (MAX($C$2:$C$364)-MIN($C$2:$C$364))</f>
        <v/>
      </c>
      <c r="D380" s="6">
        <f>(D12-MIN($D$2:$D$364)) / (MAX($D$2:$D$364)-MIN($D$2:$D$364))</f>
        <v/>
      </c>
      <c r="E380" s="14">
        <f>(E12-MIN($E$2:$E$364)) / (MAX($E$2:$E$364)-MIN($E$2:$E$364))</f>
        <v/>
      </c>
    </row>
    <row r="381">
      <c r="A381" s="5" t="n">
        <v>12</v>
      </c>
      <c r="B381" s="6" t="inlineStr">
        <is>
          <t>BTC Syariah near RS Saiful Anwar</t>
        </is>
      </c>
      <c r="C381" s="6">
        <f>(C13-MIN($C$2:$C$364)) / (MAX($C$2:$C$364)-MIN($C$2:$C$364))</f>
        <v/>
      </c>
      <c r="D381" s="6">
        <f>(D13-MIN($D$2:$D$364)) / (MAX($D$2:$D$364)-MIN($D$2:$D$364))</f>
        <v/>
      </c>
      <c r="E381" s="14">
        <f>(E13-MIN($E$2:$E$364)) / (MAX($E$2:$E$364)-MIN($E$2:$E$364))</f>
        <v/>
      </c>
    </row>
    <row r="382">
      <c r="A382" s="5" t="n">
        <v>13</v>
      </c>
      <c r="B382" s="6" t="inlineStr">
        <is>
          <t>OYO 778 Guest House Amalia Malang</t>
        </is>
      </c>
      <c r="C382" s="6">
        <f>(C14-MIN($C$2:$C$364)) / (MAX($C$2:$C$364)-MIN($C$2:$C$364))</f>
        <v/>
      </c>
      <c r="D382" s="6">
        <f>(D14-MIN($D$2:$D$364)) / (MAX($D$2:$D$364)-MIN($D$2:$D$364))</f>
        <v/>
      </c>
      <c r="E382" s="14">
        <f>(E14-MIN($E$2:$E$364)) / (MAX($E$2:$E$364)-MIN($E$2:$E$364))</f>
        <v/>
      </c>
    </row>
    <row r="383">
      <c r="A383" s="5" t="n">
        <v>14</v>
      </c>
      <c r="B383" s="6" t="inlineStr">
        <is>
          <t>OYO 3350 Cozy Residence</t>
        </is>
      </c>
      <c r="C383" s="6">
        <f>(C15-MIN($C$2:$C$364)) / (MAX($C$2:$C$364)-MIN($C$2:$C$364))</f>
        <v/>
      </c>
      <c r="D383" s="6">
        <f>(D15-MIN($D$2:$D$364)) / (MAX($D$2:$D$364)-MIN($D$2:$D$364))</f>
        <v/>
      </c>
      <c r="E383" s="14">
        <f>(E15-MIN($E$2:$E$364)) / (MAX($E$2:$E$364)-MIN($E$2:$E$364))</f>
        <v/>
      </c>
    </row>
    <row r="384">
      <c r="A384" s="5" t="n">
        <v>15</v>
      </c>
      <c r="B384" s="6" t="inlineStr">
        <is>
          <t>Serayu Homestay Syariah</t>
        </is>
      </c>
      <c r="C384" s="6">
        <f>(C16-MIN($C$2:$C$364)) / (MAX($C$2:$C$364)-MIN($C$2:$C$364))</f>
        <v/>
      </c>
      <c r="D384" s="6">
        <f>(D16-MIN($D$2:$D$364)) / (MAX($D$2:$D$364)-MIN($D$2:$D$364))</f>
        <v/>
      </c>
      <c r="E384" s="14">
        <f>(E16-MIN($E$2:$E$364)) / (MAX($E$2:$E$364)-MIN($E$2:$E$364))</f>
        <v/>
      </c>
    </row>
    <row r="385">
      <c r="A385" s="5" t="n">
        <v>16</v>
      </c>
      <c r="B385" s="6" t="inlineStr">
        <is>
          <t>OYO 90319 Angler Guest House Malang</t>
        </is>
      </c>
      <c r="C385" s="6">
        <f>(C17-MIN($C$2:$C$364)) / (MAX($C$2:$C$364)-MIN($C$2:$C$364))</f>
        <v/>
      </c>
      <c r="D385" s="6">
        <f>(D17-MIN($D$2:$D$364)) / (MAX($D$2:$D$364)-MIN($D$2:$D$364))</f>
        <v/>
      </c>
      <c r="E385" s="14">
        <f>(E17-MIN($E$2:$E$364)) / (MAX($E$2:$E$364)-MIN($E$2:$E$364))</f>
        <v/>
      </c>
    </row>
    <row r="386">
      <c r="A386" s="5" t="n">
        <v>17</v>
      </c>
      <c r="B386" s="6" t="inlineStr">
        <is>
          <t>OYO Life 92568 Penginapan Joglo Syariah</t>
        </is>
      </c>
      <c r="C386" s="6">
        <f>(C18-MIN($C$2:$C$364)) / (MAX($C$2:$C$364)-MIN($C$2:$C$364))</f>
        <v/>
      </c>
      <c r="D386" s="6">
        <f>(D18-MIN($D$2:$D$364)) / (MAX($D$2:$D$364)-MIN($D$2:$D$364))</f>
        <v/>
      </c>
      <c r="E386" s="14">
        <f>(E18-MIN($E$2:$E$364)) / (MAX($E$2:$E$364)-MIN($E$2:$E$364))</f>
        <v/>
      </c>
    </row>
    <row r="387">
      <c r="A387" s="5" t="n">
        <v>18</v>
      </c>
      <c r="B387" s="6" t="inlineStr">
        <is>
          <t>OYO 90303 Cafe &amp; Homestay Kolam Pancing Abah</t>
        </is>
      </c>
      <c r="C387" s="6">
        <f>(C19-MIN($C$2:$C$364)) / (MAX($C$2:$C$364)-MIN($C$2:$C$364))</f>
        <v/>
      </c>
      <c r="D387" s="6">
        <f>(D19-MIN($D$2:$D$364)) / (MAX($D$2:$D$364)-MIN($D$2:$D$364))</f>
        <v/>
      </c>
      <c r="E387" s="14">
        <f>(E19-MIN($E$2:$E$364)) / (MAX($E$2:$E$364)-MIN($E$2:$E$364))</f>
        <v/>
      </c>
    </row>
    <row r="388">
      <c r="A388" s="5" t="n">
        <v>19</v>
      </c>
      <c r="B388" s="6" t="inlineStr">
        <is>
          <t>D Maktab Syariah Mitra RedDoorz Malang</t>
        </is>
      </c>
      <c r="C388" s="6">
        <f>(C20-MIN($C$2:$C$364)) / (MAX($C$2:$C$364)-MIN($C$2:$C$364))</f>
        <v/>
      </c>
      <c r="D388" s="6">
        <f>(D20-MIN($D$2:$D$364)) / (MAX($D$2:$D$364)-MIN($D$2:$D$364))</f>
        <v/>
      </c>
      <c r="E388" s="14">
        <f>(E20-MIN($E$2:$E$364)) / (MAX($E$2:$E$364)-MIN($E$2:$E$364))</f>
        <v/>
      </c>
    </row>
    <row r="389">
      <c r="A389" s="5" t="n">
        <v>20</v>
      </c>
      <c r="B389" s="6" t="inlineStr">
        <is>
          <t>OYO 94148 Forzando Hotel</t>
        </is>
      </c>
      <c r="C389" s="6">
        <f>(C21-MIN($C$2:$C$364)) / (MAX($C$2:$C$364)-MIN($C$2:$C$364))</f>
        <v/>
      </c>
      <c r="D389" s="6">
        <f>(D21-MIN($D$2:$D$364)) / (MAX($D$2:$D$364)-MIN($D$2:$D$364))</f>
        <v/>
      </c>
      <c r="E389" s="14">
        <f>(E21-MIN($E$2:$E$364)) / (MAX($E$2:$E$364)-MIN($E$2:$E$364))</f>
        <v/>
      </c>
    </row>
    <row r="390">
      <c r="A390" s="5" t="n">
        <v>21</v>
      </c>
      <c r="B390" s="6" t="inlineStr">
        <is>
          <t>Forzando House Redpartner near Universitas Muhammadiyah Malang</t>
        </is>
      </c>
      <c r="C390" s="6">
        <f>(C22-MIN($C$2:$C$364)) / (MAX($C$2:$C$364)-MIN($C$2:$C$364))</f>
        <v/>
      </c>
      <c r="D390" s="6">
        <f>(D22-MIN($D$2:$D$364)) / (MAX($D$2:$D$364)-MIN($D$2:$D$364))</f>
        <v/>
      </c>
      <c r="E390" s="14">
        <f>(E22-MIN($E$2:$E$364)) / (MAX($E$2:$E$364)-MIN($E$2:$E$364))</f>
        <v/>
      </c>
    </row>
    <row r="391">
      <c r="A391" s="5" t="n">
        <v>22</v>
      </c>
      <c r="B391" s="6" t="inlineStr">
        <is>
          <t>OYO 2771 D'soetta</t>
        </is>
      </c>
      <c r="C391" s="6">
        <f>(C23-MIN($C$2:$C$364)) / (MAX($C$2:$C$364)-MIN($C$2:$C$364))</f>
        <v/>
      </c>
      <c r="D391" s="6">
        <f>(D23-MIN($D$2:$D$364)) / (MAX($D$2:$D$364)-MIN($D$2:$D$364))</f>
        <v/>
      </c>
      <c r="E391" s="14">
        <f>(E23-MIN($E$2:$E$364)) / (MAX($E$2:$E$364)-MIN($E$2:$E$364))</f>
        <v/>
      </c>
    </row>
    <row r="392">
      <c r="A392" s="5" t="n">
        <v>23</v>
      </c>
      <c r="B392" s="6" t="inlineStr">
        <is>
          <t>OYO 1468 SM House</t>
        </is>
      </c>
      <c r="C392" s="6">
        <f>(C24-MIN($C$2:$C$364)) / (MAX($C$2:$C$364)-MIN($C$2:$C$364))</f>
        <v/>
      </c>
      <c r="D392" s="6">
        <f>(D24-MIN($D$2:$D$364)) / (MAX($D$2:$D$364)-MIN($D$2:$D$364))</f>
        <v/>
      </c>
      <c r="E392" s="14">
        <f>(E24-MIN($E$2:$E$364)) / (MAX($E$2:$E$364)-MIN($E$2:$E$364))</f>
        <v/>
      </c>
    </row>
    <row r="393">
      <c r="A393" s="5" t="n">
        <v>24</v>
      </c>
      <c r="B393" s="6" t="inlineStr">
        <is>
          <t>OYO 91084 Oke Guest House</t>
        </is>
      </c>
      <c r="C393" s="6">
        <f>(C25-MIN($C$2:$C$364)) / (MAX($C$2:$C$364)-MIN($C$2:$C$364))</f>
        <v/>
      </c>
      <c r="D393" s="6">
        <f>(D25-MIN($D$2:$D$364)) / (MAX($D$2:$D$364)-MIN($D$2:$D$364))</f>
        <v/>
      </c>
      <c r="E393" s="14">
        <f>(E25-MIN($E$2:$E$364)) / (MAX($E$2:$E$364)-MIN($E$2:$E$364))</f>
        <v/>
      </c>
    </row>
    <row r="394">
      <c r="A394" s="5" t="n">
        <v>25</v>
      </c>
      <c r="B394" s="6" t="inlineStr">
        <is>
          <t>OYO Life 2760 Kost Simpang Borobudur 47</t>
        </is>
      </c>
      <c r="C394" s="6">
        <f>(C26-MIN($C$2:$C$364)) / (MAX($C$2:$C$364)-MIN($C$2:$C$364))</f>
        <v/>
      </c>
      <c r="D394" s="6">
        <f>(D26-MIN($D$2:$D$364)) / (MAX($D$2:$D$364)-MIN($D$2:$D$364))</f>
        <v/>
      </c>
      <c r="E394" s="14">
        <f>(E26-MIN($E$2:$E$364)) / (MAX($E$2:$E$364)-MIN($E$2:$E$364))</f>
        <v/>
      </c>
    </row>
    <row r="395">
      <c r="A395" s="5" t="n">
        <v>26</v>
      </c>
      <c r="B395" s="6" t="inlineStr">
        <is>
          <t>OYO 90217 Cmb 37 Guest House</t>
        </is>
      </c>
      <c r="C395" s="6">
        <f>(C27-MIN($C$2:$C$364)) / (MAX($C$2:$C$364)-MIN($C$2:$C$364))</f>
        <v/>
      </c>
      <c r="D395" s="6">
        <f>(D27-MIN($D$2:$D$364)) / (MAX($D$2:$D$364)-MIN($D$2:$D$364))</f>
        <v/>
      </c>
      <c r="E395" s="14">
        <f>(E27-MIN($E$2:$E$364)) / (MAX($E$2:$E$364)-MIN($E$2:$E$364))</f>
        <v/>
      </c>
    </row>
    <row r="396">
      <c r="A396" s="5" t="n">
        <v>27</v>
      </c>
      <c r="B396" s="6" t="inlineStr">
        <is>
          <t>Embun Pagi Syariah Bendungan Sempor 8 Malang</t>
        </is>
      </c>
      <c r="C396" s="6">
        <f>(C28-MIN($C$2:$C$364)) / (MAX($C$2:$C$364)-MIN($C$2:$C$364))</f>
        <v/>
      </c>
      <c r="D396" s="6">
        <f>(D28-MIN($D$2:$D$364)) / (MAX($D$2:$D$364)-MIN($D$2:$D$364))</f>
        <v/>
      </c>
      <c r="E396" s="14">
        <f>(E28-MIN($E$2:$E$364)) / (MAX($E$2:$E$364)-MIN($E$2:$E$364))</f>
        <v/>
      </c>
    </row>
    <row r="397">
      <c r="A397" s="5" t="n">
        <v>28</v>
      </c>
      <c r="B397" s="6" t="inlineStr">
        <is>
          <t>OYO 94767 Griya Djati Syariah 1</t>
        </is>
      </c>
      <c r="C397" s="6">
        <f>(C29-MIN($C$2:$C$364)) / (MAX($C$2:$C$364)-MIN($C$2:$C$364))</f>
        <v/>
      </c>
      <c r="D397" s="6">
        <f>(D29-MIN($D$2:$D$364)) / (MAX($D$2:$D$364)-MIN($D$2:$D$364))</f>
        <v/>
      </c>
      <c r="E397" s="14">
        <f>(E29-MIN($E$2:$E$364)) / (MAX($E$2:$E$364)-MIN($E$2:$E$364))</f>
        <v/>
      </c>
    </row>
    <row r="398">
      <c r="A398" s="5" t="n">
        <v>29</v>
      </c>
      <c r="B398" s="6" t="inlineStr">
        <is>
          <t>OYO 3510 Borobudur Townhouse</t>
        </is>
      </c>
      <c r="C398" s="6">
        <f>(C30-MIN($C$2:$C$364)) / (MAX($C$2:$C$364)-MIN($C$2:$C$364))</f>
        <v/>
      </c>
      <c r="D398" s="6">
        <f>(D30-MIN($D$2:$D$364)) / (MAX($D$2:$D$364)-MIN($D$2:$D$364))</f>
        <v/>
      </c>
      <c r="E398" s="14">
        <f>(E30-MIN($E$2:$E$364)) / (MAX($E$2:$E$364)-MIN($E$2:$E$364))</f>
        <v/>
      </c>
    </row>
    <row r="399">
      <c r="A399" s="5" t="n">
        <v>30</v>
      </c>
      <c r="B399" s="6" t="inlineStr">
        <is>
          <t>OYO 1110 Ijen Butik House</t>
        </is>
      </c>
      <c r="C399" s="6">
        <f>(C31-MIN($C$2:$C$364)) / (MAX($C$2:$C$364)-MIN($C$2:$C$364))</f>
        <v/>
      </c>
      <c r="D399" s="6">
        <f>(D31-MIN($D$2:$D$364)) / (MAX($D$2:$D$364)-MIN($D$2:$D$364))</f>
        <v/>
      </c>
      <c r="E399" s="14">
        <f>(E31-MIN($E$2:$E$364)) / (MAX($E$2:$E$364)-MIN($E$2:$E$364))</f>
        <v/>
      </c>
    </row>
    <row r="400">
      <c r="A400" s="5" t="n">
        <v>31</v>
      </c>
      <c r="B400" s="6" t="inlineStr">
        <is>
          <t>Hotel Nugraha</t>
        </is>
      </c>
      <c r="C400" s="6">
        <f>(C32-MIN($C$2:$C$364)) / (MAX($C$2:$C$364)-MIN($C$2:$C$364))</f>
        <v/>
      </c>
      <c r="D400" s="6">
        <f>(D32-MIN($D$2:$D$364)) / (MAX($D$2:$D$364)-MIN($D$2:$D$364))</f>
        <v/>
      </c>
      <c r="E400" s="14">
        <f>(E32-MIN($E$2:$E$364)) / (MAX($E$2:$E$364)-MIN($E$2:$E$364))</f>
        <v/>
      </c>
    </row>
    <row r="401">
      <c r="A401" s="5" t="n">
        <v>32</v>
      </c>
      <c r="B401" s="6" t="inlineStr">
        <is>
          <t>SPOT ON 92450 Homestay Simpang Panji Suroso Syariah</t>
        </is>
      </c>
      <c r="C401" s="6">
        <f>(C33-MIN($C$2:$C$364)) / (MAX($C$2:$C$364)-MIN($C$2:$C$364))</f>
        <v/>
      </c>
      <c r="D401" s="6">
        <f>(D33-MIN($D$2:$D$364)) / (MAX($D$2:$D$364)-MIN($D$2:$D$364))</f>
        <v/>
      </c>
      <c r="E401" s="14">
        <f>(E33-MIN($E$2:$E$364)) / (MAX($E$2:$E$364)-MIN($E$2:$E$364))</f>
        <v/>
      </c>
    </row>
    <row r="402">
      <c r="A402" s="5" t="n">
        <v>33</v>
      </c>
      <c r="B402" s="6" t="inlineStr">
        <is>
          <t>OYO Life 2906 Rukost Larose</t>
        </is>
      </c>
      <c r="C402" s="6">
        <f>(C34-MIN($C$2:$C$364)) / (MAX($C$2:$C$364)-MIN($C$2:$C$364))</f>
        <v/>
      </c>
      <c r="D402" s="6">
        <f>(D34-MIN($D$2:$D$364)) / (MAX($D$2:$D$364)-MIN($D$2:$D$364))</f>
        <v/>
      </c>
      <c r="E402" s="14">
        <f>(E34-MIN($E$2:$E$364)) / (MAX($E$2:$E$364)-MIN($E$2:$E$364))</f>
        <v/>
      </c>
    </row>
    <row r="403">
      <c r="A403" s="5" t="n">
        <v>34</v>
      </c>
      <c r="B403" s="6" t="inlineStr">
        <is>
          <t>OYO Life 414 Loji Rejo Guest House</t>
        </is>
      </c>
      <c r="C403" s="6">
        <f>(C35-MIN($C$2:$C$364)) / (MAX($C$2:$C$364)-MIN($C$2:$C$364))</f>
        <v/>
      </c>
      <c r="D403" s="6">
        <f>(D35-MIN($D$2:$D$364)) / (MAX($D$2:$D$364)-MIN($D$2:$D$364))</f>
        <v/>
      </c>
      <c r="E403" s="14">
        <f>(E35-MIN($E$2:$E$364)) / (MAX($E$2:$E$364)-MIN($E$2:$E$364))</f>
        <v/>
      </c>
    </row>
    <row r="404">
      <c r="A404" s="5" t="n">
        <v>35</v>
      </c>
      <c r="B404" s="6" t="inlineStr">
        <is>
          <t>OYO 1293 Dei Residence Arjosari</t>
        </is>
      </c>
      <c r="C404" s="6">
        <f>(C36-MIN($C$2:$C$364)) / (MAX($C$2:$C$364)-MIN($C$2:$C$364))</f>
        <v/>
      </c>
      <c r="D404" s="6">
        <f>(D36-MIN($D$2:$D$364)) / (MAX($D$2:$D$364)-MIN($D$2:$D$364))</f>
        <v/>
      </c>
      <c r="E404" s="14">
        <f>(E36-MIN($E$2:$E$364)) / (MAX($E$2:$E$364)-MIN($E$2:$E$364))</f>
        <v/>
      </c>
    </row>
    <row r="405">
      <c r="A405" s="5" t="n">
        <v>36</v>
      </c>
      <c r="B405" s="6" t="inlineStr">
        <is>
          <t>OYO 350 D' Maktab Homestay Syariah</t>
        </is>
      </c>
      <c r="C405" s="6">
        <f>(C37-MIN($C$2:$C$364)) / (MAX($C$2:$C$364)-MIN($C$2:$C$364))</f>
        <v/>
      </c>
      <c r="D405" s="6">
        <f>(D37-MIN($D$2:$D$364)) / (MAX($D$2:$D$364)-MIN($D$2:$D$364))</f>
        <v/>
      </c>
      <c r="E405" s="14">
        <f>(E37-MIN($E$2:$E$364)) / (MAX($E$2:$E$364)-MIN($E$2:$E$364))</f>
        <v/>
      </c>
    </row>
    <row r="406">
      <c r="A406" s="5" t="n">
        <v>37</v>
      </c>
      <c r="B406" s="6" t="inlineStr">
        <is>
          <t>OYO 3371 Omah Saras Family</t>
        </is>
      </c>
      <c r="C406" s="6">
        <f>(C38-MIN($C$2:$C$364)) / (MAX($C$2:$C$364)-MIN($C$2:$C$364))</f>
        <v/>
      </c>
      <c r="D406" s="6">
        <f>(D38-MIN($D$2:$D$364)) / (MAX($D$2:$D$364)-MIN($D$2:$D$364))</f>
        <v/>
      </c>
      <c r="E406" s="14">
        <f>(E38-MIN($E$2:$E$364)) / (MAX($E$2:$E$364)-MIN($E$2:$E$364))</f>
        <v/>
      </c>
    </row>
    <row r="407">
      <c r="A407" s="5" t="n">
        <v>38</v>
      </c>
      <c r="B407" s="6" t="inlineStr">
        <is>
          <t>SPOT ON 91530 Sumpil Syariah</t>
        </is>
      </c>
      <c r="C407" s="6">
        <f>(C39-MIN($C$2:$C$364)) / (MAX($C$2:$C$364)-MIN($C$2:$C$364))</f>
        <v/>
      </c>
      <c r="D407" s="6">
        <f>(D39-MIN($D$2:$D$364)) / (MAX($D$2:$D$364)-MIN($D$2:$D$364))</f>
        <v/>
      </c>
      <c r="E407" s="14">
        <f>(E39-MIN($E$2:$E$364)) / (MAX($E$2:$E$364)-MIN($E$2:$E$364))</f>
        <v/>
      </c>
    </row>
    <row r="408">
      <c r="A408" s="5" t="n">
        <v>39</v>
      </c>
      <c r="B408" s="6" t="inlineStr">
        <is>
          <t>OYO 90734 Konzo Kostel Syariah Malang</t>
        </is>
      </c>
      <c r="C408" s="6">
        <f>(C40-MIN($C$2:$C$364)) / (MAX($C$2:$C$364)-MIN($C$2:$C$364))</f>
        <v/>
      </c>
      <c r="D408" s="6">
        <f>(D40-MIN($D$2:$D$364)) / (MAX($D$2:$D$364)-MIN($D$2:$D$364))</f>
        <v/>
      </c>
      <c r="E408" s="14">
        <f>(E40-MIN($E$2:$E$364)) / (MAX($E$2:$E$364)-MIN($E$2:$E$364))</f>
        <v/>
      </c>
    </row>
    <row r="409">
      <c r="A409" s="5" t="n">
        <v>40</v>
      </c>
      <c r="B409" s="6" t="inlineStr">
        <is>
          <t>Victory Hotel</t>
        </is>
      </c>
      <c r="C409" s="6">
        <f>(C41-MIN($C$2:$C$364)) / (MAX($C$2:$C$364)-MIN($C$2:$C$364))</f>
        <v/>
      </c>
      <c r="D409" s="6">
        <f>(D41-MIN($D$2:$D$364)) / (MAX($D$2:$D$364)-MIN($D$2:$D$364))</f>
        <v/>
      </c>
      <c r="E409" s="14">
        <f>(E41-MIN($E$2:$E$364)) / (MAX($E$2:$E$364)-MIN($E$2:$E$364))</f>
        <v/>
      </c>
    </row>
    <row r="410">
      <c r="A410" s="5" t="n">
        <v>41</v>
      </c>
      <c r="B410" s="6" t="inlineStr">
        <is>
          <t>Hotel Palem 2 Syariah Malang Redpartner</t>
        </is>
      </c>
      <c r="C410" s="6">
        <f>(C42-MIN($C$2:$C$364)) / (MAX($C$2:$C$364)-MIN($C$2:$C$364))</f>
        <v/>
      </c>
      <c r="D410" s="6">
        <f>(D42-MIN($D$2:$D$364)) / (MAX($D$2:$D$364)-MIN($D$2:$D$364))</f>
        <v/>
      </c>
      <c r="E410" s="14">
        <f>(E42-MIN($E$2:$E$364)) / (MAX($E$2:$E$364)-MIN($E$2:$E$364))</f>
        <v/>
      </c>
    </row>
    <row r="411">
      <c r="A411" s="5" t="n">
        <v>42</v>
      </c>
      <c r="B411" s="6" t="inlineStr">
        <is>
          <t>OYO Life 91931 Permata Brantas Syariah Homestay</t>
        </is>
      </c>
      <c r="C411" s="6">
        <f>(C43-MIN($C$2:$C$364)) / (MAX($C$2:$C$364)-MIN($C$2:$C$364))</f>
        <v/>
      </c>
      <c r="D411" s="6">
        <f>(D43-MIN($D$2:$D$364)) / (MAX($D$2:$D$364)-MIN($D$2:$D$364))</f>
        <v/>
      </c>
      <c r="E411" s="14">
        <f>(E43-MIN($E$2:$E$364)) / (MAX($E$2:$E$364)-MIN($E$2:$E$364))</f>
        <v/>
      </c>
    </row>
    <row r="412">
      <c r="A412" s="5" t="n">
        <v>43</v>
      </c>
      <c r="B412" s="6" t="inlineStr">
        <is>
          <t>OYO Life Hotel O Forzando Hotel</t>
        </is>
      </c>
      <c r="C412" s="6">
        <f>(C44-MIN($C$2:$C$364)) / (MAX($C$2:$C$364)-MIN($C$2:$C$364))</f>
        <v/>
      </c>
      <c r="D412" s="6">
        <f>(D44-MIN($D$2:$D$364)) / (MAX($D$2:$D$364)-MIN($D$2:$D$364))</f>
        <v/>
      </c>
      <c r="E412" s="14">
        <f>(E44-MIN($E$2:$E$364)) / (MAX($E$2:$E$364)-MIN($E$2:$E$364))</f>
        <v/>
      </c>
    </row>
    <row r="413">
      <c r="A413" s="5" t="n">
        <v>44</v>
      </c>
      <c r="B413" s="6" t="inlineStr">
        <is>
          <t>Hotel Malang</t>
        </is>
      </c>
      <c r="C413" s="6">
        <f>(C45-MIN($C$2:$C$364)) / (MAX($C$2:$C$364)-MIN($C$2:$C$364))</f>
        <v/>
      </c>
      <c r="D413" s="6">
        <f>(D45-MIN($D$2:$D$364)) / (MAX($D$2:$D$364)-MIN($D$2:$D$364))</f>
        <v/>
      </c>
      <c r="E413" s="14">
        <f>(E45-MIN($E$2:$E$364)) / (MAX($E$2:$E$364)-MIN($E$2:$E$364))</f>
        <v/>
      </c>
    </row>
    <row r="414">
      <c r="A414" s="5" t="n">
        <v>45</v>
      </c>
      <c r="B414" s="6" t="inlineStr">
        <is>
          <t>Warung ampiran Bromo</t>
        </is>
      </c>
      <c r="C414" s="6">
        <f>(C46-MIN($C$2:$C$364)) / (MAX($C$2:$C$364)-MIN($C$2:$C$364))</f>
        <v/>
      </c>
      <c r="D414" s="6">
        <f>(D46-MIN($D$2:$D$364)) / (MAX($D$2:$D$364)-MIN($D$2:$D$364))</f>
        <v/>
      </c>
      <c r="E414" s="14">
        <f>(E46-MIN($E$2:$E$364)) / (MAX($E$2:$E$364)-MIN($E$2:$E$364))</f>
        <v/>
      </c>
    </row>
    <row r="415">
      <c r="A415" s="5" t="n">
        <v>46</v>
      </c>
      <c r="B415" s="6" t="inlineStr">
        <is>
          <t>OYO 90480 sultan palace guest house</t>
        </is>
      </c>
      <c r="C415" s="6">
        <f>(C47-MIN($C$2:$C$364)) / (MAX($C$2:$C$364)-MIN($C$2:$C$364))</f>
        <v/>
      </c>
      <c r="D415" s="6">
        <f>(D47-MIN($D$2:$D$364)) / (MAX($D$2:$D$364)-MIN($D$2:$D$364))</f>
        <v/>
      </c>
      <c r="E415" s="14">
        <f>(E47-MIN($E$2:$E$364)) / (MAX($E$2:$E$364)-MIN($E$2:$E$364))</f>
        <v/>
      </c>
    </row>
    <row r="416">
      <c r="A416" s="5" t="n">
        <v>47</v>
      </c>
      <c r="B416" s="6" t="inlineStr">
        <is>
          <t>OYO 91137 Griya Cipu Syariah Guest House</t>
        </is>
      </c>
      <c r="C416" s="6">
        <f>(C48-MIN($C$2:$C$364)) / (MAX($C$2:$C$364)-MIN($C$2:$C$364))</f>
        <v/>
      </c>
      <c r="D416" s="6">
        <f>(D48-MIN($D$2:$D$364)) / (MAX($D$2:$D$364)-MIN($D$2:$D$364))</f>
        <v/>
      </c>
      <c r="E416" s="14">
        <f>(E48-MIN($E$2:$E$364)) / (MAX($E$2:$E$364)-MIN($E$2:$E$364))</f>
        <v/>
      </c>
    </row>
    <row r="417">
      <c r="A417" s="5" t="n">
        <v>48</v>
      </c>
      <c r="B417" s="6" t="inlineStr">
        <is>
          <t>Villa Unik Dau Malang</t>
        </is>
      </c>
      <c r="C417" s="6">
        <f>(C49-MIN($C$2:$C$364)) / (MAX($C$2:$C$364)-MIN($C$2:$C$364))</f>
        <v/>
      </c>
      <c r="D417" s="6">
        <f>(D49-MIN($D$2:$D$364)) / (MAX($D$2:$D$364)-MIN($D$2:$D$364))</f>
        <v/>
      </c>
      <c r="E417" s="14">
        <f>(E49-MIN($E$2:$E$364)) / (MAX($E$2:$E$364)-MIN($E$2:$E$364))</f>
        <v/>
      </c>
    </row>
    <row r="418">
      <c r="A418" s="5" t="n">
        <v>49</v>
      </c>
      <c r="B418" s="6" t="inlineStr">
        <is>
          <t>Orange house Villa</t>
        </is>
      </c>
      <c r="C418" s="6">
        <f>(C50-MIN($C$2:$C$364)) / (MAX($C$2:$C$364)-MIN($C$2:$C$364))</f>
        <v/>
      </c>
      <c r="D418" s="6">
        <f>(D50-MIN($D$2:$D$364)) / (MAX($D$2:$D$364)-MIN($D$2:$D$364))</f>
        <v/>
      </c>
      <c r="E418" s="14">
        <f>(E50-MIN($E$2:$E$364)) / (MAX($E$2:$E$364)-MIN($E$2:$E$364))</f>
        <v/>
      </c>
    </row>
    <row r="419">
      <c r="A419" s="5" t="n">
        <v>50</v>
      </c>
      <c r="B419" s="6" t="inlineStr">
        <is>
          <t>Villa FiFa</t>
        </is>
      </c>
      <c r="C419" s="6">
        <f>(C51-MIN($C$2:$C$364)) / (MAX($C$2:$C$364)-MIN($C$2:$C$364))</f>
        <v/>
      </c>
      <c r="D419" s="6">
        <f>(D51-MIN($D$2:$D$364)) / (MAX($D$2:$D$364)-MIN($D$2:$D$364))</f>
        <v/>
      </c>
      <c r="E419" s="14">
        <f>(E51-MIN($E$2:$E$364)) / (MAX($E$2:$E$364)-MIN($E$2:$E$364))</f>
        <v/>
      </c>
    </row>
    <row r="420">
      <c r="A420" s="5" t="n">
        <v>51</v>
      </c>
      <c r="B420" s="6" t="inlineStr">
        <is>
          <t>Villa Nayyara</t>
        </is>
      </c>
      <c r="C420" s="6">
        <f>(C52-MIN($C$2:$C$364)) / (MAX($C$2:$C$364)-MIN($C$2:$C$364))</f>
        <v/>
      </c>
      <c r="D420" s="6">
        <f>(D52-MIN($D$2:$D$364)) / (MAX($D$2:$D$364)-MIN($D$2:$D$364))</f>
        <v/>
      </c>
      <c r="E420" s="14">
        <f>(E52-MIN($E$2:$E$364)) / (MAX($E$2:$E$364)-MIN($E$2:$E$364))</f>
        <v/>
      </c>
    </row>
    <row r="421">
      <c r="A421" s="5" t="n">
        <v>52</v>
      </c>
      <c r="B421" s="6" t="inlineStr">
        <is>
          <t>Villa Tidar Van Java, Private PooL, Sejuk  Nyaman</t>
        </is>
      </c>
      <c r="C421" s="6">
        <f>(C53-MIN($C$2:$C$364)) / (MAX($C$2:$C$364)-MIN($C$2:$C$364))</f>
        <v/>
      </c>
      <c r="D421" s="6">
        <f>(D53-MIN($D$2:$D$364)) / (MAX($D$2:$D$364)-MIN($D$2:$D$364))</f>
        <v/>
      </c>
      <c r="E421" s="14">
        <f>(E53-MIN($E$2:$E$364)) / (MAX($E$2:$E$364)-MIN($E$2:$E$364))</f>
        <v/>
      </c>
    </row>
    <row r="422">
      <c r="A422" s="5" t="n">
        <v>53</v>
      </c>
      <c r="B422" s="6" t="inlineStr">
        <is>
          <t>Villa The Oz HE-05</t>
        </is>
      </c>
      <c r="C422" s="6">
        <f>(C54-MIN($C$2:$C$364)) / (MAX($C$2:$C$364)-MIN($C$2:$C$364))</f>
        <v/>
      </c>
      <c r="D422" s="6">
        <f>(D54-MIN($D$2:$D$364)) / (MAX($D$2:$D$364)-MIN($D$2:$D$364))</f>
        <v/>
      </c>
      <c r="E422" s="14">
        <f>(E54-MIN($E$2:$E$364)) / (MAX($E$2:$E$364)-MIN($E$2:$E$364))</f>
        <v/>
      </c>
    </row>
    <row r="423">
      <c r="A423" s="5" t="n">
        <v>54</v>
      </c>
      <c r="B423" s="6" t="inlineStr">
        <is>
          <t>Huis Van Gustafine Floor 1</t>
        </is>
      </c>
      <c r="C423" s="6">
        <f>(C55-MIN($C$2:$C$364)) / (MAX($C$2:$C$364)-MIN($C$2:$C$364))</f>
        <v/>
      </c>
      <c r="D423" s="6">
        <f>(D55-MIN($D$2:$D$364)) / (MAX($D$2:$D$364)-MIN($D$2:$D$364))</f>
        <v/>
      </c>
      <c r="E423" s="14">
        <f>(E55-MIN($E$2:$E$364)) / (MAX($E$2:$E$364)-MIN($E$2:$E$364))</f>
        <v/>
      </c>
    </row>
    <row r="424">
      <c r="A424" s="5" t="n">
        <v>55</v>
      </c>
      <c r="B424" s="6" t="inlineStr">
        <is>
          <t>Villa Harga Ekonomis di Malang</t>
        </is>
      </c>
      <c r="C424" s="6">
        <f>(C56-MIN($C$2:$C$364)) / (MAX($C$2:$C$364)-MIN($C$2:$C$364))</f>
        <v/>
      </c>
      <c r="D424" s="6">
        <f>(D56-MIN($D$2:$D$364)) / (MAX($D$2:$D$364)-MIN($D$2:$D$364))</f>
        <v/>
      </c>
      <c r="E424" s="14">
        <f>(E56-MIN($E$2:$E$364)) / (MAX($E$2:$E$364)-MIN($E$2:$E$364))</f>
        <v/>
      </c>
    </row>
    <row r="425">
      <c r="A425" s="5" t="n">
        <v>56</v>
      </c>
      <c r="B425" s="6" t="inlineStr">
        <is>
          <t>Vila Shopie WonderHouz</t>
        </is>
      </c>
      <c r="C425" s="6">
        <f>(C57-MIN($C$2:$C$364)) / (MAX($C$2:$C$364)-MIN($C$2:$C$364))</f>
        <v/>
      </c>
      <c r="D425" s="6">
        <f>(D57-MIN($D$2:$D$364)) / (MAX($D$2:$D$364)-MIN($D$2:$D$364))</f>
        <v/>
      </c>
      <c r="E425" s="14">
        <f>(E57-MIN($E$2:$E$364)) / (MAX($E$2:$E$364)-MIN($E$2:$E$364))</f>
        <v/>
      </c>
    </row>
    <row r="426">
      <c r="A426" s="5" t="n">
        <v>57</v>
      </c>
      <c r="B426" s="6" t="inlineStr">
        <is>
          <t>Villa Griya Sumber Arum - 2 Bedrooms Privatepool</t>
        </is>
      </c>
      <c r="C426" s="6">
        <f>(C58-MIN($C$2:$C$364)) / (MAX($C$2:$C$364)-MIN($C$2:$C$364))</f>
        <v/>
      </c>
      <c r="D426" s="6">
        <f>(D58-MIN($D$2:$D$364)) / (MAX($D$2:$D$364)-MIN($D$2:$D$364))</f>
        <v/>
      </c>
      <c r="E426" s="14">
        <f>(E58-MIN($E$2:$E$364)) / (MAX($E$2:$E$364)-MIN($E$2:$E$364))</f>
        <v/>
      </c>
    </row>
    <row r="427">
      <c r="A427" s="5" t="n">
        <v>58</v>
      </c>
      <c r="B427" s="6" t="inlineStr">
        <is>
          <t>Villa Griya Samara  Kolam Renang Pribadi</t>
        </is>
      </c>
      <c r="C427" s="6">
        <f>(C59-MIN($C$2:$C$364)) / (MAX($C$2:$C$364)-MIN($C$2:$C$364))</f>
        <v/>
      </c>
      <c r="D427" s="6">
        <f>(D59-MIN($D$2:$D$364)) / (MAX($D$2:$D$364)-MIN($D$2:$D$364))</f>
        <v/>
      </c>
      <c r="E427" s="14">
        <f>(E59-MIN($E$2:$E$364)) / (MAX($E$2:$E$364)-MIN($E$2:$E$364))</f>
        <v/>
      </c>
    </row>
    <row r="428">
      <c r="A428" s="5" t="n">
        <v>59</v>
      </c>
      <c r="B428" s="6" t="inlineStr">
        <is>
          <t>Gerbera 4BR Villa Springhill Garden Malang</t>
        </is>
      </c>
      <c r="C428" s="6">
        <f>(C60-MIN($C$2:$C$364)) / (MAX($C$2:$C$364)-MIN($C$2:$C$364))</f>
        <v/>
      </c>
      <c r="D428" s="6">
        <f>(D60-MIN($D$2:$D$364)) / (MAX($D$2:$D$364)-MIN($D$2:$D$364))</f>
        <v/>
      </c>
      <c r="E428" s="14">
        <f>(E60-MIN($E$2:$E$364)) / (MAX($E$2:$E$364)-MIN($E$2:$E$364))</f>
        <v/>
      </c>
    </row>
    <row r="429">
      <c r="A429" s="5" t="n">
        <v>60</v>
      </c>
      <c r="B429" s="6" t="inlineStr">
        <is>
          <t>Gerbera 4BR Springhill Garden Malang</t>
        </is>
      </c>
      <c r="C429" s="6">
        <f>(C61-MIN($C$2:$C$364)) / (MAX($C$2:$C$364)-MIN($C$2:$C$364))</f>
        <v/>
      </c>
      <c r="D429" s="6">
        <f>(D61-MIN($D$2:$D$364)) / (MAX($D$2:$D$364)-MIN($D$2:$D$364))</f>
        <v/>
      </c>
      <c r="E429" s="14">
        <f>(E61-MIN($E$2:$E$364)) / (MAX($E$2:$E$364)-MIN($E$2:$E$364))</f>
        <v/>
      </c>
    </row>
    <row r="430">
      <c r="A430" s="5" t="n">
        <v>61</v>
      </c>
      <c r="B430" s="6" t="inlineStr">
        <is>
          <t>FLAZ Villa</t>
        </is>
      </c>
      <c r="C430" s="6">
        <f>(C62-MIN($C$2:$C$364)) / (MAX($C$2:$C$364)-MIN($C$2:$C$364))</f>
        <v/>
      </c>
      <c r="D430" s="6">
        <f>(D62-MIN($D$2:$D$364)) / (MAX($D$2:$D$364)-MIN($D$2:$D$364))</f>
        <v/>
      </c>
      <c r="E430" s="14">
        <f>(E62-MIN($E$2:$E$364)) / (MAX($E$2:$E$364)-MIN($E$2:$E$364))</f>
        <v/>
      </c>
    </row>
    <row r="431">
      <c r="A431" s="5" t="n">
        <v>62</v>
      </c>
      <c r="B431" s="6" t="inlineStr">
        <is>
          <t>Kertavilla</t>
        </is>
      </c>
      <c r="C431" s="6">
        <f>(C63-MIN($C$2:$C$364)) / (MAX($C$2:$C$364)-MIN($C$2:$C$364))</f>
        <v/>
      </c>
      <c r="D431" s="6">
        <f>(D63-MIN($D$2:$D$364)) / (MAX($D$2:$D$364)-MIN($D$2:$D$364))</f>
        <v/>
      </c>
      <c r="E431" s="14">
        <f>(E63-MIN($E$2:$E$364)) / (MAX($E$2:$E$364)-MIN($E$2:$E$364))</f>
        <v/>
      </c>
    </row>
    <row r="432">
      <c r="A432" s="5" t="n">
        <v>63</v>
      </c>
      <c r="B432" s="6" t="inlineStr">
        <is>
          <t>Villa Lisha Orolas</t>
        </is>
      </c>
      <c r="C432" s="6">
        <f>(C64-MIN($C$2:$C$364)) / (MAX($C$2:$C$364)-MIN($C$2:$C$364))</f>
        <v/>
      </c>
      <c r="D432" s="6">
        <f>(D64-MIN($D$2:$D$364)) / (MAX($D$2:$D$364)-MIN($D$2:$D$364))</f>
        <v/>
      </c>
      <c r="E432" s="14">
        <f>(E64-MIN($E$2:$E$364)) / (MAX($E$2:$E$364)-MIN($E$2:$E$364))</f>
        <v/>
      </c>
    </row>
    <row r="433">
      <c r="A433" s="5" t="n">
        <v>64</v>
      </c>
      <c r="B433" s="6" t="inlineStr">
        <is>
          <t>Derumah 35 Villa</t>
        </is>
      </c>
      <c r="C433" s="6">
        <f>(C65-MIN($C$2:$C$364)) / (MAX($C$2:$C$364)-MIN($C$2:$C$364))</f>
        <v/>
      </c>
      <c r="D433" s="6">
        <f>(D65-MIN($D$2:$D$364)) / (MAX($D$2:$D$364)-MIN($D$2:$D$364))</f>
        <v/>
      </c>
      <c r="E433" s="14">
        <f>(E65-MIN($E$2:$E$364)) / (MAX($E$2:$E$364)-MIN($E$2:$E$364))</f>
        <v/>
      </c>
    </row>
    <row r="434">
      <c r="A434" s="5" t="n">
        <v>65</v>
      </c>
      <c r="B434" s="6" t="inlineStr">
        <is>
          <t>Kateza Homestay by Yurooms-ID</t>
        </is>
      </c>
      <c r="C434" s="6">
        <f>(C66-MIN($C$2:$C$364)) / (MAX($C$2:$C$364)-MIN($C$2:$C$364))</f>
        <v/>
      </c>
      <c r="D434" s="6">
        <f>(D66-MIN($D$2:$D$364)) / (MAX($D$2:$D$364)-MIN($D$2:$D$364))</f>
        <v/>
      </c>
      <c r="E434" s="14">
        <f>(E66-MIN($E$2:$E$364)) / (MAX($E$2:$E$364)-MIN($E$2:$E$364))</f>
        <v/>
      </c>
    </row>
    <row r="435">
      <c r="A435" s="5" t="n">
        <v>66</v>
      </c>
      <c r="B435" s="6" t="inlineStr">
        <is>
          <t>Gerbera Springhill 4BR Villa Springhill Garden Malang</t>
        </is>
      </c>
      <c r="C435" s="6">
        <f>(C67-MIN($C$2:$C$364)) / (MAX($C$2:$C$364)-MIN($C$2:$C$364))</f>
        <v/>
      </c>
      <c r="D435" s="6">
        <f>(D67-MIN($D$2:$D$364)) / (MAX($D$2:$D$364)-MIN($D$2:$D$364))</f>
        <v/>
      </c>
      <c r="E435" s="14">
        <f>(E67-MIN($E$2:$E$364)) / (MAX($E$2:$E$364)-MIN($E$2:$E$364))</f>
        <v/>
      </c>
    </row>
    <row r="436">
      <c r="A436" s="5" t="n">
        <v>67</v>
      </c>
      <c r="B436" s="6" t="inlineStr">
        <is>
          <t>Villa Malang MARRY IND Puncak Buring</t>
        </is>
      </c>
      <c r="C436" s="6">
        <f>(C68-MIN($C$2:$C$364)) / (MAX($C$2:$C$364)-MIN($C$2:$C$364))</f>
        <v/>
      </c>
      <c r="D436" s="6">
        <f>(D68-MIN($D$2:$D$364)) / (MAX($D$2:$D$364)-MIN($D$2:$D$364))</f>
        <v/>
      </c>
      <c r="E436" s="14">
        <f>(E68-MIN($E$2:$E$364)) / (MAX($E$2:$E$364)-MIN($E$2:$E$364))</f>
        <v/>
      </c>
    </row>
    <row r="437">
      <c r="A437" s="5" t="n">
        <v>68</v>
      </c>
      <c r="B437" s="6" t="inlineStr">
        <is>
          <t>Villa Jingga Joyogrand Malang</t>
        </is>
      </c>
      <c r="C437" s="6">
        <f>(C69-MIN($C$2:$C$364)) / (MAX($C$2:$C$364)-MIN($C$2:$C$364))</f>
        <v/>
      </c>
      <c r="D437" s="6">
        <f>(D69-MIN($D$2:$D$364)) / (MAX($D$2:$D$364)-MIN($D$2:$D$364))</f>
        <v/>
      </c>
      <c r="E437" s="14">
        <f>(E69-MIN($E$2:$E$364)) / (MAX($E$2:$E$364)-MIN($E$2:$E$364))</f>
        <v/>
      </c>
    </row>
    <row r="438">
      <c r="A438" s="5" t="n">
        <v>69</v>
      </c>
      <c r="B438" s="6" t="inlineStr">
        <is>
          <t>Derumah 35 Univ Brawijaya</t>
        </is>
      </c>
      <c r="C438" s="6">
        <f>(C70-MIN($C$2:$C$364)) / (MAX($C$2:$C$364)-MIN($C$2:$C$364))</f>
        <v/>
      </c>
      <c r="D438" s="6">
        <f>(D70-MIN($D$2:$D$364)) / (MAX($D$2:$D$364)-MIN($D$2:$D$364))</f>
        <v/>
      </c>
      <c r="E438" s="14">
        <f>(E70-MIN($E$2:$E$364)) / (MAX($E$2:$E$364)-MIN($E$2:$E$364))</f>
        <v/>
      </c>
    </row>
    <row r="439">
      <c r="A439" s="5" t="n">
        <v>70</v>
      </c>
      <c r="B439" s="6" t="inlineStr">
        <is>
          <t>Entire 250m villa without other guests</t>
        </is>
      </c>
      <c r="C439" s="6">
        <f>(C71-MIN($C$2:$C$364)) / (MAX($C$2:$C$364)-MIN($C$2:$C$364))</f>
        <v/>
      </c>
      <c r="D439" s="6">
        <f>(D71-MIN($D$2:$D$364)) / (MAX($D$2:$D$364)-MIN($D$2:$D$364))</f>
        <v/>
      </c>
      <c r="E439" s="14">
        <f>(E71-MIN($E$2:$E$364)) / (MAX($E$2:$E$364)-MIN($E$2:$E$364))</f>
        <v/>
      </c>
    </row>
    <row r="440">
      <c r="A440" s="5" t="n">
        <v>71</v>
      </c>
      <c r="B440" s="6" t="inlineStr">
        <is>
          <t>Villa Sunrise F1</t>
        </is>
      </c>
      <c r="C440" s="6">
        <f>(C72-MIN($C$2:$C$364)) / (MAX($C$2:$C$364)-MIN($C$2:$C$364))</f>
        <v/>
      </c>
      <c r="D440" s="6">
        <f>(D72-MIN($D$2:$D$364)) / (MAX($D$2:$D$364)-MIN($D$2:$D$364))</f>
        <v/>
      </c>
      <c r="E440" s="14">
        <f>(E72-MIN($E$2:$E$364)) / (MAX($E$2:$E$364)-MIN($E$2:$E$364))</f>
        <v/>
      </c>
    </row>
    <row r="441">
      <c r="A441" s="5" t="n">
        <v>72</v>
      </c>
      <c r="B441" s="6" t="inlineStr">
        <is>
          <t>SULFAT INDAH HOME STAY SYARIAH</t>
        </is>
      </c>
      <c r="C441" s="6">
        <f>(C73-MIN($C$2:$C$364)) / (MAX($C$2:$C$364)-MIN($C$2:$C$364))</f>
        <v/>
      </c>
      <c r="D441" s="6">
        <f>(D73-MIN($D$2:$D$364)) / (MAX($D$2:$D$364)-MIN($D$2:$D$364))</f>
        <v/>
      </c>
      <c r="E441" s="14">
        <f>(E73-MIN($E$2:$E$364)) / (MAX($E$2:$E$364)-MIN($E$2:$E$364))</f>
        <v/>
      </c>
    </row>
    <row r="442">
      <c r="A442" s="5" t="n">
        <v>73</v>
      </c>
      <c r="B442" s="6" t="inlineStr">
        <is>
          <t>Little Creek Lodge</t>
        </is>
      </c>
      <c r="C442" s="6">
        <f>(C74-MIN($C$2:$C$364)) / (MAX($C$2:$C$364)-MIN($C$2:$C$364))</f>
        <v/>
      </c>
      <c r="D442" s="6">
        <f>(D74-MIN($D$2:$D$364)) / (MAX($D$2:$D$364)-MIN($D$2:$D$364))</f>
        <v/>
      </c>
      <c r="E442" s="14">
        <f>(E74-MIN($E$2:$E$364)) / (MAX($E$2:$E$364)-MIN($E$2:$E$364))</f>
        <v/>
      </c>
    </row>
    <row r="443">
      <c r="A443" s="5" t="n">
        <v>74</v>
      </c>
      <c r="B443" s="6" t="inlineStr">
        <is>
          <t>Omah Venus Homestay</t>
        </is>
      </c>
      <c r="C443" s="6">
        <f>(C75-MIN($C$2:$C$364)) / (MAX($C$2:$C$364)-MIN($C$2:$C$364))</f>
        <v/>
      </c>
      <c r="D443" s="6">
        <f>(D75-MIN($D$2:$D$364)) / (MAX($D$2:$D$364)-MIN($D$2:$D$364))</f>
        <v/>
      </c>
      <c r="E443" s="14">
        <f>(E75-MIN($E$2:$E$364)) / (MAX($E$2:$E$364)-MIN($E$2:$E$364))</f>
        <v/>
      </c>
    </row>
    <row r="444">
      <c r="A444" s="5" t="n">
        <v>75</v>
      </c>
      <c r="B444" s="6" t="inlineStr">
        <is>
          <t>Villa Murah di Malang</t>
        </is>
      </c>
      <c r="C444" s="6">
        <f>(C76-MIN($C$2:$C$364)) / (MAX($C$2:$C$364)-MIN($C$2:$C$364))</f>
        <v/>
      </c>
      <c r="D444" s="6">
        <f>(D76-MIN($D$2:$D$364)) / (MAX($D$2:$D$364)-MIN($D$2:$D$364))</f>
        <v/>
      </c>
      <c r="E444" s="14">
        <f>(E76-MIN($E$2:$E$364)) / (MAX($E$2:$E$364)-MIN($E$2:$E$364))</f>
        <v/>
      </c>
    </row>
    <row r="445">
      <c r="A445" s="5" t="n">
        <v>76</v>
      </c>
      <c r="B445" s="6" t="inlineStr">
        <is>
          <t>Fendis Homestay</t>
        </is>
      </c>
      <c r="C445" s="6">
        <f>(C77-MIN($C$2:$C$364)) / (MAX($C$2:$C$364)-MIN($C$2:$C$364))</f>
        <v/>
      </c>
      <c r="D445" s="6">
        <f>(D77-MIN($D$2:$D$364)) / (MAX($D$2:$D$364)-MIN($D$2:$D$364))</f>
        <v/>
      </c>
      <c r="E445" s="14">
        <f>(E77-MIN($E$2:$E$364)) / (MAX($E$2:$E$364)-MIN($E$2:$E$364))</f>
        <v/>
      </c>
    </row>
    <row r="446">
      <c r="A446" s="5" t="n">
        <v>77</v>
      </c>
      <c r="B446" s="6" t="inlineStr">
        <is>
          <t>Inez Apartment 6</t>
        </is>
      </c>
      <c r="C446" s="6">
        <f>(C78-MIN($C$2:$C$364)) / (MAX($C$2:$C$364)-MIN($C$2:$C$364))</f>
        <v/>
      </c>
      <c r="D446" s="6">
        <f>(D78-MIN($D$2:$D$364)) / (MAX($D$2:$D$364)-MIN($D$2:$D$364))</f>
        <v/>
      </c>
      <c r="E446" s="14">
        <f>(E78-MIN($E$2:$E$364)) / (MAX($E$2:$E$364)-MIN($E$2:$E$364))</f>
        <v/>
      </c>
    </row>
    <row r="447">
      <c r="A447" s="5" t="n">
        <v>78</v>
      </c>
      <c r="B447" s="6" t="inlineStr">
        <is>
          <t>Vintage 58 (Khusus PutriFemale only)</t>
        </is>
      </c>
      <c r="C447" s="6">
        <f>(C79-MIN($C$2:$C$364)) / (MAX($C$2:$C$364)-MIN($C$2:$C$364))</f>
        <v/>
      </c>
      <c r="D447" s="6">
        <f>(D79-MIN($D$2:$D$364)) / (MAX($D$2:$D$364)-MIN($D$2:$D$364))</f>
        <v/>
      </c>
      <c r="E447" s="14">
        <f>(E79-MIN($E$2:$E$364)) / (MAX($E$2:$E$364)-MIN($E$2:$E$364))</f>
        <v/>
      </c>
    </row>
    <row r="448">
      <c r="A448" s="5" t="n">
        <v>79</v>
      </c>
      <c r="B448" s="6" t="inlineStr">
        <is>
          <t>The Kost Homestay Syariah</t>
        </is>
      </c>
      <c r="C448" s="6">
        <f>(C80-MIN($C$2:$C$364)) / (MAX($C$2:$C$364)-MIN($C$2:$C$364))</f>
        <v/>
      </c>
      <c r="D448" s="6">
        <f>(D80-MIN($D$2:$D$364)) / (MAX($D$2:$D$364)-MIN($D$2:$D$364))</f>
        <v/>
      </c>
      <c r="E448" s="14">
        <f>(E80-MIN($E$2:$E$364)) / (MAX($E$2:$E$364)-MIN($E$2:$E$364))</f>
        <v/>
      </c>
    </row>
    <row r="449">
      <c r="A449" s="5" t="n">
        <v>80</v>
      </c>
      <c r="B449" s="6" t="inlineStr">
        <is>
          <t>Cerita PAGI Villa</t>
        </is>
      </c>
      <c r="C449" s="6">
        <f>(C81-MIN($C$2:$C$364)) / (MAX($C$2:$C$364)-MIN($C$2:$C$364))</f>
        <v/>
      </c>
      <c r="D449" s="6">
        <f>(D81-MIN($D$2:$D$364)) / (MAX($D$2:$D$364)-MIN($D$2:$D$364))</f>
        <v/>
      </c>
      <c r="E449" s="14">
        <f>(E81-MIN($E$2:$E$364)) / (MAX($E$2:$E$364)-MIN($E$2:$E$364))</f>
        <v/>
      </c>
    </row>
    <row r="450">
      <c r="A450" s="5" t="n">
        <v>81</v>
      </c>
      <c r="B450" s="6" t="inlineStr">
        <is>
          <t>Villa Kebun Jeruk Syariah Malang by ecommerceloka</t>
        </is>
      </c>
      <c r="C450" s="6">
        <f>(C82-MIN($C$2:$C$364)) / (MAX($C$2:$C$364)-MIN($C$2:$C$364))</f>
        <v/>
      </c>
      <c r="D450" s="6">
        <f>(D82-MIN($D$2:$D$364)) / (MAX($D$2:$D$364)-MIN($D$2:$D$364))</f>
        <v/>
      </c>
      <c r="E450" s="14">
        <f>(E82-MIN($E$2:$E$364)) / (MAX($E$2:$E$364)-MIN($E$2:$E$364))</f>
        <v/>
      </c>
    </row>
    <row r="451">
      <c r="A451" s="5" t="n">
        <v>82</v>
      </c>
      <c r="B451" s="6" t="inlineStr">
        <is>
          <t>PALMVIEW HOMESTAY GRIYA MERTOJOYO MALANG</t>
        </is>
      </c>
      <c r="C451" s="6">
        <f>(C83-MIN($C$2:$C$364)) / (MAX($C$2:$C$364)-MIN($C$2:$C$364))</f>
        <v/>
      </c>
      <c r="D451" s="6">
        <f>(D83-MIN($D$2:$D$364)) / (MAX($D$2:$D$364)-MIN($D$2:$D$364))</f>
        <v/>
      </c>
      <c r="E451" s="14">
        <f>(E83-MIN($E$2:$E$364)) / (MAX($E$2:$E$364)-MIN($E$2:$E$364))</f>
        <v/>
      </c>
    </row>
    <row r="452">
      <c r="A452" s="5" t="n">
        <v>83</v>
      </c>
      <c r="B452" s="6" t="inlineStr">
        <is>
          <t>Emka Villa</t>
        </is>
      </c>
      <c r="C452" s="6">
        <f>(C84-MIN($C$2:$C$364)) / (MAX($C$2:$C$364)-MIN($C$2:$C$364))</f>
        <v/>
      </c>
      <c r="D452" s="6">
        <f>(D84-MIN($D$2:$D$364)) / (MAX($D$2:$D$364)-MIN($D$2:$D$364))</f>
        <v/>
      </c>
      <c r="E452" s="14">
        <f>(E84-MIN($E$2:$E$364)) / (MAX($E$2:$E$364)-MIN($E$2:$E$364))</f>
        <v/>
      </c>
    </row>
    <row r="453">
      <c r="A453" s="5" t="n">
        <v>84</v>
      </c>
      <c r="B453" s="6" t="inlineStr">
        <is>
          <t>puncak dieng private villa at malang, batu</t>
        </is>
      </c>
      <c r="C453" s="6">
        <f>(C85-MIN($C$2:$C$364)) / (MAX($C$2:$C$364)-MIN($C$2:$C$364))</f>
        <v/>
      </c>
      <c r="D453" s="6">
        <f>(D85-MIN($D$2:$D$364)) / (MAX($D$2:$D$364)-MIN($D$2:$D$364))</f>
        <v/>
      </c>
      <c r="E453" s="14">
        <f>(E85-MIN($E$2:$E$364)) / (MAX($E$2:$E$364)-MIN($E$2:$E$364))</f>
        <v/>
      </c>
    </row>
    <row r="454">
      <c r="A454" s="5" t="n">
        <v>85</v>
      </c>
      <c r="B454" s="6" t="inlineStr">
        <is>
          <t>Omahe Malang</t>
        </is>
      </c>
      <c r="C454" s="6">
        <f>(C86-MIN($C$2:$C$364)) / (MAX($C$2:$C$364)-MIN($C$2:$C$364))</f>
        <v/>
      </c>
      <c r="D454" s="6">
        <f>(D86-MIN($D$2:$D$364)) / (MAX($D$2:$D$364)-MIN($D$2:$D$364))</f>
        <v/>
      </c>
      <c r="E454" s="14">
        <f>(E86-MIN($E$2:$E$364)) / (MAX($E$2:$E$364)-MIN($E$2:$E$364))</f>
        <v/>
      </c>
    </row>
    <row r="455">
      <c r="A455" s="5" t="n">
        <v>86</v>
      </c>
      <c r="B455" s="6" t="inlineStr">
        <is>
          <t>Villa Tidar Van Java, Private PooL, Sejuk &amp; Nyaman</t>
        </is>
      </c>
      <c r="C455" s="6">
        <f>(C87-MIN($C$2:$C$364)) / (MAX($C$2:$C$364)-MIN($C$2:$C$364))</f>
        <v/>
      </c>
      <c r="D455" s="6">
        <f>(D87-MIN($D$2:$D$364)) / (MAX($D$2:$D$364)-MIN($D$2:$D$364))</f>
        <v/>
      </c>
      <c r="E455" s="14">
        <f>(E87-MIN($E$2:$E$364)) / (MAX($E$2:$E$364)-MIN($E$2:$E$364))</f>
        <v/>
      </c>
    </row>
    <row r="456">
      <c r="A456" s="5" t="n">
        <v>87</v>
      </c>
      <c r="B456" s="6" t="inlineStr">
        <is>
          <t>The Garden Homestay Syariah dekat Batu, pintu tol, UB, UMM</t>
        </is>
      </c>
      <c r="C456" s="6">
        <f>(C88-MIN($C$2:$C$364)) / (MAX($C$2:$C$364)-MIN($C$2:$C$364))</f>
        <v/>
      </c>
      <c r="D456" s="6">
        <f>(D88-MIN($D$2:$D$364)) / (MAX($D$2:$D$364)-MIN($D$2:$D$364))</f>
        <v/>
      </c>
      <c r="E456" s="14">
        <f>(E88-MIN($E$2:$E$364)) / (MAX($E$2:$E$364)-MIN($E$2:$E$364))</f>
        <v/>
      </c>
    </row>
    <row r="457">
      <c r="A457" s="5" t="n">
        <v>88</v>
      </c>
      <c r="B457" s="6" t="inlineStr">
        <is>
          <t>Kusuma Pinus M12 by Kusuma Estate</t>
        </is>
      </c>
      <c r="C457" s="6">
        <f>(C89-MIN($C$2:$C$364)) / (MAX($C$2:$C$364)-MIN($C$2:$C$364))</f>
        <v/>
      </c>
      <c r="D457" s="6">
        <f>(D89-MIN($D$2:$D$364)) / (MAX($D$2:$D$364)-MIN($D$2:$D$364))</f>
        <v/>
      </c>
      <c r="E457" s="14">
        <f>(E89-MIN($E$2:$E$364)) / (MAX($E$2:$E$364)-MIN($E$2:$E$364))</f>
        <v/>
      </c>
    </row>
    <row r="458">
      <c r="A458" s="5" t="n">
        <v>89</v>
      </c>
      <c r="B458" s="6" t="inlineStr">
        <is>
          <t>Rumah Oma Family</t>
        </is>
      </c>
      <c r="C458" s="6">
        <f>(C90-MIN($C$2:$C$364)) / (MAX($C$2:$C$364)-MIN($C$2:$C$364))</f>
        <v/>
      </c>
      <c r="D458" s="6">
        <f>(D90-MIN($D$2:$D$364)) / (MAX($D$2:$D$364)-MIN($D$2:$D$364))</f>
        <v/>
      </c>
      <c r="E458" s="14">
        <f>(E90-MIN($E$2:$E$364)) / (MAX($E$2:$E$364)-MIN($E$2:$E$364))</f>
        <v/>
      </c>
    </row>
    <row r="459">
      <c r="A459" s="5" t="n">
        <v>90</v>
      </c>
      <c r="B459" s="6" t="inlineStr">
        <is>
          <t>Adyvan Villa</t>
        </is>
      </c>
      <c r="C459" s="6">
        <f>(C91-MIN($C$2:$C$364)) / (MAX($C$2:$C$364)-MIN($C$2:$C$364))</f>
        <v/>
      </c>
      <c r="D459" s="6">
        <f>(D91-MIN($D$2:$D$364)) / (MAX($D$2:$D$364)-MIN($D$2:$D$364))</f>
        <v/>
      </c>
      <c r="E459" s="14">
        <f>(E91-MIN($E$2:$E$364)) / (MAX($E$2:$E$364)-MIN($E$2:$E$364))</f>
        <v/>
      </c>
    </row>
    <row r="460">
      <c r="A460" s="5" t="n">
        <v>91</v>
      </c>
      <c r="B460" s="6" t="inlineStr">
        <is>
          <t>Urbanisia</t>
        </is>
      </c>
      <c r="C460" s="6">
        <f>(C92-MIN($C$2:$C$364)) / (MAX($C$2:$C$364)-MIN($C$2:$C$364))</f>
        <v/>
      </c>
      <c r="D460" s="6">
        <f>(D92-MIN($D$2:$D$364)) / (MAX($D$2:$D$364)-MIN($D$2:$D$364))</f>
        <v/>
      </c>
      <c r="E460" s="14">
        <f>(E92-MIN($E$2:$E$364)) / (MAX($E$2:$E$364)-MIN($E$2:$E$364))</f>
        <v/>
      </c>
    </row>
    <row r="461">
      <c r="A461" s="5" t="n">
        <v>92</v>
      </c>
      <c r="B461" s="6" t="inlineStr">
        <is>
          <t>Villa Sulfat</t>
        </is>
      </c>
      <c r="C461" s="6">
        <f>(C93-MIN($C$2:$C$364)) / (MAX($C$2:$C$364)-MIN($C$2:$C$364))</f>
        <v/>
      </c>
      <c r="D461" s="6">
        <f>(D93-MIN($D$2:$D$364)) / (MAX($D$2:$D$364)-MIN($D$2:$D$364))</f>
        <v/>
      </c>
      <c r="E461" s="14">
        <f>(E93-MIN($E$2:$E$364)) / (MAX($E$2:$E$364)-MIN($E$2:$E$364))</f>
        <v/>
      </c>
    </row>
    <row r="462">
      <c r="A462" s="5" t="n">
        <v>93</v>
      </c>
      <c r="B462" s="6" t="inlineStr">
        <is>
          <t>Villa Dengan Kolam Renang di Malang</t>
        </is>
      </c>
      <c r="C462" s="6">
        <f>(C94-MIN($C$2:$C$364)) / (MAX($C$2:$C$364)-MIN($C$2:$C$364))</f>
        <v/>
      </c>
      <c r="D462" s="6">
        <f>(D94-MIN($D$2:$D$364)) / (MAX($D$2:$D$364)-MIN($D$2:$D$364))</f>
        <v/>
      </c>
      <c r="E462" s="14">
        <f>(E94-MIN($E$2:$E$364)) / (MAX($E$2:$E$364)-MIN($E$2:$E$364))</f>
        <v/>
      </c>
    </row>
    <row r="463">
      <c r="A463" s="5" t="n">
        <v>94</v>
      </c>
      <c r="B463" s="6" t="inlineStr">
        <is>
          <t>Villa Coco4 Malang</t>
        </is>
      </c>
      <c r="C463" s="6">
        <f>(C95-MIN($C$2:$C$364)) / (MAX($C$2:$C$364)-MIN($C$2:$C$364))</f>
        <v/>
      </c>
      <c r="D463" s="6">
        <f>(D95-MIN($D$2:$D$364)) / (MAX($D$2:$D$364)-MIN($D$2:$D$364))</f>
        <v/>
      </c>
      <c r="E463" s="14">
        <f>(E95-MIN($E$2:$E$364)) / (MAX($E$2:$E$364)-MIN($E$2:$E$364))</f>
        <v/>
      </c>
    </row>
    <row r="464">
      <c r="A464" s="5" t="n">
        <v>95</v>
      </c>
      <c r="B464" s="6" t="inlineStr">
        <is>
          <t>Villa Seventeen Araya</t>
        </is>
      </c>
      <c r="C464" s="6">
        <f>(C96-MIN($C$2:$C$364)) / (MAX($C$2:$C$364)-MIN($C$2:$C$364))</f>
        <v/>
      </c>
      <c r="D464" s="6">
        <f>(D96-MIN($D$2:$D$364)) / (MAX($D$2:$D$364)-MIN($D$2:$D$364))</f>
        <v/>
      </c>
      <c r="E464" s="14">
        <f>(E96-MIN($E$2:$E$364)) / (MAX($E$2:$E$364)-MIN($E$2:$E$364))</f>
        <v/>
      </c>
    </row>
    <row r="465">
      <c r="A465" s="5" t="n">
        <v>96</v>
      </c>
      <c r="B465" s="6" t="inlineStr">
        <is>
          <t>Samanea Villa</t>
        </is>
      </c>
      <c r="C465" s="6">
        <f>(C97-MIN($C$2:$C$364)) / (MAX($C$2:$C$364)-MIN($C$2:$C$364))</f>
        <v/>
      </c>
      <c r="D465" s="6">
        <f>(D97-MIN($D$2:$D$364)) / (MAX($D$2:$D$364)-MIN($D$2:$D$364))</f>
        <v/>
      </c>
      <c r="E465" s="14">
        <f>(E97-MIN($E$2:$E$364)) / (MAX($E$2:$E$364)-MIN($E$2:$E$364))</f>
        <v/>
      </c>
    </row>
    <row r="466">
      <c r="A466" s="5" t="n">
        <v>97</v>
      </c>
      <c r="B466" s="6" t="inlineStr">
        <is>
          <t>Casa de Vie Homestay</t>
        </is>
      </c>
      <c r="C466" s="6">
        <f>(C98-MIN($C$2:$C$364)) / (MAX($C$2:$C$364)-MIN($C$2:$C$364))</f>
        <v/>
      </c>
      <c r="D466" s="6">
        <f>(D98-MIN($D$2:$D$364)) / (MAX($D$2:$D$364)-MIN($D$2:$D$364))</f>
        <v/>
      </c>
      <c r="E466" s="14">
        <f>(E98-MIN($E$2:$E$364)) / (MAX($E$2:$E$364)-MIN($E$2:$E$364))</f>
        <v/>
      </c>
    </row>
    <row r="467">
      <c r="A467" s="5" t="n">
        <v>98</v>
      </c>
      <c r="B467" s="6" t="inlineStr">
        <is>
          <t>Villa Kalimaya - 3 Bedrooms</t>
        </is>
      </c>
      <c r="C467" s="6">
        <f>(C99-MIN($C$2:$C$364)) / (MAX($C$2:$C$364)-MIN($C$2:$C$364))</f>
        <v/>
      </c>
      <c r="D467" s="6">
        <f>(D99-MIN($D$2:$D$364)) / (MAX($D$2:$D$364)-MIN($D$2:$D$364))</f>
        <v/>
      </c>
      <c r="E467" s="14">
        <f>(E99-MIN($E$2:$E$364)) / (MAX($E$2:$E$364)-MIN($E$2:$E$364))</f>
        <v/>
      </c>
    </row>
    <row r="468">
      <c r="A468" s="5" t="n">
        <v>99</v>
      </c>
      <c r="B468" s="6" t="inlineStr">
        <is>
          <t>MP Villa Permata Kencana 24A</t>
        </is>
      </c>
      <c r="C468" s="6">
        <f>(C100-MIN($C$2:$C$364)) / (MAX($C$2:$C$364)-MIN($C$2:$C$364))</f>
        <v/>
      </c>
      <c r="D468" s="6">
        <f>(D100-MIN($D$2:$D$364)) / (MAX($D$2:$D$364)-MIN($D$2:$D$364))</f>
        <v/>
      </c>
      <c r="E468" s="14">
        <f>(E100-MIN($E$2:$E$364)) / (MAX($E$2:$E$364)-MIN($E$2:$E$364))</f>
        <v/>
      </c>
    </row>
    <row r="469">
      <c r="A469" s="5" t="n">
        <v>100</v>
      </c>
      <c r="B469" s="6" t="inlineStr">
        <is>
          <t>Vila Bumi Madinah Dau-Malang</t>
        </is>
      </c>
      <c r="C469" s="6">
        <f>(C101-MIN($C$2:$C$364)) / (MAX($C$2:$C$364)-MIN($C$2:$C$364))</f>
        <v/>
      </c>
      <c r="D469" s="6">
        <f>(D101-MIN($D$2:$D$364)) / (MAX($D$2:$D$364)-MIN($D$2:$D$364))</f>
        <v/>
      </c>
      <c r="E469" s="14">
        <f>(E101-MIN($E$2:$E$364)) / (MAX($E$2:$E$364)-MIN($E$2:$E$364))</f>
        <v/>
      </c>
    </row>
    <row r="470">
      <c r="A470" s="5" t="n">
        <v>101</v>
      </c>
      <c r="B470" s="6" t="inlineStr">
        <is>
          <t>Rumah Fia (Villa kota Malang)</t>
        </is>
      </c>
      <c r="C470" s="6">
        <f>(C102-MIN($C$2:$C$364)) / (MAX($C$2:$C$364)-MIN($C$2:$C$364))</f>
        <v/>
      </c>
      <c r="D470" s="6">
        <f>(D102-MIN($D$2:$D$364)) / (MAX($D$2:$D$364)-MIN($D$2:$D$364))</f>
        <v/>
      </c>
      <c r="E470" s="14">
        <f>(E102-MIN($E$2:$E$364)) / (MAX($E$2:$E$364)-MIN($E$2:$E$364))</f>
        <v/>
      </c>
    </row>
    <row r="471">
      <c r="A471" s="5" t="n">
        <v>102</v>
      </c>
      <c r="B471" s="6" t="inlineStr">
        <is>
          <t>Vila Bumi Madinah Landungsari Malang</t>
        </is>
      </c>
      <c r="C471" s="6">
        <f>(C103-MIN($C$2:$C$364)) / (MAX($C$2:$C$364)-MIN($C$2:$C$364))</f>
        <v/>
      </c>
      <c r="D471" s="6">
        <f>(D103-MIN($D$2:$D$364)) / (MAX($D$2:$D$364)-MIN($D$2:$D$364))</f>
        <v/>
      </c>
      <c r="E471" s="14">
        <f>(E103-MIN($E$2:$E$364)) / (MAX($E$2:$E$364)-MIN($E$2:$E$364))</f>
        <v/>
      </c>
    </row>
    <row r="472">
      <c r="A472" s="5" t="n">
        <v>103</v>
      </c>
      <c r="B472" s="6" t="inlineStr">
        <is>
          <t>Villa Samawa</t>
        </is>
      </c>
      <c r="C472" s="6">
        <f>(C104-MIN($C$2:$C$364)) / (MAX($C$2:$C$364)-MIN($C$2:$C$364))</f>
        <v/>
      </c>
      <c r="D472" s="6">
        <f>(D104-MIN($D$2:$D$364)) / (MAX($D$2:$D$364)-MIN($D$2:$D$364))</f>
        <v/>
      </c>
      <c r="E472" s="14">
        <f>(E104-MIN($E$2:$E$364)) / (MAX($E$2:$E$364)-MIN($E$2:$E$364))</f>
        <v/>
      </c>
    </row>
    <row r="473">
      <c r="A473" s="5" t="n">
        <v>104</v>
      </c>
      <c r="B473" s="6" t="inlineStr">
        <is>
          <t>Dekaka Riverside</t>
        </is>
      </c>
      <c r="C473" s="6">
        <f>(C105-MIN($C$2:$C$364)) / (MAX($C$2:$C$364)-MIN($C$2:$C$364))</f>
        <v/>
      </c>
      <c r="D473" s="6">
        <f>(D105-MIN($D$2:$D$364)) / (MAX($D$2:$D$364)-MIN($D$2:$D$364))</f>
        <v/>
      </c>
      <c r="E473" s="14">
        <f>(E105-MIN($E$2:$E$364)) / (MAX($E$2:$E$364)-MIN($E$2:$E$364))</f>
        <v/>
      </c>
    </row>
    <row r="474">
      <c r="A474" s="5" t="n">
        <v>105</v>
      </c>
      <c r="B474" s="6" t="inlineStr">
        <is>
          <t>AdyneVille - Syariah Premium HomeStay</t>
        </is>
      </c>
      <c r="C474" s="6">
        <f>(C106-MIN($C$2:$C$364)) / (MAX($C$2:$C$364)-MIN($C$2:$C$364))</f>
        <v/>
      </c>
      <c r="D474" s="6">
        <f>(D106-MIN($D$2:$D$364)) / (MAX($D$2:$D$364)-MIN($D$2:$D$364))</f>
        <v/>
      </c>
      <c r="E474" s="14">
        <f>(E106-MIN($E$2:$E$364)) / (MAX($E$2:$E$364)-MIN($E$2:$E$364))</f>
        <v/>
      </c>
    </row>
    <row r="475">
      <c r="A475" s="5" t="n">
        <v>106</v>
      </c>
      <c r="B475" s="6" t="inlineStr">
        <is>
          <t>Villa Bromo</t>
        </is>
      </c>
      <c r="C475" s="6">
        <f>(C107-MIN($C$2:$C$364)) / (MAX($C$2:$C$364)-MIN($C$2:$C$364))</f>
        <v/>
      </c>
      <c r="D475" s="6">
        <f>(D107-MIN($D$2:$D$364)) / (MAX($D$2:$D$364)-MIN($D$2:$D$364))</f>
        <v/>
      </c>
      <c r="E475" s="14">
        <f>(E107-MIN($E$2:$E$364)) / (MAX($E$2:$E$364)-MIN($E$2:$E$364))</f>
        <v/>
      </c>
    </row>
    <row r="476">
      <c r="A476" s="5" t="n">
        <v>107</v>
      </c>
      <c r="B476" s="6" t="inlineStr">
        <is>
          <t>Sierra Villa Malang</t>
        </is>
      </c>
      <c r="C476" s="6">
        <f>(C108-MIN($C$2:$C$364)) / (MAX($C$2:$C$364)-MIN($C$2:$C$364))</f>
        <v/>
      </c>
      <c r="D476" s="6">
        <f>(D108-MIN($D$2:$D$364)) / (MAX($D$2:$D$364)-MIN($D$2:$D$364))</f>
        <v/>
      </c>
      <c r="E476" s="14">
        <f>(E108-MIN($E$2:$E$364)) / (MAX($E$2:$E$364)-MIN($E$2:$E$364))</f>
        <v/>
      </c>
    </row>
    <row r="477">
      <c r="A477" s="5" t="n">
        <v>108</v>
      </c>
      <c r="B477" s="6" t="inlineStr">
        <is>
          <t>Villa Griya Samara &amp; Kolam Renang Pribadi</t>
        </is>
      </c>
      <c r="C477" s="6">
        <f>(C109-MIN($C$2:$C$364)) / (MAX($C$2:$C$364)-MIN($C$2:$C$364))</f>
        <v/>
      </c>
      <c r="D477" s="6">
        <f>(D109-MIN($D$2:$D$364)) / (MAX($D$2:$D$364)-MIN($D$2:$D$364))</f>
        <v/>
      </c>
      <c r="E477" s="14">
        <f>(E109-MIN($E$2:$E$364)) / (MAX($E$2:$E$364)-MIN($E$2:$E$364))</f>
        <v/>
      </c>
    </row>
    <row r="478">
      <c r="A478" s="5" t="n">
        <v>109</v>
      </c>
      <c r="B478" s="6" t="inlineStr">
        <is>
          <t>Villa Greenland - 2 Bedrooms</t>
        </is>
      </c>
      <c r="C478" s="6">
        <f>(C110-MIN($C$2:$C$364)) / (MAX($C$2:$C$364)-MIN($C$2:$C$364))</f>
        <v/>
      </c>
      <c r="D478" s="6">
        <f>(D110-MIN($D$2:$D$364)) / (MAX($D$2:$D$364)-MIN($D$2:$D$364))</f>
        <v/>
      </c>
      <c r="E478" s="14">
        <f>(E110-MIN($E$2:$E$364)) / (MAX($E$2:$E$364)-MIN($E$2:$E$364))</f>
        <v/>
      </c>
    </row>
    <row r="479">
      <c r="A479" s="5" t="n">
        <v>110</v>
      </c>
      <c r="B479" s="6" t="inlineStr">
        <is>
          <t>Villa Malang Puncak Buring</t>
        </is>
      </c>
      <c r="C479" s="6">
        <f>(C111-MIN($C$2:$C$364)) / (MAX($C$2:$C$364)-MIN($C$2:$C$364))</f>
        <v/>
      </c>
      <c r="D479" s="6">
        <f>(D111-MIN($D$2:$D$364)) / (MAX($D$2:$D$364)-MIN($D$2:$D$364))</f>
        <v/>
      </c>
      <c r="E479" s="14">
        <f>(E111-MIN($E$2:$E$364)) / (MAX($E$2:$E$364)-MIN($E$2:$E$364))</f>
        <v/>
      </c>
    </row>
    <row r="480">
      <c r="A480" s="5" t="n">
        <v>111</v>
      </c>
      <c r="B480" s="6" t="inlineStr">
        <is>
          <t>Cozy villa @oma view malang</t>
        </is>
      </c>
      <c r="C480" s="6">
        <f>(C112-MIN($C$2:$C$364)) / (MAX($C$2:$C$364)-MIN($C$2:$C$364))</f>
        <v/>
      </c>
      <c r="D480" s="6">
        <f>(D112-MIN($D$2:$D$364)) / (MAX($D$2:$D$364)-MIN($D$2:$D$364))</f>
        <v/>
      </c>
      <c r="E480" s="14">
        <f>(E112-MIN($E$2:$E$364)) / (MAX($E$2:$E$364)-MIN($E$2:$E$364))</f>
        <v/>
      </c>
    </row>
    <row r="481">
      <c r="A481" s="5" t="n">
        <v>112</v>
      </c>
      <c r="B481" s="6" t="inlineStr">
        <is>
          <t>Villa Strategis di Malang View Pegunungan</t>
        </is>
      </c>
      <c r="C481" s="6">
        <f>(C113-MIN($C$2:$C$364)) / (MAX($C$2:$C$364)-MIN($C$2:$C$364))</f>
        <v/>
      </c>
      <c r="D481" s="6">
        <f>(D113-MIN($D$2:$D$364)) / (MAX($D$2:$D$364)-MIN($D$2:$D$364))</f>
        <v/>
      </c>
      <c r="E481" s="14">
        <f>(E113-MIN($E$2:$E$364)) / (MAX($E$2:$E$364)-MIN($E$2:$E$364))</f>
        <v/>
      </c>
    </row>
    <row r="482">
      <c r="A482" s="5" t="n">
        <v>113</v>
      </c>
      <c r="B482" s="6" t="inlineStr">
        <is>
          <t>Villa Griya Sumber Arum</t>
        </is>
      </c>
      <c r="C482" s="6">
        <f>(C114-MIN($C$2:$C$364)) / (MAX($C$2:$C$364)-MIN($C$2:$C$364))</f>
        <v/>
      </c>
      <c r="D482" s="6">
        <f>(D114-MIN($D$2:$D$364)) / (MAX($D$2:$D$364)-MIN($D$2:$D$364))</f>
        <v/>
      </c>
      <c r="E482" s="14">
        <f>(E114-MIN($E$2:$E$364)) / (MAX($E$2:$E$364)-MIN($E$2:$E$364))</f>
        <v/>
      </c>
    </row>
    <row r="483">
      <c r="A483" s="5" t="n">
        <v>114</v>
      </c>
      <c r="B483" s="6" t="inlineStr">
        <is>
          <t>Villa Graha Dewata</t>
        </is>
      </c>
      <c r="C483" s="6">
        <f>(C115-MIN($C$2:$C$364)) / (MAX($C$2:$C$364)-MIN($C$2:$C$364))</f>
        <v/>
      </c>
      <c r="D483" s="6">
        <f>(D115-MIN($D$2:$D$364)) / (MAX($D$2:$D$364)-MIN($D$2:$D$364))</f>
        <v/>
      </c>
      <c r="E483" s="14">
        <f>(E115-MIN($E$2:$E$364)) / (MAX($E$2:$E$364)-MIN($E$2:$E$364))</f>
        <v/>
      </c>
    </row>
    <row r="484">
      <c r="A484" s="5" t="n">
        <v>115</v>
      </c>
      <c r="B484" s="6" t="inlineStr">
        <is>
          <t>The OZ HE-01, Villa Omah Dalem with Mountain View</t>
        </is>
      </c>
      <c r="C484" s="6">
        <f>(C116-MIN($C$2:$C$364)) / (MAX($C$2:$C$364)-MIN($C$2:$C$364))</f>
        <v/>
      </c>
      <c r="D484" s="6">
        <f>(D116-MIN($D$2:$D$364)) / (MAX($D$2:$D$364)-MIN($D$2:$D$364))</f>
        <v/>
      </c>
      <c r="E484" s="14">
        <f>(E116-MIN($E$2:$E$364)) / (MAX($E$2:$E$364)-MIN($E$2:$E$364))</f>
        <v/>
      </c>
    </row>
    <row r="485">
      <c r="A485" s="5" t="n">
        <v>116</v>
      </c>
      <c r="B485" s="6" t="inlineStr">
        <is>
          <t>Omah Joglo Bugis</t>
        </is>
      </c>
      <c r="C485" s="6">
        <f>(C117-MIN($C$2:$C$364)) / (MAX($C$2:$C$364)-MIN($C$2:$C$364))</f>
        <v/>
      </c>
      <c r="D485" s="6">
        <f>(D117-MIN($D$2:$D$364)) / (MAX($D$2:$D$364)-MIN($D$2:$D$364))</f>
        <v/>
      </c>
      <c r="E485" s="14">
        <f>(E117-MIN($E$2:$E$364)) / (MAX($E$2:$E$364)-MIN($E$2:$E$364))</f>
        <v/>
      </c>
    </row>
    <row r="486">
      <c r="A486" s="5" t="n">
        <v>117</v>
      </c>
      <c r="B486" s="6" t="inlineStr">
        <is>
          <t>HS Villa</t>
        </is>
      </c>
      <c r="C486" s="6">
        <f>(C118-MIN($C$2:$C$364)) / (MAX($C$2:$C$364)-MIN($C$2:$C$364))</f>
        <v/>
      </c>
      <c r="D486" s="6">
        <f>(D118-MIN($D$2:$D$364)) / (MAX($D$2:$D$364)-MIN($D$2:$D$364))</f>
        <v/>
      </c>
      <c r="E486" s="14">
        <f>(E118-MIN($E$2:$E$364)) / (MAX($E$2:$E$364)-MIN($E$2:$E$364))</f>
        <v/>
      </c>
    </row>
    <row r="487">
      <c r="A487" s="5" t="n">
        <v>118</v>
      </c>
      <c r="B487" s="6" t="inlineStr">
        <is>
          <t>Villa Awwa</t>
        </is>
      </c>
      <c r="C487" s="6">
        <f>(C119-MIN($C$2:$C$364)) / (MAX($C$2:$C$364)-MIN($C$2:$C$364))</f>
        <v/>
      </c>
      <c r="D487" s="6">
        <f>(D119-MIN($D$2:$D$364)) / (MAX($D$2:$D$364)-MIN($D$2:$D$364))</f>
        <v/>
      </c>
      <c r="E487" s="14">
        <f>(E119-MIN($E$2:$E$364)) / (MAX($E$2:$E$364)-MIN($E$2:$E$364))</f>
        <v/>
      </c>
    </row>
    <row r="488">
      <c r="A488" s="5" t="n">
        <v>119</v>
      </c>
      <c r="B488" s="6" t="inlineStr">
        <is>
          <t>Homestay Villa Estetik di Malang</t>
        </is>
      </c>
      <c r="C488" s="6">
        <f>(C120-MIN($C$2:$C$364)) / (MAX($C$2:$C$364)-MIN($C$2:$C$364))</f>
        <v/>
      </c>
      <c r="D488" s="6">
        <f>(D120-MIN($D$2:$D$364)) / (MAX($D$2:$D$364)-MIN($D$2:$D$364))</f>
        <v/>
      </c>
      <c r="E488" s="14">
        <f>(E120-MIN($E$2:$E$364)) / (MAX($E$2:$E$364)-MIN($E$2:$E$364))</f>
        <v/>
      </c>
    </row>
    <row r="489">
      <c r="A489" s="5" t="n">
        <v>120</v>
      </c>
      <c r="B489" s="6" t="inlineStr">
        <is>
          <t>Villa naca</t>
        </is>
      </c>
      <c r="C489" s="6">
        <f>(C121-MIN($C$2:$C$364)) / (MAX($C$2:$C$364)-MIN($C$2:$C$364))</f>
        <v/>
      </c>
      <c r="D489" s="6">
        <f>(D121-MIN($D$2:$D$364)) / (MAX($D$2:$D$364)-MIN($D$2:$D$364))</f>
        <v/>
      </c>
      <c r="E489" s="14">
        <f>(E121-MIN($E$2:$E$364)) / (MAX($E$2:$E$364)-MIN($E$2:$E$364))</f>
        <v/>
      </c>
    </row>
    <row r="490">
      <c r="A490" s="5" t="n">
        <v>121</v>
      </c>
      <c r="B490" s="6" t="inlineStr">
        <is>
          <t>Villa Estetik di Malang</t>
        </is>
      </c>
      <c r="C490" s="6">
        <f>(C122-MIN($C$2:$C$364)) / (MAX($C$2:$C$364)-MIN($C$2:$C$364))</f>
        <v/>
      </c>
      <c r="D490" s="6">
        <f>(D122-MIN($D$2:$D$364)) / (MAX($D$2:$D$364)-MIN($D$2:$D$364))</f>
        <v/>
      </c>
      <c r="E490" s="14">
        <f>(E122-MIN($E$2:$E$364)) / (MAX($E$2:$E$364)-MIN($E$2:$E$364))</f>
        <v/>
      </c>
    </row>
    <row r="491">
      <c r="A491" s="5" t="n">
        <v>122</v>
      </c>
      <c r="B491" s="6" t="inlineStr">
        <is>
          <t>Villa Murah Malang</t>
        </is>
      </c>
      <c r="C491" s="6">
        <f>(C123-MIN($C$2:$C$364)) / (MAX($C$2:$C$364)-MIN($C$2:$C$364))</f>
        <v/>
      </c>
      <c r="D491" s="6">
        <f>(D123-MIN($D$2:$D$364)) / (MAX($D$2:$D$364)-MIN($D$2:$D$364))</f>
        <v/>
      </c>
      <c r="E491" s="14">
        <f>(E123-MIN($E$2:$E$364)) / (MAX($E$2:$E$364)-MIN($E$2:$E$364))</f>
        <v/>
      </c>
    </row>
    <row r="492">
      <c r="A492" s="5" t="n">
        <v>123</v>
      </c>
      <c r="B492" s="6" t="inlineStr">
        <is>
          <t>Lavah Guest House</t>
        </is>
      </c>
      <c r="C492" s="6">
        <f>(C124-MIN($C$2:$C$364)) / (MAX($C$2:$C$364)-MIN($C$2:$C$364))</f>
        <v/>
      </c>
      <c r="D492" s="6">
        <f>(D124-MIN($D$2:$D$364)) / (MAX($D$2:$D$364)-MIN($D$2:$D$364))</f>
        <v/>
      </c>
      <c r="E492" s="14">
        <f>(E124-MIN($E$2:$E$364)) / (MAX($E$2:$E$364)-MIN($E$2:$E$364))</f>
        <v/>
      </c>
    </row>
    <row r="493">
      <c r="A493" s="5" t="n">
        <v>124</v>
      </c>
      <c r="B493" s="6" t="inlineStr">
        <is>
          <t>Bellecrown Rooms</t>
        </is>
      </c>
      <c r="C493" s="6">
        <f>(C125-MIN($C$2:$C$364)) / (MAX($C$2:$C$364)-MIN($C$2:$C$364))</f>
        <v/>
      </c>
      <c r="D493" s="6">
        <f>(D125-MIN($D$2:$D$364)) / (MAX($D$2:$D$364)-MIN($D$2:$D$364))</f>
        <v/>
      </c>
      <c r="E493" s="14">
        <f>(E125-MIN($E$2:$E$364)) / (MAX($E$2:$E$364)-MIN($E$2:$E$364))</f>
        <v/>
      </c>
    </row>
    <row r="494">
      <c r="A494" s="5" t="n">
        <v>125</v>
      </c>
      <c r="B494" s="6" t="inlineStr">
        <is>
          <t>Adel Guest House</t>
        </is>
      </c>
      <c r="C494" s="6">
        <f>(C126-MIN($C$2:$C$364)) / (MAX($C$2:$C$364)-MIN($C$2:$C$364))</f>
        <v/>
      </c>
      <c r="D494" s="6">
        <f>(D126-MIN($D$2:$D$364)) / (MAX($D$2:$D$364)-MIN($D$2:$D$364))</f>
        <v/>
      </c>
      <c r="E494" s="14">
        <f>(E126-MIN($E$2:$E$364)) / (MAX($E$2:$E$364)-MIN($E$2:$E$364))</f>
        <v/>
      </c>
    </row>
    <row r="495">
      <c r="A495" s="5" t="n">
        <v>126</v>
      </c>
      <c r="B495" s="6" t="inlineStr">
        <is>
          <t>rumah bea malang</t>
        </is>
      </c>
      <c r="C495" s="6">
        <f>(C127-MIN($C$2:$C$364)) / (MAX($C$2:$C$364)-MIN($C$2:$C$364))</f>
        <v/>
      </c>
      <c r="D495" s="6">
        <f>(D127-MIN($D$2:$D$364)) / (MAX($D$2:$D$364)-MIN($D$2:$D$364))</f>
        <v/>
      </c>
      <c r="E495" s="14">
        <f>(E127-MIN($E$2:$E$364)) / (MAX($E$2:$E$364)-MIN($E$2:$E$364))</f>
        <v/>
      </c>
    </row>
    <row r="496">
      <c r="A496" s="5" t="n">
        <v>127</v>
      </c>
      <c r="B496" s="6" t="inlineStr">
        <is>
          <t>Saraba Stays Syariah</t>
        </is>
      </c>
      <c r="C496" s="6">
        <f>(C128-MIN($C$2:$C$364)) / (MAX($C$2:$C$364)-MIN($C$2:$C$364))</f>
        <v/>
      </c>
      <c r="D496" s="6">
        <f>(D128-MIN($D$2:$D$364)) / (MAX($D$2:$D$364)-MIN($D$2:$D$364))</f>
        <v/>
      </c>
      <c r="E496" s="14">
        <f>(E128-MIN($E$2:$E$364)) / (MAX($E$2:$E$364)-MIN($E$2:$E$364))</f>
        <v/>
      </c>
    </row>
    <row r="497">
      <c r="A497" s="5" t="n">
        <v>128</v>
      </c>
      <c r="B497" s="6" t="inlineStr">
        <is>
          <t>Privat Homestay Malang Oz HK 39</t>
        </is>
      </c>
      <c r="C497" s="6">
        <f>(C129-MIN($C$2:$C$364)) / (MAX($C$2:$C$364)-MIN($C$2:$C$364))</f>
        <v/>
      </c>
      <c r="D497" s="6">
        <f>(D129-MIN($D$2:$D$364)) / (MAX($D$2:$D$364)-MIN($D$2:$D$364))</f>
        <v/>
      </c>
      <c r="E497" s="14">
        <f>(E129-MIN($E$2:$E$364)) / (MAX($E$2:$E$364)-MIN($E$2:$E$364))</f>
        <v/>
      </c>
    </row>
    <row r="498">
      <c r="A498" s="5" t="n">
        <v>129</v>
      </c>
      <c r="B498" s="6" t="inlineStr">
        <is>
          <t>RJ Guest House</t>
        </is>
      </c>
      <c r="C498" s="6">
        <f>(C130-MIN($C$2:$C$364)) / (MAX($C$2:$C$364)-MIN($C$2:$C$364))</f>
        <v/>
      </c>
      <c r="D498" s="6">
        <f>(D130-MIN($D$2:$D$364)) / (MAX($D$2:$D$364)-MIN($D$2:$D$364))</f>
        <v/>
      </c>
      <c r="E498" s="14">
        <f>(E130-MIN($E$2:$E$364)) / (MAX($E$2:$E$364)-MIN($E$2:$E$364))</f>
        <v/>
      </c>
    </row>
    <row r="499">
      <c r="A499" s="5" t="n">
        <v>130</v>
      </c>
      <c r="B499" s="6" t="inlineStr">
        <is>
          <t>omah venus homestay</t>
        </is>
      </c>
      <c r="C499" s="6">
        <f>(C131-MIN($C$2:$C$364)) / (MAX($C$2:$C$364)-MIN($C$2:$C$364))</f>
        <v/>
      </c>
      <c r="D499" s="6">
        <f>(D131-MIN($D$2:$D$364)) / (MAX($D$2:$D$364)-MIN($D$2:$D$364))</f>
        <v/>
      </c>
      <c r="E499" s="14">
        <f>(E131-MIN($E$2:$E$364)) / (MAX($E$2:$E$364)-MIN($E$2:$E$364))</f>
        <v/>
      </c>
    </row>
    <row r="500">
      <c r="A500" s="5" t="n">
        <v>131</v>
      </c>
      <c r="B500" s="6" t="inlineStr">
        <is>
          <t>Closed</t>
        </is>
      </c>
      <c r="C500" s="6">
        <f>(C132-MIN($C$2:$C$364)) / (MAX($C$2:$C$364)-MIN($C$2:$C$364))</f>
        <v/>
      </c>
      <c r="D500" s="6">
        <f>(D132-MIN($D$2:$D$364)) / (MAX($D$2:$D$364)-MIN($D$2:$D$364))</f>
        <v/>
      </c>
      <c r="E500" s="14">
        <f>(E132-MIN($E$2:$E$364)) / (MAX($E$2:$E$364)-MIN($E$2:$E$364))</f>
        <v/>
      </c>
    </row>
    <row r="501">
      <c r="A501" s="5" t="n">
        <v>132</v>
      </c>
      <c r="B501" s="6" t="inlineStr">
        <is>
          <t>The Garden Vila dekat Batu, UB, UMM</t>
        </is>
      </c>
      <c r="C501" s="6">
        <f>(C133-MIN($C$2:$C$364)) / (MAX($C$2:$C$364)-MIN($C$2:$C$364))</f>
        <v/>
      </c>
      <c r="D501" s="6">
        <f>(D133-MIN($D$2:$D$364)) / (MAX($D$2:$D$364)-MIN($D$2:$D$364))</f>
        <v/>
      </c>
      <c r="E501" s="14">
        <f>(E133-MIN($E$2:$E$364)) / (MAX($E$2:$E$364)-MIN($E$2:$E$364))</f>
        <v/>
      </c>
    </row>
    <row r="502">
      <c r="A502" s="5" t="n">
        <v>133</v>
      </c>
      <c r="B502" s="6" t="inlineStr">
        <is>
          <t>De'Boutique Style Hotel</t>
        </is>
      </c>
      <c r="C502" s="6">
        <f>(C134-MIN($C$2:$C$364)) / (MAX($C$2:$C$364)-MIN($C$2:$C$364))</f>
        <v/>
      </c>
      <c r="D502" s="6">
        <f>(D134-MIN($D$2:$D$364)) / (MAX($D$2:$D$364)-MIN($D$2:$D$364))</f>
        <v/>
      </c>
      <c r="E502" s="14">
        <f>(E134-MIN($E$2:$E$364)) / (MAX($E$2:$E$364)-MIN($E$2:$E$364))</f>
        <v/>
      </c>
    </row>
    <row r="503">
      <c r="A503" s="5" t="n">
        <v>134</v>
      </c>
      <c r="B503" s="6" t="inlineStr">
        <is>
          <t>Kapal Garden Hotel</t>
        </is>
      </c>
      <c r="C503" s="6">
        <f>(C135-MIN($C$2:$C$364)) / (MAX($C$2:$C$364)-MIN($C$2:$C$364))</f>
        <v/>
      </c>
      <c r="D503" s="6">
        <f>(D135-MIN($D$2:$D$364)) / (MAX($D$2:$D$364)-MIN($D$2:$D$364))</f>
        <v/>
      </c>
      <c r="E503" s="14">
        <f>(E135-MIN($E$2:$E$364)) / (MAX($E$2:$E$364)-MIN($E$2:$E$364))</f>
        <v/>
      </c>
    </row>
    <row r="504">
      <c r="A504" s="5" t="n">
        <v>135</v>
      </c>
      <c r="B504" s="6" t="inlineStr">
        <is>
          <t>Ascent Hotel &amp; Cafe Malang</t>
        </is>
      </c>
      <c r="C504" s="6">
        <f>(C136-MIN($C$2:$C$364)) / (MAX($C$2:$C$364)-MIN($C$2:$C$364))</f>
        <v/>
      </c>
      <c r="D504" s="6">
        <f>(D136-MIN($D$2:$D$364)) / (MAX($D$2:$D$364)-MIN($D$2:$D$364))</f>
        <v/>
      </c>
      <c r="E504" s="14">
        <f>(E136-MIN($E$2:$E$364)) / (MAX($E$2:$E$364)-MIN($E$2:$E$364))</f>
        <v/>
      </c>
    </row>
    <row r="505">
      <c r="A505" s="5" t="n">
        <v>136</v>
      </c>
      <c r="B505" s="6" t="inlineStr">
        <is>
          <t>The Grand Palace Hotel Malang</t>
        </is>
      </c>
      <c r="C505" s="6">
        <f>(C137-MIN($C$2:$C$364)) / (MAX($C$2:$C$364)-MIN($C$2:$C$364))</f>
        <v/>
      </c>
      <c r="D505" s="6">
        <f>(D137-MIN($D$2:$D$364)) / (MAX($D$2:$D$364)-MIN($D$2:$D$364))</f>
        <v/>
      </c>
      <c r="E505" s="14">
        <f>(E137-MIN($E$2:$E$364)) / (MAX($E$2:$E$364)-MIN($E$2:$E$364))</f>
        <v/>
      </c>
    </row>
    <row r="506">
      <c r="A506" s="5" t="n">
        <v>137</v>
      </c>
      <c r="B506" s="6" t="inlineStr">
        <is>
          <t>Sunrise Hotel</t>
        </is>
      </c>
      <c r="C506" s="6">
        <f>(C138-MIN($C$2:$C$364)) / (MAX($C$2:$C$364)-MIN($C$2:$C$364))</f>
        <v/>
      </c>
      <c r="D506" s="6">
        <f>(D138-MIN($D$2:$D$364)) / (MAX($D$2:$D$364)-MIN($D$2:$D$364))</f>
        <v/>
      </c>
      <c r="E506" s="14">
        <f>(E138-MIN($E$2:$E$364)) / (MAX($E$2:$E$364)-MIN($E$2:$E$364))</f>
        <v/>
      </c>
    </row>
    <row r="507">
      <c r="A507" s="5" t="n">
        <v>138</v>
      </c>
      <c r="B507" s="6" t="inlineStr">
        <is>
          <t>Swiss-Belinn Malang</t>
        </is>
      </c>
      <c r="C507" s="6">
        <f>(C139-MIN($C$2:$C$364)) / (MAX($C$2:$C$364)-MIN($C$2:$C$364))</f>
        <v/>
      </c>
      <c r="D507" s="6">
        <f>(D139-MIN($D$2:$D$364)) / (MAX($D$2:$D$364)-MIN($D$2:$D$364))</f>
        <v/>
      </c>
      <c r="E507" s="14">
        <f>(E139-MIN($E$2:$E$364)) / (MAX($E$2:$E$364)-MIN($E$2:$E$364))</f>
        <v/>
      </c>
    </row>
    <row r="508">
      <c r="A508" s="5" t="n">
        <v>139</v>
      </c>
      <c r="B508" s="6" t="inlineStr">
        <is>
          <t>Everyday Smart Hotel Malang</t>
        </is>
      </c>
      <c r="C508" s="6">
        <f>(C140-MIN($C$2:$C$364)) / (MAX($C$2:$C$364)-MIN($C$2:$C$364))</f>
        <v/>
      </c>
      <c r="D508" s="6">
        <f>(D140-MIN($D$2:$D$364)) / (MAX($D$2:$D$364)-MIN($D$2:$D$364))</f>
        <v/>
      </c>
      <c r="E508" s="14">
        <f>(E140-MIN($E$2:$E$364)) / (MAX($E$2:$E$364)-MIN($E$2:$E$364))</f>
        <v/>
      </c>
    </row>
    <row r="509">
      <c r="A509" s="5" t="n">
        <v>140</v>
      </c>
      <c r="B509" s="6" t="inlineStr">
        <is>
          <t>Tuwuh Hotel at Kayutangan</t>
        </is>
      </c>
      <c r="C509" s="6">
        <f>(C141-MIN($C$2:$C$364)) / (MAX($C$2:$C$364)-MIN($C$2:$C$364))</f>
        <v/>
      </c>
      <c r="D509" s="6">
        <f>(D141-MIN($D$2:$D$364)) / (MAX($D$2:$D$364)-MIN($D$2:$D$364))</f>
        <v/>
      </c>
      <c r="E509" s="14">
        <f>(E141-MIN($E$2:$E$364)) / (MAX($E$2:$E$364)-MIN($E$2:$E$364))</f>
        <v/>
      </c>
    </row>
    <row r="510">
      <c r="A510" s="5" t="n">
        <v>141</v>
      </c>
      <c r="B510" s="6" t="inlineStr">
        <is>
          <t>éL Hotel Malang</t>
        </is>
      </c>
      <c r="C510" s="6">
        <f>(C142-MIN($C$2:$C$364)) / (MAX($C$2:$C$364)-MIN($C$2:$C$364))</f>
        <v/>
      </c>
      <c r="D510" s="6">
        <f>(D142-MIN($D$2:$D$364)) / (MAX($D$2:$D$364)-MIN($D$2:$D$364))</f>
        <v/>
      </c>
      <c r="E510" s="14">
        <f>(E142-MIN($E$2:$E$364)) / (MAX($E$2:$E$364)-MIN($E$2:$E$364))</f>
        <v/>
      </c>
    </row>
    <row r="511">
      <c r="A511" s="5" t="n">
        <v>142</v>
      </c>
      <c r="B511" s="6" t="inlineStr">
        <is>
          <t>Whiz Prime Hotel Basuki Rahmat Malang</t>
        </is>
      </c>
      <c r="C511" s="6">
        <f>(C143-MIN($C$2:$C$364)) / (MAX($C$2:$C$364)-MIN($C$2:$C$364))</f>
        <v/>
      </c>
      <c r="D511" s="6">
        <f>(D143-MIN($D$2:$D$364)) / (MAX($D$2:$D$364)-MIN($D$2:$D$364))</f>
        <v/>
      </c>
      <c r="E511" s="14">
        <f>(E143-MIN($E$2:$E$364)) / (MAX($E$2:$E$364)-MIN($E$2:$E$364))</f>
        <v/>
      </c>
    </row>
    <row r="512">
      <c r="A512" s="5" t="n">
        <v>143</v>
      </c>
      <c r="B512" s="6" t="inlineStr">
        <is>
          <t>Hotel Wilis Indah Malang</t>
        </is>
      </c>
      <c r="C512" s="6">
        <f>(C144-MIN($C$2:$C$364)) / (MAX($C$2:$C$364)-MIN($C$2:$C$364))</f>
        <v/>
      </c>
      <c r="D512" s="6">
        <f>(D144-MIN($D$2:$D$364)) / (MAX($D$2:$D$364)-MIN($D$2:$D$364))</f>
        <v/>
      </c>
      <c r="E512" s="14">
        <f>(E144-MIN($E$2:$E$364)) / (MAX($E$2:$E$364)-MIN($E$2:$E$364))</f>
        <v/>
      </c>
    </row>
    <row r="513">
      <c r="A513" s="5" t="n">
        <v>144</v>
      </c>
      <c r="B513" s="6" t="inlineStr">
        <is>
          <t>Solaris Hotel Malang</t>
        </is>
      </c>
      <c r="C513" s="6">
        <f>(C145-MIN($C$2:$C$364)) / (MAX($C$2:$C$364)-MIN($C$2:$C$364))</f>
        <v/>
      </c>
      <c r="D513" s="6">
        <f>(D145-MIN($D$2:$D$364)) / (MAX($D$2:$D$364)-MIN($D$2:$D$364))</f>
        <v/>
      </c>
      <c r="E513" s="14">
        <f>(E145-MIN($E$2:$E$364)) / (MAX($E$2:$E$364)-MIN($E$2:$E$364))</f>
        <v/>
      </c>
    </row>
    <row r="514">
      <c r="A514" s="5" t="n">
        <v>145</v>
      </c>
      <c r="B514" s="6" t="inlineStr">
        <is>
          <t>Hotel Montana Dua Malang</t>
        </is>
      </c>
      <c r="C514" s="6">
        <f>(C146-MIN($C$2:$C$364)) / (MAX($C$2:$C$364)-MIN($C$2:$C$364))</f>
        <v/>
      </c>
      <c r="D514" s="6">
        <f>(D146-MIN($D$2:$D$364)) / (MAX($D$2:$D$364)-MIN($D$2:$D$364))</f>
        <v/>
      </c>
      <c r="E514" s="14">
        <f>(E146-MIN($E$2:$E$364)) / (MAX($E$2:$E$364)-MIN($E$2:$E$364))</f>
        <v/>
      </c>
    </row>
    <row r="515">
      <c r="A515" s="5" t="n">
        <v>146</v>
      </c>
      <c r="B515" s="6" t="inlineStr">
        <is>
          <t>Victoria Boutique Residence</t>
        </is>
      </c>
      <c r="C515" s="6">
        <f>(C147-MIN($C$2:$C$364)) / (MAX($C$2:$C$364)-MIN($C$2:$C$364))</f>
        <v/>
      </c>
      <c r="D515" s="6">
        <f>(D147-MIN($D$2:$D$364)) / (MAX($D$2:$D$364)-MIN($D$2:$D$364))</f>
        <v/>
      </c>
      <c r="E515" s="14">
        <f>(E147-MIN($E$2:$E$364)) / (MAX($E$2:$E$364)-MIN($E$2:$E$364))</f>
        <v/>
      </c>
    </row>
    <row r="516">
      <c r="A516" s="5" t="n">
        <v>147</v>
      </c>
      <c r="B516" s="6" t="inlineStr">
        <is>
          <t>The Alimar Hotel Malang</t>
        </is>
      </c>
      <c r="C516" s="6">
        <f>(C148-MIN($C$2:$C$364)) / (MAX($C$2:$C$364)-MIN($C$2:$C$364))</f>
        <v/>
      </c>
      <c r="D516" s="6">
        <f>(D148-MIN($D$2:$D$364)) / (MAX($D$2:$D$364)-MIN($D$2:$D$364))</f>
        <v/>
      </c>
      <c r="E516" s="14">
        <f>(E148-MIN($E$2:$E$364)) / (MAX($E$2:$E$364)-MIN($E$2:$E$364))</f>
        <v/>
      </c>
    </row>
    <row r="517">
      <c r="A517" s="5" t="n">
        <v>148</v>
      </c>
      <c r="B517" s="6" t="inlineStr">
        <is>
          <t>Gets Hotel Malang</t>
        </is>
      </c>
      <c r="C517" s="6">
        <f>(C149-MIN($C$2:$C$364)) / (MAX($C$2:$C$364)-MIN($C$2:$C$364))</f>
        <v/>
      </c>
      <c r="D517" s="6">
        <f>(D149-MIN($D$2:$D$364)) / (MAX($D$2:$D$364)-MIN($D$2:$D$364))</f>
        <v/>
      </c>
      <c r="E517" s="14">
        <f>(E149-MIN($E$2:$E$364)) / (MAX($E$2:$E$364)-MIN($E$2:$E$364))</f>
        <v/>
      </c>
    </row>
    <row r="518">
      <c r="A518" s="5" t="n">
        <v>149</v>
      </c>
      <c r="B518" s="6" t="inlineStr">
        <is>
          <t>Hotel Gajahmada Graha</t>
        </is>
      </c>
      <c r="C518" s="6">
        <f>(C150-MIN($C$2:$C$364)) / (MAX($C$2:$C$364)-MIN($C$2:$C$364))</f>
        <v/>
      </c>
      <c r="D518" s="6">
        <f>(D150-MIN($D$2:$D$364)) / (MAX($D$2:$D$364)-MIN($D$2:$D$364))</f>
        <v/>
      </c>
      <c r="E518" s="14">
        <f>(E150-MIN($E$2:$E$364)) / (MAX($E$2:$E$364)-MIN($E$2:$E$364))</f>
        <v/>
      </c>
    </row>
    <row r="519">
      <c r="A519" s="5" t="n">
        <v>150</v>
      </c>
      <c r="B519" s="6" t="inlineStr">
        <is>
          <t>Shinta Guest House</t>
        </is>
      </c>
      <c r="C519" s="6">
        <f>(C151-MIN($C$2:$C$364)) / (MAX($C$2:$C$364)-MIN($C$2:$C$364))</f>
        <v/>
      </c>
      <c r="D519" s="6">
        <f>(D151-MIN($D$2:$D$364)) / (MAX($D$2:$D$364)-MIN($D$2:$D$364))</f>
        <v/>
      </c>
      <c r="E519" s="14">
        <f>(E151-MIN($E$2:$E$364)) / (MAX($E$2:$E$364)-MIN($E$2:$E$364))</f>
        <v/>
      </c>
    </row>
    <row r="520">
      <c r="A520" s="5" t="n">
        <v>151</v>
      </c>
      <c r="B520" s="6" t="inlineStr">
        <is>
          <t>Sweet Garden Boutique Guest House</t>
        </is>
      </c>
      <c r="C520" s="6">
        <f>(C152-MIN($C$2:$C$364)) / (MAX($C$2:$C$364)-MIN($C$2:$C$364))</f>
        <v/>
      </c>
      <c r="D520" s="6">
        <f>(D152-MIN($D$2:$D$364)) / (MAX($D$2:$D$364)-MIN($D$2:$D$364))</f>
        <v/>
      </c>
      <c r="E520" s="14">
        <f>(E152-MIN($E$2:$E$364)) / (MAX($E$2:$E$364)-MIN($E$2:$E$364))</f>
        <v/>
      </c>
    </row>
    <row r="521">
      <c r="A521" s="5" t="n">
        <v>152</v>
      </c>
      <c r="B521" s="6" t="inlineStr">
        <is>
          <t>Ibis Styles Malang</t>
        </is>
      </c>
      <c r="C521" s="6">
        <f>(C153-MIN($C$2:$C$364)) / (MAX($C$2:$C$364)-MIN($C$2:$C$364))</f>
        <v/>
      </c>
      <c r="D521" s="6">
        <f>(D153-MIN($D$2:$D$364)) / (MAX($D$2:$D$364)-MIN($D$2:$D$364))</f>
        <v/>
      </c>
      <c r="E521" s="14">
        <f>(E153-MIN($E$2:$E$364)) / (MAX($E$2:$E$364)-MIN($E$2:$E$364))</f>
        <v/>
      </c>
    </row>
    <row r="522">
      <c r="A522" s="5" t="n">
        <v>153</v>
      </c>
      <c r="B522" s="6" t="inlineStr">
        <is>
          <t>Grand Citihub Hotel @Kajoetangan</t>
        </is>
      </c>
      <c r="C522" s="6">
        <f>(C154-MIN($C$2:$C$364)) / (MAX($C$2:$C$364)-MIN($C$2:$C$364))</f>
        <v/>
      </c>
      <c r="D522" s="6">
        <f>(D154-MIN($D$2:$D$364)) / (MAX($D$2:$D$364)-MIN($D$2:$D$364))</f>
        <v/>
      </c>
      <c r="E522" s="14">
        <f>(E154-MIN($E$2:$E$364)) / (MAX($E$2:$E$364)-MIN($E$2:$E$364))</f>
        <v/>
      </c>
    </row>
    <row r="523">
      <c r="A523" s="5" t="n">
        <v>154</v>
      </c>
      <c r="B523" s="6" t="inlineStr">
        <is>
          <t>Same Hotel Malang</t>
        </is>
      </c>
      <c r="C523" s="6">
        <f>(C155-MIN($C$2:$C$364)) / (MAX($C$2:$C$364)-MIN($C$2:$C$364))</f>
        <v/>
      </c>
      <c r="D523" s="6">
        <f>(D155-MIN($D$2:$D$364)) / (MAX($D$2:$D$364)-MIN($D$2:$D$364))</f>
        <v/>
      </c>
      <c r="E523" s="14">
        <f>(E155-MIN($E$2:$E$364)) / (MAX($E$2:$E$364)-MIN($E$2:$E$364))</f>
        <v/>
      </c>
    </row>
    <row r="524">
      <c r="A524" s="5" t="n">
        <v>155</v>
      </c>
      <c r="B524" s="6" t="inlineStr">
        <is>
          <t>favehotel Malang</t>
        </is>
      </c>
      <c r="C524" s="6">
        <f>(C156-MIN($C$2:$C$364)) / (MAX($C$2:$C$364)-MIN($C$2:$C$364))</f>
        <v/>
      </c>
      <c r="D524" s="6">
        <f>(D156-MIN($D$2:$D$364)) / (MAX($D$2:$D$364)-MIN($D$2:$D$364))</f>
        <v/>
      </c>
      <c r="E524" s="14">
        <f>(E156-MIN($E$2:$E$364)) / (MAX($E$2:$E$364)-MIN($E$2:$E$364))</f>
        <v/>
      </c>
    </row>
    <row r="525">
      <c r="A525" s="5" t="n">
        <v>156</v>
      </c>
      <c r="B525" s="6" t="inlineStr">
        <is>
          <t>Boutique B21 Malang, Azana Hotels Collection</t>
        </is>
      </c>
      <c r="C525" s="6">
        <f>(C157-MIN($C$2:$C$364)) / (MAX($C$2:$C$364)-MIN($C$2:$C$364))</f>
        <v/>
      </c>
      <c r="D525" s="6">
        <f>(D157-MIN($D$2:$D$364)) / (MAX($D$2:$D$364)-MIN($D$2:$D$364))</f>
        <v/>
      </c>
      <c r="E525" s="14">
        <f>(E157-MIN($E$2:$E$364)) / (MAX($E$2:$E$364)-MIN($E$2:$E$364))</f>
        <v/>
      </c>
    </row>
    <row r="526">
      <c r="A526" s="5" t="n">
        <v>157</v>
      </c>
      <c r="B526" s="6" t="inlineStr">
        <is>
          <t>Ubud Cottages Malang</t>
        </is>
      </c>
      <c r="C526" s="6">
        <f>(C158-MIN($C$2:$C$364)) / (MAX($C$2:$C$364)-MIN($C$2:$C$364))</f>
        <v/>
      </c>
      <c r="D526" s="6">
        <f>(D158-MIN($D$2:$D$364)) / (MAX($D$2:$D$364)-MIN($D$2:$D$364))</f>
        <v/>
      </c>
      <c r="E526" s="14">
        <f>(E158-MIN($E$2:$E$364)) / (MAX($E$2:$E$364)-MIN($E$2:$E$364))</f>
        <v/>
      </c>
    </row>
    <row r="527">
      <c r="A527" s="5" t="n">
        <v>158</v>
      </c>
      <c r="B527" s="6" t="inlineStr">
        <is>
          <t>Hotel Dewarna Sutoyo Malang</t>
        </is>
      </c>
      <c r="C527" s="6">
        <f>(C159-MIN($C$2:$C$364)) / (MAX($C$2:$C$364)-MIN($C$2:$C$364))</f>
        <v/>
      </c>
      <c r="D527" s="6">
        <f>(D159-MIN($D$2:$D$364)) / (MAX($D$2:$D$364)-MIN($D$2:$D$364))</f>
        <v/>
      </c>
      <c r="E527" s="14">
        <f>(E159-MIN($E$2:$E$364)) / (MAX($E$2:$E$364)-MIN($E$2:$E$364))</f>
        <v/>
      </c>
    </row>
    <row r="528">
      <c r="A528" s="5" t="n">
        <v>159</v>
      </c>
      <c r="B528" s="6" t="inlineStr">
        <is>
          <t>Omahkoe guesthouse</t>
        </is>
      </c>
      <c r="C528" s="6">
        <f>(C160-MIN($C$2:$C$364)) / (MAX($C$2:$C$364)-MIN($C$2:$C$364))</f>
        <v/>
      </c>
      <c r="D528" s="6">
        <f>(D160-MIN($D$2:$D$364)) / (MAX($D$2:$D$364)-MIN($D$2:$D$364))</f>
        <v/>
      </c>
      <c r="E528" s="14">
        <f>(E160-MIN($E$2:$E$364)) / (MAX($E$2:$E$364)-MIN($E$2:$E$364))</f>
        <v/>
      </c>
    </row>
    <row r="529">
      <c r="A529" s="5" t="n">
        <v>160</v>
      </c>
      <c r="B529" s="6" t="inlineStr">
        <is>
          <t>Hotel Kartika Graha</t>
        </is>
      </c>
      <c r="C529" s="6">
        <f>(C161-MIN($C$2:$C$364)) / (MAX($C$2:$C$364)-MIN($C$2:$C$364))</f>
        <v/>
      </c>
      <c r="D529" s="6">
        <f>(D161-MIN($D$2:$D$364)) / (MAX($D$2:$D$364)-MIN($D$2:$D$364))</f>
        <v/>
      </c>
      <c r="E529" s="14">
        <f>(E161-MIN($E$2:$E$364)) / (MAX($E$2:$E$364)-MIN($E$2:$E$364))</f>
        <v/>
      </c>
    </row>
    <row r="530">
      <c r="A530" s="5" t="n">
        <v>161</v>
      </c>
      <c r="B530" s="6" t="inlineStr">
        <is>
          <t>Padi Heritage Hotel</t>
        </is>
      </c>
      <c r="C530" s="6">
        <f>(C162-MIN($C$2:$C$364)) / (MAX($C$2:$C$364)-MIN($C$2:$C$364))</f>
        <v/>
      </c>
      <c r="D530" s="6">
        <f>(D162-MIN($D$2:$D$364)) / (MAX($D$2:$D$364)-MIN($D$2:$D$364))</f>
        <v/>
      </c>
      <c r="E530" s="14">
        <f>(E162-MIN($E$2:$E$364)) / (MAX($E$2:$E$364)-MIN($E$2:$E$364))</f>
        <v/>
      </c>
    </row>
    <row r="531">
      <c r="A531" s="5" t="n">
        <v>162</v>
      </c>
      <c r="B531" s="6" t="inlineStr">
        <is>
          <t>DE LAIA INN MALANG</t>
        </is>
      </c>
      <c r="C531" s="6">
        <f>(C163-MIN($C$2:$C$364)) / (MAX($C$2:$C$364)-MIN($C$2:$C$364))</f>
        <v/>
      </c>
      <c r="D531" s="6">
        <f>(D163-MIN($D$2:$D$364)) / (MAX($D$2:$D$364)-MIN($D$2:$D$364))</f>
        <v/>
      </c>
      <c r="E531" s="14">
        <f>(E163-MIN($E$2:$E$364)) / (MAX($E$2:$E$364)-MIN($E$2:$E$364))</f>
        <v/>
      </c>
    </row>
    <row r="532">
      <c r="A532" s="5" t="n">
        <v>163</v>
      </c>
      <c r="B532" s="6" t="inlineStr">
        <is>
          <t>De'Corner Guest House</t>
        </is>
      </c>
      <c r="C532" s="6">
        <f>(C164-MIN($C$2:$C$364)) / (MAX($C$2:$C$364)-MIN($C$2:$C$364))</f>
        <v/>
      </c>
      <c r="D532" s="6">
        <f>(D164-MIN($D$2:$D$364)) / (MAX($D$2:$D$364)-MIN($D$2:$D$364))</f>
        <v/>
      </c>
      <c r="E532" s="14">
        <f>(E164-MIN($E$2:$E$364)) / (MAX($E$2:$E$364)-MIN($E$2:$E$364))</f>
        <v/>
      </c>
    </row>
    <row r="533">
      <c r="A533" s="5" t="n">
        <v>164</v>
      </c>
      <c r="B533" s="6" t="inlineStr">
        <is>
          <t>CLASS Premium Guest House Malang</t>
        </is>
      </c>
      <c r="C533" s="6">
        <f>(C165-MIN($C$2:$C$364)) / (MAX($C$2:$C$364)-MIN($C$2:$C$364))</f>
        <v/>
      </c>
      <c r="D533" s="6">
        <f>(D165-MIN($D$2:$D$364)) / (MAX($D$2:$D$364)-MIN($D$2:$D$364))</f>
        <v/>
      </c>
      <c r="E533" s="14">
        <f>(E165-MIN($E$2:$E$364)) / (MAX($E$2:$E$364)-MIN($E$2:$E$364))</f>
        <v/>
      </c>
    </row>
    <row r="534">
      <c r="A534" s="5" t="n">
        <v>165</v>
      </c>
      <c r="B534" s="6" t="inlineStr">
        <is>
          <t>Regent's Park Hotel Malang</t>
        </is>
      </c>
      <c r="C534" s="6">
        <f>(C166-MIN($C$2:$C$364)) / (MAX($C$2:$C$364)-MIN($C$2:$C$364))</f>
        <v/>
      </c>
      <c r="D534" s="6">
        <f>(D166-MIN($D$2:$D$364)) / (MAX($D$2:$D$364)-MIN($D$2:$D$364))</f>
        <v/>
      </c>
      <c r="E534" s="14">
        <f>(E166-MIN($E$2:$E$364)) / (MAX($E$2:$E$364)-MIN($E$2:$E$364))</f>
        <v/>
      </c>
    </row>
    <row r="535">
      <c r="A535" s="5" t="n">
        <v>166</v>
      </c>
      <c r="B535" s="6" t="inlineStr">
        <is>
          <t>Sans Hotel Fif Fa Syariah Premiere Malang</t>
        </is>
      </c>
      <c r="C535" s="6">
        <f>(C167-MIN($C$2:$C$364)) / (MAX($C$2:$C$364)-MIN($C$2:$C$364))</f>
        <v/>
      </c>
      <c r="D535" s="6">
        <f>(D167-MIN($D$2:$D$364)) / (MAX($D$2:$D$364)-MIN($D$2:$D$364))</f>
        <v/>
      </c>
      <c r="E535" s="14">
        <f>(E167-MIN($E$2:$E$364)) / (MAX($E$2:$E$364)-MIN($E$2:$E$364))</f>
        <v/>
      </c>
    </row>
    <row r="536">
      <c r="A536" s="5" t="n">
        <v>167</v>
      </c>
      <c r="B536" s="6" t="inlineStr">
        <is>
          <t>Hotel Armi</t>
        </is>
      </c>
      <c r="C536" s="6">
        <f>(C168-MIN($C$2:$C$364)) / (MAX($C$2:$C$364)-MIN($C$2:$C$364))</f>
        <v/>
      </c>
      <c r="D536" s="6">
        <f>(D168-MIN($D$2:$D$364)) / (MAX($D$2:$D$364)-MIN($D$2:$D$364))</f>
        <v/>
      </c>
      <c r="E536" s="14">
        <f>(E168-MIN($E$2:$E$364)) / (MAX($E$2:$E$364)-MIN($E$2:$E$364))</f>
        <v/>
      </c>
    </row>
    <row r="537">
      <c r="A537" s="5" t="n">
        <v>168</v>
      </c>
      <c r="B537" s="6" t="inlineStr">
        <is>
          <t>The Himana Malang</t>
        </is>
      </c>
      <c r="C537" s="6">
        <f>(C169-MIN($C$2:$C$364)) / (MAX($C$2:$C$364)-MIN($C$2:$C$364))</f>
        <v/>
      </c>
      <c r="D537" s="6">
        <f>(D169-MIN($D$2:$D$364)) / (MAX($D$2:$D$364)-MIN($D$2:$D$364))</f>
        <v/>
      </c>
      <c r="E537" s="14">
        <f>(E169-MIN($E$2:$E$364)) / (MAX($E$2:$E$364)-MIN($E$2:$E$364))</f>
        <v/>
      </c>
    </row>
    <row r="538">
      <c r="A538" s="5" t="n">
        <v>169</v>
      </c>
      <c r="B538" s="6" t="inlineStr">
        <is>
          <t>Lovender Guest House</t>
        </is>
      </c>
      <c r="C538" s="6">
        <f>(C170-MIN($C$2:$C$364)) / (MAX($C$2:$C$364)-MIN($C$2:$C$364))</f>
        <v/>
      </c>
      <c r="D538" s="6">
        <f>(D170-MIN($D$2:$D$364)) / (MAX($D$2:$D$364)-MIN($D$2:$D$364))</f>
        <v/>
      </c>
      <c r="E538" s="14">
        <f>(E170-MIN($E$2:$E$364)) / (MAX($E$2:$E$364)-MIN($E$2:$E$364))</f>
        <v/>
      </c>
    </row>
    <row r="539">
      <c r="A539" s="5" t="n">
        <v>170</v>
      </c>
      <c r="B539" s="6" t="inlineStr">
        <is>
          <t>Cozy Boutique Guesthouse</t>
        </is>
      </c>
      <c r="C539" s="6">
        <f>(C171-MIN($C$2:$C$364)) / (MAX($C$2:$C$364)-MIN($C$2:$C$364))</f>
        <v/>
      </c>
      <c r="D539" s="6">
        <f>(D171-MIN($D$2:$D$364)) / (MAX($D$2:$D$364)-MIN($D$2:$D$364))</f>
        <v/>
      </c>
      <c r="E539" s="14">
        <f>(E171-MIN($E$2:$E$364)) / (MAX($E$2:$E$364)-MIN($E$2:$E$364))</f>
        <v/>
      </c>
    </row>
    <row r="540">
      <c r="A540" s="5" t="n">
        <v>171</v>
      </c>
      <c r="B540" s="6" t="inlineStr">
        <is>
          <t>Great Star Premium Homestay</t>
        </is>
      </c>
      <c r="C540" s="6">
        <f>(C172-MIN($C$2:$C$364)) / (MAX($C$2:$C$364)-MIN($C$2:$C$364))</f>
        <v/>
      </c>
      <c r="D540" s="6">
        <f>(D172-MIN($D$2:$D$364)) / (MAX($D$2:$D$364)-MIN($D$2:$D$364))</f>
        <v/>
      </c>
      <c r="E540" s="14">
        <f>(E172-MIN($E$2:$E$364)) / (MAX($E$2:$E$364)-MIN($E$2:$E$364))</f>
        <v/>
      </c>
    </row>
    <row r="541">
      <c r="A541" s="5" t="n">
        <v>172</v>
      </c>
      <c r="B541" s="6" t="inlineStr">
        <is>
          <t>Ratu Boarding House &amp; Homestay</t>
        </is>
      </c>
      <c r="C541" s="6">
        <f>(C173-MIN($C$2:$C$364)) / (MAX($C$2:$C$364)-MIN($C$2:$C$364))</f>
        <v/>
      </c>
      <c r="D541" s="6">
        <f>(D173-MIN($D$2:$D$364)) / (MAX($D$2:$D$364)-MIN($D$2:$D$364))</f>
        <v/>
      </c>
      <c r="E541" s="14">
        <f>(E173-MIN($E$2:$E$364)) / (MAX($E$2:$E$364)-MIN($E$2:$E$364))</f>
        <v/>
      </c>
    </row>
    <row r="542">
      <c r="A542" s="5" t="n">
        <v>173</v>
      </c>
      <c r="B542" s="6" t="inlineStr">
        <is>
          <t>Hotel Trio Indah 2</t>
        </is>
      </c>
      <c r="C542" s="6">
        <f>(C174-MIN($C$2:$C$364)) / (MAX($C$2:$C$364)-MIN($C$2:$C$364))</f>
        <v/>
      </c>
      <c r="D542" s="6">
        <f>(D174-MIN($D$2:$D$364)) / (MAX($D$2:$D$364)-MIN($D$2:$D$364))</f>
        <v/>
      </c>
      <c r="E542" s="14">
        <f>(E174-MIN($E$2:$E$364)) / (MAX($E$2:$E$364)-MIN($E$2:$E$364))</f>
        <v/>
      </c>
    </row>
    <row r="543">
      <c r="A543" s="5" t="n">
        <v>174</v>
      </c>
      <c r="B543" s="6" t="inlineStr">
        <is>
          <t>Tlogomas Guest House</t>
        </is>
      </c>
      <c r="C543" s="6">
        <f>(C175-MIN($C$2:$C$364)) / (MAX($C$2:$C$364)-MIN($C$2:$C$364))</f>
        <v/>
      </c>
      <c r="D543" s="6">
        <f>(D175-MIN($D$2:$D$364)) / (MAX($D$2:$D$364)-MIN($D$2:$D$364))</f>
        <v/>
      </c>
      <c r="E543" s="14">
        <f>(E175-MIN($E$2:$E$364)) / (MAX($E$2:$E$364)-MIN($E$2:$E$364))</f>
        <v/>
      </c>
    </row>
    <row r="544">
      <c r="A544" s="5" t="n">
        <v>175</v>
      </c>
      <c r="B544" s="6" t="inlineStr">
        <is>
          <t>Giri Palma Villa</t>
        </is>
      </c>
      <c r="C544" s="6">
        <f>(C176-MIN($C$2:$C$364)) / (MAX($C$2:$C$364)-MIN($C$2:$C$364))</f>
        <v/>
      </c>
      <c r="D544" s="6">
        <f>(D176-MIN($D$2:$D$364)) / (MAX($D$2:$D$364)-MIN($D$2:$D$364))</f>
        <v/>
      </c>
      <c r="E544" s="14">
        <f>(E176-MIN($E$2:$E$364)) / (MAX($E$2:$E$364)-MIN($E$2:$E$364))</f>
        <v/>
      </c>
    </row>
    <row r="545">
      <c r="A545" s="5" t="n">
        <v>176</v>
      </c>
      <c r="B545" s="6" t="inlineStr">
        <is>
          <t>Urbanview Hotel de Kopen Malang by RedDoorz</t>
        </is>
      </c>
      <c r="C545" s="6">
        <f>(C177-MIN($C$2:$C$364)) / (MAX($C$2:$C$364)-MIN($C$2:$C$364))</f>
        <v/>
      </c>
      <c r="D545" s="6">
        <f>(D177-MIN($D$2:$D$364)) / (MAX($D$2:$D$364)-MIN($D$2:$D$364))</f>
        <v/>
      </c>
      <c r="E545" s="14">
        <f>(E177-MIN($E$2:$E$364)) / (MAX($E$2:$E$364)-MIN($E$2:$E$364))</f>
        <v/>
      </c>
    </row>
    <row r="546">
      <c r="A546" s="5" t="n">
        <v>177</v>
      </c>
      <c r="B546" s="6" t="inlineStr">
        <is>
          <t>Kertanegara Premium Guest House</t>
        </is>
      </c>
      <c r="C546" s="6">
        <f>(C178-MIN($C$2:$C$364)) / (MAX($C$2:$C$364)-MIN($C$2:$C$364))</f>
        <v/>
      </c>
      <c r="D546" s="6">
        <f>(D178-MIN($D$2:$D$364)) / (MAX($D$2:$D$364)-MIN($D$2:$D$364))</f>
        <v/>
      </c>
      <c r="E546" s="14">
        <f>(E178-MIN($E$2:$E$364)) / (MAX($E$2:$E$364)-MIN($E$2:$E$364))</f>
        <v/>
      </c>
    </row>
    <row r="547">
      <c r="A547" s="5" t="n">
        <v>178</v>
      </c>
      <c r="B547" s="6" t="inlineStr">
        <is>
          <t>RedDoorz Syariah @ Jl Simpang Gajayana (Hasanah Guest House Gajayana)</t>
        </is>
      </c>
      <c r="C547" s="6">
        <f>(C179-MIN($C$2:$C$364)) / (MAX($C$2:$C$364)-MIN($C$2:$C$364))</f>
        <v/>
      </c>
      <c r="D547" s="6">
        <f>(D179-MIN($D$2:$D$364)) / (MAX($D$2:$D$364)-MIN($D$2:$D$364))</f>
        <v/>
      </c>
      <c r="E547" s="14">
        <f>(E179-MIN($E$2:$E$364)) / (MAX($E$2:$E$364)-MIN($E$2:$E$364))</f>
        <v/>
      </c>
    </row>
    <row r="548">
      <c r="A548" s="5" t="n">
        <v>179</v>
      </c>
      <c r="B548" s="6" t="inlineStr">
        <is>
          <t>D'Fresh Guest House and Resto</t>
        </is>
      </c>
      <c r="C548" s="6">
        <f>(C180-MIN($C$2:$C$364)) / (MAX($C$2:$C$364)-MIN($C$2:$C$364))</f>
        <v/>
      </c>
      <c r="D548" s="6">
        <f>(D180-MIN($D$2:$D$364)) / (MAX($D$2:$D$364)-MIN($D$2:$D$364))</f>
        <v/>
      </c>
      <c r="E548" s="14">
        <f>(E180-MIN($E$2:$E$364)) / (MAX($E$2:$E$364)-MIN($E$2:$E$364))</f>
        <v/>
      </c>
    </row>
    <row r="549">
      <c r="A549" s="5" t="n">
        <v>180</v>
      </c>
      <c r="B549" s="6" t="inlineStr">
        <is>
          <t>Hotel Santosa</t>
        </is>
      </c>
      <c r="C549" s="6">
        <f>(C181-MIN($C$2:$C$364)) / (MAX($C$2:$C$364)-MIN($C$2:$C$364))</f>
        <v/>
      </c>
      <c r="D549" s="6">
        <f>(D181-MIN($D$2:$D$364)) / (MAX($D$2:$D$364)-MIN($D$2:$D$364))</f>
        <v/>
      </c>
      <c r="E549" s="14">
        <f>(E181-MIN($E$2:$E$364)) / (MAX($E$2:$E$364)-MIN($E$2:$E$364))</f>
        <v/>
      </c>
    </row>
    <row r="550">
      <c r="A550" s="5" t="n">
        <v>181</v>
      </c>
      <c r="B550" s="6" t="inlineStr">
        <is>
          <t>RedDoorz near Plaza Araya</t>
        </is>
      </c>
      <c r="C550" s="6">
        <f>(C182-MIN($C$2:$C$364)) / (MAX($C$2:$C$364)-MIN($C$2:$C$364))</f>
        <v/>
      </c>
      <c r="D550" s="6">
        <f>(D182-MIN($D$2:$D$364)) / (MAX($D$2:$D$364)-MIN($D$2:$D$364))</f>
        <v/>
      </c>
      <c r="E550" s="14">
        <f>(E182-MIN($E$2:$E$364)) / (MAX($E$2:$E$364)-MIN($E$2:$E$364))</f>
        <v/>
      </c>
    </row>
    <row r="551">
      <c r="A551" s="5" t="n">
        <v>182</v>
      </c>
      <c r="B551" s="6" t="inlineStr">
        <is>
          <t>Helena Guest House</t>
        </is>
      </c>
      <c r="C551" s="6">
        <f>(C183-MIN($C$2:$C$364)) / (MAX($C$2:$C$364)-MIN($C$2:$C$364))</f>
        <v/>
      </c>
      <c r="D551" s="6">
        <f>(D183-MIN($D$2:$D$364)) / (MAX($D$2:$D$364)-MIN($D$2:$D$364))</f>
        <v/>
      </c>
      <c r="E551" s="14">
        <f>(E183-MIN($E$2:$E$364)) / (MAX($E$2:$E$364)-MIN($E$2:$E$364))</f>
        <v/>
      </c>
    </row>
    <row r="552">
      <c r="A552" s="5" t="n">
        <v>183</v>
      </c>
      <c r="B552" s="6" t="inlineStr">
        <is>
          <t>Esma Guest House</t>
        </is>
      </c>
      <c r="C552" s="6">
        <f>(C184-MIN($C$2:$C$364)) / (MAX($C$2:$C$364)-MIN($C$2:$C$364))</f>
        <v/>
      </c>
      <c r="D552" s="6">
        <f>(D184-MIN($D$2:$D$364)) / (MAX($D$2:$D$364)-MIN($D$2:$D$364))</f>
        <v/>
      </c>
      <c r="E552" s="14">
        <f>(E184-MIN($E$2:$E$364)) / (MAX($E$2:$E$364)-MIN($E$2:$E$364))</f>
        <v/>
      </c>
    </row>
    <row r="553">
      <c r="A553" s="5" t="n">
        <v>184</v>
      </c>
      <c r="B553" s="6" t="inlineStr">
        <is>
          <t>Guest House Lily</t>
        </is>
      </c>
      <c r="C553" s="6">
        <f>(C185-MIN($C$2:$C$364)) / (MAX($C$2:$C$364)-MIN($C$2:$C$364))</f>
        <v/>
      </c>
      <c r="D553" s="6">
        <f>(D185-MIN($D$2:$D$364)) / (MAX($D$2:$D$364)-MIN($D$2:$D$364))</f>
        <v/>
      </c>
      <c r="E553" s="14">
        <f>(E185-MIN($E$2:$E$364)) / (MAX($E$2:$E$364)-MIN($E$2:$E$364))</f>
        <v/>
      </c>
    </row>
    <row r="554">
      <c r="A554" s="5" t="n">
        <v>185</v>
      </c>
      <c r="B554" s="6" t="inlineStr">
        <is>
          <t>Griyo Sultan Agung Guest House (Book our rooms via WhatsApp Chat)</t>
        </is>
      </c>
      <c r="C554" s="6">
        <f>(C186-MIN($C$2:$C$364)) / (MAX($C$2:$C$364)-MIN($C$2:$C$364))</f>
        <v/>
      </c>
      <c r="D554" s="6">
        <f>(D186-MIN($D$2:$D$364)) / (MAX($D$2:$D$364)-MIN($D$2:$D$364))</f>
        <v/>
      </c>
      <c r="E554" s="14">
        <f>(E186-MIN($E$2:$E$364)) / (MAX($E$2:$E$364)-MIN($E$2:$E$364))</f>
        <v/>
      </c>
    </row>
    <row r="555">
      <c r="A555" s="5" t="n">
        <v>186</v>
      </c>
      <c r="B555" s="6" t="inlineStr">
        <is>
          <t>Merbabu Guest House</t>
        </is>
      </c>
      <c r="C555" s="6">
        <f>(C187-MIN($C$2:$C$364)) / (MAX($C$2:$C$364)-MIN($C$2:$C$364))</f>
        <v/>
      </c>
      <c r="D555" s="6">
        <f>(D187-MIN($D$2:$D$364)) / (MAX($D$2:$D$364)-MIN($D$2:$D$364))</f>
        <v/>
      </c>
      <c r="E555" s="14">
        <f>(E187-MIN($E$2:$E$364)) / (MAX($E$2:$E$364)-MIN($E$2:$E$364))</f>
        <v/>
      </c>
    </row>
    <row r="556">
      <c r="A556" s="5" t="n">
        <v>187</v>
      </c>
      <c r="B556" s="6" t="inlineStr">
        <is>
          <t>RedDoorz Plus near Politeknik Negeri Malang</t>
        </is>
      </c>
      <c r="C556" s="6">
        <f>(C188-MIN($C$2:$C$364)) / (MAX($C$2:$C$364)-MIN($C$2:$C$364))</f>
        <v/>
      </c>
      <c r="D556" s="6">
        <f>(D188-MIN($D$2:$D$364)) / (MAX($D$2:$D$364)-MIN($D$2:$D$364))</f>
        <v/>
      </c>
      <c r="E556" s="14">
        <f>(E188-MIN($E$2:$E$364)) / (MAX($E$2:$E$364)-MIN($E$2:$E$364))</f>
        <v/>
      </c>
    </row>
    <row r="557">
      <c r="A557" s="5" t="n">
        <v>188</v>
      </c>
      <c r="B557" s="6" t="inlineStr">
        <is>
          <t>Jardin Smart Residence</t>
        </is>
      </c>
      <c r="C557" s="6">
        <f>(C189-MIN($C$2:$C$364)) / (MAX($C$2:$C$364)-MIN($C$2:$C$364))</f>
        <v/>
      </c>
      <c r="D557" s="6">
        <f>(D189-MIN($D$2:$D$364)) / (MAX($D$2:$D$364)-MIN($D$2:$D$364))</f>
        <v/>
      </c>
      <c r="E557" s="14">
        <f>(E189-MIN($E$2:$E$364)) / (MAX($E$2:$E$364)-MIN($E$2:$E$364))</f>
        <v/>
      </c>
    </row>
    <row r="558">
      <c r="A558" s="5" t="n">
        <v>189</v>
      </c>
      <c r="B558" s="6" t="inlineStr">
        <is>
          <t>RedDoorz near Cyber Mall</t>
        </is>
      </c>
      <c r="C558" s="6">
        <f>(C190-MIN($C$2:$C$364)) / (MAX($C$2:$C$364)-MIN($C$2:$C$364))</f>
        <v/>
      </c>
      <c r="D558" s="6">
        <f>(D190-MIN($D$2:$D$364)) / (MAX($D$2:$D$364)-MIN($D$2:$D$364))</f>
        <v/>
      </c>
      <c r="E558" s="14">
        <f>(E190-MIN($E$2:$E$364)) / (MAX($E$2:$E$364)-MIN($E$2:$E$364))</f>
        <v/>
      </c>
    </row>
    <row r="559">
      <c r="A559" s="5" t="n">
        <v>190</v>
      </c>
      <c r="B559" s="6" t="inlineStr">
        <is>
          <t>Penginapan Omah Wetan Homestay Malang</t>
        </is>
      </c>
      <c r="C559" s="6">
        <f>(C191-MIN($C$2:$C$364)) / (MAX($C$2:$C$364)-MIN($C$2:$C$364))</f>
        <v/>
      </c>
      <c r="D559" s="6">
        <f>(D191-MIN($D$2:$D$364)) / (MAX($D$2:$D$364)-MIN($D$2:$D$364))</f>
        <v/>
      </c>
      <c r="E559" s="14">
        <f>(E191-MIN($E$2:$E$364)) / (MAX($E$2:$E$364)-MIN($E$2:$E$364))</f>
        <v/>
      </c>
    </row>
    <row r="560">
      <c r="A560" s="5" t="n">
        <v>191</v>
      </c>
      <c r="B560" s="6" t="inlineStr">
        <is>
          <t>Hillside Suite Guest House</t>
        </is>
      </c>
      <c r="C560" s="6">
        <f>(C192-MIN($C$2:$C$364)) / (MAX($C$2:$C$364)-MIN($C$2:$C$364))</f>
        <v/>
      </c>
      <c r="D560" s="6">
        <f>(D192-MIN($D$2:$D$364)) / (MAX($D$2:$D$364)-MIN($D$2:$D$364))</f>
        <v/>
      </c>
      <c r="E560" s="14">
        <f>(E192-MIN($E$2:$E$364)) / (MAX($E$2:$E$364)-MIN($E$2:$E$364))</f>
        <v/>
      </c>
    </row>
    <row r="561">
      <c r="A561" s="5" t="n">
        <v>192</v>
      </c>
      <c r="B561" s="6" t="inlineStr">
        <is>
          <t>Jacatra Homestay</t>
        </is>
      </c>
      <c r="C561" s="6">
        <f>(C193-MIN($C$2:$C$364)) / (MAX($C$2:$C$364)-MIN($C$2:$C$364))</f>
        <v/>
      </c>
      <c r="D561" s="6">
        <f>(D193-MIN($D$2:$D$364)) / (MAX($D$2:$D$364)-MIN($D$2:$D$364))</f>
        <v/>
      </c>
      <c r="E561" s="14">
        <f>(E193-MIN($E$2:$E$364)) / (MAX($E$2:$E$364)-MIN($E$2:$E$364))</f>
        <v/>
      </c>
    </row>
    <row r="562">
      <c r="A562" s="5" t="n">
        <v>193</v>
      </c>
      <c r="B562" s="6" t="inlineStr">
        <is>
          <t>Hotel Tosari</t>
        </is>
      </c>
      <c r="C562" s="6">
        <f>(C194-MIN($C$2:$C$364)) / (MAX($C$2:$C$364)-MIN($C$2:$C$364))</f>
        <v/>
      </c>
      <c r="D562" s="6">
        <f>(D194-MIN($D$2:$D$364)) / (MAX($D$2:$D$364)-MIN($D$2:$D$364))</f>
        <v/>
      </c>
      <c r="E562" s="14">
        <f>(E194-MIN($E$2:$E$364)) / (MAX($E$2:$E$364)-MIN($E$2:$E$364))</f>
        <v/>
      </c>
    </row>
    <row r="563">
      <c r="A563" s="5" t="n">
        <v>194</v>
      </c>
      <c r="B563" s="6" t="inlineStr">
        <is>
          <t>AUGUSTINA HOME</t>
        </is>
      </c>
      <c r="C563" s="6">
        <f>(C195-MIN($C$2:$C$364)) / (MAX($C$2:$C$364)-MIN($C$2:$C$364))</f>
        <v/>
      </c>
      <c r="D563" s="6">
        <f>(D195-MIN($D$2:$D$364)) / (MAX($D$2:$D$364)-MIN($D$2:$D$364))</f>
        <v/>
      </c>
      <c r="E563" s="14">
        <f>(E195-MIN($E$2:$E$364)) / (MAX($E$2:$E$364)-MIN($E$2:$E$364))</f>
        <v/>
      </c>
    </row>
    <row r="564">
      <c r="A564" s="5" t="n">
        <v>195</v>
      </c>
      <c r="B564" s="6" t="inlineStr">
        <is>
          <t>Nat Nat Homestay</t>
        </is>
      </c>
      <c r="C564" s="6">
        <f>(C196-MIN($C$2:$C$364)) / (MAX($C$2:$C$364)-MIN($C$2:$C$364))</f>
        <v/>
      </c>
      <c r="D564" s="6">
        <f>(D196-MIN($D$2:$D$364)) / (MAX($D$2:$D$364)-MIN($D$2:$D$364))</f>
        <v/>
      </c>
      <c r="E564" s="14">
        <f>(E196-MIN($E$2:$E$364)) / (MAX($E$2:$E$364)-MIN($E$2:$E$364))</f>
        <v/>
      </c>
    </row>
    <row r="565">
      <c r="A565" s="5" t="n">
        <v>196</v>
      </c>
      <c r="B565" s="6" t="inlineStr">
        <is>
          <t>nDalem Kilen Homestay</t>
        </is>
      </c>
      <c r="C565" s="6">
        <f>(C197-MIN($C$2:$C$364)) / (MAX($C$2:$C$364)-MIN($C$2:$C$364))</f>
        <v/>
      </c>
      <c r="D565" s="6">
        <f>(D197-MIN($D$2:$D$364)) / (MAX($D$2:$D$364)-MIN($D$2:$D$364))</f>
        <v/>
      </c>
      <c r="E565" s="14">
        <f>(E197-MIN($E$2:$E$364)) / (MAX($E$2:$E$364)-MIN($E$2:$E$364))</f>
        <v/>
      </c>
    </row>
    <row r="566">
      <c r="A566" s="5" t="n">
        <v>197</v>
      </c>
      <c r="B566" s="6" t="inlineStr">
        <is>
          <t>Jakarta 32 Homestay Syariah</t>
        </is>
      </c>
      <c r="C566" s="6">
        <f>(C198-MIN($C$2:$C$364)) / (MAX($C$2:$C$364)-MIN($C$2:$C$364))</f>
        <v/>
      </c>
      <c r="D566" s="6">
        <f>(D198-MIN($D$2:$D$364)) / (MAX($D$2:$D$364)-MIN($D$2:$D$364))</f>
        <v/>
      </c>
      <c r="E566" s="14">
        <f>(E198-MIN($E$2:$E$364)) / (MAX($E$2:$E$364)-MIN($E$2:$E$364))</f>
        <v/>
      </c>
    </row>
    <row r="567">
      <c r="A567" s="5" t="n">
        <v>198</v>
      </c>
      <c r="B567" s="6" t="inlineStr">
        <is>
          <t>Hotel Aloha Malang</t>
        </is>
      </c>
      <c r="C567" s="6">
        <f>(C199-MIN($C$2:$C$364)) / (MAX($C$2:$C$364)-MIN($C$2:$C$364))</f>
        <v/>
      </c>
      <c r="D567" s="6">
        <f>(D199-MIN($D$2:$D$364)) / (MAX($D$2:$D$364)-MIN($D$2:$D$364))</f>
        <v/>
      </c>
      <c r="E567" s="14">
        <f>(E199-MIN($E$2:$E$364)) / (MAX($E$2:$E$364)-MIN($E$2:$E$364))</f>
        <v/>
      </c>
    </row>
    <row r="568">
      <c r="A568" s="5" t="n">
        <v>199</v>
      </c>
      <c r="B568" s="6" t="inlineStr">
        <is>
          <t>Hotel Tidar</t>
        </is>
      </c>
      <c r="C568" s="6">
        <f>(C200-MIN($C$2:$C$364)) / (MAX($C$2:$C$364)-MIN($C$2:$C$364))</f>
        <v/>
      </c>
      <c r="D568" s="6">
        <f>(D200-MIN($D$2:$D$364)) / (MAX($D$2:$D$364)-MIN($D$2:$D$364))</f>
        <v/>
      </c>
      <c r="E568" s="14">
        <f>(E200-MIN($E$2:$E$364)) / (MAX($E$2:$E$364)-MIN($E$2:$E$364))</f>
        <v/>
      </c>
    </row>
    <row r="569">
      <c r="A569" s="5" t="n">
        <v>200</v>
      </c>
      <c r="B569" s="6" t="inlineStr">
        <is>
          <t>Airy Lowokwaru Sutoyo 22 Malang</t>
        </is>
      </c>
      <c r="C569" s="6">
        <f>(C201-MIN($C$2:$C$364)) / (MAX($C$2:$C$364)-MIN($C$2:$C$364))</f>
        <v/>
      </c>
      <c r="D569" s="6">
        <f>(D201-MIN($D$2:$D$364)) / (MAX($D$2:$D$364)-MIN($D$2:$D$364))</f>
        <v/>
      </c>
      <c r="E569" s="14">
        <f>(E201-MIN($E$2:$E$364)) / (MAX($E$2:$E$364)-MIN($E$2:$E$364))</f>
        <v/>
      </c>
    </row>
    <row r="570">
      <c r="A570" s="5" t="n">
        <v>201</v>
      </c>
      <c r="B570" s="6" t="inlineStr">
        <is>
          <t>Morse Hotel</t>
        </is>
      </c>
      <c r="C570" s="6">
        <f>(C202-MIN($C$2:$C$364)) / (MAX($C$2:$C$364)-MIN($C$2:$C$364))</f>
        <v/>
      </c>
      <c r="D570" s="6">
        <f>(D202-MIN($D$2:$D$364)) / (MAX($D$2:$D$364)-MIN($D$2:$D$364))</f>
        <v/>
      </c>
      <c r="E570" s="14">
        <f>(E202-MIN($E$2:$E$364)) / (MAX($E$2:$E$364)-MIN($E$2:$E$364))</f>
        <v/>
      </c>
    </row>
    <row r="571">
      <c r="A571" s="5" t="n">
        <v>202</v>
      </c>
      <c r="B571" s="6" t="inlineStr">
        <is>
          <t>RedDoorz near Gajayana Stadium Malang</t>
        </is>
      </c>
      <c r="C571" s="6">
        <f>(C203-MIN($C$2:$C$364)) / (MAX($C$2:$C$364)-MIN($C$2:$C$364))</f>
        <v/>
      </c>
      <c r="D571" s="6">
        <f>(D203-MIN($D$2:$D$364)) / (MAX($D$2:$D$364)-MIN($D$2:$D$364))</f>
        <v/>
      </c>
      <c r="E571" s="14">
        <f>(E203-MIN($E$2:$E$364)) / (MAX($E$2:$E$364)-MIN($E$2:$E$364))</f>
        <v/>
      </c>
    </row>
    <row r="572">
      <c r="A572" s="5" t="n">
        <v>203</v>
      </c>
      <c r="B572" s="6" t="inlineStr">
        <is>
          <t>Armyn Luxury Guest House</t>
        </is>
      </c>
      <c r="C572" s="6">
        <f>(C204-MIN($C$2:$C$364)) / (MAX($C$2:$C$364)-MIN($C$2:$C$364))</f>
        <v/>
      </c>
      <c r="D572" s="6">
        <f>(D204-MIN($D$2:$D$364)) / (MAX($D$2:$D$364)-MIN($D$2:$D$364))</f>
        <v/>
      </c>
      <c r="E572" s="14">
        <f>(E204-MIN($E$2:$E$364)) / (MAX($E$2:$E$364)-MIN($E$2:$E$364))</f>
        <v/>
      </c>
    </row>
    <row r="573">
      <c r="A573" s="5" t="n">
        <v>204</v>
      </c>
      <c r="B573" s="6" t="inlineStr">
        <is>
          <t>Airy Klojen Lamongan 12 Malang</t>
        </is>
      </c>
      <c r="C573" s="6">
        <f>(C205-MIN($C$2:$C$364)) / (MAX($C$2:$C$364)-MIN($C$2:$C$364))</f>
        <v/>
      </c>
      <c r="D573" s="6">
        <f>(D205-MIN($D$2:$D$364)) / (MAX($D$2:$D$364)-MIN($D$2:$D$364))</f>
        <v/>
      </c>
      <c r="E573" s="14">
        <f>(E205-MIN($E$2:$E$364)) / (MAX($E$2:$E$364)-MIN($E$2:$E$364))</f>
        <v/>
      </c>
    </row>
    <row r="574">
      <c r="A574" s="5" t="n">
        <v>205</v>
      </c>
      <c r="B574" s="6" t="inlineStr">
        <is>
          <t>ZEN Rooms Basic Lamongan Malang</t>
        </is>
      </c>
      <c r="C574" s="6">
        <f>(C206-MIN($C$2:$C$364)) / (MAX($C$2:$C$364)-MIN($C$2:$C$364))</f>
        <v/>
      </c>
      <c r="D574" s="6">
        <f>(D206-MIN($D$2:$D$364)) / (MAX($D$2:$D$364)-MIN($D$2:$D$364))</f>
        <v/>
      </c>
      <c r="E574" s="14">
        <f>(E206-MIN($E$2:$E$364)) / (MAX($E$2:$E$364)-MIN($E$2:$E$364))</f>
        <v/>
      </c>
    </row>
    <row r="575">
      <c r="A575" s="5" t="n">
        <v>206</v>
      </c>
      <c r="B575" s="6" t="inlineStr">
        <is>
          <t>Airy Alun Alun Malang Zainul Arifin 55</t>
        </is>
      </c>
      <c r="C575" s="6">
        <f>(C207-MIN($C$2:$C$364)) / (MAX($C$2:$C$364)-MIN($C$2:$C$364))</f>
        <v/>
      </c>
      <c r="D575" s="6">
        <f>(D207-MIN($D$2:$D$364)) / (MAX($D$2:$D$364)-MIN($D$2:$D$364))</f>
        <v/>
      </c>
      <c r="E575" s="14">
        <f>(E207-MIN($E$2:$E$364)) / (MAX($E$2:$E$364)-MIN($E$2:$E$364))</f>
        <v/>
      </c>
    </row>
    <row r="576">
      <c r="A576" s="5" t="n">
        <v>207</v>
      </c>
      <c r="B576" s="6" t="inlineStr">
        <is>
          <t>Guesthouse Syariah Cakalang 5</t>
        </is>
      </c>
      <c r="C576" s="6">
        <f>(C208-MIN($C$2:$C$364)) / (MAX($C$2:$C$364)-MIN($C$2:$C$364))</f>
        <v/>
      </c>
      <c r="D576" s="6">
        <f>(D208-MIN($D$2:$D$364)) / (MAX($D$2:$D$364)-MIN($D$2:$D$364))</f>
        <v/>
      </c>
      <c r="E576" s="14">
        <f>(E208-MIN($E$2:$E$364)) / (MAX($E$2:$E$364)-MIN($E$2:$E$364))</f>
        <v/>
      </c>
    </row>
    <row r="577">
      <c r="A577" s="5" t="n">
        <v>208</v>
      </c>
      <c r="B577" s="6" t="inlineStr">
        <is>
          <t>mcb Homestay</t>
        </is>
      </c>
      <c r="C577" s="6">
        <f>(C209-MIN($C$2:$C$364)) / (MAX($C$2:$C$364)-MIN($C$2:$C$364))</f>
        <v/>
      </c>
      <c r="D577" s="6">
        <f>(D209-MIN($D$2:$D$364)) / (MAX($D$2:$D$364)-MIN($D$2:$D$364))</f>
        <v/>
      </c>
      <c r="E577" s="14">
        <f>(E209-MIN($E$2:$E$364)) / (MAX($E$2:$E$364)-MIN($E$2:$E$364))</f>
        <v/>
      </c>
    </row>
    <row r="578">
      <c r="A578" s="5" t="n">
        <v>209</v>
      </c>
      <c r="B578" s="6" t="inlineStr">
        <is>
          <t>Homestay Villa Tidar</t>
        </is>
      </c>
      <c r="C578" s="6">
        <f>(C210-MIN($C$2:$C$364)) / (MAX($C$2:$C$364)-MIN($C$2:$C$364))</f>
        <v/>
      </c>
      <c r="D578" s="6">
        <f>(D210-MIN($D$2:$D$364)) / (MAX($D$2:$D$364)-MIN($D$2:$D$364))</f>
        <v/>
      </c>
      <c r="E578" s="14">
        <f>(E210-MIN($E$2:$E$364)) / (MAX($E$2:$E$364)-MIN($E$2:$E$364))</f>
        <v/>
      </c>
    </row>
    <row r="579">
      <c r="A579" s="5" t="n">
        <v>210</v>
      </c>
      <c r="B579" s="6" t="inlineStr">
        <is>
          <t>Homestay Borobudur Tbs</t>
        </is>
      </c>
      <c r="C579" s="6">
        <f>(C211-MIN($C$2:$C$364)) / (MAX($C$2:$C$364)-MIN($C$2:$C$364))</f>
        <v/>
      </c>
      <c r="D579" s="6">
        <f>(D211-MIN($D$2:$D$364)) / (MAX($D$2:$D$364)-MIN($D$2:$D$364))</f>
        <v/>
      </c>
      <c r="E579" s="14">
        <f>(E211-MIN($E$2:$E$364)) / (MAX($E$2:$E$364)-MIN($E$2:$E$364))</f>
        <v/>
      </c>
    </row>
    <row r="580">
      <c r="A580" s="5" t="n">
        <v>211</v>
      </c>
      <c r="B580" s="6" t="inlineStr">
        <is>
          <t>de' Clove</t>
        </is>
      </c>
      <c r="C580" s="6">
        <f>(C212-MIN($C$2:$C$364)) / (MAX($C$2:$C$364)-MIN($C$2:$C$364))</f>
        <v/>
      </c>
      <c r="D580" s="6">
        <f>(D212-MIN($D$2:$D$364)) / (MAX($D$2:$D$364)-MIN($D$2:$D$364))</f>
        <v/>
      </c>
      <c r="E580" s="14">
        <f>(E212-MIN($E$2:$E$364)) / (MAX($E$2:$E$364)-MIN($E$2:$E$364))</f>
        <v/>
      </c>
    </row>
    <row r="581">
      <c r="A581" s="5" t="n">
        <v>212</v>
      </c>
      <c r="B581" s="6" t="inlineStr">
        <is>
          <t>Airy Klojen</t>
        </is>
      </c>
      <c r="C581" s="6">
        <f>(C213-MIN($C$2:$C$364)) / (MAX($C$2:$C$364)-MIN($C$2:$C$364))</f>
        <v/>
      </c>
      <c r="D581" s="6">
        <f>(D213-MIN($D$2:$D$364)) / (MAX($D$2:$D$364)-MIN($D$2:$D$364))</f>
        <v/>
      </c>
      <c r="E581" s="14">
        <f>(E213-MIN($E$2:$E$364)) / (MAX($E$2:$E$364)-MIN($E$2:$E$364))</f>
        <v/>
      </c>
    </row>
    <row r="582">
      <c r="A582" s="5" t="n">
        <v>213</v>
      </c>
      <c r="B582" s="6" t="inlineStr">
        <is>
          <t>ZEN Rooms near Stasiun Kota Baru</t>
        </is>
      </c>
      <c r="C582" s="6">
        <f>(C214-MIN($C$2:$C$364)) / (MAX($C$2:$C$364)-MIN($C$2:$C$364))</f>
        <v/>
      </c>
      <c r="D582" s="6">
        <f>(D214-MIN($D$2:$D$364)) / (MAX($D$2:$D$364)-MIN($D$2:$D$364))</f>
        <v/>
      </c>
      <c r="E582" s="14">
        <f>(E214-MIN($E$2:$E$364)) / (MAX($E$2:$E$364)-MIN($E$2:$E$364))</f>
        <v/>
      </c>
    </row>
    <row r="583">
      <c r="A583" s="5" t="n">
        <v>214</v>
      </c>
      <c r="B583" s="6" t="inlineStr">
        <is>
          <t>Airy Lowokwaru Candi Trowulan 12 Malang</t>
        </is>
      </c>
      <c r="C583" s="6">
        <f>(C215-MIN($C$2:$C$364)) / (MAX($C$2:$C$364)-MIN($C$2:$C$364))</f>
        <v/>
      </c>
      <c r="D583" s="6">
        <f>(D215-MIN($D$2:$D$364)) / (MAX($D$2:$D$364)-MIN($D$2:$D$364))</f>
        <v/>
      </c>
      <c r="E583" s="14">
        <f>(E215-MIN($E$2:$E$364)) / (MAX($E$2:$E$364)-MIN($E$2:$E$364))</f>
        <v/>
      </c>
    </row>
    <row r="584">
      <c r="A584" s="5" t="n">
        <v>215</v>
      </c>
      <c r="B584" s="6" t="inlineStr">
        <is>
          <t>Airy Tunjungtirto Losawi Perusahaan 57 Malang</t>
        </is>
      </c>
      <c r="C584" s="6">
        <f>(C216-MIN($C$2:$C$364)) / (MAX($C$2:$C$364)-MIN($C$2:$C$364))</f>
        <v/>
      </c>
      <c r="D584" s="6">
        <f>(D216-MIN($D$2:$D$364)) / (MAX($D$2:$D$364)-MIN($D$2:$D$364))</f>
        <v/>
      </c>
      <c r="E584" s="14">
        <f>(E216-MIN($E$2:$E$364)) / (MAX($E$2:$E$364)-MIN($E$2:$E$364))</f>
        <v/>
      </c>
    </row>
    <row r="585">
      <c r="A585" s="5" t="n">
        <v>216</v>
      </c>
      <c r="B585" s="6" t="inlineStr">
        <is>
          <t>RedDoorz Plus @ Riverside Malang</t>
        </is>
      </c>
      <c r="C585" s="6">
        <f>(C217-MIN($C$2:$C$364)) / (MAX($C$2:$C$364)-MIN($C$2:$C$364))</f>
        <v/>
      </c>
      <c r="D585" s="6">
        <f>(D217-MIN($D$2:$D$364)) / (MAX($D$2:$D$364)-MIN($D$2:$D$364))</f>
        <v/>
      </c>
      <c r="E585" s="14">
        <f>(E217-MIN($E$2:$E$364)) / (MAX($E$2:$E$364)-MIN($E$2:$E$364))</f>
        <v/>
      </c>
    </row>
    <row r="586">
      <c r="A586" s="5" t="n">
        <v>217</v>
      </c>
      <c r="B586" s="6" t="inlineStr">
        <is>
          <t>Emy's Guesthouse</t>
        </is>
      </c>
      <c r="C586" s="6">
        <f>(C218-MIN($C$2:$C$364)) / (MAX($C$2:$C$364)-MIN($C$2:$C$364))</f>
        <v/>
      </c>
      <c r="D586" s="6">
        <f>(D218-MIN($D$2:$D$364)) / (MAX($D$2:$D$364)-MIN($D$2:$D$364))</f>
        <v/>
      </c>
      <c r="E586" s="14">
        <f>(E218-MIN($E$2:$E$364)) / (MAX($E$2:$E$364)-MIN($E$2:$E$364))</f>
        <v/>
      </c>
    </row>
    <row r="587">
      <c r="A587" s="5" t="n">
        <v>218</v>
      </c>
      <c r="B587" s="6" t="inlineStr">
        <is>
          <t>De'Vita Family Homestay</t>
        </is>
      </c>
      <c r="C587" s="6">
        <f>(C219-MIN($C$2:$C$364)) / (MAX($C$2:$C$364)-MIN($C$2:$C$364))</f>
        <v/>
      </c>
      <c r="D587" s="6">
        <f>(D219-MIN($D$2:$D$364)) / (MAX($D$2:$D$364)-MIN($D$2:$D$364))</f>
        <v/>
      </c>
      <c r="E587" s="14">
        <f>(E219-MIN($E$2:$E$364)) / (MAX($E$2:$E$364)-MIN($E$2:$E$364))</f>
        <v/>
      </c>
    </row>
    <row r="588">
      <c r="A588" s="5" t="n">
        <v>219</v>
      </c>
      <c r="B588" s="6" t="inlineStr">
        <is>
          <t>RedDoorz Syariah @ Griya Shanta Malang</t>
        </is>
      </c>
      <c r="C588" s="6">
        <f>(C220-MIN($C$2:$C$364)) / (MAX($C$2:$C$364)-MIN($C$2:$C$364))</f>
        <v/>
      </c>
      <c r="D588" s="6">
        <f>(D220-MIN($D$2:$D$364)) / (MAX($D$2:$D$364)-MIN($D$2:$D$364))</f>
        <v/>
      </c>
      <c r="E588" s="14">
        <f>(E220-MIN($E$2:$E$364)) / (MAX($E$2:$E$364)-MIN($E$2:$E$364))</f>
        <v/>
      </c>
    </row>
    <row r="589">
      <c r="A589" s="5" t="n">
        <v>220</v>
      </c>
      <c r="B589" s="6" t="inlineStr">
        <is>
          <t>Vintage 58 Penginapan khusus wanita</t>
        </is>
      </c>
      <c r="C589" s="6">
        <f>(C221-MIN($C$2:$C$364)) / (MAX($C$2:$C$364)-MIN($C$2:$C$364))</f>
        <v/>
      </c>
      <c r="D589" s="6">
        <f>(D221-MIN($D$2:$D$364)) / (MAX($D$2:$D$364)-MIN($D$2:$D$364))</f>
        <v/>
      </c>
      <c r="E589" s="14">
        <f>(E221-MIN($E$2:$E$364)) / (MAX($E$2:$E$364)-MIN($E$2:$E$364))</f>
        <v/>
      </c>
    </row>
    <row r="590">
      <c r="A590" s="5" t="n">
        <v>221</v>
      </c>
      <c r="B590" s="6" t="inlineStr">
        <is>
          <t>Ador 46 Homestay Syariah &amp; Kost Harian Kota Malang</t>
        </is>
      </c>
      <c r="C590" s="6">
        <f>(C222-MIN($C$2:$C$364)) / (MAX($C$2:$C$364)-MIN($C$2:$C$364))</f>
        <v/>
      </c>
      <c r="D590" s="6">
        <f>(D222-MIN($D$2:$D$364)) / (MAX($D$2:$D$364)-MIN($D$2:$D$364))</f>
        <v/>
      </c>
      <c r="E590" s="14">
        <f>(E222-MIN($E$2:$E$364)) / (MAX($E$2:$E$364)-MIN($E$2:$E$364))</f>
        <v/>
      </c>
    </row>
    <row r="591">
      <c r="A591" s="5" t="n">
        <v>222</v>
      </c>
      <c r="B591" s="6" t="inlineStr">
        <is>
          <t>Griya Backpacker Pak yon</t>
        </is>
      </c>
      <c r="C591" s="6">
        <f>(C223-MIN($C$2:$C$364)) / (MAX($C$2:$C$364)-MIN($C$2:$C$364))</f>
        <v/>
      </c>
      <c r="D591" s="6">
        <f>(D223-MIN($D$2:$D$364)) / (MAX($D$2:$D$364)-MIN($D$2:$D$364))</f>
        <v/>
      </c>
      <c r="E591" s="14">
        <f>(E223-MIN($E$2:$E$364)) / (MAX($E$2:$E$364)-MIN($E$2:$E$364))</f>
        <v/>
      </c>
    </row>
    <row r="592">
      <c r="A592" s="5" t="n">
        <v>223</v>
      </c>
      <c r="B592" s="6" t="inlineStr">
        <is>
          <t>SO! Boutique Hostel</t>
        </is>
      </c>
      <c r="C592" s="6">
        <f>(C224-MIN($C$2:$C$364)) / (MAX($C$2:$C$364)-MIN($C$2:$C$364))</f>
        <v/>
      </c>
      <c r="D592" s="6">
        <f>(D224-MIN($D$2:$D$364)) / (MAX($D$2:$D$364)-MIN($D$2:$D$364))</f>
        <v/>
      </c>
      <c r="E592" s="14">
        <f>(E224-MIN($E$2:$E$364)) / (MAX($E$2:$E$364)-MIN($E$2:$E$364))</f>
        <v/>
      </c>
    </row>
    <row r="593">
      <c r="A593" s="5" t="n">
        <v>224</v>
      </c>
      <c r="B593" s="6" t="inlineStr">
        <is>
          <t>Hotel Setia Budi</t>
        </is>
      </c>
      <c r="C593" s="6">
        <f>(C225-MIN($C$2:$C$364)) / (MAX($C$2:$C$364)-MIN($C$2:$C$364))</f>
        <v/>
      </c>
      <c r="D593" s="6">
        <f>(D225-MIN($D$2:$D$364)) / (MAX($D$2:$D$364)-MIN($D$2:$D$364))</f>
        <v/>
      </c>
      <c r="E593" s="14">
        <f>(E225-MIN($E$2:$E$364)) / (MAX($E$2:$E$364)-MIN($E$2:$E$364))</f>
        <v/>
      </c>
    </row>
    <row r="594">
      <c r="A594" s="5" t="n">
        <v>225</v>
      </c>
      <c r="B594" s="6" t="inlineStr">
        <is>
          <t>Yutaka Inn Suhat Malang</t>
        </is>
      </c>
      <c r="C594" s="6">
        <f>(C226-MIN($C$2:$C$364)) / (MAX($C$2:$C$364)-MIN($C$2:$C$364))</f>
        <v/>
      </c>
      <c r="D594" s="6">
        <f>(D226-MIN($D$2:$D$364)) / (MAX($D$2:$D$364)-MIN($D$2:$D$364))</f>
        <v/>
      </c>
      <c r="E594" s="14">
        <f>(E226-MIN($E$2:$E$364)) / (MAX($E$2:$E$364)-MIN($E$2:$E$364))</f>
        <v/>
      </c>
    </row>
    <row r="595">
      <c r="A595" s="5" t="n">
        <v>226</v>
      </c>
      <c r="B595" s="6" t="inlineStr">
        <is>
          <t>KOS Harian/blnan Murah-Linns house</t>
        </is>
      </c>
      <c r="C595" s="6">
        <f>(C227-MIN($C$2:$C$364)) / (MAX($C$2:$C$364)-MIN($C$2:$C$364))</f>
        <v/>
      </c>
      <c r="D595" s="6">
        <f>(D227-MIN($D$2:$D$364)) / (MAX($D$2:$D$364)-MIN($D$2:$D$364))</f>
        <v/>
      </c>
      <c r="E595" s="14">
        <f>(E227-MIN($E$2:$E$364)) / (MAX($E$2:$E$364)-MIN($E$2:$E$364))</f>
        <v/>
      </c>
    </row>
    <row r="596">
      <c r="A596" s="5" t="n">
        <v>227</v>
      </c>
      <c r="B596" s="6" t="inlineStr">
        <is>
          <t>YUTAKA INN Araya Malang</t>
        </is>
      </c>
      <c r="C596" s="6">
        <f>(C228-MIN($C$2:$C$364)) / (MAX($C$2:$C$364)-MIN($C$2:$C$364))</f>
        <v/>
      </c>
      <c r="D596" s="6">
        <f>(D228-MIN($D$2:$D$364)) / (MAX($D$2:$D$364)-MIN($D$2:$D$364))</f>
        <v/>
      </c>
      <c r="E596" s="14">
        <f>(E228-MIN($E$2:$E$364)) / (MAX($E$2:$E$364)-MIN($E$2:$E$364))</f>
        <v/>
      </c>
    </row>
    <row r="597">
      <c r="A597" s="5" t="n">
        <v>228</v>
      </c>
      <c r="B597" s="6" t="inlineStr">
        <is>
          <t>MADOR Malang Dorm Hostel</t>
        </is>
      </c>
      <c r="C597" s="6">
        <f>(C229-MIN($C$2:$C$364)) / (MAX($C$2:$C$364)-MIN($C$2:$C$364))</f>
        <v/>
      </c>
      <c r="D597" s="6">
        <f>(D229-MIN($D$2:$D$364)) / (MAX($D$2:$D$364)-MIN($D$2:$D$364))</f>
        <v/>
      </c>
      <c r="E597" s="14">
        <f>(E229-MIN($E$2:$E$364)) / (MAX($E$2:$E$364)-MIN($E$2:$E$364))</f>
        <v/>
      </c>
    </row>
    <row r="598">
      <c r="A598" s="5" t="n">
        <v>229</v>
      </c>
      <c r="B598" s="6" t="inlineStr">
        <is>
          <t>Novon Family Hotel By Tripletree</t>
        </is>
      </c>
      <c r="C598" s="6">
        <f>(C230-MIN($C$2:$C$364)) / (MAX($C$2:$C$364)-MIN($C$2:$C$364))</f>
        <v/>
      </c>
      <c r="D598" s="6">
        <f>(D230-MIN($D$2:$D$364)) / (MAX($D$2:$D$364)-MIN($D$2:$D$364))</f>
        <v/>
      </c>
      <c r="E598" s="14">
        <f>(E230-MIN($E$2:$E$364)) / (MAX($E$2:$E$364)-MIN($E$2:$E$364))</f>
        <v/>
      </c>
    </row>
    <row r="599">
      <c r="A599" s="5" t="n">
        <v>230</v>
      </c>
      <c r="B599" s="6" t="inlineStr">
        <is>
          <t>Terima Kasih Malang by Zzz (TKM)</t>
        </is>
      </c>
      <c r="C599" s="6">
        <f>(C231-MIN($C$2:$C$364)) / (MAX($C$2:$C$364)-MIN($C$2:$C$364))</f>
        <v/>
      </c>
      <c r="D599" s="6">
        <f>(D231-MIN($D$2:$D$364)) / (MAX($D$2:$D$364)-MIN($D$2:$D$364))</f>
        <v/>
      </c>
      <c r="E599" s="14">
        <f>(E231-MIN($E$2:$E$364)) / (MAX($E$2:$E$364)-MIN($E$2:$E$364))</f>
        <v/>
      </c>
    </row>
    <row r="600">
      <c r="A600" s="5" t="n">
        <v>231</v>
      </c>
      <c r="B600" s="6" t="inlineStr">
        <is>
          <t>Simple Stay</t>
        </is>
      </c>
      <c r="C600" s="6">
        <f>(C232-MIN($C$2:$C$364)) / (MAX($C$2:$C$364)-MIN($C$2:$C$364))</f>
        <v/>
      </c>
      <c r="D600" s="6">
        <f>(D232-MIN($D$2:$D$364)) / (MAX($D$2:$D$364)-MIN($D$2:$D$364))</f>
        <v/>
      </c>
      <c r="E600" s="14">
        <f>(E232-MIN($E$2:$E$364)) / (MAX($E$2:$E$364)-MIN($E$2:$E$364))</f>
        <v/>
      </c>
    </row>
    <row r="601">
      <c r="A601" s="5" t="n">
        <v>232</v>
      </c>
      <c r="B601" s="6" t="inlineStr">
        <is>
          <t>Mahveen Family Guest House Syariah</t>
        </is>
      </c>
      <c r="C601" s="6">
        <f>(C233-MIN($C$2:$C$364)) / (MAX($C$2:$C$364)-MIN($C$2:$C$364))</f>
        <v/>
      </c>
      <c r="D601" s="6">
        <f>(D233-MIN($D$2:$D$364)) / (MAX($D$2:$D$364)-MIN($D$2:$D$364))</f>
        <v/>
      </c>
      <c r="E601" s="14">
        <f>(E233-MIN($E$2:$E$364)) / (MAX($E$2:$E$364)-MIN($E$2:$E$364))</f>
        <v/>
      </c>
    </row>
    <row r="602">
      <c r="A602" s="5" t="n">
        <v>233</v>
      </c>
      <c r="B602" s="6" t="inlineStr">
        <is>
          <t>RedDoorz @ Simpang Borobudur</t>
        </is>
      </c>
      <c r="C602" s="6">
        <f>(C234-MIN($C$2:$C$364)) / (MAX($C$2:$C$364)-MIN($C$2:$C$364))</f>
        <v/>
      </c>
      <c r="D602" s="6">
        <f>(D234-MIN($D$2:$D$364)) / (MAX($D$2:$D$364)-MIN($D$2:$D$364))</f>
        <v/>
      </c>
      <c r="E602" s="14">
        <f>(E234-MIN($E$2:$E$364)) / (MAX($E$2:$E$364)-MIN($E$2:$E$364))</f>
        <v/>
      </c>
    </row>
    <row r="603">
      <c r="A603" s="5" t="n">
        <v>234</v>
      </c>
      <c r="B603" s="6" t="inlineStr">
        <is>
          <t>Smart Tlogomas Syariah</t>
        </is>
      </c>
      <c r="C603" s="6">
        <f>(C235-MIN($C$2:$C$364)) / (MAX($C$2:$C$364)-MIN($C$2:$C$364))</f>
        <v/>
      </c>
      <c r="D603" s="6">
        <f>(D235-MIN($D$2:$D$364)) / (MAX($D$2:$D$364)-MIN($D$2:$D$364))</f>
        <v/>
      </c>
      <c r="E603" s="14">
        <f>(E235-MIN($E$2:$E$364)) / (MAX($E$2:$E$364)-MIN($E$2:$E$364))</f>
        <v/>
      </c>
    </row>
    <row r="604">
      <c r="A604" s="5" t="n">
        <v>235</v>
      </c>
      <c r="B604" s="6" t="inlineStr">
        <is>
          <t>RedDoorz Hostel near Malang Train Station 3</t>
        </is>
      </c>
      <c r="C604" s="6">
        <f>(C236-MIN($C$2:$C$364)) / (MAX($C$2:$C$364)-MIN($C$2:$C$364))</f>
        <v/>
      </c>
      <c r="D604" s="6">
        <f>(D236-MIN($D$2:$D$364)) / (MAX($D$2:$D$364)-MIN($D$2:$D$364))</f>
        <v/>
      </c>
      <c r="E604" s="14">
        <f>(E236-MIN($E$2:$E$364)) / (MAX($E$2:$E$364)-MIN($E$2:$E$364))</f>
        <v/>
      </c>
    </row>
    <row r="605">
      <c r="A605" s="5" t="n">
        <v>236</v>
      </c>
      <c r="B605" s="6" t="inlineStr">
        <is>
          <t>Bobopod Alun-Alun, Malang</t>
        </is>
      </c>
      <c r="C605" s="6">
        <f>(C237-MIN($C$2:$C$364)) / (MAX($C$2:$C$364)-MIN($C$2:$C$364))</f>
        <v/>
      </c>
      <c r="D605" s="6">
        <f>(D237-MIN($D$2:$D$364)) / (MAX($D$2:$D$364)-MIN($D$2:$D$364))</f>
        <v/>
      </c>
      <c r="E605" s="14">
        <f>(E237-MIN($E$2:$E$364)) / (MAX($E$2:$E$364)-MIN($E$2:$E$364))</f>
        <v/>
      </c>
    </row>
    <row r="606">
      <c r="A606" s="5" t="n">
        <v>237</v>
      </c>
      <c r="B606" s="6" t="inlineStr">
        <is>
          <t>Kedung Ombo Homestay</t>
        </is>
      </c>
      <c r="C606" s="6">
        <f>(C238-MIN($C$2:$C$364)) / (MAX($C$2:$C$364)-MIN($C$2:$C$364))</f>
        <v/>
      </c>
      <c r="D606" s="6">
        <f>(D238-MIN($D$2:$D$364)) / (MAX($D$2:$D$364)-MIN($D$2:$D$364))</f>
        <v/>
      </c>
      <c r="E606" s="14">
        <f>(E238-MIN($E$2:$E$364)) / (MAX($E$2:$E$364)-MIN($E$2:$E$364))</f>
        <v/>
      </c>
    </row>
    <row r="607">
      <c r="A607" s="5" t="n">
        <v>238</v>
      </c>
      <c r="B607" s="6" t="inlineStr">
        <is>
          <t>RedDoorz Syariah near RRI Malang</t>
        </is>
      </c>
      <c r="C607" s="6">
        <f>(C239-MIN($C$2:$C$364)) / (MAX($C$2:$C$364)-MIN($C$2:$C$364))</f>
        <v/>
      </c>
      <c r="D607" s="6">
        <f>(D239-MIN($D$2:$D$364)) / (MAX($D$2:$D$364)-MIN($D$2:$D$364))</f>
        <v/>
      </c>
      <c r="E607" s="14">
        <f>(E239-MIN($E$2:$E$364)) / (MAX($E$2:$E$364)-MIN($E$2:$E$364))</f>
        <v/>
      </c>
    </row>
    <row r="608">
      <c r="A608" s="5" t="n">
        <v>239</v>
      </c>
      <c r="B608" s="6" t="inlineStr">
        <is>
          <t>LUMIERE GUEST HOUSE</t>
        </is>
      </c>
      <c r="C608" s="6">
        <f>(C240-MIN($C$2:$C$364)) / (MAX($C$2:$C$364)-MIN($C$2:$C$364))</f>
        <v/>
      </c>
      <c r="D608" s="6">
        <f>(D240-MIN($D$2:$D$364)) / (MAX($D$2:$D$364)-MIN($D$2:$D$364))</f>
        <v/>
      </c>
      <c r="E608" s="14">
        <f>(E240-MIN($E$2:$E$364)) / (MAX($E$2:$E$364)-MIN($E$2:$E$364))</f>
        <v/>
      </c>
    </row>
    <row r="609">
      <c r="A609" s="5" t="n">
        <v>240</v>
      </c>
      <c r="B609" s="6" t="inlineStr">
        <is>
          <t>YUTAKA INN Dinoyo Malang</t>
        </is>
      </c>
      <c r="C609" s="6">
        <f>(C241-MIN($C$2:$C$364)) / (MAX($C$2:$C$364)-MIN($C$2:$C$364))</f>
        <v/>
      </c>
      <c r="D609" s="6">
        <f>(D241-MIN($D$2:$D$364)) / (MAX($D$2:$D$364)-MIN($D$2:$D$364))</f>
        <v/>
      </c>
      <c r="E609" s="14">
        <f>(E241-MIN($E$2:$E$364)) / (MAX($E$2:$E$364)-MIN($E$2:$E$364))</f>
        <v/>
      </c>
    </row>
    <row r="610">
      <c r="A610" s="5" t="n">
        <v>241</v>
      </c>
      <c r="B610" s="6" t="inlineStr">
        <is>
          <t>Sans Hotel La Vida Malang</t>
        </is>
      </c>
      <c r="C610" s="6">
        <f>(C242-MIN($C$2:$C$364)) / (MAX($C$2:$C$364)-MIN($C$2:$C$364))</f>
        <v/>
      </c>
      <c r="D610" s="6">
        <f>(D242-MIN($D$2:$D$364)) / (MAX($D$2:$D$364)-MIN($D$2:$D$364))</f>
        <v/>
      </c>
      <c r="E610" s="14">
        <f>(E242-MIN($E$2:$E$364)) / (MAX($E$2:$E$364)-MIN($E$2:$E$364))</f>
        <v/>
      </c>
    </row>
    <row r="611">
      <c r="A611" s="5" t="n">
        <v>242</v>
      </c>
      <c r="B611" s="6" t="inlineStr">
        <is>
          <t>Roomy guesthouse</t>
        </is>
      </c>
      <c r="C611" s="6">
        <f>(C243-MIN($C$2:$C$364)) / (MAX($C$2:$C$364)-MIN($C$2:$C$364))</f>
        <v/>
      </c>
      <c r="D611" s="6">
        <f>(D243-MIN($D$2:$D$364)) / (MAX($D$2:$D$364)-MIN($D$2:$D$364))</f>
        <v/>
      </c>
      <c r="E611" s="14">
        <f>(E243-MIN($E$2:$E$364)) / (MAX($E$2:$E$364)-MIN($E$2:$E$364))</f>
        <v/>
      </c>
    </row>
    <row r="612">
      <c r="A612" s="5" t="n">
        <v>243</v>
      </c>
      <c r="B612" s="6" t="inlineStr">
        <is>
          <t>Riche Heritage Hotel</t>
        </is>
      </c>
      <c r="C612" s="6">
        <f>(C244-MIN($C$2:$C$364)) / (MAX($C$2:$C$364)-MIN($C$2:$C$364))</f>
        <v/>
      </c>
      <c r="D612" s="6">
        <f>(D244-MIN($D$2:$D$364)) / (MAX($D$2:$D$364)-MIN($D$2:$D$364))</f>
        <v/>
      </c>
      <c r="E612" s="14">
        <f>(E244-MIN($E$2:$E$364)) / (MAX($E$2:$E$364)-MIN($E$2:$E$364))</f>
        <v/>
      </c>
    </row>
    <row r="613">
      <c r="A613" s="5" t="n">
        <v>244</v>
      </c>
      <c r="B613" s="6" t="inlineStr">
        <is>
          <t>Grand Kadaka Syariah</t>
        </is>
      </c>
      <c r="C613" s="6">
        <f>(C245-MIN($C$2:$C$364)) / (MAX($C$2:$C$364)-MIN($C$2:$C$364))</f>
        <v/>
      </c>
      <c r="D613" s="6">
        <f>(D245-MIN($D$2:$D$364)) / (MAX($D$2:$D$364)-MIN($D$2:$D$364))</f>
        <v/>
      </c>
      <c r="E613" s="14">
        <f>(E245-MIN($E$2:$E$364)) / (MAX($E$2:$E$364)-MIN($E$2:$E$364))</f>
        <v/>
      </c>
    </row>
    <row r="614">
      <c r="A614" s="5" t="n">
        <v>245</v>
      </c>
      <c r="B614" s="6" t="inlineStr">
        <is>
          <t>Kalakoala by Zzz</t>
        </is>
      </c>
      <c r="C614" s="6">
        <f>(C246-MIN($C$2:$C$364)) / (MAX($C$2:$C$364)-MIN($C$2:$C$364))</f>
        <v/>
      </c>
      <c r="D614" s="6">
        <f>(D246-MIN($D$2:$D$364)) / (MAX($D$2:$D$364)-MIN($D$2:$D$364))</f>
        <v/>
      </c>
      <c r="E614" s="14">
        <f>(E246-MIN($E$2:$E$364)) / (MAX($E$2:$E$364)-MIN($E$2:$E$364))</f>
        <v/>
      </c>
    </row>
    <row r="615">
      <c r="A615" s="5" t="n">
        <v>246</v>
      </c>
      <c r="B615" s="6" t="inlineStr">
        <is>
          <t>Condro Wulan Hostel</t>
        </is>
      </c>
      <c r="C615" s="6">
        <f>(C247-MIN($C$2:$C$364)) / (MAX($C$2:$C$364)-MIN($C$2:$C$364))</f>
        <v/>
      </c>
      <c r="D615" s="6">
        <f>(D247-MIN($D$2:$D$364)) / (MAX($D$2:$D$364)-MIN($D$2:$D$364))</f>
        <v/>
      </c>
      <c r="E615" s="14">
        <f>(E247-MIN($E$2:$E$364)) / (MAX($E$2:$E$364)-MIN($E$2:$E$364))</f>
        <v/>
      </c>
    </row>
    <row r="616">
      <c r="A616" s="5" t="n">
        <v>247</v>
      </c>
      <c r="B616" s="6" t="inlineStr">
        <is>
          <t>RedDoorz near Malang Creative Center</t>
        </is>
      </c>
      <c r="C616" s="6">
        <f>(C248-MIN($C$2:$C$364)) / (MAX($C$2:$C$364)-MIN($C$2:$C$364))</f>
        <v/>
      </c>
      <c r="D616" s="6">
        <f>(D248-MIN($D$2:$D$364)) / (MAX($D$2:$D$364)-MIN($D$2:$D$364))</f>
        <v/>
      </c>
      <c r="E616" s="14">
        <f>(E248-MIN($E$2:$E$364)) / (MAX($E$2:$E$364)-MIN($E$2:$E$364))</f>
        <v/>
      </c>
    </row>
    <row r="617">
      <c r="A617" s="5" t="n">
        <v>248</v>
      </c>
      <c r="B617" s="6" t="inlineStr">
        <is>
          <t>SIMPANG HOMESTAY &amp; KOZZ</t>
        </is>
      </c>
      <c r="C617" s="6">
        <f>(C249-MIN($C$2:$C$364)) / (MAX($C$2:$C$364)-MIN($C$2:$C$364))</f>
        <v/>
      </c>
      <c r="D617" s="6">
        <f>(D249-MIN($D$2:$D$364)) / (MAX($D$2:$D$364)-MIN($D$2:$D$364))</f>
        <v/>
      </c>
      <c r="E617" s="14">
        <f>(E249-MIN($E$2:$E$364)) / (MAX($E$2:$E$364)-MIN($E$2:$E$364))</f>
        <v/>
      </c>
    </row>
    <row r="618">
      <c r="A618" s="5" t="n">
        <v>249</v>
      </c>
      <c r="B618" s="6" t="inlineStr">
        <is>
          <t>Neomi Homestay Malang (CV.Neomi perdana sukse)</t>
        </is>
      </c>
      <c r="C618" s="6">
        <f>(C250-MIN($C$2:$C$364)) / (MAX($C$2:$C$364)-MIN($C$2:$C$364))</f>
        <v/>
      </c>
      <c r="D618" s="6">
        <f>(D250-MIN($D$2:$D$364)) / (MAX($D$2:$D$364)-MIN($D$2:$D$364))</f>
        <v/>
      </c>
      <c r="E618" s="14">
        <f>(E250-MIN($E$2:$E$364)) / (MAX($E$2:$E$364)-MIN($E$2:$E$364))</f>
        <v/>
      </c>
    </row>
    <row r="619">
      <c r="A619" s="5" t="n">
        <v>250</v>
      </c>
      <c r="B619" s="6" t="inlineStr">
        <is>
          <t>Hotel O Sumpil Syariah</t>
        </is>
      </c>
      <c r="C619" s="6">
        <f>(C251-MIN($C$2:$C$364)) / (MAX($C$2:$C$364)-MIN($C$2:$C$364))</f>
        <v/>
      </c>
      <c r="D619" s="6">
        <f>(D251-MIN($D$2:$D$364)) / (MAX($D$2:$D$364)-MIN($D$2:$D$364))</f>
        <v/>
      </c>
      <c r="E619" s="14">
        <f>(E251-MIN($E$2:$E$364)) / (MAX($E$2:$E$364)-MIN($E$2:$E$364))</f>
        <v/>
      </c>
    </row>
    <row r="620">
      <c r="A620" s="5" t="n">
        <v>251</v>
      </c>
      <c r="B620" s="6" t="inlineStr">
        <is>
          <t>RedDoorz Syariah near Exit Tol Malang</t>
        </is>
      </c>
      <c r="C620" s="6">
        <f>(C252-MIN($C$2:$C$364)) / (MAX($C$2:$C$364)-MIN($C$2:$C$364))</f>
        <v/>
      </c>
      <c r="D620" s="6">
        <f>(D252-MIN($D$2:$D$364)) / (MAX($D$2:$D$364)-MIN($D$2:$D$364))</f>
        <v/>
      </c>
      <c r="E620" s="14">
        <f>(E252-MIN($E$2:$E$364)) / (MAX($E$2:$E$364)-MIN($E$2:$E$364))</f>
        <v/>
      </c>
    </row>
    <row r="621">
      <c r="A621" s="5" t="n">
        <v>252</v>
      </c>
      <c r="B621" s="6" t="inlineStr">
        <is>
          <t>Townhouse Oak Malang near ITN Malang</t>
        </is>
      </c>
      <c r="C621" s="6">
        <f>(C253-MIN($C$2:$C$364)) / (MAX($C$2:$C$364)-MIN($C$2:$C$364))</f>
        <v/>
      </c>
      <c r="D621" s="6">
        <f>(D253-MIN($D$2:$D$364)) / (MAX($D$2:$D$364)-MIN($D$2:$D$364))</f>
        <v/>
      </c>
      <c r="E621" s="14">
        <f>(E253-MIN($E$2:$E$364)) / (MAX($E$2:$E$364)-MIN($E$2:$E$364))</f>
        <v/>
      </c>
    </row>
    <row r="622">
      <c r="A622" s="5" t="n">
        <v>253</v>
      </c>
      <c r="B622" s="6" t="inlineStr">
        <is>
          <t>Linn's House Syariah</t>
        </is>
      </c>
      <c r="C622" s="6">
        <f>(C254-MIN($C$2:$C$364)) / (MAX($C$2:$C$364)-MIN($C$2:$C$364))</f>
        <v/>
      </c>
      <c r="D622" s="6">
        <f>(D254-MIN($D$2:$D$364)) / (MAX($D$2:$D$364)-MIN($D$2:$D$364))</f>
        <v/>
      </c>
      <c r="E622" s="14">
        <f>(E254-MIN($E$2:$E$364)) / (MAX($E$2:$E$364)-MIN($E$2:$E$364))</f>
        <v/>
      </c>
    </row>
    <row r="623">
      <c r="A623" s="5" t="n">
        <v>254</v>
      </c>
      <c r="B623" s="6" t="inlineStr">
        <is>
          <t>Velodrome Family House</t>
        </is>
      </c>
      <c r="C623" s="6">
        <f>(C255-MIN($C$2:$C$364)) / (MAX($C$2:$C$364)-MIN($C$2:$C$364))</f>
        <v/>
      </c>
      <c r="D623" s="6">
        <f>(D255-MIN($D$2:$D$364)) / (MAX($D$2:$D$364)-MIN($D$2:$D$364))</f>
        <v/>
      </c>
      <c r="E623" s="14">
        <f>(E255-MIN($E$2:$E$364)) / (MAX($E$2:$E$364)-MIN($E$2:$E$364))</f>
        <v/>
      </c>
    </row>
    <row r="624">
      <c r="A624" s="5" t="n">
        <v>255</v>
      </c>
      <c r="B624" s="6" t="inlineStr">
        <is>
          <t>RedDoorz near Sanan Malang</t>
        </is>
      </c>
      <c r="C624" s="6">
        <f>(C256-MIN($C$2:$C$364)) / (MAX($C$2:$C$364)-MIN($C$2:$C$364))</f>
        <v/>
      </c>
      <c r="D624" s="6">
        <f>(D256-MIN($D$2:$D$364)) / (MAX($D$2:$D$364)-MIN($D$2:$D$364))</f>
        <v/>
      </c>
      <c r="E624" s="14">
        <f>(E256-MIN($E$2:$E$364)) / (MAX($E$2:$E$364)-MIN($E$2:$E$364))</f>
        <v/>
      </c>
    </row>
    <row r="625">
      <c r="A625" s="5" t="n">
        <v>256</v>
      </c>
      <c r="B625" s="6" t="inlineStr">
        <is>
          <t>SOWAN Boutique Guest House Syariah</t>
        </is>
      </c>
      <c r="C625" s="6">
        <f>(C257-MIN($C$2:$C$364)) / (MAX($C$2:$C$364)-MIN($C$2:$C$364))</f>
        <v/>
      </c>
      <c r="D625" s="6">
        <f>(D257-MIN($D$2:$D$364)) / (MAX($D$2:$D$364)-MIN($D$2:$D$364))</f>
        <v/>
      </c>
      <c r="E625" s="14">
        <f>(E257-MIN($E$2:$E$364)) / (MAX($E$2:$E$364)-MIN($E$2:$E$364))</f>
        <v/>
      </c>
    </row>
    <row r="626">
      <c r="A626" s="5" t="n">
        <v>257</v>
      </c>
      <c r="B626" s="6" t="inlineStr">
        <is>
          <t>Homestay Kateza</t>
        </is>
      </c>
      <c r="C626" s="6">
        <f>(C258-MIN($C$2:$C$364)) / (MAX($C$2:$C$364)-MIN($C$2:$C$364))</f>
        <v/>
      </c>
      <c r="D626" s="6">
        <f>(D258-MIN($D$2:$D$364)) / (MAX($D$2:$D$364)-MIN($D$2:$D$364))</f>
        <v/>
      </c>
      <c r="E626" s="14">
        <f>(E258-MIN($E$2:$E$364)) / (MAX($E$2:$E$364)-MIN($E$2:$E$364))</f>
        <v/>
      </c>
    </row>
    <row r="627">
      <c r="A627" s="5" t="n">
        <v>258</v>
      </c>
      <c r="B627" s="6" t="inlineStr">
        <is>
          <t>Nipa Guest House near Universitas Widyagama Mitra</t>
        </is>
      </c>
      <c r="C627" s="6">
        <f>(C259-MIN($C$2:$C$364)) / (MAX($C$2:$C$364)-MIN($C$2:$C$364))</f>
        <v/>
      </c>
      <c r="D627" s="6">
        <f>(D259-MIN($D$2:$D$364)) / (MAX($D$2:$D$364)-MIN($D$2:$D$364))</f>
        <v/>
      </c>
      <c r="E627" s="14">
        <f>(E259-MIN($E$2:$E$364)) / (MAX($E$2:$E$364)-MIN($E$2:$E$364))</f>
        <v/>
      </c>
    </row>
    <row r="628">
      <c r="A628" s="5" t="n">
        <v>259</v>
      </c>
      <c r="B628" s="6" t="inlineStr">
        <is>
          <t>Rumah Larasati</t>
        </is>
      </c>
      <c r="C628" s="6">
        <f>(C260-MIN($C$2:$C$364)) / (MAX($C$2:$C$364)-MIN($C$2:$C$364))</f>
        <v/>
      </c>
      <c r="D628" s="6">
        <f>(D260-MIN($D$2:$D$364)) / (MAX($D$2:$D$364)-MIN($D$2:$D$364))</f>
        <v/>
      </c>
      <c r="E628" s="14">
        <f>(E260-MIN($E$2:$E$364)) / (MAX($E$2:$E$364)-MIN($E$2:$E$364))</f>
        <v/>
      </c>
    </row>
    <row r="629">
      <c r="A629" s="5" t="n">
        <v>260</v>
      </c>
      <c r="B629" s="6" t="inlineStr">
        <is>
          <t>One &amp; Quin Guest House Syariah</t>
        </is>
      </c>
      <c r="C629" s="6">
        <f>(C261-MIN($C$2:$C$364)) / (MAX($C$2:$C$364)-MIN($C$2:$C$364))</f>
        <v/>
      </c>
      <c r="D629" s="6">
        <f>(D261-MIN($D$2:$D$364)) / (MAX($D$2:$D$364)-MIN($D$2:$D$364))</f>
        <v/>
      </c>
      <c r="E629" s="14">
        <f>(E261-MIN($E$2:$E$364)) / (MAX($E$2:$E$364)-MIN($E$2:$E$364))</f>
        <v/>
      </c>
    </row>
    <row r="630">
      <c r="A630" s="5" t="n">
        <v>261</v>
      </c>
      <c r="B630" s="6" t="inlineStr">
        <is>
          <t>Fariz Hotel Malang</t>
        </is>
      </c>
      <c r="C630" s="6">
        <f>(C262-MIN($C$2:$C$364)) / (MAX($C$2:$C$364)-MIN($C$2:$C$364))</f>
        <v/>
      </c>
      <c r="D630" s="6">
        <f>(D262-MIN($D$2:$D$364)) / (MAX($D$2:$D$364)-MIN($D$2:$D$364))</f>
        <v/>
      </c>
      <c r="E630" s="14">
        <f>(E262-MIN($E$2:$E$364)) / (MAX($E$2:$E$364)-MIN($E$2:$E$364))</f>
        <v/>
      </c>
    </row>
    <row r="631">
      <c r="A631" s="5" t="n">
        <v>262</v>
      </c>
      <c r="B631" s="6" t="inlineStr">
        <is>
          <t>RedDoorz raya tidar</t>
        </is>
      </c>
      <c r="C631" s="6">
        <f>(C263-MIN($C$2:$C$364)) / (MAX($C$2:$C$364)-MIN($C$2:$C$364))</f>
        <v/>
      </c>
      <c r="D631" s="6">
        <f>(D263-MIN($D$2:$D$364)) / (MAX($D$2:$D$364)-MIN($D$2:$D$364))</f>
        <v/>
      </c>
      <c r="E631" s="14">
        <f>(E263-MIN($E$2:$E$364)) / (MAX($E$2:$E$364)-MIN($E$2:$E$364))</f>
        <v/>
      </c>
    </row>
    <row r="632">
      <c r="A632" s="5" t="n">
        <v>263</v>
      </c>
      <c r="B632" s="6" t="inlineStr">
        <is>
          <t>Tya Family Guest House</t>
        </is>
      </c>
      <c r="C632" s="6">
        <f>(C264-MIN($C$2:$C$364)) / (MAX($C$2:$C$364)-MIN($C$2:$C$364))</f>
        <v/>
      </c>
      <c r="D632" s="6">
        <f>(D264-MIN($D$2:$D$364)) / (MAX($D$2:$D$364)-MIN($D$2:$D$364))</f>
        <v/>
      </c>
      <c r="E632" s="14">
        <f>(E264-MIN($E$2:$E$364)) / (MAX($E$2:$E$364)-MIN($E$2:$E$364))</f>
        <v/>
      </c>
    </row>
    <row r="633">
      <c r="A633" s="5" t="n">
        <v>264</v>
      </c>
      <c r="B633" s="6" t="inlineStr">
        <is>
          <t>OYO Life 92620 Syfa Kost</t>
        </is>
      </c>
      <c r="C633" s="6">
        <f>(C265-MIN($C$2:$C$364)) / (MAX($C$2:$C$364)-MIN($C$2:$C$364))</f>
        <v/>
      </c>
      <c r="D633" s="6">
        <f>(D265-MIN($D$2:$D$364)) / (MAX($D$2:$D$364)-MIN($D$2:$D$364))</f>
        <v/>
      </c>
      <c r="E633" s="14">
        <f>(E265-MIN($E$2:$E$364)) / (MAX($E$2:$E$364)-MIN($E$2:$E$364))</f>
        <v/>
      </c>
    </row>
    <row r="634">
      <c r="A634" s="5" t="n">
        <v>265</v>
      </c>
      <c r="B634" s="6" t="inlineStr">
        <is>
          <t>Karjo Homestay</t>
        </is>
      </c>
      <c r="C634" s="6">
        <f>(C266-MIN($C$2:$C$364)) / (MAX($C$2:$C$364)-MIN($C$2:$C$364))</f>
        <v/>
      </c>
      <c r="D634" s="6">
        <f>(D266-MIN($D$2:$D$364)) / (MAX($D$2:$D$364)-MIN($D$2:$D$364))</f>
        <v/>
      </c>
      <c r="E634" s="14">
        <f>(E266-MIN($E$2:$E$364)) / (MAX($E$2:$E$364)-MIN($E$2:$E$364))</f>
        <v/>
      </c>
    </row>
    <row r="635">
      <c r="A635" s="5" t="n">
        <v>266</v>
      </c>
      <c r="B635" s="6" t="inlineStr">
        <is>
          <t>OYO 3825 Lavender Sawojajar</t>
        </is>
      </c>
      <c r="C635" s="6">
        <f>(C267-MIN($C$2:$C$364)) / (MAX($C$2:$C$364)-MIN($C$2:$C$364))</f>
        <v/>
      </c>
      <c r="D635" s="6">
        <f>(D267-MIN($D$2:$D$364)) / (MAX($D$2:$D$364)-MIN($D$2:$D$364))</f>
        <v/>
      </c>
      <c r="E635" s="14">
        <f>(E267-MIN($E$2:$E$364)) / (MAX($E$2:$E$364)-MIN($E$2:$E$364))</f>
        <v/>
      </c>
    </row>
    <row r="636">
      <c r="A636" s="5" t="n">
        <v>267</v>
      </c>
      <c r="B636" s="6" t="inlineStr">
        <is>
          <t>Homestay Gayatri Sawojajar near Univ. Negeri Malang Kampus 2 Mitra RedDoorz</t>
        </is>
      </c>
      <c r="C636" s="6">
        <f>(C268-MIN($C$2:$C$364)) / (MAX($C$2:$C$364)-MIN($C$2:$C$364))</f>
        <v/>
      </c>
      <c r="D636" s="6">
        <f>(D268-MIN($D$2:$D$364)) / (MAX($D$2:$D$364)-MIN($D$2:$D$364))</f>
        <v/>
      </c>
      <c r="E636" s="14">
        <f>(E268-MIN($E$2:$E$364)) / (MAX($E$2:$E$364)-MIN($E$2:$E$364))</f>
        <v/>
      </c>
    </row>
    <row r="637">
      <c r="A637" s="5" t="n">
        <v>268</v>
      </c>
      <c r="B637" s="6" t="inlineStr">
        <is>
          <t>SM Guest House Malang Mitra RedDoorz</t>
        </is>
      </c>
      <c r="C637" s="6">
        <f>(C269-MIN($C$2:$C$364)) / (MAX($C$2:$C$364)-MIN($C$2:$C$364))</f>
        <v/>
      </c>
      <c r="D637" s="6">
        <f>(D269-MIN($D$2:$D$364)) / (MAX($D$2:$D$364)-MIN($D$2:$D$364))</f>
        <v/>
      </c>
      <c r="E637" s="14">
        <f>(E269-MIN($E$2:$E$364)) / (MAX($E$2:$E$364)-MIN($E$2:$E$364))</f>
        <v/>
      </c>
    </row>
    <row r="638">
      <c r="A638" s="5" t="n">
        <v>269</v>
      </c>
      <c r="B638" s="6" t="inlineStr">
        <is>
          <t>Safa Guest House</t>
        </is>
      </c>
      <c r="C638" s="6">
        <f>(C270-MIN($C$2:$C$364)) / (MAX($C$2:$C$364)-MIN($C$2:$C$364))</f>
        <v/>
      </c>
      <c r="D638" s="6">
        <f>(D270-MIN($D$2:$D$364)) / (MAX($D$2:$D$364)-MIN($D$2:$D$364))</f>
        <v/>
      </c>
      <c r="E638" s="14">
        <f>(E270-MIN($E$2:$E$364)) / (MAX($E$2:$E$364)-MIN($E$2:$E$364))</f>
        <v/>
      </c>
    </row>
    <row r="639">
      <c r="A639" s="5" t="n">
        <v>270</v>
      </c>
      <c r="B639" s="6" t="inlineStr">
        <is>
          <t>Urbanview Hotel Gangnam near Mall Olympic Garden</t>
        </is>
      </c>
      <c r="C639" s="6">
        <f>(C271-MIN($C$2:$C$364)) / (MAX($C$2:$C$364)-MIN($C$2:$C$364))</f>
        <v/>
      </c>
      <c r="D639" s="6">
        <f>(D271-MIN($D$2:$D$364)) / (MAX($D$2:$D$364)-MIN($D$2:$D$364))</f>
        <v/>
      </c>
      <c r="E639" s="14">
        <f>(E271-MIN($E$2:$E$364)) / (MAX($E$2:$E$364)-MIN($E$2:$E$364))</f>
        <v/>
      </c>
    </row>
    <row r="640">
      <c r="A640" s="5" t="n">
        <v>271</v>
      </c>
      <c r="B640" s="6" t="inlineStr">
        <is>
          <t>AMALIA Guest House &amp; Cafe</t>
        </is>
      </c>
      <c r="C640" s="6">
        <f>(C272-MIN($C$2:$C$364)) / (MAX($C$2:$C$364)-MIN($C$2:$C$364))</f>
        <v/>
      </c>
      <c r="D640" s="6">
        <f>(D272-MIN($D$2:$D$364)) / (MAX($D$2:$D$364)-MIN($D$2:$D$364))</f>
        <v/>
      </c>
      <c r="E640" s="14">
        <f>(E272-MIN($E$2:$E$364)) / (MAX($E$2:$E$364)-MIN($E$2:$E$364))</f>
        <v/>
      </c>
    </row>
    <row r="641">
      <c r="A641" s="5" t="n">
        <v>272</v>
      </c>
      <c r="B641" s="6" t="inlineStr">
        <is>
          <t>Sans Hotel Bobosini Malang</t>
        </is>
      </c>
      <c r="C641" s="6">
        <f>(C273-MIN($C$2:$C$364)) / (MAX($C$2:$C$364)-MIN($C$2:$C$364))</f>
        <v/>
      </c>
      <c r="D641" s="6">
        <f>(D273-MIN($D$2:$D$364)) / (MAX($D$2:$D$364)-MIN($D$2:$D$364))</f>
        <v/>
      </c>
      <c r="E641" s="14">
        <f>(E273-MIN($E$2:$E$364)) / (MAX($E$2:$E$364)-MIN($E$2:$E$364))</f>
        <v/>
      </c>
    </row>
    <row r="642">
      <c r="A642" s="5" t="n">
        <v>273</v>
      </c>
      <c r="B642" s="6" t="inlineStr">
        <is>
          <t>D'MAKTAB homestay &amp; cafe</t>
        </is>
      </c>
      <c r="C642" s="6">
        <f>(C274-MIN($C$2:$C$364)) / (MAX($C$2:$C$364)-MIN($C$2:$C$364))</f>
        <v/>
      </c>
      <c r="D642" s="6">
        <f>(D274-MIN($D$2:$D$364)) / (MAX($D$2:$D$364)-MIN($D$2:$D$364))</f>
        <v/>
      </c>
      <c r="E642" s="14">
        <f>(E274-MIN($E$2:$E$364)) / (MAX($E$2:$E$364)-MIN($E$2:$E$364))</f>
        <v/>
      </c>
    </row>
    <row r="643">
      <c r="A643" s="5" t="n">
        <v>274</v>
      </c>
      <c r="B643" s="6" t="inlineStr">
        <is>
          <t>Plum Dreamscape Inan Malang</t>
        </is>
      </c>
      <c r="C643" s="6">
        <f>(C275-MIN($C$2:$C$364)) / (MAX($C$2:$C$364)-MIN($C$2:$C$364))</f>
        <v/>
      </c>
      <c r="D643" s="6">
        <f>(D275-MIN($D$2:$D$364)) / (MAX($D$2:$D$364)-MIN($D$2:$D$364))</f>
        <v/>
      </c>
      <c r="E643" s="14">
        <f>(E275-MIN($E$2:$E$364)) / (MAX($E$2:$E$364)-MIN($E$2:$E$364))</f>
        <v/>
      </c>
    </row>
    <row r="644">
      <c r="A644" s="5" t="n">
        <v>275</v>
      </c>
      <c r="B644" s="6" t="inlineStr">
        <is>
          <t>Adisa Homestay</t>
        </is>
      </c>
      <c r="C644" s="6">
        <f>(C276-MIN($C$2:$C$364)) / (MAX($C$2:$C$364)-MIN($C$2:$C$364))</f>
        <v/>
      </c>
      <c r="D644" s="6">
        <f>(D276-MIN($D$2:$D$364)) / (MAX($D$2:$D$364)-MIN($D$2:$D$364))</f>
        <v/>
      </c>
      <c r="E644" s="14">
        <f>(E276-MIN($E$2:$E$364)) / (MAX($E$2:$E$364)-MIN($E$2:$E$364))</f>
        <v/>
      </c>
    </row>
    <row r="645">
      <c r="A645" s="5" t="n">
        <v>276</v>
      </c>
      <c r="B645" s="6" t="inlineStr">
        <is>
          <t>Shelter Hostel Malang</t>
        </is>
      </c>
      <c r="C645" s="6">
        <f>(C277-MIN($C$2:$C$364)) / (MAX($C$2:$C$364)-MIN($C$2:$C$364))</f>
        <v/>
      </c>
      <c r="D645" s="6">
        <f>(D277-MIN($D$2:$D$364)) / (MAX($D$2:$D$364)-MIN($D$2:$D$364))</f>
        <v/>
      </c>
      <c r="E645" s="14">
        <f>(E277-MIN($E$2:$E$364)) / (MAX($E$2:$E$364)-MIN($E$2:$E$364))</f>
        <v/>
      </c>
    </row>
    <row r="646">
      <c r="A646" s="5" t="n">
        <v>277</v>
      </c>
      <c r="B646" s="6" t="inlineStr">
        <is>
          <t>OYO 90379 Holistay Malang</t>
        </is>
      </c>
      <c r="C646" s="6">
        <f>(C278-MIN($C$2:$C$364)) / (MAX($C$2:$C$364)-MIN($C$2:$C$364))</f>
        <v/>
      </c>
      <c r="D646" s="6">
        <f>(D278-MIN($D$2:$D$364)) / (MAX($D$2:$D$364)-MIN($D$2:$D$364))</f>
        <v/>
      </c>
      <c r="E646" s="14">
        <f>(E278-MIN($E$2:$E$364)) / (MAX($E$2:$E$364)-MIN($E$2:$E$364))</f>
        <v/>
      </c>
    </row>
    <row r="647">
      <c r="A647" s="5" t="n">
        <v>278</v>
      </c>
      <c r="B647" s="6" t="inlineStr">
        <is>
          <t>RedDoorz @ Simple Stay Malang</t>
        </is>
      </c>
      <c r="C647" s="6">
        <f>(C279-MIN($C$2:$C$364)) / (MAX($C$2:$C$364)-MIN($C$2:$C$364))</f>
        <v/>
      </c>
      <c r="D647" s="6">
        <f>(D279-MIN($D$2:$D$364)) / (MAX($D$2:$D$364)-MIN($D$2:$D$364))</f>
        <v/>
      </c>
      <c r="E647" s="14">
        <f>(E279-MIN($E$2:$E$364)) / (MAX($E$2:$E$364)-MIN($E$2:$E$364))</f>
        <v/>
      </c>
    </row>
    <row r="648">
      <c r="A648" s="5" t="n">
        <v>279</v>
      </c>
      <c r="B648" s="6" t="inlineStr">
        <is>
          <t>Reddoorz @ Ciliwung Guest House Syariah</t>
        </is>
      </c>
      <c r="C648" s="6">
        <f>(C280-MIN($C$2:$C$364)) / (MAX($C$2:$C$364)-MIN($C$2:$C$364))</f>
        <v/>
      </c>
      <c r="D648" s="6">
        <f>(D280-MIN($D$2:$D$364)) / (MAX($D$2:$D$364)-MIN($D$2:$D$364))</f>
        <v/>
      </c>
      <c r="E648" s="14">
        <f>(E280-MIN($E$2:$E$364)) / (MAX($E$2:$E$364)-MIN($E$2:$E$364))</f>
        <v/>
      </c>
    </row>
    <row r="649">
      <c r="A649" s="5" t="n">
        <v>280</v>
      </c>
      <c r="B649" s="6" t="inlineStr">
        <is>
          <t>Yutaka Inn Suhat Raya Malang</t>
        </is>
      </c>
      <c r="C649" s="6">
        <f>(C281-MIN($C$2:$C$364)) / (MAX($C$2:$C$364)-MIN($C$2:$C$364))</f>
        <v/>
      </c>
      <c r="D649" s="6">
        <f>(D281-MIN($D$2:$D$364)) / (MAX($D$2:$D$364)-MIN($D$2:$D$364))</f>
        <v/>
      </c>
      <c r="E649" s="14">
        <f>(E281-MIN($E$2:$E$364)) / (MAX($E$2:$E$364)-MIN($E$2:$E$364))</f>
        <v/>
      </c>
    </row>
    <row r="650">
      <c r="A650" s="5" t="n">
        <v>281</v>
      </c>
      <c r="B650" s="6" t="inlineStr">
        <is>
          <t>D'Paragon Ijen Nirwana Malang</t>
        </is>
      </c>
      <c r="C650" s="6">
        <f>(C282-MIN($C$2:$C$364)) / (MAX($C$2:$C$364)-MIN($C$2:$C$364))</f>
        <v/>
      </c>
      <c r="D650" s="6">
        <f>(D282-MIN($D$2:$D$364)) / (MAX($D$2:$D$364)-MIN($D$2:$D$364))</f>
        <v/>
      </c>
      <c r="E650" s="14">
        <f>(E282-MIN($E$2:$E$364)) / (MAX($E$2:$E$364)-MIN($E$2:$E$364))</f>
        <v/>
      </c>
    </row>
    <row r="651">
      <c r="A651" s="5" t="n">
        <v>282</v>
      </c>
      <c r="B651" s="6" t="inlineStr">
        <is>
          <t>Shini Guest House</t>
        </is>
      </c>
      <c r="C651" s="6">
        <f>(C283-MIN($C$2:$C$364)) / (MAX($C$2:$C$364)-MIN($C$2:$C$364))</f>
        <v/>
      </c>
      <c r="D651" s="6">
        <f>(D283-MIN($D$2:$D$364)) / (MAX($D$2:$D$364)-MIN($D$2:$D$364))</f>
        <v/>
      </c>
      <c r="E651" s="14">
        <f>(E283-MIN($E$2:$E$364)) / (MAX($E$2:$E$364)-MIN($E$2:$E$364))</f>
        <v/>
      </c>
    </row>
    <row r="652">
      <c r="A652" s="5" t="n">
        <v>283</v>
      </c>
      <c r="B652" s="6" t="inlineStr">
        <is>
          <t>D'Paragon Songgolangit Malang</t>
        </is>
      </c>
      <c r="C652" s="6">
        <f>(C284-MIN($C$2:$C$364)) / (MAX($C$2:$C$364)-MIN($C$2:$C$364))</f>
        <v/>
      </c>
      <c r="D652" s="6">
        <f>(D284-MIN($D$2:$D$364)) / (MAX($D$2:$D$364)-MIN($D$2:$D$364))</f>
        <v/>
      </c>
      <c r="E652" s="14">
        <f>(E284-MIN($E$2:$E$364)) / (MAX($E$2:$E$364)-MIN($E$2:$E$364))</f>
        <v/>
      </c>
    </row>
    <row r="653">
      <c r="A653" s="5" t="n">
        <v>284</v>
      </c>
      <c r="B653" s="6" t="inlineStr">
        <is>
          <t>Griya Kendedes Guest House &amp; Kos</t>
        </is>
      </c>
      <c r="C653" s="6">
        <f>(C285-MIN($C$2:$C$364)) / (MAX($C$2:$C$364)-MIN($C$2:$C$364))</f>
        <v/>
      </c>
      <c r="D653" s="6">
        <f>(D285-MIN($D$2:$D$364)) / (MAX($D$2:$D$364)-MIN($D$2:$D$364))</f>
        <v/>
      </c>
      <c r="E653" s="14">
        <f>(E285-MIN($E$2:$E$364)) / (MAX($E$2:$E$364)-MIN($E$2:$E$364))</f>
        <v/>
      </c>
    </row>
    <row r="654">
      <c r="A654" s="5" t="n">
        <v>285</v>
      </c>
      <c r="B654" s="6" t="inlineStr">
        <is>
          <t>Fafana Syariah Mitra RedDoorz</t>
        </is>
      </c>
      <c r="C654" s="6">
        <f>(C286-MIN($C$2:$C$364)) / (MAX($C$2:$C$364)-MIN($C$2:$C$364))</f>
        <v/>
      </c>
      <c r="D654" s="6">
        <f>(D286-MIN($D$2:$D$364)) / (MAX($D$2:$D$364)-MIN($D$2:$D$364))</f>
        <v/>
      </c>
      <c r="E654" s="14">
        <f>(E286-MIN($E$2:$E$364)) / (MAX($E$2:$E$364)-MIN($E$2:$E$364))</f>
        <v/>
      </c>
    </row>
    <row r="655">
      <c r="A655" s="5" t="n">
        <v>286</v>
      </c>
      <c r="B655" s="6" t="inlineStr">
        <is>
          <t>RedDoorz @ Jalan Kedawung</t>
        </is>
      </c>
      <c r="C655" s="6">
        <f>(C287-MIN($C$2:$C$364)) / (MAX($C$2:$C$364)-MIN($C$2:$C$364))</f>
        <v/>
      </c>
      <c r="D655" s="6">
        <f>(D287-MIN($D$2:$D$364)) / (MAX($D$2:$D$364)-MIN($D$2:$D$364))</f>
        <v/>
      </c>
      <c r="E655" s="14">
        <f>(E287-MIN($E$2:$E$364)) / (MAX($E$2:$E$364)-MIN($E$2:$E$364))</f>
        <v/>
      </c>
    </row>
    <row r="656">
      <c r="A656" s="5" t="n">
        <v>287</v>
      </c>
      <c r="B656" s="6" t="inlineStr">
        <is>
          <t>Damar Boutique Hotel</t>
        </is>
      </c>
      <c r="C656" s="6">
        <f>(C288-MIN($C$2:$C$364)) / (MAX($C$2:$C$364)-MIN($C$2:$C$364))</f>
        <v/>
      </c>
      <c r="D656" s="6">
        <f>(D288-MIN($D$2:$D$364)) / (MAX($D$2:$D$364)-MIN($D$2:$D$364))</f>
        <v/>
      </c>
      <c r="E656" s="14">
        <f>(E288-MIN($E$2:$E$364)) / (MAX($E$2:$E$364)-MIN($E$2:$E$364))</f>
        <v/>
      </c>
    </row>
    <row r="657">
      <c r="A657" s="5" t="n">
        <v>288</v>
      </c>
      <c r="B657" s="6" t="inlineStr">
        <is>
          <t>Little Malang Hostel</t>
        </is>
      </c>
      <c r="C657" s="6">
        <f>(C289-MIN($C$2:$C$364)) / (MAX($C$2:$C$364)-MIN($C$2:$C$364))</f>
        <v/>
      </c>
      <c r="D657" s="6">
        <f>(D289-MIN($D$2:$D$364)) / (MAX($D$2:$D$364)-MIN($D$2:$D$364))</f>
        <v/>
      </c>
      <c r="E657" s="14">
        <f>(E289-MIN($E$2:$E$364)) / (MAX($E$2:$E$364)-MIN($E$2:$E$364))</f>
        <v/>
      </c>
    </row>
    <row r="658">
      <c r="A658" s="5" t="n">
        <v>289</v>
      </c>
      <c r="B658" s="6" t="inlineStr">
        <is>
          <t>Reddoorz Near Universitas Widyagama Malang</t>
        </is>
      </c>
      <c r="C658" s="6">
        <f>(C290-MIN($C$2:$C$364)) / (MAX($C$2:$C$364)-MIN($C$2:$C$364))</f>
        <v/>
      </c>
      <c r="D658" s="6">
        <f>(D290-MIN($D$2:$D$364)) / (MAX($D$2:$D$364)-MIN($D$2:$D$364))</f>
        <v/>
      </c>
      <c r="E658" s="14">
        <f>(E290-MIN($E$2:$E$364)) / (MAX($E$2:$E$364)-MIN($E$2:$E$364))</f>
        <v/>
      </c>
    </row>
    <row r="659">
      <c r="A659" s="5" t="n">
        <v>290</v>
      </c>
      <c r="B659" s="6" t="inlineStr">
        <is>
          <t>OYO Life 92621 Zain Kost</t>
        </is>
      </c>
      <c r="C659" s="6">
        <f>(C291-MIN($C$2:$C$364)) / (MAX($C$2:$C$364)-MIN($C$2:$C$364))</f>
        <v/>
      </c>
      <c r="D659" s="6">
        <f>(D291-MIN($D$2:$D$364)) / (MAX($D$2:$D$364)-MIN($D$2:$D$364))</f>
        <v/>
      </c>
      <c r="E659" s="14">
        <f>(E291-MIN($E$2:$E$364)) / (MAX($E$2:$E$364)-MIN($E$2:$E$364))</f>
        <v/>
      </c>
    </row>
    <row r="660">
      <c r="A660" s="5" t="n">
        <v>291</v>
      </c>
      <c r="B660" s="6" t="inlineStr">
        <is>
          <t>Hotel O 94706 Rumah Kalimosodo</t>
        </is>
      </c>
      <c r="C660" s="6">
        <f>(C292-MIN($C$2:$C$364)) / (MAX($C$2:$C$364)-MIN($C$2:$C$364))</f>
        <v/>
      </c>
      <c r="D660" s="6">
        <f>(D292-MIN($D$2:$D$364)) / (MAX($D$2:$D$364)-MIN($D$2:$D$364))</f>
        <v/>
      </c>
      <c r="E660" s="14">
        <f>(E292-MIN($E$2:$E$364)) / (MAX($E$2:$E$364)-MIN($E$2:$E$364))</f>
        <v/>
      </c>
    </row>
    <row r="661">
      <c r="A661" s="5" t="n">
        <v>292</v>
      </c>
      <c r="B661" s="6" t="inlineStr">
        <is>
          <t>RedDoorz near Universitas Widyagama Malang 2</t>
        </is>
      </c>
      <c r="C661" s="6">
        <f>(C293-MIN($C$2:$C$364)) / (MAX($C$2:$C$364)-MIN($C$2:$C$364))</f>
        <v/>
      </c>
      <c r="D661" s="6">
        <f>(D293-MIN($D$2:$D$364)) / (MAX($D$2:$D$364)-MIN($D$2:$D$364))</f>
        <v/>
      </c>
      <c r="E661" s="14">
        <f>(E293-MIN($E$2:$E$364)) / (MAX($E$2:$E$364)-MIN($E$2:$E$364))</f>
        <v/>
      </c>
    </row>
    <row r="662">
      <c r="A662" s="5" t="n">
        <v>293</v>
      </c>
      <c r="B662" s="6" t="inlineStr">
        <is>
          <t>Tree Homestay Mitra RedDoorz</t>
        </is>
      </c>
      <c r="C662" s="6">
        <f>(C294-MIN($C$2:$C$364)) / (MAX($C$2:$C$364)-MIN($C$2:$C$364))</f>
        <v/>
      </c>
      <c r="D662" s="6">
        <f>(D294-MIN($D$2:$D$364)) / (MAX($D$2:$D$364)-MIN($D$2:$D$364))</f>
        <v/>
      </c>
      <c r="E662" s="14">
        <f>(E294-MIN($E$2:$E$364)) / (MAX($E$2:$E$364)-MIN($E$2:$E$364))</f>
        <v/>
      </c>
    </row>
    <row r="663">
      <c r="A663" s="5" t="n">
        <v>294</v>
      </c>
      <c r="B663" s="6" t="inlineStr">
        <is>
          <t>Youkata Stay Hotel Malang</t>
        </is>
      </c>
      <c r="C663" s="6">
        <f>(C295-MIN($C$2:$C$364)) / (MAX($C$2:$C$364)-MIN($C$2:$C$364))</f>
        <v/>
      </c>
      <c r="D663" s="6">
        <f>(D295-MIN($D$2:$D$364)) / (MAX($D$2:$D$364)-MIN($D$2:$D$364))</f>
        <v/>
      </c>
      <c r="E663" s="14">
        <f>(E295-MIN($E$2:$E$364)) / (MAX($E$2:$E$364)-MIN($E$2:$E$364))</f>
        <v/>
      </c>
    </row>
    <row r="664">
      <c r="A664" s="5" t="n">
        <v>295</v>
      </c>
      <c r="B664" s="6" t="inlineStr">
        <is>
          <t>Bromo Breeze by Zzz</t>
        </is>
      </c>
      <c r="C664" s="6">
        <f>(C296-MIN($C$2:$C$364)) / (MAX($C$2:$C$364)-MIN($C$2:$C$364))</f>
        <v/>
      </c>
      <c r="D664" s="6">
        <f>(D296-MIN($D$2:$D$364)) / (MAX($D$2:$D$364)-MIN($D$2:$D$364))</f>
        <v/>
      </c>
      <c r="E664" s="14">
        <f>(E296-MIN($E$2:$E$364)) / (MAX($E$2:$E$364)-MIN($E$2:$E$364))</f>
        <v/>
      </c>
    </row>
    <row r="665">
      <c r="A665" s="5" t="n">
        <v>296</v>
      </c>
      <c r="B665" s="6" t="inlineStr">
        <is>
          <t>dinoyo homestay syariah</t>
        </is>
      </c>
      <c r="C665" s="6">
        <f>(C297-MIN($C$2:$C$364)) / (MAX($C$2:$C$364)-MIN($C$2:$C$364))</f>
        <v/>
      </c>
      <c r="D665" s="6">
        <f>(D297-MIN($D$2:$D$364)) / (MAX($D$2:$D$364)-MIN($D$2:$D$364))</f>
        <v/>
      </c>
      <c r="E665" s="14">
        <f>(E297-MIN($E$2:$E$364)) / (MAX($E$2:$E$364)-MIN($E$2:$E$364))</f>
        <v/>
      </c>
    </row>
    <row r="666">
      <c r="A666" s="5" t="n">
        <v>297</v>
      </c>
      <c r="B666" s="6" t="inlineStr">
        <is>
          <t>Griya Borobudur Malang RedPartner</t>
        </is>
      </c>
      <c r="C666" s="6">
        <f>(C298-MIN($C$2:$C$364)) / (MAX($C$2:$C$364)-MIN($C$2:$C$364))</f>
        <v/>
      </c>
      <c r="D666" s="6">
        <f>(D298-MIN($D$2:$D$364)) / (MAX($D$2:$D$364)-MIN($D$2:$D$364))</f>
        <v/>
      </c>
      <c r="E666" s="14">
        <f>(E298-MIN($E$2:$E$364)) / (MAX($E$2:$E$364)-MIN($E$2:$E$364))</f>
        <v/>
      </c>
    </row>
    <row r="667">
      <c r="A667" s="5" t="n">
        <v>298</v>
      </c>
      <c r="B667" s="6" t="inlineStr">
        <is>
          <t>Dpavilion Guest House &amp; Resto</t>
        </is>
      </c>
      <c r="C667" s="6">
        <f>(C299-MIN($C$2:$C$364)) / (MAX($C$2:$C$364)-MIN($C$2:$C$364))</f>
        <v/>
      </c>
      <c r="D667" s="6">
        <f>(D299-MIN($D$2:$D$364)) / (MAX($D$2:$D$364)-MIN($D$2:$D$364))</f>
        <v/>
      </c>
      <c r="E667" s="14">
        <f>(E299-MIN($E$2:$E$364)) / (MAX($E$2:$E$364)-MIN($E$2:$E$364))</f>
        <v/>
      </c>
    </row>
    <row r="668">
      <c r="A668" s="5" t="n">
        <v>299</v>
      </c>
      <c r="B668" s="6" t="inlineStr">
        <is>
          <t>Sentral homestay</t>
        </is>
      </c>
      <c r="C668" s="6">
        <f>(C300-MIN($C$2:$C$364)) / (MAX($C$2:$C$364)-MIN($C$2:$C$364))</f>
        <v/>
      </c>
      <c r="D668" s="6">
        <f>(D300-MIN($D$2:$D$364)) / (MAX($D$2:$D$364)-MIN($D$2:$D$364))</f>
        <v/>
      </c>
      <c r="E668" s="14">
        <f>(E300-MIN($E$2:$E$364)) / (MAX($E$2:$E$364)-MIN($E$2:$E$364))</f>
        <v/>
      </c>
    </row>
    <row r="669">
      <c r="A669" s="5" t="n">
        <v>300</v>
      </c>
      <c r="B669" s="6" t="inlineStr">
        <is>
          <t>D'Paragon Bukit Dieng Malang</t>
        </is>
      </c>
      <c r="C669" s="6">
        <f>(C301-MIN($C$2:$C$364)) / (MAX($C$2:$C$364)-MIN($C$2:$C$364))</f>
        <v/>
      </c>
      <c r="D669" s="6">
        <f>(D301-MIN($D$2:$D$364)) / (MAX($D$2:$D$364)-MIN($D$2:$D$364))</f>
        <v/>
      </c>
      <c r="E669" s="14">
        <f>(E301-MIN($E$2:$E$364)) / (MAX($E$2:$E$364)-MIN($E$2:$E$364))</f>
        <v/>
      </c>
    </row>
    <row r="670">
      <c r="A670" s="5" t="n">
        <v>301</v>
      </c>
      <c r="B670" s="6" t="inlineStr">
        <is>
          <t>Dei Kost</t>
        </is>
      </c>
      <c r="C670" s="6">
        <f>(C302-MIN($C$2:$C$364)) / (MAX($C$2:$C$364)-MIN($C$2:$C$364))</f>
        <v/>
      </c>
      <c r="D670" s="6">
        <f>(D302-MIN($D$2:$D$364)) / (MAX($D$2:$D$364)-MIN($D$2:$D$364))</f>
        <v/>
      </c>
      <c r="E670" s="14">
        <f>(E302-MIN($E$2:$E$364)) / (MAX($E$2:$E$364)-MIN($E$2:$E$364))</f>
        <v/>
      </c>
    </row>
    <row r="671">
      <c r="A671" s="5" t="n">
        <v>302</v>
      </c>
      <c r="B671" s="6" t="inlineStr">
        <is>
          <t>RedDoorz Syariah near Gor Ken Arok</t>
        </is>
      </c>
      <c r="C671" s="6">
        <f>(C303-MIN($C$2:$C$364)) / (MAX($C$2:$C$364)-MIN($C$2:$C$364))</f>
        <v/>
      </c>
      <c r="D671" s="6">
        <f>(D303-MIN($D$2:$D$364)) / (MAX($D$2:$D$364)-MIN($D$2:$D$364))</f>
        <v/>
      </c>
      <c r="E671" s="14">
        <f>(E303-MIN($E$2:$E$364)) / (MAX($E$2:$E$364)-MIN($E$2:$E$364))</f>
        <v/>
      </c>
    </row>
    <row r="672">
      <c r="A672" s="5" t="n">
        <v>303</v>
      </c>
      <c r="B672" s="6" t="inlineStr">
        <is>
          <t>Tini’s Guest House</t>
        </is>
      </c>
      <c r="C672" s="6">
        <f>(C304-MIN($C$2:$C$364)) / (MAX($C$2:$C$364)-MIN($C$2:$C$364))</f>
        <v/>
      </c>
      <c r="D672" s="6">
        <f>(D304-MIN($D$2:$D$364)) / (MAX($D$2:$D$364)-MIN($D$2:$D$364))</f>
        <v/>
      </c>
      <c r="E672" s="14">
        <f>(E304-MIN($E$2:$E$364)) / (MAX($E$2:$E$364)-MIN($E$2:$E$364))</f>
        <v/>
      </c>
    </row>
    <row r="673">
      <c r="A673" s="5" t="n">
        <v>304</v>
      </c>
      <c r="B673" s="6" t="inlineStr">
        <is>
          <t>CUBIC ONE CAPSULE</t>
        </is>
      </c>
      <c r="C673" s="6">
        <f>(C305-MIN($C$2:$C$364)) / (MAX($C$2:$C$364)-MIN($C$2:$C$364))</f>
        <v/>
      </c>
      <c r="D673" s="6">
        <f>(D305-MIN($D$2:$D$364)) / (MAX($D$2:$D$364)-MIN($D$2:$D$364))</f>
        <v/>
      </c>
      <c r="E673" s="14">
        <f>(E305-MIN($E$2:$E$364)) / (MAX($E$2:$E$364)-MIN($E$2:$E$364))</f>
        <v/>
      </c>
    </row>
    <row r="674">
      <c r="A674" s="5" t="n">
        <v>305</v>
      </c>
      <c r="B674" s="6" t="inlineStr">
        <is>
          <t>Grand Mercure Malang Mirama</t>
        </is>
      </c>
      <c r="C674" s="6">
        <f>(C306-MIN($C$2:$C$364)) / (MAX($C$2:$C$364)-MIN($C$2:$C$364))</f>
        <v/>
      </c>
      <c r="D674" s="6">
        <f>(D306-MIN($D$2:$D$364)) / (MAX($D$2:$D$364)-MIN($D$2:$D$364))</f>
        <v/>
      </c>
      <c r="E674" s="14">
        <f>(E306-MIN($E$2:$E$364)) / (MAX($E$2:$E$364)-MIN($E$2:$E$364))</f>
        <v/>
      </c>
    </row>
    <row r="675">
      <c r="A675" s="5" t="n">
        <v>306</v>
      </c>
      <c r="B675" s="6" t="inlineStr">
        <is>
          <t>The Singhasari Resort</t>
        </is>
      </c>
      <c r="C675" s="6">
        <f>(C307-MIN($C$2:$C$364)) / (MAX($C$2:$C$364)-MIN($C$2:$C$364))</f>
        <v/>
      </c>
      <c r="D675" s="6">
        <f>(D307-MIN($D$2:$D$364)) / (MAX($D$2:$D$364)-MIN($D$2:$D$364))</f>
        <v/>
      </c>
      <c r="E675" s="14">
        <f>(E307-MIN($E$2:$E$364)) / (MAX($E$2:$E$364)-MIN($E$2:$E$364))</f>
        <v/>
      </c>
    </row>
    <row r="676">
      <c r="A676" s="5" t="n">
        <v>307</v>
      </c>
      <c r="B676" s="6" t="inlineStr">
        <is>
          <t>Hotel Tugu Malang</t>
        </is>
      </c>
      <c r="C676" s="6">
        <f>(C308-MIN($C$2:$C$364)) / (MAX($C$2:$C$364)-MIN($C$2:$C$364))</f>
        <v/>
      </c>
      <c r="D676" s="6">
        <f>(D308-MIN($D$2:$D$364)) / (MAX($D$2:$D$364)-MIN($D$2:$D$364))</f>
        <v/>
      </c>
      <c r="E676" s="14">
        <f>(E308-MIN($E$2:$E$364)) / (MAX($E$2:$E$364)-MIN($E$2:$E$364))</f>
        <v/>
      </c>
    </row>
    <row r="677">
      <c r="A677" s="5" t="n">
        <v>308</v>
      </c>
      <c r="B677" s="6" t="inlineStr">
        <is>
          <t>The Shalimar Boutique Hotel Malang</t>
        </is>
      </c>
      <c r="C677" s="6">
        <f>(C309-MIN($C$2:$C$364)) / (MAX($C$2:$C$364)-MIN($C$2:$C$364))</f>
        <v/>
      </c>
      <c r="D677" s="6">
        <f>(D309-MIN($D$2:$D$364)) / (MAX($D$2:$D$364)-MIN($D$2:$D$364))</f>
        <v/>
      </c>
      <c r="E677" s="14">
        <f>(E309-MIN($E$2:$E$364)) / (MAX($E$2:$E$364)-MIN($E$2:$E$364))</f>
        <v/>
      </c>
    </row>
    <row r="678">
      <c r="A678" s="5" t="n">
        <v>309</v>
      </c>
      <c r="B678" s="6" t="inlineStr">
        <is>
          <t>The Alana Hotel Malang</t>
        </is>
      </c>
      <c r="C678" s="6">
        <f>(C310-MIN($C$2:$C$364)) / (MAX($C$2:$C$364)-MIN($C$2:$C$364))</f>
        <v/>
      </c>
      <c r="D678" s="6">
        <f>(D310-MIN($D$2:$D$364)) / (MAX($D$2:$D$364)-MIN($D$2:$D$364))</f>
        <v/>
      </c>
      <c r="E678" s="14">
        <f>(E310-MIN($E$2:$E$364)) / (MAX($E$2:$E$364)-MIN($E$2:$E$364))</f>
        <v/>
      </c>
    </row>
    <row r="679">
      <c r="A679" s="5" t="n">
        <v>310</v>
      </c>
      <c r="B679" s="6" t="inlineStr">
        <is>
          <t>HARRIS Hotel and Conventions Malang</t>
        </is>
      </c>
      <c r="C679" s="6">
        <f>(C311-MIN($C$2:$C$364)) / (MAX($C$2:$C$364)-MIN($C$2:$C$364))</f>
        <v/>
      </c>
      <c r="D679" s="6">
        <f>(D311-MIN($D$2:$D$364)) / (MAX($D$2:$D$364)-MIN($D$2:$D$364))</f>
        <v/>
      </c>
      <c r="E679" s="14">
        <f>(E311-MIN($E$2:$E$364)) / (MAX($E$2:$E$364)-MIN($E$2:$E$364))</f>
        <v/>
      </c>
    </row>
    <row r="680">
      <c r="A680" s="5" t="n">
        <v>311</v>
      </c>
      <c r="B680" s="6" t="inlineStr">
        <is>
          <t>Savana Hotel &amp; Convention</t>
        </is>
      </c>
      <c r="C680" s="6">
        <f>(C312-MIN($C$2:$C$364)) / (MAX($C$2:$C$364)-MIN($C$2:$C$364))</f>
        <v/>
      </c>
      <c r="D680" s="6">
        <f>(D312-MIN($D$2:$D$364)) / (MAX($D$2:$D$364)-MIN($D$2:$D$364))</f>
        <v/>
      </c>
      <c r="E680" s="14">
        <f>(E312-MIN($E$2:$E$364)) / (MAX($E$2:$E$364)-MIN($E$2:$E$364))</f>
        <v/>
      </c>
    </row>
    <row r="681">
      <c r="A681" s="5" t="n">
        <v>312</v>
      </c>
      <c r="B681" s="6" t="inlineStr">
        <is>
          <t>Atria Hotel Malang</t>
        </is>
      </c>
      <c r="C681" s="6">
        <f>(C313-MIN($C$2:$C$364)) / (MAX($C$2:$C$364)-MIN($C$2:$C$364))</f>
        <v/>
      </c>
      <c r="D681" s="6">
        <f>(D313-MIN($D$2:$D$364)) / (MAX($D$2:$D$364)-MIN($D$2:$D$364))</f>
        <v/>
      </c>
      <c r="E681" s="14">
        <f>(E313-MIN($E$2:$E$364)) / (MAX($E$2:$E$364)-MIN($E$2:$E$364))</f>
        <v/>
      </c>
    </row>
    <row r="682">
      <c r="A682" s="5" t="n">
        <v>313</v>
      </c>
      <c r="B682" s="6" t="inlineStr">
        <is>
          <t>Aria Gajayana Hotel</t>
        </is>
      </c>
      <c r="C682" s="6">
        <f>(C314-MIN($C$2:$C$364)) / (MAX($C$2:$C$364)-MIN($C$2:$C$364))</f>
        <v/>
      </c>
      <c r="D682" s="6">
        <f>(D314-MIN($D$2:$D$364)) / (MAX($D$2:$D$364)-MIN($D$2:$D$364))</f>
        <v/>
      </c>
      <c r="E682" s="14">
        <f>(E314-MIN($E$2:$E$364)) / (MAX($E$2:$E$364)-MIN($E$2:$E$364))</f>
        <v/>
      </c>
    </row>
    <row r="683">
      <c r="A683" s="5" t="n">
        <v>314</v>
      </c>
      <c r="B683" s="6" t="inlineStr">
        <is>
          <t>Ascent Premiere Hotel and Convention</t>
        </is>
      </c>
      <c r="C683" s="6">
        <f>(C315-MIN($C$2:$C$364)) / (MAX($C$2:$C$364)-MIN($C$2:$C$364))</f>
        <v/>
      </c>
      <c r="D683" s="6">
        <f>(D315-MIN($D$2:$D$364)) / (MAX($D$2:$D$364)-MIN($D$2:$D$364))</f>
        <v/>
      </c>
      <c r="E683" s="14">
        <f>(E315-MIN($E$2:$E$364)) / (MAX($E$2:$E$364)-MIN($E$2:$E$364))</f>
        <v/>
      </c>
    </row>
    <row r="684">
      <c r="A684" s="5" t="n">
        <v>315</v>
      </c>
      <c r="B684" s="6" t="inlineStr">
        <is>
          <t>Hotel Grand Cakra</t>
        </is>
      </c>
      <c r="C684" s="6">
        <f>(C316-MIN($C$2:$C$364)) / (MAX($C$2:$C$364)-MIN($C$2:$C$364))</f>
        <v/>
      </c>
      <c r="D684" s="6">
        <f>(D316-MIN($D$2:$D$364)) / (MAX($D$2:$D$364)-MIN($D$2:$D$364))</f>
        <v/>
      </c>
      <c r="E684" s="14">
        <f>(E316-MIN($E$2:$E$364)) / (MAX($E$2:$E$364)-MIN($E$2:$E$364))</f>
        <v/>
      </c>
    </row>
    <row r="685">
      <c r="A685" s="5" t="n">
        <v>316</v>
      </c>
      <c r="B685" s="6" t="inlineStr">
        <is>
          <t>Rayz UMM Hotel Malang</t>
        </is>
      </c>
      <c r="C685" s="6">
        <f>(C317-MIN($C$2:$C$364)) / (MAX($C$2:$C$364)-MIN($C$2:$C$364))</f>
        <v/>
      </c>
      <c r="D685" s="6">
        <f>(D317-MIN($D$2:$D$364)) / (MAX($D$2:$D$364)-MIN($D$2:$D$364))</f>
        <v/>
      </c>
      <c r="E685" s="14">
        <f>(E317-MIN($E$2:$E$364)) / (MAX($E$2:$E$364)-MIN($E$2:$E$364))</f>
        <v/>
      </c>
    </row>
    <row r="686">
      <c r="A686" s="5" t="n">
        <v>317</v>
      </c>
      <c r="B686" s="6" t="inlineStr">
        <is>
          <t>Hotel Pelangi Malang, Kayutangan Heritage</t>
        </is>
      </c>
      <c r="C686" s="6">
        <f>(C318-MIN($C$2:$C$364)) / (MAX($C$2:$C$364)-MIN($C$2:$C$364))</f>
        <v/>
      </c>
      <c r="D686" s="6">
        <f>(D318-MIN($D$2:$D$364)) / (MAX($D$2:$D$364)-MIN($D$2:$D$364))</f>
        <v/>
      </c>
      <c r="E686" s="14">
        <f>(E318-MIN($E$2:$E$364)) / (MAX($E$2:$E$364)-MIN($E$2:$E$364))</f>
        <v/>
      </c>
    </row>
    <row r="687">
      <c r="A687" s="5" t="n">
        <v>318</v>
      </c>
      <c r="B687" s="6" t="inlineStr">
        <is>
          <t>THE 1O1 Malang OJ</t>
        </is>
      </c>
      <c r="C687" s="6">
        <f>(C319-MIN($C$2:$C$364)) / (MAX($C$2:$C$364)-MIN($C$2:$C$364))</f>
        <v/>
      </c>
      <c r="D687" s="6">
        <f>(D319-MIN($D$2:$D$364)) / (MAX($D$2:$D$364)-MIN($D$2:$D$364))</f>
        <v/>
      </c>
      <c r="E687" s="14">
        <f>(E319-MIN($E$2:$E$364)) / (MAX($E$2:$E$364)-MIN($E$2:$E$364))</f>
        <v/>
      </c>
    </row>
    <row r="688">
      <c r="A688" s="5" t="n">
        <v>319</v>
      </c>
      <c r="B688" s="6" t="inlineStr">
        <is>
          <t>Hotel Tychi</t>
        </is>
      </c>
      <c r="C688" s="6">
        <f>(C320-MIN($C$2:$C$364)) / (MAX($C$2:$C$364)-MIN($C$2:$C$364))</f>
        <v/>
      </c>
      <c r="D688" s="6">
        <f>(D320-MIN($D$2:$D$364)) / (MAX($D$2:$D$364)-MIN($D$2:$D$364))</f>
        <v/>
      </c>
      <c r="E688" s="14">
        <f>(E320-MIN($E$2:$E$364)) / (MAX($E$2:$E$364)-MIN($E$2:$E$364))</f>
        <v/>
      </c>
    </row>
    <row r="689">
      <c r="A689" s="5" t="n">
        <v>320</v>
      </c>
      <c r="B689" s="6" t="inlineStr">
        <is>
          <t>Hotel Santika Premiere Malang</t>
        </is>
      </c>
      <c r="C689" s="6">
        <f>(C321-MIN($C$2:$C$364)) / (MAX($C$2:$C$364)-MIN($C$2:$C$364))</f>
        <v/>
      </c>
      <c r="D689" s="6">
        <f>(D321-MIN($D$2:$D$364)) / (MAX($D$2:$D$364)-MIN($D$2:$D$364))</f>
        <v/>
      </c>
      <c r="E689" s="14">
        <f>(E321-MIN($E$2:$E$364)) / (MAX($E$2:$E$364)-MIN($E$2:$E$364))</f>
        <v/>
      </c>
    </row>
    <row r="690">
      <c r="A690" s="5" t="n">
        <v>321</v>
      </c>
      <c r="B690" s="6" t="inlineStr">
        <is>
          <t>Hotel Radho Syariah malang</t>
        </is>
      </c>
      <c r="C690" s="6">
        <f>(C322-MIN($C$2:$C$364)) / (MAX($C$2:$C$364)-MIN($C$2:$C$364))</f>
        <v/>
      </c>
      <c r="D690" s="6">
        <f>(D322-MIN($D$2:$D$364)) / (MAX($D$2:$D$364)-MIN($D$2:$D$364))</f>
        <v/>
      </c>
      <c r="E690" s="14">
        <f>(E322-MIN($E$2:$E$364)) / (MAX($E$2:$E$364)-MIN($E$2:$E$364))</f>
        <v/>
      </c>
    </row>
    <row r="691">
      <c r="A691" s="5" t="n">
        <v>322</v>
      </c>
      <c r="B691" s="6" t="inlineStr">
        <is>
          <t>Djoglo Luxury Bungalow</t>
        </is>
      </c>
      <c r="C691" s="6">
        <f>(C323-MIN($C$2:$C$364)) / (MAX($C$2:$C$364)-MIN($C$2:$C$364))</f>
        <v/>
      </c>
      <c r="D691" s="6">
        <f>(D323-MIN($D$2:$D$364)) / (MAX($D$2:$D$364)-MIN($D$2:$D$364))</f>
        <v/>
      </c>
      <c r="E691" s="14">
        <f>(E323-MIN($E$2:$E$364)) / (MAX($E$2:$E$364)-MIN($E$2:$E$364))</f>
        <v/>
      </c>
    </row>
    <row r="692">
      <c r="A692" s="5" t="n">
        <v>323</v>
      </c>
      <c r="B692" s="6" t="inlineStr">
        <is>
          <t>The Aliante Hotel &amp; Convention Center</t>
        </is>
      </c>
      <c r="C692" s="6">
        <f>(C324-MIN($C$2:$C$364)) / (MAX($C$2:$C$364)-MIN($C$2:$C$364))</f>
        <v/>
      </c>
      <c r="D692" s="6">
        <f>(D324-MIN($D$2:$D$364)) / (MAX($D$2:$D$364)-MIN($D$2:$D$364))</f>
        <v/>
      </c>
      <c r="E692" s="14">
        <f>(E324-MIN($E$2:$E$364)) / (MAX($E$2:$E$364)-MIN($E$2:$E$364))</f>
        <v/>
      </c>
    </row>
    <row r="693">
      <c r="A693" s="5" t="n">
        <v>324</v>
      </c>
      <c r="B693" s="6" t="inlineStr">
        <is>
          <t>Ijen Suites Resort &amp; Convention Malang</t>
        </is>
      </c>
      <c r="C693" s="6">
        <f>(C325-MIN($C$2:$C$364)) / (MAX($C$2:$C$364)-MIN($C$2:$C$364))</f>
        <v/>
      </c>
      <c r="D693" s="6">
        <f>(D325-MIN($D$2:$D$364)) / (MAX($D$2:$D$364)-MIN($D$2:$D$364))</f>
        <v/>
      </c>
      <c r="E693" s="14">
        <f>(E325-MIN($E$2:$E$364)) / (MAX($E$2:$E$364)-MIN($E$2:$E$364))</f>
        <v/>
      </c>
    </row>
    <row r="694">
      <c r="A694" s="5" t="n">
        <v>325</v>
      </c>
      <c r="B694" s="6" t="inlineStr">
        <is>
          <t>RedDoorz near Balai Kota Malang</t>
        </is>
      </c>
      <c r="C694" s="6">
        <f>(C326-MIN($C$2:$C$364)) / (MAX($C$2:$C$364)-MIN($C$2:$C$364))</f>
        <v/>
      </c>
      <c r="D694" s="6">
        <f>(D326-MIN($D$2:$D$364)) / (MAX($D$2:$D$364)-MIN($D$2:$D$364))</f>
        <v/>
      </c>
      <c r="E694" s="14">
        <f>(E326-MIN($E$2:$E$364)) / (MAX($E$2:$E$364)-MIN($E$2:$E$364))</f>
        <v/>
      </c>
    </row>
    <row r="695">
      <c r="A695" s="5" t="n">
        <v>326</v>
      </c>
      <c r="B695" s="6" t="inlineStr">
        <is>
          <t>RedDoorz Syariah near Universitas Negeri Malang</t>
        </is>
      </c>
      <c r="C695" s="6">
        <f>(C327-MIN($C$2:$C$364)) / (MAX($C$2:$C$364)-MIN($C$2:$C$364))</f>
        <v/>
      </c>
      <c r="D695" s="6">
        <f>(D327-MIN($D$2:$D$364)) / (MAX($D$2:$D$364)-MIN($D$2:$D$364))</f>
        <v/>
      </c>
      <c r="E695" s="14">
        <f>(E327-MIN($E$2:$E$364)) / (MAX($E$2:$E$364)-MIN($E$2:$E$364))</f>
        <v/>
      </c>
    </row>
    <row r="696">
      <c r="A696" s="5" t="n">
        <v>327</v>
      </c>
      <c r="B696" s="6" t="inlineStr">
        <is>
          <t>RedDoorz Premium @ Jalan Cengkeh Malang</t>
        </is>
      </c>
      <c r="C696" s="6">
        <f>(C328-MIN($C$2:$C$364)) / (MAX($C$2:$C$364)-MIN($C$2:$C$364))</f>
        <v/>
      </c>
      <c r="D696" s="6">
        <f>(D328-MIN($D$2:$D$364)) / (MAX($D$2:$D$364)-MIN($D$2:$D$364))</f>
        <v/>
      </c>
      <c r="E696" s="14">
        <f>(E328-MIN($E$2:$E$364)) / (MAX($E$2:$E$364)-MIN($E$2:$E$364))</f>
        <v/>
      </c>
    </row>
    <row r="697">
      <c r="A697" s="5" t="n">
        <v>328</v>
      </c>
      <c r="B697" s="6" t="inlineStr">
        <is>
          <t>RedDoorz Plus near Malang Town Square</t>
        </is>
      </c>
      <c r="C697" s="6">
        <f>(C329-MIN($C$2:$C$364)) / (MAX($C$2:$C$364)-MIN($C$2:$C$364))</f>
        <v/>
      </c>
      <c r="D697" s="6">
        <f>(D329-MIN($D$2:$D$364)) / (MAX($D$2:$D$364)-MIN($D$2:$D$364))</f>
        <v/>
      </c>
      <c r="E697" s="14">
        <f>(E329-MIN($E$2:$E$364)) / (MAX($E$2:$E$364)-MIN($E$2:$E$364))</f>
        <v/>
      </c>
    </row>
    <row r="698">
      <c r="A698" s="5" t="n">
        <v>329</v>
      </c>
      <c r="B698" s="6" t="inlineStr">
        <is>
          <t>RedDoorz @ Daffi Araya</t>
        </is>
      </c>
      <c r="C698" s="6">
        <f>(C330-MIN($C$2:$C$364)) / (MAX($C$2:$C$364)-MIN($C$2:$C$364))</f>
        <v/>
      </c>
      <c r="D698" s="6">
        <f>(D330-MIN($D$2:$D$364)) / (MAX($D$2:$D$364)-MIN($D$2:$D$364))</f>
        <v/>
      </c>
      <c r="E698" s="14">
        <f>(E330-MIN($E$2:$E$364)) / (MAX($E$2:$E$364)-MIN($E$2:$E$364))</f>
        <v/>
      </c>
    </row>
    <row r="699">
      <c r="A699" s="5" t="n">
        <v>330</v>
      </c>
      <c r="B699" s="6" t="inlineStr">
        <is>
          <t>RedDoorz near Araya Family Club House</t>
        </is>
      </c>
      <c r="C699" s="6">
        <f>(C331-MIN($C$2:$C$364)) / (MAX($C$2:$C$364)-MIN($C$2:$C$364))</f>
        <v/>
      </c>
      <c r="D699" s="6">
        <f>(D331-MIN($D$2:$D$364)) / (MAX($D$2:$D$364)-MIN($D$2:$D$364))</f>
        <v/>
      </c>
      <c r="E699" s="14">
        <f>(E331-MIN($E$2:$E$364)) / (MAX($E$2:$E$364)-MIN($E$2:$E$364))</f>
        <v/>
      </c>
    </row>
    <row r="700">
      <c r="A700" s="5" t="n">
        <v>331</v>
      </c>
      <c r="B700" s="6" t="inlineStr">
        <is>
          <t>RedDoorz Plus @ Swun Stay Raya Langsep</t>
        </is>
      </c>
      <c r="C700" s="6">
        <f>(C332-MIN($C$2:$C$364)) / (MAX($C$2:$C$364)-MIN($C$2:$C$364))</f>
        <v/>
      </c>
      <c r="D700" s="6">
        <f>(D332-MIN($D$2:$D$364)) / (MAX($D$2:$D$364)-MIN($D$2:$D$364))</f>
        <v/>
      </c>
      <c r="E700" s="14">
        <f>(E332-MIN($E$2:$E$364)) / (MAX($E$2:$E$364)-MIN($E$2:$E$364))</f>
        <v/>
      </c>
    </row>
    <row r="701">
      <c r="A701" s="5" t="n">
        <v>332</v>
      </c>
      <c r="B701" s="6" t="inlineStr">
        <is>
          <t>RedDoorz @ Jalan Danau Limboto</t>
        </is>
      </c>
      <c r="C701" s="6">
        <f>(C333-MIN($C$2:$C$364)) / (MAX($C$2:$C$364)-MIN($C$2:$C$364))</f>
        <v/>
      </c>
      <c r="D701" s="6">
        <f>(D333-MIN($D$2:$D$364)) / (MAX($D$2:$D$364)-MIN($D$2:$D$364))</f>
        <v/>
      </c>
      <c r="E701" s="14">
        <f>(E333-MIN($E$2:$E$364)) / (MAX($E$2:$E$364)-MIN($E$2:$E$364))</f>
        <v/>
      </c>
    </row>
    <row r="702">
      <c r="A702" s="5" t="n">
        <v>333</v>
      </c>
      <c r="B702" s="6" t="inlineStr">
        <is>
          <t>RedDoorz @ Soekarno Hatta Indah</t>
        </is>
      </c>
      <c r="C702" s="6">
        <f>(C334-MIN($C$2:$C$364)) / (MAX($C$2:$C$364)-MIN($C$2:$C$364))</f>
        <v/>
      </c>
      <c r="D702" s="6">
        <f>(D334-MIN($D$2:$D$364)) / (MAX($D$2:$D$364)-MIN($D$2:$D$364))</f>
        <v/>
      </c>
      <c r="E702" s="14">
        <f>(E334-MIN($E$2:$E$364)) / (MAX($E$2:$E$364)-MIN($E$2:$E$364))</f>
        <v/>
      </c>
    </row>
    <row r="703">
      <c r="A703" s="5" t="n">
        <v>334</v>
      </c>
      <c r="B703" s="6" t="inlineStr">
        <is>
          <t>RedDoorz Plus near Brawijaya Museum</t>
        </is>
      </c>
      <c r="C703" s="6">
        <f>(C335-MIN($C$2:$C$364)) / (MAX($C$2:$C$364)-MIN($C$2:$C$364))</f>
        <v/>
      </c>
      <c r="D703" s="6">
        <f>(D335-MIN($D$2:$D$364)) / (MAX($D$2:$D$364)-MIN($D$2:$D$364))</f>
        <v/>
      </c>
      <c r="E703" s="14">
        <f>(E335-MIN($E$2:$E$364)) / (MAX($E$2:$E$364)-MIN($E$2:$E$364))</f>
        <v/>
      </c>
    </row>
    <row r="704">
      <c r="A704" s="5" t="n">
        <v>335</v>
      </c>
      <c r="B704" s="6" t="inlineStr">
        <is>
          <t>RedDoorz Hostel @ Malang City Center 2</t>
        </is>
      </c>
      <c r="C704" s="6">
        <f>(C336-MIN($C$2:$C$364)) / (MAX($C$2:$C$364)-MIN($C$2:$C$364))</f>
        <v/>
      </c>
      <c r="D704" s="6">
        <f>(D336-MIN($D$2:$D$364)) / (MAX($D$2:$D$364)-MIN($D$2:$D$364))</f>
        <v/>
      </c>
      <c r="E704" s="14">
        <f>(E336-MIN($E$2:$E$364)) / (MAX($E$2:$E$364)-MIN($E$2:$E$364))</f>
        <v/>
      </c>
    </row>
    <row r="705">
      <c r="A705" s="5" t="n">
        <v>336</v>
      </c>
      <c r="B705" s="6" t="inlineStr">
        <is>
          <t>RedDoorz @ Lowokwaru</t>
        </is>
      </c>
      <c r="C705" s="6">
        <f>(C337-MIN($C$2:$C$364)) / (MAX($C$2:$C$364)-MIN($C$2:$C$364))</f>
        <v/>
      </c>
      <c r="D705" s="6">
        <f>(D337-MIN($D$2:$D$364)) / (MAX($D$2:$D$364)-MIN($D$2:$D$364))</f>
        <v/>
      </c>
      <c r="E705" s="14">
        <f>(E337-MIN($E$2:$E$364)) / (MAX($E$2:$E$364)-MIN($E$2:$E$364))</f>
        <v/>
      </c>
    </row>
    <row r="706">
      <c r="A706" s="5" t="n">
        <v>337</v>
      </c>
      <c r="B706" s="6" t="inlineStr">
        <is>
          <t>RedDoorz near Batik Tulis Celaket 2</t>
        </is>
      </c>
      <c r="C706" s="6">
        <f>(C338-MIN($C$2:$C$364)) / (MAX($C$2:$C$364)-MIN($C$2:$C$364))</f>
        <v/>
      </c>
      <c r="D706" s="6">
        <f>(D338-MIN($D$2:$D$364)) / (MAX($D$2:$D$364)-MIN($D$2:$D$364))</f>
        <v/>
      </c>
      <c r="E706" s="14">
        <f>(E338-MIN($E$2:$E$364)) / (MAX($E$2:$E$364)-MIN($E$2:$E$364))</f>
        <v/>
      </c>
    </row>
    <row r="707">
      <c r="A707" s="5" t="n">
        <v>338</v>
      </c>
      <c r="B707" s="6" t="inlineStr">
        <is>
          <t>RedDoorz Syariah @ Klojen Malang</t>
        </is>
      </c>
      <c r="C707" s="6">
        <f>(C339-MIN($C$2:$C$364)) / (MAX($C$2:$C$364)-MIN($C$2:$C$364))</f>
        <v/>
      </c>
      <c r="D707" s="6">
        <f>(D339-MIN($D$2:$D$364)) / (MAX($D$2:$D$364)-MIN($D$2:$D$364))</f>
        <v/>
      </c>
      <c r="E707" s="14">
        <f>(E339-MIN($E$2:$E$364)) / (MAX($E$2:$E$364)-MIN($E$2:$E$364))</f>
        <v/>
      </c>
    </row>
    <row r="708">
      <c r="A708" s="5" t="n">
        <v>339</v>
      </c>
      <c r="B708" s="6" t="inlineStr">
        <is>
          <t>RedDoorz near Jawa Timur Park 3</t>
        </is>
      </c>
      <c r="C708" s="6">
        <f>(C340-MIN($C$2:$C$364)) / (MAX($C$2:$C$364)-MIN($C$2:$C$364))</f>
        <v/>
      </c>
      <c r="D708" s="6">
        <f>(D340-MIN($D$2:$D$364)) / (MAX($D$2:$D$364)-MIN($D$2:$D$364))</f>
        <v/>
      </c>
      <c r="E708" s="14">
        <f>(E340-MIN($E$2:$E$364)) / (MAX($E$2:$E$364)-MIN($E$2:$E$364))</f>
        <v/>
      </c>
    </row>
    <row r="709">
      <c r="A709" s="5" t="n">
        <v>340</v>
      </c>
      <c r="B709" s="6" t="inlineStr">
        <is>
          <t>RedDoorz Plus @ Kalpataru</t>
        </is>
      </c>
      <c r="C709" s="6">
        <f>(C341-MIN($C$2:$C$364)) / (MAX($C$2:$C$364)-MIN($C$2:$C$364))</f>
        <v/>
      </c>
      <c r="D709" s="6">
        <f>(D341-MIN($D$2:$D$364)) / (MAX($D$2:$D$364)-MIN($D$2:$D$364))</f>
        <v/>
      </c>
      <c r="E709" s="14">
        <f>(E341-MIN($E$2:$E$364)) / (MAX($E$2:$E$364)-MIN($E$2:$E$364))</f>
        <v/>
      </c>
    </row>
    <row r="710">
      <c r="A710" s="5" t="n">
        <v>341</v>
      </c>
      <c r="B710" s="6" t="inlineStr">
        <is>
          <t>RedDoorz Near Stasiun Lawang</t>
        </is>
      </c>
      <c r="C710" s="6">
        <f>(C342-MIN($C$2:$C$364)) / (MAX($C$2:$C$364)-MIN($C$2:$C$364))</f>
        <v/>
      </c>
      <c r="D710" s="6">
        <f>(D342-MIN($D$2:$D$364)) / (MAX($D$2:$D$364)-MIN($D$2:$D$364))</f>
        <v/>
      </c>
      <c r="E710" s="14">
        <f>(E342-MIN($E$2:$E$364)) / (MAX($E$2:$E$364)-MIN($E$2:$E$364))</f>
        <v/>
      </c>
    </row>
    <row r="711">
      <c r="A711" s="5" t="n">
        <v>342</v>
      </c>
      <c r="B711" s="6" t="inlineStr">
        <is>
          <t>RedDoorz @ Blimbing Malang</t>
        </is>
      </c>
      <c r="C711" s="6">
        <f>(C343-MIN($C$2:$C$364)) / (MAX($C$2:$C$364)-MIN($C$2:$C$364))</f>
        <v/>
      </c>
      <c r="D711" s="6">
        <f>(D343-MIN($D$2:$D$364)) / (MAX($D$2:$D$364)-MIN($D$2:$D$364))</f>
        <v/>
      </c>
      <c r="E711" s="14">
        <f>(E343-MIN($E$2:$E$364)) / (MAX($E$2:$E$364)-MIN($E$2:$E$364))</f>
        <v/>
      </c>
    </row>
    <row r="712">
      <c r="A712" s="5" t="n">
        <v>343</v>
      </c>
      <c r="B712" s="6" t="inlineStr">
        <is>
          <t>RedDoorz Plus @ Idjen Boulevard Malang</t>
        </is>
      </c>
      <c r="C712" s="6">
        <f>(C344-MIN($C$2:$C$364)) / (MAX($C$2:$C$364)-MIN($C$2:$C$364))</f>
        <v/>
      </c>
      <c r="D712" s="6">
        <f>(D344-MIN($D$2:$D$364)) / (MAX($D$2:$D$364)-MIN($D$2:$D$364))</f>
        <v/>
      </c>
      <c r="E712" s="14">
        <f>(E344-MIN($E$2:$E$364)) / (MAX($E$2:$E$364)-MIN($E$2:$E$364))</f>
        <v/>
      </c>
    </row>
    <row r="713">
      <c r="A713" s="5" t="n">
        <v>344</v>
      </c>
      <c r="B713" s="6" t="inlineStr">
        <is>
          <t>RedDoorz near Brawijaya University</t>
        </is>
      </c>
      <c r="C713" s="6">
        <f>(C345-MIN($C$2:$C$364)) / (MAX($C$2:$C$364)-MIN($C$2:$C$364))</f>
        <v/>
      </c>
      <c r="D713" s="6">
        <f>(D345-MIN($D$2:$D$364)) / (MAX($D$2:$D$364)-MIN($D$2:$D$364))</f>
        <v/>
      </c>
      <c r="E713" s="14">
        <f>(E345-MIN($E$2:$E$364)) / (MAX($E$2:$E$364)-MIN($E$2:$E$364))</f>
        <v/>
      </c>
    </row>
    <row r="714">
      <c r="A714" s="5" t="n">
        <v>345</v>
      </c>
      <c r="B714" s="6" t="inlineStr">
        <is>
          <t>RedDoorz Syariah @ Danau Kerinci Sawojajar</t>
        </is>
      </c>
      <c r="C714" s="6">
        <f>(C346-MIN($C$2:$C$364)) / (MAX($C$2:$C$364)-MIN($C$2:$C$364))</f>
        <v/>
      </c>
      <c r="D714" s="6">
        <f>(D346-MIN($D$2:$D$364)) / (MAX($D$2:$D$364)-MIN($D$2:$D$364))</f>
        <v/>
      </c>
      <c r="E714" s="14">
        <f>(E346-MIN($E$2:$E$364)) / (MAX($E$2:$E$364)-MIN($E$2:$E$364))</f>
        <v/>
      </c>
    </row>
    <row r="715">
      <c r="A715" s="5" t="n">
        <v>346</v>
      </c>
      <c r="B715" s="6" t="inlineStr">
        <is>
          <t>RedDoorz Hostel @ Borobudur Street</t>
        </is>
      </c>
      <c r="C715" s="6">
        <f>(C347-MIN($C$2:$C$364)) / (MAX($C$2:$C$364)-MIN($C$2:$C$364))</f>
        <v/>
      </c>
      <c r="D715" s="6">
        <f>(D347-MIN($D$2:$D$364)) / (MAX($D$2:$D$364)-MIN($D$2:$D$364))</f>
        <v/>
      </c>
      <c r="E715" s="14">
        <f>(E347-MIN($E$2:$E$364)) / (MAX($E$2:$E$364)-MIN($E$2:$E$364))</f>
        <v/>
      </c>
    </row>
    <row r="716">
      <c r="A716" s="5" t="n">
        <v>347</v>
      </c>
      <c r="B716" s="6" t="inlineStr">
        <is>
          <t>RedDoorz near Wisata Paribendo Lawang</t>
        </is>
      </c>
      <c r="C716" s="6">
        <f>(C348-MIN($C$2:$C$364)) / (MAX($C$2:$C$364)-MIN($C$2:$C$364))</f>
        <v/>
      </c>
      <c r="D716" s="6">
        <f>(D348-MIN($D$2:$D$364)) / (MAX($D$2:$D$364)-MIN($D$2:$D$364))</f>
        <v/>
      </c>
      <c r="E716" s="14">
        <f>(E348-MIN($E$2:$E$364)) / (MAX($E$2:$E$364)-MIN($E$2:$E$364))</f>
        <v/>
      </c>
    </row>
    <row r="717">
      <c r="A717" s="5" t="n">
        <v>348</v>
      </c>
      <c r="B717" s="6" t="inlineStr">
        <is>
          <t>RedDoorz Syariah @ Jl. Cengger Ayam Dalam</t>
        </is>
      </c>
      <c r="C717" s="6">
        <f>(C349-MIN($C$2:$C$364)) / (MAX($C$2:$C$364)-MIN($C$2:$C$364))</f>
        <v/>
      </c>
      <c r="D717" s="6">
        <f>(D349-MIN($D$2:$D$364)) / (MAX($D$2:$D$364)-MIN($D$2:$D$364))</f>
        <v/>
      </c>
      <c r="E717" s="14">
        <f>(E349-MIN($E$2:$E$364)) / (MAX($E$2:$E$364)-MIN($E$2:$E$364))</f>
        <v/>
      </c>
    </row>
    <row r="718">
      <c r="A718" s="5" t="n">
        <v>349</v>
      </c>
      <c r="B718" s="6" t="inlineStr">
        <is>
          <t>Griya Gribig Guest House Mitra RedDoorz</t>
        </is>
      </c>
      <c r="C718" s="6">
        <f>(C350-MIN($C$2:$C$364)) / (MAX($C$2:$C$364)-MIN($C$2:$C$364))</f>
        <v/>
      </c>
      <c r="D718" s="6">
        <f>(D350-MIN($D$2:$D$364)) / (MAX($D$2:$D$364)-MIN($D$2:$D$364))</f>
        <v/>
      </c>
      <c r="E718" s="14">
        <f>(E350-MIN($E$2:$E$364)) / (MAX($E$2:$E$364)-MIN($E$2:$E$364))</f>
        <v/>
      </c>
    </row>
    <row r="719">
      <c r="A719" s="5" t="n">
        <v>350</v>
      </c>
      <c r="B719" s="6" t="inlineStr">
        <is>
          <t>RedDoorz @ Bukit Dieng 2</t>
        </is>
      </c>
      <c r="C719" s="6">
        <f>(C351-MIN($C$2:$C$364)) / (MAX($C$2:$C$364)-MIN($C$2:$C$364))</f>
        <v/>
      </c>
      <c r="D719" s="6">
        <f>(D351-MIN($D$2:$D$364)) / (MAX($D$2:$D$364)-MIN($D$2:$D$364))</f>
        <v/>
      </c>
      <c r="E719" s="14">
        <f>(E351-MIN($E$2:$E$364)) / (MAX($E$2:$E$364)-MIN($E$2:$E$364))</f>
        <v/>
      </c>
    </row>
    <row r="720">
      <c r="A720" s="5" t="n">
        <v>351</v>
      </c>
      <c r="B720" s="6" t="inlineStr">
        <is>
          <t>RedDoorz near Stasiun Malang Kota Lama 2</t>
        </is>
      </c>
      <c r="C720" s="6">
        <f>(C352-MIN($C$2:$C$364)) / (MAX($C$2:$C$364)-MIN($C$2:$C$364))</f>
        <v/>
      </c>
      <c r="D720" s="6">
        <f>(D352-MIN($D$2:$D$364)) / (MAX($D$2:$D$364)-MIN($D$2:$D$364))</f>
        <v/>
      </c>
      <c r="E720" s="14">
        <f>(E352-MIN($E$2:$E$364)) / (MAX($E$2:$E$364)-MIN($E$2:$E$364))</f>
        <v/>
      </c>
    </row>
    <row r="721">
      <c r="A721" s="5" t="n">
        <v>352</v>
      </c>
      <c r="B721" s="6" t="inlineStr">
        <is>
          <t>RedDoorz Plus near Malang Airport</t>
        </is>
      </c>
      <c r="C721" s="6">
        <f>(C353-MIN($C$2:$C$364)) / (MAX($C$2:$C$364)-MIN($C$2:$C$364))</f>
        <v/>
      </c>
      <c r="D721" s="6">
        <f>(D353-MIN($D$2:$D$364)) / (MAX($D$2:$D$364)-MIN($D$2:$D$364))</f>
        <v/>
      </c>
      <c r="E721" s="14">
        <f>(E353-MIN($E$2:$E$364)) / (MAX($E$2:$E$364)-MIN($E$2:$E$364))</f>
        <v/>
      </c>
    </row>
    <row r="722">
      <c r="A722" s="5" t="n">
        <v>353</v>
      </c>
      <c r="B722" s="6" t="inlineStr">
        <is>
          <t>Urbanview Hotel Griya Surya Malang by RedDoorz</t>
        </is>
      </c>
      <c r="C722" s="6">
        <f>(C354-MIN($C$2:$C$364)) / (MAX($C$2:$C$364)-MIN($C$2:$C$364))</f>
        <v/>
      </c>
      <c r="D722" s="6">
        <f>(D354-MIN($D$2:$D$364)) / (MAX($D$2:$D$364)-MIN($D$2:$D$364))</f>
        <v/>
      </c>
      <c r="E722" s="14">
        <f>(E354-MIN($E$2:$E$364)) / (MAX($E$2:$E$364)-MIN($E$2:$E$364))</f>
        <v/>
      </c>
    </row>
    <row r="723">
      <c r="A723" s="5" t="n">
        <v>354</v>
      </c>
      <c r="B723" s="6" t="inlineStr">
        <is>
          <t>Reddoorz Syariah @ Jl. Candi Kalasan</t>
        </is>
      </c>
      <c r="C723" s="6">
        <f>(C355-MIN($C$2:$C$364)) / (MAX($C$2:$C$364)-MIN($C$2:$C$364))</f>
        <v/>
      </c>
      <c r="D723" s="6">
        <f>(D355-MIN($D$2:$D$364)) / (MAX($D$2:$D$364)-MIN($D$2:$D$364))</f>
        <v/>
      </c>
      <c r="E723" s="14">
        <f>(E355-MIN($E$2:$E$364)) / (MAX($E$2:$E$364)-MIN($E$2:$E$364))</f>
        <v/>
      </c>
    </row>
    <row r="724">
      <c r="A724" s="5" t="n">
        <v>355</v>
      </c>
      <c r="B724" s="6" t="inlineStr">
        <is>
          <t>RedDoorz near Universitas PGRI Kanjuruhan</t>
        </is>
      </c>
      <c r="C724" s="6">
        <f>(C356-MIN($C$2:$C$364)) / (MAX($C$2:$C$364)-MIN($C$2:$C$364))</f>
        <v/>
      </c>
      <c r="D724" s="6">
        <f>(D356-MIN($D$2:$D$364)) / (MAX($D$2:$D$364)-MIN($D$2:$D$364))</f>
        <v/>
      </c>
      <c r="E724" s="14">
        <f>(E356-MIN($E$2:$E$364)) / (MAX($E$2:$E$364)-MIN($E$2:$E$364))</f>
        <v/>
      </c>
    </row>
    <row r="725">
      <c r="A725" s="5" t="n">
        <v>356</v>
      </c>
      <c r="B725" s="6" t="inlineStr">
        <is>
          <t>RedDoorz @ Dinoyo</t>
        </is>
      </c>
      <c r="C725" s="6">
        <f>(C357-MIN($C$2:$C$364)) / (MAX($C$2:$C$364)-MIN($C$2:$C$364))</f>
        <v/>
      </c>
      <c r="D725" s="6">
        <f>(D357-MIN($D$2:$D$364)) / (MAX($D$2:$D$364)-MIN($D$2:$D$364))</f>
        <v/>
      </c>
      <c r="E725" s="14">
        <f>(E357-MIN($E$2:$E$364)) / (MAX($E$2:$E$364)-MIN($E$2:$E$364))</f>
        <v/>
      </c>
    </row>
    <row r="726">
      <c r="A726" s="5" t="n">
        <v>357</v>
      </c>
      <c r="B726" s="6" t="inlineStr">
        <is>
          <t>Reddoorz @ Homestay Gayatri</t>
        </is>
      </c>
      <c r="C726" s="6">
        <f>(C358-MIN($C$2:$C$364)) / (MAX($C$2:$C$364)-MIN($C$2:$C$364))</f>
        <v/>
      </c>
      <c r="D726" s="6">
        <f>(D358-MIN($D$2:$D$364)) / (MAX($D$2:$D$364)-MIN($D$2:$D$364))</f>
        <v/>
      </c>
      <c r="E726" s="14">
        <f>(E358-MIN($E$2:$E$364)) / (MAX($E$2:$E$364)-MIN($E$2:$E$364))</f>
        <v/>
      </c>
    </row>
    <row r="727">
      <c r="A727" s="5" t="n">
        <v>358</v>
      </c>
      <c r="B727" s="6" t="inlineStr">
        <is>
          <t>RedDoorz at CBR Residence</t>
        </is>
      </c>
      <c r="C727" s="6">
        <f>(C359-MIN($C$2:$C$364)) / (MAX($C$2:$C$364)-MIN($C$2:$C$364))</f>
        <v/>
      </c>
      <c r="D727" s="6">
        <f>(D359-MIN($D$2:$D$364)) / (MAX($D$2:$D$364)-MIN($D$2:$D$364))</f>
        <v/>
      </c>
      <c r="E727" s="14">
        <f>(E359-MIN($E$2:$E$364)) / (MAX($E$2:$E$364)-MIN($E$2:$E$364))</f>
        <v/>
      </c>
    </row>
    <row r="728">
      <c r="A728" s="5" t="n">
        <v>359</v>
      </c>
      <c r="B728" s="6" t="inlineStr">
        <is>
          <t>RedDoorz @ Soekarno Hatta 2</t>
        </is>
      </c>
      <c r="C728" s="6">
        <f>(C360-MIN($C$2:$C$364)) / (MAX($C$2:$C$364)-MIN($C$2:$C$364))</f>
        <v/>
      </c>
      <c r="D728" s="6">
        <f>(D360-MIN($D$2:$D$364)) / (MAX($D$2:$D$364)-MIN($D$2:$D$364))</f>
        <v/>
      </c>
      <c r="E728" s="14">
        <f>(E360-MIN($E$2:$E$364)) / (MAX($E$2:$E$364)-MIN($E$2:$E$364))</f>
        <v/>
      </c>
    </row>
    <row r="729">
      <c r="A729" s="5" t="n">
        <v>360</v>
      </c>
      <c r="B729" s="6" t="inlineStr">
        <is>
          <t>Hotel Bintang</t>
        </is>
      </c>
      <c r="C729" s="6">
        <f>(C361-MIN($C$2:$C$364)) / (MAX($C$2:$C$364)-MIN($C$2:$C$364))</f>
        <v/>
      </c>
      <c r="D729" s="6">
        <f>(D361-MIN($D$2:$D$364)) / (MAX($D$2:$D$364)-MIN($D$2:$D$364))</f>
        <v/>
      </c>
      <c r="E729" s="14">
        <f>(E361-MIN($E$2:$E$364)) / (MAX($E$2:$E$364)-MIN($E$2:$E$364))</f>
        <v/>
      </c>
    </row>
    <row r="730">
      <c r="A730" s="5" t="n">
        <v>361</v>
      </c>
      <c r="B730" s="6" t="inlineStr">
        <is>
          <t>Amaris Hotel Malang</t>
        </is>
      </c>
      <c r="C730" s="6">
        <f>(C362-MIN($C$2:$C$364)) / (MAX($C$2:$C$364)-MIN($C$2:$C$364))</f>
        <v/>
      </c>
      <c r="D730" s="6">
        <f>(D362-MIN($D$2:$D$364)) / (MAX($D$2:$D$364)-MIN($D$2:$D$364))</f>
        <v/>
      </c>
      <c r="E730" s="14">
        <f>(E362-MIN($E$2:$E$364)) / (MAX($E$2:$E$364)-MIN($E$2:$E$364))</f>
        <v/>
      </c>
    </row>
    <row r="731">
      <c r="A731" s="5" t="n">
        <v>362</v>
      </c>
      <c r="B731" s="6" t="inlineStr">
        <is>
          <t>Urbanview Hotel FiFFa Kauman Malang</t>
        </is>
      </c>
      <c r="C731" s="6">
        <f>(C363-MIN($C$2:$C$364)) / (MAX($C$2:$C$364)-MIN($C$2:$C$364))</f>
        <v/>
      </c>
      <c r="D731" s="6">
        <f>(D363-MIN($D$2:$D$364)) / (MAX($D$2:$D$364)-MIN($D$2:$D$364))</f>
        <v/>
      </c>
      <c r="E731" s="14">
        <f>(E363-MIN($E$2:$E$364)) / (MAX($E$2:$E$364)-MIN($E$2:$E$364))</f>
        <v/>
      </c>
    </row>
    <row r="732">
      <c r="A732" s="5" t="n">
        <v>363</v>
      </c>
      <c r="B732" s="6" t="inlineStr">
        <is>
          <t>My Dormy Hostel UMM</t>
        </is>
      </c>
      <c r="C732" s="6">
        <f>(C364-MIN($C$2:$C$364)) / (MAX($C$2:$C$364)-MIN($C$2:$C$364))</f>
        <v/>
      </c>
      <c r="D732" s="6">
        <f>(D364-MIN($D$2:$D$364)) / (MAX($D$2:$D$364)-MIN($D$2:$D$364))</f>
        <v/>
      </c>
      <c r="E732" s="14">
        <f>(E364-MIN($E$2:$E$364)) / (MAX($E$2:$E$364)-MIN($E$2:$E$364))</f>
        <v/>
      </c>
    </row>
  </sheetData>
  <mergeCells count="1">
    <mergeCell ref="A366:B3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3"/>
  <sheetViews>
    <sheetView topLeftCell="A183" workbookViewId="0">
      <selection activeCell="C189" sqref="C2:C189"/>
    </sheetView>
  </sheetViews>
  <sheetFormatPr baseColWidth="10" defaultRowHeight="16"/>
  <cols>
    <col width="55.83203125" bestFit="1" customWidth="1" style="21" min="2" max="2"/>
    <col width="12.5" bestFit="1" customWidth="1" style="21" min="3" max="3"/>
    <col width="21.83203125" bestFit="1" customWidth="1" style="21" min="8" max="8"/>
    <col width="25.33203125" bestFit="1" customWidth="1" style="21" min="9" max="9"/>
    <col width="23.5" bestFit="1" customWidth="1" style="21" min="10" max="10"/>
    <col width="20.83203125" bestFit="1" customWidth="1" style="21" min="11" max="11"/>
  </cols>
  <sheetData>
    <row r="1">
      <c r="A1" s="13" t="inlineStr">
        <is>
          <t>Id_Tempat</t>
        </is>
      </c>
      <c r="B1" s="13" t="inlineStr">
        <is>
          <t>Nama_Tempat</t>
        </is>
      </c>
      <c r="C1" s="13" t="inlineStr">
        <is>
          <t>Harga_Tiket</t>
        </is>
      </c>
      <c r="D1" s="13" t="inlineStr">
        <is>
          <t>Latitude</t>
        </is>
      </c>
      <c r="E1" s="13" t="inlineStr">
        <is>
          <t>Longitude</t>
        </is>
      </c>
    </row>
    <row r="2">
      <c r="A2" s="14" t="n">
        <v>1</v>
      </c>
      <c r="B2" s="6" t="inlineStr">
        <is>
          <t>Masjid Tiban Malang (pp.Salafiah Bihaaru Bahri)</t>
        </is>
      </c>
      <c r="C2" s="6" t="n">
        <v>2000</v>
      </c>
      <c r="D2" s="6" t="n">
        <v>-8.150828499999999</v>
      </c>
      <c r="E2" s="6" t="n">
        <v>112.7131124</v>
      </c>
      <c r="H2" s="60" t="n"/>
      <c r="I2" s="60" t="inlineStr">
        <is>
          <t>Kiri (0 pada Long)</t>
        </is>
      </c>
      <c r="J2" s="60" t="inlineStr">
        <is>
          <t>Tengah (0.5 pada Long)</t>
        </is>
      </c>
      <c r="K2" s="60" t="inlineStr">
        <is>
          <t>Kanan (1 pada Long)</t>
        </is>
      </c>
    </row>
    <row r="3">
      <c r="A3" s="14" t="n">
        <v>2</v>
      </c>
      <c r="B3" s="6" t="inlineStr">
        <is>
          <t>Wisata Religi Gunung Mujur ꦒꦸꦤꦸꦁꦩꦸꦗꦸꦂ</t>
        </is>
      </c>
      <c r="C3" s="6" t="n">
        <v>10000</v>
      </c>
      <c r="D3" s="6" t="n">
        <v>-7.8263032</v>
      </c>
      <c r="E3" s="6" t="n">
        <v>112.5931148</v>
      </c>
      <c r="H3" s="60" t="inlineStr">
        <is>
          <t>Atas (1 pada Lat)</t>
        </is>
      </c>
      <c r="I3" s="20" t="inlineStr">
        <is>
          <t>Pojok Kiri Atas</t>
        </is>
      </c>
      <c r="J3" s="20" t="inlineStr">
        <is>
          <t>Utara Tengah</t>
        </is>
      </c>
      <c r="K3" s="20" t="inlineStr">
        <is>
          <t>Pojok Kanan Atas</t>
        </is>
      </c>
    </row>
    <row r="4">
      <c r="A4" s="14" t="n">
        <v>3</v>
      </c>
      <c r="B4" s="6" t="inlineStr">
        <is>
          <t>Masjid Agung Jami' Kota Malang</t>
        </is>
      </c>
      <c r="C4" s="6" t="n">
        <v>0</v>
      </c>
      <c r="D4" s="6" t="n">
        <v>-7.9823828</v>
      </c>
      <c r="E4" s="6" t="n">
        <v>112.6297224</v>
      </c>
      <c r="H4" s="54" t="n"/>
      <c r="I4" s="6" t="n"/>
      <c r="J4" s="6" t="n"/>
      <c r="K4" s="6" t="n"/>
    </row>
    <row r="5">
      <c r="A5" s="14" t="n">
        <v>4</v>
      </c>
      <c r="B5" s="6" t="inlineStr">
        <is>
          <t>Makam Mbah Batu</t>
        </is>
      </c>
      <c r="C5" s="6" t="n">
        <v>3000</v>
      </c>
      <c r="D5" s="6" t="n">
        <v>-7.8563341</v>
      </c>
      <c r="E5" s="6" t="n">
        <v>112.5352355</v>
      </c>
      <c r="H5" s="74" t="n"/>
      <c r="I5" s="28" t="inlineStr">
        <is>
          <t>(Area Batu Utara/Cangar)</t>
        </is>
      </c>
      <c r="J5" s="28" t="inlineStr">
        <is>
          <t>(Lawang/Singosari)</t>
        </is>
      </c>
      <c r="K5" s="28" t="inlineStr">
        <is>
          <t>(Arah Bromo)</t>
        </is>
      </c>
    </row>
    <row r="6">
      <c r="A6" s="14" t="n">
        <v>5</v>
      </c>
      <c r="B6" s="6" t="inlineStr">
        <is>
          <t>KWJ MALANG</t>
        </is>
      </c>
      <c r="C6" s="6" t="n">
        <v>5000</v>
      </c>
      <c r="D6" s="6" t="n">
        <v>-7.9831</v>
      </c>
      <c r="E6" s="6" t="n">
        <v>112.6374847</v>
      </c>
      <c r="H6" s="60" t="inlineStr">
        <is>
          <t>Tengah (0.5 pada Lat)</t>
        </is>
      </c>
      <c r="I6" s="20" t="inlineStr">
        <is>
          <t>Barat Tengah</t>
        </is>
      </c>
      <c r="J6" s="60" t="inlineStr">
        <is>
          <t>PUSAT KOTA</t>
        </is>
      </c>
      <c r="K6" s="20" t="inlineStr">
        <is>
          <t>Timur Tengah</t>
        </is>
      </c>
    </row>
    <row r="7">
      <c r="A7" s="14" t="n">
        <v>6</v>
      </c>
      <c r="B7" s="6" t="inlineStr">
        <is>
          <t>Pesarean Gunung Kawi</t>
        </is>
      </c>
      <c r="C7" s="6" t="n">
        <v>3000</v>
      </c>
      <c r="D7" s="6" t="n">
        <v>-8.023200599999999</v>
      </c>
      <c r="E7" s="6" t="n">
        <v>112.4932677</v>
      </c>
      <c r="H7" s="54" t="n"/>
      <c r="I7" s="6" t="n"/>
      <c r="J7" s="6" t="n"/>
      <c r="K7" s="6" t="n"/>
    </row>
    <row r="8">
      <c r="A8" s="14" t="n">
        <v>7</v>
      </c>
      <c r="B8" s="6" t="inlineStr">
        <is>
          <t>Makam Ki Ageng Gribig</t>
        </is>
      </c>
      <c r="C8" s="6" t="n">
        <v>48000</v>
      </c>
      <c r="D8" s="6" t="n">
        <v>-7.9809099</v>
      </c>
      <c r="E8" s="6" t="n">
        <v>112.6656522</v>
      </c>
      <c r="H8" s="74" t="n"/>
      <c r="I8" s="28" t="inlineStr">
        <is>
          <t>(Kota Batu)</t>
        </is>
      </c>
      <c r="J8" s="28" t="inlineStr">
        <is>
          <t>(Alun-alun Malang)</t>
        </is>
      </c>
      <c r="K8" s="28" t="inlineStr">
        <is>
          <t>(Tumpang)</t>
        </is>
      </c>
    </row>
    <row r="9">
      <c r="A9" s="14" t="n">
        <v>8</v>
      </c>
      <c r="B9" s="6" t="inlineStr">
        <is>
          <t>Pura Luhur Giri Arjuno</t>
        </is>
      </c>
      <c r="C9" s="6" t="n">
        <v>11000</v>
      </c>
      <c r="D9" s="6" t="n">
        <v>-7.7852789</v>
      </c>
      <c r="E9" s="6" t="n">
        <v>112.5473145</v>
      </c>
      <c r="H9" s="60" t="inlineStr">
        <is>
          <t>Bawah (0 pada Lat)</t>
        </is>
      </c>
      <c r="I9" s="20" t="inlineStr">
        <is>
          <t>Pojok Kiri Bawah</t>
        </is>
      </c>
      <c r="J9" s="20" t="inlineStr">
        <is>
          <t>Selatan Tengah</t>
        </is>
      </c>
      <c r="K9" s="20" t="inlineStr">
        <is>
          <t>Pojok Kanan Bawah</t>
        </is>
      </c>
    </row>
    <row r="10">
      <c r="A10" s="14" t="n">
        <v>9</v>
      </c>
      <c r="B10" s="6" t="inlineStr">
        <is>
          <t>Masjid An-Nur</t>
        </is>
      </c>
      <c r="C10" s="6" t="n">
        <v>10000</v>
      </c>
      <c r="D10" s="6" t="n">
        <v>-7.9639168</v>
      </c>
      <c r="E10" s="6" t="n">
        <v>112.6294924</v>
      </c>
      <c r="H10" s="54" t="n"/>
      <c r="I10" s="6" t="n"/>
      <c r="J10" s="6" t="n"/>
      <c r="K10" s="6" t="n"/>
    </row>
    <row r="11">
      <c r="A11" s="14" t="n">
        <v>10</v>
      </c>
      <c r="B11" s="6" t="inlineStr">
        <is>
          <t>MAKAM MBAH JAGOPATI</t>
        </is>
      </c>
      <c r="C11" s="6" t="n">
        <v>0</v>
      </c>
      <c r="D11" s="6" t="n">
        <v>-8.0685875</v>
      </c>
      <c r="E11" s="6" t="n">
        <v>112.6595156</v>
      </c>
      <c r="H11" s="74" t="n"/>
      <c r="I11" s="28" t="inlineStr">
        <is>
          <t>(Perbatasan Blitar)</t>
        </is>
      </c>
      <c r="J11" s="28" t="inlineStr">
        <is>
          <t>(Kepanjen)</t>
        </is>
      </c>
      <c r="K11" s="28" t="inlineStr">
        <is>
          <t>(Lumajang)</t>
        </is>
      </c>
    </row>
    <row r="12">
      <c r="A12" s="14" t="n">
        <v>11</v>
      </c>
      <c r="B12" s="6" t="inlineStr">
        <is>
          <t>Wisata Religi Sumber 9</t>
        </is>
      </c>
      <c r="C12" s="6" t="n">
        <v>5000</v>
      </c>
      <c r="D12" s="6" t="n">
        <v>-8.172191099999999</v>
      </c>
      <c r="E12" s="6" t="n">
        <v>112.5472822</v>
      </c>
    </row>
    <row r="13">
      <c r="A13" s="14" t="n">
        <v>12</v>
      </c>
      <c r="B13" s="6" t="inlineStr">
        <is>
          <t>Parkir mobil gratis Masjid tiban turen</t>
        </is>
      </c>
      <c r="C13" s="6" t="n">
        <v>5000</v>
      </c>
      <c r="D13" s="6" t="n">
        <v>-8.1514495</v>
      </c>
      <c r="E13" s="6" t="n">
        <v>112.7123119</v>
      </c>
    </row>
    <row r="14">
      <c r="A14" s="14" t="n">
        <v>13</v>
      </c>
      <c r="B14" s="6" t="inlineStr">
        <is>
          <t>Punden Mbah Mogok</t>
        </is>
      </c>
      <c r="C14" s="6" t="n">
        <v>10000</v>
      </c>
      <c r="D14" s="6" t="n">
        <v>-7.9619438</v>
      </c>
      <c r="E14" s="6" t="n">
        <v>112.6048652</v>
      </c>
    </row>
    <row r="15">
      <c r="A15" s="14" t="n">
        <v>14</v>
      </c>
      <c r="B15" s="6" t="inlineStr">
        <is>
          <t>Maqam Al Habib Abdullah Bin Abdul Qadir Bilfaqih</t>
        </is>
      </c>
      <c r="C15" s="6" t="n">
        <v>20000</v>
      </c>
      <c r="D15" s="6" t="n">
        <v>-7.9890997</v>
      </c>
      <c r="E15" s="6" t="n">
        <v>112.6238595</v>
      </c>
    </row>
    <row r="16">
      <c r="A16" s="14" t="n">
        <v>15</v>
      </c>
      <c r="B16" s="6" t="inlineStr">
        <is>
          <t>Pura Luhur Dwijawarsa</t>
        </is>
      </c>
      <c r="C16" s="6" t="n">
        <v>104500</v>
      </c>
      <c r="D16" s="6" t="n">
        <v>-7.9953961</v>
      </c>
      <c r="E16" s="6" t="n">
        <v>112.6610419</v>
      </c>
    </row>
    <row r="17">
      <c r="A17" s="14" t="n">
        <v>16</v>
      </c>
      <c r="B17" s="6" t="inlineStr">
        <is>
          <t>TPU Kasin</t>
        </is>
      </c>
      <c r="C17" s="6" t="n">
        <v>30000</v>
      </c>
      <c r="D17" s="6" t="n">
        <v>-7.9896057</v>
      </c>
      <c r="E17" s="6" t="n">
        <v>112.6239566</v>
      </c>
    </row>
    <row r="18">
      <c r="A18" s="14" t="n">
        <v>17</v>
      </c>
      <c r="B18" s="6" t="inlineStr">
        <is>
          <t>Puncak Gunung Banyak/paralayang</t>
        </is>
      </c>
      <c r="C18" s="6" t="n">
        <v>10000</v>
      </c>
      <c r="D18" s="6" t="n">
        <v>-7.8549572</v>
      </c>
      <c r="E18" s="6" t="n">
        <v>112.4963794</v>
      </c>
    </row>
    <row r="19">
      <c r="A19" s="14" t="n">
        <v>18</v>
      </c>
      <c r="B19" s="6" t="inlineStr">
        <is>
          <t>Air Terjun Coban Rondo Pujon</t>
        </is>
      </c>
      <c r="C19" s="6" t="n">
        <v>35000</v>
      </c>
      <c r="D19" s="6" t="n">
        <v>-7.8846458</v>
      </c>
      <c r="E19" s="6" t="n">
        <v>112.4768237</v>
      </c>
    </row>
    <row r="20">
      <c r="A20" s="14" t="n">
        <v>19</v>
      </c>
      <c r="B20" s="6" t="inlineStr">
        <is>
          <t>Agrowisata Teh Wonosari</t>
        </is>
      </c>
      <c r="C20" s="6" t="n">
        <v>15000</v>
      </c>
      <c r="D20" s="6" t="n">
        <v>-7.8204902</v>
      </c>
      <c r="E20" s="6" t="n">
        <v>112.6431502</v>
      </c>
    </row>
    <row r="21">
      <c r="A21" s="14" t="n">
        <v>20</v>
      </c>
      <c r="B21" s="6" t="inlineStr">
        <is>
          <t>Puncak Budug Asu</t>
        </is>
      </c>
      <c r="C21" s="6" t="n">
        <v>10000</v>
      </c>
      <c r="D21" s="6" t="n">
        <v>-7.807287</v>
      </c>
      <c r="E21" s="6" t="n">
        <v>112.6214149</v>
      </c>
    </row>
    <row r="22">
      <c r="A22" s="14" t="n">
        <v>21</v>
      </c>
      <c r="B22" s="6" t="inlineStr">
        <is>
          <t>Keraton Gunung Kawi</t>
        </is>
      </c>
      <c r="C22" s="6" t="n">
        <v>5000</v>
      </c>
      <c r="D22" s="6" t="n">
        <v>-8.0027708</v>
      </c>
      <c r="E22" s="6" t="n">
        <v>112.4860023</v>
      </c>
    </row>
    <row r="23">
      <c r="A23" s="14" t="n">
        <v>22</v>
      </c>
      <c r="B23" s="6" t="inlineStr">
        <is>
          <t>Bukit Nirwana</t>
        </is>
      </c>
      <c r="C23" s="6" t="n">
        <v>10000</v>
      </c>
      <c r="D23" s="6" t="n">
        <v>-7.8617098</v>
      </c>
      <c r="E23" s="6" t="n">
        <v>112.4600165</v>
      </c>
    </row>
    <row r="24">
      <c r="A24" s="14" t="n">
        <v>23</v>
      </c>
      <c r="B24" s="6" t="inlineStr">
        <is>
          <t>Gunung Geger</t>
        </is>
      </c>
      <c r="C24" s="6" t="n">
        <v>29000</v>
      </c>
      <c r="D24" s="6" t="n">
        <v>-8.229934500000001</v>
      </c>
      <c r="E24" s="6" t="n">
        <v>112.5526712</v>
      </c>
    </row>
    <row r="25">
      <c r="A25" s="14" t="n">
        <v>24</v>
      </c>
      <c r="B25" s="6" t="inlineStr">
        <is>
          <t>Omah Kayu Gunung Banyak</t>
        </is>
      </c>
      <c r="C25" s="6" t="n">
        <v>10000</v>
      </c>
      <c r="D25" s="6" t="n">
        <v>-7.8549492</v>
      </c>
      <c r="E25" s="6" t="n">
        <v>112.4978051</v>
      </c>
    </row>
    <row r="26">
      <c r="A26" s="14" t="n">
        <v>25</v>
      </c>
      <c r="B26" s="6" t="inlineStr">
        <is>
          <t>Wisata paralayang</t>
        </is>
      </c>
      <c r="C26" s="6" t="n">
        <v>10000</v>
      </c>
      <c r="D26" s="6" t="n">
        <v>-7.8550565</v>
      </c>
      <c r="E26" s="6" t="n">
        <v>112.4967558</v>
      </c>
    </row>
    <row r="27">
      <c r="A27" s="14" t="n">
        <v>26</v>
      </c>
      <c r="B27" s="6" t="inlineStr">
        <is>
          <t>Air Terjun Sumber Pitu Pujon</t>
        </is>
      </c>
      <c r="C27" s="6" t="n">
        <v>10000</v>
      </c>
      <c r="D27" s="6" t="n">
        <v>-7.8955192</v>
      </c>
      <c r="E27" s="6" t="n">
        <v>112.4621553</v>
      </c>
    </row>
    <row r="28">
      <c r="A28" s="14" t="n">
        <v>27</v>
      </c>
      <c r="B28" s="6" t="inlineStr">
        <is>
          <t>Wisata Alam Lembah Gunung Sari Desa Kucur</t>
        </is>
      </c>
      <c r="C28" s="6" t="n">
        <v>10000</v>
      </c>
      <c r="D28" s="6" t="n">
        <v>-7.9630258</v>
      </c>
      <c r="E28" s="6" t="n">
        <v>112.5556656</v>
      </c>
    </row>
    <row r="29">
      <c r="A29" s="14" t="n">
        <v>28</v>
      </c>
      <c r="B29" s="6" t="inlineStr">
        <is>
          <t>Air Terjun Coban Supit Urang</t>
        </is>
      </c>
      <c r="C29" s="6" t="n">
        <v>5000</v>
      </c>
      <c r="D29" s="6" t="n">
        <v>-7.7910044</v>
      </c>
      <c r="E29" s="6" t="n">
        <v>112.4603522</v>
      </c>
    </row>
    <row r="30">
      <c r="A30" s="14" t="n">
        <v>29</v>
      </c>
      <c r="B30" s="6" t="inlineStr">
        <is>
          <t>Coban Trisula</t>
        </is>
      </c>
      <c r="C30" s="6" t="n">
        <v>5000</v>
      </c>
      <c r="D30" s="6" t="n">
        <v>-7.999417</v>
      </c>
      <c r="E30" s="6" t="n">
        <v>112.8685364</v>
      </c>
    </row>
    <row r="31">
      <c r="A31" s="14" t="n">
        <v>30</v>
      </c>
      <c r="B31" s="6" t="inlineStr">
        <is>
          <t>Perhutani Precet Lereng Gunung Kawi</t>
        </is>
      </c>
      <c r="C31" s="6" t="n">
        <v>5000</v>
      </c>
      <c r="D31" s="6" t="n">
        <v>-8.001235899999999</v>
      </c>
      <c r="E31" s="6" t="n">
        <v>112.5076674</v>
      </c>
    </row>
    <row r="32">
      <c r="A32" s="14" t="n">
        <v>31</v>
      </c>
      <c r="B32" s="6" t="inlineStr">
        <is>
          <t>HUTAN KAWI &amp; BASCAM PUNCAK BATU TULIS</t>
        </is>
      </c>
      <c r="C32" s="6" t="n">
        <v>20000</v>
      </c>
      <c r="D32" s="6" t="n">
        <v>-8.0005001</v>
      </c>
      <c r="E32" s="6" t="n">
        <v>112.5083635</v>
      </c>
    </row>
    <row r="33">
      <c r="A33" s="14" t="n">
        <v>32</v>
      </c>
      <c r="B33" s="6" t="inlineStr">
        <is>
          <t>Wisata Gunung Kombang</t>
        </is>
      </c>
      <c r="C33" s="6" t="n">
        <v>15000</v>
      </c>
      <c r="D33" s="6" t="n">
        <v>-8.3865186</v>
      </c>
      <c r="E33" s="6" t="n">
        <v>112.42574</v>
      </c>
    </row>
    <row r="34">
      <c r="A34" s="14" t="n">
        <v>33</v>
      </c>
      <c r="B34" s="6" t="inlineStr">
        <is>
          <t>Bromo Transit Park Tumpang</t>
        </is>
      </c>
      <c r="C34" s="6" t="n">
        <v>20000</v>
      </c>
      <c r="D34" s="6" t="n">
        <v>-8.0199365</v>
      </c>
      <c r="E34" s="6" t="n">
        <v>112.778365</v>
      </c>
    </row>
    <row r="35">
      <c r="A35" s="14" t="n">
        <v>34</v>
      </c>
      <c r="B35" s="6" t="inlineStr">
        <is>
          <t>Sumber Maron</t>
        </is>
      </c>
      <c r="C35" s="6" t="n">
        <v>10000</v>
      </c>
      <c r="D35" s="6" t="n">
        <v>-8.1656096</v>
      </c>
      <c r="E35" s="6" t="n">
        <v>112.5920333</v>
      </c>
    </row>
    <row r="36">
      <c r="A36" s="14" t="n">
        <v>35</v>
      </c>
      <c r="B36" s="6" t="inlineStr">
        <is>
          <t>Wisata Rekreasi Kolam renang Lembah gunung sari</t>
        </is>
      </c>
      <c r="C36" s="6" t="n">
        <v>10000</v>
      </c>
      <c r="D36" s="6" t="n">
        <v>-7.9648866</v>
      </c>
      <c r="E36" s="6" t="n">
        <v>112.5548381</v>
      </c>
    </row>
    <row r="37">
      <c r="A37" s="14" t="n">
        <v>36</v>
      </c>
      <c r="B37" s="6" t="inlineStr">
        <is>
          <t>Air Terjun Coban Pelangi, Malang</t>
        </is>
      </c>
      <c r="C37" s="6" t="n">
        <v>10000</v>
      </c>
      <c r="D37" s="6" t="n">
        <v>-8.011407999999999</v>
      </c>
      <c r="E37" s="6" t="n">
        <v>112.8603973</v>
      </c>
    </row>
    <row r="38">
      <c r="A38" s="14" t="n">
        <v>37</v>
      </c>
      <c r="B38" s="6" t="inlineStr">
        <is>
          <t>GUNUNG KITIRAN</t>
        </is>
      </c>
      <c r="C38" s="6" t="n">
        <v>10000</v>
      </c>
      <c r="D38" s="6" t="n">
        <v>-8.319307</v>
      </c>
      <c r="E38" s="6" t="n">
        <v>112.6909911</v>
      </c>
    </row>
    <row r="39">
      <c r="A39" s="14" t="n">
        <v>38</v>
      </c>
      <c r="B39" s="6" t="inlineStr">
        <is>
          <t>Geopark Gunung Cilik</t>
        </is>
      </c>
      <c r="C39" s="6" t="n">
        <v>51000</v>
      </c>
      <c r="D39" s="6" t="n">
        <v>-7.8260839</v>
      </c>
      <c r="E39" s="6" t="n">
        <v>112.4603061</v>
      </c>
    </row>
    <row r="40">
      <c r="A40" s="14" t="n">
        <v>39</v>
      </c>
      <c r="B40" s="6" t="inlineStr">
        <is>
          <t>Bukit Mendek Wetan</t>
        </is>
      </c>
      <c r="C40" s="6" t="n">
        <v>10000</v>
      </c>
      <c r="D40" s="6" t="n">
        <v>-7.8550625</v>
      </c>
      <c r="E40" s="6" t="n">
        <v>112.7399375</v>
      </c>
    </row>
    <row r="41">
      <c r="A41" s="14" t="n">
        <v>40</v>
      </c>
      <c r="B41" s="6" t="inlineStr">
        <is>
          <t>Arjuna Geopark</t>
        </is>
      </c>
      <c r="C41" s="6" t="n">
        <v>10000</v>
      </c>
      <c r="D41" s="6" t="n">
        <v>-7.8184952</v>
      </c>
      <c r="E41" s="6" t="n">
        <v>112.6463259</v>
      </c>
    </row>
    <row r="42">
      <c r="A42" s="14" t="n">
        <v>41</v>
      </c>
      <c r="B42" s="6" t="inlineStr">
        <is>
          <t>Air Terjun Sumber Pitu Tumpang</t>
        </is>
      </c>
      <c r="C42" s="6" t="n">
        <v>5000</v>
      </c>
      <c r="D42" s="6" t="n">
        <v>-8.013583199999999</v>
      </c>
      <c r="E42" s="6" t="n">
        <v>112.8217266</v>
      </c>
    </row>
    <row r="43">
      <c r="A43" s="14" t="n">
        <v>42</v>
      </c>
      <c r="B43" s="6" t="inlineStr">
        <is>
          <t>Hutan Kota Malabar Malang</t>
        </is>
      </c>
      <c r="C43" s="6" t="n">
        <v>2000</v>
      </c>
      <c r="D43" s="6" t="n">
        <v>-7.9685</v>
      </c>
      <c r="E43" s="6" t="n">
        <v>112.626514</v>
      </c>
    </row>
    <row r="44">
      <c r="A44" s="14" t="n">
        <v>43</v>
      </c>
      <c r="B44" s="6" t="inlineStr">
        <is>
          <t>Wisata Alam Sumber Jenon</t>
        </is>
      </c>
      <c r="C44" s="6" t="n">
        <v>10000</v>
      </c>
      <c r="D44" s="6" t="n">
        <v>-8.0496699</v>
      </c>
      <c r="E44" s="6" t="n">
        <v>112.7164657</v>
      </c>
    </row>
    <row r="45">
      <c r="A45" s="14" t="n">
        <v>44</v>
      </c>
      <c r="B45" s="6" t="inlineStr">
        <is>
          <t>Coban Bidadari</t>
        </is>
      </c>
      <c r="C45" s="6" t="n">
        <v>10000</v>
      </c>
      <c r="D45" s="6" t="n">
        <v>-8.006144000000001</v>
      </c>
      <c r="E45" s="6" t="n">
        <v>112.867754</v>
      </c>
    </row>
    <row r="46">
      <c r="A46" s="14" t="n">
        <v>45</v>
      </c>
      <c r="B46" s="6" t="inlineStr">
        <is>
          <t>Budug Asu 1422 Mdpl</t>
        </is>
      </c>
      <c r="C46" s="6" t="n">
        <v>10000</v>
      </c>
      <c r="D46" s="6" t="n">
        <v>-7.8066024</v>
      </c>
      <c r="E46" s="6" t="n">
        <v>112.6192365</v>
      </c>
    </row>
    <row r="47">
      <c r="A47" s="14" t="n">
        <v>46</v>
      </c>
      <c r="B47" s="6" t="inlineStr">
        <is>
          <t>Florawisata Santerra De Laponte</t>
        </is>
      </c>
      <c r="C47" s="6" t="n">
        <v>30000</v>
      </c>
      <c r="D47" s="6" t="n">
        <v>-7.8538694</v>
      </c>
      <c r="E47" s="6" t="n">
        <v>112.4851352</v>
      </c>
    </row>
    <row r="48">
      <c r="A48" s="14" t="n">
        <v>47</v>
      </c>
      <c r="B48" s="6" t="inlineStr">
        <is>
          <t>Bukit Teletubbies Batu</t>
        </is>
      </c>
      <c r="C48" s="6" t="n">
        <v>10000</v>
      </c>
      <c r="D48" s="6" t="n">
        <v>-7.85376</v>
      </c>
      <c r="E48" s="6" t="n">
        <v>112.5395231</v>
      </c>
    </row>
    <row r="49">
      <c r="A49" s="14" t="n">
        <v>48</v>
      </c>
      <c r="B49" s="6" t="inlineStr">
        <is>
          <t>Air Terjun Coban Glotak</t>
        </is>
      </c>
      <c r="C49" s="6" t="n">
        <v>4000</v>
      </c>
      <c r="D49" s="6" t="n">
        <v>-7.9821112</v>
      </c>
      <c r="E49" s="6" t="n">
        <v>112.5211667</v>
      </c>
    </row>
    <row r="50">
      <c r="A50" s="14" t="n">
        <v>49</v>
      </c>
      <c r="B50" s="6" t="inlineStr">
        <is>
          <t>Air Terjun Coban Tengah</t>
        </is>
      </c>
      <c r="C50" s="6" t="n">
        <v>35000</v>
      </c>
      <c r="D50" s="6" t="n">
        <v>-7.8920601</v>
      </c>
      <c r="E50" s="6" t="n">
        <v>112.4751568</v>
      </c>
    </row>
    <row r="51">
      <c r="A51" s="14" t="n">
        <v>50</v>
      </c>
      <c r="B51" s="6" t="inlineStr">
        <is>
          <t>Air Terjun Coban Jahe</t>
        </is>
      </c>
      <c r="C51" s="6" t="n">
        <v>5000</v>
      </c>
      <c r="D51" s="6" t="n">
        <v>-7.9705673</v>
      </c>
      <c r="E51" s="6" t="n">
        <v>112.8023017</v>
      </c>
    </row>
    <row r="52">
      <c r="A52" s="14" t="n">
        <v>51</v>
      </c>
      <c r="B52" s="6" t="inlineStr">
        <is>
          <t>Desa Wisata Pujonkidul</t>
        </is>
      </c>
      <c r="C52" s="6" t="n">
        <v>12500</v>
      </c>
      <c r="D52" s="6" t="n">
        <v>-7.8557059</v>
      </c>
      <c r="E52" s="6" t="n">
        <v>112.4558603</v>
      </c>
    </row>
    <row r="53">
      <c r="A53" s="14" t="n">
        <v>52</v>
      </c>
      <c r="B53" s="6" t="inlineStr">
        <is>
          <t>Gussari Goa Pinus Batu</t>
        </is>
      </c>
      <c r="C53" s="6" t="n">
        <v>10000</v>
      </c>
      <c r="D53" s="6" t="n">
        <v>-7.8480284</v>
      </c>
      <c r="E53" s="6" t="n">
        <v>112.4940029</v>
      </c>
    </row>
    <row r="54">
      <c r="A54" s="14" t="n">
        <v>53</v>
      </c>
      <c r="B54" s="6" t="inlineStr">
        <is>
          <t>Pemandian Sumber Nyolo</t>
        </is>
      </c>
      <c r="C54" s="6" t="n">
        <v>5000</v>
      </c>
      <c r="D54" s="6" t="n">
        <v>-7.8801751</v>
      </c>
      <c r="E54" s="6" t="n">
        <v>112.6208013</v>
      </c>
    </row>
    <row r="55">
      <c r="A55" s="14" t="n">
        <v>54</v>
      </c>
      <c r="B55" s="6" t="inlineStr">
        <is>
          <t>Agrowisata Telaga Madiredo</t>
        </is>
      </c>
      <c r="C55" s="6" t="n">
        <v>10000</v>
      </c>
      <c r="D55" s="6" t="n">
        <v>-7.8249722</v>
      </c>
      <c r="E55" s="6" t="n">
        <v>112.4598137</v>
      </c>
    </row>
    <row r="56">
      <c r="A56" s="14" t="n">
        <v>55</v>
      </c>
      <c r="B56" s="6" t="inlineStr">
        <is>
          <t>Sumber Sira Putukrejo</t>
        </is>
      </c>
      <c r="C56" s="6" t="n">
        <v>5000</v>
      </c>
      <c r="D56" s="6" t="n">
        <v>-8.122829299999999</v>
      </c>
      <c r="E56" s="6" t="n">
        <v>112.6206066</v>
      </c>
    </row>
    <row r="57">
      <c r="A57" s="14" t="n">
        <v>56</v>
      </c>
      <c r="B57" s="6" t="inlineStr">
        <is>
          <t>Bukit Jengkoang</t>
        </is>
      </c>
      <c r="C57" s="6" t="n">
        <v>150000</v>
      </c>
      <c r="D57" s="6" t="n">
        <v>-7.8263819</v>
      </c>
      <c r="E57" s="6" t="n">
        <v>112.5577718</v>
      </c>
    </row>
    <row r="58">
      <c r="A58" s="14" t="n">
        <v>57</v>
      </c>
      <c r="B58" s="6" t="inlineStr">
        <is>
          <t>Desa Wisata Gubugklakah ꦒꦸꦧꦸꦏ꧀ꦏ꧀ꦭꦏꦃ</t>
        </is>
      </c>
      <c r="C58" s="6" t="n">
        <v>575000</v>
      </c>
      <c r="D58" s="6" t="n">
        <v>-8.0288179</v>
      </c>
      <c r="E58" s="6" t="n">
        <v>112.8234674</v>
      </c>
    </row>
    <row r="59">
      <c r="A59" s="14" t="n">
        <v>58</v>
      </c>
      <c r="B59" s="6" t="inlineStr">
        <is>
          <t>LEMBAH BROMO</t>
        </is>
      </c>
      <c r="C59" s="6" t="n">
        <v>54000</v>
      </c>
      <c r="D59" s="6" t="n">
        <v>-8.032121999999999</v>
      </c>
      <c r="E59" s="6" t="n">
        <v>112.8273153</v>
      </c>
    </row>
    <row r="60">
      <c r="A60" s="14" t="n">
        <v>59</v>
      </c>
      <c r="B60" s="6" t="inlineStr">
        <is>
          <t>Wonosari Tea Plantation</t>
        </is>
      </c>
      <c r="C60" s="6" t="n">
        <v>15000</v>
      </c>
      <c r="D60" s="6" t="n">
        <v>-7.8203975</v>
      </c>
      <c r="E60" s="6" t="n">
        <v>112.6446857</v>
      </c>
    </row>
    <row r="61">
      <c r="A61" s="14" t="n">
        <v>60</v>
      </c>
      <c r="B61" s="6" t="inlineStr">
        <is>
          <t>Wisata Agro Selo Tumpeng (ꦮꦶꦱꦠꦱꦺꦭꦠꦸꦩ꧀ꦥꦁ)</t>
        </is>
      </c>
      <c r="C61" s="6" t="n">
        <v>25000</v>
      </c>
      <c r="D61" s="6" t="n">
        <v>-8.028335800000001</v>
      </c>
      <c r="E61" s="6" t="n">
        <v>112.4874322</v>
      </c>
    </row>
    <row r="62">
      <c r="A62" s="14" t="n">
        <v>61</v>
      </c>
      <c r="B62" s="6" t="inlineStr">
        <is>
          <t>Wisata Malang Dreamland</t>
        </is>
      </c>
      <c r="C62" s="6" t="n">
        <v>5000</v>
      </c>
      <c r="D62" s="6" t="n">
        <v>-8.083138399999999</v>
      </c>
      <c r="E62" s="6" t="n">
        <v>112.7859356</v>
      </c>
    </row>
    <row r="63">
      <c r="A63" s="14" t="n">
        <v>62</v>
      </c>
      <c r="B63" s="6" t="inlineStr">
        <is>
          <t>Air Terjun Coban Siuk</t>
        </is>
      </c>
      <c r="C63" s="6" t="n">
        <v>5000</v>
      </c>
      <c r="D63" s="6" t="n">
        <v>-7.9570911</v>
      </c>
      <c r="E63" s="6" t="n">
        <v>112.82087</v>
      </c>
    </row>
    <row r="64">
      <c r="A64" s="14" t="n">
        <v>63</v>
      </c>
      <c r="B64" s="6" t="inlineStr">
        <is>
          <t>Pantai Batu Bengkung</t>
        </is>
      </c>
      <c r="C64" s="6" t="n">
        <v>10000</v>
      </c>
      <c r="D64" s="6" t="n">
        <v>-8.430187500000001</v>
      </c>
      <c r="E64" s="6" t="n">
        <v>112.6151875</v>
      </c>
    </row>
    <row r="65">
      <c r="A65" s="14" t="n">
        <v>64</v>
      </c>
      <c r="B65" s="6" t="inlineStr">
        <is>
          <t>Coban Srengenge</t>
        </is>
      </c>
      <c r="C65" s="6" t="n">
        <v>10000</v>
      </c>
      <c r="D65" s="6" t="n">
        <v>-8.2507363</v>
      </c>
      <c r="E65" s="6" t="n">
        <v>112.8840752</v>
      </c>
    </row>
    <row r="66">
      <c r="A66" s="14" t="n">
        <v>65</v>
      </c>
      <c r="B66" s="6" t="inlineStr">
        <is>
          <t>Wisata Alam "SUMBER GENTONG"</t>
        </is>
      </c>
      <c r="C66" s="6" t="n">
        <v>5000</v>
      </c>
      <c r="D66" s="6" t="n">
        <v>-7.9442783</v>
      </c>
      <c r="E66" s="6" t="n">
        <v>112.6734667</v>
      </c>
    </row>
    <row r="67">
      <c r="A67" s="14" t="n">
        <v>66</v>
      </c>
      <c r="B67" s="6" t="inlineStr">
        <is>
          <t>Wisata Payung Batu</t>
        </is>
      </c>
      <c r="C67" s="6" t="n">
        <v>10000</v>
      </c>
      <c r="D67" s="6" t="n">
        <v>-7.8656156</v>
      </c>
      <c r="E67" s="6" t="n">
        <v>112.4888066</v>
      </c>
    </row>
    <row r="68">
      <c r="A68" s="14" t="n">
        <v>67</v>
      </c>
      <c r="B68" s="6" t="inlineStr">
        <is>
          <t>Coban Tundo</t>
        </is>
      </c>
      <c r="C68" s="6" t="n">
        <v>5000</v>
      </c>
      <c r="D68" s="6" t="n">
        <v>-8.3411808</v>
      </c>
      <c r="E68" s="6" t="n">
        <v>112.7947731</v>
      </c>
    </row>
    <row r="69">
      <c r="A69" s="14" t="n">
        <v>68</v>
      </c>
      <c r="B69" s="6" t="inlineStr">
        <is>
          <t>Bukit Waung</t>
        </is>
      </c>
      <c r="C69" s="6" t="n">
        <v>5000</v>
      </c>
      <c r="D69" s="6" t="n">
        <v>-8.3488921</v>
      </c>
      <c r="E69" s="6" t="n">
        <v>112.3677835</v>
      </c>
    </row>
    <row r="70">
      <c r="A70" s="14" t="n">
        <v>69</v>
      </c>
      <c r="B70" s="6" t="inlineStr">
        <is>
          <t>Malang Skyland</t>
        </is>
      </c>
      <c r="C70" s="6" t="n">
        <v>35000</v>
      </c>
      <c r="D70" s="6" t="n">
        <v>-7.867401</v>
      </c>
      <c r="E70" s="6" t="n">
        <v>112.5760073</v>
      </c>
    </row>
    <row r="71">
      <c r="A71" s="14" t="n">
        <v>70</v>
      </c>
      <c r="B71" s="6" t="inlineStr">
        <is>
          <t>Boonpring</t>
        </is>
      </c>
      <c r="C71" s="6" t="n">
        <v>10000</v>
      </c>
      <c r="D71" s="6" t="n">
        <v>-8.155770499999999</v>
      </c>
      <c r="E71" s="6" t="n">
        <v>112.7619607</v>
      </c>
    </row>
    <row r="72">
      <c r="A72" s="14" t="n">
        <v>71</v>
      </c>
      <c r="B72" s="6" t="inlineStr">
        <is>
          <t>PUNCAK BINGLIS</t>
        </is>
      </c>
      <c r="C72" s="6" t="n">
        <v>10000</v>
      </c>
      <c r="D72" s="6" t="n">
        <v>-8.3204505</v>
      </c>
      <c r="E72" s="6" t="n">
        <v>112.8124499</v>
      </c>
    </row>
    <row r="73">
      <c r="A73" s="14" t="n">
        <v>72</v>
      </c>
      <c r="B73" s="6" t="inlineStr">
        <is>
          <t>Wisata Umbulan Tanaka</t>
        </is>
      </c>
      <c r="C73" s="6" t="n">
        <v>5000</v>
      </c>
      <c r="D73" s="6" t="n">
        <v>-8.0850019</v>
      </c>
      <c r="E73" s="6" t="n">
        <v>112.4980953</v>
      </c>
    </row>
    <row r="74">
      <c r="A74" s="14" t="n">
        <v>73</v>
      </c>
      <c r="B74" s="6" t="inlineStr">
        <is>
          <t>Bumi Perkemahan Gunung Katu ꦨꦸꦩꦶꦥꦼꦂꦏꦺꦩꦲꦤ꧀</t>
        </is>
      </c>
      <c r="C74" s="6" t="n">
        <v>10000</v>
      </c>
      <c r="D74" s="6" t="n">
        <v>-8.029849</v>
      </c>
      <c r="E74" s="6" t="n">
        <v>112.5635613</v>
      </c>
    </row>
    <row r="75">
      <c r="A75" s="14" t="n">
        <v>74</v>
      </c>
      <c r="B75" s="6" t="inlineStr">
        <is>
          <t>Wisata Goa Pandawa</t>
        </is>
      </c>
      <c r="C75" s="6" t="n">
        <v>15000</v>
      </c>
      <c r="D75" s="6" t="n">
        <v>-7.8522618</v>
      </c>
      <c r="E75" s="6" t="n">
        <v>112.5016023</v>
      </c>
    </row>
    <row r="76">
      <c r="A76" s="14" t="n">
        <v>75</v>
      </c>
      <c r="B76" s="6" t="inlineStr">
        <is>
          <t>Sumber Nagan</t>
        </is>
      </c>
      <c r="C76" s="6" t="n">
        <v>5000</v>
      </c>
      <c r="D76" s="6" t="n">
        <v>-7.875618</v>
      </c>
      <c r="E76" s="6" t="n">
        <v>112.653535</v>
      </c>
    </row>
    <row r="77">
      <c r="A77" s="14" t="n">
        <v>76</v>
      </c>
      <c r="B77" s="6" t="inlineStr">
        <is>
          <t>Air Terjun Coban Kethak</t>
        </is>
      </c>
      <c r="C77" s="6" t="n">
        <v>10000</v>
      </c>
      <c r="D77" s="6" t="n">
        <v>-7.8028103</v>
      </c>
      <c r="E77" s="6" t="n">
        <v>112.3569176</v>
      </c>
    </row>
    <row r="78">
      <c r="A78" s="14" t="n">
        <v>77</v>
      </c>
      <c r="B78" s="6" t="inlineStr">
        <is>
          <t>Air Terjun Grojogan Sewu Pujon</t>
        </is>
      </c>
      <c r="C78" s="6" t="n">
        <v>22000</v>
      </c>
      <c r="D78" s="6" t="n">
        <v>-7.8664128</v>
      </c>
      <c r="E78" s="6" t="n">
        <v>112.4233498</v>
      </c>
    </row>
    <row r="79">
      <c r="A79" s="14" t="n">
        <v>78</v>
      </c>
      <c r="B79" s="6" t="inlineStr">
        <is>
          <t>Pari Bendo</t>
        </is>
      </c>
      <c r="C79" s="6" t="n">
        <v>20000</v>
      </c>
      <c r="D79" s="6" t="n">
        <v>-7.8354365</v>
      </c>
      <c r="E79" s="6" t="n">
        <v>112.6838566</v>
      </c>
    </row>
    <row r="80">
      <c r="A80" s="14" t="n">
        <v>79</v>
      </c>
      <c r="B80" s="6" t="inlineStr">
        <is>
          <t>Coban Nirwana</t>
        </is>
      </c>
      <c r="C80" s="6" t="n">
        <v>5000</v>
      </c>
      <c r="D80" s="6" t="n">
        <v>-8.310087100000001</v>
      </c>
      <c r="E80" s="6" t="n">
        <v>112.667504</v>
      </c>
    </row>
    <row r="81">
      <c r="A81" s="14" t="n">
        <v>80</v>
      </c>
      <c r="B81" s="6" t="inlineStr">
        <is>
          <t>Air Terjun Ciblungan</t>
        </is>
      </c>
      <c r="C81" s="6" t="n">
        <v>5000</v>
      </c>
      <c r="D81" s="6" t="n">
        <v>-8.2418175</v>
      </c>
      <c r="E81" s="6" t="n">
        <v>112.9065237</v>
      </c>
    </row>
    <row r="82">
      <c r="A82" s="14" t="n">
        <v>81</v>
      </c>
      <c r="B82" s="6" t="inlineStr">
        <is>
          <t>Air Terjun Jidor</t>
        </is>
      </c>
      <c r="C82" s="6" t="n">
        <v>5000</v>
      </c>
      <c r="D82" s="6" t="n">
        <v>-8.000312900000001</v>
      </c>
      <c r="E82" s="6" t="n">
        <v>112.8075991</v>
      </c>
    </row>
    <row r="83">
      <c r="A83" s="14" t="n">
        <v>82</v>
      </c>
      <c r="B83" s="6" t="inlineStr">
        <is>
          <t>Wiken Wisata Kampung Enem</t>
        </is>
      </c>
      <c r="C83" s="6" t="n">
        <v>5000</v>
      </c>
      <c r="D83" s="6" t="n">
        <v>-8.120277</v>
      </c>
      <c r="E83" s="6" t="n">
        <v>112.780281</v>
      </c>
    </row>
    <row r="84">
      <c r="A84" s="14" t="n">
        <v>83</v>
      </c>
      <c r="B84" s="6" t="inlineStr">
        <is>
          <t>Gunung Sari Sunset</t>
        </is>
      </c>
      <c r="C84" s="6" t="n">
        <v>5000</v>
      </c>
      <c r="D84" s="6" t="n">
        <v>-8.013536200000001</v>
      </c>
      <c r="E84" s="6" t="n">
        <v>112.8534067</v>
      </c>
    </row>
    <row r="85">
      <c r="A85" s="14" t="n">
        <v>84</v>
      </c>
      <c r="B85" s="6" t="inlineStr">
        <is>
          <t>WISATA GUNUNG MALANG</t>
        </is>
      </c>
      <c r="C85" s="6" t="n">
        <v>54000</v>
      </c>
      <c r="D85" s="6" t="n">
        <v>-8.309943199999999</v>
      </c>
      <c r="E85" s="6" t="n">
        <v>112.3932102</v>
      </c>
    </row>
    <row r="86">
      <c r="A86" s="14" t="n">
        <v>85</v>
      </c>
      <c r="B86" s="6" t="inlineStr">
        <is>
          <t>Labirin Coban Rondo</t>
        </is>
      </c>
      <c r="C86" s="6" t="n">
        <v>35000</v>
      </c>
      <c r="D86" s="6" t="n">
        <v>-7.8682192</v>
      </c>
      <c r="E86" s="6" t="n">
        <v>112.4850916</v>
      </c>
    </row>
    <row r="87">
      <c r="A87" s="14" t="n">
        <v>86</v>
      </c>
      <c r="B87" s="6" t="inlineStr">
        <is>
          <t>Meeting Point Pujon Rafting</t>
        </is>
      </c>
      <c r="C87" s="6" t="n">
        <v>150000</v>
      </c>
      <c r="D87" s="6" t="n">
        <v>-7.8396791</v>
      </c>
      <c r="E87" s="6" t="n">
        <v>112.4497747</v>
      </c>
    </row>
    <row r="88">
      <c r="A88" s="14" t="n">
        <v>87</v>
      </c>
      <c r="B88" s="6" t="inlineStr">
        <is>
          <t>Petilasan Mbah Wali Besi, Mbah Endang Sari - Gunung Tanggung</t>
        </is>
      </c>
      <c r="C88" s="6" t="n">
        <v>30000</v>
      </c>
      <c r="D88" s="6" t="n">
        <v>-7.9251344</v>
      </c>
      <c r="E88" s="6" t="n">
        <v>112.8056887</v>
      </c>
    </row>
    <row r="89">
      <c r="A89" s="14" t="n">
        <v>88</v>
      </c>
      <c r="B89" s="6" t="inlineStr">
        <is>
          <t>Desa Wisata Sidorejo Indah ( Dewi Sri )</t>
        </is>
      </c>
      <c r="C89" s="6" t="n">
        <v>5000</v>
      </c>
      <c r="D89" s="6" t="n">
        <v>-7.9727686</v>
      </c>
      <c r="E89" s="6" t="n">
        <v>112.7541743</v>
      </c>
    </row>
    <row r="90">
      <c r="A90" s="14" t="n">
        <v>89</v>
      </c>
      <c r="B90" s="6" t="inlineStr">
        <is>
          <t>Alun Alun Tugu Malang</t>
        </is>
      </c>
      <c r="C90" s="6" t="n">
        <v>2000</v>
      </c>
      <c r="D90" s="6" t="n">
        <v>-7.977143</v>
      </c>
      <c r="E90" s="6" t="n">
        <v>112.6340478</v>
      </c>
    </row>
    <row r="91">
      <c r="A91" s="14" t="n">
        <v>90</v>
      </c>
      <c r="B91" s="6" t="inlineStr">
        <is>
          <t>Pentungan Sari Waterpark</t>
        </is>
      </c>
      <c r="C91" s="6" t="n">
        <v>8000</v>
      </c>
      <c r="D91" s="6" t="n">
        <v>-7.8522273</v>
      </c>
      <c r="E91" s="6" t="n">
        <v>112.6583238</v>
      </c>
    </row>
    <row r="92">
      <c r="A92" s="14" t="n">
        <v>91</v>
      </c>
      <c r="B92" s="6" t="inlineStr">
        <is>
          <t>Pondok Wisata Latar Ombo "L.O."</t>
        </is>
      </c>
      <c r="C92" s="6" t="n">
        <v>5000</v>
      </c>
      <c r="D92" s="6" t="n">
        <v>-7.9780562</v>
      </c>
      <c r="E92" s="6" t="n">
        <v>112.5617927</v>
      </c>
    </row>
    <row r="93">
      <c r="A93" s="14" t="n">
        <v>92</v>
      </c>
      <c r="B93" s="6" t="inlineStr">
        <is>
          <t>Tlogo Land</t>
        </is>
      </c>
      <c r="C93" s="6" t="n">
        <v>5000</v>
      </c>
      <c r="D93" s="6" t="n">
        <v>-7.8272887</v>
      </c>
      <c r="E93" s="6" t="n">
        <v>112.6810779</v>
      </c>
    </row>
    <row r="94">
      <c r="A94" s="14" t="n">
        <v>93</v>
      </c>
      <c r="B94" s="6" t="inlineStr">
        <is>
          <t>COBAN PANDAWA</t>
        </is>
      </c>
      <c r="C94" s="6" t="n">
        <v>2000</v>
      </c>
      <c r="D94" s="6" t="n">
        <v>-8.3106761</v>
      </c>
      <c r="E94" s="6" t="n">
        <v>112.7842676</v>
      </c>
    </row>
    <row r="95">
      <c r="A95" s="14" t="n">
        <v>94</v>
      </c>
      <c r="B95" s="6" t="inlineStr">
        <is>
          <t>Wisata Petik Jeruk Dau</t>
        </is>
      </c>
      <c r="C95" s="6" t="n">
        <v>15000</v>
      </c>
      <c r="D95" s="6" t="n">
        <v>-7.938718</v>
      </c>
      <c r="E95" s="6" t="n">
        <v>112.5394091</v>
      </c>
    </row>
    <row r="96">
      <c r="A96" s="14" t="n">
        <v>95</v>
      </c>
      <c r="B96" s="6" t="inlineStr">
        <is>
          <t>Pasir Berbisik</t>
        </is>
      </c>
      <c r="C96" s="6" t="n">
        <v>29000</v>
      </c>
      <c r="D96" s="6" t="n">
        <v>-7.9379202</v>
      </c>
      <c r="E96" s="6" t="n">
        <v>112.9704424</v>
      </c>
    </row>
    <row r="97">
      <c r="A97" s="14" t="n">
        <v>96</v>
      </c>
      <c r="B97" s="6" t="inlineStr">
        <is>
          <t>Songgoriti Hot Springs</t>
        </is>
      </c>
      <c r="C97" s="6" t="n">
        <v>40000</v>
      </c>
      <c r="D97" s="6" t="n">
        <v>-7.8666705</v>
      </c>
      <c r="E97" s="6" t="n">
        <v>112.4942809</v>
      </c>
    </row>
    <row r="98">
      <c r="A98" s="14" t="n">
        <v>97</v>
      </c>
      <c r="B98" s="6" t="inlineStr">
        <is>
          <t>Petik Apel Green Garden</t>
        </is>
      </c>
      <c r="C98" s="6" t="n">
        <v>25000</v>
      </c>
      <c r="D98" s="6" t="n">
        <v>-7.8230867</v>
      </c>
      <c r="E98" s="6" t="n">
        <v>112.5290217</v>
      </c>
    </row>
    <row r="99">
      <c r="A99" s="14" t="n">
        <v>98</v>
      </c>
      <c r="B99" s="6" t="inlineStr">
        <is>
          <t>Target Terjun Payung</t>
        </is>
      </c>
      <c r="C99" s="6" t="n">
        <v>10000</v>
      </c>
      <c r="D99" s="6" t="n">
        <v>-7.8884713</v>
      </c>
      <c r="E99" s="6" t="n">
        <v>112.7442208</v>
      </c>
    </row>
    <row r="100">
      <c r="A100" s="14" t="n">
        <v>99</v>
      </c>
      <c r="B100" s="6" t="inlineStr">
        <is>
          <t>Wisata Desa BONPI / de' Asmorondono</t>
        </is>
      </c>
      <c r="C100" s="6" t="n">
        <v>10000</v>
      </c>
      <c r="D100" s="6" t="n">
        <v>-7.8386369</v>
      </c>
      <c r="E100" s="6" t="n">
        <v>112.4540645</v>
      </c>
    </row>
    <row r="101">
      <c r="A101" s="14" t="n">
        <v>100</v>
      </c>
      <c r="B101" s="6" t="inlineStr">
        <is>
          <t>Wisata Coban Rondo</t>
        </is>
      </c>
      <c r="C101" s="6" t="n">
        <v>35000</v>
      </c>
      <c r="D101" s="6" t="n">
        <v>-7.8703079</v>
      </c>
      <c r="E101" s="6" t="n">
        <v>112.4815685</v>
      </c>
    </row>
    <row r="102">
      <c r="A102" s="14" t="n">
        <v>101</v>
      </c>
      <c r="B102" s="6" t="inlineStr">
        <is>
          <t>Rafting Kasembon</t>
        </is>
      </c>
      <c r="C102" s="6" t="n">
        <v>175000</v>
      </c>
      <c r="D102" s="6" t="n">
        <v>-7.950725</v>
      </c>
      <c r="E102" s="6" t="n">
        <v>112.619282</v>
      </c>
    </row>
    <row r="103">
      <c r="A103" s="14" t="n">
        <v>102</v>
      </c>
      <c r="B103" s="6" t="inlineStr">
        <is>
          <t>Coban Sumber Papat ꦕꦺꦴꦧꦤ꧀ꦱꦸꦩ꧀ꦧꦼꦂꦥꦥꦠ꧀</t>
        </is>
      </c>
      <c r="C103" s="6" t="n">
        <v>10000</v>
      </c>
      <c r="D103" s="6" t="n">
        <v>-7.8962514</v>
      </c>
      <c r="E103" s="6" t="n">
        <v>112.4623389</v>
      </c>
    </row>
    <row r="104">
      <c r="A104" s="14" t="n">
        <v>103</v>
      </c>
      <c r="B104" s="6" t="inlineStr">
        <is>
          <t>Gunung Ringgit</t>
        </is>
      </c>
      <c r="C104" s="6" t="n">
        <v>20000</v>
      </c>
      <c r="D104" s="6" t="n">
        <v>-7.9131508</v>
      </c>
      <c r="E104" s="6" t="n">
        <v>113.0049682</v>
      </c>
    </row>
    <row r="105">
      <c r="A105" s="14" t="n">
        <v>104</v>
      </c>
      <c r="B105" s="6" t="inlineStr">
        <is>
          <t>Penanjakan Bromo</t>
        </is>
      </c>
      <c r="C105" s="6" t="n">
        <v>54000</v>
      </c>
      <c r="D105" s="6" t="n">
        <v>-7.9045913</v>
      </c>
      <c r="E105" s="6" t="n">
        <v>112.9510862</v>
      </c>
    </row>
    <row r="106">
      <c r="A106" s="14" t="n">
        <v>105</v>
      </c>
      <c r="B106" s="6" t="inlineStr">
        <is>
          <t>Cafe Sawah Pujonkidul</t>
        </is>
      </c>
      <c r="C106" s="6" t="n">
        <v>12500</v>
      </c>
      <c r="D106" s="6" t="n">
        <v>-7.8545719</v>
      </c>
      <c r="E106" s="6" t="n">
        <v>112.4538339</v>
      </c>
    </row>
    <row r="107">
      <c r="A107" s="14" t="n">
        <v>106</v>
      </c>
      <c r="B107" s="6" t="inlineStr">
        <is>
          <t>Kebun Rojo Camp</t>
        </is>
      </c>
      <c r="C107" s="6" t="n">
        <v>15000</v>
      </c>
      <c r="D107" s="6" t="n">
        <v>-7.928933</v>
      </c>
      <c r="E107" s="6" t="n">
        <v>112.5181222</v>
      </c>
    </row>
    <row r="108">
      <c r="A108" s="14" t="n">
        <v>107</v>
      </c>
      <c r="B108" s="6" t="inlineStr">
        <is>
          <t>Batu Night Spectacular</t>
        </is>
      </c>
      <c r="C108" s="6" t="n">
        <v>35000</v>
      </c>
      <c r="D108" s="6" t="n">
        <v>-7.8965741</v>
      </c>
      <c r="E108" s="6" t="n">
        <v>112.5345361</v>
      </c>
    </row>
    <row r="109">
      <c r="A109" s="14" t="n">
        <v>108</v>
      </c>
      <c r="B109" s="6" t="inlineStr">
        <is>
          <t>Museum Angkut</t>
        </is>
      </c>
      <c r="C109" s="6" t="n">
        <v>100000</v>
      </c>
      <c r="D109" s="6" t="n">
        <v>-7.8790652</v>
      </c>
      <c r="E109" s="6" t="n">
        <v>112.5187151</v>
      </c>
    </row>
    <row r="110">
      <c r="A110" s="14" t="n">
        <v>109</v>
      </c>
      <c r="B110" s="6" t="inlineStr">
        <is>
          <t>Kampung Budaya Polowijen</t>
        </is>
      </c>
      <c r="C110" s="6" t="n">
        <v>15000</v>
      </c>
      <c r="D110" s="6" t="n">
        <v>-7.9293194</v>
      </c>
      <c r="E110" s="6" t="n">
        <v>112.6433852</v>
      </c>
    </row>
    <row r="111">
      <c r="A111" s="14" t="n">
        <v>110</v>
      </c>
      <c r="B111" s="6" t="inlineStr">
        <is>
          <t>Sumber Air Wendit Lanang</t>
        </is>
      </c>
      <c r="C111" s="6" t="n">
        <v>40000</v>
      </c>
      <c r="D111" s="6" t="n">
        <v>-7.9476788</v>
      </c>
      <c r="E111" s="6" t="n">
        <v>112.678187</v>
      </c>
    </row>
    <row r="112">
      <c r="A112" s="14" t="n">
        <v>111</v>
      </c>
      <c r="B112" s="6" t="inlineStr">
        <is>
          <t>Kampung Tridi</t>
        </is>
      </c>
      <c r="C112" s="6" t="n">
        <v>5000</v>
      </c>
      <c r="D112" s="6" t="n">
        <v>-7.9822081</v>
      </c>
      <c r="E112" s="6" t="n">
        <v>112.638085</v>
      </c>
    </row>
    <row r="113">
      <c r="A113" s="14" t="n">
        <v>112</v>
      </c>
      <c r="B113" s="6" t="inlineStr">
        <is>
          <t>Wisata Kampung Putih Malang</t>
        </is>
      </c>
      <c r="C113" s="6" t="n">
        <v>5000</v>
      </c>
      <c r="D113" s="6" t="n">
        <v>-7.9727599</v>
      </c>
      <c r="E113" s="6" t="n">
        <v>112.6309237</v>
      </c>
    </row>
    <row r="114">
      <c r="A114" s="14" t="n">
        <v>113</v>
      </c>
      <c r="B114" s="6" t="inlineStr">
        <is>
          <t>Alun-Alun Malang</t>
        </is>
      </c>
      <c r="C114" s="6" t="n">
        <v>2000</v>
      </c>
      <c r="D114" s="6" t="n">
        <v>-7.9826145</v>
      </c>
      <c r="E114" s="6" t="n">
        <v>112.6308113</v>
      </c>
    </row>
    <row r="115">
      <c r="A115" s="14" t="n">
        <v>114</v>
      </c>
      <c r="B115" s="6" t="inlineStr">
        <is>
          <t>Monumen Juang</t>
        </is>
      </c>
      <c r="C115" s="6" t="n">
        <v>2000</v>
      </c>
      <c r="D115" s="6" t="n">
        <v>-7.9775531</v>
      </c>
      <c r="E115" s="6" t="n">
        <v>112.636329</v>
      </c>
    </row>
    <row r="116">
      <c r="A116" s="14" t="n">
        <v>115</v>
      </c>
      <c r="B116" s="6" t="inlineStr">
        <is>
          <t>Graha Tumapel</t>
        </is>
      </c>
      <c r="C116" s="6" t="n">
        <v>5000</v>
      </c>
      <c r="D116" s="6" t="n">
        <v>-7.9782186</v>
      </c>
      <c r="E116" s="6" t="n">
        <v>112.6327729</v>
      </c>
    </row>
    <row r="117">
      <c r="A117" s="14" t="n">
        <v>116</v>
      </c>
      <c r="B117" s="6" t="inlineStr">
        <is>
          <t>Kampoeng Heritage Kajoetangan</t>
        </is>
      </c>
      <c r="C117" s="6" t="n">
        <v>5000</v>
      </c>
      <c r="D117" s="6" t="n">
        <v>-7.978964</v>
      </c>
      <c r="E117" s="6" t="n">
        <v>112.6292965</v>
      </c>
    </row>
    <row r="118">
      <c r="A118" s="14" t="n">
        <v>117</v>
      </c>
      <c r="B118" s="6" t="inlineStr">
        <is>
          <t>Air Terjun Parang Tejo</t>
        </is>
      </c>
      <c r="C118" s="6" t="n">
        <v>15000</v>
      </c>
      <c r="D118" s="6" t="n">
        <v>-7.9319978</v>
      </c>
      <c r="E118" s="6" t="n">
        <v>112.5128508</v>
      </c>
    </row>
    <row r="119">
      <c r="A119" s="14" t="n">
        <v>118</v>
      </c>
      <c r="B119" s="6" t="inlineStr">
        <is>
          <t>"BAMBOO MEWEK PARK"</t>
        </is>
      </c>
      <c r="C119" s="6" t="n">
        <v>3000</v>
      </c>
      <c r="D119" s="6" t="n">
        <v>-7.9230017</v>
      </c>
      <c r="E119" s="6" t="n">
        <v>112.6361784</v>
      </c>
    </row>
    <row r="120">
      <c r="A120" s="14" t="n">
        <v>119</v>
      </c>
      <c r="B120" s="6" t="inlineStr">
        <is>
          <t>Sevenfield Sport Wisata Air</t>
        </is>
      </c>
      <c r="C120" s="6" t="n">
        <v>20000</v>
      </c>
      <c r="D120" s="6" t="n">
        <v>-7.909525</v>
      </c>
      <c r="E120" s="6" t="n">
        <v>112.627203</v>
      </c>
    </row>
    <row r="121">
      <c r="A121" s="14" t="n">
        <v>120</v>
      </c>
      <c r="B121" s="6" t="inlineStr">
        <is>
          <t>Brakseng</t>
        </is>
      </c>
      <c r="C121" s="6" t="n">
        <v>5000</v>
      </c>
      <c r="D121" s="6" t="n">
        <v>-7.7552845</v>
      </c>
      <c r="E121" s="6" t="n">
        <v>112.5405447</v>
      </c>
    </row>
    <row r="122">
      <c r="A122" s="14" t="n">
        <v>121</v>
      </c>
      <c r="B122" s="6" t="inlineStr">
        <is>
          <t>Sumber Umbulan Singosari</t>
        </is>
      </c>
      <c r="C122" s="6" t="n">
        <v>2000</v>
      </c>
      <c r="D122" s="6" t="n">
        <v>-7.8952854</v>
      </c>
      <c r="E122" s="6" t="n">
        <v>112.6291233</v>
      </c>
    </row>
    <row r="123">
      <c r="A123" s="14" t="n">
        <v>122</v>
      </c>
      <c r="B123" s="6" t="inlineStr">
        <is>
          <t>Eco Active Park</t>
        </is>
      </c>
      <c r="C123" s="6" t="n">
        <v>65000</v>
      </c>
      <c r="D123" s="6" t="n">
        <v>-7.8877752</v>
      </c>
      <c r="E123" s="6" t="n">
        <v>112.5266102</v>
      </c>
    </row>
    <row r="124">
      <c r="A124" s="14" t="n">
        <v>123</v>
      </c>
      <c r="B124" s="6" t="inlineStr">
        <is>
          <t>Kampung Biru Arema</t>
        </is>
      </c>
      <c r="C124" s="6" t="n">
        <v>3000</v>
      </c>
      <c r="D124" s="6" t="n">
        <v>-7.9813051</v>
      </c>
      <c r="E124" s="6" t="n">
        <v>112.6376925</v>
      </c>
    </row>
    <row r="125">
      <c r="A125" s="14" t="n">
        <v>124</v>
      </c>
      <c r="B125" s="6" t="inlineStr">
        <is>
          <t>Kampung Warna Warni Jodipan</t>
        </is>
      </c>
      <c r="C125" s="6" t="n">
        <v>2000</v>
      </c>
      <c r="D125" s="6" t="n">
        <v>-7.9828797</v>
      </c>
      <c r="E125" s="6" t="n">
        <v>112.6372548</v>
      </c>
    </row>
    <row r="126">
      <c r="A126" s="14" t="n">
        <v>125</v>
      </c>
      <c r="B126" s="6" t="inlineStr">
        <is>
          <t>Idjen Boulevard</t>
        </is>
      </c>
      <c r="C126" s="6" t="n">
        <v>2000</v>
      </c>
      <c r="D126" s="6" t="n">
        <v>-7.9723826</v>
      </c>
      <c r="E126" s="6" t="n">
        <v>112.6218276</v>
      </c>
    </row>
    <row r="127">
      <c r="A127" s="14" t="n">
        <v>126</v>
      </c>
      <c r="B127" s="6" t="inlineStr">
        <is>
          <t>Wisata Kali Cemplong</t>
        </is>
      </c>
      <c r="C127" s="6" t="n">
        <v>30000</v>
      </c>
      <c r="D127" s="6" t="n">
        <v>-7.9608731</v>
      </c>
      <c r="E127" s="6" t="n">
        <v>112.6612112</v>
      </c>
    </row>
    <row r="128">
      <c r="A128" s="14" t="n">
        <v>127</v>
      </c>
      <c r="B128" s="6" t="inlineStr">
        <is>
          <t>Pemandian Kalireco</t>
        </is>
      </c>
      <c r="C128" s="6" t="n">
        <v>5000</v>
      </c>
      <c r="D128" s="6" t="n">
        <v>-7.8427</v>
      </c>
      <c r="E128" s="6" t="n">
        <v>112.700403</v>
      </c>
    </row>
    <row r="129">
      <c r="A129" s="14" t="n">
        <v>128</v>
      </c>
      <c r="B129" s="6" t="inlineStr">
        <is>
          <t>Jawa Timur Park 3</t>
        </is>
      </c>
      <c r="C129" s="6" t="n">
        <v>30000</v>
      </c>
      <c r="D129" s="6" t="n">
        <v>-7.8971338</v>
      </c>
      <c r="E129" s="6" t="n">
        <v>112.5531027</v>
      </c>
    </row>
    <row r="130">
      <c r="A130" s="14" t="n">
        <v>129</v>
      </c>
      <c r="B130" s="6" t="inlineStr">
        <is>
          <t>Jembatan Kaca Ngalam Indonesia</t>
        </is>
      </c>
      <c r="C130" s="6" t="n">
        <v>40000</v>
      </c>
      <c r="D130" s="6" t="n">
        <v>-7.9831936</v>
      </c>
      <c r="E130" s="6" t="n">
        <v>112.637773</v>
      </c>
    </row>
    <row r="131">
      <c r="A131" s="14" t="n">
        <v>130</v>
      </c>
      <c r="B131" s="6" t="inlineStr">
        <is>
          <t>Coban Manten</t>
        </is>
      </c>
      <c r="C131" s="6" t="n">
        <v>10000</v>
      </c>
      <c r="D131" s="6" t="n">
        <v>-7.8996567</v>
      </c>
      <c r="E131" s="6" t="n">
        <v>112.4741847</v>
      </c>
    </row>
    <row r="132">
      <c r="A132" s="14" t="n">
        <v>131</v>
      </c>
      <c r="B132" s="6" t="inlineStr">
        <is>
          <t>Patung Singo Edan Arema</t>
        </is>
      </c>
      <c r="C132" s="6" t="n">
        <v>2000</v>
      </c>
      <c r="D132" s="6" t="n">
        <v>-7.977314</v>
      </c>
      <c r="E132" s="6" t="n">
        <v>112.6366485</v>
      </c>
    </row>
    <row r="133">
      <c r="A133" s="14" t="n">
        <v>132</v>
      </c>
      <c r="B133" s="6" t="inlineStr">
        <is>
          <t>Wisata Kampung Topeng</t>
        </is>
      </c>
      <c r="C133" s="6" t="n">
        <v>5000</v>
      </c>
      <c r="D133" s="6" t="n">
        <v>-8.027233300000001</v>
      </c>
      <c r="E133" s="6" t="n">
        <v>112.6749005</v>
      </c>
    </row>
    <row r="134">
      <c r="A134" s="14" t="n">
        <v>133</v>
      </c>
      <c r="B134" s="6" t="inlineStr">
        <is>
          <t>Lapangan Rampal</t>
        </is>
      </c>
      <c r="C134" s="6" t="n">
        <v>10000</v>
      </c>
      <c r="D134" s="6" t="n">
        <v>-7.9737769</v>
      </c>
      <c r="E134" s="6" t="n">
        <v>112.6404197</v>
      </c>
    </row>
    <row r="135">
      <c r="A135" s="14" t="n">
        <v>134</v>
      </c>
      <c r="B135" s="6" t="inlineStr">
        <is>
          <t>Brawijaya Edupark</t>
        </is>
      </c>
      <c r="C135" s="6" t="n">
        <v>20000</v>
      </c>
      <c r="D135" s="6" t="n">
        <v>-7.975767</v>
      </c>
      <c r="E135" s="6" t="n">
        <v>112.631746</v>
      </c>
    </row>
    <row r="136">
      <c r="A136" s="14" t="n">
        <v>135</v>
      </c>
      <c r="B136" s="6" t="inlineStr">
        <is>
          <t>Malang Night Paradise</t>
        </is>
      </c>
      <c r="C136" s="6" t="n">
        <v>75000</v>
      </c>
      <c r="D136" s="6" t="n">
        <v>-7.9235099</v>
      </c>
      <c r="E136" s="6" t="n">
        <v>112.6580123</v>
      </c>
    </row>
    <row r="137">
      <c r="A137" s="14" t="n">
        <v>136</v>
      </c>
      <c r="B137" s="6" t="inlineStr">
        <is>
          <t>Wisata Kayutangan Kota Malang</t>
        </is>
      </c>
      <c r="C137" s="6" t="n">
        <v>5000</v>
      </c>
      <c r="D137" s="6" t="n">
        <v>-7.9776301</v>
      </c>
      <c r="E137" s="6" t="n">
        <v>112.6293576</v>
      </c>
    </row>
    <row r="138">
      <c r="A138" s="14" t="n">
        <v>137</v>
      </c>
      <c r="B138" s="6" t="inlineStr">
        <is>
          <t>Candi Badut</t>
        </is>
      </c>
      <c r="C138" s="6" t="n">
        <v>10000</v>
      </c>
      <c r="D138" s="6" t="n">
        <v>-7.9577761</v>
      </c>
      <c r="E138" s="6" t="n">
        <v>112.5986081</v>
      </c>
    </row>
    <row r="139">
      <c r="A139" s="14" t="n">
        <v>138</v>
      </c>
      <c r="B139" s="6" t="inlineStr">
        <is>
          <t>Wana Wisata Perhutani Malang</t>
        </is>
      </c>
      <c r="C139" s="6" t="n">
        <v>35000</v>
      </c>
      <c r="D139" s="6" t="n">
        <v>-7.968701</v>
      </c>
      <c r="E139" s="6" t="n">
        <v>112.6351501</v>
      </c>
    </row>
    <row r="140">
      <c r="A140" s="14" t="n">
        <v>139</v>
      </c>
      <c r="B140" s="6" t="inlineStr">
        <is>
          <t>Wisata Agro Petik Jeruk</t>
        </is>
      </c>
      <c r="C140" s="6" t="n">
        <v>15000</v>
      </c>
      <c r="D140" s="6" t="n">
        <v>-7.9390977</v>
      </c>
      <c r="E140" s="6" t="n">
        <v>112.5538888</v>
      </c>
    </row>
    <row r="141">
      <c r="A141" s="14" t="n">
        <v>140</v>
      </c>
      <c r="B141" s="6" t="inlineStr">
        <is>
          <t>Wisata alam Lembah Ken Arok</t>
        </is>
      </c>
      <c r="C141" s="6" t="n">
        <v>20000</v>
      </c>
      <c r="D141" s="6" t="n">
        <v>-8.030439299999999</v>
      </c>
      <c r="E141" s="6" t="n">
        <v>112.5645138</v>
      </c>
    </row>
    <row r="142">
      <c r="A142" s="14" t="n">
        <v>141</v>
      </c>
      <c r="B142" s="6" t="inlineStr">
        <is>
          <t>Air Terjun Coban Rais</t>
        </is>
      </c>
      <c r="C142" s="6" t="n">
        <v>10000</v>
      </c>
      <c r="D142" s="6" t="n">
        <v>-7.9116767</v>
      </c>
      <c r="E142" s="6" t="n">
        <v>112.5184342</v>
      </c>
    </row>
    <row r="143">
      <c r="A143" s="14" t="n">
        <v>142</v>
      </c>
      <c r="B143" s="6" t="inlineStr">
        <is>
          <t>Tomboan Ngawonggo</t>
        </is>
      </c>
      <c r="C143" s="6" t="n">
        <v>5000</v>
      </c>
      <c r="D143" s="6" t="n">
        <v>-8.079630999999999</v>
      </c>
      <c r="E143" s="6" t="n">
        <v>112.704618</v>
      </c>
    </row>
    <row r="144">
      <c r="A144" s="14" t="n">
        <v>143</v>
      </c>
      <c r="B144" s="6" t="inlineStr">
        <is>
          <t>Hawai Waterpark</t>
        </is>
      </c>
      <c r="C144" s="6" t="n">
        <v>85000</v>
      </c>
      <c r="D144" s="6" t="n">
        <v>-7.9234101</v>
      </c>
      <c r="E144" s="6" t="n">
        <v>112.657862</v>
      </c>
    </row>
    <row r="145">
      <c r="A145" s="14" t="n">
        <v>144</v>
      </c>
      <c r="B145" s="6" t="inlineStr">
        <is>
          <t>Lembah Tumpang Resort</t>
        </is>
      </c>
      <c r="C145" s="6" t="n">
        <v>60000</v>
      </c>
      <c r="D145" s="6" t="n">
        <v>-7.9942415</v>
      </c>
      <c r="E145" s="6" t="n">
        <v>112.737865</v>
      </c>
    </row>
    <row r="146">
      <c r="A146" s="14" t="n">
        <v>145</v>
      </c>
      <c r="B146" s="6" t="inlineStr">
        <is>
          <t>Alun-Alun Kota Wisata Batu</t>
        </is>
      </c>
      <c r="C146" s="6" t="n">
        <v>5000</v>
      </c>
      <c r="D146" s="6" t="n">
        <v>-7.8711714</v>
      </c>
      <c r="E146" s="6" t="n">
        <v>112.5269243</v>
      </c>
    </row>
    <row r="147">
      <c r="A147" s="14" t="n">
        <v>146</v>
      </c>
      <c r="B147" s="6" t="inlineStr">
        <is>
          <t>Sweetmemoriesselfie</t>
        </is>
      </c>
      <c r="C147" s="6" t="n">
        <v>30000</v>
      </c>
      <c r="D147" s="6" t="n">
        <v>-7.983933</v>
      </c>
      <c r="E147" s="6" t="n">
        <v>112.6321102</v>
      </c>
    </row>
    <row r="148">
      <c r="A148" s="14" t="n">
        <v>147</v>
      </c>
      <c r="B148" s="6" t="inlineStr">
        <is>
          <t>Pecinan Malang</t>
        </is>
      </c>
      <c r="C148" s="6" t="n">
        <v>30000</v>
      </c>
      <c r="D148" s="6" t="n">
        <v>-7.9860032</v>
      </c>
      <c r="E148" s="6" t="n">
        <v>112.6334661</v>
      </c>
    </row>
    <row r="149">
      <c r="A149" s="14" t="n">
        <v>148</v>
      </c>
      <c r="B149" s="6" t="inlineStr">
        <is>
          <t>SANGGAR SEMAR</t>
        </is>
      </c>
      <c r="C149" s="6" t="n">
        <v>30000</v>
      </c>
      <c r="D149" s="6" t="n">
        <v>-7.9276929</v>
      </c>
      <c r="E149" s="6" t="n">
        <v>112.6554293</v>
      </c>
    </row>
    <row r="150">
      <c r="A150" s="14" t="n">
        <v>149</v>
      </c>
      <c r="B150" s="6" t="inlineStr">
        <is>
          <t>Unimaz Rajut</t>
        </is>
      </c>
      <c r="C150" s="6" t="n">
        <v>36239</v>
      </c>
      <c r="D150" s="6" t="n">
        <v>-7.9649155</v>
      </c>
      <c r="E150" s="6" t="n">
        <v>112.5961882</v>
      </c>
    </row>
    <row r="151">
      <c r="A151" s="14" t="n">
        <v>150</v>
      </c>
      <c r="B151" s="6" t="inlineStr">
        <is>
          <t>Coban Amprong</t>
        </is>
      </c>
      <c r="C151" s="6" t="n">
        <v>10000</v>
      </c>
      <c r="D151" s="6" t="n">
        <v>-7.99282</v>
      </c>
      <c r="E151" s="6" t="n">
        <v>112.6495368</v>
      </c>
    </row>
    <row r="152">
      <c r="A152" s="14" t="n">
        <v>151</v>
      </c>
      <c r="B152" s="6" t="inlineStr">
        <is>
          <t>Pintu Masuk Kampoeng Heritage Kajoetangan</t>
        </is>
      </c>
      <c r="C152" s="6" t="n">
        <v>5000</v>
      </c>
      <c r="D152" s="6" t="n">
        <v>-7.9789835</v>
      </c>
      <c r="E152" s="6" t="n">
        <v>112.6276601</v>
      </c>
    </row>
    <row r="153">
      <c r="A153" s="14" t="n">
        <v>152</v>
      </c>
      <c r="B153" s="6" t="inlineStr">
        <is>
          <t>bromoindonesia.id</t>
        </is>
      </c>
      <c r="C153" s="6" t="n">
        <v>54000</v>
      </c>
      <c r="D153" s="6" t="n">
        <v>-7.9676542</v>
      </c>
      <c r="E153" s="6" t="n">
        <v>112.6161205</v>
      </c>
    </row>
    <row r="154">
      <c r="A154" s="14" t="n">
        <v>153</v>
      </c>
      <c r="B154" s="6" t="inlineStr">
        <is>
          <t>Wisata kali djaeng</t>
        </is>
      </c>
      <c r="C154" s="6" t="n">
        <v>35000</v>
      </c>
      <c r="D154" s="6" t="n">
        <v>-7.9105493</v>
      </c>
      <c r="E154" s="6" t="n">
        <v>112.6382561</v>
      </c>
    </row>
    <row r="155">
      <c r="A155" s="14" t="n">
        <v>154</v>
      </c>
      <c r="B155" s="6" t="inlineStr">
        <is>
          <t>Bromo Midnight Tour</t>
        </is>
      </c>
      <c r="C155" s="6" t="n">
        <v>300000</v>
      </c>
      <c r="D155" s="6" t="n">
        <v>-7.95255</v>
      </c>
      <c r="E155" s="6" t="n">
        <v>112.6793106</v>
      </c>
    </row>
    <row r="156">
      <c r="A156" s="14" t="n">
        <v>155</v>
      </c>
      <c r="B156" s="6" t="inlineStr">
        <is>
          <t>Kolam Pemancingan &amp; Lesehan Beran Sundeng</t>
        </is>
      </c>
      <c r="C156" s="6" t="n">
        <v>48000</v>
      </c>
      <c r="D156" s="6" t="n">
        <v>-7.9706652</v>
      </c>
      <c r="E156" s="6" t="n">
        <v>112.6559987</v>
      </c>
    </row>
    <row r="157">
      <c r="A157" s="14" t="n">
        <v>156</v>
      </c>
      <c r="B157" s="6" t="inlineStr">
        <is>
          <t>Bis Wisata Malang (Macito)</t>
        </is>
      </c>
      <c r="C157" s="6" t="n">
        <v>30000</v>
      </c>
      <c r="D157" s="6" t="n">
        <v>-7.9766762</v>
      </c>
      <c r="E157" s="6" t="n">
        <v>112.6248925</v>
      </c>
    </row>
    <row r="158">
      <c r="A158" s="14" t="n">
        <v>157</v>
      </c>
      <c r="B158" s="6" t="inlineStr">
        <is>
          <t>Monumen Melati Kadet Suropati</t>
        </is>
      </c>
      <c r="C158" s="6" t="n">
        <v>15000</v>
      </c>
      <c r="D158" s="6" t="n">
        <v>-7.9722947</v>
      </c>
      <c r="E158" s="6" t="n">
        <v>112.6216063</v>
      </c>
    </row>
    <row r="159">
      <c r="A159" s="14" t="n">
        <v>158</v>
      </c>
      <c r="B159" s="6" t="inlineStr">
        <is>
          <t>Candi Sumberawan</t>
        </is>
      </c>
      <c r="C159" s="6" t="n">
        <v>5000</v>
      </c>
      <c r="D159" s="6" t="n">
        <v>-7.8553802</v>
      </c>
      <c r="E159" s="6" t="n">
        <v>112.6447984</v>
      </c>
    </row>
    <row r="160">
      <c r="A160" s="14" t="n">
        <v>159</v>
      </c>
      <c r="B160" s="6" t="inlineStr">
        <is>
          <t>Candi Kidal</t>
        </is>
      </c>
      <c r="C160" s="6" t="n">
        <v>15000</v>
      </c>
      <c r="D160" s="6" t="n">
        <v>-8.0257936</v>
      </c>
      <c r="E160" s="6" t="n">
        <v>112.7089856</v>
      </c>
    </row>
    <row r="161">
      <c r="A161" s="14" t="n">
        <v>160</v>
      </c>
      <c r="B161" s="6" t="inlineStr">
        <is>
          <t>Pantai Banyu Anjlok</t>
        </is>
      </c>
      <c r="C161" s="6" t="n">
        <v>5000</v>
      </c>
      <c r="D161" s="6" t="n">
        <v>-8.372068199999999</v>
      </c>
      <c r="E161" s="6" t="n">
        <v>112.8210105</v>
      </c>
    </row>
    <row r="162">
      <c r="A162" s="14" t="n">
        <v>161</v>
      </c>
      <c r="B162" s="6" t="inlineStr">
        <is>
          <t>Kampung Semar Malang</t>
        </is>
      </c>
      <c r="C162" s="6" t="n">
        <v>75000</v>
      </c>
      <c r="D162" s="6" t="n">
        <v>-7.928837</v>
      </c>
      <c r="E162" s="6" t="n">
        <v>112.6547881</v>
      </c>
    </row>
    <row r="163">
      <c r="A163" s="14" t="n">
        <v>162</v>
      </c>
      <c r="B163" s="6" t="inlineStr">
        <is>
          <t>Coban Putri</t>
        </is>
      </c>
      <c r="C163" s="6" t="n">
        <v>10000</v>
      </c>
      <c r="D163" s="6" t="n">
        <v>-7.9119954</v>
      </c>
      <c r="E163" s="6" t="n">
        <v>112.5302537</v>
      </c>
    </row>
    <row r="164">
      <c r="A164" s="14" t="n">
        <v>163</v>
      </c>
      <c r="B164" s="6" t="inlineStr">
        <is>
          <t>Healing Tour Malang</t>
        </is>
      </c>
      <c r="C164" s="6" t="n">
        <v>18000</v>
      </c>
      <c r="D164" s="6" t="n">
        <v>-7.9384783</v>
      </c>
      <c r="E164" s="6" t="n">
        <v>112.6313415</v>
      </c>
    </row>
    <row r="165">
      <c r="A165" s="14" t="n">
        <v>164</v>
      </c>
      <c r="B165" s="6" t="inlineStr">
        <is>
          <t>Museum Brawijaya</t>
        </is>
      </c>
      <c r="C165" s="6" t="n">
        <v>5000</v>
      </c>
      <c r="D165" s="6" t="n">
        <v>-7.9721325</v>
      </c>
      <c r="E165" s="6" t="n">
        <v>112.621209</v>
      </c>
    </row>
    <row r="166">
      <c r="A166" s="14" t="n">
        <v>165</v>
      </c>
      <c r="B166" s="6" t="inlineStr">
        <is>
          <t>Khayangan Reflexology Malang</t>
        </is>
      </c>
      <c r="C166" s="6" t="n">
        <v>155000</v>
      </c>
      <c r="D166" s="6" t="n">
        <v>-7.9745653</v>
      </c>
      <c r="E166" s="6" t="n">
        <v>112.6236794</v>
      </c>
    </row>
    <row r="167">
      <c r="A167" s="14" t="n">
        <v>166</v>
      </c>
      <c r="B167" s="6" t="inlineStr">
        <is>
          <t>Havanna Reflexology Malang</t>
        </is>
      </c>
      <c r="C167" s="6" t="n">
        <v>180500</v>
      </c>
      <c r="D167" s="6" t="n">
        <v>-7.9739649</v>
      </c>
      <c r="E167" s="6" t="n">
        <v>112.601416</v>
      </c>
    </row>
    <row r="168">
      <c r="A168" s="14" t="n">
        <v>167</v>
      </c>
      <c r="B168" s="6" t="inlineStr">
        <is>
          <t>RELAXING Reflexology Massage Shiatsu</t>
        </is>
      </c>
      <c r="C168" s="6" t="n">
        <v>55000</v>
      </c>
      <c r="D168" s="6" t="n">
        <v>-7.976725</v>
      </c>
      <c r="E168" s="6" t="n">
        <v>112.630303</v>
      </c>
    </row>
    <row r="169">
      <c r="A169" s="14" t="n">
        <v>168</v>
      </c>
      <c r="B169" s="6" t="inlineStr">
        <is>
          <t>Queen's Family Reflexology</t>
        </is>
      </c>
      <c r="C169" s="6" t="n">
        <v>75000</v>
      </c>
      <c r="D169" s="6" t="n">
        <v>-7.9778077</v>
      </c>
      <c r="E169" s="6" t="n">
        <v>112.6239371</v>
      </c>
    </row>
    <row r="170">
      <c r="A170" s="14" t="n">
        <v>169</v>
      </c>
      <c r="B170" s="6" t="inlineStr">
        <is>
          <t>De WAVE Family Massage, Reflexology &amp; Beauty Bar Malang</t>
        </is>
      </c>
      <c r="C170" s="6" t="n">
        <v>60000</v>
      </c>
      <c r="D170" s="6" t="n">
        <v>-7.9654125</v>
      </c>
      <c r="E170" s="6" t="n">
        <v>112.5934393</v>
      </c>
    </row>
    <row r="171">
      <c r="A171" s="14" t="n">
        <v>170</v>
      </c>
      <c r="B171" s="6" t="inlineStr">
        <is>
          <t>Akira Reflexology - Pijat Malang dan Home Service Massage</t>
        </is>
      </c>
      <c r="C171" s="6" t="n">
        <v>75000</v>
      </c>
      <c r="D171" s="6" t="n">
        <v>-7.9408679</v>
      </c>
      <c r="E171" s="6" t="n">
        <v>112.6604698</v>
      </c>
    </row>
    <row r="172">
      <c r="A172" s="14" t="n">
        <v>171</v>
      </c>
      <c r="B172" s="6" t="inlineStr">
        <is>
          <t>Wisata Sumber Air " DAM COKRO " Lowoksari</t>
        </is>
      </c>
      <c r="C172" s="6" t="n">
        <v>3000</v>
      </c>
      <c r="D172" s="6" t="n">
        <v>-7.9000712</v>
      </c>
      <c r="E172" s="6" t="n">
        <v>112.6239566</v>
      </c>
    </row>
    <row r="173">
      <c r="A173" s="14" t="n">
        <v>172</v>
      </c>
      <c r="B173" s="6" t="inlineStr">
        <is>
          <t>New Wisata Wendit by Nicole’s</t>
        </is>
      </c>
      <c r="C173" s="6" t="n">
        <v>70000</v>
      </c>
      <c r="D173" s="6" t="n">
        <v>-7.952657</v>
      </c>
      <c r="E173" s="6" t="n">
        <v>112.674464</v>
      </c>
    </row>
    <row r="174">
      <c r="A174" s="14" t="n">
        <v>173</v>
      </c>
      <c r="B174" s="6" t="inlineStr">
        <is>
          <t>Tirta Nirwana Songgoriti</t>
        </is>
      </c>
      <c r="C174" s="6" t="n">
        <v>15000</v>
      </c>
      <c r="D174" s="6" t="n">
        <v>-7.865754</v>
      </c>
      <c r="E174" s="6" t="n">
        <v>112.4932518</v>
      </c>
    </row>
    <row r="175">
      <c r="A175" s="14" t="n">
        <v>174</v>
      </c>
      <c r="B175" s="6" t="inlineStr">
        <is>
          <t>Pemandian Belakang Wendit Wakaf</t>
        </is>
      </c>
      <c r="C175" s="6" t="n">
        <v>35000</v>
      </c>
      <c r="D175" s="6" t="n">
        <v>-7.9553541</v>
      </c>
      <c r="E175" s="6" t="n">
        <v>112.6741869</v>
      </c>
    </row>
    <row r="176">
      <c r="A176" s="14" t="n">
        <v>175</v>
      </c>
      <c r="B176" s="6" t="inlineStr">
        <is>
          <t>Sumber Air Ngembul</t>
        </is>
      </c>
      <c r="C176" s="6" t="n">
        <v>10000</v>
      </c>
      <c r="D176" s="6" t="n">
        <v>-8.058364900000001</v>
      </c>
      <c r="E176" s="6" t="n">
        <v>112.6757856</v>
      </c>
    </row>
    <row r="177">
      <c r="A177" s="14" t="n">
        <v>176</v>
      </c>
      <c r="B177" s="6" t="inlineStr">
        <is>
          <t>Coban rondo malang jawa timur</t>
        </is>
      </c>
      <c r="C177" s="6" t="n">
        <v>35000</v>
      </c>
      <c r="D177" s="6" t="n">
        <v>-7.884994</v>
      </c>
      <c r="E177" s="6" t="n">
        <v>112.477319</v>
      </c>
    </row>
    <row r="178">
      <c r="A178" s="14" t="n">
        <v>177</v>
      </c>
      <c r="B178" s="6" t="inlineStr">
        <is>
          <t>Bonderland Waterpark</t>
        </is>
      </c>
      <c r="C178" s="6" t="n">
        <v>30000</v>
      </c>
      <c r="D178" s="6" t="n">
        <v>-8.0493843</v>
      </c>
      <c r="E178" s="6" t="n">
        <v>112.6083431</v>
      </c>
    </row>
    <row r="179">
      <c r="A179" s="14" t="n">
        <v>178</v>
      </c>
      <c r="B179" s="6" t="inlineStr">
        <is>
          <t>Kusuma Waterpark</t>
        </is>
      </c>
      <c r="C179" s="6" t="n">
        <v>25000</v>
      </c>
      <c r="D179" s="6" t="n">
        <v>-7.8816345</v>
      </c>
      <c r="E179" s="6" t="n">
        <v>112.5148178</v>
      </c>
    </row>
    <row r="180">
      <c r="A180" s="14" t="n">
        <v>179</v>
      </c>
      <c r="B180" s="6" t="inlineStr">
        <is>
          <t>WISATA AIR MADYOPURO</t>
        </is>
      </c>
      <c r="C180" s="6" t="n">
        <v>20000</v>
      </c>
      <c r="D180" s="6" t="n">
        <v>-7.9767907</v>
      </c>
      <c r="E180" s="6" t="n">
        <v>112.6777845</v>
      </c>
    </row>
    <row r="181">
      <c r="A181" s="14" t="n">
        <v>180</v>
      </c>
      <c r="B181" s="6" t="inlineStr">
        <is>
          <t>Pemandian Air Panas Cangar</t>
        </is>
      </c>
      <c r="C181" s="6" t="n">
        <v>15000</v>
      </c>
      <c r="D181" s="6" t="n">
        <v>-7.741749</v>
      </c>
      <c r="E181" s="6" t="n">
        <v>112.5343105</v>
      </c>
    </row>
    <row r="182">
      <c r="A182" s="14" t="n">
        <v>181</v>
      </c>
      <c r="B182" s="6" t="inlineStr">
        <is>
          <t>Kolam Renang Pentungan Sari</t>
        </is>
      </c>
      <c r="C182" s="6" t="n">
        <v>8000</v>
      </c>
      <c r="D182" s="6" t="n">
        <v>-7.8518377</v>
      </c>
      <c r="E182" s="6" t="n">
        <v>112.6584696</v>
      </c>
    </row>
    <row r="183">
      <c r="A183" s="14" t="n">
        <v>182</v>
      </c>
      <c r="B183" s="6" t="inlineStr">
        <is>
          <t>Coban Baung ꦕꦺꦴꦧꦤ꧀ꦧꦈꦁ</t>
        </is>
      </c>
      <c r="C183" s="6" t="n">
        <v>5000</v>
      </c>
      <c r="D183" s="6" t="n">
        <v>-8.032181100000001</v>
      </c>
      <c r="E183" s="6" t="n">
        <v>112.5000568</v>
      </c>
    </row>
    <row r="184">
      <c r="A184" s="14" t="n">
        <v>183</v>
      </c>
      <c r="B184" s="6" t="inlineStr">
        <is>
          <t>Sumber Mata Air Tambakrejo</t>
        </is>
      </c>
      <c r="C184" s="6" t="n">
        <v>5000</v>
      </c>
      <c r="D184" s="6" t="n">
        <v>-8.0573222</v>
      </c>
      <c r="E184" s="6" t="n">
        <v>112.6300476</v>
      </c>
    </row>
    <row r="185">
      <c r="A185" s="14" t="n">
        <v>184</v>
      </c>
      <c r="B185" s="6" t="inlineStr">
        <is>
          <t>Wisata Air PLPBK Sukun</t>
        </is>
      </c>
      <c r="C185" s="6" t="n">
        <v>20000</v>
      </c>
      <c r="D185" s="6" t="n">
        <v>-7.9968833</v>
      </c>
      <c r="E185" s="6" t="n">
        <v>112.6170074</v>
      </c>
    </row>
    <row r="186">
      <c r="A186" s="14" t="n">
        <v>185</v>
      </c>
      <c r="B186" s="6" t="inlineStr">
        <is>
          <t>Jalan ke Wisata Air Terjun Coban Jahe Malang</t>
        </is>
      </c>
      <c r="C186" s="6" t="n">
        <v>12000</v>
      </c>
      <c r="D186" s="6" t="n">
        <v>-7.9763262</v>
      </c>
      <c r="E186" s="6" t="n">
        <v>112.7464766</v>
      </c>
    </row>
    <row r="187">
      <c r="A187" s="14" t="n">
        <v>186</v>
      </c>
      <c r="B187" s="6" t="inlineStr">
        <is>
          <t>SUMBER MATA AIR PUNDEN BELIK KURUNG</t>
        </is>
      </c>
      <c r="C187" s="6" t="n">
        <v>5000</v>
      </c>
      <c r="D187" s="6" t="n">
        <v>-8.0707866</v>
      </c>
      <c r="E187" s="6" t="n">
        <v>112.589268</v>
      </c>
    </row>
    <row r="188">
      <c r="A188" s="14" t="n">
        <v>187</v>
      </c>
      <c r="B188" s="6" t="inlineStr">
        <is>
          <t>WISATA AIR SUMBER UMBULAN</t>
        </is>
      </c>
      <c r="C188" s="6" t="n">
        <v>5000</v>
      </c>
      <c r="D188" s="6" t="n">
        <v>-8.048190699999999</v>
      </c>
      <c r="E188" s="6" t="n">
        <v>112.5279553</v>
      </c>
    </row>
    <row r="189">
      <c r="A189" s="14" t="n">
        <v>188</v>
      </c>
      <c r="B189" s="6" t="inlineStr">
        <is>
          <t>Wisata Air Sumber Jenon</t>
        </is>
      </c>
      <c r="C189" s="6" t="n">
        <v>10000</v>
      </c>
      <c r="D189" s="6" t="n">
        <v>-8.050499500000001</v>
      </c>
      <c r="E189" s="6" t="n">
        <v>112.7163</v>
      </c>
    </row>
    <row r="191" ht="17" customHeight="1" s="21" thickBot="1"/>
    <row r="192">
      <c r="A192" s="70" t="inlineStr">
        <is>
          <t>NORMALISASI</t>
        </is>
      </c>
      <c r="B192" s="71" t="n"/>
    </row>
    <row r="193" ht="17" customHeight="1" s="21" thickBot="1">
      <c r="A193" s="72" t="n"/>
      <c r="B193" s="73" t="n"/>
    </row>
    <row r="194">
      <c r="A194" s="7" t="n"/>
    </row>
    <row r="195">
      <c r="A195" s="9" t="inlineStr">
        <is>
          <t>Id_Tempat</t>
        </is>
      </c>
      <c r="B195" s="9" t="inlineStr">
        <is>
          <t>Nama_Tempat</t>
        </is>
      </c>
      <c r="C195" s="9" t="inlineStr">
        <is>
          <t>Estimasi_Harga</t>
        </is>
      </c>
      <c r="D195" s="9" t="inlineStr">
        <is>
          <t>Latitude</t>
        </is>
      </c>
      <c r="E195" s="9" t="inlineStr">
        <is>
          <t>Longitude</t>
        </is>
      </c>
    </row>
    <row r="196">
      <c r="A196" s="14" t="n">
        <v>1</v>
      </c>
      <c r="B196" s="6" t="inlineStr">
        <is>
          <t>Masjid Tiban Malang (pp.Salafiah Bihaaru Bahri)</t>
        </is>
      </c>
      <c r="C196" s="6">
        <f>(C2-MIN($C$2:$C$189)) / (MAX($C$2:$C$189)-MIN($C$2:$C$189))</f>
        <v/>
      </c>
      <c r="D196" s="6">
        <f>(D2-MIN($D$2:D$188)) / (MAX($D$2:D$188)-MIN($D$2:D$188))</f>
        <v/>
      </c>
      <c r="E196" s="6">
        <f>(E2-MIN($E2:E$189)) / (MAX($E$2:E$189)-MIN($E$2:E$189))</f>
        <v/>
      </c>
    </row>
    <row r="197">
      <c r="A197" s="14" t="n">
        <v>2</v>
      </c>
      <c r="B197" s="6" t="inlineStr">
        <is>
          <t>Wisata Religi Gunung Mujur ꦒꦸꦤꦸꦁꦩꦸꦗꦸꦂ</t>
        </is>
      </c>
      <c r="C197" s="6">
        <f>(C3-MIN($C$2:$C$189)) / (MAX($C$2:$C$189)-MIN($C$2:$C$189))</f>
        <v/>
      </c>
      <c r="D197" s="6">
        <f>(D3-MIN($D$2:D$188)) / (MAX($D$2:D$188)-MIN($D$2:D$188))</f>
        <v/>
      </c>
      <c r="E197" s="6">
        <f>(E3-MIN($E3:E$189)) / (MAX($E$2:E$189)-MIN($E$2:E$189))</f>
        <v/>
      </c>
    </row>
    <row r="198">
      <c r="A198" s="14" t="n">
        <v>3</v>
      </c>
      <c r="B198" s="6" t="inlineStr">
        <is>
          <t>Masjid Agung Jami' Kota Malang</t>
        </is>
      </c>
      <c r="C198" s="6">
        <f>(C4-MIN($C$2:$C$189)) / (MAX($C$2:$C$189)-MIN($C$2:$C$189))</f>
        <v/>
      </c>
      <c r="D198" s="6">
        <f>(D4-MIN($D$2:D$188)) / (MAX($D$2:D$188)-MIN($D$2:D$188))</f>
        <v/>
      </c>
      <c r="E198" s="6">
        <f>(E4-MIN($E4:E$189)) / (MAX($E$2:E$189)-MIN($E$2:E$189))</f>
        <v/>
      </c>
    </row>
    <row r="199">
      <c r="A199" s="14" t="n">
        <v>4</v>
      </c>
      <c r="B199" s="6" t="inlineStr">
        <is>
          <t>Makam Mbah Batu</t>
        </is>
      </c>
      <c r="C199" s="6">
        <f>(C5-MIN($C$2:$C$189)) / (MAX($C$2:$C$189)-MIN($C$2:$C$189))</f>
        <v/>
      </c>
      <c r="D199" s="6">
        <f>(D5-MIN($D$2:D$188)) / (MAX($D$2:D$188)-MIN($D$2:D$188))</f>
        <v/>
      </c>
      <c r="E199" s="6">
        <f>(E5-MIN($E5:E$189)) / (MAX($E$2:E$189)-MIN($E$2:E$189))</f>
        <v/>
      </c>
    </row>
    <row r="200">
      <c r="A200" s="14" t="n">
        <v>5</v>
      </c>
      <c r="B200" s="6" t="inlineStr">
        <is>
          <t>KWJ MALANG</t>
        </is>
      </c>
      <c r="C200" s="6">
        <f>(C6-MIN($C$2:$C$189)) / (MAX($C$2:$C$189)-MIN($C$2:$C$189))</f>
        <v/>
      </c>
      <c r="D200" s="6">
        <f>(D6-MIN($D$2:D$188)) / (MAX($D$2:D$188)-MIN($D$2:D$188))</f>
        <v/>
      </c>
      <c r="E200" s="6">
        <f>(E6-MIN($E6:E$189)) / (MAX($E$2:E$189)-MIN($E$2:E$189))</f>
        <v/>
      </c>
    </row>
    <row r="201">
      <c r="A201" s="14" t="n">
        <v>6</v>
      </c>
      <c r="B201" s="6" t="inlineStr">
        <is>
          <t>Pesarean Gunung Kawi</t>
        </is>
      </c>
      <c r="C201" s="6">
        <f>(C7-MIN($C$2:$C$189)) / (MAX($C$2:$C$189)-MIN($C$2:$C$189))</f>
        <v/>
      </c>
      <c r="D201" s="6">
        <f>(D7-MIN($D$2:D$188)) / (MAX($D$2:D$188)-MIN($D$2:D$188))</f>
        <v/>
      </c>
      <c r="E201" s="6">
        <f>(E7-MIN($E7:E$189)) / (MAX($E$2:E$189)-MIN($E$2:E$189))</f>
        <v/>
      </c>
    </row>
    <row r="202">
      <c r="A202" s="14" t="n">
        <v>7</v>
      </c>
      <c r="B202" s="6" t="inlineStr">
        <is>
          <t>Makam Ki Ageng Gribig</t>
        </is>
      </c>
      <c r="C202" s="6">
        <f>(C8-MIN($C$2:$C$189)) / (MAX($C$2:$C$189)-MIN($C$2:$C$189))</f>
        <v/>
      </c>
      <c r="D202" s="6">
        <f>(D8-MIN($D$2:D$188)) / (MAX($D$2:D$188)-MIN($D$2:D$188))</f>
        <v/>
      </c>
      <c r="E202" s="6">
        <f>(E8-MIN($E8:E$189)) / (MAX($E$2:E$189)-MIN($E$2:E$189))</f>
        <v/>
      </c>
    </row>
    <row r="203">
      <c r="A203" s="14" t="n">
        <v>8</v>
      </c>
      <c r="B203" s="6" t="inlineStr">
        <is>
          <t>Pura Luhur Giri Arjuno</t>
        </is>
      </c>
      <c r="C203" s="6">
        <f>(C9-MIN($C$2:$C$189)) / (MAX($C$2:$C$189)-MIN($C$2:$C$189))</f>
        <v/>
      </c>
      <c r="D203" s="6">
        <f>(D9-MIN($D$2:D$188)) / (MAX($D$2:D$188)-MIN($D$2:D$188))</f>
        <v/>
      </c>
      <c r="E203" s="6">
        <f>(E9-MIN($E9:E$189)) / (MAX($E$2:E$189)-MIN($E$2:E$189))</f>
        <v/>
      </c>
    </row>
    <row r="204">
      <c r="A204" s="14" t="n">
        <v>9</v>
      </c>
      <c r="B204" s="6" t="inlineStr">
        <is>
          <t>Masjid An-Nur</t>
        </is>
      </c>
      <c r="C204" s="6">
        <f>(C10-MIN($C$2:$C$189)) / (MAX($C$2:$C$189)-MIN($C$2:$C$189))</f>
        <v/>
      </c>
      <c r="D204" s="6">
        <f>(D10-MIN($D$2:D$188)) / (MAX($D$2:D$188)-MIN($D$2:D$188))</f>
        <v/>
      </c>
      <c r="E204" s="6">
        <f>(E10-MIN($E10:E$189)) / (MAX($E$2:E$189)-MIN($E$2:E$189))</f>
        <v/>
      </c>
    </row>
    <row r="205">
      <c r="A205" s="14" t="n">
        <v>10</v>
      </c>
      <c r="B205" s="6" t="inlineStr">
        <is>
          <t>MAKAM MBAH JAGOPATI</t>
        </is>
      </c>
      <c r="C205" s="6">
        <f>(C11-MIN($C$2:$C$189)) / (MAX($C$2:$C$189)-MIN($C$2:$C$189))</f>
        <v/>
      </c>
      <c r="D205" s="6">
        <f>(D11-MIN($D$2:D$188)) / (MAX($D$2:D$188)-MIN($D$2:D$188))</f>
        <v/>
      </c>
      <c r="E205" s="6">
        <f>(E11-MIN($E11:E$189)) / (MAX($E$2:E$189)-MIN($E$2:E$189))</f>
        <v/>
      </c>
    </row>
    <row r="206">
      <c r="A206" s="14" t="n">
        <v>11</v>
      </c>
      <c r="B206" s="6" t="inlineStr">
        <is>
          <t>Wisata Religi Sumber 9</t>
        </is>
      </c>
      <c r="C206" s="6">
        <f>(C12-MIN($C$2:$C$189)) / (MAX($C$2:$C$189)-MIN($C$2:$C$189))</f>
        <v/>
      </c>
      <c r="D206" s="6">
        <f>(D12-MIN($D$2:D$188)) / (MAX($D$2:D$188)-MIN($D$2:D$188))</f>
        <v/>
      </c>
      <c r="E206" s="6">
        <f>(E12-MIN($E12:E$189)) / (MAX($E$2:E$189)-MIN($E$2:E$189))</f>
        <v/>
      </c>
    </row>
    <row r="207">
      <c r="A207" s="14" t="n">
        <v>12</v>
      </c>
      <c r="B207" s="6" t="inlineStr">
        <is>
          <t>Parkir mobil gratis Masjid tiban turen</t>
        </is>
      </c>
      <c r="C207" s="6">
        <f>(C13-MIN($C$2:$C$189)) / (MAX($C$2:$C$189)-MIN($C$2:$C$189))</f>
        <v/>
      </c>
      <c r="D207" s="6">
        <f>(D13-MIN($D$2:D$188)) / (MAX($D$2:D$188)-MIN($D$2:D$188))</f>
        <v/>
      </c>
      <c r="E207" s="6">
        <f>(E13-MIN($E13:E$189)) / (MAX($E$2:E$189)-MIN($E$2:E$189))</f>
        <v/>
      </c>
    </row>
    <row r="208">
      <c r="A208" s="14" t="n">
        <v>13</v>
      </c>
      <c r="B208" s="6" t="inlineStr">
        <is>
          <t>Punden Mbah Mogok</t>
        </is>
      </c>
      <c r="C208" s="6">
        <f>(C14-MIN($C$2:$C$189)) / (MAX($C$2:$C$189)-MIN($C$2:$C$189))</f>
        <v/>
      </c>
      <c r="D208" s="6">
        <f>(D14-MIN($D$2:D$188)) / (MAX($D$2:D$188)-MIN($D$2:D$188))</f>
        <v/>
      </c>
      <c r="E208" s="6">
        <f>(E14-MIN($E14:E$189)) / (MAX($E$2:E$189)-MIN($E$2:E$189))</f>
        <v/>
      </c>
    </row>
    <row r="209">
      <c r="A209" s="14" t="n">
        <v>14</v>
      </c>
      <c r="B209" s="6" t="inlineStr">
        <is>
          <t>Maqam Al Habib Abdullah Bin Abdul Qadir Bilfaqih</t>
        </is>
      </c>
      <c r="C209" s="6">
        <f>(C15-MIN($C$2:$C$189)) / (MAX($C$2:$C$189)-MIN($C$2:$C$189))</f>
        <v/>
      </c>
      <c r="D209" s="6">
        <f>(D15-MIN($D$2:D$188)) / (MAX($D$2:D$188)-MIN($D$2:D$188))</f>
        <v/>
      </c>
      <c r="E209" s="6">
        <f>(E15-MIN($E15:E$189)) / (MAX($E$2:E$189)-MIN($E$2:E$189))</f>
        <v/>
      </c>
    </row>
    <row r="210">
      <c r="A210" s="14" t="n">
        <v>15</v>
      </c>
      <c r="B210" s="6" t="inlineStr">
        <is>
          <t>Pura Luhur Dwijawarsa</t>
        </is>
      </c>
      <c r="C210" s="6">
        <f>(C16-MIN($C$2:$C$189)) / (MAX($C$2:$C$189)-MIN($C$2:$C$189))</f>
        <v/>
      </c>
      <c r="D210" s="6">
        <f>(D16-MIN($D$2:D$188)) / (MAX($D$2:D$188)-MIN($D$2:D$188))</f>
        <v/>
      </c>
      <c r="E210" s="6">
        <f>(E16-MIN($E16:E$189)) / (MAX($E$2:E$189)-MIN($E$2:E$189))</f>
        <v/>
      </c>
    </row>
    <row r="211">
      <c r="A211" s="14" t="n">
        <v>16</v>
      </c>
      <c r="B211" s="6" t="inlineStr">
        <is>
          <t>TPU Kasin</t>
        </is>
      </c>
      <c r="C211" s="6">
        <f>(C17-MIN($C$2:$C$189)) / (MAX($C$2:$C$189)-MIN($C$2:$C$189))</f>
        <v/>
      </c>
      <c r="D211" s="6">
        <f>(D17-MIN($D$2:D$188)) / (MAX($D$2:D$188)-MIN($D$2:D$188))</f>
        <v/>
      </c>
      <c r="E211" s="6">
        <f>(E17-MIN($E17:E$189)) / (MAX($E$2:E$189)-MIN($E$2:E$189))</f>
        <v/>
      </c>
    </row>
    <row r="212">
      <c r="A212" s="14" t="n">
        <v>17</v>
      </c>
      <c r="B212" s="6" t="inlineStr">
        <is>
          <t>Puncak Gunung Banyak/paralayang</t>
        </is>
      </c>
      <c r="C212" s="6">
        <f>(C18-MIN($C$2:$C$189)) / (MAX($C$2:$C$189)-MIN($C$2:$C$189))</f>
        <v/>
      </c>
      <c r="D212" s="6">
        <f>(D18-MIN($D$2:D$188)) / (MAX($D$2:D$188)-MIN($D$2:D$188))</f>
        <v/>
      </c>
      <c r="E212" s="6">
        <f>(E18-MIN($E18:E$189)) / (MAX($E$2:E$189)-MIN($E$2:E$189))</f>
        <v/>
      </c>
    </row>
    <row r="213">
      <c r="A213" s="14" t="n">
        <v>18</v>
      </c>
      <c r="B213" s="6" t="inlineStr">
        <is>
          <t>Air Terjun Coban Rondo Pujon</t>
        </is>
      </c>
      <c r="C213" s="6">
        <f>(C19-MIN($C$2:$C$189)) / (MAX($C$2:$C$189)-MIN($C$2:$C$189))</f>
        <v/>
      </c>
      <c r="D213" s="6">
        <f>(D19-MIN($D$2:D$188)) / (MAX($D$2:D$188)-MIN($D$2:D$188))</f>
        <v/>
      </c>
      <c r="E213" s="6">
        <f>(E19-MIN($E19:E$189)) / (MAX($E$2:E$189)-MIN($E$2:E$189))</f>
        <v/>
      </c>
    </row>
    <row r="214">
      <c r="A214" s="14" t="n">
        <v>19</v>
      </c>
      <c r="B214" s="6" t="inlineStr">
        <is>
          <t>Agrowisata Teh Wonosari</t>
        </is>
      </c>
      <c r="C214" s="6">
        <f>(C20-MIN($C$2:$C$189)) / (MAX($C$2:$C$189)-MIN($C$2:$C$189))</f>
        <v/>
      </c>
      <c r="D214" s="6">
        <f>(D20-MIN($D$2:D$188)) / (MAX($D$2:D$188)-MIN($D$2:D$188))</f>
        <v/>
      </c>
      <c r="E214" s="6">
        <f>(E20-MIN($E20:E$189)) / (MAX($E$2:E$189)-MIN($E$2:E$189))</f>
        <v/>
      </c>
    </row>
    <row r="215">
      <c r="A215" s="14" t="n">
        <v>20</v>
      </c>
      <c r="B215" s="6" t="inlineStr">
        <is>
          <t>Puncak Budug Asu</t>
        </is>
      </c>
      <c r="C215" s="6">
        <f>(C21-MIN($C$2:$C$189)) / (MAX($C$2:$C$189)-MIN($C$2:$C$189))</f>
        <v/>
      </c>
      <c r="D215" s="6">
        <f>(D21-MIN($D$2:D$188)) / (MAX($D$2:D$188)-MIN($D$2:D$188))</f>
        <v/>
      </c>
      <c r="E215" s="6">
        <f>(E21-MIN($E21:E$189)) / (MAX($E$2:E$189)-MIN($E$2:E$189))</f>
        <v/>
      </c>
    </row>
    <row r="216">
      <c r="A216" s="14" t="n">
        <v>21</v>
      </c>
      <c r="B216" s="6" t="inlineStr">
        <is>
          <t>Keraton Gunung Kawi</t>
        </is>
      </c>
      <c r="C216" s="6">
        <f>(C22-MIN($C$2:$C$189)) / (MAX($C$2:$C$189)-MIN($C$2:$C$189))</f>
        <v/>
      </c>
      <c r="D216" s="6">
        <f>(D22-MIN($D$2:D$188)) / (MAX($D$2:D$188)-MIN($D$2:D$188))</f>
        <v/>
      </c>
      <c r="E216" s="6">
        <f>(E22-MIN($E22:E$189)) / (MAX($E$2:E$189)-MIN($E$2:E$189))</f>
        <v/>
      </c>
    </row>
    <row r="217">
      <c r="A217" s="14" t="n">
        <v>22</v>
      </c>
      <c r="B217" s="6" t="inlineStr">
        <is>
          <t>Bukit Nirwana</t>
        </is>
      </c>
      <c r="C217" s="6">
        <f>(C23-MIN($C$2:$C$189)) / (MAX($C$2:$C$189)-MIN($C$2:$C$189))</f>
        <v/>
      </c>
      <c r="D217" s="6">
        <f>(D23-MIN($D$2:D$188)) / (MAX($D$2:D$188)-MIN($D$2:D$188))</f>
        <v/>
      </c>
      <c r="E217" s="6">
        <f>(E23-MIN($E23:E$189)) / (MAX($E$2:E$189)-MIN($E$2:E$189))</f>
        <v/>
      </c>
    </row>
    <row r="218">
      <c r="A218" s="14" t="n">
        <v>23</v>
      </c>
      <c r="B218" s="6" t="inlineStr">
        <is>
          <t>Gunung Geger</t>
        </is>
      </c>
      <c r="C218" s="6">
        <f>(C24-MIN($C$2:$C$189)) / (MAX($C$2:$C$189)-MIN($C$2:$C$189))</f>
        <v/>
      </c>
      <c r="D218" s="6">
        <f>(D24-MIN($D$2:D$188)) / (MAX($D$2:D$188)-MIN($D$2:D$188))</f>
        <v/>
      </c>
      <c r="E218" s="6">
        <f>(E24-MIN($E24:E$189)) / (MAX($E$2:E$189)-MIN($E$2:E$189))</f>
        <v/>
      </c>
    </row>
    <row r="219">
      <c r="A219" s="14" t="n">
        <v>24</v>
      </c>
      <c r="B219" s="6" t="inlineStr">
        <is>
          <t>Omah Kayu Gunung Banyak</t>
        </is>
      </c>
      <c r="C219" s="6">
        <f>(C25-MIN($C$2:$C$189)) / (MAX($C$2:$C$189)-MIN($C$2:$C$189))</f>
        <v/>
      </c>
      <c r="D219" s="6">
        <f>(D25-MIN($D$2:D$188)) / (MAX($D$2:D$188)-MIN($D$2:D$188))</f>
        <v/>
      </c>
      <c r="E219" s="6">
        <f>(E25-MIN($E25:E$189)) / (MAX($E$2:E$189)-MIN($E$2:E$189))</f>
        <v/>
      </c>
    </row>
    <row r="220">
      <c r="A220" s="14" t="n">
        <v>25</v>
      </c>
      <c r="B220" s="6" t="inlineStr">
        <is>
          <t>Wisata paralayang</t>
        </is>
      </c>
      <c r="C220" s="6">
        <f>(C26-MIN($C$2:$C$189)) / (MAX($C$2:$C$189)-MIN($C$2:$C$189))</f>
        <v/>
      </c>
      <c r="D220" s="6">
        <f>(D26-MIN($D$2:D$188)) / (MAX($D$2:D$188)-MIN($D$2:D$188))</f>
        <v/>
      </c>
      <c r="E220" s="6">
        <f>(E26-MIN($E26:E$189)) / (MAX($E$2:E$189)-MIN($E$2:E$189))</f>
        <v/>
      </c>
    </row>
    <row r="221">
      <c r="A221" s="14" t="n">
        <v>26</v>
      </c>
      <c r="B221" s="6" t="inlineStr">
        <is>
          <t>Air Terjun Sumber Pitu Pujon</t>
        </is>
      </c>
      <c r="C221" s="6">
        <f>(C27-MIN($C$2:$C$189)) / (MAX($C$2:$C$189)-MIN($C$2:$C$189))</f>
        <v/>
      </c>
      <c r="D221" s="6">
        <f>(D27-MIN($D$2:D$188)) / (MAX($D$2:D$188)-MIN($D$2:D$188))</f>
        <v/>
      </c>
      <c r="E221" s="6">
        <f>(E27-MIN($E27:E$189)) / (MAX($E$2:E$189)-MIN($E$2:E$189))</f>
        <v/>
      </c>
    </row>
    <row r="222">
      <c r="A222" s="14" t="n">
        <v>27</v>
      </c>
      <c r="B222" s="6" t="inlineStr">
        <is>
          <t>Wisata Alam Lembah Gunung Sari Desa Kucur</t>
        </is>
      </c>
      <c r="C222" s="6">
        <f>(C28-MIN($C$2:$C$189)) / (MAX($C$2:$C$189)-MIN($C$2:$C$189))</f>
        <v/>
      </c>
      <c r="D222" s="6">
        <f>(D28-MIN($D$2:D$188)) / (MAX($D$2:D$188)-MIN($D$2:D$188))</f>
        <v/>
      </c>
      <c r="E222" s="6">
        <f>(E28-MIN($E28:E$189)) / (MAX($E$2:E$189)-MIN($E$2:E$189))</f>
        <v/>
      </c>
    </row>
    <row r="223">
      <c r="A223" s="14" t="n">
        <v>28</v>
      </c>
      <c r="B223" s="6" t="inlineStr">
        <is>
          <t>Air Terjun Coban Supit Urang</t>
        </is>
      </c>
      <c r="C223" s="6">
        <f>(C29-MIN($C$2:$C$189)) / (MAX($C$2:$C$189)-MIN($C$2:$C$189))</f>
        <v/>
      </c>
      <c r="D223" s="6">
        <f>(D29-MIN($D$2:D$188)) / (MAX($D$2:D$188)-MIN($D$2:D$188))</f>
        <v/>
      </c>
      <c r="E223" s="6">
        <f>(E29-MIN($E29:E$189)) / (MAX($E$2:E$189)-MIN($E$2:E$189))</f>
        <v/>
      </c>
    </row>
    <row r="224">
      <c r="A224" s="14" t="n">
        <v>29</v>
      </c>
      <c r="B224" s="6" t="inlineStr">
        <is>
          <t>Coban Trisula</t>
        </is>
      </c>
      <c r="C224" s="6">
        <f>(C30-MIN($C$2:$C$189)) / (MAX($C$2:$C$189)-MIN($C$2:$C$189))</f>
        <v/>
      </c>
      <c r="D224" s="6">
        <f>(D30-MIN($D$2:D$188)) / (MAX($D$2:D$188)-MIN($D$2:D$188))</f>
        <v/>
      </c>
      <c r="E224" s="6">
        <f>(E30-MIN($E30:E$189)) / (MAX($E$2:E$189)-MIN($E$2:E$189))</f>
        <v/>
      </c>
    </row>
    <row r="225">
      <c r="A225" s="14" t="n">
        <v>30</v>
      </c>
      <c r="B225" s="6" t="inlineStr">
        <is>
          <t>Perhutani Precet Lereng Gunung Kawi</t>
        </is>
      </c>
      <c r="C225" s="6">
        <f>(C31-MIN($C$2:$C$189)) / (MAX($C$2:$C$189)-MIN($C$2:$C$189))</f>
        <v/>
      </c>
      <c r="D225" s="6">
        <f>(D31-MIN($D$2:D$188)) / (MAX($D$2:D$188)-MIN($D$2:D$188))</f>
        <v/>
      </c>
      <c r="E225" s="6">
        <f>(E31-MIN($E31:E$189)) / (MAX($E$2:E$189)-MIN($E$2:E$189))</f>
        <v/>
      </c>
    </row>
    <row r="226">
      <c r="A226" s="14" t="n">
        <v>31</v>
      </c>
      <c r="B226" s="6" t="inlineStr">
        <is>
          <t>HUTAN KAWI &amp; BASCAM PUNCAK BATU TULIS</t>
        </is>
      </c>
      <c r="C226" s="6">
        <f>(C32-MIN($C$2:$C$189)) / (MAX($C$2:$C$189)-MIN($C$2:$C$189))</f>
        <v/>
      </c>
      <c r="D226" s="6">
        <f>(D32-MIN($D$2:D$188)) / (MAX($D$2:D$188)-MIN($D$2:D$188))</f>
        <v/>
      </c>
      <c r="E226" s="6">
        <f>(E32-MIN($E32:E$189)) / (MAX($E$2:E$189)-MIN($E$2:E$189))</f>
        <v/>
      </c>
    </row>
    <row r="227">
      <c r="A227" s="14" t="n">
        <v>32</v>
      </c>
      <c r="B227" s="6" t="inlineStr">
        <is>
          <t>Wisata Gunung Kombang</t>
        </is>
      </c>
      <c r="C227" s="6">
        <f>(C33-MIN($C$2:$C$189)) / (MAX($C$2:$C$189)-MIN($C$2:$C$189))</f>
        <v/>
      </c>
      <c r="D227" s="6">
        <f>(D33-MIN($D$2:D$188)) / (MAX($D$2:D$188)-MIN($D$2:D$188))</f>
        <v/>
      </c>
      <c r="E227" s="6">
        <f>(E33-MIN($E33:E$189)) / (MAX($E$2:E$189)-MIN($E$2:E$189))</f>
        <v/>
      </c>
    </row>
    <row r="228">
      <c r="A228" s="14" t="n">
        <v>33</v>
      </c>
      <c r="B228" s="6" t="inlineStr">
        <is>
          <t>Bromo Transit Park Tumpang</t>
        </is>
      </c>
      <c r="C228" s="6">
        <f>(C34-MIN($C$2:$C$189)) / (MAX($C$2:$C$189)-MIN($C$2:$C$189))</f>
        <v/>
      </c>
      <c r="D228" s="6">
        <f>(D34-MIN($D$2:D$188)) / (MAX($D$2:D$188)-MIN($D$2:D$188))</f>
        <v/>
      </c>
      <c r="E228" s="6">
        <f>(E34-MIN($E34:E$189)) / (MAX($E$2:E$189)-MIN($E$2:E$189))</f>
        <v/>
      </c>
    </row>
    <row r="229">
      <c r="A229" s="14" t="n">
        <v>34</v>
      </c>
      <c r="B229" s="6" t="inlineStr">
        <is>
          <t>Sumber Maron</t>
        </is>
      </c>
      <c r="C229" s="6">
        <f>(C35-MIN($C$2:$C$189)) / (MAX($C$2:$C$189)-MIN($C$2:$C$189))</f>
        <v/>
      </c>
      <c r="D229" s="6">
        <f>(D35-MIN($D$2:D$188)) / (MAX($D$2:D$188)-MIN($D$2:D$188))</f>
        <v/>
      </c>
      <c r="E229" s="6">
        <f>(E35-MIN($E35:E$189)) / (MAX($E$2:E$189)-MIN($E$2:E$189))</f>
        <v/>
      </c>
    </row>
    <row r="230">
      <c r="A230" s="14" t="n">
        <v>35</v>
      </c>
      <c r="B230" s="6" t="inlineStr">
        <is>
          <t>Wisata Rekreasi Kolam renang Lembah gunung sari</t>
        </is>
      </c>
      <c r="C230" s="6">
        <f>(C36-MIN($C$2:$C$189)) / (MAX($C$2:$C$189)-MIN($C$2:$C$189))</f>
        <v/>
      </c>
      <c r="D230" s="6">
        <f>(D36-MIN($D$2:D$188)) / (MAX($D$2:D$188)-MIN($D$2:D$188))</f>
        <v/>
      </c>
      <c r="E230" s="6">
        <f>(E36-MIN($E36:E$189)) / (MAX($E$2:E$189)-MIN($E$2:E$189))</f>
        <v/>
      </c>
    </row>
    <row r="231">
      <c r="A231" s="14" t="n">
        <v>36</v>
      </c>
      <c r="B231" s="6" t="inlineStr">
        <is>
          <t>Air Terjun Coban Pelangi, Malang</t>
        </is>
      </c>
      <c r="C231" s="6">
        <f>(C37-MIN($C$2:$C$189)) / (MAX($C$2:$C$189)-MIN($C$2:$C$189))</f>
        <v/>
      </c>
      <c r="D231" s="6">
        <f>(D37-MIN($D$2:D$188)) / (MAX($D$2:D$188)-MIN($D$2:D$188))</f>
        <v/>
      </c>
      <c r="E231" s="6">
        <f>(E37-MIN($E37:E$189)) / (MAX($E$2:E$189)-MIN($E$2:E$189))</f>
        <v/>
      </c>
    </row>
    <row r="232">
      <c r="A232" s="14" t="n">
        <v>37</v>
      </c>
      <c r="B232" s="6" t="inlineStr">
        <is>
          <t>GUNUNG KITIRAN</t>
        </is>
      </c>
      <c r="C232" s="6">
        <f>(C38-MIN($C$2:$C$189)) / (MAX($C$2:$C$189)-MIN($C$2:$C$189))</f>
        <v/>
      </c>
      <c r="D232" s="6">
        <f>(D38-MIN($D$2:D$188)) / (MAX($D$2:D$188)-MIN($D$2:D$188))</f>
        <v/>
      </c>
      <c r="E232" s="6">
        <f>(E38-MIN($E38:E$189)) / (MAX($E$2:E$189)-MIN($E$2:E$189))</f>
        <v/>
      </c>
    </row>
    <row r="233">
      <c r="A233" s="14" t="n">
        <v>38</v>
      </c>
      <c r="B233" s="6" t="inlineStr">
        <is>
          <t>Geopark Gunung Cilik</t>
        </is>
      </c>
      <c r="C233" s="6">
        <f>(C39-MIN($C$2:$C$189)) / (MAX($C$2:$C$189)-MIN($C$2:$C$189))</f>
        <v/>
      </c>
      <c r="D233" s="6">
        <f>(D39-MIN($D$2:D$188)) / (MAX($D$2:D$188)-MIN($D$2:D$188))</f>
        <v/>
      </c>
      <c r="E233" s="6">
        <f>(E39-MIN($E39:E$189)) / (MAX($E$2:E$189)-MIN($E$2:E$189))</f>
        <v/>
      </c>
    </row>
    <row r="234">
      <c r="A234" s="14" t="n">
        <v>39</v>
      </c>
      <c r="B234" s="6" t="inlineStr">
        <is>
          <t>Bukit Mendek Wetan</t>
        </is>
      </c>
      <c r="C234" s="6">
        <f>(C40-MIN($C$2:$C$189)) / (MAX($C$2:$C$189)-MIN($C$2:$C$189))</f>
        <v/>
      </c>
      <c r="D234" s="6">
        <f>(D40-MIN($D$2:D$188)) / (MAX($D$2:D$188)-MIN($D$2:D$188))</f>
        <v/>
      </c>
      <c r="E234" s="6">
        <f>(E40-MIN($E40:E$189)) / (MAX($E$2:E$189)-MIN($E$2:E$189))</f>
        <v/>
      </c>
    </row>
    <row r="235">
      <c r="A235" s="14" t="n">
        <v>40</v>
      </c>
      <c r="B235" s="6" t="inlineStr">
        <is>
          <t>Arjuna Geopark</t>
        </is>
      </c>
      <c r="C235" s="6">
        <f>(C41-MIN($C$2:$C$189)) / (MAX($C$2:$C$189)-MIN($C$2:$C$189))</f>
        <v/>
      </c>
      <c r="D235" s="6">
        <f>(D41-MIN($D$2:D$188)) / (MAX($D$2:D$188)-MIN($D$2:D$188))</f>
        <v/>
      </c>
      <c r="E235" s="6">
        <f>(E41-MIN($E41:E$189)) / (MAX($E$2:E$189)-MIN($E$2:E$189))</f>
        <v/>
      </c>
    </row>
    <row r="236">
      <c r="A236" s="14" t="n">
        <v>41</v>
      </c>
      <c r="B236" s="6" t="inlineStr">
        <is>
          <t>Air Terjun Sumber Pitu Tumpang</t>
        </is>
      </c>
      <c r="C236" s="6">
        <f>(C42-MIN($C$2:$C$189)) / (MAX($C$2:$C$189)-MIN($C$2:$C$189))</f>
        <v/>
      </c>
      <c r="D236" s="6">
        <f>(D42-MIN($D$2:D$188)) / (MAX($D$2:D$188)-MIN($D$2:D$188))</f>
        <v/>
      </c>
      <c r="E236" s="6">
        <f>(E42-MIN($E42:E$189)) / (MAX($E$2:E$189)-MIN($E$2:E$189))</f>
        <v/>
      </c>
    </row>
    <row r="237">
      <c r="A237" s="14" t="n">
        <v>42</v>
      </c>
      <c r="B237" s="6" t="inlineStr">
        <is>
          <t>Hutan Kota Malabar Malang</t>
        </is>
      </c>
      <c r="C237" s="6">
        <f>(C43-MIN($C$2:$C$189)) / (MAX($C$2:$C$189)-MIN($C$2:$C$189))</f>
        <v/>
      </c>
      <c r="D237" s="6">
        <f>(D43-MIN($D$2:D$188)) / (MAX($D$2:D$188)-MIN($D$2:D$188))</f>
        <v/>
      </c>
      <c r="E237" s="6">
        <f>(E43-MIN($E43:E$189)) / (MAX($E$2:E$189)-MIN($E$2:E$189))</f>
        <v/>
      </c>
    </row>
    <row r="238">
      <c r="A238" s="14" t="n">
        <v>43</v>
      </c>
      <c r="B238" s="6" t="inlineStr">
        <is>
          <t>Wisata Alam Sumber Jenon</t>
        </is>
      </c>
      <c r="C238" s="6">
        <f>(C44-MIN($C$2:$C$189)) / (MAX($C$2:$C$189)-MIN($C$2:$C$189))</f>
        <v/>
      </c>
      <c r="D238" s="6">
        <f>(D44-MIN($D$2:D$188)) / (MAX($D$2:D$188)-MIN($D$2:D$188))</f>
        <v/>
      </c>
      <c r="E238" s="6">
        <f>(E44-MIN($E44:E$189)) / (MAX($E$2:E$189)-MIN($E$2:E$189))</f>
        <v/>
      </c>
    </row>
    <row r="239">
      <c r="A239" s="14" t="n">
        <v>44</v>
      </c>
      <c r="B239" s="6" t="inlineStr">
        <is>
          <t>Coban Bidadari</t>
        </is>
      </c>
      <c r="C239" s="6">
        <f>(C45-MIN($C$2:$C$189)) / (MAX($C$2:$C$189)-MIN($C$2:$C$189))</f>
        <v/>
      </c>
      <c r="D239" s="6">
        <f>(D45-MIN($D$2:D$188)) / (MAX($D$2:D$188)-MIN($D$2:D$188))</f>
        <v/>
      </c>
      <c r="E239" s="6">
        <f>(E45-MIN($E45:E$189)) / (MAX($E$2:E$189)-MIN($E$2:E$189))</f>
        <v/>
      </c>
    </row>
    <row r="240">
      <c r="A240" s="14" t="n">
        <v>45</v>
      </c>
      <c r="B240" s="6" t="inlineStr">
        <is>
          <t>Budug Asu 1422 Mdpl</t>
        </is>
      </c>
      <c r="C240" s="6">
        <f>(C46-MIN($C$2:$C$189)) / (MAX($C$2:$C$189)-MIN($C$2:$C$189))</f>
        <v/>
      </c>
      <c r="D240" s="6">
        <f>(D46-MIN($D$2:D$188)) / (MAX($D$2:D$188)-MIN($D$2:D$188))</f>
        <v/>
      </c>
      <c r="E240" s="6">
        <f>(E46-MIN($E46:E$189)) / (MAX($E$2:E$189)-MIN($E$2:E$189))</f>
        <v/>
      </c>
    </row>
    <row r="241">
      <c r="A241" s="14" t="n">
        <v>46</v>
      </c>
      <c r="B241" s="6" t="inlineStr">
        <is>
          <t>Florawisata Santerra De Laponte</t>
        </is>
      </c>
      <c r="C241" s="6">
        <f>(C47-MIN($C$2:$C$189)) / (MAX($C$2:$C$189)-MIN($C$2:$C$189))</f>
        <v/>
      </c>
      <c r="D241" s="6">
        <f>(D47-MIN($D$2:D$188)) / (MAX($D$2:D$188)-MIN($D$2:D$188))</f>
        <v/>
      </c>
      <c r="E241" s="6">
        <f>(E47-MIN($E47:E$189)) / (MAX($E$2:E$189)-MIN($E$2:E$189))</f>
        <v/>
      </c>
    </row>
    <row r="242">
      <c r="A242" s="14" t="n">
        <v>47</v>
      </c>
      <c r="B242" s="6" t="inlineStr">
        <is>
          <t>Bukit Teletubbies Batu</t>
        </is>
      </c>
      <c r="C242" s="6">
        <f>(C48-MIN($C$2:$C$189)) / (MAX($C$2:$C$189)-MIN($C$2:$C$189))</f>
        <v/>
      </c>
      <c r="D242" s="6">
        <f>(D48-MIN($D$2:D$188)) / (MAX($D$2:D$188)-MIN($D$2:D$188))</f>
        <v/>
      </c>
      <c r="E242" s="6">
        <f>(E48-MIN($E48:E$189)) / (MAX($E$2:E$189)-MIN($E$2:E$189))</f>
        <v/>
      </c>
    </row>
    <row r="243">
      <c r="A243" s="14" t="n">
        <v>48</v>
      </c>
      <c r="B243" s="6" t="inlineStr">
        <is>
          <t>Air Terjun Coban Glotak</t>
        </is>
      </c>
      <c r="C243" s="6">
        <f>(C49-MIN($C$2:$C$189)) / (MAX($C$2:$C$189)-MIN($C$2:$C$189))</f>
        <v/>
      </c>
      <c r="D243" s="6">
        <f>(D49-MIN($D$2:D$188)) / (MAX($D$2:D$188)-MIN($D$2:D$188))</f>
        <v/>
      </c>
      <c r="E243" s="6">
        <f>(E49-MIN($E49:E$189)) / (MAX($E$2:E$189)-MIN($E$2:E$189))</f>
        <v/>
      </c>
    </row>
    <row r="244">
      <c r="A244" s="14" t="n">
        <v>49</v>
      </c>
      <c r="B244" s="6" t="inlineStr">
        <is>
          <t>Air Terjun Coban Tengah</t>
        </is>
      </c>
      <c r="C244" s="6">
        <f>(C50-MIN($C$2:$C$189)) / (MAX($C$2:$C$189)-MIN($C$2:$C$189))</f>
        <v/>
      </c>
      <c r="D244" s="6">
        <f>(D50-MIN($D$2:D$188)) / (MAX($D$2:D$188)-MIN($D$2:D$188))</f>
        <v/>
      </c>
      <c r="E244" s="6">
        <f>(E50-MIN($E50:E$189)) / (MAX($E$2:E$189)-MIN($E$2:E$189))</f>
        <v/>
      </c>
    </row>
    <row r="245">
      <c r="A245" s="14" t="n">
        <v>50</v>
      </c>
      <c r="B245" s="6" t="inlineStr">
        <is>
          <t>Air Terjun Coban Jahe</t>
        </is>
      </c>
      <c r="C245" s="6">
        <f>(C51-MIN($C$2:$C$189)) / (MAX($C$2:$C$189)-MIN($C$2:$C$189))</f>
        <v/>
      </c>
      <c r="D245" s="6">
        <f>(D51-MIN($D$2:D$188)) / (MAX($D$2:D$188)-MIN($D$2:D$188))</f>
        <v/>
      </c>
      <c r="E245" s="6">
        <f>(E51-MIN($E51:E$189)) / (MAX($E$2:E$189)-MIN($E$2:E$189))</f>
        <v/>
      </c>
    </row>
    <row r="246">
      <c r="A246" s="14" t="n">
        <v>51</v>
      </c>
      <c r="B246" s="6" t="inlineStr">
        <is>
          <t>Desa Wisata Pujonkidul</t>
        </is>
      </c>
      <c r="C246" s="6">
        <f>(C52-MIN($C$2:$C$189)) / (MAX($C$2:$C$189)-MIN($C$2:$C$189))</f>
        <v/>
      </c>
      <c r="D246" s="6">
        <f>(D52-MIN($D$2:D$188)) / (MAX($D$2:D$188)-MIN($D$2:D$188))</f>
        <v/>
      </c>
      <c r="E246" s="6">
        <f>(E52-MIN($E52:E$189)) / (MAX($E$2:E$189)-MIN($E$2:E$189))</f>
        <v/>
      </c>
    </row>
    <row r="247">
      <c r="A247" s="14" t="n">
        <v>52</v>
      </c>
      <c r="B247" s="6" t="inlineStr">
        <is>
          <t>Gussari Goa Pinus Batu</t>
        </is>
      </c>
      <c r="C247" s="6">
        <f>(C53-MIN($C$2:$C$189)) / (MAX($C$2:$C$189)-MIN($C$2:$C$189))</f>
        <v/>
      </c>
      <c r="D247" s="6">
        <f>(D53-MIN($D$2:D$188)) / (MAX($D$2:D$188)-MIN($D$2:D$188))</f>
        <v/>
      </c>
      <c r="E247" s="6">
        <f>(E53-MIN($E53:E$189)) / (MAX($E$2:E$189)-MIN($E$2:E$189))</f>
        <v/>
      </c>
    </row>
    <row r="248">
      <c r="A248" s="14" t="n">
        <v>53</v>
      </c>
      <c r="B248" s="6" t="inlineStr">
        <is>
          <t>Pemandian Sumber Nyolo</t>
        </is>
      </c>
      <c r="C248" s="6">
        <f>(C54-MIN($C$2:$C$189)) / (MAX($C$2:$C$189)-MIN($C$2:$C$189))</f>
        <v/>
      </c>
      <c r="D248" s="6">
        <f>(D54-MIN($D$2:D$188)) / (MAX($D$2:D$188)-MIN($D$2:D$188))</f>
        <v/>
      </c>
      <c r="E248" s="6">
        <f>(E54-MIN($E54:E$189)) / (MAX($E$2:E$189)-MIN($E$2:E$189))</f>
        <v/>
      </c>
    </row>
    <row r="249">
      <c r="A249" s="14" t="n">
        <v>54</v>
      </c>
      <c r="B249" s="6" t="inlineStr">
        <is>
          <t>Agrowisata Telaga Madiredo</t>
        </is>
      </c>
      <c r="C249" s="6">
        <f>(C55-MIN($C$2:$C$189)) / (MAX($C$2:$C$189)-MIN($C$2:$C$189))</f>
        <v/>
      </c>
      <c r="D249" s="6">
        <f>(D55-MIN($D$2:D$188)) / (MAX($D$2:D$188)-MIN($D$2:D$188))</f>
        <v/>
      </c>
      <c r="E249" s="6">
        <f>(E55-MIN($E55:E$189)) / (MAX($E$2:E$189)-MIN($E$2:E$189))</f>
        <v/>
      </c>
    </row>
    <row r="250">
      <c r="A250" s="14" t="n">
        <v>55</v>
      </c>
      <c r="B250" s="6" t="inlineStr">
        <is>
          <t>Sumber Sira Putukrejo</t>
        </is>
      </c>
      <c r="C250" s="6">
        <f>(C56-MIN($C$2:$C$189)) / (MAX($C$2:$C$189)-MIN($C$2:$C$189))</f>
        <v/>
      </c>
      <c r="D250" s="6">
        <f>(D56-MIN($D$2:D$188)) / (MAX($D$2:D$188)-MIN($D$2:D$188))</f>
        <v/>
      </c>
      <c r="E250" s="6">
        <f>(E56-MIN($E56:E$189)) / (MAX($E$2:E$189)-MIN($E$2:E$189))</f>
        <v/>
      </c>
    </row>
    <row r="251">
      <c r="A251" s="14" t="n">
        <v>56</v>
      </c>
      <c r="B251" s="6" t="inlineStr">
        <is>
          <t>Bukit Jengkoang</t>
        </is>
      </c>
      <c r="C251" s="6">
        <f>(C57-MIN($C$2:$C$189)) / (MAX($C$2:$C$189)-MIN($C$2:$C$189))</f>
        <v/>
      </c>
      <c r="D251" s="6">
        <f>(D57-MIN($D$2:D$188)) / (MAX($D$2:D$188)-MIN($D$2:D$188))</f>
        <v/>
      </c>
      <c r="E251" s="6">
        <f>(E57-MIN($E57:E$189)) / (MAX($E$2:E$189)-MIN($E$2:E$189))</f>
        <v/>
      </c>
    </row>
    <row r="252">
      <c r="A252" s="14" t="n">
        <v>57</v>
      </c>
      <c r="B252" s="6" t="inlineStr">
        <is>
          <t>Desa Wisata Gubugklakah ꦒꦸꦧꦸꦏ꧀ꦏ꧀ꦭꦏꦃ</t>
        </is>
      </c>
      <c r="C252" s="6">
        <f>(C58-MIN($C$2:$C$189)) / (MAX($C$2:$C$189)-MIN($C$2:$C$189))</f>
        <v/>
      </c>
      <c r="D252" s="6">
        <f>(D58-MIN($D$2:D$188)) / (MAX($D$2:D$188)-MIN($D$2:D$188))</f>
        <v/>
      </c>
      <c r="E252" s="6">
        <f>(E58-MIN($E58:E$189)) / (MAX($E$2:E$189)-MIN($E$2:E$189))</f>
        <v/>
      </c>
    </row>
    <row r="253">
      <c r="A253" s="14" t="n">
        <v>58</v>
      </c>
      <c r="B253" s="6" t="inlineStr">
        <is>
          <t>LEMBAH BROMO</t>
        </is>
      </c>
      <c r="C253" s="6">
        <f>(C59-MIN($C$2:$C$189)) / (MAX($C$2:$C$189)-MIN($C$2:$C$189))</f>
        <v/>
      </c>
      <c r="D253" s="6">
        <f>(D59-MIN($D$2:D$188)) / (MAX($D$2:D$188)-MIN($D$2:D$188))</f>
        <v/>
      </c>
      <c r="E253" s="6">
        <f>(E59-MIN($E59:E$189)) / (MAX($E$2:E$189)-MIN($E$2:E$189))</f>
        <v/>
      </c>
    </row>
    <row r="254">
      <c r="A254" s="14" t="n">
        <v>59</v>
      </c>
      <c r="B254" s="6" t="inlineStr">
        <is>
          <t>Wonosari Tea Plantation</t>
        </is>
      </c>
      <c r="C254" s="6">
        <f>(C60-MIN($C$2:$C$189)) / (MAX($C$2:$C$189)-MIN($C$2:$C$189))</f>
        <v/>
      </c>
      <c r="D254" s="6">
        <f>(D60-MIN($D$2:D$188)) / (MAX($D$2:D$188)-MIN($D$2:D$188))</f>
        <v/>
      </c>
      <c r="E254" s="6">
        <f>(E60-MIN($E60:E$189)) / (MAX($E$2:E$189)-MIN($E$2:E$189))</f>
        <v/>
      </c>
    </row>
    <row r="255">
      <c r="A255" s="14" t="n">
        <v>60</v>
      </c>
      <c r="B255" s="6" t="inlineStr">
        <is>
          <t>Wisata Agro Selo Tumpeng (ꦮꦶꦱꦠꦱꦺꦭꦠꦸꦩ꧀ꦥꦁ)</t>
        </is>
      </c>
      <c r="C255" s="6">
        <f>(C61-MIN($C$2:$C$189)) / (MAX($C$2:$C$189)-MIN($C$2:$C$189))</f>
        <v/>
      </c>
      <c r="D255" s="6">
        <f>(D61-MIN($D$2:D$188)) / (MAX($D$2:D$188)-MIN($D$2:D$188))</f>
        <v/>
      </c>
      <c r="E255" s="6">
        <f>(E61-MIN($E61:E$189)) / (MAX($E$2:E$189)-MIN($E$2:E$189))</f>
        <v/>
      </c>
    </row>
    <row r="256">
      <c r="A256" s="14" t="n">
        <v>61</v>
      </c>
      <c r="B256" s="6" t="inlineStr">
        <is>
          <t>Wisata Malang Dreamland</t>
        </is>
      </c>
      <c r="C256" s="6">
        <f>(C62-MIN($C$2:$C$189)) / (MAX($C$2:$C$189)-MIN($C$2:$C$189))</f>
        <v/>
      </c>
      <c r="D256" s="6">
        <f>(D62-MIN($D$2:D$188)) / (MAX($D$2:D$188)-MIN($D$2:D$188))</f>
        <v/>
      </c>
      <c r="E256" s="6">
        <f>(E62-MIN($E62:E$189)) / (MAX($E$2:E$189)-MIN($E$2:E$189))</f>
        <v/>
      </c>
    </row>
    <row r="257">
      <c r="A257" s="14" t="n">
        <v>62</v>
      </c>
      <c r="B257" s="6" t="inlineStr">
        <is>
          <t>Air Terjun Coban Siuk</t>
        </is>
      </c>
      <c r="C257" s="6">
        <f>(C63-MIN($C$2:$C$189)) / (MAX($C$2:$C$189)-MIN($C$2:$C$189))</f>
        <v/>
      </c>
      <c r="D257" s="6">
        <f>(D63-MIN($D$2:D$188)) / (MAX($D$2:D$188)-MIN($D$2:D$188))</f>
        <v/>
      </c>
      <c r="E257" s="6">
        <f>(E63-MIN($E63:E$189)) / (MAX($E$2:E$189)-MIN($E$2:E$189))</f>
        <v/>
      </c>
    </row>
    <row r="258">
      <c r="A258" s="14" t="n">
        <v>63</v>
      </c>
      <c r="B258" s="6" t="inlineStr">
        <is>
          <t>Pantai Batu Bengkung</t>
        </is>
      </c>
      <c r="C258" s="6">
        <f>(C64-MIN($C$2:$C$189)) / (MAX($C$2:$C$189)-MIN($C$2:$C$189))</f>
        <v/>
      </c>
      <c r="D258" s="6">
        <f>(D64-MIN($D$2:D$188)) / (MAX($D$2:D$188)-MIN($D$2:D$188))</f>
        <v/>
      </c>
      <c r="E258" s="6">
        <f>(E64-MIN($E64:E$189)) / (MAX($E$2:E$189)-MIN($E$2:E$189))</f>
        <v/>
      </c>
    </row>
    <row r="259">
      <c r="A259" s="14" t="n">
        <v>64</v>
      </c>
      <c r="B259" s="6" t="inlineStr">
        <is>
          <t>Coban Srengenge</t>
        </is>
      </c>
      <c r="C259" s="6">
        <f>(C65-MIN($C$2:$C$189)) / (MAX($C$2:$C$189)-MIN($C$2:$C$189))</f>
        <v/>
      </c>
      <c r="D259" s="6">
        <f>(D65-MIN($D$2:D$188)) / (MAX($D$2:D$188)-MIN($D$2:D$188))</f>
        <v/>
      </c>
      <c r="E259" s="6">
        <f>(E65-MIN($E65:E$189)) / (MAX($E$2:E$189)-MIN($E$2:E$189))</f>
        <v/>
      </c>
    </row>
    <row r="260">
      <c r="A260" s="14" t="n">
        <v>65</v>
      </c>
      <c r="B260" s="6" t="inlineStr">
        <is>
          <t>Wisata Alam "SUMBER GENTONG"</t>
        </is>
      </c>
      <c r="C260" s="6">
        <f>(C66-MIN($C$2:$C$189)) / (MAX($C$2:$C$189)-MIN($C$2:$C$189))</f>
        <v/>
      </c>
      <c r="D260" s="6">
        <f>(D66-MIN($D$2:D$188)) / (MAX($D$2:D$188)-MIN($D$2:D$188))</f>
        <v/>
      </c>
      <c r="E260" s="6">
        <f>(E66-MIN($E66:E$189)) / (MAX($E$2:E$189)-MIN($E$2:E$189))</f>
        <v/>
      </c>
    </row>
    <row r="261">
      <c r="A261" s="14" t="n">
        <v>66</v>
      </c>
      <c r="B261" s="6" t="inlineStr">
        <is>
          <t>Wisata Payung Batu</t>
        </is>
      </c>
      <c r="C261" s="6">
        <f>(C67-MIN($C$2:$C$189)) / (MAX($C$2:$C$189)-MIN($C$2:$C$189))</f>
        <v/>
      </c>
      <c r="D261" s="6">
        <f>(D67-MIN($D$2:D$188)) / (MAX($D$2:D$188)-MIN($D$2:D$188))</f>
        <v/>
      </c>
      <c r="E261" s="6">
        <f>(E67-MIN($E67:E$189)) / (MAX($E$2:E$189)-MIN($E$2:E$189))</f>
        <v/>
      </c>
    </row>
    <row r="262">
      <c r="A262" s="14" t="n">
        <v>67</v>
      </c>
      <c r="B262" s="6" t="inlineStr">
        <is>
          <t>Coban Tundo</t>
        </is>
      </c>
      <c r="C262" s="6">
        <f>(C68-MIN($C$2:$C$189)) / (MAX($C$2:$C$189)-MIN($C$2:$C$189))</f>
        <v/>
      </c>
      <c r="D262" s="6">
        <f>(D68-MIN($D$2:D$188)) / (MAX($D$2:D$188)-MIN($D$2:D$188))</f>
        <v/>
      </c>
      <c r="E262" s="6">
        <f>(E68-MIN($E68:E$189)) / (MAX($E$2:E$189)-MIN($E$2:E$189))</f>
        <v/>
      </c>
    </row>
    <row r="263">
      <c r="A263" s="14" t="n">
        <v>68</v>
      </c>
      <c r="B263" s="6" t="inlineStr">
        <is>
          <t>Bukit Waung</t>
        </is>
      </c>
      <c r="C263" s="6">
        <f>(C69-MIN($C$2:$C$189)) / (MAX($C$2:$C$189)-MIN($C$2:$C$189))</f>
        <v/>
      </c>
      <c r="D263" s="6">
        <f>(D69-MIN($D$2:D$188)) / (MAX($D$2:D$188)-MIN($D$2:D$188))</f>
        <v/>
      </c>
      <c r="E263" s="6">
        <f>(E69-MIN($E69:E$189)) / (MAX($E$2:E$189)-MIN($E$2:E$189))</f>
        <v/>
      </c>
    </row>
    <row r="264">
      <c r="A264" s="14" t="n">
        <v>69</v>
      </c>
      <c r="B264" s="6" t="inlineStr">
        <is>
          <t>Malang Skyland</t>
        </is>
      </c>
      <c r="C264" s="6">
        <f>(C70-MIN($C$2:$C$189)) / (MAX($C$2:$C$189)-MIN($C$2:$C$189))</f>
        <v/>
      </c>
      <c r="D264" s="6">
        <f>(D70-MIN($D$2:D$188)) / (MAX($D$2:D$188)-MIN($D$2:D$188))</f>
        <v/>
      </c>
      <c r="E264" s="6">
        <f>(E70-MIN($E70:E$189)) / (MAX($E$2:E$189)-MIN($E$2:E$189))</f>
        <v/>
      </c>
    </row>
    <row r="265">
      <c r="A265" s="14" t="n">
        <v>70</v>
      </c>
      <c r="B265" s="6" t="inlineStr">
        <is>
          <t>Boonpring</t>
        </is>
      </c>
      <c r="C265" s="6">
        <f>(C71-MIN($C$2:$C$189)) / (MAX($C$2:$C$189)-MIN($C$2:$C$189))</f>
        <v/>
      </c>
      <c r="D265" s="6">
        <f>(D71-MIN($D$2:D$188)) / (MAX($D$2:D$188)-MIN($D$2:D$188))</f>
        <v/>
      </c>
      <c r="E265" s="6">
        <f>(E71-MIN($E71:E$189)) / (MAX($E$2:E$189)-MIN($E$2:E$189))</f>
        <v/>
      </c>
    </row>
    <row r="266">
      <c r="A266" s="14" t="n">
        <v>71</v>
      </c>
      <c r="B266" s="6" t="inlineStr">
        <is>
          <t>PUNCAK BINGLIS</t>
        </is>
      </c>
      <c r="C266" s="6">
        <f>(C72-MIN($C$2:$C$189)) / (MAX($C$2:$C$189)-MIN($C$2:$C$189))</f>
        <v/>
      </c>
      <c r="D266" s="6">
        <f>(D72-MIN($D$2:D$188)) / (MAX($D$2:D$188)-MIN($D$2:D$188))</f>
        <v/>
      </c>
      <c r="E266" s="6">
        <f>(E72-MIN($E72:E$189)) / (MAX($E$2:E$189)-MIN($E$2:E$189))</f>
        <v/>
      </c>
    </row>
    <row r="267">
      <c r="A267" s="14" t="n">
        <v>72</v>
      </c>
      <c r="B267" s="6" t="inlineStr">
        <is>
          <t>Wisata Umbulan Tanaka</t>
        </is>
      </c>
      <c r="C267" s="6">
        <f>(C73-MIN($C$2:$C$189)) / (MAX($C$2:$C$189)-MIN($C$2:$C$189))</f>
        <v/>
      </c>
      <c r="D267" s="6">
        <f>(D73-MIN($D$2:D$188)) / (MAX($D$2:D$188)-MIN($D$2:D$188))</f>
        <v/>
      </c>
      <c r="E267" s="6">
        <f>(E73-MIN($E73:E$189)) / (MAX($E$2:E$189)-MIN($E$2:E$189))</f>
        <v/>
      </c>
    </row>
    <row r="268">
      <c r="A268" s="14" t="n">
        <v>73</v>
      </c>
      <c r="B268" s="6" t="inlineStr">
        <is>
          <t>Bumi Perkemahan Gunung Katu ꦨꦸꦩꦶꦥꦼꦂꦏꦺꦩꦲꦤ꧀</t>
        </is>
      </c>
      <c r="C268" s="6">
        <f>(C74-MIN($C$2:$C$189)) / (MAX($C$2:$C$189)-MIN($C$2:$C$189))</f>
        <v/>
      </c>
      <c r="D268" s="6">
        <f>(D74-MIN($D$2:D$188)) / (MAX($D$2:D$188)-MIN($D$2:D$188))</f>
        <v/>
      </c>
      <c r="E268" s="6">
        <f>(E74-MIN($E74:E$189)) / (MAX($E$2:E$189)-MIN($E$2:E$189))</f>
        <v/>
      </c>
    </row>
    <row r="269">
      <c r="A269" s="14" t="n">
        <v>74</v>
      </c>
      <c r="B269" s="6" t="inlineStr">
        <is>
          <t>Wisata Goa Pandawa</t>
        </is>
      </c>
      <c r="C269" s="6">
        <f>(C75-MIN($C$2:$C$189)) / (MAX($C$2:$C$189)-MIN($C$2:$C$189))</f>
        <v/>
      </c>
      <c r="D269" s="6">
        <f>(D75-MIN($D$2:D$188)) / (MAX($D$2:D$188)-MIN($D$2:D$188))</f>
        <v/>
      </c>
      <c r="E269" s="6">
        <f>(E75-MIN($E75:E$189)) / (MAX($E$2:E$189)-MIN($E$2:E$189))</f>
        <v/>
      </c>
    </row>
    <row r="270">
      <c r="A270" s="14" t="n">
        <v>75</v>
      </c>
      <c r="B270" s="6" t="inlineStr">
        <is>
          <t>Sumber Nagan</t>
        </is>
      </c>
      <c r="C270" s="6">
        <f>(C76-MIN($C$2:$C$189)) / (MAX($C$2:$C$189)-MIN($C$2:$C$189))</f>
        <v/>
      </c>
      <c r="D270" s="6">
        <f>(D76-MIN($D$2:D$188)) / (MAX($D$2:D$188)-MIN($D$2:D$188))</f>
        <v/>
      </c>
      <c r="E270" s="6">
        <f>(E76-MIN($E76:E$189)) / (MAX($E$2:E$189)-MIN($E$2:E$189))</f>
        <v/>
      </c>
    </row>
    <row r="271">
      <c r="A271" s="14" t="n">
        <v>76</v>
      </c>
      <c r="B271" s="6" t="inlineStr">
        <is>
          <t>Air Terjun Coban Kethak</t>
        </is>
      </c>
      <c r="C271" s="6">
        <f>(C77-MIN($C$2:$C$189)) / (MAX($C$2:$C$189)-MIN($C$2:$C$189))</f>
        <v/>
      </c>
      <c r="D271" s="6">
        <f>(D77-MIN($D$2:D$188)) / (MAX($D$2:D$188)-MIN($D$2:D$188))</f>
        <v/>
      </c>
      <c r="E271" s="6">
        <f>(E77-MIN($E77:E$189)) / (MAX($E$2:E$189)-MIN($E$2:E$189))</f>
        <v/>
      </c>
    </row>
    <row r="272">
      <c r="A272" s="14" t="n">
        <v>77</v>
      </c>
      <c r="B272" s="6" t="inlineStr">
        <is>
          <t>Air Terjun Grojogan Sewu Pujon</t>
        </is>
      </c>
      <c r="C272" s="6">
        <f>(C78-MIN($C$2:$C$189)) / (MAX($C$2:$C$189)-MIN($C$2:$C$189))</f>
        <v/>
      </c>
      <c r="D272" s="6">
        <f>(D78-MIN($D$2:D$188)) / (MAX($D$2:D$188)-MIN($D$2:D$188))</f>
        <v/>
      </c>
      <c r="E272" s="6">
        <f>(E78-MIN($E78:E$189)) / (MAX($E$2:E$189)-MIN($E$2:E$189))</f>
        <v/>
      </c>
    </row>
    <row r="273">
      <c r="A273" s="14" t="n">
        <v>78</v>
      </c>
      <c r="B273" s="6" t="inlineStr">
        <is>
          <t>Pari Bendo</t>
        </is>
      </c>
      <c r="C273" s="6">
        <f>(C79-MIN($C$2:$C$189)) / (MAX($C$2:$C$189)-MIN($C$2:$C$189))</f>
        <v/>
      </c>
      <c r="D273" s="6">
        <f>(D79-MIN($D$2:D$188)) / (MAX($D$2:D$188)-MIN($D$2:D$188))</f>
        <v/>
      </c>
      <c r="E273" s="6">
        <f>(E79-MIN($E79:E$189)) / (MAX($E$2:E$189)-MIN($E$2:E$189))</f>
        <v/>
      </c>
    </row>
    <row r="274">
      <c r="A274" s="14" t="n">
        <v>79</v>
      </c>
      <c r="B274" s="6" t="inlineStr">
        <is>
          <t>Coban Nirwana</t>
        </is>
      </c>
      <c r="C274" s="6">
        <f>(C80-MIN($C$2:$C$189)) / (MAX($C$2:$C$189)-MIN($C$2:$C$189))</f>
        <v/>
      </c>
      <c r="D274" s="6">
        <f>(D80-MIN($D$2:D$188)) / (MAX($D$2:D$188)-MIN($D$2:D$188))</f>
        <v/>
      </c>
      <c r="E274" s="6">
        <f>(E80-MIN($E80:E$189)) / (MAX($E$2:E$189)-MIN($E$2:E$189))</f>
        <v/>
      </c>
    </row>
    <row r="275">
      <c r="A275" s="14" t="n">
        <v>80</v>
      </c>
      <c r="B275" s="6" t="inlineStr">
        <is>
          <t>Air Terjun Ciblungan</t>
        </is>
      </c>
      <c r="C275" s="6">
        <f>(C81-MIN($C$2:$C$189)) / (MAX($C$2:$C$189)-MIN($C$2:$C$189))</f>
        <v/>
      </c>
      <c r="D275" s="6">
        <f>(D81-MIN($D$2:D$188)) / (MAX($D$2:D$188)-MIN($D$2:D$188))</f>
        <v/>
      </c>
      <c r="E275" s="6">
        <f>(E81-MIN($E81:E$189)) / (MAX($E$2:E$189)-MIN($E$2:E$189))</f>
        <v/>
      </c>
    </row>
    <row r="276">
      <c r="A276" s="14" t="n">
        <v>81</v>
      </c>
      <c r="B276" s="6" t="inlineStr">
        <is>
          <t>Air Terjun Jidor</t>
        </is>
      </c>
      <c r="C276" s="6">
        <f>(C82-MIN($C$2:$C$189)) / (MAX($C$2:$C$189)-MIN($C$2:$C$189))</f>
        <v/>
      </c>
      <c r="D276" s="6">
        <f>(D82-MIN($D$2:D$188)) / (MAX($D$2:D$188)-MIN($D$2:D$188))</f>
        <v/>
      </c>
      <c r="E276" s="6">
        <f>(E82-MIN($E82:E$189)) / (MAX($E$2:E$189)-MIN($E$2:E$189))</f>
        <v/>
      </c>
    </row>
    <row r="277">
      <c r="A277" s="14" t="n">
        <v>82</v>
      </c>
      <c r="B277" s="6" t="inlineStr">
        <is>
          <t>Wiken Wisata Kampung Enem</t>
        </is>
      </c>
      <c r="C277" s="6">
        <f>(C83-MIN($C$2:$C$189)) / (MAX($C$2:$C$189)-MIN($C$2:$C$189))</f>
        <v/>
      </c>
      <c r="D277" s="6">
        <f>(D83-MIN($D$2:D$188)) / (MAX($D$2:D$188)-MIN($D$2:D$188))</f>
        <v/>
      </c>
      <c r="E277" s="6">
        <f>(E83-MIN($E83:E$189)) / (MAX($E$2:E$189)-MIN($E$2:E$189))</f>
        <v/>
      </c>
    </row>
    <row r="278">
      <c r="A278" s="14" t="n">
        <v>83</v>
      </c>
      <c r="B278" s="6" t="inlineStr">
        <is>
          <t>Gunung Sari Sunset</t>
        </is>
      </c>
      <c r="C278" s="6">
        <f>(C84-MIN($C$2:$C$189)) / (MAX($C$2:$C$189)-MIN($C$2:$C$189))</f>
        <v/>
      </c>
      <c r="D278" s="6">
        <f>(D84-MIN($D$2:D$188)) / (MAX($D$2:D$188)-MIN($D$2:D$188))</f>
        <v/>
      </c>
      <c r="E278" s="6">
        <f>(E84-MIN($E84:E$189)) / (MAX($E$2:E$189)-MIN($E$2:E$189))</f>
        <v/>
      </c>
    </row>
    <row r="279">
      <c r="A279" s="14" t="n">
        <v>84</v>
      </c>
      <c r="B279" s="6" t="inlineStr">
        <is>
          <t>WISATA GUNUNG MALANG</t>
        </is>
      </c>
      <c r="C279" s="6">
        <f>(C85-MIN($C$2:$C$189)) / (MAX($C$2:$C$189)-MIN($C$2:$C$189))</f>
        <v/>
      </c>
      <c r="D279" s="6">
        <f>(D85-MIN($D$2:D$188)) / (MAX($D$2:D$188)-MIN($D$2:D$188))</f>
        <v/>
      </c>
      <c r="E279" s="6">
        <f>(E85-MIN($E85:E$189)) / (MAX($E$2:E$189)-MIN($E$2:E$189))</f>
        <v/>
      </c>
    </row>
    <row r="280">
      <c r="A280" s="14" t="n">
        <v>85</v>
      </c>
      <c r="B280" s="6" t="inlineStr">
        <is>
          <t>Labirin Coban Rondo</t>
        </is>
      </c>
      <c r="C280" s="6">
        <f>(C86-MIN($C$2:$C$189)) / (MAX($C$2:$C$189)-MIN($C$2:$C$189))</f>
        <v/>
      </c>
      <c r="D280" s="6">
        <f>(D86-MIN($D$2:D$188)) / (MAX($D$2:D$188)-MIN($D$2:D$188))</f>
        <v/>
      </c>
      <c r="E280" s="6">
        <f>(E86-MIN($E86:E$189)) / (MAX($E$2:E$189)-MIN($E$2:E$189))</f>
        <v/>
      </c>
    </row>
    <row r="281">
      <c r="A281" s="14" t="n">
        <v>86</v>
      </c>
      <c r="B281" s="6" t="inlineStr">
        <is>
          <t>Meeting Point Pujon Rafting</t>
        </is>
      </c>
      <c r="C281" s="6">
        <f>(C87-MIN($C$2:$C$189)) / (MAX($C$2:$C$189)-MIN($C$2:$C$189))</f>
        <v/>
      </c>
      <c r="D281" s="6">
        <f>(D87-MIN($D$2:D$188)) / (MAX($D$2:D$188)-MIN($D$2:D$188))</f>
        <v/>
      </c>
      <c r="E281" s="6">
        <f>(E87-MIN($E87:E$189)) / (MAX($E$2:E$189)-MIN($E$2:E$189))</f>
        <v/>
      </c>
    </row>
    <row r="282">
      <c r="A282" s="14" t="n">
        <v>87</v>
      </c>
      <c r="B282" s="6" t="inlineStr">
        <is>
          <t>Petilasan Mbah Wali Besi, Mbah Endang Sari - Gunung Tanggung</t>
        </is>
      </c>
      <c r="C282" s="6">
        <f>(C88-MIN($C$2:$C$189)) / (MAX($C$2:$C$189)-MIN($C$2:$C$189))</f>
        <v/>
      </c>
      <c r="D282" s="6">
        <f>(D88-MIN($D$2:D$188)) / (MAX($D$2:D$188)-MIN($D$2:D$188))</f>
        <v/>
      </c>
      <c r="E282" s="6">
        <f>(E88-MIN($E88:E$189)) / (MAX($E$2:E$189)-MIN($E$2:E$189))</f>
        <v/>
      </c>
    </row>
    <row r="283">
      <c r="A283" s="14" t="n">
        <v>88</v>
      </c>
      <c r="B283" s="6" t="inlineStr">
        <is>
          <t>Desa Wisata Sidorejo Indah ( Dewi Sri )</t>
        </is>
      </c>
      <c r="C283" s="6">
        <f>(C89-MIN($C$2:$C$189)) / (MAX($C$2:$C$189)-MIN($C$2:$C$189))</f>
        <v/>
      </c>
      <c r="D283" s="6">
        <f>(D89-MIN($D$2:D$188)) / (MAX($D$2:D$188)-MIN($D$2:D$188))</f>
        <v/>
      </c>
      <c r="E283" s="6">
        <f>(E89-MIN($E89:E$189)) / (MAX($E$2:E$189)-MIN($E$2:E$189))</f>
        <v/>
      </c>
    </row>
    <row r="284">
      <c r="A284" s="14" t="n">
        <v>89</v>
      </c>
      <c r="B284" s="6" t="inlineStr">
        <is>
          <t>Alun Alun Tugu Malang</t>
        </is>
      </c>
      <c r="C284" s="6">
        <f>(C90-MIN($C$2:$C$189)) / (MAX($C$2:$C$189)-MIN($C$2:$C$189))</f>
        <v/>
      </c>
      <c r="D284" s="6">
        <f>(D90-MIN($D$2:D$188)) / (MAX($D$2:D$188)-MIN($D$2:D$188))</f>
        <v/>
      </c>
      <c r="E284" s="6">
        <f>(E90-MIN($E90:E$189)) / (MAX($E$2:E$189)-MIN($E$2:E$189))</f>
        <v/>
      </c>
    </row>
    <row r="285">
      <c r="A285" s="14" t="n">
        <v>90</v>
      </c>
      <c r="B285" s="6" t="inlineStr">
        <is>
          <t>Pentungan Sari Waterpark</t>
        </is>
      </c>
      <c r="C285" s="6">
        <f>(C91-MIN($C$2:$C$189)) / (MAX($C$2:$C$189)-MIN($C$2:$C$189))</f>
        <v/>
      </c>
      <c r="D285" s="6">
        <f>(D91-MIN($D$2:D$188)) / (MAX($D$2:D$188)-MIN($D$2:D$188))</f>
        <v/>
      </c>
      <c r="E285" s="6">
        <f>(E91-MIN($E91:E$189)) / (MAX($E$2:E$189)-MIN($E$2:E$189))</f>
        <v/>
      </c>
    </row>
    <row r="286">
      <c r="A286" s="14" t="n">
        <v>91</v>
      </c>
      <c r="B286" s="6" t="inlineStr">
        <is>
          <t>Pondok Wisata Latar Ombo "L.O."</t>
        </is>
      </c>
      <c r="C286" s="6">
        <f>(C92-MIN($C$2:$C$189)) / (MAX($C$2:$C$189)-MIN($C$2:$C$189))</f>
        <v/>
      </c>
      <c r="D286" s="6">
        <f>(D92-MIN($D$2:D$188)) / (MAX($D$2:D$188)-MIN($D$2:D$188))</f>
        <v/>
      </c>
      <c r="E286" s="6">
        <f>(E92-MIN($E92:E$189)) / (MAX($E$2:E$189)-MIN($E$2:E$189))</f>
        <v/>
      </c>
    </row>
    <row r="287">
      <c r="A287" s="14" t="n">
        <v>92</v>
      </c>
      <c r="B287" s="6" t="inlineStr">
        <is>
          <t>Tlogo Land</t>
        </is>
      </c>
      <c r="C287" s="6">
        <f>(C93-MIN($C$2:$C$189)) / (MAX($C$2:$C$189)-MIN($C$2:$C$189))</f>
        <v/>
      </c>
      <c r="D287" s="6">
        <f>(D93-MIN($D$2:D$188)) / (MAX($D$2:D$188)-MIN($D$2:D$188))</f>
        <v/>
      </c>
      <c r="E287" s="6">
        <f>(E93-MIN($E93:E$189)) / (MAX($E$2:E$189)-MIN($E$2:E$189))</f>
        <v/>
      </c>
    </row>
    <row r="288">
      <c r="A288" s="14" t="n">
        <v>93</v>
      </c>
      <c r="B288" s="6" t="inlineStr">
        <is>
          <t>COBAN PANDAWA</t>
        </is>
      </c>
      <c r="C288" s="6">
        <f>(C94-MIN($C$2:$C$189)) / (MAX($C$2:$C$189)-MIN($C$2:$C$189))</f>
        <v/>
      </c>
      <c r="D288" s="6">
        <f>(D94-MIN($D$2:D$188)) / (MAX($D$2:D$188)-MIN($D$2:D$188))</f>
        <v/>
      </c>
      <c r="E288" s="6">
        <f>(E94-MIN($E94:E$189)) / (MAX($E$2:E$189)-MIN($E$2:E$189))</f>
        <v/>
      </c>
    </row>
    <row r="289">
      <c r="A289" s="14" t="n">
        <v>94</v>
      </c>
      <c r="B289" s="6" t="inlineStr">
        <is>
          <t>Wisata Petik Jeruk Dau</t>
        </is>
      </c>
      <c r="C289" s="6">
        <f>(C95-MIN($C$2:$C$189)) / (MAX($C$2:$C$189)-MIN($C$2:$C$189))</f>
        <v/>
      </c>
      <c r="D289" s="6">
        <f>(D95-MIN($D$2:D$188)) / (MAX($D$2:D$188)-MIN($D$2:D$188))</f>
        <v/>
      </c>
      <c r="E289" s="6">
        <f>(E95-MIN($E95:E$189)) / (MAX($E$2:E$189)-MIN($E$2:E$189))</f>
        <v/>
      </c>
    </row>
    <row r="290">
      <c r="A290" s="14" t="n">
        <v>95</v>
      </c>
      <c r="B290" s="6" t="inlineStr">
        <is>
          <t>Pasir Berbisik</t>
        </is>
      </c>
      <c r="C290" s="6">
        <f>(C96-MIN($C$2:$C$189)) / (MAX($C$2:$C$189)-MIN($C$2:$C$189))</f>
        <v/>
      </c>
      <c r="D290" s="6">
        <f>(D96-MIN($D$2:D$188)) / (MAX($D$2:D$188)-MIN($D$2:D$188))</f>
        <v/>
      </c>
      <c r="E290" s="6">
        <f>(E96-MIN($E96:E$189)) / (MAX($E$2:E$189)-MIN($E$2:E$189))</f>
        <v/>
      </c>
    </row>
    <row r="291">
      <c r="A291" s="14" t="n">
        <v>96</v>
      </c>
      <c r="B291" s="6" t="inlineStr">
        <is>
          <t>Songgoriti Hot Springs</t>
        </is>
      </c>
      <c r="C291" s="6">
        <f>(C97-MIN($C$2:$C$189)) / (MAX($C$2:$C$189)-MIN($C$2:$C$189))</f>
        <v/>
      </c>
      <c r="D291" s="6">
        <f>(D97-MIN($D$2:D$188)) / (MAX($D$2:D$188)-MIN($D$2:D$188))</f>
        <v/>
      </c>
      <c r="E291" s="6">
        <f>(E97-MIN($E97:E$189)) / (MAX($E$2:E$189)-MIN($E$2:E$189))</f>
        <v/>
      </c>
    </row>
    <row r="292">
      <c r="A292" s="14" t="n">
        <v>97</v>
      </c>
      <c r="B292" s="6" t="inlineStr">
        <is>
          <t>Petik Apel Green Garden</t>
        </is>
      </c>
      <c r="C292" s="6">
        <f>(C98-MIN($C$2:$C$189)) / (MAX($C$2:$C$189)-MIN($C$2:$C$189))</f>
        <v/>
      </c>
      <c r="D292" s="6">
        <f>(D98-MIN($D$2:D$188)) / (MAX($D$2:D$188)-MIN($D$2:D$188))</f>
        <v/>
      </c>
      <c r="E292" s="6">
        <f>(E98-MIN($E98:E$189)) / (MAX($E$2:E$189)-MIN($E$2:E$189))</f>
        <v/>
      </c>
    </row>
    <row r="293">
      <c r="A293" s="14" t="n">
        <v>98</v>
      </c>
      <c r="B293" s="6" t="inlineStr">
        <is>
          <t>Target Terjun Payung</t>
        </is>
      </c>
      <c r="C293" s="6">
        <f>(C99-MIN($C$2:$C$189)) / (MAX($C$2:$C$189)-MIN($C$2:$C$189))</f>
        <v/>
      </c>
      <c r="D293" s="6">
        <f>(D99-MIN($D$2:D$188)) / (MAX($D$2:D$188)-MIN($D$2:D$188))</f>
        <v/>
      </c>
      <c r="E293" s="6">
        <f>(E99-MIN($E99:E$189)) / (MAX($E$2:E$189)-MIN($E$2:E$189))</f>
        <v/>
      </c>
    </row>
    <row r="294">
      <c r="A294" s="14" t="n">
        <v>99</v>
      </c>
      <c r="B294" s="6" t="inlineStr">
        <is>
          <t>Wisata Desa BONPI / de' Asmorondono</t>
        </is>
      </c>
      <c r="C294" s="6">
        <f>(C100-MIN($C$2:$C$189)) / (MAX($C$2:$C$189)-MIN($C$2:$C$189))</f>
        <v/>
      </c>
      <c r="D294" s="6">
        <f>(D100-MIN($D$2:D$188)) / (MAX($D$2:D$188)-MIN($D$2:D$188))</f>
        <v/>
      </c>
      <c r="E294" s="6">
        <f>(E100-MIN($E100:E$189)) / (MAX($E$2:E$189)-MIN($E$2:E$189))</f>
        <v/>
      </c>
    </row>
    <row r="295">
      <c r="A295" s="14" t="n">
        <v>100</v>
      </c>
      <c r="B295" s="6" t="inlineStr">
        <is>
          <t>Wisata Coban Rondo</t>
        </is>
      </c>
      <c r="C295" s="6">
        <f>(C101-MIN($C$2:$C$189)) / (MAX($C$2:$C$189)-MIN($C$2:$C$189))</f>
        <v/>
      </c>
      <c r="D295" s="6">
        <f>(D101-MIN($D$2:D$188)) / (MAX($D$2:D$188)-MIN($D$2:D$188))</f>
        <v/>
      </c>
      <c r="E295" s="6">
        <f>(E101-MIN($E101:E$189)) / (MAX($E$2:E$189)-MIN($E$2:E$189))</f>
        <v/>
      </c>
    </row>
    <row r="296">
      <c r="A296" s="14" t="n">
        <v>101</v>
      </c>
      <c r="B296" s="6" t="inlineStr">
        <is>
          <t>Rafting Kasembon</t>
        </is>
      </c>
      <c r="C296" s="6">
        <f>(C102-MIN($C$2:$C$189)) / (MAX($C$2:$C$189)-MIN($C$2:$C$189))</f>
        <v/>
      </c>
      <c r="D296" s="6">
        <f>(D102-MIN($D$2:D$188)) / (MAX($D$2:D$188)-MIN($D$2:D$188))</f>
        <v/>
      </c>
      <c r="E296" s="6">
        <f>(E102-MIN($E102:E$189)) / (MAX($E$2:E$189)-MIN($E$2:E$189))</f>
        <v/>
      </c>
    </row>
    <row r="297">
      <c r="A297" s="14" t="n">
        <v>102</v>
      </c>
      <c r="B297" s="6" t="inlineStr">
        <is>
          <t>Coban Sumber Papat ꦕꦺꦴꦧꦤ꧀ꦱꦸꦩ꧀ꦧꦼꦂꦥꦥꦠ꧀</t>
        </is>
      </c>
      <c r="C297" s="6">
        <f>(C103-MIN($C$2:$C$189)) / (MAX($C$2:$C$189)-MIN($C$2:$C$189))</f>
        <v/>
      </c>
      <c r="D297" s="6">
        <f>(D103-MIN($D$2:D$188)) / (MAX($D$2:D$188)-MIN($D$2:D$188))</f>
        <v/>
      </c>
      <c r="E297" s="6">
        <f>(E103-MIN($E103:E$189)) / (MAX($E$2:E$189)-MIN($E$2:E$189))</f>
        <v/>
      </c>
    </row>
    <row r="298">
      <c r="A298" s="14" t="n">
        <v>103</v>
      </c>
      <c r="B298" s="6" t="inlineStr">
        <is>
          <t>Gunung Ringgit</t>
        </is>
      </c>
      <c r="C298" s="6">
        <f>(C104-MIN($C$2:$C$189)) / (MAX($C$2:$C$189)-MIN($C$2:$C$189))</f>
        <v/>
      </c>
      <c r="D298" s="6">
        <f>(D104-MIN($D$2:D$188)) / (MAX($D$2:D$188)-MIN($D$2:D$188))</f>
        <v/>
      </c>
      <c r="E298" s="6">
        <f>(E104-MIN($E104:E$189)) / (MAX($E$2:E$189)-MIN($E$2:E$189))</f>
        <v/>
      </c>
    </row>
    <row r="299">
      <c r="A299" s="14" t="n">
        <v>104</v>
      </c>
      <c r="B299" s="6" t="inlineStr">
        <is>
          <t>Penanjakan Bromo</t>
        </is>
      </c>
      <c r="C299" s="6">
        <f>(C105-MIN($C$2:$C$189)) / (MAX($C$2:$C$189)-MIN($C$2:$C$189))</f>
        <v/>
      </c>
      <c r="D299" s="6">
        <f>(D105-MIN($D$2:D$188)) / (MAX($D$2:D$188)-MIN($D$2:D$188))</f>
        <v/>
      </c>
      <c r="E299" s="6">
        <f>(E105-MIN($E105:E$189)) / (MAX($E$2:E$189)-MIN($E$2:E$189))</f>
        <v/>
      </c>
    </row>
    <row r="300">
      <c r="A300" s="14" t="n">
        <v>105</v>
      </c>
      <c r="B300" s="6" t="inlineStr">
        <is>
          <t>Cafe Sawah Pujonkidul</t>
        </is>
      </c>
      <c r="C300" s="6">
        <f>(C106-MIN($C$2:$C$189)) / (MAX($C$2:$C$189)-MIN($C$2:$C$189))</f>
        <v/>
      </c>
      <c r="D300" s="6">
        <f>(D106-MIN($D$2:D$188)) / (MAX($D$2:D$188)-MIN($D$2:D$188))</f>
        <v/>
      </c>
      <c r="E300" s="6">
        <f>(E106-MIN($E106:E$189)) / (MAX($E$2:E$189)-MIN($E$2:E$189))</f>
        <v/>
      </c>
    </row>
    <row r="301">
      <c r="A301" s="14" t="n">
        <v>106</v>
      </c>
      <c r="B301" s="6" t="inlineStr">
        <is>
          <t>Kebun Rojo Camp</t>
        </is>
      </c>
      <c r="C301" s="6">
        <f>(C107-MIN($C$2:$C$189)) / (MAX($C$2:$C$189)-MIN($C$2:$C$189))</f>
        <v/>
      </c>
      <c r="D301" s="6">
        <f>(D107-MIN($D$2:D$188)) / (MAX($D$2:D$188)-MIN($D$2:D$188))</f>
        <v/>
      </c>
      <c r="E301" s="6">
        <f>(E107-MIN($E107:E$189)) / (MAX($E$2:E$189)-MIN($E$2:E$189))</f>
        <v/>
      </c>
    </row>
    <row r="302">
      <c r="A302" s="14" t="n">
        <v>107</v>
      </c>
      <c r="B302" s="6" t="inlineStr">
        <is>
          <t>Batu Night Spectacular</t>
        </is>
      </c>
      <c r="C302" s="6">
        <f>(C108-MIN($C$2:$C$189)) / (MAX($C$2:$C$189)-MIN($C$2:$C$189))</f>
        <v/>
      </c>
      <c r="D302" s="6">
        <f>(D108-MIN($D$2:D$188)) / (MAX($D$2:D$188)-MIN($D$2:D$188))</f>
        <v/>
      </c>
      <c r="E302" s="6">
        <f>(E108-MIN($E108:E$189)) / (MAX($E$2:E$189)-MIN($E$2:E$189))</f>
        <v/>
      </c>
    </row>
    <row r="303">
      <c r="A303" s="14" t="n">
        <v>108</v>
      </c>
      <c r="B303" s="6" t="inlineStr">
        <is>
          <t>Museum Angkut</t>
        </is>
      </c>
      <c r="C303" s="6">
        <f>(C109-MIN($C$2:$C$189)) / (MAX($C$2:$C$189)-MIN($C$2:$C$189))</f>
        <v/>
      </c>
      <c r="D303" s="6">
        <f>(D109-MIN($D$2:D$188)) / (MAX($D$2:D$188)-MIN($D$2:D$188))</f>
        <v/>
      </c>
      <c r="E303" s="6">
        <f>(E109-MIN($E109:E$189)) / (MAX($E$2:E$189)-MIN($E$2:E$189))</f>
        <v/>
      </c>
    </row>
    <row r="304">
      <c r="A304" s="14" t="n">
        <v>109</v>
      </c>
      <c r="B304" s="6" t="inlineStr">
        <is>
          <t>Kampung Budaya Polowijen</t>
        </is>
      </c>
      <c r="C304" s="6">
        <f>(C110-MIN($C$2:$C$189)) / (MAX($C$2:$C$189)-MIN($C$2:$C$189))</f>
        <v/>
      </c>
      <c r="D304" s="6">
        <f>(D110-MIN($D$2:D$188)) / (MAX($D$2:D$188)-MIN($D$2:D$188))</f>
        <v/>
      </c>
      <c r="E304" s="6">
        <f>(E110-MIN($E110:E$189)) / (MAX($E$2:E$189)-MIN($E$2:E$189))</f>
        <v/>
      </c>
    </row>
    <row r="305">
      <c r="A305" s="14" t="n">
        <v>110</v>
      </c>
      <c r="B305" s="6" t="inlineStr">
        <is>
          <t>Sumber Air Wendit Lanang</t>
        </is>
      </c>
      <c r="C305" s="6">
        <f>(C111-MIN($C$2:$C$189)) / (MAX($C$2:$C$189)-MIN($C$2:$C$189))</f>
        <v/>
      </c>
      <c r="D305" s="6">
        <f>(D111-MIN($D$2:D$188)) / (MAX($D$2:D$188)-MIN($D$2:D$188))</f>
        <v/>
      </c>
      <c r="E305" s="6">
        <f>(E111-MIN($E111:E$189)) / (MAX($E$2:E$189)-MIN($E$2:E$189))</f>
        <v/>
      </c>
    </row>
    <row r="306">
      <c r="A306" s="14" t="n">
        <v>111</v>
      </c>
      <c r="B306" s="6" t="inlineStr">
        <is>
          <t>Kampung Tridi</t>
        </is>
      </c>
      <c r="C306" s="6">
        <f>(C112-MIN($C$2:$C$189)) / (MAX($C$2:$C$189)-MIN($C$2:$C$189))</f>
        <v/>
      </c>
      <c r="D306" s="6">
        <f>(D112-MIN($D$2:D$188)) / (MAX($D$2:D$188)-MIN($D$2:D$188))</f>
        <v/>
      </c>
      <c r="E306" s="6">
        <f>(E112-MIN($E112:E$189)) / (MAX($E$2:E$189)-MIN($E$2:E$189))</f>
        <v/>
      </c>
    </row>
    <row r="307">
      <c r="A307" s="14" t="n">
        <v>112</v>
      </c>
      <c r="B307" s="6" t="inlineStr">
        <is>
          <t>Wisata Kampung Putih Malang</t>
        </is>
      </c>
      <c r="C307" s="6">
        <f>(C113-MIN($C$2:$C$189)) / (MAX($C$2:$C$189)-MIN($C$2:$C$189))</f>
        <v/>
      </c>
      <c r="D307" s="6">
        <f>(D113-MIN($D$2:D$188)) / (MAX($D$2:D$188)-MIN($D$2:D$188))</f>
        <v/>
      </c>
      <c r="E307" s="6">
        <f>(E113-MIN($E113:E$189)) / (MAX($E$2:E$189)-MIN($E$2:E$189))</f>
        <v/>
      </c>
    </row>
    <row r="308">
      <c r="A308" s="14" t="n">
        <v>113</v>
      </c>
      <c r="B308" s="6" t="inlineStr">
        <is>
          <t>Alun-Alun Malang</t>
        </is>
      </c>
      <c r="C308" s="6">
        <f>(C114-MIN($C$2:$C$189)) / (MAX($C$2:$C$189)-MIN($C$2:$C$189))</f>
        <v/>
      </c>
      <c r="D308" s="6">
        <f>(D114-MIN($D$2:D$188)) / (MAX($D$2:D$188)-MIN($D$2:D$188))</f>
        <v/>
      </c>
      <c r="E308" s="6">
        <f>(E114-MIN($E114:E$189)) / (MAX($E$2:E$189)-MIN($E$2:E$189))</f>
        <v/>
      </c>
    </row>
    <row r="309">
      <c r="A309" s="14" t="n">
        <v>114</v>
      </c>
      <c r="B309" s="6" t="inlineStr">
        <is>
          <t>Monumen Juang</t>
        </is>
      </c>
      <c r="C309" s="6">
        <f>(C115-MIN($C$2:$C$189)) / (MAX($C$2:$C$189)-MIN($C$2:$C$189))</f>
        <v/>
      </c>
      <c r="D309" s="6">
        <f>(D115-MIN($D$2:D$188)) / (MAX($D$2:D$188)-MIN($D$2:D$188))</f>
        <v/>
      </c>
      <c r="E309" s="6">
        <f>(E115-MIN($E115:E$189)) / (MAX($E$2:E$189)-MIN($E$2:E$189))</f>
        <v/>
      </c>
    </row>
    <row r="310">
      <c r="A310" s="14" t="n">
        <v>115</v>
      </c>
      <c r="B310" s="6" t="inlineStr">
        <is>
          <t>Graha Tumapel</t>
        </is>
      </c>
      <c r="C310" s="6">
        <f>(C116-MIN($C$2:$C$189)) / (MAX($C$2:$C$189)-MIN($C$2:$C$189))</f>
        <v/>
      </c>
      <c r="D310" s="6">
        <f>(D116-MIN($D$2:D$188)) / (MAX($D$2:D$188)-MIN($D$2:D$188))</f>
        <v/>
      </c>
      <c r="E310" s="6">
        <f>(E116-MIN($E116:E$189)) / (MAX($E$2:E$189)-MIN($E$2:E$189))</f>
        <v/>
      </c>
    </row>
    <row r="311">
      <c r="A311" s="14" t="n">
        <v>116</v>
      </c>
      <c r="B311" s="6" t="inlineStr">
        <is>
          <t>Kampoeng Heritage Kajoetangan</t>
        </is>
      </c>
      <c r="C311" s="6">
        <f>(C117-MIN($C$2:$C$189)) / (MAX($C$2:$C$189)-MIN($C$2:$C$189))</f>
        <v/>
      </c>
      <c r="D311" s="6">
        <f>(D117-MIN($D$2:D$188)) / (MAX($D$2:D$188)-MIN($D$2:D$188))</f>
        <v/>
      </c>
      <c r="E311" s="6">
        <f>(E117-MIN($E117:E$189)) / (MAX($E$2:E$189)-MIN($E$2:E$189))</f>
        <v/>
      </c>
    </row>
    <row r="312">
      <c r="A312" s="14" t="n">
        <v>117</v>
      </c>
      <c r="B312" s="6" t="inlineStr">
        <is>
          <t>Air Terjun Parang Tejo</t>
        </is>
      </c>
      <c r="C312" s="6">
        <f>(C118-MIN($C$2:$C$189)) / (MAX($C$2:$C$189)-MIN($C$2:$C$189))</f>
        <v/>
      </c>
      <c r="D312" s="6">
        <f>(D118-MIN($D$2:D$188)) / (MAX($D$2:D$188)-MIN($D$2:D$188))</f>
        <v/>
      </c>
      <c r="E312" s="6">
        <f>(E118-MIN($E118:E$189)) / (MAX($E$2:E$189)-MIN($E$2:E$189))</f>
        <v/>
      </c>
    </row>
    <row r="313">
      <c r="A313" s="14" t="n">
        <v>118</v>
      </c>
      <c r="B313" s="6" t="inlineStr">
        <is>
          <t>"BAMBOO MEWEK PARK"</t>
        </is>
      </c>
      <c r="C313" s="6">
        <f>(C119-MIN($C$2:$C$189)) / (MAX($C$2:$C$189)-MIN($C$2:$C$189))</f>
        <v/>
      </c>
      <c r="D313" s="6">
        <f>(D119-MIN($D$2:D$188)) / (MAX($D$2:D$188)-MIN($D$2:D$188))</f>
        <v/>
      </c>
      <c r="E313" s="6">
        <f>(E119-MIN($E119:E$189)) / (MAX($E$2:E$189)-MIN($E$2:E$189))</f>
        <v/>
      </c>
    </row>
    <row r="314">
      <c r="A314" s="14" t="n">
        <v>119</v>
      </c>
      <c r="B314" s="6" t="inlineStr">
        <is>
          <t>Sevenfield Sport Wisata Air</t>
        </is>
      </c>
      <c r="C314" s="6">
        <f>(C120-MIN($C$2:$C$189)) / (MAX($C$2:$C$189)-MIN($C$2:$C$189))</f>
        <v/>
      </c>
      <c r="D314" s="6">
        <f>(D120-MIN($D$2:D$188)) / (MAX($D$2:D$188)-MIN($D$2:D$188))</f>
        <v/>
      </c>
      <c r="E314" s="6">
        <f>(E120-MIN($E120:E$189)) / (MAX($E$2:E$189)-MIN($E$2:E$189))</f>
        <v/>
      </c>
    </row>
    <row r="315">
      <c r="A315" s="14" t="n">
        <v>120</v>
      </c>
      <c r="B315" s="6" t="inlineStr">
        <is>
          <t>Brakseng</t>
        </is>
      </c>
      <c r="C315" s="6">
        <f>(C121-MIN($C$2:$C$189)) / (MAX($C$2:$C$189)-MIN($C$2:$C$189))</f>
        <v/>
      </c>
      <c r="D315" s="6">
        <f>(D121-MIN($D$2:D$188)) / (MAX($D$2:D$188)-MIN($D$2:D$188))</f>
        <v/>
      </c>
      <c r="E315" s="6">
        <f>(E121-MIN($E121:E$189)) / (MAX($E$2:E$189)-MIN($E$2:E$189))</f>
        <v/>
      </c>
    </row>
    <row r="316">
      <c r="A316" s="14" t="n">
        <v>121</v>
      </c>
      <c r="B316" s="6" t="inlineStr">
        <is>
          <t>Sumber Umbulan Singosari</t>
        </is>
      </c>
      <c r="C316" s="6">
        <f>(C122-MIN($C$2:$C$189)) / (MAX($C$2:$C$189)-MIN($C$2:$C$189))</f>
        <v/>
      </c>
      <c r="D316" s="6">
        <f>(D122-MIN($D$2:D$188)) / (MAX($D$2:D$188)-MIN($D$2:D$188))</f>
        <v/>
      </c>
      <c r="E316" s="6">
        <f>(E122-MIN($E122:E$189)) / (MAX($E$2:E$189)-MIN($E$2:E$189))</f>
        <v/>
      </c>
    </row>
    <row r="317">
      <c r="A317" s="14" t="n">
        <v>122</v>
      </c>
      <c r="B317" s="6" t="inlineStr">
        <is>
          <t>Eco Active Park</t>
        </is>
      </c>
      <c r="C317" s="6">
        <f>(C123-MIN($C$2:$C$189)) / (MAX($C$2:$C$189)-MIN($C$2:$C$189))</f>
        <v/>
      </c>
      <c r="D317" s="6">
        <f>(D123-MIN($D$2:D$188)) / (MAX($D$2:D$188)-MIN($D$2:D$188))</f>
        <v/>
      </c>
      <c r="E317" s="6">
        <f>(E123-MIN($E123:E$189)) / (MAX($E$2:E$189)-MIN($E$2:E$189))</f>
        <v/>
      </c>
    </row>
    <row r="318">
      <c r="A318" s="14" t="n">
        <v>123</v>
      </c>
      <c r="B318" s="6" t="inlineStr">
        <is>
          <t>Kampung Biru Arema</t>
        </is>
      </c>
      <c r="C318" s="6">
        <f>(C124-MIN($C$2:$C$189)) / (MAX($C$2:$C$189)-MIN($C$2:$C$189))</f>
        <v/>
      </c>
      <c r="D318" s="6">
        <f>(D124-MIN($D$2:D$188)) / (MAX($D$2:D$188)-MIN($D$2:D$188))</f>
        <v/>
      </c>
      <c r="E318" s="6">
        <f>(E124-MIN($E124:E$189)) / (MAX($E$2:E$189)-MIN($E$2:E$189))</f>
        <v/>
      </c>
    </row>
    <row r="319">
      <c r="A319" s="14" t="n">
        <v>124</v>
      </c>
      <c r="B319" s="6" t="inlineStr">
        <is>
          <t>Kampung Warna Warni Jodipan</t>
        </is>
      </c>
      <c r="C319" s="6">
        <f>(C125-MIN($C$2:$C$189)) / (MAX($C$2:$C$189)-MIN($C$2:$C$189))</f>
        <v/>
      </c>
      <c r="D319" s="6">
        <f>(D125-MIN($D$2:D$188)) / (MAX($D$2:D$188)-MIN($D$2:D$188))</f>
        <v/>
      </c>
      <c r="E319" s="6">
        <f>(E125-MIN($E125:E$189)) / (MAX($E$2:E$189)-MIN($E$2:E$189))</f>
        <v/>
      </c>
    </row>
    <row r="320">
      <c r="A320" s="14" t="n">
        <v>125</v>
      </c>
      <c r="B320" s="6" t="inlineStr">
        <is>
          <t>Idjen Boulevard</t>
        </is>
      </c>
      <c r="C320" s="6">
        <f>(C126-MIN($C$2:$C$189)) / (MAX($C$2:$C$189)-MIN($C$2:$C$189))</f>
        <v/>
      </c>
      <c r="D320" s="6">
        <f>(D126-MIN($D$2:D$188)) / (MAX($D$2:D$188)-MIN($D$2:D$188))</f>
        <v/>
      </c>
      <c r="E320" s="6">
        <f>(E126-MIN($E126:E$189)) / (MAX($E$2:E$189)-MIN($E$2:E$189))</f>
        <v/>
      </c>
    </row>
    <row r="321">
      <c r="A321" s="14" t="n">
        <v>126</v>
      </c>
      <c r="B321" s="6" t="inlineStr">
        <is>
          <t>Wisata Kali Cemplong</t>
        </is>
      </c>
      <c r="C321" s="6">
        <f>(C127-MIN($C$2:$C$189)) / (MAX($C$2:$C$189)-MIN($C$2:$C$189))</f>
        <v/>
      </c>
      <c r="D321" s="6">
        <f>(D127-MIN($D$2:D$188)) / (MAX($D$2:D$188)-MIN($D$2:D$188))</f>
        <v/>
      </c>
      <c r="E321" s="6">
        <f>(E127-MIN($E127:E$189)) / (MAX($E$2:E$189)-MIN($E$2:E$189))</f>
        <v/>
      </c>
    </row>
    <row r="322">
      <c r="A322" s="14" t="n">
        <v>127</v>
      </c>
      <c r="B322" s="6" t="inlineStr">
        <is>
          <t>Pemandian Kalireco</t>
        </is>
      </c>
      <c r="C322" s="6">
        <f>(C128-MIN($C$2:$C$189)) / (MAX($C$2:$C$189)-MIN($C$2:$C$189))</f>
        <v/>
      </c>
      <c r="D322" s="6">
        <f>(D128-MIN($D$2:D$188)) / (MAX($D$2:D$188)-MIN($D$2:D$188))</f>
        <v/>
      </c>
      <c r="E322" s="6">
        <f>(E128-MIN($E128:E$189)) / (MAX($E$2:E$189)-MIN($E$2:E$189))</f>
        <v/>
      </c>
    </row>
    <row r="323">
      <c r="A323" s="14" t="n">
        <v>128</v>
      </c>
      <c r="B323" s="6" t="inlineStr">
        <is>
          <t>Jawa Timur Park 3</t>
        </is>
      </c>
      <c r="C323" s="6">
        <f>(C129-MIN($C$2:$C$189)) / (MAX($C$2:$C$189)-MIN($C$2:$C$189))</f>
        <v/>
      </c>
      <c r="D323" s="6">
        <f>(D129-MIN($D$2:D$188)) / (MAX($D$2:D$188)-MIN($D$2:D$188))</f>
        <v/>
      </c>
      <c r="E323" s="6">
        <f>(E129-MIN($E129:E$189)) / (MAX($E$2:E$189)-MIN($E$2:E$189))</f>
        <v/>
      </c>
    </row>
    <row r="324">
      <c r="A324" s="14" t="n">
        <v>129</v>
      </c>
      <c r="B324" s="6" t="inlineStr">
        <is>
          <t>Jembatan Kaca Ngalam Indonesia</t>
        </is>
      </c>
      <c r="C324" s="6">
        <f>(C130-MIN($C$2:$C$189)) / (MAX($C$2:$C$189)-MIN($C$2:$C$189))</f>
        <v/>
      </c>
      <c r="D324" s="6">
        <f>(D130-MIN($D$2:D$188)) / (MAX($D$2:D$188)-MIN($D$2:D$188))</f>
        <v/>
      </c>
      <c r="E324" s="6">
        <f>(E130-MIN($E130:E$189)) / (MAX($E$2:E$189)-MIN($E$2:E$189))</f>
        <v/>
      </c>
    </row>
    <row r="325">
      <c r="A325" s="14" t="n">
        <v>130</v>
      </c>
      <c r="B325" s="6" t="inlineStr">
        <is>
          <t>Coban Manten</t>
        </is>
      </c>
      <c r="C325" s="6">
        <f>(C131-MIN($C$2:$C$189)) / (MAX($C$2:$C$189)-MIN($C$2:$C$189))</f>
        <v/>
      </c>
      <c r="D325" s="6">
        <f>(D131-MIN($D$2:D$188)) / (MAX($D$2:D$188)-MIN($D$2:D$188))</f>
        <v/>
      </c>
      <c r="E325" s="6">
        <f>(E131-MIN($E131:E$189)) / (MAX($E$2:E$189)-MIN($E$2:E$189))</f>
        <v/>
      </c>
    </row>
    <row r="326">
      <c r="A326" s="14" t="n">
        <v>131</v>
      </c>
      <c r="B326" s="6" t="inlineStr">
        <is>
          <t>Patung Singo Edan Arema</t>
        </is>
      </c>
      <c r="C326" s="6">
        <f>(C132-MIN($C$2:$C$189)) / (MAX($C$2:$C$189)-MIN($C$2:$C$189))</f>
        <v/>
      </c>
      <c r="D326" s="6">
        <f>(D132-MIN($D$2:D$188)) / (MAX($D$2:D$188)-MIN($D$2:D$188))</f>
        <v/>
      </c>
      <c r="E326" s="6">
        <f>(E132-MIN($E132:E$189)) / (MAX($E$2:E$189)-MIN($E$2:E$189))</f>
        <v/>
      </c>
    </row>
    <row r="327">
      <c r="A327" s="14" t="n">
        <v>132</v>
      </c>
      <c r="B327" s="6" t="inlineStr">
        <is>
          <t>Wisata Kampung Topeng</t>
        </is>
      </c>
      <c r="C327" s="6">
        <f>(C133-MIN($C$2:$C$189)) / (MAX($C$2:$C$189)-MIN($C$2:$C$189))</f>
        <v/>
      </c>
      <c r="D327" s="6">
        <f>(D133-MIN($D$2:D$188)) / (MAX($D$2:D$188)-MIN($D$2:D$188))</f>
        <v/>
      </c>
      <c r="E327" s="6">
        <f>(E133-MIN($E133:E$189)) / (MAX($E$2:E$189)-MIN($E$2:E$189))</f>
        <v/>
      </c>
    </row>
    <row r="328">
      <c r="A328" s="14" t="n">
        <v>133</v>
      </c>
      <c r="B328" s="6" t="inlineStr">
        <is>
          <t>Lapangan Rampal</t>
        </is>
      </c>
      <c r="C328" s="6">
        <f>(C134-MIN($C$2:$C$189)) / (MAX($C$2:$C$189)-MIN($C$2:$C$189))</f>
        <v/>
      </c>
      <c r="D328" s="6">
        <f>(D134-MIN($D$2:D$188)) / (MAX($D$2:D$188)-MIN($D$2:D$188))</f>
        <v/>
      </c>
      <c r="E328" s="6">
        <f>(E134-MIN($E134:E$189)) / (MAX($E$2:E$189)-MIN($E$2:E$189))</f>
        <v/>
      </c>
    </row>
    <row r="329">
      <c r="A329" s="14" t="n">
        <v>134</v>
      </c>
      <c r="B329" s="6" t="inlineStr">
        <is>
          <t>Brawijaya Edupark</t>
        </is>
      </c>
      <c r="C329" s="6">
        <f>(C135-MIN($C$2:$C$189)) / (MAX($C$2:$C$189)-MIN($C$2:$C$189))</f>
        <v/>
      </c>
      <c r="D329" s="6">
        <f>(D135-MIN($D$2:D$188)) / (MAX($D$2:D$188)-MIN($D$2:D$188))</f>
        <v/>
      </c>
      <c r="E329" s="6">
        <f>(E135-MIN($E135:E$189)) / (MAX($E$2:E$189)-MIN($E$2:E$189))</f>
        <v/>
      </c>
    </row>
    <row r="330">
      <c r="A330" s="14" t="n">
        <v>135</v>
      </c>
      <c r="B330" s="6" t="inlineStr">
        <is>
          <t>Malang Night Paradise</t>
        </is>
      </c>
      <c r="C330" s="6">
        <f>(C136-MIN($C$2:$C$189)) / (MAX($C$2:$C$189)-MIN($C$2:$C$189))</f>
        <v/>
      </c>
      <c r="D330" s="6">
        <f>(D136-MIN($D$2:D$188)) / (MAX($D$2:D$188)-MIN($D$2:D$188))</f>
        <v/>
      </c>
      <c r="E330" s="6">
        <f>(E136-MIN($E136:E$189)) / (MAX($E$2:E$189)-MIN($E$2:E$189))</f>
        <v/>
      </c>
    </row>
    <row r="331">
      <c r="A331" s="14" t="n">
        <v>136</v>
      </c>
      <c r="B331" s="6" t="inlineStr">
        <is>
          <t>Wisata Kayutangan Kota Malang</t>
        </is>
      </c>
      <c r="C331" s="6">
        <f>(C137-MIN($C$2:$C$189)) / (MAX($C$2:$C$189)-MIN($C$2:$C$189))</f>
        <v/>
      </c>
      <c r="D331" s="6">
        <f>(D137-MIN($D$2:D$188)) / (MAX($D$2:D$188)-MIN($D$2:D$188))</f>
        <v/>
      </c>
      <c r="E331" s="6">
        <f>(E137-MIN($E137:E$189)) / (MAX($E$2:E$189)-MIN($E$2:E$189))</f>
        <v/>
      </c>
    </row>
    <row r="332">
      <c r="A332" s="14" t="n">
        <v>137</v>
      </c>
      <c r="B332" s="6" t="inlineStr">
        <is>
          <t>Candi Badut</t>
        </is>
      </c>
      <c r="C332" s="6">
        <f>(C138-MIN($C$2:$C$189)) / (MAX($C$2:$C$189)-MIN($C$2:$C$189))</f>
        <v/>
      </c>
      <c r="D332" s="6">
        <f>(D138-MIN($D$2:D$188)) / (MAX($D$2:D$188)-MIN($D$2:D$188))</f>
        <v/>
      </c>
      <c r="E332" s="6">
        <f>(E138-MIN($E138:E$189)) / (MAX($E$2:E$189)-MIN($E$2:E$189))</f>
        <v/>
      </c>
    </row>
    <row r="333">
      <c r="A333" s="14" t="n">
        <v>138</v>
      </c>
      <c r="B333" s="6" t="inlineStr">
        <is>
          <t>Wana Wisata Perhutani Malang</t>
        </is>
      </c>
      <c r="C333" s="6">
        <f>(C139-MIN($C$2:$C$189)) / (MAX($C$2:$C$189)-MIN($C$2:$C$189))</f>
        <v/>
      </c>
      <c r="D333" s="6">
        <f>(D139-MIN($D$2:D$188)) / (MAX($D$2:D$188)-MIN($D$2:D$188))</f>
        <v/>
      </c>
      <c r="E333" s="6">
        <f>(E139-MIN($E139:E$189)) / (MAX($E$2:E$189)-MIN($E$2:E$189))</f>
        <v/>
      </c>
    </row>
    <row r="334">
      <c r="A334" s="14" t="n">
        <v>139</v>
      </c>
      <c r="B334" s="6" t="inlineStr">
        <is>
          <t>Wisata Agro Petik Jeruk</t>
        </is>
      </c>
      <c r="C334" s="6">
        <f>(C140-MIN($C$2:$C$189)) / (MAX($C$2:$C$189)-MIN($C$2:$C$189))</f>
        <v/>
      </c>
      <c r="D334" s="6">
        <f>(D140-MIN($D$2:D$188)) / (MAX($D$2:D$188)-MIN($D$2:D$188))</f>
        <v/>
      </c>
      <c r="E334" s="6">
        <f>(E140-MIN($E140:E$189)) / (MAX($E$2:E$189)-MIN($E$2:E$189))</f>
        <v/>
      </c>
    </row>
    <row r="335">
      <c r="A335" s="14" t="n">
        <v>140</v>
      </c>
      <c r="B335" s="6" t="inlineStr">
        <is>
          <t>Wisata alam Lembah Ken Arok</t>
        </is>
      </c>
      <c r="C335" s="6">
        <f>(C141-MIN($C$2:$C$189)) / (MAX($C$2:$C$189)-MIN($C$2:$C$189))</f>
        <v/>
      </c>
      <c r="D335" s="6">
        <f>(D141-MIN($D$2:D$188)) / (MAX($D$2:D$188)-MIN($D$2:D$188))</f>
        <v/>
      </c>
      <c r="E335" s="6">
        <f>(E141-MIN($E141:E$189)) / (MAX($E$2:E$189)-MIN($E$2:E$189))</f>
        <v/>
      </c>
    </row>
    <row r="336">
      <c r="A336" s="14" t="n">
        <v>141</v>
      </c>
      <c r="B336" s="6" t="inlineStr">
        <is>
          <t>Air Terjun Coban Rais</t>
        </is>
      </c>
      <c r="C336" s="6">
        <f>(C142-MIN($C$2:$C$189)) / (MAX($C$2:$C$189)-MIN($C$2:$C$189))</f>
        <v/>
      </c>
      <c r="D336" s="6">
        <f>(D142-MIN($D$2:D$188)) / (MAX($D$2:D$188)-MIN($D$2:D$188))</f>
        <v/>
      </c>
      <c r="E336" s="6">
        <f>(E142-MIN($E142:E$189)) / (MAX($E$2:E$189)-MIN($E$2:E$189))</f>
        <v/>
      </c>
    </row>
    <row r="337">
      <c r="A337" s="14" t="n">
        <v>142</v>
      </c>
      <c r="B337" s="6" t="inlineStr">
        <is>
          <t>Tomboan Ngawonggo</t>
        </is>
      </c>
      <c r="C337" s="6">
        <f>(C143-MIN($C$2:$C$189)) / (MAX($C$2:$C$189)-MIN($C$2:$C$189))</f>
        <v/>
      </c>
      <c r="D337" s="6">
        <f>(D143-MIN($D$2:D$188)) / (MAX($D$2:D$188)-MIN($D$2:D$188))</f>
        <v/>
      </c>
      <c r="E337" s="6">
        <f>(E143-MIN($E143:E$189)) / (MAX($E$2:E$189)-MIN($E$2:E$189))</f>
        <v/>
      </c>
    </row>
    <row r="338">
      <c r="A338" s="14" t="n">
        <v>143</v>
      </c>
      <c r="B338" s="6" t="inlineStr">
        <is>
          <t>Hawai Waterpark</t>
        </is>
      </c>
      <c r="C338" s="6">
        <f>(C144-MIN($C$2:$C$189)) / (MAX($C$2:$C$189)-MIN($C$2:$C$189))</f>
        <v/>
      </c>
      <c r="D338" s="6">
        <f>(D144-MIN($D$2:D$188)) / (MAX($D$2:D$188)-MIN($D$2:D$188))</f>
        <v/>
      </c>
      <c r="E338" s="6">
        <f>(E144-MIN($E144:E$189)) / (MAX($E$2:E$189)-MIN($E$2:E$189))</f>
        <v/>
      </c>
    </row>
    <row r="339">
      <c r="A339" s="14" t="n">
        <v>144</v>
      </c>
      <c r="B339" s="6" t="inlineStr">
        <is>
          <t>Lembah Tumpang Resort</t>
        </is>
      </c>
      <c r="C339" s="6">
        <f>(C145-MIN($C$2:$C$189)) / (MAX($C$2:$C$189)-MIN($C$2:$C$189))</f>
        <v/>
      </c>
      <c r="D339" s="6">
        <f>(D145-MIN($D$2:D$188)) / (MAX($D$2:D$188)-MIN($D$2:D$188))</f>
        <v/>
      </c>
      <c r="E339" s="6">
        <f>(E145-MIN($E145:E$189)) / (MAX($E$2:E$189)-MIN($E$2:E$189))</f>
        <v/>
      </c>
    </row>
    <row r="340">
      <c r="A340" s="14" t="n">
        <v>145</v>
      </c>
      <c r="B340" s="6" t="inlineStr">
        <is>
          <t>Alun-Alun Kota Wisata Batu</t>
        </is>
      </c>
      <c r="C340" s="6">
        <f>(C146-MIN($C$2:$C$189)) / (MAX($C$2:$C$189)-MIN($C$2:$C$189))</f>
        <v/>
      </c>
      <c r="D340" s="6">
        <f>(D146-MIN($D$2:D$188)) / (MAX($D$2:D$188)-MIN($D$2:D$188))</f>
        <v/>
      </c>
      <c r="E340" s="6">
        <f>(E146-MIN($E146:E$189)) / (MAX($E$2:E$189)-MIN($E$2:E$189))</f>
        <v/>
      </c>
    </row>
    <row r="341">
      <c r="A341" s="14" t="n">
        <v>146</v>
      </c>
      <c r="B341" s="6" t="inlineStr">
        <is>
          <t>Sweetmemoriesselfie</t>
        </is>
      </c>
      <c r="C341" s="6">
        <f>(C147-MIN($C$2:$C$189)) / (MAX($C$2:$C$189)-MIN($C$2:$C$189))</f>
        <v/>
      </c>
      <c r="D341" s="6">
        <f>(D147-MIN($D$2:D$188)) / (MAX($D$2:D$188)-MIN($D$2:D$188))</f>
        <v/>
      </c>
      <c r="E341" s="6">
        <f>(E147-MIN($E147:E$189)) / (MAX($E$2:E$189)-MIN($E$2:E$189))</f>
        <v/>
      </c>
    </row>
    <row r="342">
      <c r="A342" s="14" t="n">
        <v>147</v>
      </c>
      <c r="B342" s="6" t="inlineStr">
        <is>
          <t>Pecinan Malang</t>
        </is>
      </c>
      <c r="C342" s="6">
        <f>(C148-MIN($C$2:$C$189)) / (MAX($C$2:$C$189)-MIN($C$2:$C$189))</f>
        <v/>
      </c>
      <c r="D342" s="6">
        <f>(D148-MIN($D$2:D$188)) / (MAX($D$2:D$188)-MIN($D$2:D$188))</f>
        <v/>
      </c>
      <c r="E342" s="6">
        <f>(E148-MIN($E148:E$189)) / (MAX($E$2:E$189)-MIN($E$2:E$189))</f>
        <v/>
      </c>
    </row>
    <row r="343">
      <c r="A343" s="14" t="n">
        <v>148</v>
      </c>
      <c r="B343" s="6" t="inlineStr">
        <is>
          <t>SANGGAR SEMAR</t>
        </is>
      </c>
      <c r="C343" s="6">
        <f>(C149-MIN($C$2:$C$189)) / (MAX($C$2:$C$189)-MIN($C$2:$C$189))</f>
        <v/>
      </c>
      <c r="D343" s="6">
        <f>(D149-MIN($D$2:D$188)) / (MAX($D$2:D$188)-MIN($D$2:D$188))</f>
        <v/>
      </c>
      <c r="E343" s="6">
        <f>(E149-MIN($E149:E$189)) / (MAX($E$2:E$189)-MIN($E$2:E$189))</f>
        <v/>
      </c>
    </row>
    <row r="344">
      <c r="A344" s="14" t="n">
        <v>149</v>
      </c>
      <c r="B344" s="6" t="inlineStr">
        <is>
          <t>Unimaz Rajut</t>
        </is>
      </c>
      <c r="C344" s="6">
        <f>(C150-MIN($C$2:$C$189)) / (MAX($C$2:$C$189)-MIN($C$2:$C$189))</f>
        <v/>
      </c>
      <c r="D344" s="6">
        <f>(D150-MIN($D$2:D$188)) / (MAX($D$2:D$188)-MIN($D$2:D$188))</f>
        <v/>
      </c>
      <c r="E344" s="6">
        <f>(E150-MIN($E150:E$189)) / (MAX($E$2:E$189)-MIN($E$2:E$189))</f>
        <v/>
      </c>
    </row>
    <row r="345">
      <c r="A345" s="14" t="n">
        <v>150</v>
      </c>
      <c r="B345" s="6" t="inlineStr">
        <is>
          <t>Coban Amprong</t>
        </is>
      </c>
      <c r="C345" s="6">
        <f>(C151-MIN($C$2:$C$189)) / (MAX($C$2:$C$189)-MIN($C$2:$C$189))</f>
        <v/>
      </c>
      <c r="D345" s="6">
        <f>(D151-MIN($D$2:D$188)) / (MAX($D$2:D$188)-MIN($D$2:D$188))</f>
        <v/>
      </c>
      <c r="E345" s="6">
        <f>(E151-MIN($E151:E$189)) / (MAX($E$2:E$189)-MIN($E$2:E$189))</f>
        <v/>
      </c>
    </row>
    <row r="346">
      <c r="A346" s="14" t="n">
        <v>151</v>
      </c>
      <c r="B346" s="6" t="inlineStr">
        <is>
          <t>Pintu Masuk Kampoeng Heritage Kajoetangan</t>
        </is>
      </c>
      <c r="C346" s="6">
        <f>(C152-MIN($C$2:$C$189)) / (MAX($C$2:$C$189)-MIN($C$2:$C$189))</f>
        <v/>
      </c>
      <c r="D346" s="6">
        <f>(D152-MIN($D$2:D$188)) / (MAX($D$2:D$188)-MIN($D$2:D$188))</f>
        <v/>
      </c>
      <c r="E346" s="6">
        <f>(E152-MIN($E152:E$189)) / (MAX($E$2:E$189)-MIN($E$2:E$189))</f>
        <v/>
      </c>
    </row>
    <row r="347">
      <c r="A347" s="14" t="n">
        <v>152</v>
      </c>
      <c r="B347" s="6" t="inlineStr">
        <is>
          <t>bromoindonesia.id</t>
        </is>
      </c>
      <c r="C347" s="6">
        <f>(C153-MIN($C$2:$C$189)) / (MAX($C$2:$C$189)-MIN($C$2:$C$189))</f>
        <v/>
      </c>
      <c r="D347" s="6">
        <f>(D153-MIN($D$2:D$188)) / (MAX($D$2:D$188)-MIN($D$2:D$188))</f>
        <v/>
      </c>
      <c r="E347" s="6">
        <f>(E153-MIN($E153:E$189)) / (MAX($E$2:E$189)-MIN($E$2:E$189))</f>
        <v/>
      </c>
    </row>
    <row r="348">
      <c r="A348" s="14" t="n">
        <v>153</v>
      </c>
      <c r="B348" s="6" t="inlineStr">
        <is>
          <t>Wisata kali djaeng</t>
        </is>
      </c>
      <c r="C348" s="6">
        <f>(C154-MIN($C$2:$C$189)) / (MAX($C$2:$C$189)-MIN($C$2:$C$189))</f>
        <v/>
      </c>
      <c r="D348" s="6">
        <f>(D154-MIN($D$2:D$188)) / (MAX($D$2:D$188)-MIN($D$2:D$188))</f>
        <v/>
      </c>
      <c r="E348" s="6">
        <f>(E154-MIN($E154:E$189)) / (MAX($E$2:E$189)-MIN($E$2:E$189))</f>
        <v/>
      </c>
    </row>
    <row r="349">
      <c r="A349" s="14" t="n">
        <v>154</v>
      </c>
      <c r="B349" s="6" t="inlineStr">
        <is>
          <t>Bromo Midnight Tour</t>
        </is>
      </c>
      <c r="C349" s="6">
        <f>(C155-MIN($C$2:$C$189)) / (MAX($C$2:$C$189)-MIN($C$2:$C$189))</f>
        <v/>
      </c>
      <c r="D349" s="6">
        <f>(D155-MIN($D$2:D$188)) / (MAX($D$2:D$188)-MIN($D$2:D$188))</f>
        <v/>
      </c>
      <c r="E349" s="6">
        <f>(E155-MIN($E155:E$189)) / (MAX($E$2:E$189)-MIN($E$2:E$189))</f>
        <v/>
      </c>
    </row>
    <row r="350">
      <c r="A350" s="14" t="n">
        <v>155</v>
      </c>
      <c r="B350" s="6" t="inlineStr">
        <is>
          <t>Kolam Pemancingan &amp; Lesehan Beran Sundeng</t>
        </is>
      </c>
      <c r="C350" s="6">
        <f>(C156-MIN($C$2:$C$189)) / (MAX($C$2:$C$189)-MIN($C$2:$C$189))</f>
        <v/>
      </c>
      <c r="D350" s="6">
        <f>(D156-MIN($D$2:D$188)) / (MAX($D$2:D$188)-MIN($D$2:D$188))</f>
        <v/>
      </c>
      <c r="E350" s="6">
        <f>(E156-MIN($E156:E$189)) / (MAX($E$2:E$189)-MIN($E$2:E$189))</f>
        <v/>
      </c>
    </row>
    <row r="351">
      <c r="A351" s="14" t="n">
        <v>156</v>
      </c>
      <c r="B351" s="6" t="inlineStr">
        <is>
          <t>Bis Wisata Malang (Macito)</t>
        </is>
      </c>
      <c r="C351" s="6">
        <f>(C157-MIN($C$2:$C$189)) / (MAX($C$2:$C$189)-MIN($C$2:$C$189))</f>
        <v/>
      </c>
      <c r="D351" s="6">
        <f>(D157-MIN($D$2:D$188)) / (MAX($D$2:D$188)-MIN($D$2:D$188))</f>
        <v/>
      </c>
      <c r="E351" s="6">
        <f>(E157-MIN($E157:E$189)) / (MAX($E$2:E$189)-MIN($E$2:E$189))</f>
        <v/>
      </c>
    </row>
    <row r="352">
      <c r="A352" s="14" t="n">
        <v>157</v>
      </c>
      <c r="B352" s="6" t="inlineStr">
        <is>
          <t>Monumen Melati Kadet Suropati</t>
        </is>
      </c>
      <c r="C352" s="6">
        <f>(C158-MIN($C$2:$C$189)) / (MAX($C$2:$C$189)-MIN($C$2:$C$189))</f>
        <v/>
      </c>
      <c r="D352" s="6">
        <f>(D158-MIN($D$2:D$188)) / (MAX($D$2:D$188)-MIN($D$2:D$188))</f>
        <v/>
      </c>
      <c r="E352" s="6">
        <f>(E158-MIN($E158:E$189)) / (MAX($E$2:E$189)-MIN($E$2:E$189))</f>
        <v/>
      </c>
    </row>
    <row r="353">
      <c r="A353" s="14" t="n">
        <v>158</v>
      </c>
      <c r="B353" s="6" t="inlineStr">
        <is>
          <t>Candi Sumberawan</t>
        </is>
      </c>
      <c r="C353" s="6">
        <f>(C159-MIN($C$2:$C$189)) / (MAX($C$2:$C$189)-MIN($C$2:$C$189))</f>
        <v/>
      </c>
      <c r="D353" s="6">
        <f>(D159-MIN($D$2:D$188)) / (MAX($D$2:D$188)-MIN($D$2:D$188))</f>
        <v/>
      </c>
      <c r="E353" s="6">
        <f>(E159-MIN($E159:E$189)) / (MAX($E$2:E$189)-MIN($E$2:E$189))</f>
        <v/>
      </c>
    </row>
    <row r="354">
      <c r="A354" s="14" t="n">
        <v>159</v>
      </c>
      <c r="B354" s="6" t="inlineStr">
        <is>
          <t>Candi Kidal</t>
        </is>
      </c>
      <c r="C354" s="6">
        <f>(C160-MIN($C$2:$C$189)) / (MAX($C$2:$C$189)-MIN($C$2:$C$189))</f>
        <v/>
      </c>
      <c r="D354" s="6">
        <f>(D160-MIN($D$2:D$188)) / (MAX($D$2:D$188)-MIN($D$2:D$188))</f>
        <v/>
      </c>
      <c r="E354" s="6">
        <f>(E160-MIN($E160:E$189)) / (MAX($E$2:E$189)-MIN($E$2:E$189))</f>
        <v/>
      </c>
    </row>
    <row r="355">
      <c r="A355" s="14" t="n">
        <v>160</v>
      </c>
      <c r="B355" s="6" t="inlineStr">
        <is>
          <t>Pantai Banyu Anjlok</t>
        </is>
      </c>
      <c r="C355" s="6">
        <f>(C161-MIN($C$2:$C$189)) / (MAX($C$2:$C$189)-MIN($C$2:$C$189))</f>
        <v/>
      </c>
      <c r="D355" s="6">
        <f>(D161-MIN($D$2:D$188)) / (MAX($D$2:D$188)-MIN($D$2:D$188))</f>
        <v/>
      </c>
      <c r="E355" s="6">
        <f>(E161-MIN($E161:E$189)) / (MAX($E$2:E$189)-MIN($E$2:E$189))</f>
        <v/>
      </c>
    </row>
    <row r="356">
      <c r="A356" s="14" t="n">
        <v>161</v>
      </c>
      <c r="B356" s="6" t="inlineStr">
        <is>
          <t>Kampung Semar Malang</t>
        </is>
      </c>
      <c r="C356" s="6">
        <f>(C162-MIN($C$2:$C$189)) / (MAX($C$2:$C$189)-MIN($C$2:$C$189))</f>
        <v/>
      </c>
      <c r="D356" s="6">
        <f>(D162-MIN($D$2:D$188)) / (MAX($D$2:D$188)-MIN($D$2:D$188))</f>
        <v/>
      </c>
      <c r="E356" s="6">
        <f>(E162-MIN($E162:E$189)) / (MAX($E$2:E$189)-MIN($E$2:E$189))</f>
        <v/>
      </c>
    </row>
    <row r="357">
      <c r="A357" s="14" t="n">
        <v>162</v>
      </c>
      <c r="B357" s="6" t="inlineStr">
        <is>
          <t>Coban Putri</t>
        </is>
      </c>
      <c r="C357" s="6">
        <f>(C163-MIN($C$2:$C$189)) / (MAX($C$2:$C$189)-MIN($C$2:$C$189))</f>
        <v/>
      </c>
      <c r="D357" s="6">
        <f>(D163-MIN($D$2:D$188)) / (MAX($D$2:D$188)-MIN($D$2:D$188))</f>
        <v/>
      </c>
      <c r="E357" s="6">
        <f>(E163-MIN($E163:E$189)) / (MAX($E$2:E$189)-MIN($E$2:E$189))</f>
        <v/>
      </c>
    </row>
    <row r="358">
      <c r="A358" s="14" t="n">
        <v>163</v>
      </c>
      <c r="B358" s="6" t="inlineStr">
        <is>
          <t>Healing Tour Malang</t>
        </is>
      </c>
      <c r="C358" s="6">
        <f>(C164-MIN($C$2:$C$189)) / (MAX($C$2:$C$189)-MIN($C$2:$C$189))</f>
        <v/>
      </c>
      <c r="D358" s="6">
        <f>(D164-MIN($D$2:D$188)) / (MAX($D$2:D$188)-MIN($D$2:D$188))</f>
        <v/>
      </c>
      <c r="E358" s="6">
        <f>(E164-MIN($E164:E$189)) / (MAX($E$2:E$189)-MIN($E$2:E$189))</f>
        <v/>
      </c>
    </row>
    <row r="359">
      <c r="A359" s="14" t="n">
        <v>164</v>
      </c>
      <c r="B359" s="6" t="inlineStr">
        <is>
          <t>Museum Brawijaya</t>
        </is>
      </c>
      <c r="C359" s="6">
        <f>(C165-MIN($C$2:$C$189)) / (MAX($C$2:$C$189)-MIN($C$2:$C$189))</f>
        <v/>
      </c>
      <c r="D359" s="6">
        <f>(D165-MIN($D$2:D$188)) / (MAX($D$2:D$188)-MIN($D$2:D$188))</f>
        <v/>
      </c>
      <c r="E359" s="6">
        <f>(E165-MIN($E165:E$189)) / (MAX($E$2:E$189)-MIN($E$2:E$189))</f>
        <v/>
      </c>
    </row>
    <row r="360">
      <c r="A360" s="14" t="n">
        <v>165</v>
      </c>
      <c r="B360" s="6" t="inlineStr">
        <is>
          <t>Khayangan Reflexology Malang</t>
        </is>
      </c>
      <c r="C360" s="6">
        <f>(C166-MIN($C$2:$C$189)) / (MAX($C$2:$C$189)-MIN($C$2:$C$189))</f>
        <v/>
      </c>
      <c r="D360" s="6">
        <f>(D166-MIN($D$2:D$188)) / (MAX($D$2:D$188)-MIN($D$2:D$188))</f>
        <v/>
      </c>
      <c r="E360" s="6">
        <f>(E166-MIN($E166:E$189)) / (MAX($E$2:E$189)-MIN($E$2:E$189))</f>
        <v/>
      </c>
    </row>
    <row r="361">
      <c r="A361" s="14" t="n">
        <v>166</v>
      </c>
      <c r="B361" s="6" t="inlineStr">
        <is>
          <t>Havanna Reflexology Malang</t>
        </is>
      </c>
      <c r="C361" s="6">
        <f>(C167-MIN($C$2:$C$189)) / (MAX($C$2:$C$189)-MIN($C$2:$C$189))</f>
        <v/>
      </c>
      <c r="D361" s="6">
        <f>(D167-MIN($D$2:D$188)) / (MAX($D$2:D$188)-MIN($D$2:D$188))</f>
        <v/>
      </c>
      <c r="E361" s="6">
        <f>(E167-MIN($E167:E$189)) / (MAX($E$2:E$189)-MIN($E$2:E$189))</f>
        <v/>
      </c>
    </row>
    <row r="362">
      <c r="A362" s="14" t="n">
        <v>167</v>
      </c>
      <c r="B362" s="6" t="inlineStr">
        <is>
          <t>RELAXING Reflexology Massage Shiatsu</t>
        </is>
      </c>
      <c r="C362" s="6">
        <f>(C168-MIN($C$2:$C$189)) / (MAX($C$2:$C$189)-MIN($C$2:$C$189))</f>
        <v/>
      </c>
      <c r="D362" s="6">
        <f>(D168-MIN($D$2:D$188)) / (MAX($D$2:D$188)-MIN($D$2:D$188))</f>
        <v/>
      </c>
      <c r="E362" s="6">
        <f>(E168-MIN($E168:E$189)) / (MAX($E$2:E$189)-MIN($E$2:E$189))</f>
        <v/>
      </c>
    </row>
    <row r="363">
      <c r="A363" s="14" t="n">
        <v>168</v>
      </c>
      <c r="B363" s="6" t="inlineStr">
        <is>
          <t>Queen's Family Reflexology</t>
        </is>
      </c>
      <c r="C363" s="6">
        <f>(C169-MIN($C$2:$C$189)) / (MAX($C$2:$C$189)-MIN($C$2:$C$189))</f>
        <v/>
      </c>
      <c r="D363" s="6">
        <f>(D169-MIN($D$2:D$188)) / (MAX($D$2:D$188)-MIN($D$2:D$188))</f>
        <v/>
      </c>
      <c r="E363" s="6">
        <f>(E169-MIN($E169:E$189)) / (MAX($E$2:E$189)-MIN($E$2:E$189))</f>
        <v/>
      </c>
    </row>
    <row r="364">
      <c r="A364" s="14" t="n">
        <v>169</v>
      </c>
      <c r="B364" s="6" t="inlineStr">
        <is>
          <t>De WAVE Family Massage, Reflexology &amp; Beauty Bar Malang</t>
        </is>
      </c>
      <c r="C364" s="6">
        <f>(C170-MIN($C$2:$C$189)) / (MAX($C$2:$C$189)-MIN($C$2:$C$189))</f>
        <v/>
      </c>
      <c r="D364" s="6">
        <f>(D170-MIN($D$2:D$188)) / (MAX($D$2:D$188)-MIN($D$2:D$188))</f>
        <v/>
      </c>
      <c r="E364" s="6">
        <f>(E170-MIN($E170:E$189)) / (MAX($E$2:E$189)-MIN($E$2:E$189))</f>
        <v/>
      </c>
    </row>
    <row r="365">
      <c r="A365" s="14" t="n">
        <v>170</v>
      </c>
      <c r="B365" s="6" t="inlineStr">
        <is>
          <t>Akira Reflexology - Pijat Malang dan Home Service Massage</t>
        </is>
      </c>
      <c r="C365" s="6">
        <f>(C171-MIN($C$2:$C$189)) / (MAX($C$2:$C$189)-MIN($C$2:$C$189))</f>
        <v/>
      </c>
      <c r="D365" s="6">
        <f>(D171-MIN($D$2:D$188)) / (MAX($D$2:D$188)-MIN($D$2:D$188))</f>
        <v/>
      </c>
      <c r="E365" s="6">
        <f>(E171-MIN($E171:E$189)) / (MAX($E$2:E$189)-MIN($E$2:E$189))</f>
        <v/>
      </c>
    </row>
    <row r="366">
      <c r="A366" s="14" t="n">
        <v>171</v>
      </c>
      <c r="B366" s="6" t="inlineStr">
        <is>
          <t>Wisata Sumber Air " DAM COKRO " Lowoksari</t>
        </is>
      </c>
      <c r="C366" s="6">
        <f>(C172-MIN($C$2:$C$189)) / (MAX($C$2:$C$189)-MIN($C$2:$C$189))</f>
        <v/>
      </c>
      <c r="D366" s="6">
        <f>(D172-MIN($D$2:D$188)) / (MAX($D$2:D$188)-MIN($D$2:D$188))</f>
        <v/>
      </c>
      <c r="E366" s="6">
        <f>(E172-MIN($E172:E$189)) / (MAX($E$2:E$189)-MIN($E$2:E$189))</f>
        <v/>
      </c>
    </row>
    <row r="367">
      <c r="A367" s="14" t="n">
        <v>172</v>
      </c>
      <c r="B367" s="6" t="inlineStr">
        <is>
          <t>New Wisata Wendit by Nicole’s</t>
        </is>
      </c>
      <c r="C367" s="6">
        <f>(C173-MIN($C$2:$C$189)) / (MAX($C$2:$C$189)-MIN($C$2:$C$189))</f>
        <v/>
      </c>
      <c r="D367" s="6">
        <f>(D173-MIN($D$2:D$188)) / (MAX($D$2:D$188)-MIN($D$2:D$188))</f>
        <v/>
      </c>
      <c r="E367" s="6">
        <f>(E173-MIN($E173:E$189)) / (MAX($E$2:E$189)-MIN($E$2:E$189))</f>
        <v/>
      </c>
    </row>
    <row r="368">
      <c r="A368" s="14" t="n">
        <v>173</v>
      </c>
      <c r="B368" s="6" t="inlineStr">
        <is>
          <t>Tirta Nirwana Songgoriti</t>
        </is>
      </c>
      <c r="C368" s="6">
        <f>(C174-MIN($C$2:$C$189)) / (MAX($C$2:$C$189)-MIN($C$2:$C$189))</f>
        <v/>
      </c>
      <c r="D368" s="6">
        <f>(D174-MIN($D$2:D$188)) / (MAX($D$2:D$188)-MIN($D$2:D$188))</f>
        <v/>
      </c>
      <c r="E368" s="6">
        <f>(E174-MIN($E174:E$189)) / (MAX($E$2:E$189)-MIN($E$2:E$189))</f>
        <v/>
      </c>
    </row>
    <row r="369">
      <c r="A369" s="14" t="n">
        <v>174</v>
      </c>
      <c r="B369" s="6" t="inlineStr">
        <is>
          <t>Pemandian Belakang Wendit Wakaf</t>
        </is>
      </c>
      <c r="C369" s="6">
        <f>(C175-MIN($C$2:$C$189)) / (MAX($C$2:$C$189)-MIN($C$2:$C$189))</f>
        <v/>
      </c>
      <c r="D369" s="6">
        <f>(D175-MIN($D$2:D$188)) / (MAX($D$2:D$188)-MIN($D$2:D$188))</f>
        <v/>
      </c>
      <c r="E369" s="6">
        <f>(E175-MIN($E175:E$189)) / (MAX($E$2:E$189)-MIN($E$2:E$189))</f>
        <v/>
      </c>
    </row>
    <row r="370">
      <c r="A370" s="14" t="n">
        <v>175</v>
      </c>
      <c r="B370" s="6" t="inlineStr">
        <is>
          <t>Sumber Air Ngembul</t>
        </is>
      </c>
      <c r="C370" s="6">
        <f>(C176-MIN($C$2:$C$189)) / (MAX($C$2:$C$189)-MIN($C$2:$C$189))</f>
        <v/>
      </c>
      <c r="D370" s="6">
        <f>(D176-MIN($D$2:D$188)) / (MAX($D$2:D$188)-MIN($D$2:D$188))</f>
        <v/>
      </c>
      <c r="E370" s="6">
        <f>(E176-MIN($E176:E$189)) / (MAX($E$2:E$189)-MIN($E$2:E$189))</f>
        <v/>
      </c>
    </row>
    <row r="371">
      <c r="A371" s="14" t="n">
        <v>176</v>
      </c>
      <c r="B371" s="6" t="inlineStr">
        <is>
          <t>Coban rondo malang jawa timur</t>
        </is>
      </c>
      <c r="C371" s="6">
        <f>(C177-MIN($C$2:$C$189)) / (MAX($C$2:$C$189)-MIN($C$2:$C$189))</f>
        <v/>
      </c>
      <c r="D371" s="6">
        <f>(D177-MIN($D$2:D$188)) / (MAX($D$2:D$188)-MIN($D$2:D$188))</f>
        <v/>
      </c>
      <c r="E371" s="6">
        <f>(E177-MIN($E177:E$189)) / (MAX($E$2:E$189)-MIN($E$2:E$189))</f>
        <v/>
      </c>
    </row>
    <row r="372">
      <c r="A372" s="14" t="n">
        <v>177</v>
      </c>
      <c r="B372" s="6" t="inlineStr">
        <is>
          <t>Bonderland Waterpark</t>
        </is>
      </c>
      <c r="C372" s="6">
        <f>(C178-MIN($C$2:$C$189)) / (MAX($C$2:$C$189)-MIN($C$2:$C$189))</f>
        <v/>
      </c>
      <c r="D372" s="6">
        <f>(D178-MIN($D$2:D$188)) / (MAX($D$2:D$188)-MIN($D$2:D$188))</f>
        <v/>
      </c>
      <c r="E372" s="6">
        <f>(E178-MIN($E178:E$189)) / (MAX($E$2:E$189)-MIN($E$2:E$189))</f>
        <v/>
      </c>
    </row>
    <row r="373">
      <c r="A373" s="14" t="n">
        <v>178</v>
      </c>
      <c r="B373" s="6" t="inlineStr">
        <is>
          <t>Kusuma Waterpark</t>
        </is>
      </c>
      <c r="C373" s="6">
        <f>(C179-MIN($C$2:$C$189)) / (MAX($C$2:$C$189)-MIN($C$2:$C$189))</f>
        <v/>
      </c>
      <c r="D373" s="6">
        <f>(D179-MIN($D$2:D$188)) / (MAX($D$2:D$188)-MIN($D$2:D$188))</f>
        <v/>
      </c>
      <c r="E373" s="6">
        <f>(E179-MIN($E179:E$189)) / (MAX($E$2:E$189)-MIN($E$2:E$189))</f>
        <v/>
      </c>
    </row>
    <row r="374">
      <c r="A374" s="14" t="n">
        <v>179</v>
      </c>
      <c r="B374" s="6" t="inlineStr">
        <is>
          <t>WISATA AIR MADYOPURO</t>
        </is>
      </c>
      <c r="C374" s="6">
        <f>(C180-MIN($C$2:$C$189)) / (MAX($C$2:$C$189)-MIN($C$2:$C$189))</f>
        <v/>
      </c>
      <c r="D374" s="6">
        <f>(D180-MIN($D$2:D$188)) / (MAX($D$2:D$188)-MIN($D$2:D$188))</f>
        <v/>
      </c>
      <c r="E374" s="6">
        <f>(E180-MIN($E180:E$189)) / (MAX($E$2:E$189)-MIN($E$2:E$189))</f>
        <v/>
      </c>
    </row>
    <row r="375">
      <c r="A375" s="14" t="n">
        <v>180</v>
      </c>
      <c r="B375" s="6" t="inlineStr">
        <is>
          <t>Pemandian Air Panas Cangar</t>
        </is>
      </c>
      <c r="C375" s="6">
        <f>(C181-MIN($C$2:$C$189)) / (MAX($C$2:$C$189)-MIN($C$2:$C$189))</f>
        <v/>
      </c>
      <c r="D375" s="6">
        <f>(D181-MIN($D$2:D$188)) / (MAX($D$2:D$188)-MIN($D$2:D$188))</f>
        <v/>
      </c>
      <c r="E375" s="6">
        <f>(E181-MIN($E181:E$189)) / (MAX($E$2:E$189)-MIN($E$2:E$189))</f>
        <v/>
      </c>
    </row>
    <row r="376">
      <c r="A376" s="14" t="n">
        <v>181</v>
      </c>
      <c r="B376" s="6" t="inlineStr">
        <is>
          <t>Kolam Renang Pentungan Sari</t>
        </is>
      </c>
      <c r="C376" s="6">
        <f>(C182-MIN($C$2:$C$189)) / (MAX($C$2:$C$189)-MIN($C$2:$C$189))</f>
        <v/>
      </c>
      <c r="D376" s="6">
        <f>(D182-MIN($D$2:D$188)) / (MAX($D$2:D$188)-MIN($D$2:D$188))</f>
        <v/>
      </c>
      <c r="E376" s="6">
        <f>(E182-MIN($E182:E$189)) / (MAX($E$2:E$189)-MIN($E$2:E$189))</f>
        <v/>
      </c>
    </row>
    <row r="377">
      <c r="A377" s="14" t="n">
        <v>182</v>
      </c>
      <c r="B377" s="6" t="inlineStr">
        <is>
          <t>Coban Baung ꦕꦺꦴꦧꦤ꧀ꦧꦈꦁ</t>
        </is>
      </c>
      <c r="C377" s="6">
        <f>(C183-MIN($C$2:$C$189)) / (MAX($C$2:$C$189)-MIN($C$2:$C$189))</f>
        <v/>
      </c>
      <c r="D377" s="6">
        <f>(D183-MIN($D$2:D$188)) / (MAX($D$2:D$188)-MIN($D$2:D$188))</f>
        <v/>
      </c>
      <c r="E377" s="6">
        <f>(E183-MIN($E183:E$189)) / (MAX($E$2:E$189)-MIN($E$2:E$189))</f>
        <v/>
      </c>
    </row>
    <row r="378">
      <c r="A378" s="14" t="n">
        <v>183</v>
      </c>
      <c r="B378" s="6" t="inlineStr">
        <is>
          <t>Sumber Mata Air Tambakrejo</t>
        </is>
      </c>
      <c r="C378" s="6">
        <f>(C184-MIN($C$2:$C$189)) / (MAX($C$2:$C$189)-MIN($C$2:$C$189))</f>
        <v/>
      </c>
      <c r="D378" s="6">
        <f>(D184-MIN($D$2:D$188)) / (MAX($D$2:D$188)-MIN($D$2:D$188))</f>
        <v/>
      </c>
      <c r="E378" s="6">
        <f>(E184-MIN($E184:E$189)) / (MAX($E$2:E$189)-MIN($E$2:E$189))</f>
        <v/>
      </c>
    </row>
    <row r="379">
      <c r="A379" s="14" t="n">
        <v>184</v>
      </c>
      <c r="B379" s="6" t="inlineStr">
        <is>
          <t>Wisata Air PLPBK Sukun</t>
        </is>
      </c>
      <c r="C379" s="6">
        <f>(C185-MIN($C$2:$C$189)) / (MAX($C$2:$C$189)-MIN($C$2:$C$189))</f>
        <v/>
      </c>
      <c r="D379" s="6">
        <f>(D185-MIN($D$2:D$188)) / (MAX($D$2:D$188)-MIN($D$2:D$188))</f>
        <v/>
      </c>
      <c r="E379" s="6">
        <f>(E185-MIN($E185:E$189)) / (MAX($E$2:E$189)-MIN($E$2:E$189))</f>
        <v/>
      </c>
    </row>
    <row r="380">
      <c r="A380" s="14" t="n">
        <v>185</v>
      </c>
      <c r="B380" s="6" t="inlineStr">
        <is>
          <t>Jalan ke Wisata Air Terjun Coban Jahe Malang</t>
        </is>
      </c>
      <c r="C380" s="6">
        <f>(C186-MIN($C$2:$C$189)) / (MAX($C$2:$C$189)-MIN($C$2:$C$189))</f>
        <v/>
      </c>
      <c r="D380" s="6">
        <f>(D186-MIN($D$2:D$188)) / (MAX($D$2:D$188)-MIN($D$2:D$188))</f>
        <v/>
      </c>
      <c r="E380" s="6">
        <f>(E186-MIN($E186:E$189)) / (MAX($E$2:E$189)-MIN($E$2:E$189))</f>
        <v/>
      </c>
    </row>
    <row r="381">
      <c r="A381" s="14" t="n">
        <v>186</v>
      </c>
      <c r="B381" s="6" t="inlineStr">
        <is>
          <t>SUMBER MATA AIR PUNDEN BELIK KURUNG</t>
        </is>
      </c>
      <c r="C381" s="6">
        <f>(C187-MIN($C$2:$C$189)) / (MAX($C$2:$C$189)-MIN($C$2:$C$189))</f>
        <v/>
      </c>
      <c r="D381" s="6">
        <f>(D187-MIN($D$2:D$188)) / (MAX($D$2:D$188)-MIN($D$2:D$188))</f>
        <v/>
      </c>
      <c r="E381" s="6">
        <f>(E187-MIN($E187:E$189)) / (MAX($E$2:E$189)-MIN($E$2:E$189))</f>
        <v/>
      </c>
    </row>
    <row r="382">
      <c r="A382" s="14" t="n">
        <v>187</v>
      </c>
      <c r="B382" s="6" t="inlineStr">
        <is>
          <t>WISATA AIR SUMBER UMBULAN</t>
        </is>
      </c>
      <c r="C382" s="6">
        <f>(C188-MIN($C$2:$C$189)) / (MAX($C$2:$C$189)-MIN($C$2:$C$189))</f>
        <v/>
      </c>
      <c r="D382" s="6">
        <f>(D188-MIN($D$2:D$188)) / (MAX($D$2:D$188)-MIN($D$2:D$188))</f>
        <v/>
      </c>
      <c r="E382" s="6">
        <f>(E188-MIN($E188:E$189)) / (MAX($E$2:E$189)-MIN($E$2:E$189))</f>
        <v/>
      </c>
    </row>
    <row r="383">
      <c r="A383" s="14" t="n">
        <v>188</v>
      </c>
      <c r="B383" s="6" t="inlineStr">
        <is>
          <t>Wisata Air Sumber Jenon</t>
        </is>
      </c>
      <c r="C383" s="6">
        <f>(C189-MIN($C$2:$C$189)) / (MAX($C$2:$C$189)-MIN($C$2:$C$189))</f>
        <v/>
      </c>
      <c r="D383" s="6">
        <f>(D189-MIN($D$2:D$188)) / (MAX($D$2:D$188)-MIN($D$2:D$188))</f>
        <v/>
      </c>
      <c r="E383" s="6">
        <f>(E189-MIN($E189:E$189)) / (MAX($E$2:E$189)-MIN($E$2:E$189))</f>
        <v/>
      </c>
    </row>
  </sheetData>
  <mergeCells count="4">
    <mergeCell ref="H9:H11"/>
    <mergeCell ref="H6:H8"/>
    <mergeCell ref="H3:H5"/>
    <mergeCell ref="A192:B19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9"/>
  <sheetViews>
    <sheetView topLeftCell="A485" workbookViewId="0">
      <selection activeCell="C499" sqref="C499:E989"/>
    </sheetView>
  </sheetViews>
  <sheetFormatPr baseColWidth="10" defaultRowHeight="16"/>
  <cols>
    <col width="9.33203125" bestFit="1" customWidth="1" style="7" min="1" max="1"/>
    <col width="105" bestFit="1" customWidth="1" style="21" min="2" max="2"/>
    <col width="12.5" bestFit="1" customWidth="1" style="21" min="3" max="3"/>
    <col width="12.1640625" customWidth="1" style="21" min="4" max="4"/>
    <col width="12.1640625" bestFit="1" customWidth="1" style="21" min="5" max="5"/>
    <col width="12.83203125" bestFit="1" customWidth="1" style="21" min="7" max="7"/>
    <col width="21.83203125" bestFit="1" customWidth="1" style="21" min="8" max="8"/>
    <col width="25.33203125" bestFit="1" customWidth="1" style="21" min="9" max="9"/>
    <col width="23.5" bestFit="1" customWidth="1" style="21" min="10" max="10"/>
    <col width="20.83203125" bestFit="1" customWidth="1" style="21" min="11" max="11"/>
  </cols>
  <sheetData>
    <row r="1">
      <c r="A1" s="16" t="inlineStr">
        <is>
          <t>Id_Tempat</t>
        </is>
      </c>
      <c r="B1" s="15" t="inlineStr">
        <is>
          <t>Nama_Tempat</t>
        </is>
      </c>
      <c r="C1" s="15" t="inlineStr">
        <is>
          <t>Estimasi_Harga</t>
        </is>
      </c>
      <c r="D1" s="15" t="inlineStr">
        <is>
          <t>Latitude</t>
        </is>
      </c>
      <c r="E1" s="15" t="inlineStr">
        <is>
          <t>Longitude</t>
        </is>
      </c>
    </row>
    <row r="2">
      <c r="A2" s="6" t="n">
        <v>1</v>
      </c>
      <c r="B2" s="6" t="inlineStr">
        <is>
          <t>Depot Cwimie Malang</t>
        </is>
      </c>
      <c r="C2" s="6" t="n">
        <v>17000</v>
      </c>
      <c r="D2" s="6" t="n">
        <v>-7.2943746</v>
      </c>
      <c r="E2" s="6" t="n">
        <v>112.7786154</v>
      </c>
      <c r="H2" s="60" t="n"/>
      <c r="I2" s="60" t="inlineStr">
        <is>
          <t>Kiri (0 pada Long)</t>
        </is>
      </c>
      <c r="J2" s="60" t="inlineStr">
        <is>
          <t>Tengah (0.5 pada Long)</t>
        </is>
      </c>
      <c r="K2" s="60" t="inlineStr">
        <is>
          <t>Kanan (1 pada Long)</t>
        </is>
      </c>
    </row>
    <row r="3">
      <c r="A3" s="6" t="n">
        <v>2</v>
      </c>
      <c r="B3" s="6" t="inlineStr">
        <is>
          <t>Depot Rawon Malang "MM"</t>
        </is>
      </c>
      <c r="C3" s="6" t="n">
        <v>102000</v>
      </c>
      <c r="D3" s="6" t="n">
        <v>-7.2785359</v>
      </c>
      <c r="E3" s="6" t="n">
        <v>112.7319792</v>
      </c>
      <c r="H3" s="60" t="inlineStr">
        <is>
          <t>Atas (1 pada Lat)</t>
        </is>
      </c>
      <c r="I3" s="20" t="inlineStr">
        <is>
          <t>Pojok Kiri Atas</t>
        </is>
      </c>
      <c r="J3" s="20" t="inlineStr">
        <is>
          <t>Utara Tengah</t>
        </is>
      </c>
      <c r="K3" s="20" t="inlineStr">
        <is>
          <t>Pojok Kanan Atas</t>
        </is>
      </c>
    </row>
    <row r="4">
      <c r="A4" s="6" t="n">
        <v>3</v>
      </c>
      <c r="B4" s="6" t="inlineStr">
        <is>
          <t>Depot J-One</t>
        </is>
      </c>
      <c r="C4" s="6" t="n">
        <v>85000</v>
      </c>
      <c r="D4" s="6" t="n">
        <v>-7.2874756</v>
      </c>
      <c r="E4" s="6" t="n">
        <v>112.794552</v>
      </c>
      <c r="H4" s="60" t="n"/>
      <c r="I4" s="6" t="n"/>
      <c r="J4" s="6" t="n"/>
      <c r="K4" s="6" t="n"/>
    </row>
    <row r="5">
      <c r="A5" s="6" t="n">
        <v>4</v>
      </c>
      <c r="B5" s="6" t="inlineStr">
        <is>
          <t>Depot Gang Djangkrik Manyar Kertoarjo Surabaya</t>
        </is>
      </c>
      <c r="C5" s="6" t="n">
        <v>242000</v>
      </c>
      <c r="D5" s="6" t="n">
        <v>-7.280685</v>
      </c>
      <c r="E5" s="6" t="n">
        <v>112.770531</v>
      </c>
      <c r="H5" s="60" t="n"/>
      <c r="I5" s="28" t="inlineStr">
        <is>
          <t>(Area Batu Utara/Cangar)</t>
        </is>
      </c>
      <c r="J5" s="28" t="inlineStr">
        <is>
          <t>(Lawang/Singosari)</t>
        </is>
      </c>
      <c r="K5" s="28" t="inlineStr">
        <is>
          <t>(Arah Bromo)</t>
        </is>
      </c>
    </row>
    <row r="6">
      <c r="A6" s="6" t="n">
        <v>5</v>
      </c>
      <c r="B6" s="6" t="inlineStr">
        <is>
          <t>Depot Gang Djangkrik Kawi Atas Malang</t>
        </is>
      </c>
      <c r="C6" s="6" t="n">
        <v>121000</v>
      </c>
      <c r="D6" s="6" t="n">
        <v>-7.9753699</v>
      </c>
      <c r="E6" s="6" t="n">
        <v>112.6192815</v>
      </c>
      <c r="H6" s="60" t="inlineStr">
        <is>
          <t>Tengah (0.5 pada Lat)</t>
        </is>
      </c>
      <c r="I6" s="20" t="inlineStr">
        <is>
          <t>Barat Tengah</t>
        </is>
      </c>
      <c r="J6" s="60" t="inlineStr">
        <is>
          <t>PUSAT KOTA</t>
        </is>
      </c>
      <c r="K6" s="20" t="inlineStr">
        <is>
          <t>Timur Tengah</t>
        </is>
      </c>
    </row>
    <row r="7">
      <c r="A7" s="6" t="n">
        <v>6</v>
      </c>
      <c r="B7" s="6" t="inlineStr">
        <is>
          <t>Depot Pak Bas</t>
        </is>
      </c>
      <c r="C7" s="6" t="n">
        <v>51000</v>
      </c>
      <c r="D7" s="6" t="n">
        <v>-7.2815832</v>
      </c>
      <c r="E7" s="6" t="n">
        <v>112.7720778</v>
      </c>
      <c r="H7" s="60" t="n"/>
      <c r="I7" s="6" t="n"/>
      <c r="J7" s="6" t="n"/>
      <c r="K7" s="6" t="n"/>
    </row>
    <row r="8">
      <c r="A8" s="6" t="n">
        <v>7</v>
      </c>
      <c r="B8" s="6" t="inlineStr">
        <is>
          <t>Depot Ny Kim</t>
        </is>
      </c>
      <c r="C8" s="6" t="n">
        <v>60000</v>
      </c>
      <c r="D8" s="6" t="n">
        <v>-7.2977129</v>
      </c>
      <c r="E8" s="6" t="n">
        <v>112.7745769</v>
      </c>
      <c r="H8" s="60" t="n"/>
      <c r="I8" s="28" t="inlineStr">
        <is>
          <t>(Kota Batu)</t>
        </is>
      </c>
      <c r="J8" s="28" t="inlineStr">
        <is>
          <t>(Alun-alun Malang)</t>
        </is>
      </c>
      <c r="K8" s="28" t="inlineStr">
        <is>
          <t>(Tumpang)</t>
        </is>
      </c>
    </row>
    <row r="9">
      <c r="A9" s="6" t="n">
        <v>8</v>
      </c>
      <c r="B9" s="6" t="inlineStr">
        <is>
          <t>Depot Gang Djangkrik</t>
        </is>
      </c>
      <c r="C9" s="6" t="n">
        <v>121000</v>
      </c>
      <c r="D9" s="6" t="n">
        <v>-7.9568232</v>
      </c>
      <c r="E9" s="6" t="n">
        <v>112.6384586</v>
      </c>
      <c r="H9" s="60" t="inlineStr">
        <is>
          <t>Bawah (0 pada Lat)</t>
        </is>
      </c>
      <c r="I9" s="20" t="inlineStr">
        <is>
          <t>Pojok Kiri Bawah</t>
        </is>
      </c>
      <c r="J9" s="20" t="inlineStr">
        <is>
          <t>Selatan Tengah</t>
        </is>
      </c>
      <c r="K9" s="20" t="inlineStr">
        <is>
          <t>Pojok Kanan Bawah</t>
        </is>
      </c>
    </row>
    <row r="10">
      <c r="A10" s="6" t="n">
        <v>9</v>
      </c>
      <c r="B10" s="6" t="inlineStr">
        <is>
          <t>Depot Tanjung Api Malang</t>
        </is>
      </c>
      <c r="C10" s="6" t="n">
        <v>60606</v>
      </c>
      <c r="D10" s="6" t="n">
        <v>-7.9650229</v>
      </c>
      <c r="E10" s="6" t="n">
        <v>112.626127</v>
      </c>
      <c r="H10" s="60" t="n"/>
      <c r="I10" s="6" t="n"/>
      <c r="J10" s="6" t="n"/>
      <c r="K10" s="6" t="n"/>
    </row>
    <row r="11">
      <c r="A11" s="6" t="n">
        <v>10</v>
      </c>
      <c r="B11" s="6" t="inlineStr">
        <is>
          <t>Depot Sari Rasa</t>
        </is>
      </c>
      <c r="C11" s="6" t="n">
        <v>70000</v>
      </c>
      <c r="D11" s="6" t="n">
        <v>-7.9654019</v>
      </c>
      <c r="E11" s="6" t="n">
        <v>112.634112</v>
      </c>
      <c r="H11" s="60" t="n"/>
      <c r="I11" s="28" t="inlineStr">
        <is>
          <t>(Perbatasan Blitar)</t>
        </is>
      </c>
      <c r="J11" s="28" t="inlineStr">
        <is>
          <t>(Kepanjen)</t>
        </is>
      </c>
      <c r="K11" s="28" t="inlineStr">
        <is>
          <t>(Lumajang)</t>
        </is>
      </c>
    </row>
    <row r="12">
      <c r="A12" s="6" t="n">
        <v>11</v>
      </c>
      <c r="B12" s="6" t="inlineStr">
        <is>
          <t>Depot Kayutangan</t>
        </is>
      </c>
      <c r="C12" s="6" t="n">
        <v>45000</v>
      </c>
      <c r="D12" s="6" t="n">
        <v>-7.9763697</v>
      </c>
      <c r="E12" s="6" t="n">
        <v>112.630331</v>
      </c>
    </row>
    <row r="13">
      <c r="A13" s="6" t="n">
        <v>12</v>
      </c>
      <c r="B13" s="6" t="inlineStr">
        <is>
          <t>Depot Malang Kuliner</t>
        </is>
      </c>
      <c r="C13" s="6" t="n">
        <v>73700</v>
      </c>
      <c r="D13" s="6" t="n">
        <v>-7.9642673</v>
      </c>
      <c r="E13" s="6" t="n">
        <v>112.6400534</v>
      </c>
    </row>
    <row r="14">
      <c r="A14" s="6" t="n">
        <v>13</v>
      </c>
      <c r="B14" s="6" t="inlineStr">
        <is>
          <t>Depot Djempolan</t>
        </is>
      </c>
      <c r="C14" s="6" t="n">
        <v>27000</v>
      </c>
      <c r="D14" s="6" t="n">
        <v>-7.987635</v>
      </c>
      <c r="E14" s="6" t="n">
        <v>112.6345405</v>
      </c>
    </row>
    <row r="15">
      <c r="A15" s="6" t="n">
        <v>14</v>
      </c>
      <c r="B15" s="6" t="inlineStr">
        <is>
          <t>Depot 200</t>
        </is>
      </c>
      <c r="C15" s="6" t="n">
        <v>22000</v>
      </c>
      <c r="D15" s="6" t="n">
        <v>-7.9372434</v>
      </c>
      <c r="E15" s="6" t="n">
        <v>112.60608</v>
      </c>
    </row>
    <row r="16">
      <c r="A16" s="6" t="n">
        <v>15</v>
      </c>
      <c r="B16" s="6" t="inlineStr">
        <is>
          <t>Gudeg Bu Toegijo</t>
        </is>
      </c>
      <c r="C16" s="6" t="n">
        <v>63000</v>
      </c>
      <c r="D16" s="6" t="n">
        <v>-7.2884712</v>
      </c>
      <c r="E16" s="6" t="n">
        <v>112.777043</v>
      </c>
    </row>
    <row r="17">
      <c r="A17" s="6" t="n">
        <v>16</v>
      </c>
      <c r="B17" s="6" t="inlineStr">
        <is>
          <t>Depot Arema</t>
        </is>
      </c>
      <c r="C17" s="6" t="n">
        <v>28000</v>
      </c>
      <c r="D17" s="6" t="n">
        <v>-7.980489</v>
      </c>
      <c r="E17" s="6" t="n">
        <v>112.6564629</v>
      </c>
    </row>
    <row r="18">
      <c r="A18" s="6" t="n">
        <v>17</v>
      </c>
      <c r="B18" s="6" t="inlineStr">
        <is>
          <t>Depot Cak Win</t>
        </is>
      </c>
      <c r="C18" s="6" t="n">
        <v>20000</v>
      </c>
      <c r="D18" s="6" t="n">
        <v>-7.2771498</v>
      </c>
      <c r="E18" s="6" t="n">
        <v>112.7613594</v>
      </c>
    </row>
    <row r="19">
      <c r="A19" s="6" t="n">
        <v>18</v>
      </c>
      <c r="B19" s="6" t="inlineStr">
        <is>
          <t>Depot Widari</t>
        </is>
      </c>
      <c r="C19" s="6" t="n">
        <v>73700</v>
      </c>
      <c r="D19" s="6" t="n">
        <v>-7.9754065</v>
      </c>
      <c r="E19" s="6" t="n">
        <v>112.619517</v>
      </c>
    </row>
    <row r="20">
      <c r="A20" s="6" t="n">
        <v>19</v>
      </c>
      <c r="B20" s="6" t="inlineStr">
        <is>
          <t>Depot 2 Legenda</t>
        </is>
      </c>
      <c r="C20" s="6" t="n">
        <v>41538</v>
      </c>
      <c r="D20" s="6" t="n">
        <v>-7.9399474</v>
      </c>
      <c r="E20" s="6" t="n">
        <v>112.6356553</v>
      </c>
    </row>
    <row r="21">
      <c r="A21" s="6" t="n">
        <v>20</v>
      </c>
      <c r="B21" s="6" t="inlineStr">
        <is>
          <t>Depot Asri Bu Saeroen</t>
        </is>
      </c>
      <c r="C21" s="6" t="n">
        <v>25000</v>
      </c>
      <c r="D21" s="6" t="n">
        <v>-7.9673974</v>
      </c>
      <c r="E21" s="6" t="n">
        <v>112.6338399</v>
      </c>
    </row>
    <row r="22">
      <c r="A22" s="6" t="n">
        <v>21</v>
      </c>
      <c r="B22" s="6" t="inlineStr">
        <is>
          <t>Rumah Makan Gloria l Since 1970</t>
        </is>
      </c>
      <c r="C22" s="6" t="n">
        <v>166100</v>
      </c>
      <c r="D22" s="6" t="n">
        <v>-7.9841646</v>
      </c>
      <c r="E22" s="6" t="n">
        <v>112.6335937</v>
      </c>
    </row>
    <row r="23">
      <c r="A23" s="6" t="n">
        <v>22</v>
      </c>
      <c r="B23" s="6" t="inlineStr">
        <is>
          <t>Depot Kawanua 1 Malang</t>
        </is>
      </c>
      <c r="C23" s="6" t="n">
        <v>40000</v>
      </c>
      <c r="D23" s="6" t="n">
        <v>-7.980493</v>
      </c>
      <c r="E23" s="6" t="n">
        <v>112.640598</v>
      </c>
    </row>
    <row r="24">
      <c r="A24" s="6" t="n">
        <v>23</v>
      </c>
      <c r="B24" s="6" t="inlineStr">
        <is>
          <t>Rumah Makan Hok Lay</t>
        </is>
      </c>
      <c r="C24" s="6" t="n">
        <v>187500</v>
      </c>
      <c r="D24" s="6" t="n">
        <v>-7.9845499</v>
      </c>
      <c r="E24" s="6" t="n">
        <v>112.6342841</v>
      </c>
    </row>
    <row r="25">
      <c r="A25" s="6" t="n">
        <v>24</v>
      </c>
      <c r="B25" s="6" t="inlineStr">
        <is>
          <t>Depot Dua Satu</t>
        </is>
      </c>
      <c r="C25" s="6" t="n">
        <v>80000</v>
      </c>
      <c r="D25" s="6" t="n">
        <v>-7.9675082</v>
      </c>
      <c r="E25" s="6" t="n">
        <v>112.628995</v>
      </c>
    </row>
    <row r="26">
      <c r="A26" s="6" t="n">
        <v>25</v>
      </c>
      <c r="B26" s="6" t="inlineStr">
        <is>
          <t>Depot Kanton</t>
        </is>
      </c>
      <c r="C26" s="6" t="n">
        <v>237500</v>
      </c>
      <c r="D26" s="6" t="n">
        <v>-7.9679762</v>
      </c>
      <c r="E26" s="6" t="n">
        <v>112.626693</v>
      </c>
    </row>
    <row r="27">
      <c r="A27" s="6" t="n">
        <v>26</v>
      </c>
      <c r="B27" s="6" t="inlineStr">
        <is>
          <t>Depot Mie Gadjah Mada 1</t>
        </is>
      </c>
      <c r="C27" s="6" t="n">
        <v>65000</v>
      </c>
      <c r="D27" s="6" t="n">
        <v>-7.985248</v>
      </c>
      <c r="E27" s="6" t="n">
        <v>112.63158</v>
      </c>
    </row>
    <row r="28">
      <c r="A28" s="6" t="n">
        <v>27</v>
      </c>
      <c r="B28" s="6" t="inlineStr">
        <is>
          <t>Depot 29</t>
        </is>
      </c>
      <c r="C28" s="6" t="n">
        <v>50000</v>
      </c>
      <c r="D28" s="6" t="n">
        <v>-7.865991</v>
      </c>
      <c r="E28" s="6" t="n">
        <v>112.6821414</v>
      </c>
    </row>
    <row r="29">
      <c r="A29" s="6" t="n">
        <v>28</v>
      </c>
      <c r="B29" s="6" t="inlineStr">
        <is>
          <t>Depot Rawon Malang MM</t>
        </is>
      </c>
      <c r="C29" s="6" t="n">
        <v>102000</v>
      </c>
      <c r="D29" s="6" t="n">
        <v>-7.935648</v>
      </c>
      <c r="E29" s="6" t="n">
        <v>112.6540937</v>
      </c>
    </row>
    <row r="30">
      <c r="A30" s="6" t="n">
        <v>29</v>
      </c>
      <c r="B30" s="6" t="inlineStr">
        <is>
          <t>Depot 88 - Araya</t>
        </is>
      </c>
      <c r="C30" s="6" t="n">
        <v>198750</v>
      </c>
      <c r="D30" s="6" t="n">
        <v>-7.9414605</v>
      </c>
      <c r="E30" s="6" t="n">
        <v>112.6604733</v>
      </c>
    </row>
    <row r="31">
      <c r="A31" s="6" t="n">
        <v>30</v>
      </c>
      <c r="B31" s="6" t="inlineStr">
        <is>
          <t>Depot "Janur Kuning"</t>
        </is>
      </c>
      <c r="C31" s="6" t="n">
        <v>52400</v>
      </c>
      <c r="D31" s="6" t="n">
        <v>-7.9505172</v>
      </c>
      <c r="E31" s="6" t="n">
        <v>112.6395865</v>
      </c>
    </row>
    <row r="32">
      <c r="A32" s="6" t="n">
        <v>31</v>
      </c>
      <c r="B32" s="6" t="inlineStr">
        <is>
          <t>Rawon Rampal</t>
        </is>
      </c>
      <c r="C32" s="6" t="n">
        <v>45000</v>
      </c>
      <c r="D32" s="6" t="n">
        <v>-7.97421</v>
      </c>
      <c r="E32" s="6" t="n">
        <v>112.6384068</v>
      </c>
    </row>
    <row r="33">
      <c r="A33" s="6" t="n">
        <v>32</v>
      </c>
      <c r="B33" s="6" t="inlineStr">
        <is>
          <t>Depot Semeru</t>
        </is>
      </c>
      <c r="C33" s="6" t="n">
        <v>17000</v>
      </c>
      <c r="D33" s="6" t="n">
        <v>-7.9743427</v>
      </c>
      <c r="E33" s="6" t="n">
        <v>112.6254003</v>
      </c>
    </row>
    <row r="34">
      <c r="A34" s="6" t="n">
        <v>33</v>
      </c>
      <c r="B34" s="6" t="inlineStr">
        <is>
          <t>Depot Chinesefood B2 Malang</t>
        </is>
      </c>
      <c r="C34" s="6" t="n">
        <v>92000</v>
      </c>
      <c r="D34" s="6" t="n">
        <v>-7.9351133</v>
      </c>
      <c r="E34" s="6" t="n">
        <v>112.6338916</v>
      </c>
    </row>
    <row r="35">
      <c r="A35" s="6" t="n">
        <v>34</v>
      </c>
      <c r="B35" s="6" t="inlineStr">
        <is>
          <t>Harmoni Cafe &amp; Resto l Since 2010</t>
        </is>
      </c>
      <c r="C35" s="6" t="n">
        <v>104000</v>
      </c>
      <c r="D35" s="6" t="n">
        <v>-7.9744753</v>
      </c>
      <c r="E35" s="6" t="n">
        <v>112.6275379</v>
      </c>
    </row>
    <row r="36">
      <c r="A36" s="6" t="n">
        <v>35</v>
      </c>
      <c r="B36" s="6" t="inlineStr">
        <is>
          <t>Depot Samsin</t>
        </is>
      </c>
      <c r="C36" s="6" t="n">
        <v>85000</v>
      </c>
      <c r="D36" s="6" t="n">
        <v>-7.9712318</v>
      </c>
      <c r="E36" s="6" t="n">
        <v>112.6284996</v>
      </c>
    </row>
    <row r="37">
      <c r="A37" s="6" t="n">
        <v>36</v>
      </c>
      <c r="B37" s="6" t="inlineStr">
        <is>
          <t>Depot Idola</t>
        </is>
      </c>
      <c r="C37" s="6" t="n">
        <v>28000</v>
      </c>
      <c r="D37" s="6" t="n">
        <v>-7.947223</v>
      </c>
      <c r="E37" s="6" t="n">
        <v>112.6253095</v>
      </c>
    </row>
    <row r="38">
      <c r="A38" s="6" t="n">
        <v>37</v>
      </c>
      <c r="B38" s="6" t="inlineStr">
        <is>
          <t>Depot Melati</t>
        </is>
      </c>
      <c r="C38" s="6" t="n">
        <v>60000</v>
      </c>
      <c r="D38" s="6" t="n">
        <v>-7.9898442</v>
      </c>
      <c r="E38" s="6" t="n">
        <v>112.6399863</v>
      </c>
    </row>
    <row r="39">
      <c r="A39" s="6" t="n">
        <v>38</v>
      </c>
      <c r="B39" s="6" t="inlineStr">
        <is>
          <t>Depot Mie Sahadja Sigura-gura</t>
        </is>
      </c>
      <c r="C39" s="6" t="n">
        <v>67650</v>
      </c>
      <c r="D39" s="6" t="n">
        <v>-7.9567908</v>
      </c>
      <c r="E39" s="6" t="n">
        <v>112.6087122</v>
      </c>
    </row>
    <row r="40">
      <c r="A40" s="6" t="n">
        <v>39</v>
      </c>
      <c r="B40" s="6" t="inlineStr">
        <is>
          <t>Resto 52</t>
        </is>
      </c>
      <c r="C40" s="6" t="n">
        <v>312000</v>
      </c>
      <c r="D40" s="6" t="n">
        <v>-7.9839649</v>
      </c>
      <c r="E40" s="6" t="n">
        <v>112.6330882</v>
      </c>
    </row>
    <row r="41">
      <c r="A41" s="6" t="n">
        <v>40</v>
      </c>
      <c r="B41" s="6" t="inlineStr">
        <is>
          <t>Javanine Resto</t>
        </is>
      </c>
      <c r="C41" s="6" t="n">
        <v>66000</v>
      </c>
      <c r="D41" s="6" t="n">
        <v>-7.9672115</v>
      </c>
      <c r="E41" s="6" t="n">
        <v>112.6209049</v>
      </c>
    </row>
    <row r="42">
      <c r="A42" s="6" t="n">
        <v>41</v>
      </c>
      <c r="B42" s="6" t="inlineStr">
        <is>
          <t>Depot Guntur</t>
        </is>
      </c>
      <c r="C42" s="6" t="n">
        <v>110500</v>
      </c>
      <c r="D42" s="6" t="n">
        <v>-7.9683431</v>
      </c>
      <c r="E42" s="6" t="n">
        <v>112.6250635</v>
      </c>
    </row>
    <row r="43">
      <c r="A43" s="6" t="n">
        <v>42</v>
      </c>
      <c r="B43" s="6" t="inlineStr">
        <is>
          <t>Depot Es Talun sejak 1950</t>
        </is>
      </c>
      <c r="C43" s="6" t="n">
        <v>30000</v>
      </c>
      <c r="D43" s="6" t="n">
        <v>-7.9808418</v>
      </c>
      <c r="E43" s="6" t="n">
        <v>112.6275706</v>
      </c>
    </row>
    <row r="44">
      <c r="A44" s="6" t="n">
        <v>43</v>
      </c>
      <c r="B44" s="6" t="inlineStr">
        <is>
          <t>Depot WS 7</t>
        </is>
      </c>
      <c r="C44" s="6" t="n">
        <v>21000</v>
      </c>
      <c r="D44" s="6" t="n">
        <v>-7.949414</v>
      </c>
      <c r="E44" s="6" t="n">
        <v>112.642155</v>
      </c>
    </row>
    <row r="45">
      <c r="A45" s="6" t="n">
        <v>44</v>
      </c>
      <c r="B45" s="6" t="inlineStr">
        <is>
          <t>Resto Sambat Luwe</t>
        </is>
      </c>
      <c r="C45" s="6" t="n">
        <v>143750</v>
      </c>
      <c r="D45" s="6" t="n">
        <v>-8.022135199999999</v>
      </c>
      <c r="E45" s="6" t="n">
        <v>112.6410943</v>
      </c>
    </row>
    <row r="46">
      <c r="A46" s="6" t="n">
        <v>45</v>
      </c>
      <c r="B46" s="6" t="inlineStr">
        <is>
          <t>Depot 59</t>
        </is>
      </c>
      <c r="C46" s="6" t="n">
        <v>112000</v>
      </c>
      <c r="D46" s="6" t="n">
        <v>-7.9840455</v>
      </c>
      <c r="E46" s="6" t="n">
        <v>112.6369202</v>
      </c>
    </row>
    <row r="47">
      <c r="A47" s="6" t="n">
        <v>46</v>
      </c>
      <c r="B47" s="6" t="inlineStr">
        <is>
          <t>Depot Semangkok</t>
        </is>
      </c>
      <c r="C47" s="6" t="n">
        <v>35000</v>
      </c>
      <c r="D47" s="6" t="n">
        <v>-7.9385565</v>
      </c>
      <c r="E47" s="6" t="n">
        <v>112.6372841</v>
      </c>
    </row>
    <row r="48">
      <c r="A48" s="6" t="n">
        <v>47</v>
      </c>
      <c r="B48" s="6" t="inlineStr">
        <is>
          <t>Depot Wiejen</t>
        </is>
      </c>
      <c r="C48" s="6" t="n">
        <v>35000</v>
      </c>
      <c r="D48" s="6" t="n">
        <v>-7.9766496</v>
      </c>
      <c r="E48" s="6" t="n">
        <v>112.636991</v>
      </c>
    </row>
    <row r="49">
      <c r="A49" s="6" t="n">
        <v>48</v>
      </c>
      <c r="B49" s="6" t="inlineStr">
        <is>
          <t>Depot New Purnama</t>
        </is>
      </c>
      <c r="C49" s="6" t="n">
        <v>42000</v>
      </c>
      <c r="D49" s="6" t="n">
        <v>-7.9751511</v>
      </c>
      <c r="E49" s="6" t="n">
        <v>112.6188975</v>
      </c>
    </row>
    <row r="50">
      <c r="A50" s="6" t="n">
        <v>49</v>
      </c>
      <c r="B50" s="6" t="inlineStr">
        <is>
          <t>Depot 77 Sawojajar Halalan Toyiban</t>
        </is>
      </c>
      <c r="C50" s="6" t="n">
        <v>54000</v>
      </c>
      <c r="D50" s="6" t="n">
        <v>-7.9783098</v>
      </c>
      <c r="E50" s="6" t="n">
        <v>112.6670743</v>
      </c>
    </row>
    <row r="51">
      <c r="A51" s="6" t="n">
        <v>50</v>
      </c>
      <c r="B51" s="6" t="inlineStr">
        <is>
          <t>Rawon Nguling</t>
        </is>
      </c>
      <c r="C51" s="6" t="n">
        <v>147500</v>
      </c>
      <c r="D51" s="6" t="n">
        <v>-7.9838809</v>
      </c>
      <c r="E51" s="6" t="n">
        <v>112.6339791</v>
      </c>
    </row>
    <row r="52">
      <c r="A52" s="6" t="n">
        <v>51</v>
      </c>
      <c r="B52" s="6" t="inlineStr">
        <is>
          <t>Depot 88 Tidar</t>
        </is>
      </c>
      <c r="C52" s="6" t="n">
        <v>198750</v>
      </c>
      <c r="D52" s="6" t="n">
        <v>-7.9666032</v>
      </c>
      <c r="E52" s="6" t="n">
        <v>112.6106002</v>
      </c>
    </row>
    <row r="53">
      <c r="A53" s="6" t="n">
        <v>52</v>
      </c>
      <c r="B53" s="6" t="inlineStr">
        <is>
          <t>Depot Goyang Lidah 1987</t>
        </is>
      </c>
      <c r="C53" s="6" t="n">
        <v>35000</v>
      </c>
      <c r="D53" s="6" t="n">
        <v>-7.9641545</v>
      </c>
      <c r="E53" s="6" t="n">
        <v>112.6389724</v>
      </c>
    </row>
    <row r="54">
      <c r="A54" s="6" t="n">
        <v>53</v>
      </c>
      <c r="B54" s="6" t="inlineStr">
        <is>
          <t>Rumah Makan Cairo</t>
        </is>
      </c>
      <c r="C54" s="6" t="n">
        <v>50000</v>
      </c>
      <c r="D54" s="6" t="n">
        <v>-7.9867217</v>
      </c>
      <c r="E54" s="6" t="n">
        <v>112.6284969</v>
      </c>
    </row>
    <row r="55">
      <c r="A55" s="6" t="n">
        <v>54</v>
      </c>
      <c r="B55" s="6" t="inlineStr">
        <is>
          <t>Depot Santo Yusup</t>
        </is>
      </c>
      <c r="C55" s="6" t="n">
        <v>169400</v>
      </c>
      <c r="D55" s="6" t="n">
        <v>-7.9399733</v>
      </c>
      <c r="E55" s="6" t="n">
        <v>112.6385224</v>
      </c>
    </row>
    <row r="56">
      <c r="A56" s="6" t="n">
        <v>55</v>
      </c>
      <c r="B56" s="6" t="inlineStr">
        <is>
          <t>Green Leaf Hall and Restaurant Malang</t>
        </is>
      </c>
      <c r="C56" s="6" t="n">
        <v>363000</v>
      </c>
      <c r="D56" s="6" t="n">
        <v>-7.967587</v>
      </c>
      <c r="E56" s="6" t="n">
        <v>112.621198</v>
      </c>
    </row>
    <row r="57">
      <c r="A57" s="6" t="n">
        <v>56</v>
      </c>
      <c r="B57" s="6" t="inlineStr">
        <is>
          <t>Dapur 93</t>
        </is>
      </c>
      <c r="C57" s="6" t="n">
        <v>332000</v>
      </c>
      <c r="D57" s="6" t="n">
        <v>-7.9572495</v>
      </c>
      <c r="E57" s="6" t="n">
        <v>112.6276363</v>
      </c>
    </row>
    <row r="58">
      <c r="A58" s="6" t="n">
        <v>57</v>
      </c>
      <c r="B58" s="6" t="inlineStr">
        <is>
          <t>Depot Ikana</t>
        </is>
      </c>
      <c r="C58" s="6" t="n">
        <v>80000</v>
      </c>
      <c r="D58" s="6" t="n">
        <v>-7.9704505</v>
      </c>
      <c r="E58" s="6" t="n">
        <v>112.6133452</v>
      </c>
    </row>
    <row r="59">
      <c r="A59" s="6" t="n">
        <v>58</v>
      </c>
      <c r="B59" s="6" t="inlineStr">
        <is>
          <t>Depot Juang 45 Malang</t>
        </is>
      </c>
      <c r="C59" s="6" t="n">
        <v>63000</v>
      </c>
      <c r="D59" s="6" t="n">
        <v>-7.9787477</v>
      </c>
      <c r="E59" s="6" t="n">
        <v>112.6296264</v>
      </c>
    </row>
    <row r="60">
      <c r="A60" s="6" t="n">
        <v>59</v>
      </c>
      <c r="B60" s="6" t="inlineStr">
        <is>
          <t>Rumah Makan Kertanegara</t>
        </is>
      </c>
      <c r="C60" s="6" t="n">
        <v>85000</v>
      </c>
      <c r="D60" s="6" t="n">
        <v>-7.977017</v>
      </c>
      <c r="E60" s="6" t="n">
        <v>112.6357955</v>
      </c>
    </row>
    <row r="61">
      <c r="A61" s="6" t="n">
        <v>60</v>
      </c>
      <c r="B61" s="6" t="inlineStr">
        <is>
          <t>Ayam Goreng Tenes</t>
        </is>
      </c>
      <c r="C61" s="6" t="n">
        <v>117000</v>
      </c>
      <c r="D61" s="6" t="n">
        <v>-7.97467</v>
      </c>
      <c r="E61" s="6" t="n">
        <v>112.6236483</v>
      </c>
    </row>
    <row r="62">
      <c r="A62" s="6" t="n">
        <v>61</v>
      </c>
      <c r="B62" s="6" t="inlineStr">
        <is>
          <t>Resto Mie Gang Jangkrik (halal)</t>
        </is>
      </c>
      <c r="C62" s="6" t="n">
        <v>125000</v>
      </c>
      <c r="D62" s="6" t="n">
        <v>-7.9429938</v>
      </c>
      <c r="E62" s="6" t="n">
        <v>112.6204612</v>
      </c>
    </row>
    <row r="63">
      <c r="A63" s="6" t="n">
        <v>62</v>
      </c>
      <c r="B63" s="6" t="inlineStr">
        <is>
          <t>Depot Cahyen Enak</t>
        </is>
      </c>
      <c r="C63" s="6" t="n">
        <v>54000</v>
      </c>
      <c r="D63" s="6" t="n">
        <v>-7.9414562</v>
      </c>
      <c r="E63" s="6" t="n">
        <v>112.6607687</v>
      </c>
    </row>
    <row r="64">
      <c r="A64" s="6" t="n">
        <v>63</v>
      </c>
      <c r="B64" s="6" t="inlineStr">
        <is>
          <t>Depot Mie Sawahan</t>
        </is>
      </c>
      <c r="C64" s="6" t="n">
        <v>35000</v>
      </c>
      <c r="D64" s="6" t="n">
        <v>-7.9863341</v>
      </c>
      <c r="E64" s="6" t="n">
        <v>112.6273519</v>
      </c>
    </row>
    <row r="65">
      <c r="A65" s="6" t="n">
        <v>64</v>
      </c>
      <c r="B65" s="6" t="inlineStr">
        <is>
          <t>Depot Lo &amp; Mie</t>
        </is>
      </c>
      <c r="C65" s="6" t="n">
        <v>45000</v>
      </c>
      <c r="D65" s="6" t="n">
        <v>-7.9343403</v>
      </c>
      <c r="E65" s="6" t="n">
        <v>112.637426</v>
      </c>
    </row>
    <row r="66">
      <c r="A66" s="6" t="n">
        <v>65</v>
      </c>
      <c r="B66" s="6" t="inlineStr">
        <is>
          <t>Depot Mie Atom</t>
        </is>
      </c>
      <c r="C66" s="6" t="n">
        <v>69000</v>
      </c>
      <c r="D66" s="6" t="n">
        <v>-7.9838123</v>
      </c>
      <c r="E66" s="6" t="n">
        <v>112.6315306</v>
      </c>
    </row>
    <row r="67">
      <c r="A67" s="6" t="n">
        <v>66</v>
      </c>
      <c r="B67" s="6" t="inlineStr">
        <is>
          <t>Depot Panjang Umur</t>
        </is>
      </c>
      <c r="C67" s="6" t="n">
        <v>104000</v>
      </c>
      <c r="D67" s="6" t="n">
        <v>-7.9741513</v>
      </c>
      <c r="E67" s="6" t="n">
        <v>112.6148483</v>
      </c>
    </row>
    <row r="68">
      <c r="A68" s="6" t="n">
        <v>67</v>
      </c>
      <c r="B68" s="6" t="inlineStr">
        <is>
          <t>Depot Barokah Cab. Mbah Riman Kediri</t>
        </is>
      </c>
      <c r="C68" s="6" t="n">
        <v>24000</v>
      </c>
      <c r="D68" s="6" t="n">
        <v>-7.9413099</v>
      </c>
      <c r="E68" s="6" t="n">
        <v>112.6377444</v>
      </c>
    </row>
    <row r="69">
      <c r="A69" s="6" t="n">
        <v>68</v>
      </c>
      <c r="B69" s="6" t="inlineStr">
        <is>
          <t>Baegopa? House Of Hungry Kandang Malang</t>
        </is>
      </c>
      <c r="C69" s="6" t="n">
        <v>102350</v>
      </c>
      <c r="D69" s="6" t="n">
        <v>-7.9409705</v>
      </c>
      <c r="E69" s="6" t="n">
        <v>112.6286686</v>
      </c>
    </row>
    <row r="70">
      <c r="A70" s="6" t="n">
        <v>69</v>
      </c>
      <c r="B70" s="6" t="inlineStr">
        <is>
          <t>Rumah Makan Pecel Kawi Hj Musilah Asli 1975</t>
        </is>
      </c>
      <c r="C70" s="6" t="n">
        <v>58750</v>
      </c>
      <c r="D70" s="6" t="n">
        <v>-7.9757225</v>
      </c>
      <c r="E70" s="6" t="n">
        <v>112.6200297</v>
      </c>
    </row>
    <row r="71">
      <c r="A71" s="6" t="n">
        <v>70</v>
      </c>
      <c r="B71" s="6" t="inlineStr">
        <is>
          <t>Depot Bang Leo</t>
        </is>
      </c>
      <c r="C71" s="6" t="n">
        <v>25000</v>
      </c>
      <c r="D71" s="6" t="n">
        <v>-7.9762163</v>
      </c>
      <c r="E71" s="6" t="n">
        <v>112.6370277</v>
      </c>
    </row>
    <row r="72">
      <c r="A72" s="6" t="n">
        <v>71</v>
      </c>
      <c r="B72" s="6" t="inlineStr">
        <is>
          <t>Depot Asem Djawa</t>
        </is>
      </c>
      <c r="C72" s="6" t="n">
        <v>32000</v>
      </c>
      <c r="D72" s="6" t="n">
        <v>-7.9373203</v>
      </c>
      <c r="E72" s="6" t="n">
        <v>112.5795874</v>
      </c>
    </row>
    <row r="73">
      <c r="A73" s="6" t="n">
        <v>72</v>
      </c>
      <c r="B73" s="6" t="inlineStr">
        <is>
          <t>Depot Soto banjar Achmad Jais</t>
        </is>
      </c>
      <c r="C73" s="6" t="n">
        <v>63750</v>
      </c>
      <c r="D73" s="6" t="n">
        <v>-7.9756649</v>
      </c>
      <c r="E73" s="6" t="n">
        <v>112.6129343</v>
      </c>
    </row>
    <row r="74">
      <c r="A74" s="6" t="n">
        <v>73</v>
      </c>
      <c r="B74" s="6" t="inlineStr">
        <is>
          <t>Depot Rahayu</t>
        </is>
      </c>
      <c r="C74" s="6" t="n">
        <v>25000</v>
      </c>
      <c r="D74" s="6" t="n">
        <v>-7.9929481</v>
      </c>
      <c r="E74" s="6" t="n">
        <v>112.6322262</v>
      </c>
    </row>
    <row r="75">
      <c r="A75" s="6" t="n">
        <v>74</v>
      </c>
      <c r="B75" s="6" t="inlineStr">
        <is>
          <t>Ikan Bakar Cianjur - Malang</t>
        </is>
      </c>
      <c r="C75" s="6" t="n">
        <v>217000</v>
      </c>
      <c r="D75" s="6" t="n">
        <v>-7.9652338</v>
      </c>
      <c r="E75" s="6" t="n">
        <v>112.625472</v>
      </c>
    </row>
    <row r="76">
      <c r="A76" s="6" t="n">
        <v>75</v>
      </c>
      <c r="B76" s="6" t="inlineStr">
        <is>
          <t>Depot Podo Seneng</t>
        </is>
      </c>
      <c r="C76" s="6" t="n">
        <v>14000</v>
      </c>
      <c r="D76" s="6" t="n">
        <v>-7.9893011</v>
      </c>
      <c r="E76" s="6" t="n">
        <v>112.6347419</v>
      </c>
    </row>
    <row r="77">
      <c r="A77" s="6" t="n">
        <v>76</v>
      </c>
      <c r="B77" s="6" t="inlineStr">
        <is>
          <t>DEPOT ESELON SAWOJAJAR</t>
        </is>
      </c>
      <c r="C77" s="6" t="n">
        <v>18000</v>
      </c>
      <c r="D77" s="6" t="n">
        <v>-7.9791132</v>
      </c>
      <c r="E77" s="6" t="n">
        <v>112.6562322</v>
      </c>
    </row>
    <row r="78">
      <c r="A78" s="6" t="n">
        <v>77</v>
      </c>
      <c r="B78" s="6" t="inlineStr">
        <is>
          <t>Depot Flamboyant</t>
        </is>
      </c>
      <c r="C78" s="6" t="n">
        <v>437500</v>
      </c>
      <c r="D78" s="6" t="n">
        <v>-7.9707764</v>
      </c>
      <c r="E78" s="6" t="n">
        <v>112.6232368</v>
      </c>
    </row>
    <row r="79">
      <c r="A79" s="6" t="n">
        <v>78</v>
      </c>
      <c r="B79" s="6" t="inlineStr">
        <is>
          <t>Depot Pangsit Mie Bromo Pojok</t>
        </is>
      </c>
      <c r="C79" s="6" t="n">
        <v>38750</v>
      </c>
      <c r="D79" s="6" t="n">
        <v>-7.9734973</v>
      </c>
      <c r="E79" s="6" t="n">
        <v>112.6358489</v>
      </c>
    </row>
    <row r="80">
      <c r="A80" s="6" t="n">
        <v>79</v>
      </c>
      <c r="B80" s="6" t="inlineStr">
        <is>
          <t>Depot Indah Jaya</t>
        </is>
      </c>
      <c r="C80" s="6" t="n">
        <v>43000</v>
      </c>
      <c r="D80" s="6" t="n">
        <v>-7.978643</v>
      </c>
      <c r="E80" s="6" t="n">
        <v>112.637149</v>
      </c>
    </row>
    <row r="81">
      <c r="A81" s="6" t="n">
        <v>80</v>
      </c>
      <c r="B81" s="6" t="inlineStr">
        <is>
          <t>Rumah Makan Kaliurang</t>
        </is>
      </c>
      <c r="C81" s="6" t="n">
        <v>110000</v>
      </c>
      <c r="D81" s="6" t="n">
        <v>-7.9628768</v>
      </c>
      <c r="E81" s="6" t="n">
        <v>112.6321869</v>
      </c>
    </row>
    <row r="82">
      <c r="A82" s="6" t="n">
        <v>81</v>
      </c>
      <c r="B82" s="6" t="inlineStr">
        <is>
          <t>Depot Santai</t>
        </is>
      </c>
      <c r="C82" s="6" t="n">
        <v>56000</v>
      </c>
      <c r="D82" s="6" t="n">
        <v>-7.9667822</v>
      </c>
      <c r="E82" s="6" t="n">
        <v>112.6289912</v>
      </c>
    </row>
    <row r="83">
      <c r="A83" s="6" t="n">
        <v>82</v>
      </c>
      <c r="B83" s="6" t="inlineStr">
        <is>
          <t>Depot Es Selon</t>
        </is>
      </c>
      <c r="C83" s="6" t="n">
        <v>18000</v>
      </c>
      <c r="D83" s="6" t="n">
        <v>-7.9939045</v>
      </c>
      <c r="E83" s="6" t="n">
        <v>112.6338544</v>
      </c>
    </row>
    <row r="84">
      <c r="A84" s="6" t="n">
        <v>83</v>
      </c>
      <c r="B84" s="6" t="inlineStr">
        <is>
          <t>Depot Kee Tjie</t>
        </is>
      </c>
      <c r="C84" s="6" t="n">
        <v>138500</v>
      </c>
      <c r="D84" s="6" t="n">
        <v>-7.9816049</v>
      </c>
      <c r="E84" s="6" t="n">
        <v>112.6338698</v>
      </c>
    </row>
    <row r="85">
      <c r="A85" s="6" t="n">
        <v>84</v>
      </c>
      <c r="B85" s="6" t="inlineStr">
        <is>
          <t>Depot Jepun</t>
        </is>
      </c>
      <c r="C85" s="6" t="n">
        <v>80000</v>
      </c>
      <c r="D85" s="6" t="n">
        <v>-7.9789067</v>
      </c>
      <c r="E85" s="6" t="n">
        <v>112.6142479</v>
      </c>
    </row>
    <row r="86">
      <c r="A86" s="6" t="n">
        <v>85</v>
      </c>
      <c r="B86" s="6" t="inlineStr">
        <is>
          <t>Depot Maninjau</t>
        </is>
      </c>
      <c r="C86" s="6" t="n">
        <v>33000</v>
      </c>
      <c r="D86" s="6" t="n">
        <v>-7.974303</v>
      </c>
      <c r="E86" s="6" t="n">
        <v>112.657869</v>
      </c>
    </row>
    <row r="87">
      <c r="A87" s="6" t="n">
        <v>86</v>
      </c>
      <c r="B87" s="6" t="inlineStr">
        <is>
          <t>Warung Es dan Kue Mungil Malang</t>
        </is>
      </c>
      <c r="C87" s="6" t="n">
        <v>90000</v>
      </c>
      <c r="D87" s="6" t="n">
        <v>-7.9658477</v>
      </c>
      <c r="E87" s="6" t="n">
        <v>112.6344685</v>
      </c>
    </row>
    <row r="88">
      <c r="A88" s="6" t="n">
        <v>87</v>
      </c>
      <c r="B88" s="6" t="inlineStr">
        <is>
          <t>Depot Tahu Lontong Lonceng</t>
        </is>
      </c>
      <c r="C88" s="6" t="n">
        <v>14000</v>
      </c>
      <c r="D88" s="6" t="n">
        <v>-7.9896076</v>
      </c>
      <c r="E88" s="6" t="n">
        <v>112.6346613</v>
      </c>
    </row>
    <row r="89">
      <c r="A89" s="6" t="n">
        <v>88</v>
      </c>
      <c r="B89" s="6" t="inlineStr">
        <is>
          <t>Depot Bu Rudy - Dharmahusada</t>
        </is>
      </c>
      <c r="C89" s="6" t="n">
        <v>495000</v>
      </c>
      <c r="D89" s="6" t="n">
        <v>-7.2674503</v>
      </c>
      <c r="E89" s="6" t="n">
        <v>112.7700431</v>
      </c>
    </row>
    <row r="90">
      <c r="A90" s="6" t="n">
        <v>89</v>
      </c>
      <c r="B90" s="6" t="inlineStr">
        <is>
          <t>Depot Jakarta</t>
        </is>
      </c>
      <c r="C90" s="6" t="n">
        <v>27000</v>
      </c>
      <c r="D90" s="6" t="n">
        <v>-7.9586642</v>
      </c>
      <c r="E90" s="6" t="n">
        <v>112.6487547</v>
      </c>
    </row>
    <row r="91">
      <c r="A91" s="6" t="n">
        <v>90</v>
      </c>
      <c r="B91" s="6" t="inlineStr">
        <is>
          <t>Depot Asri Vegetarian</t>
        </is>
      </c>
      <c r="C91" s="6" t="n">
        <v>37500</v>
      </c>
      <c r="D91" s="6" t="n">
        <v>-7.9353235</v>
      </c>
      <c r="E91" s="6" t="n">
        <v>112.6420035</v>
      </c>
    </row>
    <row r="92">
      <c r="A92" s="6" t="n">
        <v>91</v>
      </c>
      <c r="B92" s="6" t="inlineStr">
        <is>
          <t>Ayam Tulang Lunak MBOK SURIP, SP Sudarmo, Blimbing, Kota Malang</t>
        </is>
      </c>
      <c r="C92" s="6" t="n">
        <v>49000</v>
      </c>
      <c r="D92" s="6" t="n">
        <v>-7.9551651</v>
      </c>
      <c r="E92" s="6" t="n">
        <v>112.6446451</v>
      </c>
    </row>
    <row r="93">
      <c r="A93" s="6" t="n">
        <v>92</v>
      </c>
      <c r="B93" s="6" t="inlineStr">
        <is>
          <t>Cita Rasa</t>
        </is>
      </c>
      <c r="C93" s="6" t="n">
        <v>56500</v>
      </c>
      <c r="D93" s="6" t="n">
        <v>-7.9501582</v>
      </c>
      <c r="E93" s="6" t="n">
        <v>112.6298272</v>
      </c>
    </row>
    <row r="94">
      <c r="A94" s="6" t="n">
        <v>93</v>
      </c>
      <c r="B94" s="6" t="inlineStr">
        <is>
          <t>Soto Basket Stasiun</t>
        </is>
      </c>
      <c r="C94" s="6" t="n">
        <v>20000</v>
      </c>
      <c r="D94" s="6" t="n">
        <v>-7.9781666</v>
      </c>
      <c r="E94" s="6" t="n">
        <v>112.6370903</v>
      </c>
    </row>
    <row r="95">
      <c r="A95" s="6" t="n">
        <v>94</v>
      </c>
      <c r="B95" s="6" t="inlineStr">
        <is>
          <t>Depot Agung 1952</t>
        </is>
      </c>
      <c r="C95" s="6" t="n">
        <v>71500</v>
      </c>
      <c r="D95" s="6" t="n">
        <v>-7.975578</v>
      </c>
      <c r="E95" s="6" t="n">
        <v>112.6296655</v>
      </c>
    </row>
    <row r="96">
      <c r="A96" s="6" t="n">
        <v>95</v>
      </c>
      <c r="B96" s="6" t="inlineStr">
        <is>
          <t>Depot Goyang Lidah</t>
        </is>
      </c>
      <c r="C96" s="6" t="n">
        <v>72000</v>
      </c>
      <c r="D96" s="6" t="n">
        <v>-7.9409446</v>
      </c>
      <c r="E96" s="6" t="n">
        <v>112.6399007</v>
      </c>
    </row>
    <row r="97">
      <c r="A97" s="6" t="n">
        <v>96</v>
      </c>
      <c r="B97" s="6" t="inlineStr">
        <is>
          <t>Pondok Desa</t>
        </is>
      </c>
      <c r="C97" s="6" t="n">
        <v>85000</v>
      </c>
      <c r="D97" s="6" t="n">
        <v>-7.977038</v>
      </c>
      <c r="E97" s="6" t="n">
        <v>112.623803</v>
      </c>
    </row>
    <row r="98">
      <c r="A98" s="6" t="n">
        <v>97</v>
      </c>
      <c r="B98" s="6" t="inlineStr">
        <is>
          <t>Melati Restaurant</t>
        </is>
      </c>
      <c r="C98" s="6" t="n">
        <v>57000</v>
      </c>
      <c r="D98" s="6" t="n">
        <v>-7.9770541</v>
      </c>
      <c r="E98" s="6" t="n">
        <v>112.6328693</v>
      </c>
    </row>
    <row r="99">
      <c r="A99" s="6" t="n">
        <v>98</v>
      </c>
      <c r="B99" s="6" t="inlineStr">
        <is>
          <t>Depot Mamujung</t>
        </is>
      </c>
      <c r="C99" s="6" t="n">
        <v>40000</v>
      </c>
      <c r="D99" s="6" t="n">
        <v>-7.9300353</v>
      </c>
      <c r="E99" s="6" t="n">
        <v>112.6292664</v>
      </c>
    </row>
    <row r="100">
      <c r="A100" s="6" t="n">
        <v>99</v>
      </c>
      <c r="B100" s="6" t="inlineStr">
        <is>
          <t>Soto Ayam Lombok Sejak 1955</t>
        </is>
      </c>
      <c r="C100" s="6" t="n">
        <v>45000</v>
      </c>
      <c r="D100" s="6" t="n">
        <v>-7.9865723</v>
      </c>
      <c r="E100" s="6" t="n">
        <v>112.626213</v>
      </c>
    </row>
    <row r="101">
      <c r="A101" s="6" t="n">
        <v>100</v>
      </c>
      <c r="B101" s="6" t="inlineStr">
        <is>
          <t>Pecel Berkah Malang</t>
        </is>
      </c>
      <c r="C101" s="6" t="n">
        <v>120000</v>
      </c>
      <c r="D101" s="6" t="n">
        <v>-7.9365777</v>
      </c>
      <c r="E101" s="6" t="n">
        <v>112.6255213</v>
      </c>
    </row>
    <row r="102">
      <c r="A102" s="6" t="n">
        <v>101</v>
      </c>
      <c r="B102" s="6" t="inlineStr">
        <is>
          <t>Ayam Goreng Remaja</t>
        </is>
      </c>
      <c r="C102" s="6" t="n">
        <v>113000</v>
      </c>
      <c r="D102" s="6" t="n">
        <v>-7.954116</v>
      </c>
      <c r="E102" s="6" t="n">
        <v>112.6388662</v>
      </c>
    </row>
    <row r="103">
      <c r="A103" s="6" t="n">
        <v>102</v>
      </c>
      <c r="B103" s="6" t="inlineStr">
        <is>
          <t>Depot Rujak Pojok</t>
        </is>
      </c>
      <c r="C103" s="6" t="n">
        <v>41250</v>
      </c>
      <c r="D103" s="6" t="n">
        <v>-7.975699</v>
      </c>
      <c r="E103" s="6" t="n">
        <v>112.6365503</v>
      </c>
    </row>
    <row r="104">
      <c r="A104" s="6" t="n">
        <v>103</v>
      </c>
      <c r="B104" s="6" t="inlineStr">
        <is>
          <t>Waroeng Sampah</t>
        </is>
      </c>
      <c r="C104" s="6" t="n">
        <v>18000</v>
      </c>
      <c r="D104" s="6" t="n">
        <v>-7.9580759</v>
      </c>
      <c r="E104" s="6" t="n">
        <v>112.6202464</v>
      </c>
    </row>
    <row r="105">
      <c r="A105" s="6" t="n">
        <v>104</v>
      </c>
      <c r="B105" s="6" t="inlineStr">
        <is>
          <t>Depot 51</t>
        </is>
      </c>
      <c r="C105" s="6" t="n">
        <v>62500</v>
      </c>
      <c r="D105" s="6" t="n">
        <v>-7.9527289</v>
      </c>
      <c r="E105" s="6" t="n">
        <v>112.6382405</v>
      </c>
    </row>
    <row r="106">
      <c r="A106" s="6" t="n">
        <v>105</v>
      </c>
      <c r="B106" s="6" t="inlineStr">
        <is>
          <t>Taman Indie Resto</t>
        </is>
      </c>
      <c r="C106" s="6" t="n">
        <v>97500</v>
      </c>
      <c r="D106" s="6" t="n">
        <v>-7.939687</v>
      </c>
      <c r="E106" s="6" t="n">
        <v>112.664235</v>
      </c>
    </row>
    <row r="107">
      <c r="A107" s="6" t="n">
        <v>106</v>
      </c>
      <c r="B107" s="6" t="inlineStr">
        <is>
          <t>Depot Lumayan</t>
        </is>
      </c>
      <c r="C107" s="6" t="n">
        <v>80000</v>
      </c>
      <c r="D107" s="6" t="n">
        <v>-7.9566628</v>
      </c>
      <c r="E107" s="6" t="n">
        <v>112.6306818</v>
      </c>
    </row>
    <row r="108">
      <c r="A108" s="6" t="n">
        <v>107</v>
      </c>
      <c r="B108" s="6" t="inlineStr">
        <is>
          <t>Warung Manteb Bu Lanny</t>
        </is>
      </c>
      <c r="C108" s="6" t="n">
        <v>44000</v>
      </c>
      <c r="D108" s="6" t="n">
        <v>-7.9481574</v>
      </c>
      <c r="E108" s="6" t="n">
        <v>112.639789</v>
      </c>
    </row>
    <row r="109">
      <c r="A109" s="6" t="n">
        <v>108</v>
      </c>
      <c r="B109" s="6" t="inlineStr">
        <is>
          <t>Depot Nasi Goreng Cak Koes</t>
        </is>
      </c>
      <c r="C109" s="6" t="n">
        <v>60000</v>
      </c>
      <c r="D109" s="6" t="n">
        <v>-7.9706933</v>
      </c>
      <c r="E109" s="6" t="n">
        <v>112.6608794</v>
      </c>
    </row>
    <row r="110">
      <c r="A110" s="6" t="n">
        <v>109</v>
      </c>
      <c r="B110" s="6" t="inlineStr">
        <is>
          <t>Hot Cui Mie KAWI l Since 2000</t>
        </is>
      </c>
      <c r="C110" s="6" t="n">
        <v>64500</v>
      </c>
      <c r="D110" s="6" t="n">
        <v>-7.9748958</v>
      </c>
      <c r="E110" s="6" t="n">
        <v>112.6177057</v>
      </c>
    </row>
    <row r="111">
      <c r="A111" s="6" t="n">
        <v>110</v>
      </c>
      <c r="B111" s="6" t="inlineStr">
        <is>
          <t>Potre Koneng Warisan Rasa Nusantara</t>
        </is>
      </c>
      <c r="C111" s="6" t="n">
        <v>172000</v>
      </c>
      <c r="D111" s="6" t="n">
        <v>-7.9691575</v>
      </c>
      <c r="E111" s="6" t="n">
        <v>112.6263417</v>
      </c>
    </row>
    <row r="112">
      <c r="A112" s="6" t="n">
        <v>111</v>
      </c>
      <c r="B112" s="6" t="inlineStr">
        <is>
          <t>Depot Nasi Goreng Cak Mien</t>
        </is>
      </c>
      <c r="C112" s="6" t="n">
        <v>45000</v>
      </c>
      <c r="D112" s="6" t="n">
        <v>-7.9768977</v>
      </c>
      <c r="E112" s="6" t="n">
        <v>112.6438931</v>
      </c>
    </row>
    <row r="113">
      <c r="A113" s="6" t="n">
        <v>112</v>
      </c>
      <c r="B113" s="6" t="inlineStr">
        <is>
          <t>Depot Kurnia Ria Ning Sul</t>
        </is>
      </c>
      <c r="C113" s="6" t="n">
        <v>137500</v>
      </c>
      <c r="D113" s="6" t="n">
        <v>-7.9752241</v>
      </c>
      <c r="E113" s="6" t="n">
        <v>112.6369285</v>
      </c>
    </row>
    <row r="114">
      <c r="A114" s="6" t="n">
        <v>113</v>
      </c>
      <c r="B114" s="6" t="inlineStr">
        <is>
          <t>Rumah Makan Inggil</t>
        </is>
      </c>
      <c r="C114" s="6" t="n">
        <v>75000</v>
      </c>
      <c r="D114" s="6" t="n">
        <v>-7.9840501</v>
      </c>
      <c r="E114" s="6" t="n">
        <v>112.6341835</v>
      </c>
    </row>
    <row r="115">
      <c r="A115" s="6" t="n">
        <v>114</v>
      </c>
      <c r="B115" s="6" t="inlineStr">
        <is>
          <t>Ronde Titoni</t>
        </is>
      </c>
      <c r="C115" s="6" t="n">
        <v>89000</v>
      </c>
      <c r="D115" s="6" t="n">
        <v>-7.9823434</v>
      </c>
      <c r="E115" s="6" t="n">
        <v>112.6347174</v>
      </c>
    </row>
    <row r="116">
      <c r="A116" s="6" t="n">
        <v>115</v>
      </c>
      <c r="B116" s="6" t="inlineStr">
        <is>
          <t>Soto Ayam Lamongan CAK HAR</t>
        </is>
      </c>
      <c r="C116" s="6" t="n">
        <v>24000</v>
      </c>
      <c r="D116" s="6" t="n">
        <v>-7.2957171</v>
      </c>
      <c r="E116" s="6" t="n">
        <v>112.7813592</v>
      </c>
    </row>
    <row r="117">
      <c r="A117" s="6" t="n">
        <v>116</v>
      </c>
      <c r="B117" s="6" t="inlineStr">
        <is>
          <t>Sentra Kuliner Sriwijaya</t>
        </is>
      </c>
      <c r="C117" s="6" t="n">
        <v>33000</v>
      </c>
      <c r="D117" s="6" t="n">
        <v>-7.9785158</v>
      </c>
      <c r="E117" s="6" t="n">
        <v>112.6364204</v>
      </c>
    </row>
    <row r="118">
      <c r="A118" s="6" t="n">
        <v>117</v>
      </c>
      <c r="B118" s="6" t="inlineStr">
        <is>
          <t>Pos Ketan Legenda 1967 Suhat</t>
        </is>
      </c>
      <c r="C118" s="6" t="n">
        <v>25000</v>
      </c>
      <c r="D118" s="6" t="n">
        <v>-7.9419933</v>
      </c>
      <c r="E118" s="6" t="n">
        <v>112.6215775</v>
      </c>
    </row>
    <row r="119">
      <c r="A119" s="6" t="n">
        <v>118</v>
      </c>
      <c r="B119" s="6" t="inlineStr">
        <is>
          <t>Taman Jajan Al Fatih</t>
        </is>
      </c>
      <c r="C119" s="6" t="n">
        <v>32400</v>
      </c>
      <c r="D119" s="6" t="n">
        <v>-7.9709804</v>
      </c>
      <c r="E119" s="6" t="n">
        <v>112.6605607</v>
      </c>
    </row>
    <row r="120">
      <c r="A120" s="6" t="n">
        <v>119</v>
      </c>
      <c r="B120" s="6" t="inlineStr">
        <is>
          <t>Puthu Lanang</t>
        </is>
      </c>
      <c r="C120" s="6" t="n">
        <v>20000</v>
      </c>
      <c r="D120" s="6" t="n">
        <v>-7.9664473</v>
      </c>
      <c r="E120" s="6" t="n">
        <v>112.6336417</v>
      </c>
    </row>
    <row r="121">
      <c r="A121" s="6" t="n">
        <v>120</v>
      </c>
      <c r="B121" s="6" t="inlineStr">
        <is>
          <t>Sego Goreng Resek (Pak Man)</t>
        </is>
      </c>
      <c r="C121" s="6" t="n">
        <v>10000</v>
      </c>
      <c r="D121" s="6" t="n">
        <v>-7.9840314</v>
      </c>
      <c r="E121" s="6" t="n">
        <v>112.625562</v>
      </c>
    </row>
    <row r="122">
      <c r="A122" s="6" t="n">
        <v>121</v>
      </c>
      <c r="B122" s="6" t="inlineStr">
        <is>
          <t>Surabi Imut</t>
        </is>
      </c>
      <c r="C122" s="6" t="n">
        <v>20000</v>
      </c>
      <c r="D122" s="6" t="n">
        <v>-7.9726298</v>
      </c>
      <c r="E122" s="6" t="n">
        <v>112.636483</v>
      </c>
    </row>
    <row r="123">
      <c r="A123" s="6" t="n">
        <v>122</v>
      </c>
      <c r="B123" s="6" t="inlineStr">
        <is>
          <t>Sego Ceker Glintung Malang</t>
        </is>
      </c>
      <c r="C123" s="6" t="n">
        <v>19500</v>
      </c>
      <c r="D123" s="6" t="n">
        <v>-7.9432385</v>
      </c>
      <c r="E123" s="6" t="n">
        <v>112.6417322</v>
      </c>
    </row>
    <row r="124">
      <c r="A124" s="6" t="n">
        <v>123</v>
      </c>
      <c r="B124" s="6" t="inlineStr">
        <is>
          <t>Warung Lama H. Ridwan</t>
        </is>
      </c>
      <c r="C124" s="6" t="n">
        <v>9500</v>
      </c>
      <c r="D124" s="6" t="n">
        <v>-7.9873877</v>
      </c>
      <c r="E124" s="6" t="n">
        <v>112.6330822</v>
      </c>
    </row>
    <row r="125">
      <c r="A125" s="6" t="n">
        <v>124</v>
      </c>
      <c r="B125" s="6" t="inlineStr">
        <is>
          <t>Kampoeng Kuliner</t>
        </is>
      </c>
      <c r="C125" s="6" t="n">
        <v>48000</v>
      </c>
      <c r="D125" s="6" t="n">
        <v>-7.9369101</v>
      </c>
      <c r="E125" s="6" t="n">
        <v>112.6376407</v>
      </c>
    </row>
    <row r="126">
      <c r="A126" s="6" t="n">
        <v>125</v>
      </c>
      <c r="B126" s="6" t="inlineStr">
        <is>
          <t>Warung Mekar Jaya</t>
        </is>
      </c>
      <c r="C126" s="6" t="n">
        <v>20000</v>
      </c>
      <c r="D126" s="6" t="n">
        <v>-7.9454611</v>
      </c>
      <c r="E126" s="6" t="n">
        <v>112.6189345</v>
      </c>
    </row>
    <row r="127">
      <c r="A127" s="6" t="n">
        <v>126</v>
      </c>
      <c r="B127" s="6" t="inlineStr">
        <is>
          <t>Toko Oen Malang</t>
        </is>
      </c>
      <c r="C127" s="6" t="n">
        <v>85000</v>
      </c>
      <c r="D127" s="6" t="n">
        <v>-7.980704</v>
      </c>
      <c r="E127" s="6" t="n">
        <v>112.630332</v>
      </c>
    </row>
    <row r="128">
      <c r="A128" s="6" t="n">
        <v>127</v>
      </c>
      <c r="B128" s="6" t="inlineStr">
        <is>
          <t>Mbok Mesem Makanan Khas Kediri</t>
        </is>
      </c>
      <c r="C128" s="6" t="n">
        <v>29000</v>
      </c>
      <c r="D128" s="6" t="n">
        <v>-7.946422</v>
      </c>
      <c r="E128" s="6" t="n">
        <v>112.622256</v>
      </c>
    </row>
    <row r="129">
      <c r="A129" s="6" t="n">
        <v>128</v>
      </c>
      <c r="B129" s="6" t="inlineStr">
        <is>
          <t>Rawon Tessy</t>
        </is>
      </c>
      <c r="C129" s="6" t="n">
        <v>55000</v>
      </c>
      <c r="D129" s="6" t="n">
        <v>-7.9799793</v>
      </c>
      <c r="E129" s="6" t="n">
        <v>112.6372032</v>
      </c>
    </row>
    <row r="130">
      <c r="A130" s="6" t="n">
        <v>129</v>
      </c>
      <c r="B130" s="6" t="inlineStr">
        <is>
          <t>Warung Subuh</t>
        </is>
      </c>
      <c r="C130" s="6" t="n">
        <v>103000</v>
      </c>
      <c r="D130" s="6" t="n">
        <v>-7.976108</v>
      </c>
      <c r="E130" s="6" t="n">
        <v>112.6128452</v>
      </c>
    </row>
    <row r="131">
      <c r="A131" s="6" t="n">
        <v>130</v>
      </c>
      <c r="B131" s="6" t="inlineStr">
        <is>
          <t>Warung Malam Pak Gatot</t>
        </is>
      </c>
      <c r="C131" s="6" t="n">
        <v>20000</v>
      </c>
      <c r="D131" s="6" t="n">
        <v>-7.9875673</v>
      </c>
      <c r="E131" s="6" t="n">
        <v>112.6225721</v>
      </c>
    </row>
    <row r="132">
      <c r="A132" s="6" t="n">
        <v>131</v>
      </c>
      <c r="B132" s="6" t="inlineStr">
        <is>
          <t>Bakso President Malang</t>
        </is>
      </c>
      <c r="C132" s="6" t="n">
        <v>295000</v>
      </c>
      <c r="D132" s="6" t="n">
        <v>-7.962372</v>
      </c>
      <c r="E132" s="6" t="n">
        <v>112.6368701</v>
      </c>
    </row>
    <row r="133">
      <c r="A133" s="6" t="n">
        <v>132</v>
      </c>
      <c r="B133" s="6" t="inlineStr">
        <is>
          <t>Kawasan Wisata Kuliner Merjosari</t>
        </is>
      </c>
      <c r="C133" s="6" t="n">
        <v>35500</v>
      </c>
      <c r="D133" s="6" t="n">
        <v>-7.9445211</v>
      </c>
      <c r="E133" s="6" t="n">
        <v>112.6038869</v>
      </c>
    </row>
    <row r="134">
      <c r="A134" s="6" t="n">
        <v>133</v>
      </c>
      <c r="B134" s="6" t="inlineStr">
        <is>
          <t>Pos Ketan Legenda - 1967 Batu</t>
        </is>
      </c>
      <c r="C134" s="6" t="n">
        <v>27000</v>
      </c>
      <c r="D134" s="6" t="n">
        <v>-7.8709526</v>
      </c>
      <c r="E134" s="6" t="n">
        <v>112.5259953</v>
      </c>
    </row>
    <row r="135">
      <c r="A135" s="6" t="n">
        <v>134</v>
      </c>
      <c r="B135" s="6" t="inlineStr">
        <is>
          <t>SAMBAL GAMI BU'SUM</t>
        </is>
      </c>
      <c r="C135" s="6" t="n">
        <v>45600</v>
      </c>
      <c r="D135" s="6" t="n">
        <v>-7.9753901</v>
      </c>
      <c r="E135" s="6" t="n">
        <v>112.6369541</v>
      </c>
    </row>
    <row r="136">
      <c r="A136" s="6" t="n">
        <v>135</v>
      </c>
      <c r="B136" s="6" t="inlineStr">
        <is>
          <t>Pusat Kuliner Araya</t>
        </is>
      </c>
      <c r="C136" s="6" t="n">
        <v>14000</v>
      </c>
      <c r="D136" s="6" t="n">
        <v>-7.9343448</v>
      </c>
      <c r="E136" s="6" t="n">
        <v>112.651083</v>
      </c>
    </row>
    <row r="137">
      <c r="A137" s="6" t="n">
        <v>136</v>
      </c>
      <c r="B137" s="6" t="inlineStr">
        <is>
          <t>Kampung Kuliner</t>
        </is>
      </c>
      <c r="C137" s="6" t="n">
        <v>45000</v>
      </c>
      <c r="D137" s="6" t="n">
        <v>-7.9444444</v>
      </c>
      <c r="E137" s="6" t="n">
        <v>112.61</v>
      </c>
    </row>
    <row r="138">
      <c r="A138" s="6" t="n">
        <v>137</v>
      </c>
      <c r="B138" s="6" t="inlineStr">
        <is>
          <t>Es Tawon Kidul Dalem</t>
        </is>
      </c>
      <c r="C138" s="6" t="n">
        <v>8000</v>
      </c>
      <c r="D138" s="6" t="n">
        <v>-7.9825873</v>
      </c>
      <c r="E138" s="6" t="n">
        <v>112.6346097</v>
      </c>
    </row>
    <row r="139">
      <c r="A139" s="6" t="n">
        <v>138</v>
      </c>
      <c r="B139" s="6" t="inlineStr">
        <is>
          <t>Warung Sate Gebug 1920</t>
        </is>
      </c>
      <c r="C139" s="6" t="n">
        <v>37000</v>
      </c>
      <c r="D139" s="6" t="n">
        <v>-7.9748959</v>
      </c>
      <c r="E139" s="6" t="n">
        <v>112.6294162</v>
      </c>
    </row>
    <row r="140">
      <c r="A140" s="6" t="n">
        <v>139</v>
      </c>
      <c r="B140" s="6" t="inlineStr">
        <is>
          <t>Sengkaling Kuliner</t>
        </is>
      </c>
      <c r="C140" s="6" t="n">
        <v>58000</v>
      </c>
      <c r="D140" s="6" t="n">
        <v>-7.915095</v>
      </c>
      <c r="E140" s="6" t="n">
        <v>112.5874946</v>
      </c>
    </row>
    <row r="141">
      <c r="A141" s="6" t="n">
        <v>140</v>
      </c>
      <c r="B141" s="6" t="inlineStr">
        <is>
          <t>Tahwa Mas Agus</t>
        </is>
      </c>
      <c r="C141" s="6" t="n">
        <v>14000</v>
      </c>
      <c r="D141" s="6" t="n">
        <v>-7.9816906</v>
      </c>
      <c r="E141" s="6" t="n">
        <v>112.6337404</v>
      </c>
    </row>
    <row r="142">
      <c r="A142" s="6" t="n">
        <v>141</v>
      </c>
      <c r="B142" s="6" t="inlineStr">
        <is>
          <t>Sambal Bawang Mbok Jayus</t>
        </is>
      </c>
      <c r="C142" s="6" t="n">
        <v>25625</v>
      </c>
      <c r="D142" s="6" t="n">
        <v>-7.9394315</v>
      </c>
      <c r="E142" s="6" t="n">
        <v>112.63522</v>
      </c>
    </row>
    <row r="143">
      <c r="A143" s="6" t="n">
        <v>142</v>
      </c>
      <c r="B143" s="6" t="inlineStr">
        <is>
          <t>Niki Kopitiam Malang</t>
        </is>
      </c>
      <c r="C143" s="6" t="n">
        <v>108000</v>
      </c>
      <c r="D143" s="6" t="n">
        <v>-7.9679686</v>
      </c>
      <c r="E143" s="6" t="n">
        <v>112.6170482</v>
      </c>
    </row>
    <row r="144">
      <c r="A144" s="6" t="n">
        <v>143</v>
      </c>
      <c r="B144" s="6" t="inlineStr">
        <is>
          <t>Tahu Campur Pak Iwan</t>
        </is>
      </c>
      <c r="C144" s="6" t="n">
        <v>25000</v>
      </c>
      <c r="D144" s="6" t="n">
        <v>-7.9872739</v>
      </c>
      <c r="E144" s="6" t="n">
        <v>112.6302915</v>
      </c>
    </row>
    <row r="145">
      <c r="A145" s="6" t="n">
        <v>144</v>
      </c>
      <c r="B145" s="6" t="inlineStr">
        <is>
          <t>Hot Cui Mie</t>
        </is>
      </c>
      <c r="C145" s="6" t="n">
        <v>64500</v>
      </c>
      <c r="D145" s="6" t="n">
        <v>-7.9513367</v>
      </c>
      <c r="E145" s="6" t="n">
        <v>112.6395376</v>
      </c>
    </row>
    <row r="146">
      <c r="A146" s="6" t="n">
        <v>145</v>
      </c>
      <c r="B146" s="6" t="inlineStr">
        <is>
          <t>Ocean Garden Stasiun</t>
        </is>
      </c>
      <c r="C146" s="6" t="n">
        <v>195750</v>
      </c>
      <c r="D146" s="6" t="n">
        <v>-7.9792557</v>
      </c>
      <c r="E146" s="6" t="n">
        <v>112.6368548</v>
      </c>
    </row>
    <row r="147">
      <c r="A147" s="6" t="n">
        <v>146</v>
      </c>
      <c r="B147" s="6" t="inlineStr">
        <is>
          <t>Kupang Kraton Hj. Qomariyah</t>
        </is>
      </c>
      <c r="C147" s="6" t="n">
        <v>30000</v>
      </c>
      <c r="D147" s="6" t="n">
        <v>-7.9676007</v>
      </c>
      <c r="E147" s="6" t="n">
        <v>112.6338707</v>
      </c>
    </row>
    <row r="148">
      <c r="A148" s="6" t="n">
        <v>147</v>
      </c>
      <c r="B148" s="6" t="inlineStr">
        <is>
          <t>Sego Sambel Cak UUT</t>
        </is>
      </c>
      <c r="C148" s="6" t="n">
        <v>316000</v>
      </c>
      <c r="D148" s="6" t="n">
        <v>-7.9789535</v>
      </c>
      <c r="E148" s="6" t="n">
        <v>112.6113044</v>
      </c>
    </row>
    <row r="149">
      <c r="A149" s="6" t="n">
        <v>148</v>
      </c>
      <c r="B149" s="6" t="inlineStr">
        <is>
          <t>Rawon Djenggot</t>
        </is>
      </c>
      <c r="C149" s="6" t="n">
        <v>58667</v>
      </c>
      <c r="D149" s="6" t="n">
        <v>-7.9752142</v>
      </c>
      <c r="E149" s="6" t="n">
        <v>112.6179601</v>
      </c>
    </row>
    <row r="150">
      <c r="A150" s="6" t="n">
        <v>149</v>
      </c>
      <c r="B150" s="6" t="inlineStr">
        <is>
          <t>Madame Wang Secret Garden</t>
        </is>
      </c>
      <c r="C150" s="6" t="n">
        <v>60500</v>
      </c>
      <c r="D150" s="6" t="n">
        <v>-7.9728399</v>
      </c>
      <c r="E150" s="6" t="n">
        <v>112.6189956</v>
      </c>
    </row>
    <row r="151">
      <c r="A151" s="6" t="n">
        <v>150</v>
      </c>
      <c r="B151" s="6" t="inlineStr">
        <is>
          <t>Burger Buto Sarangan</t>
        </is>
      </c>
      <c r="C151" s="6" t="n">
        <v>34750</v>
      </c>
      <c r="D151" s="6" t="n">
        <v>-7.959849</v>
      </c>
      <c r="E151" s="6" t="n">
        <v>112.6321433</v>
      </c>
    </row>
    <row r="152">
      <c r="A152" s="6" t="n">
        <v>151</v>
      </c>
      <c r="B152" s="6" t="inlineStr">
        <is>
          <t>Bakso Bakar Pak Man</t>
        </is>
      </c>
      <c r="C152" s="6" t="n">
        <v>10000</v>
      </c>
      <c r="D152" s="6" t="n">
        <v>-7.9687729</v>
      </c>
      <c r="E152" s="6" t="n">
        <v>112.6339725</v>
      </c>
    </row>
    <row r="153">
      <c r="A153" s="6" t="n">
        <v>152</v>
      </c>
      <c r="B153" s="6" t="inlineStr">
        <is>
          <t>Nasi Bhug Matirah</t>
        </is>
      </c>
      <c r="C153" s="6" t="n">
        <v>66000</v>
      </c>
      <c r="D153" s="6" t="n">
        <v>-7.9767672</v>
      </c>
      <c r="E153" s="6" t="n">
        <v>112.6368768</v>
      </c>
    </row>
    <row r="154">
      <c r="A154" s="6" t="n">
        <v>153</v>
      </c>
      <c r="B154" s="6" t="inlineStr">
        <is>
          <t>orem-orem AREMA</t>
        </is>
      </c>
      <c r="C154" s="6" t="n">
        <v>27000</v>
      </c>
      <c r="D154" s="6" t="n">
        <v>-7.9680927</v>
      </c>
      <c r="E154" s="6" t="n">
        <v>112.613661</v>
      </c>
    </row>
    <row r="155">
      <c r="A155" s="6" t="n">
        <v>154</v>
      </c>
      <c r="B155" s="6" t="inlineStr">
        <is>
          <t>Foodcourt MOG</t>
        </is>
      </c>
      <c r="C155" s="6" t="n">
        <v>58000</v>
      </c>
      <c r="D155" s="6" t="n">
        <v>-7.9769385</v>
      </c>
      <c r="E155" s="6" t="n">
        <v>112.6240616</v>
      </c>
    </row>
    <row r="156">
      <c r="A156" s="6" t="n">
        <v>155</v>
      </c>
      <c r="B156" s="6" t="inlineStr">
        <is>
          <t>Toko Kue Sara</t>
        </is>
      </c>
      <c r="C156" s="6" t="n">
        <v>385000</v>
      </c>
      <c r="D156" s="6" t="n">
        <v>-7.9686936</v>
      </c>
      <c r="E156" s="6" t="n">
        <v>112.6349944</v>
      </c>
    </row>
    <row r="157">
      <c r="A157" s="6" t="n">
        <v>156</v>
      </c>
      <c r="B157" s="6" t="inlineStr">
        <is>
          <t>BIJI CABE eatery</t>
        </is>
      </c>
      <c r="C157" s="6" t="n">
        <v>46500</v>
      </c>
      <c r="D157" s="6" t="n">
        <v>-7.9410463</v>
      </c>
      <c r="E157" s="6" t="n">
        <v>112.6228173</v>
      </c>
    </row>
    <row r="158">
      <c r="A158" s="6" t="n">
        <v>157</v>
      </c>
      <c r="B158" s="6" t="inlineStr">
        <is>
          <t>Dapur Cecebuncit (Gyoza - Gohyong - Sambel Tempong - Ceker Pedas - Sayap Pedas - Makanan Serba Pedas - Kota Malang)</t>
        </is>
      </c>
      <c r="C158" s="6" t="n">
        <v>95000</v>
      </c>
      <c r="D158" s="6" t="n">
        <v>-7.9525052</v>
      </c>
      <c r="E158" s="6" t="n">
        <v>112.6066865</v>
      </c>
    </row>
    <row r="159">
      <c r="A159" s="6" t="n">
        <v>158</v>
      </c>
      <c r="B159" s="6" t="inlineStr">
        <is>
          <t>Jajanan Pedas Malang</t>
        </is>
      </c>
      <c r="C159" s="6" t="n">
        <v>15000</v>
      </c>
      <c r="D159" s="6" t="n">
        <v>-8.0129003</v>
      </c>
      <c r="E159" s="6" t="n">
        <v>112.6295426</v>
      </c>
    </row>
    <row r="160">
      <c r="A160" s="6" t="n">
        <v>159</v>
      </c>
      <c r="B160" s="6" t="inlineStr">
        <is>
          <t>Kajoetangan Food Court</t>
        </is>
      </c>
      <c r="C160" s="6" t="n">
        <v>40000</v>
      </c>
      <c r="D160" s="6" t="n">
        <v>-7.9775278</v>
      </c>
      <c r="E160" s="6" t="n">
        <v>112.6294992</v>
      </c>
    </row>
    <row r="161">
      <c r="A161" s="6" t="n">
        <v>160</v>
      </c>
      <c r="B161" s="6" t="inlineStr">
        <is>
          <t>Pojok Kuliner Mas Gendoet</t>
        </is>
      </c>
      <c r="C161" s="6" t="n">
        <v>21000</v>
      </c>
      <c r="D161" s="6" t="n">
        <v>-7.9334654</v>
      </c>
      <c r="E161" s="6" t="n">
        <v>112.6613175</v>
      </c>
    </row>
    <row r="162">
      <c r="A162" s="6" t="n">
        <v>161</v>
      </c>
      <c r="B162" s="6" t="inlineStr">
        <is>
          <t>Sentra Jajanan Pasar Soekarno Hatta Malang</t>
        </is>
      </c>
      <c r="C162" s="6" t="n">
        <v>56500</v>
      </c>
      <c r="D162" s="6" t="n">
        <v>-7.9406463</v>
      </c>
      <c r="E162" s="6" t="n">
        <v>112.6233223</v>
      </c>
    </row>
    <row r="163">
      <c r="A163" s="6" t="n">
        <v>162</v>
      </c>
      <c r="B163" s="6" t="inlineStr">
        <is>
          <t>CHAIYOO Eatery &amp; Playground</t>
        </is>
      </c>
      <c r="C163" s="6" t="n">
        <v>31500</v>
      </c>
      <c r="D163" s="6" t="n">
        <v>-7.95575</v>
      </c>
      <c r="E163" s="6" t="n">
        <v>112.6317052</v>
      </c>
    </row>
    <row r="164">
      <c r="A164" s="6" t="n">
        <v>163</v>
      </c>
      <c r="B164" s="6" t="inlineStr">
        <is>
          <t>Rawon Cak Wot</t>
        </is>
      </c>
      <c r="C164" s="6" t="n">
        <v>30000</v>
      </c>
      <c r="D164" s="6" t="n">
        <v>-7.9442772</v>
      </c>
      <c r="E164" s="6" t="n">
        <v>112.6194422</v>
      </c>
    </row>
    <row r="165">
      <c r="A165" s="6" t="n">
        <v>164</v>
      </c>
      <c r="B165" s="6" t="inlineStr">
        <is>
          <t>Loopi Hoopi Dessert &amp; Bakery</t>
        </is>
      </c>
      <c r="C165" s="6" t="n">
        <v>125000</v>
      </c>
      <c r="D165" s="6" t="n">
        <v>-7.9575381</v>
      </c>
      <c r="E165" s="6" t="n">
        <v>112.6224326</v>
      </c>
    </row>
    <row r="166">
      <c r="A166" s="6" t="n">
        <v>165</v>
      </c>
      <c r="B166" s="6" t="inlineStr">
        <is>
          <t>Pasar Oro Oro Dowo</t>
        </is>
      </c>
      <c r="C166" s="6" t="n">
        <v>30000</v>
      </c>
      <c r="D166" s="6" t="n">
        <v>-7.9687762</v>
      </c>
      <c r="E166" s="6" t="n">
        <v>112.6283218</v>
      </c>
    </row>
    <row r="167">
      <c r="A167" s="6" t="n">
        <v>166</v>
      </c>
      <c r="B167" s="6" t="inlineStr">
        <is>
          <t>Mie ‎Setan Noodle N Dimsum - Malang</t>
        </is>
      </c>
      <c r="C167" s="6" t="n">
        <v>28500</v>
      </c>
      <c r="D167" s="6" t="n">
        <v>-7.9789675</v>
      </c>
      <c r="E167" s="6" t="n">
        <v>112.625314</v>
      </c>
    </row>
    <row r="168">
      <c r="A168" s="6" t="n">
        <v>167</v>
      </c>
      <c r="B168" s="6" t="inlineStr">
        <is>
          <t>Oleh Oleh Khas Malang</t>
        </is>
      </c>
      <c r="C168" s="6" t="n">
        <v>62500</v>
      </c>
      <c r="D168" s="6" t="n">
        <v>-7.9425574</v>
      </c>
      <c r="E168" s="6" t="n">
        <v>112.6308365</v>
      </c>
    </row>
    <row r="169">
      <c r="A169" s="6" t="n">
        <v>168</v>
      </c>
      <c r="B169" s="6" t="inlineStr">
        <is>
          <t>Putu Pojok Lawas Jl. Gajayana</t>
        </is>
      </c>
      <c r="C169" s="6" t="n">
        <v>20000</v>
      </c>
      <c r="D169" s="6" t="n">
        <v>-7.9454354</v>
      </c>
      <c r="E169" s="6" t="n">
        <v>112.609418</v>
      </c>
    </row>
    <row r="170">
      <c r="A170" s="6" t="n">
        <v>169</v>
      </c>
      <c r="B170" s="6" t="inlineStr">
        <is>
          <t>Lumpia Ciliwung</t>
        </is>
      </c>
      <c r="C170" s="6" t="n">
        <v>141000</v>
      </c>
      <c r="D170" s="6" t="n">
        <v>-7.9542527</v>
      </c>
      <c r="E170" s="6" t="n">
        <v>112.6439069</v>
      </c>
    </row>
    <row r="171">
      <c r="A171" s="6" t="n">
        <v>170</v>
      </c>
      <c r="B171" s="6" t="inlineStr">
        <is>
          <t>Bagortalik</t>
        </is>
      </c>
      <c r="C171" s="6" t="n">
        <v>12000</v>
      </c>
      <c r="D171" s="6" t="n">
        <v>-7.9691509</v>
      </c>
      <c r="E171" s="6" t="n">
        <v>112.6181761</v>
      </c>
    </row>
    <row r="172">
      <c r="A172" s="6" t="n">
        <v>171</v>
      </c>
      <c r="B172" s="6" t="inlineStr">
        <is>
          <t>Nasi Goreng Pak Dji porsi Jumbo</t>
        </is>
      </c>
      <c r="C172" s="6" t="n">
        <v>19000</v>
      </c>
      <c r="D172" s="6" t="n">
        <v>-7.9765129</v>
      </c>
      <c r="E172" s="6" t="n">
        <v>112.6383122</v>
      </c>
    </row>
    <row r="173">
      <c r="A173" s="6" t="n">
        <v>172</v>
      </c>
      <c r="B173" s="6" t="inlineStr">
        <is>
          <t>TimTong</t>
        </is>
      </c>
      <c r="C173" s="6" t="n">
        <v>56500</v>
      </c>
      <c r="D173" s="6" t="n">
        <v>-7.9752731</v>
      </c>
      <c r="E173" s="6" t="n">
        <v>112.6191305</v>
      </c>
    </row>
    <row r="174">
      <c r="A174" s="6" t="n">
        <v>173</v>
      </c>
      <c r="B174" s="6" t="inlineStr">
        <is>
          <t>Molly Molen</t>
        </is>
      </c>
      <c r="C174" s="6" t="n">
        <v>70000</v>
      </c>
      <c r="D174" s="6" t="n">
        <v>-7.9612122</v>
      </c>
      <c r="E174" s="6" t="n">
        <v>112.6105845</v>
      </c>
    </row>
    <row r="175">
      <c r="A175" s="6" t="n">
        <v>174</v>
      </c>
      <c r="B175" s="6" t="inlineStr">
        <is>
          <t>Coto Makassar Sop Konro Daeng Rudi</t>
        </is>
      </c>
      <c r="C175" s="6" t="n">
        <v>65000</v>
      </c>
      <c r="D175" s="6" t="n">
        <v>-7.967292</v>
      </c>
      <c r="E175" s="6" t="n">
        <v>112.613395</v>
      </c>
    </row>
    <row r="176">
      <c r="A176" s="6" t="n">
        <v>175</v>
      </c>
      <c r="B176" s="6" t="inlineStr">
        <is>
          <t>Soto Ayam Ambengan Bu Keni</t>
        </is>
      </c>
      <c r="C176" s="6" t="n">
        <v>36000</v>
      </c>
      <c r="D176" s="6" t="n">
        <v>-7.972115</v>
      </c>
      <c r="E176" s="6" t="n">
        <v>112.6331012</v>
      </c>
    </row>
    <row r="177">
      <c r="A177" s="6" t="n">
        <v>176</v>
      </c>
      <c r="B177" s="6" t="inlineStr">
        <is>
          <t>CAK TOMO CABANG SANAN</t>
        </is>
      </c>
      <c r="C177" s="6" t="n">
        <v>90000</v>
      </c>
      <c r="D177" s="6" t="n">
        <v>-7.9582994</v>
      </c>
      <c r="E177" s="6" t="n">
        <v>112.6437638</v>
      </c>
    </row>
    <row r="178">
      <c r="A178" s="6" t="n">
        <v>177</v>
      </c>
      <c r="B178" s="6" t="inlineStr">
        <is>
          <t>Soehat Street Food</t>
        </is>
      </c>
      <c r="C178" s="6" t="n">
        <v>139000</v>
      </c>
      <c r="D178" s="6" t="n">
        <v>-7.9418562</v>
      </c>
      <c r="E178" s="6" t="n">
        <v>112.622374</v>
      </c>
    </row>
    <row r="179">
      <c r="A179" s="6" t="n">
        <v>178</v>
      </c>
      <c r="B179" s="6" t="inlineStr">
        <is>
          <t>Soto Daging Pak Markeso (Sejak 1987)</t>
        </is>
      </c>
      <c r="C179" s="6" t="n">
        <v>25000</v>
      </c>
      <c r="D179" s="6" t="n">
        <v>-7.9749456</v>
      </c>
      <c r="E179" s="6" t="n">
        <v>112.6223537</v>
      </c>
    </row>
    <row r="180">
      <c r="A180" s="6" t="n">
        <v>179</v>
      </c>
      <c r="B180" s="6" t="inlineStr">
        <is>
          <t>Lalapan dan Sea Food Bang Husein</t>
        </is>
      </c>
      <c r="C180" s="6" t="n">
        <v>62000</v>
      </c>
      <c r="D180" s="6" t="n">
        <v>-7.9711957</v>
      </c>
      <c r="E180" s="6" t="n">
        <v>112.628542</v>
      </c>
    </row>
    <row r="181">
      <c r="A181" s="6" t="n">
        <v>180</v>
      </c>
      <c r="B181" s="6" t="inlineStr">
        <is>
          <t>Tahwa "ING" MALANG</t>
        </is>
      </c>
      <c r="C181" s="6" t="n">
        <v>14000</v>
      </c>
      <c r="D181" s="6" t="n">
        <v>-7.9487052</v>
      </c>
      <c r="E181" s="6" t="n">
        <v>112.6316768</v>
      </c>
    </row>
    <row r="182">
      <c r="A182" s="6" t="n">
        <v>181</v>
      </c>
      <c r="B182" s="6" t="inlineStr">
        <is>
          <t>Bubur Ayam AGUS</t>
        </is>
      </c>
      <c r="C182" s="6" t="n">
        <v>70000</v>
      </c>
      <c r="D182" s="6" t="n">
        <v>-7.9706239</v>
      </c>
      <c r="E182" s="6" t="n">
        <v>112.6163361</v>
      </c>
    </row>
    <row r="183">
      <c r="A183" s="6" t="n">
        <v>182</v>
      </c>
      <c r="B183" s="6" t="inlineStr">
        <is>
          <t>Mie Gacoan Stasiun Kota Malang</t>
        </is>
      </c>
      <c r="C183" s="6" t="n">
        <v>14500</v>
      </c>
      <c r="D183" s="6" t="n">
        <v>-7.975803</v>
      </c>
      <c r="E183" s="6" t="n">
        <v>112.6364057</v>
      </c>
    </row>
    <row r="184">
      <c r="A184" s="6" t="n">
        <v>183</v>
      </c>
      <c r="B184" s="6" t="inlineStr">
        <is>
          <t>Nasi Gendut Malang</t>
        </is>
      </c>
      <c r="C184" s="6" t="n">
        <v>25000</v>
      </c>
      <c r="D184" s="6" t="n">
        <v>-7.9477094</v>
      </c>
      <c r="E184" s="6" t="n">
        <v>112.6248006</v>
      </c>
    </row>
    <row r="185">
      <c r="A185" s="6" t="n">
        <v>184</v>
      </c>
      <c r="B185" s="6" t="inlineStr">
        <is>
          <t>Hot Cui Mie MOG l Since 2000</t>
        </is>
      </c>
      <c r="C185" s="6" t="n">
        <v>64500</v>
      </c>
      <c r="D185" s="6" t="n">
        <v>-7.9773276</v>
      </c>
      <c r="E185" s="6" t="n">
        <v>112.6240139</v>
      </c>
    </row>
    <row r="186">
      <c r="A186" s="6" t="n">
        <v>185</v>
      </c>
      <c r="B186" s="6" t="inlineStr">
        <is>
          <t>Bakmi Jawa Mbah Sri</t>
        </is>
      </c>
      <c r="C186" s="6" t="n">
        <v>37000</v>
      </c>
      <c r="D186" s="6" t="n">
        <v>-7.9514537</v>
      </c>
      <c r="E186" s="6" t="n">
        <v>112.6227034</v>
      </c>
    </row>
    <row r="187">
      <c r="A187" s="6" t="n">
        <v>186</v>
      </c>
      <c r="B187" s="6" t="inlineStr">
        <is>
          <t>Warung Makan Dan Jajanan Poharin</t>
        </is>
      </c>
      <c r="C187" s="6" t="n">
        <v>23000</v>
      </c>
      <c r="D187" s="6" t="n">
        <v>-7.960751</v>
      </c>
      <c r="E187" s="6" t="n">
        <v>112.6061549</v>
      </c>
    </row>
    <row r="188">
      <c r="A188" s="6" t="n">
        <v>187</v>
      </c>
      <c r="B188" s="6" t="inlineStr">
        <is>
          <t>Bikang Mekar Sari Sawojajar</t>
        </is>
      </c>
      <c r="C188" s="6" t="n">
        <v>15500</v>
      </c>
      <c r="D188" s="6" t="n">
        <v>-7.9756018</v>
      </c>
      <c r="E188" s="6" t="n">
        <v>112.662081</v>
      </c>
    </row>
    <row r="189">
      <c r="A189" s="6" t="n">
        <v>188</v>
      </c>
      <c r="B189" s="6" t="inlineStr">
        <is>
          <t>Jajan Sunda</t>
        </is>
      </c>
      <c r="C189" s="6" t="n">
        <v>23000</v>
      </c>
      <c r="D189" s="6" t="n">
        <v>-7.9775106</v>
      </c>
      <c r="E189" s="6" t="n">
        <v>112.6590938</v>
      </c>
    </row>
    <row r="190">
      <c r="A190" s="6" t="n">
        <v>189</v>
      </c>
      <c r="B190" s="6" t="inlineStr">
        <is>
          <t>Primasari Terang Bulan</t>
        </is>
      </c>
      <c r="C190" s="6" t="n">
        <v>57000</v>
      </c>
      <c r="D190" s="6" t="n">
        <v>-7.9250553</v>
      </c>
      <c r="E190" s="6" t="n">
        <v>112.6372386</v>
      </c>
    </row>
    <row r="191">
      <c r="A191" s="6" t="n">
        <v>190</v>
      </c>
      <c r="B191" s="6" t="inlineStr">
        <is>
          <t>Cwi Mie Isor Uwit</t>
        </is>
      </c>
      <c r="C191" s="6" t="n">
        <v>100000</v>
      </c>
      <c r="D191" s="6" t="n">
        <v>-7.9680562</v>
      </c>
      <c r="E191" s="6" t="n">
        <v>112.6265966</v>
      </c>
    </row>
    <row r="192">
      <c r="A192" s="6" t="n">
        <v>191</v>
      </c>
      <c r="B192" s="6" t="inlineStr">
        <is>
          <t>Bakso Priangan Mang Yayat</t>
        </is>
      </c>
      <c r="C192" s="6" t="n">
        <v>36400</v>
      </c>
      <c r="D192" s="6" t="n">
        <v>-7.9740551</v>
      </c>
      <c r="E192" s="6" t="n">
        <v>112.636535</v>
      </c>
    </row>
    <row r="193">
      <c r="A193" s="6" t="n">
        <v>192</v>
      </c>
      <c r="B193" s="6" t="inlineStr">
        <is>
          <t>Warung Legendaris</t>
        </is>
      </c>
      <c r="C193" s="6" t="n">
        <v>32500</v>
      </c>
      <c r="D193" s="6" t="n">
        <v>-8.0102703</v>
      </c>
      <c r="E193" s="6" t="n">
        <v>112.6307784</v>
      </c>
    </row>
    <row r="194">
      <c r="A194" s="6" t="n">
        <v>193</v>
      </c>
      <c r="B194" s="6" t="inlineStr">
        <is>
          <t>Warung Tressel</t>
        </is>
      </c>
      <c r="C194" s="6" t="n">
        <v>19000</v>
      </c>
      <c r="D194" s="6" t="n">
        <v>-7.9642029</v>
      </c>
      <c r="E194" s="6" t="n">
        <v>112.6320515</v>
      </c>
    </row>
    <row r="195">
      <c r="A195" s="6" t="n">
        <v>194</v>
      </c>
      <c r="B195" s="6" t="inlineStr">
        <is>
          <t>Dialoogi Signature Restaurant Malang</t>
        </is>
      </c>
      <c r="C195" s="6" t="n">
        <v>250000</v>
      </c>
      <c r="D195" s="6" t="n">
        <v>-7.960162</v>
      </c>
      <c r="E195" s="6" t="n">
        <v>112.622335</v>
      </c>
    </row>
    <row r="196">
      <c r="A196" s="6" t="n">
        <v>195</v>
      </c>
      <c r="B196" s="6" t="inlineStr">
        <is>
          <t>Rujak manis semeru</t>
        </is>
      </c>
      <c r="C196" s="6" t="n">
        <v>37000</v>
      </c>
      <c r="D196" s="6" t="n">
        <v>-7.9740926</v>
      </c>
      <c r="E196" s="6" t="n">
        <v>112.6171005</v>
      </c>
    </row>
    <row r="197">
      <c r="A197" s="6" t="n">
        <v>196</v>
      </c>
      <c r="B197" s="6" t="inlineStr">
        <is>
          <t>Bakso Bakar Pahlawan Trip (BABATRIP)</t>
        </is>
      </c>
      <c r="C197" s="6" t="n">
        <v>50000</v>
      </c>
      <c r="D197" s="6" t="n">
        <v>-7.9683174</v>
      </c>
      <c r="E197" s="6" t="n">
        <v>112.6221902</v>
      </c>
    </row>
    <row r="198">
      <c r="A198" s="6" t="n">
        <v>197</v>
      </c>
      <c r="B198" s="6" t="inlineStr">
        <is>
          <t>Elinor Coffee and Eatery</t>
        </is>
      </c>
      <c r="C198" s="6" t="n">
        <v>39600</v>
      </c>
      <c r="D198" s="6" t="n">
        <v>-7.9049375</v>
      </c>
      <c r="E198" s="6" t="n">
        <v>112.5713441</v>
      </c>
    </row>
    <row r="199">
      <c r="A199" s="6" t="n">
        <v>198</v>
      </c>
      <c r="B199" s="6" t="inlineStr">
        <is>
          <t>Amstirdam Coffee &amp; Roastery</t>
        </is>
      </c>
      <c r="C199" s="6" t="n">
        <v>250000</v>
      </c>
      <c r="D199" s="6" t="n">
        <v>-7.9401773</v>
      </c>
      <c r="E199" s="6" t="n">
        <v>112.6321863</v>
      </c>
    </row>
    <row r="200">
      <c r="A200" s="6" t="n">
        <v>199</v>
      </c>
      <c r="B200" s="6" t="inlineStr">
        <is>
          <t>Hindia Koffie En Eaten</t>
        </is>
      </c>
      <c r="C200" s="6" t="n">
        <v>73000</v>
      </c>
      <c r="D200" s="6" t="n">
        <v>-7.9639094</v>
      </c>
      <c r="E200" s="6" t="n">
        <v>112.6220598</v>
      </c>
    </row>
    <row r="201">
      <c r="A201" s="6" t="n">
        <v>200</v>
      </c>
      <c r="B201" s="6" t="inlineStr">
        <is>
          <t>Malbourne Coffee Co</t>
        </is>
      </c>
      <c r="C201" s="6" t="n">
        <v>66000</v>
      </c>
      <c r="D201" s="6" t="n">
        <v>-7.9498201</v>
      </c>
      <c r="E201" s="6" t="n">
        <v>112.6388059</v>
      </c>
    </row>
    <row r="202">
      <c r="A202" s="6" t="n">
        <v>201</v>
      </c>
      <c r="B202" s="6" t="inlineStr">
        <is>
          <t>11:12 sebelasduabelaskopi</t>
        </is>
      </c>
      <c r="C202" s="6" t="n">
        <v>99000</v>
      </c>
      <c r="D202" s="6" t="n">
        <v>-7.9374224</v>
      </c>
      <c r="E202" s="6" t="n">
        <v>112.6250887</v>
      </c>
    </row>
    <row r="203">
      <c r="A203" s="6" t="n">
        <v>202</v>
      </c>
      <c r="B203" s="6" t="inlineStr">
        <is>
          <t>Niwa Garden</t>
        </is>
      </c>
      <c r="C203" s="6" t="n">
        <v>30000</v>
      </c>
      <c r="D203" s="6" t="n">
        <v>-7.9522957</v>
      </c>
      <c r="E203" s="6" t="n">
        <v>112.6354751</v>
      </c>
    </row>
    <row r="204">
      <c r="A204" s="6" t="n">
        <v>203</v>
      </c>
      <c r="B204" s="6" t="inlineStr">
        <is>
          <t>Distrik Coffee Roaster</t>
        </is>
      </c>
      <c r="C204" s="6" t="n">
        <v>12000</v>
      </c>
      <c r="D204" s="6" t="n">
        <v>-7.9490868</v>
      </c>
      <c r="E204" s="6" t="n">
        <v>112.632005</v>
      </c>
    </row>
    <row r="205">
      <c r="A205" s="6" t="n">
        <v>204</v>
      </c>
      <c r="B205" s="6" t="inlineStr">
        <is>
          <t>TOKO KOPI KOOPEN</t>
        </is>
      </c>
      <c r="C205" s="6" t="n">
        <v>20000</v>
      </c>
      <c r="D205" s="6" t="n">
        <v>-7.9735484</v>
      </c>
      <c r="E205" s="6" t="n">
        <v>112.6367135</v>
      </c>
    </row>
    <row r="206">
      <c r="A206" s="6" t="n">
        <v>205</v>
      </c>
      <c r="B206" s="6" t="inlineStr">
        <is>
          <t>Toko Kopi TUKU - Malang</t>
        </is>
      </c>
      <c r="C206" s="6" t="n">
        <v>225000</v>
      </c>
      <c r="D206" s="6" t="n">
        <v>-7.9672699</v>
      </c>
      <c r="E206" s="6" t="n">
        <v>112.6156149</v>
      </c>
    </row>
    <row r="207">
      <c r="A207" s="6" t="n">
        <v>206</v>
      </c>
      <c r="B207" s="6" t="inlineStr">
        <is>
          <t>Kopi tuju</t>
        </is>
      </c>
      <c r="C207" s="6" t="n">
        <v>28000</v>
      </c>
      <c r="D207" s="6" t="n">
        <v>-7.9857157</v>
      </c>
      <c r="E207" s="6" t="n">
        <v>112.6309564</v>
      </c>
    </row>
    <row r="208">
      <c r="A208" s="6" t="n">
        <v>207</v>
      </c>
      <c r="B208" s="6" t="inlineStr">
        <is>
          <t>CW Coffee &amp; Eatery - Simpang Ijen</t>
        </is>
      </c>
      <c r="C208" s="6" t="n">
        <v>109500</v>
      </c>
      <c r="D208" s="6" t="n">
        <v>-7.9657766</v>
      </c>
      <c r="E208" s="6" t="n">
        <v>112.6202307</v>
      </c>
    </row>
    <row r="209">
      <c r="A209" s="6" t="n">
        <v>208</v>
      </c>
      <c r="B209" s="6" t="inlineStr">
        <is>
          <t>Tematik Coffee Bar HQ</t>
        </is>
      </c>
      <c r="C209" s="6" t="n">
        <v>49400</v>
      </c>
      <c r="D209" s="6" t="n">
        <v>-7.9929368</v>
      </c>
      <c r="E209" s="6" t="n">
        <v>112.6241608</v>
      </c>
    </row>
    <row r="210">
      <c r="A210" s="6" t="n">
        <v>209</v>
      </c>
      <c r="B210" s="6" t="inlineStr">
        <is>
          <t>JOKOPI - Malang</t>
        </is>
      </c>
      <c r="C210" s="6" t="n">
        <v>156000</v>
      </c>
      <c r="D210" s="6" t="n">
        <v>-7.9629648</v>
      </c>
      <c r="E210" s="6" t="n">
        <v>112.6226969</v>
      </c>
    </row>
    <row r="211">
      <c r="A211" s="6" t="n">
        <v>210</v>
      </c>
      <c r="B211" s="6" t="inlineStr">
        <is>
          <t>Cale Cafe Malang</t>
        </is>
      </c>
      <c r="C211" s="6" t="n">
        <v>120000</v>
      </c>
      <c r="D211" s="6" t="n">
        <v>-7.9734226</v>
      </c>
      <c r="E211" s="6" t="n">
        <v>112.6680828</v>
      </c>
    </row>
    <row r="212">
      <c r="A212" s="6" t="n">
        <v>211</v>
      </c>
      <c r="B212" s="6" t="inlineStr">
        <is>
          <t>Labore coffee eatery</t>
        </is>
      </c>
      <c r="C212" s="6" t="n">
        <v>64800</v>
      </c>
      <c r="D212" s="6" t="n">
        <v>-7.9392489</v>
      </c>
      <c r="E212" s="6" t="n">
        <v>112.6306143</v>
      </c>
    </row>
    <row r="213">
      <c r="A213" s="6" t="n">
        <v>212</v>
      </c>
      <c r="B213" s="6" t="inlineStr">
        <is>
          <t>Roketto Coffee &amp; Co</t>
        </is>
      </c>
      <c r="C213" s="6" t="n">
        <v>44400</v>
      </c>
      <c r="D213" s="6" t="n">
        <v>-7.9465495</v>
      </c>
      <c r="E213" s="6" t="n">
        <v>112.6258067</v>
      </c>
    </row>
    <row r="214">
      <c r="A214" s="6" t="n">
        <v>213</v>
      </c>
      <c r="B214" s="6" t="inlineStr">
        <is>
          <t>Kopi Handall</t>
        </is>
      </c>
      <c r="C214" s="6" t="n">
        <v>173750</v>
      </c>
      <c r="D214" s="6" t="n">
        <v>-7.947581</v>
      </c>
      <c r="E214" s="6" t="n">
        <v>112.6203695</v>
      </c>
    </row>
    <row r="215">
      <c r="A215" s="6" t="n">
        <v>214</v>
      </c>
      <c r="B215" s="6" t="inlineStr">
        <is>
          <t>Lataroma</t>
        </is>
      </c>
      <c r="C215" s="6" t="n">
        <v>12000</v>
      </c>
      <c r="D215" s="6" t="n">
        <v>-7.942929</v>
      </c>
      <c r="E215" s="6" t="n">
        <v>112.5852973</v>
      </c>
    </row>
    <row r="216">
      <c r="A216" s="6" t="n">
        <v>215</v>
      </c>
      <c r="B216" s="6" t="inlineStr">
        <is>
          <t>Baratimur Kopi</t>
        </is>
      </c>
      <c r="C216" s="6" t="n">
        <v>198000</v>
      </c>
      <c r="D216" s="6" t="n">
        <v>-7.960235</v>
      </c>
      <c r="E216" s="6" t="n">
        <v>112.6347713</v>
      </c>
    </row>
    <row r="217">
      <c r="A217" s="6" t="n">
        <v>216</v>
      </c>
      <c r="B217" s="6" t="inlineStr">
        <is>
          <t>Dialoogi Space &amp; Coffee</t>
        </is>
      </c>
      <c r="C217" s="6" t="n">
        <v>45600</v>
      </c>
      <c r="D217" s="6" t="n">
        <v>-7.9402221</v>
      </c>
      <c r="E217" s="6" t="n">
        <v>112.6237769</v>
      </c>
    </row>
    <row r="218">
      <c r="A218" s="6" t="n">
        <v>217</v>
      </c>
      <c r="B218" s="6" t="inlineStr">
        <is>
          <t>Toko Kopi Abah</t>
        </is>
      </c>
      <c r="C218" s="6" t="n">
        <v>20000</v>
      </c>
      <c r="D218" s="6" t="n">
        <v>-7.9727486</v>
      </c>
      <c r="E218" s="6" t="n">
        <v>112.6367082</v>
      </c>
    </row>
    <row r="219">
      <c r="A219" s="6" t="n">
        <v>218</v>
      </c>
      <c r="B219" s="6" t="inlineStr">
        <is>
          <t>GOLDEN HERITAGE KOFFIE</t>
        </is>
      </c>
      <c r="C219" s="6" t="n">
        <v>99000</v>
      </c>
      <c r="D219" s="6" t="n">
        <v>-7.9657391</v>
      </c>
      <c r="E219" s="6" t="n">
        <v>112.6087291</v>
      </c>
    </row>
    <row r="220">
      <c r="A220" s="6" t="n">
        <v>219</v>
      </c>
      <c r="B220" s="6" t="inlineStr">
        <is>
          <t>Ruang Rindu Kopi</t>
        </is>
      </c>
      <c r="C220" s="6" t="n">
        <v>85000</v>
      </c>
      <c r="D220" s="6" t="n">
        <v>-7.9451334</v>
      </c>
      <c r="E220" s="6" t="n">
        <v>112.6120065</v>
      </c>
    </row>
    <row r="221">
      <c r="A221" s="6" t="n">
        <v>220</v>
      </c>
      <c r="B221" s="6" t="inlineStr">
        <is>
          <t>Ada Apa Dengan Kopi (AADK) Bandung Malang - Coffee &amp; Eatery</t>
        </is>
      </c>
      <c r="C221" s="6" t="n">
        <v>48000</v>
      </c>
      <c r="D221" s="6" t="n">
        <v>-7.9607566</v>
      </c>
      <c r="E221" s="6" t="n">
        <v>112.62299</v>
      </c>
    </row>
    <row r="222">
      <c r="A222" s="6" t="n">
        <v>221</v>
      </c>
      <c r="B222" s="6" t="inlineStr">
        <is>
          <t>Sorai Kedai Kopi &amp; Teh</t>
        </is>
      </c>
      <c r="C222" s="6" t="n">
        <v>22500</v>
      </c>
      <c r="D222" s="6" t="n">
        <v>-7.9628407</v>
      </c>
      <c r="E222" s="6" t="n">
        <v>112.6368217</v>
      </c>
    </row>
    <row r="223">
      <c r="A223" s="6" t="n">
        <v>222</v>
      </c>
      <c r="B223" s="6" t="inlineStr">
        <is>
          <t>Baja</t>
        </is>
      </c>
      <c r="C223" s="6" t="n">
        <v>70000</v>
      </c>
      <c r="D223" s="6" t="n">
        <v>-7.9476346</v>
      </c>
      <c r="E223" s="6" t="n">
        <v>112.6419965</v>
      </c>
    </row>
    <row r="224">
      <c r="A224" s="6" t="n">
        <v>223</v>
      </c>
      <c r="B224" s="6" t="inlineStr">
        <is>
          <t>Eight Ounces</t>
        </is>
      </c>
      <c r="C224" s="6" t="n">
        <v>52000</v>
      </c>
      <c r="D224" s="6" t="n">
        <v>-7.9570712</v>
      </c>
      <c r="E224" s="6" t="n">
        <v>112.6433178</v>
      </c>
    </row>
    <row r="225">
      <c r="A225" s="6" t="n">
        <v>224</v>
      </c>
      <c r="B225" s="6" t="inlineStr">
        <is>
          <t>KOPI STUDIO 24 SARANGAN</t>
        </is>
      </c>
      <c r="C225" s="6" t="n">
        <v>60000</v>
      </c>
      <c r="D225" s="6" t="n">
        <v>-7.9601586</v>
      </c>
      <c r="E225" s="6" t="n">
        <v>112.6329195</v>
      </c>
    </row>
    <row r="226">
      <c r="A226" s="6" t="n">
        <v>225</v>
      </c>
      <c r="B226" s="6" t="inlineStr">
        <is>
          <t>Sejenak Coffee</t>
        </is>
      </c>
      <c r="C226" s="6" t="n">
        <v>35000</v>
      </c>
      <c r="D226" s="6" t="n">
        <v>-7.9494825</v>
      </c>
      <c r="E226" s="6" t="n">
        <v>112.6247244</v>
      </c>
    </row>
    <row r="227">
      <c r="A227" s="6" t="n">
        <v>226</v>
      </c>
      <c r="B227" s="6" t="inlineStr">
        <is>
          <t>Kopi Studio 24</t>
        </is>
      </c>
      <c r="C227" s="6" t="n">
        <v>60000</v>
      </c>
      <c r="D227" s="6" t="n">
        <v>-7.9468286</v>
      </c>
      <c r="E227" s="6" t="n">
        <v>112.6179213</v>
      </c>
    </row>
    <row r="228">
      <c r="A228" s="6" t="n">
        <v>227</v>
      </c>
      <c r="B228" s="6" t="inlineStr">
        <is>
          <t>Kotäsk Kaffe Co.</t>
        </is>
      </c>
      <c r="C228" s="6" t="n">
        <v>180000</v>
      </c>
      <c r="D228" s="6" t="n">
        <v>-7.9755645</v>
      </c>
      <c r="E228" s="6" t="n">
        <v>112.6125007</v>
      </c>
    </row>
    <row r="229">
      <c r="A229" s="6" t="n">
        <v>228</v>
      </c>
      <c r="B229" s="6" t="inlineStr">
        <is>
          <t>Vosco Coffee</t>
        </is>
      </c>
      <c r="C229" s="6" t="n">
        <v>62000</v>
      </c>
      <c r="D229" s="6" t="n">
        <v>-7.940185</v>
      </c>
      <c r="E229" s="6" t="n">
        <v>112.637716</v>
      </c>
    </row>
    <row r="230">
      <c r="A230" s="6" t="n">
        <v>229</v>
      </c>
      <c r="B230" s="6" t="inlineStr">
        <is>
          <t>NARA Coffee</t>
        </is>
      </c>
      <c r="C230" s="6" t="n">
        <v>43000</v>
      </c>
      <c r="D230" s="6" t="n">
        <v>-7.9533283</v>
      </c>
      <c r="E230" s="6" t="n">
        <v>112.5644515</v>
      </c>
    </row>
    <row r="231">
      <c r="A231" s="6" t="n">
        <v>230</v>
      </c>
      <c r="B231" s="6" t="inlineStr">
        <is>
          <t>Katamichi Coffee</t>
        </is>
      </c>
      <c r="C231" s="6" t="n">
        <v>55000</v>
      </c>
      <c r="D231" s="6" t="n">
        <v>-7.9679301</v>
      </c>
      <c r="E231" s="6" t="n">
        <v>112.6288818</v>
      </c>
    </row>
    <row r="232">
      <c r="A232" s="6" t="n">
        <v>231</v>
      </c>
      <c r="B232" s="6" t="inlineStr">
        <is>
          <t>Klodjen Djaja 1956</t>
        </is>
      </c>
      <c r="C232" s="6" t="n">
        <v>24000</v>
      </c>
      <c r="D232" s="6" t="n">
        <v>-7.9732172</v>
      </c>
      <c r="E232" s="6" t="n">
        <v>112.6368377</v>
      </c>
    </row>
    <row r="233">
      <c r="A233" s="6" t="n">
        <v>232</v>
      </c>
      <c r="B233" s="6" t="inlineStr">
        <is>
          <t>Equal Coffee Roastery</t>
        </is>
      </c>
      <c r="C233" s="6" t="n">
        <v>40000</v>
      </c>
      <c r="D233" s="6" t="n">
        <v>-7.924035</v>
      </c>
      <c r="E233" s="6" t="n">
        <v>112.5839582</v>
      </c>
    </row>
    <row r="234">
      <c r="A234" s="6" t="n">
        <v>233</v>
      </c>
      <c r="B234" s="6" t="inlineStr">
        <is>
          <t>Toko Kopi Jaya, Soehat</t>
        </is>
      </c>
      <c r="C234" s="6" t="n">
        <v>98000</v>
      </c>
      <c r="D234" s="6" t="n">
        <v>-7.9353421</v>
      </c>
      <c r="E234" s="6" t="n">
        <v>112.6238145</v>
      </c>
    </row>
    <row r="235">
      <c r="A235" s="6" t="n">
        <v>234</v>
      </c>
      <c r="B235" s="6" t="inlineStr">
        <is>
          <t>Foursense Coffee</t>
        </is>
      </c>
      <c r="C235" s="6" t="n">
        <v>44000</v>
      </c>
      <c r="D235" s="6" t="n">
        <v>-7.9631342</v>
      </c>
      <c r="E235" s="6" t="n">
        <v>112.6326078</v>
      </c>
    </row>
    <row r="236">
      <c r="A236" s="6" t="n">
        <v>235</v>
      </c>
      <c r="B236" s="6" t="inlineStr">
        <is>
          <t>Toko Kopi Makmur (Malang)</t>
        </is>
      </c>
      <c r="C236" s="6" t="n">
        <v>18000</v>
      </c>
      <c r="D236" s="6" t="n">
        <v>-7.9456569</v>
      </c>
      <c r="E236" s="6" t="n">
        <v>112.6208499</v>
      </c>
    </row>
    <row r="237">
      <c r="A237" s="6" t="n">
        <v>236</v>
      </c>
      <c r="B237" s="6" t="inlineStr">
        <is>
          <t>Tilik Kawan Cafe and Eatery</t>
        </is>
      </c>
      <c r="C237" s="6" t="n">
        <v>31250</v>
      </c>
      <c r="D237" s="6" t="n">
        <v>-7.9764022</v>
      </c>
      <c r="E237" s="6" t="n">
        <v>112.6816867</v>
      </c>
    </row>
    <row r="238">
      <c r="A238" s="6" t="n">
        <v>237</v>
      </c>
      <c r="B238" s="6" t="inlineStr">
        <is>
          <t>Bureau Coffee &amp; Dine</t>
        </is>
      </c>
      <c r="C238" s="6" t="n">
        <v>198000</v>
      </c>
      <c r="D238" s="6" t="n">
        <v>-7.9406969</v>
      </c>
      <c r="E238" s="6" t="n">
        <v>112.6233112</v>
      </c>
    </row>
    <row r="239">
      <c r="A239" s="6" t="n">
        <v>238</v>
      </c>
      <c r="B239" s="6" t="inlineStr">
        <is>
          <t>Apresio Kopi</t>
        </is>
      </c>
      <c r="C239" s="6" t="n">
        <v>22000</v>
      </c>
      <c r="D239" s="6" t="n">
        <v>-7.945527</v>
      </c>
      <c r="E239" s="6" t="n">
        <v>112.612347</v>
      </c>
    </row>
    <row r="240">
      <c r="A240" s="6" t="n">
        <v>239</v>
      </c>
      <c r="B240" s="6" t="inlineStr">
        <is>
          <t>Toko kopi ong</t>
        </is>
      </c>
      <c r="C240" s="6" t="n">
        <v>25000</v>
      </c>
      <c r="D240" s="6" t="n">
        <v>-7.9512287</v>
      </c>
      <c r="E240" s="6" t="n">
        <v>112.6409309</v>
      </c>
    </row>
    <row r="241">
      <c r="A241" s="6" t="n">
        <v>240</v>
      </c>
      <c r="B241" s="6" t="inlineStr">
        <is>
          <t>Kopi Langit Tuju</t>
        </is>
      </c>
      <c r="C241" s="6" t="n">
        <v>28000</v>
      </c>
      <c r="D241" s="6" t="n">
        <v>-8.001571999999999</v>
      </c>
      <c r="E241" s="6" t="n">
        <v>112.6224141</v>
      </c>
    </row>
    <row r="242">
      <c r="A242" s="6" t="n">
        <v>241</v>
      </c>
      <c r="B242" s="6" t="inlineStr">
        <is>
          <t>Tumbazz Kopi Malang</t>
        </is>
      </c>
      <c r="C242" s="6" t="n">
        <v>31000</v>
      </c>
      <c r="D242" s="6" t="n">
        <v>-7.9724629</v>
      </c>
      <c r="E242" s="6" t="n">
        <v>112.6171911</v>
      </c>
    </row>
    <row r="243">
      <c r="A243" s="6" t="n">
        <v>242</v>
      </c>
      <c r="B243" s="6" t="inlineStr">
        <is>
          <t>Java Dancer Coffee - Jakarta</t>
        </is>
      </c>
      <c r="C243" s="6" t="n">
        <v>150000</v>
      </c>
      <c r="D243" s="6" t="n">
        <v>-7.9654235</v>
      </c>
      <c r="E243" s="6" t="n">
        <v>112.6204469</v>
      </c>
    </row>
    <row r="244">
      <c r="A244" s="6" t="n">
        <v>243</v>
      </c>
      <c r="B244" s="6" t="inlineStr">
        <is>
          <t>Omah Semeru (Toko Kopi)</t>
        </is>
      </c>
      <c r="C244" s="6" t="n">
        <v>20800</v>
      </c>
      <c r="D244" s="6" t="n">
        <v>-7.9779318</v>
      </c>
      <c r="E244" s="6" t="n">
        <v>112.6283844</v>
      </c>
    </row>
    <row r="245">
      <c r="A245" s="6" t="n">
        <v>244</v>
      </c>
      <c r="B245" s="6" t="inlineStr">
        <is>
          <t>Kopi Jokotole</t>
        </is>
      </c>
      <c r="C245" s="6" t="n">
        <v>24000</v>
      </c>
      <c r="D245" s="6" t="n">
        <v>-7.9541526</v>
      </c>
      <c r="E245" s="6" t="n">
        <v>112.6072078</v>
      </c>
    </row>
    <row r="246">
      <c r="A246" s="6" t="n">
        <v>245</v>
      </c>
      <c r="B246" s="6" t="inlineStr">
        <is>
          <t>Toko Kopi Sumber Rejeki Malang</t>
        </is>
      </c>
      <c r="C246" s="6" t="n">
        <v>78000</v>
      </c>
      <c r="D246" s="6" t="n">
        <v>-7.9778812</v>
      </c>
      <c r="E246" s="6" t="n">
        <v>112.62919</v>
      </c>
    </row>
    <row r="247">
      <c r="A247" s="6" t="n">
        <v>246</v>
      </c>
      <c r="B247" s="6" t="inlineStr">
        <is>
          <t>Arah Coffee Gunungan Malang</t>
        </is>
      </c>
      <c r="C247" s="6" t="n">
        <v>418000</v>
      </c>
      <c r="D247" s="6" t="n">
        <v>-7.9712946</v>
      </c>
      <c r="E247" s="6" t="n">
        <v>112.6250533</v>
      </c>
    </row>
    <row r="248">
      <c r="A248" s="6" t="n">
        <v>247</v>
      </c>
      <c r="B248" s="6" t="inlineStr">
        <is>
          <t>toko kopi jaya, klojen</t>
        </is>
      </c>
      <c r="C248" s="6" t="n">
        <v>45000</v>
      </c>
      <c r="D248" s="6" t="n">
        <v>-7.9756</v>
      </c>
      <c r="E248" s="6" t="n">
        <v>112.6366136</v>
      </c>
    </row>
    <row r="249">
      <c r="A249" s="6" t="n">
        <v>248</v>
      </c>
      <c r="B249" s="6" t="inlineStr">
        <is>
          <t>Kopi 1922</t>
        </is>
      </c>
      <c r="C249" s="6" t="n">
        <v>30000</v>
      </c>
      <c r="D249" s="6" t="n">
        <v>-7.9772711</v>
      </c>
      <c r="E249" s="6" t="n">
        <v>112.6276659</v>
      </c>
    </row>
    <row r="250">
      <c r="A250" s="6" t="n">
        <v>249</v>
      </c>
      <c r="B250" s="6" t="inlineStr">
        <is>
          <t>Zocco Heritage</t>
        </is>
      </c>
      <c r="C250" s="6" t="n">
        <v>74000</v>
      </c>
      <c r="D250" s="6" t="n">
        <v>-7.9675614</v>
      </c>
      <c r="E250" s="6" t="n">
        <v>112.6333456</v>
      </c>
    </row>
    <row r="251">
      <c r="A251" s="6" t="n">
        <v>250</v>
      </c>
      <c r="B251" s="6" t="inlineStr">
        <is>
          <t>Rodjo.Kopi</t>
        </is>
      </c>
      <c r="C251" s="6" t="n">
        <v>17000</v>
      </c>
      <c r="D251" s="6" t="n">
        <v>-7.9626916</v>
      </c>
      <c r="E251" s="6" t="n">
        <v>112.6368764</v>
      </c>
    </row>
    <row r="252">
      <c r="A252" s="6" t="n">
        <v>251</v>
      </c>
      <c r="B252" s="6" t="inlineStr">
        <is>
          <t>Toko Kopi Jaya, Ijen</t>
        </is>
      </c>
      <c r="C252" s="6" t="n">
        <v>62000</v>
      </c>
      <c r="D252" s="6" t="n">
        <v>-7.9695022</v>
      </c>
      <c r="E252" s="6" t="n">
        <v>112.6241142</v>
      </c>
    </row>
    <row r="253">
      <c r="A253" s="6" t="n">
        <v>252</v>
      </c>
      <c r="B253" s="6" t="inlineStr">
        <is>
          <t>Gartenhaus Co</t>
        </is>
      </c>
      <c r="C253" s="6" t="n">
        <v>45000</v>
      </c>
      <c r="D253" s="6" t="n">
        <v>-7.9352124</v>
      </c>
      <c r="E253" s="6" t="n">
        <v>112.6119441</v>
      </c>
    </row>
    <row r="254">
      <c r="A254" s="6" t="n">
        <v>253</v>
      </c>
      <c r="B254" s="6" t="inlineStr">
        <is>
          <t>Simpang Luwe Cafe &amp; Resto</t>
        </is>
      </c>
      <c r="C254" s="6" t="n">
        <v>121000</v>
      </c>
      <c r="D254" s="6" t="n">
        <v>-7.9644613</v>
      </c>
      <c r="E254" s="6" t="n">
        <v>112.6352943</v>
      </c>
    </row>
    <row r="255">
      <c r="A255" s="6" t="n">
        <v>254</v>
      </c>
      <c r="B255" s="6" t="inlineStr">
        <is>
          <t>The Arbanat Kitchen Cafe Lounge</t>
        </is>
      </c>
      <c r="C255" s="6" t="n">
        <v>310200</v>
      </c>
      <c r="D255" s="6" t="n">
        <v>-7.9721959</v>
      </c>
      <c r="E255" s="6" t="n">
        <v>112.6071336</v>
      </c>
    </row>
    <row r="256">
      <c r="A256" s="6" t="n">
        <v>255</v>
      </c>
      <c r="B256" s="6" t="inlineStr">
        <is>
          <t>critasena</t>
        </is>
      </c>
      <c r="C256" s="6" t="n">
        <v>87780</v>
      </c>
      <c r="D256" s="6" t="n">
        <v>-7.9758078</v>
      </c>
      <c r="E256" s="6" t="n">
        <v>112.6316331</v>
      </c>
    </row>
    <row r="257">
      <c r="A257" s="6" t="n">
        <v>256</v>
      </c>
      <c r="B257" s="6" t="inlineStr">
        <is>
          <t>Koat Kopi Malang</t>
        </is>
      </c>
      <c r="C257" s="6" t="n">
        <v>41600</v>
      </c>
      <c r="D257" s="6" t="n">
        <v>-7.9512165</v>
      </c>
      <c r="E257" s="6" t="n">
        <v>112.6059918</v>
      </c>
    </row>
    <row r="258">
      <c r="A258" s="6" t="n">
        <v>257</v>
      </c>
      <c r="B258" s="6" t="inlineStr">
        <is>
          <t>BARAKA.MALANG</t>
        </is>
      </c>
      <c r="C258" s="6" t="n">
        <v>20500</v>
      </c>
      <c r="D258" s="6" t="n">
        <v>-7.9626665</v>
      </c>
      <c r="E258" s="6" t="n">
        <v>112.6315188</v>
      </c>
    </row>
    <row r="259">
      <c r="A259" s="6" t="n">
        <v>258</v>
      </c>
      <c r="B259" s="6" t="inlineStr">
        <is>
          <t>Semusim Cafe</t>
        </is>
      </c>
      <c r="C259" s="6" t="n">
        <v>63900</v>
      </c>
      <c r="D259" s="6" t="n">
        <v>-7.9471786</v>
      </c>
      <c r="E259" s="6" t="n">
        <v>112.6134383</v>
      </c>
    </row>
    <row r="260">
      <c r="A260" s="6" t="n">
        <v>259</v>
      </c>
      <c r="B260" s="6" t="inlineStr">
        <is>
          <t>Kopi Wojo Malang</t>
        </is>
      </c>
      <c r="C260" s="6" t="n">
        <v>30000</v>
      </c>
      <c r="D260" s="6" t="n">
        <v>-7.9789938</v>
      </c>
      <c r="E260" s="6" t="n">
        <v>112.6287977</v>
      </c>
    </row>
    <row r="261">
      <c r="A261" s="6" t="n">
        <v>260</v>
      </c>
      <c r="B261" s="6" t="inlineStr">
        <is>
          <t>Love Coffee</t>
        </is>
      </c>
      <c r="C261" s="6" t="n">
        <v>28000</v>
      </c>
      <c r="D261" s="6" t="n">
        <v>-8.037651200000001</v>
      </c>
      <c r="E261" s="6" t="n">
        <v>112.639769</v>
      </c>
    </row>
    <row r="262">
      <c r="A262" s="6" t="n">
        <v>261</v>
      </c>
      <c r="B262" s="6" t="inlineStr">
        <is>
          <t>Kopi Dampit / Toko Nava</t>
        </is>
      </c>
      <c r="C262" s="6" t="n">
        <v>6000</v>
      </c>
      <c r="D262" s="6" t="n">
        <v>-7.946182</v>
      </c>
      <c r="E262" s="6" t="n">
        <v>112.6321538</v>
      </c>
    </row>
    <row r="263">
      <c r="A263" s="6" t="n">
        <v>262</v>
      </c>
      <c r="B263" s="6" t="inlineStr">
        <is>
          <t>Kedai Kopi Omah Kayu</t>
        </is>
      </c>
      <c r="C263" s="6" t="n">
        <v>17500</v>
      </c>
      <c r="D263" s="6" t="n">
        <v>-7.9553164</v>
      </c>
      <c r="E263" s="6" t="n">
        <v>112.607666</v>
      </c>
    </row>
    <row r="264">
      <c r="A264" s="6" t="n">
        <v>263</v>
      </c>
      <c r="B264" s="6" t="inlineStr">
        <is>
          <t>kedai 90 rohani</t>
        </is>
      </c>
      <c r="C264" s="6" t="n">
        <v>42000</v>
      </c>
      <c r="D264" s="6" t="n">
        <v>-7.9599702</v>
      </c>
      <c r="E264" s="6" t="n">
        <v>112.6428413</v>
      </c>
    </row>
    <row r="265">
      <c r="A265" s="6" t="n">
        <v>264</v>
      </c>
      <c r="B265" s="6" t="inlineStr">
        <is>
          <t>Toko Kopi Sidomukti</t>
        </is>
      </c>
      <c r="C265" s="6" t="n">
        <v>10000</v>
      </c>
      <c r="D265" s="6" t="n">
        <v>-7.9855007</v>
      </c>
      <c r="E265" s="6" t="n">
        <v>112.630972</v>
      </c>
    </row>
    <row r="266">
      <c r="A266" s="6" t="n">
        <v>265</v>
      </c>
      <c r="B266" s="6" t="inlineStr">
        <is>
          <t>Kedai Kopi Kalimetro</t>
        </is>
      </c>
      <c r="C266" s="6" t="n">
        <v>74000</v>
      </c>
      <c r="D266" s="6" t="n">
        <v>-7.9494707</v>
      </c>
      <c r="E266" s="6" t="n">
        <v>112.6022691</v>
      </c>
    </row>
    <row r="267">
      <c r="A267" s="6" t="n">
        <v>266</v>
      </c>
      <c r="B267" s="6" t="inlineStr">
        <is>
          <t>Berkat Terang Jaya</t>
        </is>
      </c>
      <c r="C267" s="6" t="n">
        <v>30000</v>
      </c>
      <c r="D267" s="6" t="n">
        <v>-7.9708599</v>
      </c>
      <c r="E267" s="6" t="n">
        <v>112.631363</v>
      </c>
    </row>
    <row r="268">
      <c r="A268" s="6" t="n">
        <v>267</v>
      </c>
      <c r="B268" s="6" t="inlineStr">
        <is>
          <t>Bedjana Tiny House Coffee</t>
        </is>
      </c>
      <c r="C268" s="6" t="n">
        <v>20000</v>
      </c>
      <c r="D268" s="6" t="n">
        <v>-7.9623915</v>
      </c>
      <c r="E268" s="6" t="n">
        <v>112.629712</v>
      </c>
    </row>
    <row r="269">
      <c r="A269" s="6" t="n">
        <v>268</v>
      </c>
      <c r="B269" s="6" t="inlineStr">
        <is>
          <t>Kedai Kopi Sudah Buka</t>
        </is>
      </c>
      <c r="C269" s="6" t="n">
        <v>24000</v>
      </c>
      <c r="D269" s="6" t="n">
        <v>-7.9853351</v>
      </c>
      <c r="E269" s="6" t="n">
        <v>112.6457775</v>
      </c>
    </row>
    <row r="270">
      <c r="A270" s="6" t="n">
        <v>269</v>
      </c>
      <c r="B270" s="6" t="inlineStr">
        <is>
          <t>Fajar Baru</t>
        </is>
      </c>
      <c r="C270" s="6" t="n">
        <v>18000</v>
      </c>
      <c r="D270" s="6" t="n">
        <v>-7.968808</v>
      </c>
      <c r="E270" s="6" t="n">
        <v>112.6322146</v>
      </c>
    </row>
    <row r="271">
      <c r="A271" s="6" t="n">
        <v>270</v>
      </c>
      <c r="B271" s="6" t="inlineStr">
        <is>
          <t>WARUNG TENANG</t>
        </is>
      </c>
      <c r="C271" s="6" t="n">
        <v>16000</v>
      </c>
      <c r="D271" s="6" t="n">
        <v>-7.9769308</v>
      </c>
      <c r="E271" s="6" t="n">
        <v>112.6308016</v>
      </c>
    </row>
    <row r="272">
      <c r="A272" s="6" t="n">
        <v>271</v>
      </c>
      <c r="B272" s="6" t="inlineStr">
        <is>
          <t>OMAH KANAKOPI</t>
        </is>
      </c>
      <c r="C272" s="6" t="n">
        <v>35000</v>
      </c>
      <c r="D272" s="6" t="n">
        <v>-7.9734826</v>
      </c>
      <c r="E272" s="6" t="n">
        <v>112.6288742</v>
      </c>
    </row>
    <row r="273">
      <c r="A273" s="6" t="n">
        <v>272</v>
      </c>
      <c r="B273" s="6" t="inlineStr">
        <is>
          <t>Toko Kopi Padma Malang</t>
        </is>
      </c>
      <c r="C273" s="6" t="n">
        <v>45000</v>
      </c>
      <c r="D273" s="6" t="n">
        <v>-7.9787477</v>
      </c>
      <c r="E273" s="6" t="n">
        <v>112.6296264</v>
      </c>
    </row>
    <row r="274">
      <c r="A274" s="6" t="n">
        <v>273</v>
      </c>
      <c r="B274" s="6" t="inlineStr">
        <is>
          <t>Bento Kopi UIN Malang</t>
        </is>
      </c>
      <c r="C274" s="6" t="n">
        <v>20500</v>
      </c>
      <c r="D274" s="6" t="n">
        <v>-7.9506244</v>
      </c>
      <c r="E274" s="6" t="n">
        <v>112.6060431</v>
      </c>
    </row>
    <row r="275">
      <c r="A275" s="6" t="n">
        <v>274</v>
      </c>
      <c r="B275" s="6" t="inlineStr">
        <is>
          <t>Kedaikopi_sinarmandiri</t>
        </is>
      </c>
      <c r="C275" s="6" t="n">
        <v>54000</v>
      </c>
      <c r="D275" s="6" t="n">
        <v>-7.9500888</v>
      </c>
      <c r="E275" s="6" t="n">
        <v>112.6390988</v>
      </c>
    </row>
    <row r="276">
      <c r="A276" s="6" t="n">
        <v>275</v>
      </c>
      <c r="B276" s="6" t="inlineStr">
        <is>
          <t>Kopi Satoe Djiwa</t>
        </is>
      </c>
      <c r="C276" s="6" t="n">
        <v>20000</v>
      </c>
      <c r="D276" s="6" t="n">
        <v>-7.9626067</v>
      </c>
      <c r="E276" s="6" t="n">
        <v>112.6136177</v>
      </c>
    </row>
    <row r="277">
      <c r="A277" s="6" t="n">
        <v>276</v>
      </c>
      <c r="B277" s="6" t="inlineStr">
        <is>
          <t>Kopi Letek</t>
        </is>
      </c>
      <c r="C277" s="6" t="n">
        <v>25000</v>
      </c>
      <c r="D277" s="6" t="n">
        <v>-7.8713192</v>
      </c>
      <c r="E277" s="6" t="n">
        <v>112.527729</v>
      </c>
    </row>
    <row r="278">
      <c r="A278" s="6" t="n">
        <v>277</v>
      </c>
      <c r="B278" s="6" t="inlineStr">
        <is>
          <t>Toko Kopi Mandala - Tidar</t>
        </is>
      </c>
      <c r="C278" s="6" t="n">
        <v>23000</v>
      </c>
      <c r="D278" s="6" t="n">
        <v>-7.9654282</v>
      </c>
      <c r="E278" s="6" t="n">
        <v>112.6036744</v>
      </c>
    </row>
    <row r="279">
      <c r="A279" s="6" t="n">
        <v>278</v>
      </c>
      <c r="B279" s="6" t="inlineStr">
        <is>
          <t>Starbucks Malang Ijen</t>
        </is>
      </c>
      <c r="C279" s="6" t="n">
        <v>395000</v>
      </c>
      <c r="D279" s="6" t="n">
        <v>-7.9646236</v>
      </c>
      <c r="E279" s="6" t="n">
        <v>112.6252156</v>
      </c>
    </row>
    <row r="280">
      <c r="A280" s="6" t="n">
        <v>279</v>
      </c>
      <c r="B280" s="6" t="inlineStr">
        <is>
          <t>Markas kopi ngalam asli</t>
        </is>
      </c>
      <c r="C280" s="6" t="n">
        <v>22000</v>
      </c>
      <c r="D280" s="6" t="n">
        <v>-7.9652478</v>
      </c>
      <c r="E280" s="6" t="n">
        <v>112.6327684</v>
      </c>
    </row>
    <row r="281">
      <c r="A281" s="6" t="n">
        <v>280</v>
      </c>
      <c r="B281" s="6" t="inlineStr">
        <is>
          <t>Kopi Lokal</t>
        </is>
      </c>
      <c r="C281" s="6" t="n">
        <v>23000</v>
      </c>
      <c r="D281" s="6" t="n">
        <v>-7.9338316</v>
      </c>
      <c r="E281" s="6" t="n">
        <v>112.6295485</v>
      </c>
    </row>
    <row r="282">
      <c r="A282" s="6" t="n">
        <v>281</v>
      </c>
      <c r="B282" s="6" t="inlineStr">
        <is>
          <t>Nogo Keling</t>
        </is>
      </c>
      <c r="C282" s="6" t="n">
        <v>31000</v>
      </c>
      <c r="D282" s="6" t="n">
        <v>-7.9861902</v>
      </c>
      <c r="E282" s="6" t="n">
        <v>112.6330785</v>
      </c>
    </row>
    <row r="283">
      <c r="A283" s="6" t="n">
        <v>282</v>
      </c>
      <c r="B283" s="6" t="inlineStr">
        <is>
          <t>HEYDAY KOPI</t>
        </is>
      </c>
      <c r="C283" s="6" t="n">
        <v>56250</v>
      </c>
      <c r="D283" s="6" t="n">
        <v>-7.9637359</v>
      </c>
      <c r="E283" s="6" t="n">
        <v>112.6370004</v>
      </c>
    </row>
    <row r="284">
      <c r="A284" s="6" t="n">
        <v>283</v>
      </c>
      <c r="B284" s="6" t="inlineStr">
        <is>
          <t>Kedai Pendjoeal Kopi</t>
        </is>
      </c>
      <c r="C284" s="6" t="n">
        <v>20000</v>
      </c>
      <c r="D284" s="6" t="n">
        <v>-7.9630007</v>
      </c>
      <c r="E284" s="6" t="n">
        <v>112.6324473</v>
      </c>
    </row>
    <row r="285">
      <c r="A285" s="6" t="n">
        <v>284</v>
      </c>
      <c r="B285" s="6" t="inlineStr">
        <is>
          <t>Kedai Kopi Tumapel</t>
        </is>
      </c>
      <c r="C285" s="6" t="n">
        <v>13000</v>
      </c>
      <c r="D285" s="6" t="n">
        <v>-7.9780159</v>
      </c>
      <c r="E285" s="6" t="n">
        <v>112.6319489</v>
      </c>
    </row>
    <row r="286">
      <c r="A286" s="6" t="n">
        <v>285</v>
      </c>
      <c r="B286" s="6" t="inlineStr">
        <is>
          <t>Kedai Kopi Oro,oro</t>
        </is>
      </c>
      <c r="C286" s="6" t="n">
        <v>30000</v>
      </c>
      <c r="D286" s="6" t="n">
        <v>-7.9665839</v>
      </c>
      <c r="E286" s="6" t="n">
        <v>112.6286445</v>
      </c>
    </row>
    <row r="287">
      <c r="A287" s="6" t="n">
        <v>286</v>
      </c>
      <c r="B287" s="6" t="inlineStr">
        <is>
          <t>Swara Malang</t>
        </is>
      </c>
      <c r="C287" s="6" t="n">
        <v>19500</v>
      </c>
      <c r="D287" s="6" t="n">
        <v>-7.9459517</v>
      </c>
      <c r="E287" s="6" t="n">
        <v>112.6124339</v>
      </c>
    </row>
    <row r="288">
      <c r="A288" s="6" t="n">
        <v>287</v>
      </c>
      <c r="B288" s="6" t="inlineStr">
        <is>
          <t>KEDAI DARAT COFFEE</t>
        </is>
      </c>
      <c r="C288" s="6" t="n">
        <v>12000</v>
      </c>
      <c r="D288" s="6" t="n">
        <v>-7.9650882</v>
      </c>
      <c r="E288" s="6" t="n">
        <v>112.6327033</v>
      </c>
    </row>
    <row r="289">
      <c r="A289" s="6" t="n">
        <v>288</v>
      </c>
      <c r="B289" s="6" t="inlineStr">
        <is>
          <t>SUJIWA KOPI</t>
        </is>
      </c>
      <c r="C289" s="6" t="n">
        <v>16000</v>
      </c>
      <c r="D289" s="6" t="n">
        <v>-7.9571661</v>
      </c>
      <c r="E289" s="6" t="n">
        <v>112.6387779</v>
      </c>
    </row>
    <row r="290">
      <c r="A290" s="6" t="n">
        <v>289</v>
      </c>
      <c r="B290" s="6" t="inlineStr">
        <is>
          <t>Toko Kopi SWJ</t>
        </is>
      </c>
      <c r="C290" s="6" t="n">
        <v>45000</v>
      </c>
      <c r="D290" s="6" t="n">
        <v>-7.9691747</v>
      </c>
      <c r="E290" s="6" t="n">
        <v>112.6365003</v>
      </c>
    </row>
    <row r="291">
      <c r="A291" s="6" t="n">
        <v>290</v>
      </c>
      <c r="B291" s="6" t="inlineStr">
        <is>
          <t>POS KOPI 58</t>
        </is>
      </c>
      <c r="C291" s="6" t="n">
        <v>59000</v>
      </c>
      <c r="D291" s="6" t="n">
        <v>-7.971476</v>
      </c>
      <c r="E291" s="6" t="n">
        <v>112.6403702</v>
      </c>
    </row>
    <row r="292">
      <c r="A292" s="6" t="n">
        <v>291</v>
      </c>
      <c r="B292" s="6" t="inlineStr">
        <is>
          <t>WARUNG KOPI JON</t>
        </is>
      </c>
      <c r="C292" s="6" t="n">
        <v>56000</v>
      </c>
      <c r="D292" s="6" t="n">
        <v>-7.9970448</v>
      </c>
      <c r="E292" s="6" t="n">
        <v>112.6191967</v>
      </c>
    </row>
    <row r="293">
      <c r="A293" s="6" t="n">
        <v>292</v>
      </c>
      <c r="B293" s="6" t="inlineStr">
        <is>
          <t>Kopi Maeda Malang</t>
        </is>
      </c>
      <c r="C293" s="6" t="n">
        <v>30000</v>
      </c>
      <c r="D293" s="6" t="n">
        <v>-7.9897247</v>
      </c>
      <c r="E293" s="6" t="n">
        <v>112.6169266</v>
      </c>
    </row>
    <row r="294">
      <c r="A294" s="6" t="n">
        <v>293</v>
      </c>
      <c r="B294" s="6" t="inlineStr">
        <is>
          <t>Kedai Kopi K26</t>
        </is>
      </c>
      <c r="C294" s="6" t="n">
        <v>53000</v>
      </c>
      <c r="D294" s="6" t="n">
        <v>-7.9722817</v>
      </c>
      <c r="E294" s="6" t="n">
        <v>112.6415935</v>
      </c>
    </row>
    <row r="295">
      <c r="A295" s="6" t="n">
        <v>294</v>
      </c>
      <c r="B295" s="6" t="inlineStr">
        <is>
          <t>Biji Kopi Malang</t>
        </is>
      </c>
      <c r="C295" s="6" t="n">
        <v>225000</v>
      </c>
      <c r="D295" s="6" t="n">
        <v>-7.9549148</v>
      </c>
      <c r="E295" s="6" t="n">
        <v>112.6609754</v>
      </c>
    </row>
    <row r="296">
      <c r="A296" s="6" t="n">
        <v>295</v>
      </c>
      <c r="B296" s="6" t="inlineStr">
        <is>
          <t>Kedai Kopi Cahaya Baru 2</t>
        </is>
      </c>
      <c r="C296" s="6" t="n">
        <v>42000</v>
      </c>
      <c r="D296" s="6" t="n">
        <v>-7.9758239</v>
      </c>
      <c r="E296" s="6" t="n">
        <v>112.6368805</v>
      </c>
    </row>
    <row r="297">
      <c r="A297" s="6" t="n">
        <v>296</v>
      </c>
      <c r="B297" s="6" t="inlineStr">
        <is>
          <t>Kedai Kopi &amp; Buku Bintang Kecil</t>
        </is>
      </c>
      <c r="C297" s="6" t="n">
        <v>12000</v>
      </c>
      <c r="D297" s="6" t="n">
        <v>-7.9613586</v>
      </c>
      <c r="E297" s="6" t="n">
        <v>112.6135642</v>
      </c>
    </row>
    <row r="298">
      <c r="A298" s="6" t="n">
        <v>297</v>
      </c>
      <c r="B298" s="6" t="inlineStr">
        <is>
          <t>Kedai Kopi Sriwedari</t>
        </is>
      </c>
      <c r="C298" s="6" t="n">
        <v>72000</v>
      </c>
      <c r="D298" s="6" t="n">
        <v>-7.9638781</v>
      </c>
      <c r="E298" s="6" t="n">
        <v>112.6271649</v>
      </c>
    </row>
    <row r="299">
      <c r="A299" s="6" t="n">
        <v>298</v>
      </c>
      <c r="B299" s="6" t="inlineStr">
        <is>
          <t>Kopi Perempat</t>
        </is>
      </c>
      <c r="C299" s="6" t="n">
        <v>18000</v>
      </c>
      <c r="D299" s="6" t="n">
        <v>-7.9762898</v>
      </c>
      <c r="E299" s="6" t="n">
        <v>112.6286736</v>
      </c>
    </row>
    <row r="300">
      <c r="A300" s="6" t="n">
        <v>299</v>
      </c>
      <c r="B300" s="6" t="inlineStr">
        <is>
          <t>Warteg Kharisma Bahari Signature - Arief Rahman Hakim</t>
        </is>
      </c>
      <c r="C300" s="6" t="n">
        <v>17500</v>
      </c>
      <c r="D300" s="6" t="n">
        <v>-7.2894712</v>
      </c>
      <c r="E300" s="6" t="n">
        <v>112.777861</v>
      </c>
    </row>
    <row r="301">
      <c r="A301" s="6" t="n">
        <v>300</v>
      </c>
      <c r="B301" s="6" t="inlineStr">
        <is>
          <t>Warteg Orens Bahari 150 - Semolowaru</t>
        </is>
      </c>
      <c r="C301" s="6" t="n">
        <v>13000</v>
      </c>
      <c r="D301" s="6" t="n">
        <v>-7.301198</v>
      </c>
      <c r="E301" s="6" t="n">
        <v>112.78099</v>
      </c>
    </row>
    <row r="302">
      <c r="A302" s="6" t="n">
        <v>301</v>
      </c>
      <c r="B302" s="6" t="inlineStr">
        <is>
          <t>Warteg Putri Sami Asih Semolowaru</t>
        </is>
      </c>
      <c r="C302" s="6" t="n">
        <v>84000</v>
      </c>
      <c r="D302" s="6" t="n">
        <v>-7.3001417</v>
      </c>
      <c r="E302" s="6" t="n">
        <v>112.7732699</v>
      </c>
    </row>
    <row r="303">
      <c r="A303" s="6" t="n">
        <v>302</v>
      </c>
      <c r="B303" s="6" t="inlineStr">
        <is>
          <t>Warteg Bu Erni</t>
        </is>
      </c>
      <c r="C303" s="6" t="n">
        <v>25000</v>
      </c>
      <c r="D303" s="6" t="n">
        <v>-7.2897826</v>
      </c>
      <c r="E303" s="6" t="n">
        <v>112.7833198</v>
      </c>
    </row>
    <row r="304">
      <c r="A304" s="6" t="n">
        <v>303</v>
      </c>
      <c r="B304" s="6" t="inlineStr">
        <is>
          <t>Warung Tegal Gebang</t>
        </is>
      </c>
      <c r="C304" s="6" t="n">
        <v>18500</v>
      </c>
      <c r="D304" s="6" t="n">
        <v>-7.280286</v>
      </c>
      <c r="E304" s="6" t="n">
        <v>112.78965</v>
      </c>
    </row>
    <row r="305">
      <c r="A305" s="6" t="n">
        <v>304</v>
      </c>
      <c r="B305" s="6" t="inlineStr">
        <is>
          <t>Warteg Kekinian</t>
        </is>
      </c>
      <c r="C305" s="6" t="n">
        <v>17500</v>
      </c>
      <c r="D305" s="6" t="n">
        <v>-7.3097583</v>
      </c>
      <c r="E305" s="6" t="n">
        <v>112.7812869</v>
      </c>
    </row>
    <row r="306">
      <c r="A306" s="6" t="n">
        <v>305</v>
      </c>
      <c r="B306" s="6" t="inlineStr">
        <is>
          <t>Warung Makan Tegal Aero</t>
        </is>
      </c>
      <c r="C306" s="6" t="n">
        <v>24000</v>
      </c>
      <c r="D306" s="6" t="n">
        <v>-7.272211</v>
      </c>
      <c r="E306" s="6" t="n">
        <v>112.761565</v>
      </c>
    </row>
    <row r="307">
      <c r="A307" s="6" t="n">
        <v>306</v>
      </c>
      <c r="B307" s="6" t="inlineStr">
        <is>
          <t>Warung Makan Tegal Aero Bu. Sarah</t>
        </is>
      </c>
      <c r="C307" s="6" t="n">
        <v>15000</v>
      </c>
      <c r="D307" s="6" t="n">
        <v>-7.2900379</v>
      </c>
      <c r="E307" s="6" t="n">
        <v>112.7974251</v>
      </c>
    </row>
    <row r="308">
      <c r="A308" s="6" t="n">
        <v>307</v>
      </c>
      <c r="B308" s="6" t="inlineStr">
        <is>
          <t>Warteg Sari Rasa 24 Jam Non Stop</t>
        </is>
      </c>
      <c r="C308" s="6" t="n">
        <v>26500</v>
      </c>
      <c r="D308" s="6" t="n">
        <v>-7.9638297</v>
      </c>
      <c r="E308" s="6" t="n">
        <v>112.6136241</v>
      </c>
    </row>
    <row r="309">
      <c r="A309" s="6" t="n">
        <v>308</v>
      </c>
      <c r="B309" s="6" t="inlineStr">
        <is>
          <t>Warteg Mbok Yem</t>
        </is>
      </c>
      <c r="C309" s="6" t="n">
        <v>19000</v>
      </c>
      <c r="D309" s="6" t="n">
        <v>-7.2899901</v>
      </c>
      <c r="E309" s="6" t="n">
        <v>112.776677</v>
      </c>
    </row>
    <row r="310">
      <c r="A310" s="6" t="n">
        <v>309</v>
      </c>
      <c r="B310" s="6" t="inlineStr">
        <is>
          <t>Warteg Sahabat</t>
        </is>
      </c>
      <c r="C310" s="6" t="n">
        <v>10000</v>
      </c>
      <c r="D310" s="6" t="n">
        <v>-7.931382</v>
      </c>
      <c r="E310" s="6" t="n">
        <v>112.5909108</v>
      </c>
    </row>
    <row r="311">
      <c r="A311" s="6" t="n">
        <v>310</v>
      </c>
      <c r="B311" s="6" t="inlineStr">
        <is>
          <t>Warteg Sari Rasa 24 Jam</t>
        </is>
      </c>
      <c r="C311" s="6" t="n">
        <v>26500</v>
      </c>
      <c r="D311" s="6" t="n">
        <v>-7.9593975</v>
      </c>
      <c r="E311" s="6" t="n">
        <v>112.6137169</v>
      </c>
    </row>
    <row r="312">
      <c r="A312" s="6" t="n">
        <v>311</v>
      </c>
      <c r="B312" s="6" t="inlineStr">
        <is>
          <t>Warung Gresik Mbak tien</t>
        </is>
      </c>
      <c r="C312" s="6" t="n">
        <v>15000</v>
      </c>
      <c r="D312" s="6" t="n">
        <v>-7.3002738</v>
      </c>
      <c r="E312" s="6" t="n">
        <v>112.7762199</v>
      </c>
    </row>
    <row r="313">
      <c r="A313" s="6" t="n">
        <v>312</v>
      </c>
      <c r="B313" s="6" t="inlineStr">
        <is>
          <t>WARTEG depan ABM</t>
        </is>
      </c>
      <c r="C313" s="6" t="n">
        <v>27500</v>
      </c>
      <c r="D313" s="6" t="n">
        <v>-7.9419456</v>
      </c>
      <c r="E313" s="6" t="n">
        <v>112.6381312</v>
      </c>
    </row>
    <row r="314">
      <c r="A314" s="6" t="n">
        <v>313</v>
      </c>
      <c r="B314" s="6" t="inlineStr">
        <is>
          <t>Warung Makan Teh Nia</t>
        </is>
      </c>
      <c r="C314" s="6" t="n">
        <v>12000</v>
      </c>
      <c r="D314" s="6" t="n">
        <v>-7.298626</v>
      </c>
      <c r="E314" s="6" t="n">
        <v>112.7758709</v>
      </c>
    </row>
    <row r="315">
      <c r="A315" s="6" t="n">
        <v>314</v>
      </c>
      <c r="B315" s="6" t="inlineStr">
        <is>
          <t>Warteg Candi Panggung Bahari Malang</t>
        </is>
      </c>
      <c r="C315" s="6" t="n">
        <v>17500</v>
      </c>
      <c r="D315" s="6" t="n">
        <v>-7.9377047</v>
      </c>
      <c r="E315" s="6" t="n">
        <v>112.6210545</v>
      </c>
    </row>
    <row r="316">
      <c r="A316" s="6" t="n">
        <v>315</v>
      </c>
      <c r="B316" s="6" t="inlineStr">
        <is>
          <t>Warung Makan Tegal</t>
        </is>
      </c>
      <c r="C316" s="6" t="n">
        <v>18000</v>
      </c>
      <c r="D316" s="6" t="n">
        <v>-7.2892201</v>
      </c>
      <c r="E316" s="6" t="n">
        <v>112.7690061</v>
      </c>
    </row>
    <row r="317">
      <c r="A317" s="6" t="n">
        <v>316</v>
      </c>
      <c r="B317" s="6" t="inlineStr">
        <is>
          <t>Warteg Sarirasa Cab. Simpang Gajayana</t>
        </is>
      </c>
      <c r="C317" s="6" t="n">
        <v>26500</v>
      </c>
      <c r="D317" s="6" t="n">
        <v>-7.9472632</v>
      </c>
      <c r="E317" s="6" t="n">
        <v>112.6055947</v>
      </c>
    </row>
    <row r="318">
      <c r="A318" s="6" t="n">
        <v>317</v>
      </c>
      <c r="B318" s="6" t="inlineStr">
        <is>
          <t>Warung Tegal</t>
        </is>
      </c>
      <c r="C318" s="6" t="n">
        <v>18000</v>
      </c>
      <c r="D318" s="6" t="n">
        <v>-7.9580361</v>
      </c>
      <c r="E318" s="6" t="n">
        <v>112.6098426</v>
      </c>
    </row>
    <row r="319">
      <c r="A319" s="6" t="n">
        <v>318</v>
      </c>
      <c r="B319" s="6" t="inlineStr">
        <is>
          <t>WARTEG DO'I</t>
        </is>
      </c>
      <c r="C319" s="6" t="n">
        <v>20000</v>
      </c>
      <c r="D319" s="6" t="n">
        <v>-7.9530265</v>
      </c>
      <c r="E319" s="6" t="n">
        <v>112.6232169</v>
      </c>
    </row>
    <row r="320">
      <c r="A320" s="6" t="n">
        <v>319</v>
      </c>
      <c r="B320" s="6" t="inlineStr">
        <is>
          <t>Warung Tegal (Warteg) bu marni</t>
        </is>
      </c>
      <c r="C320" s="6" t="n">
        <v>28000</v>
      </c>
      <c r="D320" s="6" t="n">
        <v>-7.9288916</v>
      </c>
      <c r="E320" s="6" t="n">
        <v>112.6080414</v>
      </c>
    </row>
    <row r="321">
      <c r="A321" s="6" t="n">
        <v>320</v>
      </c>
      <c r="B321" s="6" t="inlineStr">
        <is>
          <t>Warteg Sari Rasa</t>
        </is>
      </c>
      <c r="C321" s="6" t="n">
        <v>26500</v>
      </c>
      <c r="D321" s="6" t="n">
        <v>-7.9448281</v>
      </c>
      <c r="E321" s="6" t="n">
        <v>112.6067841</v>
      </c>
    </row>
    <row r="322">
      <c r="A322" s="6" t="n">
        <v>321</v>
      </c>
      <c r="B322" s="6" t="inlineStr">
        <is>
          <t>Warteg sarirasa merjosari 24 jam</t>
        </is>
      </c>
      <c r="C322" s="6" t="n">
        <v>26500</v>
      </c>
      <c r="D322" s="6" t="n">
        <v>-7.942525</v>
      </c>
      <c r="E322" s="6" t="n">
        <v>112.6020425</v>
      </c>
    </row>
    <row r="323">
      <c r="A323" s="6" t="n">
        <v>322</v>
      </c>
      <c r="B323" s="6" t="inlineStr">
        <is>
          <t>Warteg ITA Barokah</t>
        </is>
      </c>
      <c r="C323" s="6" t="n">
        <v>25000</v>
      </c>
      <c r="D323" s="6" t="n">
        <v>-7.3092604</v>
      </c>
      <c r="E323" s="6" t="n">
        <v>112.7781709</v>
      </c>
    </row>
    <row r="324">
      <c r="A324" s="6" t="n">
        <v>323</v>
      </c>
      <c r="B324" s="6" t="inlineStr">
        <is>
          <t>ALMEERA WARTEG</t>
        </is>
      </c>
      <c r="C324" s="6" t="n">
        <v>21500</v>
      </c>
      <c r="D324" s="6" t="n">
        <v>-7.9198328</v>
      </c>
      <c r="E324" s="6" t="n">
        <v>112.5976214</v>
      </c>
    </row>
    <row r="325">
      <c r="A325" s="6" t="n">
        <v>324</v>
      </c>
      <c r="B325" s="6" t="inlineStr">
        <is>
          <t>Warteg mamoka bahari 288</t>
        </is>
      </c>
      <c r="C325" s="6" t="n">
        <v>20000</v>
      </c>
      <c r="D325" s="6" t="n">
        <v>-7.9378561</v>
      </c>
      <c r="E325" s="6" t="n">
        <v>112.6441945</v>
      </c>
    </row>
    <row r="326">
      <c r="A326" s="6" t="n">
        <v>325</v>
      </c>
      <c r="B326" s="6" t="inlineStr">
        <is>
          <t>WARTEG CITRA BARU BAHARI</t>
        </is>
      </c>
      <c r="C326" s="6" t="n">
        <v>17000</v>
      </c>
      <c r="D326" s="6" t="n">
        <v>-7.9247397</v>
      </c>
      <c r="E326" s="6" t="n">
        <v>112.5997255</v>
      </c>
    </row>
    <row r="327">
      <c r="A327" s="6" t="n">
        <v>326</v>
      </c>
      <c r="B327" s="6" t="inlineStr">
        <is>
          <t>Warung Bu Marni Prasmanan</t>
        </is>
      </c>
      <c r="C327" s="6" t="n">
        <v>28000</v>
      </c>
      <c r="D327" s="6" t="n">
        <v>-7.9411244</v>
      </c>
      <c r="E327" s="6" t="n">
        <v>112.6233193</v>
      </c>
    </row>
    <row r="328">
      <c r="A328" s="6" t="n">
        <v>327</v>
      </c>
      <c r="B328" s="6" t="inlineStr">
        <is>
          <t>Warung TEMA</t>
        </is>
      </c>
      <c r="C328" s="6" t="n">
        <v>34500</v>
      </c>
      <c r="D328" s="6" t="n">
        <v>-7.9446846</v>
      </c>
      <c r="E328" s="6" t="n">
        <v>112.6190566</v>
      </c>
    </row>
    <row r="329">
      <c r="A329" s="6" t="n">
        <v>328</v>
      </c>
      <c r="B329" s="6" t="inlineStr">
        <is>
          <t>WARTEG BINTANG RASA</t>
        </is>
      </c>
      <c r="C329" s="6" t="n">
        <v>26500</v>
      </c>
      <c r="D329" s="6" t="n">
        <v>-7.929722</v>
      </c>
      <c r="E329" s="6" t="n">
        <v>112.6340813</v>
      </c>
    </row>
    <row r="330">
      <c r="A330" s="6" t="n">
        <v>329</v>
      </c>
      <c r="B330" s="6" t="inlineStr">
        <is>
          <t>Warteg Nasional Bahari 58</t>
        </is>
      </c>
      <c r="C330" s="6" t="n">
        <v>13000</v>
      </c>
      <c r="D330" s="6" t="n">
        <v>-7.9680694</v>
      </c>
      <c r="E330" s="6" t="n">
        <v>112.6652453</v>
      </c>
    </row>
    <row r="331">
      <c r="A331" s="6" t="n">
        <v>330</v>
      </c>
      <c r="B331" s="6" t="inlineStr">
        <is>
          <t>Warteg Mamoka 245 Dinoyo Malang</t>
        </is>
      </c>
      <c r="C331" s="6" t="n">
        <v>20000</v>
      </c>
      <c r="D331" s="6" t="n">
        <v>-7.9450406</v>
      </c>
      <c r="E331" s="6" t="n">
        <v>112.6074873</v>
      </c>
    </row>
    <row r="332">
      <c r="A332" s="6" t="n">
        <v>331</v>
      </c>
      <c r="B332" s="6" t="inlineStr">
        <is>
          <t>WARTEG MAMOKA BAHARI</t>
        </is>
      </c>
      <c r="C332" s="6" t="n">
        <v>20000</v>
      </c>
      <c r="D332" s="6" t="n">
        <v>-7.955887</v>
      </c>
      <c r="E332" s="6" t="n">
        <v>112.6392404</v>
      </c>
    </row>
    <row r="333">
      <c r="A333" s="6" t="n">
        <v>332</v>
      </c>
      <c r="B333" s="6" t="inlineStr">
        <is>
          <t>Warteg Nasional Bahari 57</t>
        </is>
      </c>
      <c r="C333" s="6" t="n">
        <v>13000</v>
      </c>
      <c r="D333" s="6" t="n">
        <v>-7.936085</v>
      </c>
      <c r="E333" s="6" t="n">
        <v>112.6005172</v>
      </c>
    </row>
    <row r="334">
      <c r="A334" s="6" t="n">
        <v>333</v>
      </c>
      <c r="B334" s="6" t="inlineStr">
        <is>
          <t>Warteg Aruna Bahari Grup</t>
        </is>
      </c>
      <c r="C334" s="6" t="n">
        <v>13000</v>
      </c>
      <c r="D334" s="6" t="n">
        <v>-7.9627317</v>
      </c>
      <c r="E334" s="6" t="n">
        <v>112.6319345</v>
      </c>
    </row>
    <row r="335">
      <c r="A335" s="6" t="n">
        <v>334</v>
      </c>
      <c r="B335" s="6" t="inlineStr">
        <is>
          <t>Warung Makan Tegal Citra Baru</t>
        </is>
      </c>
      <c r="C335" s="6" t="n">
        <v>18000</v>
      </c>
      <c r="D335" s="6" t="n">
        <v>-7.2705607</v>
      </c>
      <c r="E335" s="6" t="n">
        <v>112.7353162</v>
      </c>
    </row>
    <row r="336">
      <c r="A336" s="6" t="n">
        <v>335</v>
      </c>
      <c r="B336" s="6" t="inlineStr">
        <is>
          <t>Warteg Orens Bahari WOB 152 Dinoyo</t>
        </is>
      </c>
      <c r="C336" s="6" t="n">
        <v>21000</v>
      </c>
      <c r="D336" s="6" t="n">
        <v>-7.9408709</v>
      </c>
      <c r="E336" s="6" t="n">
        <v>112.6086344</v>
      </c>
    </row>
    <row r="337">
      <c r="A337" s="6" t="n">
        <v>336</v>
      </c>
      <c r="B337" s="6" t="inlineStr">
        <is>
          <t>WARTEG SARIRASA BAHARI</t>
        </is>
      </c>
      <c r="C337" s="6" t="n">
        <v>26500</v>
      </c>
      <c r="D337" s="6" t="n">
        <v>-7.9411174</v>
      </c>
      <c r="E337" s="6" t="n">
        <v>112.6041009</v>
      </c>
    </row>
    <row r="338">
      <c r="A338" s="6" t="n">
        <v>337</v>
      </c>
      <c r="B338" s="6" t="inlineStr">
        <is>
          <t>Warung Prasmanan Ayah 24 jam</t>
        </is>
      </c>
      <c r="C338" s="6" t="n">
        <v>25000</v>
      </c>
      <c r="D338" s="6" t="n">
        <v>-7.9568637</v>
      </c>
      <c r="E338" s="6" t="n">
        <v>112.6057936</v>
      </c>
    </row>
    <row r="339">
      <c r="A339" s="6" t="n">
        <v>338</v>
      </c>
      <c r="B339" s="6" t="inlineStr">
        <is>
          <t>Warteg Orens Bahari</t>
        </is>
      </c>
      <c r="C339" s="6" t="n">
        <v>21000</v>
      </c>
      <c r="D339" s="6" t="n">
        <v>-7.9644982</v>
      </c>
      <c r="E339" s="6" t="n">
        <v>112.635299</v>
      </c>
    </row>
    <row r="340">
      <c r="A340" s="6" t="n">
        <v>339</v>
      </c>
      <c r="B340" s="6" t="inlineStr">
        <is>
          <t>Warteg Bahari Sentosa</t>
        </is>
      </c>
      <c r="C340" s="6" t="n">
        <v>18000</v>
      </c>
      <c r="D340" s="6" t="n">
        <v>-7.975036</v>
      </c>
      <c r="E340" s="6" t="n">
        <v>112.661503</v>
      </c>
    </row>
    <row r="341">
      <c r="A341" s="6" t="n">
        <v>340</v>
      </c>
      <c r="B341" s="6" t="inlineStr">
        <is>
          <t>Warteg Nasional Bahari 81 Mayjend Sungkono</t>
        </is>
      </c>
      <c r="C341" s="6" t="n">
        <v>13000</v>
      </c>
      <c r="D341" s="6" t="n">
        <v>-7.9938871</v>
      </c>
      <c r="E341" s="6" t="n">
        <v>112.6472929</v>
      </c>
    </row>
    <row r="342">
      <c r="A342" s="6" t="n">
        <v>341</v>
      </c>
      <c r="B342" s="6" t="inlineStr">
        <is>
          <t>Warteg Nasional Bahari (Satsui Tubun)</t>
        </is>
      </c>
      <c r="C342" s="6" t="n">
        <v>13000</v>
      </c>
      <c r="D342" s="6" t="n">
        <v>-8.0204191</v>
      </c>
      <c r="E342" s="6" t="n">
        <v>112.6200087</v>
      </c>
    </row>
    <row r="343">
      <c r="A343" s="6" t="n">
        <v>342</v>
      </c>
      <c r="B343" s="6" t="inlineStr">
        <is>
          <t>Warteg Nasional Bahari 101</t>
        </is>
      </c>
      <c r="C343" s="6" t="n">
        <v>19500</v>
      </c>
      <c r="D343" s="6" t="n">
        <v>-7.9548052</v>
      </c>
      <c r="E343" s="6" t="n">
        <v>112.6205029</v>
      </c>
    </row>
    <row r="344">
      <c r="A344" s="6" t="n">
        <v>343</v>
      </c>
      <c r="B344" s="6" t="inlineStr">
        <is>
          <t>WARTEG NASIONAL</t>
        </is>
      </c>
      <c r="C344" s="6" t="n">
        <v>22500</v>
      </c>
      <c r="D344" s="6" t="n">
        <v>-7.9005653</v>
      </c>
      <c r="E344" s="6" t="n">
        <v>112.6035687</v>
      </c>
    </row>
    <row r="345">
      <c r="A345" s="6" t="n">
        <v>344</v>
      </c>
      <c r="B345" s="6" t="inlineStr">
        <is>
          <t>WARTEG BOROBUDUR</t>
        </is>
      </c>
      <c r="C345" s="6" t="n">
        <v>32400</v>
      </c>
      <c r="D345" s="6" t="n">
        <v>-7.940488</v>
      </c>
      <c r="E345" s="6" t="n">
        <v>112.6386627</v>
      </c>
    </row>
    <row r="346">
      <c r="A346" s="6" t="n">
        <v>345</v>
      </c>
      <c r="B346" s="6" t="inlineStr">
        <is>
          <t>Warteg Mamoka Bahari</t>
        </is>
      </c>
      <c r="C346" s="6" t="n">
        <v>20000</v>
      </c>
      <c r="D346" s="6" t="n">
        <v>-7.9662866</v>
      </c>
      <c r="E346" s="6" t="n">
        <v>112.6134706</v>
      </c>
    </row>
    <row r="347">
      <c r="A347" s="6" t="n">
        <v>346</v>
      </c>
      <c r="B347" s="6" t="inlineStr">
        <is>
          <t>Warung Nasi Matos Bu Kesy</t>
        </is>
      </c>
      <c r="C347" s="6" t="n">
        <v>85000</v>
      </c>
      <c r="D347" s="6" t="n">
        <v>-7.9481502</v>
      </c>
      <c r="E347" s="6" t="n">
        <v>112.6088763</v>
      </c>
    </row>
    <row r="348">
      <c r="A348" s="6" t="n">
        <v>347</v>
      </c>
      <c r="B348" s="6" t="inlineStr">
        <is>
          <t>Warung Pudji Mulyo</t>
        </is>
      </c>
      <c r="C348" s="6" t="n">
        <v>43750</v>
      </c>
      <c r="D348" s="6" t="n">
        <v>-7.9463499</v>
      </c>
      <c r="E348" s="6" t="n">
        <v>112.6109167</v>
      </c>
    </row>
    <row r="349">
      <c r="A349" s="6" t="n">
        <v>348</v>
      </c>
      <c r="B349" s="6" t="inlineStr">
        <is>
          <t>Warteg paradise bahari</t>
        </is>
      </c>
      <c r="C349" s="6" t="n">
        <v>13000</v>
      </c>
      <c r="D349" s="6" t="n">
        <v>-7.9839838</v>
      </c>
      <c r="E349" s="6" t="n">
        <v>112.6599488</v>
      </c>
    </row>
    <row r="350">
      <c r="A350" s="6" t="n">
        <v>349</v>
      </c>
      <c r="B350" s="6" t="inlineStr">
        <is>
          <t>Warteg citra baru</t>
        </is>
      </c>
      <c r="C350" s="6" t="n">
        <v>17000</v>
      </c>
      <c r="D350" s="6" t="n">
        <v>-7.9232037</v>
      </c>
      <c r="E350" s="6" t="n">
        <v>112.5814693</v>
      </c>
    </row>
    <row r="351">
      <c r="A351" s="6" t="n">
        <v>350</v>
      </c>
      <c r="B351" s="6" t="inlineStr">
        <is>
          <t>Warteg Jie</t>
        </is>
      </c>
      <c r="C351" s="6" t="n">
        <v>27500</v>
      </c>
      <c r="D351" s="6" t="n">
        <v>-7.9464129</v>
      </c>
      <c r="E351" s="6" t="n">
        <v>112.6220926</v>
      </c>
    </row>
    <row r="352">
      <c r="A352" s="6" t="n">
        <v>351</v>
      </c>
      <c r="B352" s="6" t="inlineStr">
        <is>
          <t>Warteg Dimas</t>
        </is>
      </c>
      <c r="C352" s="6" t="n">
        <v>28000</v>
      </c>
      <c r="D352" s="6" t="n">
        <v>-7.9903396</v>
      </c>
      <c r="E352" s="6" t="n">
        <v>112.6180907</v>
      </c>
    </row>
    <row r="353">
      <c r="A353" s="6" t="n">
        <v>352</v>
      </c>
      <c r="B353" s="6" t="inlineStr">
        <is>
          <t>WARTEG MAMOKA BAHARI 273</t>
        </is>
      </c>
      <c r="C353" s="6" t="n">
        <v>18000</v>
      </c>
      <c r="D353" s="6" t="n">
        <v>-7.9875062</v>
      </c>
      <c r="E353" s="6" t="n">
        <v>112.6227263</v>
      </c>
    </row>
    <row r="354">
      <c r="A354" s="6" t="n">
        <v>353</v>
      </c>
      <c r="B354" s="6" t="inlineStr">
        <is>
          <t>Rumah Makan Prasmanan Bu Marni</t>
        </is>
      </c>
      <c r="C354" s="6" t="n">
        <v>28000</v>
      </c>
      <c r="D354" s="6" t="n">
        <v>-7.9631957</v>
      </c>
      <c r="E354" s="6" t="n">
        <v>112.613541</v>
      </c>
    </row>
    <row r="355">
      <c r="A355" s="6" t="n">
        <v>354</v>
      </c>
      <c r="B355" s="6" t="inlineStr">
        <is>
          <t>Warung Wareg</t>
        </is>
      </c>
      <c r="C355" s="6" t="n">
        <v>130300</v>
      </c>
      <c r="D355" s="6" t="n">
        <v>-7.9110753</v>
      </c>
      <c r="E355" s="6" t="n">
        <v>112.6222169</v>
      </c>
    </row>
    <row r="356">
      <c r="A356" s="6" t="n">
        <v>355</v>
      </c>
      <c r="B356" s="6" t="inlineStr">
        <is>
          <t>Warung kuning</t>
        </is>
      </c>
      <c r="C356" s="6" t="n">
        <v>13000</v>
      </c>
      <c r="D356" s="6" t="n">
        <v>-7.9706122</v>
      </c>
      <c r="E356" s="6" t="n">
        <v>112.6148383</v>
      </c>
    </row>
    <row r="357">
      <c r="A357" s="6" t="n">
        <v>356</v>
      </c>
      <c r="B357" s="6" t="inlineStr">
        <is>
          <t>Warteg Citra Baru Bahari Kerto</t>
        </is>
      </c>
      <c r="C357" s="6" t="n">
        <v>17000</v>
      </c>
      <c r="D357" s="6" t="n">
        <v>-7.9466079</v>
      </c>
      <c r="E357" s="6" t="n">
        <v>112.6107099</v>
      </c>
    </row>
    <row r="358">
      <c r="A358" s="6" t="n">
        <v>357</v>
      </c>
      <c r="B358" s="6" t="inlineStr">
        <is>
          <t>WARTEG ORENS BAHARI</t>
        </is>
      </c>
      <c r="C358" s="6" t="n">
        <v>21000</v>
      </c>
      <c r="D358" s="6" t="n">
        <v>-7.9385065</v>
      </c>
      <c r="E358" s="6" t="n">
        <v>112.6231507</v>
      </c>
    </row>
    <row r="359">
      <c r="A359" s="6" t="n">
        <v>358</v>
      </c>
      <c r="B359" s="6" t="inlineStr">
        <is>
          <t>Warteg Putra Bahari 249</t>
        </is>
      </c>
      <c r="C359" s="6" t="n">
        <v>21000</v>
      </c>
      <c r="D359" s="6" t="n">
        <v>-7.9757383</v>
      </c>
      <c r="E359" s="6" t="n">
        <v>112.6618676</v>
      </c>
    </row>
    <row r="360">
      <c r="A360" s="6" t="n">
        <v>359</v>
      </c>
      <c r="B360" s="6" t="inlineStr">
        <is>
          <t>warteg orens bahari</t>
        </is>
      </c>
      <c r="C360" s="6" t="n">
        <v>21000</v>
      </c>
      <c r="D360" s="6" t="n">
        <v>-7.9519465</v>
      </c>
      <c r="E360" s="6" t="n">
        <v>112.6396451</v>
      </c>
    </row>
    <row r="361">
      <c r="A361" s="6" t="n">
        <v>360</v>
      </c>
      <c r="B361" s="6" t="inlineStr">
        <is>
          <t>Warteg Yonada bahari</t>
        </is>
      </c>
      <c r="C361" s="6" t="n">
        <v>15000</v>
      </c>
      <c r="D361" s="6" t="n">
        <v>-7.9769998</v>
      </c>
      <c r="E361" s="6" t="n">
        <v>112.6643131</v>
      </c>
    </row>
    <row r="362">
      <c r="A362" s="6" t="n">
        <v>361</v>
      </c>
      <c r="B362" s="6" t="inlineStr">
        <is>
          <t>WARTEG JAYA BAHARU</t>
        </is>
      </c>
      <c r="C362" s="6" t="n">
        <v>13000</v>
      </c>
      <c r="D362" s="6" t="n">
        <v>-7.9371728</v>
      </c>
      <c r="E362" s="6" t="n">
        <v>112.6199991</v>
      </c>
    </row>
    <row r="363">
      <c r="A363" s="6" t="n">
        <v>362</v>
      </c>
      <c r="B363" s="6" t="inlineStr">
        <is>
          <t>WARTEG NASIONAL 24 JAM</t>
        </is>
      </c>
      <c r="C363" s="6" t="n">
        <v>22500</v>
      </c>
      <c r="D363" s="6" t="n">
        <v>-7.9845741</v>
      </c>
      <c r="E363" s="6" t="n">
        <v>112.6145004</v>
      </c>
    </row>
    <row r="364">
      <c r="A364" s="6" t="n">
        <v>363</v>
      </c>
      <c r="B364" s="6" t="inlineStr">
        <is>
          <t>Warung Pojok</t>
        </is>
      </c>
      <c r="C364" s="6" t="n">
        <v>15000</v>
      </c>
      <c r="D364" s="6" t="n">
        <v>-7.9936244</v>
      </c>
      <c r="E364" s="6" t="n">
        <v>112.6243291</v>
      </c>
    </row>
    <row r="365">
      <c r="A365" s="6" t="n">
        <v>364</v>
      </c>
      <c r="B365" s="6" t="inlineStr">
        <is>
          <t>Warteg putra bahari</t>
        </is>
      </c>
      <c r="C365" s="6" t="n">
        <v>21000</v>
      </c>
      <c r="D365" s="6" t="n">
        <v>-7.9217929</v>
      </c>
      <c r="E365" s="6" t="n">
        <v>112.60075</v>
      </c>
    </row>
    <row r="366">
      <c r="A366" s="6" t="n">
        <v>365</v>
      </c>
      <c r="B366" s="6" t="inlineStr">
        <is>
          <t>Warteg Fadli Bahari</t>
        </is>
      </c>
      <c r="C366" s="6" t="n">
        <v>13000</v>
      </c>
      <c r="D366" s="6" t="n">
        <v>-7.9467722</v>
      </c>
      <c r="E366" s="6" t="n">
        <v>112.6256226</v>
      </c>
    </row>
    <row r="367">
      <c r="A367" s="6" t="n">
        <v>366</v>
      </c>
      <c r="B367" s="6" t="inlineStr">
        <is>
          <t>WARTEG NASIONAL BAHARI 96</t>
        </is>
      </c>
      <c r="C367" s="6" t="n">
        <v>19500</v>
      </c>
      <c r="D367" s="6" t="n">
        <v>-7.9832419</v>
      </c>
      <c r="E367" s="6" t="n">
        <v>112.6607181</v>
      </c>
    </row>
    <row r="368">
      <c r="A368" s="6" t="n">
        <v>367</v>
      </c>
      <c r="B368" s="6" t="inlineStr">
        <is>
          <t>Warteg sari bahari</t>
        </is>
      </c>
      <c r="C368" s="6" t="n">
        <v>13000</v>
      </c>
      <c r="D368" s="6" t="n">
        <v>-7.9524268</v>
      </c>
      <c r="E368" s="6" t="n">
        <v>112.6810612</v>
      </c>
    </row>
    <row r="369">
      <c r="A369" s="6" t="n">
        <v>368</v>
      </c>
      <c r="B369" s="6" t="inlineStr">
        <is>
          <t>Warung Prasmanan Andong</t>
        </is>
      </c>
      <c r="C369" s="6" t="n">
        <v>17500</v>
      </c>
      <c r="D369" s="6" t="n">
        <v>-7.949006</v>
      </c>
      <c r="E369" s="6" t="n">
        <v>112.618743</v>
      </c>
    </row>
    <row r="370">
      <c r="A370" s="6" t="n">
        <v>369</v>
      </c>
      <c r="B370" s="6" t="inlineStr">
        <is>
          <t>Warung Biru Cak Matos</t>
        </is>
      </c>
      <c r="C370" s="6" t="n">
        <v>33000</v>
      </c>
      <c r="D370" s="6" t="n">
        <v>-7.9578532</v>
      </c>
      <c r="E370" s="6" t="n">
        <v>112.6191826</v>
      </c>
    </row>
    <row r="371">
      <c r="A371" s="6" t="n">
        <v>370</v>
      </c>
      <c r="B371" s="6" t="inlineStr">
        <is>
          <t>Warung Warteg Barokah</t>
        </is>
      </c>
      <c r="C371" s="6" t="n">
        <v>19000</v>
      </c>
      <c r="D371" s="6" t="n">
        <v>-7.9358248</v>
      </c>
      <c r="E371" s="6" t="n">
        <v>112.6157345</v>
      </c>
    </row>
    <row r="372">
      <c r="A372" s="6" t="n">
        <v>371</v>
      </c>
      <c r="B372" s="6" t="inlineStr">
        <is>
          <t>Warteg Paradise Bahari 046</t>
        </is>
      </c>
      <c r="C372" s="6" t="n">
        <v>13000</v>
      </c>
      <c r="D372" s="6" t="n">
        <v>-7.9739561</v>
      </c>
      <c r="E372" s="6" t="n">
        <v>112.6624323</v>
      </c>
    </row>
    <row r="373">
      <c r="A373" s="6" t="n">
        <v>372</v>
      </c>
      <c r="B373" s="6" t="inlineStr">
        <is>
          <t>WARTEG OI BAHARI</t>
        </is>
      </c>
      <c r="C373" s="6" t="n">
        <v>17500</v>
      </c>
      <c r="D373" s="6" t="n">
        <v>-7.9432355</v>
      </c>
      <c r="E373" s="6" t="n">
        <v>112.6164325</v>
      </c>
    </row>
    <row r="374">
      <c r="A374" s="6" t="n">
        <v>373</v>
      </c>
      <c r="B374" s="6" t="inlineStr">
        <is>
          <t>Warung Sumber Rejeki</t>
        </is>
      </c>
      <c r="C374" s="6" t="n">
        <v>12000</v>
      </c>
      <c r="D374" s="6" t="n">
        <v>-7.9596657</v>
      </c>
      <c r="E374" s="6" t="n">
        <v>112.6116941</v>
      </c>
    </row>
    <row r="375">
      <c r="A375" s="6" t="n">
        <v>374</v>
      </c>
      <c r="B375" s="6" t="inlineStr">
        <is>
          <t>Warteg Kalijogo</t>
        </is>
      </c>
      <c r="C375" s="6" t="n">
        <v>15000</v>
      </c>
      <c r="D375" s="6" t="n">
        <v>-7.9526387</v>
      </c>
      <c r="E375" s="6" t="n">
        <v>112.6068649</v>
      </c>
    </row>
    <row r="376">
      <c r="A376" s="6" t="n">
        <v>375</v>
      </c>
      <c r="B376" s="6" t="inlineStr">
        <is>
          <t>Warteg Bolapelangi2</t>
        </is>
      </c>
      <c r="C376" s="6" t="n">
        <v>15000</v>
      </c>
      <c r="D376" s="6" t="n">
        <v>-7.9841988</v>
      </c>
      <c r="E376" s="6" t="n">
        <v>112.6283419</v>
      </c>
    </row>
    <row r="377">
      <c r="A377" s="6" t="n">
        <v>376</v>
      </c>
      <c r="B377" s="6" t="inlineStr">
        <is>
          <t>WARTEG KHARISMA BAHARI</t>
        </is>
      </c>
      <c r="C377" s="6" t="n">
        <v>17500</v>
      </c>
      <c r="D377" s="6" t="n">
        <v>-7.957037</v>
      </c>
      <c r="E377" s="6" t="n">
        <v>112.6129901</v>
      </c>
    </row>
    <row r="378">
      <c r="A378" s="6" t="n">
        <v>377</v>
      </c>
      <c r="B378" s="6" t="inlineStr">
        <is>
          <t>WARTEG AR</t>
        </is>
      </c>
      <c r="C378" s="6" t="n">
        <v>15000</v>
      </c>
      <c r="D378" s="6" t="n">
        <v>-7.9392481</v>
      </c>
      <c r="E378" s="6" t="n">
        <v>112.6242372</v>
      </c>
    </row>
    <row r="379">
      <c r="A379" s="6" t="n">
        <v>378</v>
      </c>
      <c r="B379" s="6" t="inlineStr">
        <is>
          <t>WARTEG OMAHAN</t>
        </is>
      </c>
      <c r="C379" s="6" t="n">
        <v>12000</v>
      </c>
      <c r="D379" s="6" t="n">
        <v>-7.9635876</v>
      </c>
      <c r="E379" s="6" t="n">
        <v>112.62303</v>
      </c>
    </row>
    <row r="380">
      <c r="A380" s="6" t="n">
        <v>379</v>
      </c>
      <c r="B380" s="6" t="inlineStr">
        <is>
          <t>WARTEG BU MARNI 2</t>
        </is>
      </c>
      <c r="C380" s="6" t="n">
        <v>28000</v>
      </c>
      <c r="D380" s="6" t="n">
        <v>-7.9354596</v>
      </c>
      <c r="E380" s="6" t="n">
        <v>112.6125542</v>
      </c>
    </row>
    <row r="381">
      <c r="A381" s="6" t="n">
        <v>380</v>
      </c>
      <c r="B381" s="6" t="inlineStr">
        <is>
          <t>Warung Mak Toen</t>
        </is>
      </c>
      <c r="C381" s="6" t="n">
        <v>11500</v>
      </c>
      <c r="D381" s="6" t="n">
        <v>-7.9728742</v>
      </c>
      <c r="E381" s="6" t="n">
        <v>112.6333416</v>
      </c>
    </row>
    <row r="382">
      <c r="A382" s="6" t="n">
        <v>381</v>
      </c>
      <c r="B382" s="6" t="inlineStr">
        <is>
          <t>Warung Mak Par</t>
        </is>
      </c>
      <c r="C382" s="6" t="n">
        <v>18000</v>
      </c>
      <c r="D382" s="6" t="n">
        <v>-7.9423788</v>
      </c>
      <c r="E382" s="6" t="n">
        <v>112.5971231</v>
      </c>
    </row>
    <row r="383">
      <c r="A383" s="6" t="n">
        <v>382</v>
      </c>
      <c r="B383" s="6" t="inlineStr">
        <is>
          <t>Warung Rizky</t>
        </is>
      </c>
      <c r="C383" s="6" t="n">
        <v>21999</v>
      </c>
      <c r="D383" s="6" t="n">
        <v>-7.9390632</v>
      </c>
      <c r="E383" s="6" t="n">
        <v>112.6244237</v>
      </c>
    </row>
    <row r="384">
      <c r="A384" s="6" t="n">
        <v>383</v>
      </c>
      <c r="B384" s="6" t="inlineStr">
        <is>
          <t>Warung Makan 24 Jam Rawon Cak Wan</t>
        </is>
      </c>
      <c r="C384" s="6" t="n">
        <v>120000</v>
      </c>
      <c r="D384" s="6" t="n">
        <v>-7.9396841</v>
      </c>
      <c r="E384" s="6" t="n">
        <v>112.6495234</v>
      </c>
    </row>
    <row r="385">
      <c r="A385" s="6" t="n">
        <v>384</v>
      </c>
      <c r="B385" s="6" t="inlineStr">
        <is>
          <t>Warung Pagi</t>
        </is>
      </c>
      <c r="C385" s="6" t="n">
        <v>8000</v>
      </c>
      <c r="D385" s="6" t="n">
        <v>-7.9439807</v>
      </c>
      <c r="E385" s="6" t="n">
        <v>112.6102536</v>
      </c>
    </row>
    <row r="386">
      <c r="A386" s="6" t="n">
        <v>385</v>
      </c>
      <c r="B386" s="6" t="inlineStr">
        <is>
          <t>Warteg Yonada Bahari Jalan Bondowoso</t>
        </is>
      </c>
      <c r="C386" s="6" t="n">
        <v>16000</v>
      </c>
      <c r="D386" s="6" t="n">
        <v>-7.9673881</v>
      </c>
      <c r="E386" s="6" t="n">
        <v>112.6152742</v>
      </c>
    </row>
    <row r="387">
      <c r="A387" s="6" t="n">
        <v>386</v>
      </c>
      <c r="B387" s="6" t="inlineStr">
        <is>
          <t>Warung Tegal Barokah</t>
        </is>
      </c>
      <c r="C387" s="6" t="n">
        <v>19000</v>
      </c>
      <c r="D387" s="6" t="n">
        <v>-7.927016</v>
      </c>
      <c r="E387" s="6" t="n">
        <v>112.5946095</v>
      </c>
    </row>
    <row r="388">
      <c r="A388" s="6" t="n">
        <v>387</v>
      </c>
      <c r="B388" s="6" t="inlineStr">
        <is>
          <t>WARUNG BU' WARNI - KLOJEN</t>
        </is>
      </c>
      <c r="C388" s="6" t="n">
        <v>29000</v>
      </c>
      <c r="D388" s="6" t="n">
        <v>-7.9748483</v>
      </c>
      <c r="E388" s="6" t="n">
        <v>112.6368235</v>
      </c>
    </row>
    <row r="389">
      <c r="A389" s="6" t="n">
        <v>388</v>
      </c>
      <c r="B389" s="6" t="inlineStr">
        <is>
          <t>Warteg sarirasa cab tlogomas</t>
        </is>
      </c>
      <c r="C389" s="6" t="n">
        <v>26500</v>
      </c>
      <c r="D389" s="6" t="n">
        <v>-7.9331802</v>
      </c>
      <c r="E389" s="6" t="n">
        <v>112.6037031</v>
      </c>
    </row>
    <row r="390">
      <c r="A390" s="6" t="n">
        <v>389</v>
      </c>
      <c r="B390" s="6" t="inlineStr">
        <is>
          <t>Omah Wareg</t>
        </is>
      </c>
      <c r="C390" s="6" t="n">
        <v>12000</v>
      </c>
      <c r="D390" s="6" t="n">
        <v>-7.8958904</v>
      </c>
      <c r="E390" s="6" t="n">
        <v>112.5982948</v>
      </c>
    </row>
    <row r="391">
      <c r="A391" s="6" t="n">
        <v>390</v>
      </c>
      <c r="B391" s="6" t="inlineStr">
        <is>
          <t>warteg citra baru bahari</t>
        </is>
      </c>
      <c r="C391" s="6" t="n">
        <v>17000</v>
      </c>
      <c r="D391" s="6" t="n">
        <v>-7.9453365</v>
      </c>
      <c r="E391" s="6" t="n">
        <v>112.6174489</v>
      </c>
    </row>
    <row r="392">
      <c r="A392" s="6" t="n">
        <v>391</v>
      </c>
      <c r="B392" s="6" t="inlineStr">
        <is>
          <t>WARTEG YONADA BAHARI</t>
        </is>
      </c>
      <c r="C392" s="6" t="n">
        <v>15000</v>
      </c>
      <c r="D392" s="6" t="n">
        <v>-7.940252</v>
      </c>
      <c r="E392" s="6" t="n">
        <v>112.6496395</v>
      </c>
    </row>
    <row r="393">
      <c r="A393" s="6" t="n">
        <v>392</v>
      </c>
      <c r="B393" s="6" t="inlineStr">
        <is>
          <t>Warung Makan Ma'Nia</t>
        </is>
      </c>
      <c r="C393" s="6" t="n">
        <v>12000</v>
      </c>
      <c r="D393" s="6" t="n">
        <v>-7.9595707</v>
      </c>
      <c r="E393" s="6" t="n">
        <v>112.6142223</v>
      </c>
    </row>
    <row r="394">
      <c r="A394" s="6" t="n">
        <v>393</v>
      </c>
      <c r="B394" s="6" t="inlineStr">
        <is>
          <t>Warung Hajah Sarah</t>
        </is>
      </c>
      <c r="C394" s="6" t="n">
        <v>11000</v>
      </c>
      <c r="D394" s="6" t="n">
        <v>-7.9542426</v>
      </c>
      <c r="E394" s="6" t="n">
        <v>112.6095135</v>
      </c>
    </row>
    <row r="395">
      <c r="A395" s="6" t="n">
        <v>394</v>
      </c>
      <c r="B395" s="6" t="inlineStr">
        <is>
          <t>Warung Nasi Bu Pah</t>
        </is>
      </c>
      <c r="C395" s="6" t="n">
        <v>18000</v>
      </c>
      <c r="D395" s="6" t="n">
        <v>-7.9479565</v>
      </c>
      <c r="E395" s="6" t="n">
        <v>112.6088939</v>
      </c>
    </row>
    <row r="396">
      <c r="A396" s="6" t="n">
        <v>395</v>
      </c>
      <c r="B396" s="6" t="inlineStr">
        <is>
          <t>Warteg Nakamora</t>
        </is>
      </c>
      <c r="C396" s="6" t="n">
        <v>55000</v>
      </c>
      <c r="D396" s="6" t="n">
        <v>-7.9393265</v>
      </c>
      <c r="E396" s="6" t="n">
        <v>112.6366698</v>
      </c>
    </row>
    <row r="397">
      <c r="A397" s="6" t="n">
        <v>396</v>
      </c>
      <c r="B397" s="6" t="inlineStr">
        <is>
          <t>Warung AE</t>
        </is>
      </c>
      <c r="C397" s="6" t="n">
        <v>40000</v>
      </c>
      <c r="D397" s="6" t="n">
        <v>-7.9728697</v>
      </c>
      <c r="E397" s="6" t="n">
        <v>112.6669677</v>
      </c>
    </row>
    <row r="398">
      <c r="A398" s="6" t="n">
        <v>397</v>
      </c>
      <c r="B398" s="6" t="inlineStr">
        <is>
          <t>WARUNG WAREG KEPANJEN MALANG</t>
        </is>
      </c>
      <c r="C398" s="6" t="n">
        <v>124035</v>
      </c>
      <c r="D398" s="6" t="n">
        <v>-8.0921368</v>
      </c>
      <c r="E398" s="6" t="n">
        <v>112.5856323</v>
      </c>
    </row>
    <row r="399">
      <c r="A399" s="6" t="n">
        <v>398</v>
      </c>
      <c r="B399" s="6" t="inlineStr">
        <is>
          <t>Warung Prasmanan Bu Widya</t>
        </is>
      </c>
      <c r="C399" s="6" t="n">
        <v>30000</v>
      </c>
      <c r="D399" s="6" t="n">
        <v>-7.9674079</v>
      </c>
      <c r="E399" s="6" t="n">
        <v>112.6589897</v>
      </c>
    </row>
    <row r="400">
      <c r="A400" s="6" t="n">
        <v>399</v>
      </c>
      <c r="B400" s="6" t="inlineStr">
        <is>
          <t>Warung Makan Bu diyah</t>
        </is>
      </c>
      <c r="C400" s="6" t="n">
        <v>17000</v>
      </c>
      <c r="D400" s="6" t="n">
        <v>-7.9766344</v>
      </c>
      <c r="E400" s="6" t="n">
        <v>112.6123799</v>
      </c>
    </row>
    <row r="401">
      <c r="A401" s="6" t="n">
        <v>400</v>
      </c>
      <c r="B401" s="6" t="inlineStr">
        <is>
          <t>Warung Rezeki</t>
        </is>
      </c>
      <c r="C401" s="6" t="n">
        <v>27500</v>
      </c>
      <c r="D401" s="6" t="n">
        <v>-7.9731321</v>
      </c>
      <c r="E401" s="6" t="n">
        <v>112.6170317</v>
      </c>
    </row>
    <row r="402">
      <c r="A402" s="6" t="n">
        <v>401</v>
      </c>
      <c r="B402" s="6" t="inlineStr">
        <is>
          <t>Warteg Mamoka Akordion</t>
        </is>
      </c>
      <c r="C402" s="6" t="n">
        <v>20000</v>
      </c>
      <c r="D402" s="6" t="n">
        <v>-7.9282813</v>
      </c>
      <c r="E402" s="6" t="n">
        <v>112.6149764</v>
      </c>
    </row>
    <row r="403">
      <c r="A403" s="6" t="n">
        <v>402</v>
      </c>
      <c r="B403" s="6" t="inlineStr">
        <is>
          <t>Warung Sederhana</t>
        </is>
      </c>
      <c r="C403" s="6" t="n">
        <v>250000</v>
      </c>
      <c r="D403" s="6" t="n">
        <v>-7.9456656</v>
      </c>
      <c r="E403" s="6" t="n">
        <v>112.6167327</v>
      </c>
    </row>
    <row r="404">
      <c r="A404" s="6" t="n">
        <v>403</v>
      </c>
      <c r="B404" s="6" t="inlineStr">
        <is>
          <t>Warteg 46</t>
        </is>
      </c>
      <c r="C404" s="6" t="n">
        <v>19000</v>
      </c>
      <c r="D404" s="6" t="n">
        <v>-7.9403194</v>
      </c>
      <c r="E404" s="6" t="n">
        <v>112.6210784</v>
      </c>
    </row>
    <row r="405">
      <c r="A405" s="6" t="n">
        <v>404</v>
      </c>
      <c r="B405" s="6" t="inlineStr">
        <is>
          <t>Wisata Warung Wareg</t>
        </is>
      </c>
      <c r="C405" s="6" t="n">
        <v>130300</v>
      </c>
      <c r="D405" s="6" t="n">
        <v>-7.8628503</v>
      </c>
      <c r="E405" s="6" t="n">
        <v>112.5288779</v>
      </c>
    </row>
    <row r="406">
      <c r="A406" s="6" t="n">
        <v>405</v>
      </c>
      <c r="B406" s="6" t="inlineStr">
        <is>
          <t>Catering Rumah Madinah</t>
        </is>
      </c>
      <c r="C406" s="6" t="n">
        <v>17000</v>
      </c>
      <c r="D406" s="6" t="n">
        <v>-7.948918</v>
      </c>
      <c r="E406" s="6" t="n">
        <v>112.617436</v>
      </c>
    </row>
    <row r="407">
      <c r="A407" s="6" t="n">
        <v>406</v>
      </c>
      <c r="B407" s="6" t="inlineStr">
        <is>
          <t>Titik Koma Buring</t>
        </is>
      </c>
      <c r="C407" s="6" t="n">
        <v>172700</v>
      </c>
      <c r="D407" s="6" t="n">
        <v>-7.9698273</v>
      </c>
      <c r="E407" s="6" t="n">
        <v>112.624714</v>
      </c>
    </row>
    <row r="408">
      <c r="A408" s="6" t="n">
        <v>407</v>
      </c>
      <c r="B408" s="6" t="inlineStr">
        <is>
          <t>Toko Kopi Remboeg Pawon</t>
        </is>
      </c>
      <c r="C408" s="6" t="n">
        <v>20000</v>
      </c>
      <c r="D408" s="6" t="n">
        <v>-7.9802343</v>
      </c>
      <c r="E408" s="6" t="n">
        <v>112.6263608</v>
      </c>
    </row>
    <row r="409">
      <c r="A409" s="6" t="n">
        <v>408</v>
      </c>
      <c r="B409" s="6" t="inlineStr">
        <is>
          <t>Cafe LaiLai</t>
        </is>
      </c>
      <c r="C409" s="6" t="n">
        <v>50100</v>
      </c>
      <c r="D409" s="6" t="n">
        <v>-7.9767538</v>
      </c>
      <c r="E409" s="6" t="n">
        <v>112.6276991</v>
      </c>
    </row>
    <row r="410">
      <c r="A410" s="6" t="n">
        <v>409</v>
      </c>
      <c r="B410" s="6" t="inlineStr">
        <is>
          <t>Kopi Ortu</t>
        </is>
      </c>
      <c r="C410" s="6" t="n">
        <v>65000</v>
      </c>
      <c r="D410" s="6" t="n">
        <v>-7.9742061</v>
      </c>
      <c r="E410" s="6" t="n">
        <v>112.6162998</v>
      </c>
    </row>
    <row r="411">
      <c r="A411" s="6" t="n">
        <v>410</v>
      </c>
      <c r="B411" s="6" t="inlineStr">
        <is>
          <t>Kedai Kopi tjapGiling</t>
        </is>
      </c>
      <c r="C411" s="6" t="n">
        <v>26000</v>
      </c>
      <c r="D411" s="6" t="n">
        <v>-7.957461</v>
      </c>
      <c r="E411" s="6" t="n">
        <v>112.60124</v>
      </c>
    </row>
    <row r="412">
      <c r="A412" s="6" t="n">
        <v>411</v>
      </c>
      <c r="B412" s="6" t="inlineStr">
        <is>
          <t>Warung kopi Bambu</t>
        </is>
      </c>
      <c r="C412" s="6" t="n">
        <v>37500</v>
      </c>
      <c r="D412" s="6" t="n">
        <v>-7.9775096</v>
      </c>
      <c r="E412" s="6" t="n">
        <v>112.6604038</v>
      </c>
    </row>
    <row r="413">
      <c r="A413" s="6" t="n">
        <v>412</v>
      </c>
      <c r="B413" s="6" t="inlineStr">
        <is>
          <t>My Kopi O! Malang</t>
        </is>
      </c>
      <c r="C413" s="6" t="n">
        <v>131000</v>
      </c>
      <c r="D413" s="6" t="n">
        <v>-7.9748034</v>
      </c>
      <c r="E413" s="6" t="n">
        <v>112.6235308</v>
      </c>
    </row>
    <row r="414">
      <c r="A414" s="6" t="n">
        <v>413</v>
      </c>
      <c r="B414" s="6" t="inlineStr">
        <is>
          <t>Robusto Coffee</t>
        </is>
      </c>
      <c r="C414" s="6" t="n">
        <v>108790</v>
      </c>
      <c r="D414" s="6" t="n">
        <v>-7.936619</v>
      </c>
      <c r="E414" s="6" t="n">
        <v>112.605606</v>
      </c>
    </row>
    <row r="415">
      <c r="A415" s="6" t="n">
        <v>414</v>
      </c>
      <c r="B415" s="6" t="inlineStr">
        <is>
          <t>Mifeng Kopitiam</t>
        </is>
      </c>
      <c r="C415" s="6" t="n">
        <v>97875</v>
      </c>
      <c r="D415" s="6" t="n">
        <v>-7.962855</v>
      </c>
      <c r="E415" s="6" t="n">
        <v>112.62582</v>
      </c>
    </row>
    <row r="416">
      <c r="A416" s="6" t="n">
        <v>415</v>
      </c>
      <c r="B416" s="6" t="inlineStr">
        <is>
          <t>Kopi Serut</t>
        </is>
      </c>
      <c r="C416" s="6" t="n">
        <v>35000</v>
      </c>
      <c r="D416" s="6" t="n">
        <v>-7.8836933</v>
      </c>
      <c r="E416" s="6" t="n">
        <v>112.6536527</v>
      </c>
    </row>
    <row r="417">
      <c r="A417" s="6" t="n">
        <v>416</v>
      </c>
      <c r="B417" s="6" t="inlineStr">
        <is>
          <t>Kedai Ramah Djiwa</t>
        </is>
      </c>
      <c r="C417" s="6" t="n">
        <v>32000</v>
      </c>
      <c r="D417" s="6" t="n">
        <v>-7.9575113</v>
      </c>
      <c r="E417" s="6" t="n">
        <v>112.634563</v>
      </c>
    </row>
    <row r="418">
      <c r="A418" s="6" t="n">
        <v>417</v>
      </c>
      <c r="B418" s="6" t="inlineStr">
        <is>
          <t>Beryl Coffee</t>
        </is>
      </c>
      <c r="C418" s="6" t="n">
        <v>22000</v>
      </c>
      <c r="D418" s="6" t="n">
        <v>-7.9612922</v>
      </c>
      <c r="E418" s="6" t="n">
        <v>112.6312716</v>
      </c>
    </row>
    <row r="419">
      <c r="A419" s="6" t="n">
        <v>418</v>
      </c>
      <c r="B419" s="6" t="inlineStr">
        <is>
          <t>Toko Kopi Jaya, Sukun</t>
        </is>
      </c>
      <c r="C419" s="6" t="n">
        <v>62000</v>
      </c>
      <c r="D419" s="6" t="n">
        <v>-7.9920686</v>
      </c>
      <c r="E419" s="6" t="n">
        <v>112.6208302</v>
      </c>
    </row>
    <row r="420">
      <c r="A420" s="6" t="n">
        <v>419</v>
      </c>
      <c r="B420" s="6" t="inlineStr">
        <is>
          <t>Warung Kopi 69 - Kedai69 - Cafe69</t>
        </is>
      </c>
      <c r="C420" s="6" t="n">
        <v>18000</v>
      </c>
      <c r="D420" s="6" t="n">
        <v>-7.9444957</v>
      </c>
      <c r="E420" s="6" t="n">
        <v>112.6318192</v>
      </c>
    </row>
    <row r="421">
      <c r="A421" s="6" t="n">
        <v>420</v>
      </c>
      <c r="B421" s="6" t="inlineStr">
        <is>
          <t>Cak Ril Kopi</t>
        </is>
      </c>
      <c r="C421" s="6" t="n">
        <v>325000</v>
      </c>
      <c r="D421" s="6" t="n">
        <v>-7.9531979</v>
      </c>
      <c r="E421" s="6" t="n">
        <v>112.6067663</v>
      </c>
    </row>
    <row r="422">
      <c r="A422" s="6" t="n">
        <v>421</v>
      </c>
      <c r="B422" s="6" t="inlineStr">
        <is>
          <t>Oppa Express</t>
        </is>
      </c>
      <c r="C422" s="6" t="n">
        <v>33000</v>
      </c>
      <c r="D422" s="6" t="n">
        <v>-7.9786261</v>
      </c>
      <c r="E422" s="6" t="n">
        <v>112.6293696</v>
      </c>
    </row>
    <row r="423">
      <c r="A423" s="6" t="n">
        <v>422</v>
      </c>
      <c r="B423" s="6" t="inlineStr">
        <is>
          <t>Kopi Hamur Mbah Ndut</t>
        </is>
      </c>
      <c r="C423" s="6" t="n">
        <v>7000</v>
      </c>
      <c r="D423" s="6" t="n">
        <v>-7.9789427</v>
      </c>
      <c r="E423" s="6" t="n">
        <v>112.6282282</v>
      </c>
    </row>
    <row r="424">
      <c r="A424" s="6" t="n">
        <v>423</v>
      </c>
      <c r="B424" s="6" t="inlineStr">
        <is>
          <t>Kedai Kopi Kembang</t>
        </is>
      </c>
      <c r="C424" s="6" t="n">
        <v>11000</v>
      </c>
      <c r="D424" s="6" t="n">
        <v>-7.9248101</v>
      </c>
      <c r="E424" s="6" t="n">
        <v>112.6212925</v>
      </c>
    </row>
    <row r="425">
      <c r="A425" s="6" t="n">
        <v>424</v>
      </c>
      <c r="B425" s="6" t="inlineStr">
        <is>
          <t>Toko kopi sudawirat</t>
        </is>
      </c>
      <c r="C425" s="6" t="n">
        <v>95000</v>
      </c>
      <c r="D425" s="6" t="n">
        <v>-7.9526961</v>
      </c>
      <c r="E425" s="6" t="n">
        <v>112.6367035</v>
      </c>
    </row>
    <row r="426">
      <c r="A426" s="6" t="n">
        <v>425</v>
      </c>
      <c r="B426" s="6" t="inlineStr">
        <is>
          <t>rata.space</t>
        </is>
      </c>
      <c r="C426" s="6" t="n">
        <v>37500</v>
      </c>
      <c r="D426" s="6" t="n">
        <v>-7.9629997</v>
      </c>
      <c r="E426" s="6" t="n">
        <v>112.6243492</v>
      </c>
    </row>
    <row r="427">
      <c r="A427" s="6" t="n">
        <v>426</v>
      </c>
      <c r="B427" s="6" t="inlineStr">
        <is>
          <t>Warung Kopi Aroma Spesial Mie Bangladesh</t>
        </is>
      </c>
      <c r="C427" s="6" t="n">
        <v>47000</v>
      </c>
      <c r="D427" s="6" t="n">
        <v>-7.9618021</v>
      </c>
      <c r="E427" s="6" t="n">
        <v>112.6210638</v>
      </c>
    </row>
    <row r="428">
      <c r="A428" s="6" t="n">
        <v>427</v>
      </c>
      <c r="B428" s="6" t="inlineStr">
        <is>
          <t>RANDAB IPOK</t>
        </is>
      </c>
      <c r="C428" s="6" t="n">
        <v>133000</v>
      </c>
      <c r="D428" s="6" t="n">
        <v>-7.9654256</v>
      </c>
      <c r="E428" s="6" t="n">
        <v>112.6134696</v>
      </c>
    </row>
    <row r="429">
      <c r="A429" s="6" t="n">
        <v>428</v>
      </c>
      <c r="B429" s="6" t="inlineStr">
        <is>
          <t>Hambre Coffee</t>
        </is>
      </c>
      <c r="C429" s="6" t="n">
        <v>20000</v>
      </c>
      <c r="D429" s="6" t="n">
        <v>-8.0128839</v>
      </c>
      <c r="E429" s="6" t="n">
        <v>112.6194948</v>
      </c>
    </row>
    <row r="430">
      <c r="A430" s="6" t="n">
        <v>429</v>
      </c>
      <c r="B430" s="6" t="inlineStr">
        <is>
          <t>Halter Coffee</t>
        </is>
      </c>
      <c r="C430" s="6" t="n">
        <v>61200</v>
      </c>
      <c r="D430" s="6" t="n">
        <v>-7.960639</v>
      </c>
      <c r="E430" s="6" t="n">
        <v>112.632243</v>
      </c>
    </row>
    <row r="431">
      <c r="A431" s="6" t="n">
        <v>430</v>
      </c>
      <c r="B431" s="6" t="inlineStr">
        <is>
          <t>Ladang Coffee</t>
        </is>
      </c>
      <c r="C431" s="6" t="n">
        <v>39600</v>
      </c>
      <c r="D431" s="6" t="n">
        <v>-7.9682658</v>
      </c>
      <c r="E431" s="6" t="n">
        <v>112.6275655</v>
      </c>
    </row>
    <row r="432">
      <c r="A432" s="6" t="n">
        <v>431</v>
      </c>
      <c r="B432" s="6" t="inlineStr">
        <is>
          <t>Workshop Kopi</t>
        </is>
      </c>
      <c r="C432" s="6" t="n">
        <v>55000</v>
      </c>
      <c r="D432" s="6" t="n">
        <v>-8.051133099999999</v>
      </c>
      <c r="E432" s="6" t="n">
        <v>112.6425826</v>
      </c>
    </row>
    <row r="433">
      <c r="A433" s="6" t="n">
        <v>432</v>
      </c>
      <c r="B433" s="6" t="inlineStr">
        <is>
          <t>gingsul kopi &amp; kudapan</t>
        </is>
      </c>
      <c r="C433" s="6" t="n">
        <v>68124</v>
      </c>
      <c r="D433" s="6" t="n">
        <v>-7.9644883</v>
      </c>
      <c r="E433" s="6" t="n">
        <v>112.624798</v>
      </c>
    </row>
    <row r="434">
      <c r="A434" s="6" t="n">
        <v>433</v>
      </c>
      <c r="B434" s="6" t="inlineStr">
        <is>
          <t>The Grove Cafe Malang</t>
        </is>
      </c>
      <c r="C434" s="6" t="n">
        <v>300000</v>
      </c>
      <c r="D434" s="6" t="n">
        <v>-7.9724171</v>
      </c>
      <c r="E434" s="6" t="n">
        <v>112.6184917</v>
      </c>
    </row>
    <row r="435">
      <c r="A435" s="6" t="n">
        <v>434</v>
      </c>
      <c r="B435" s="6" t="inlineStr">
        <is>
          <t>Lapidoth Cafe and Patisserie</t>
        </is>
      </c>
      <c r="C435" s="6" t="n">
        <v>263340</v>
      </c>
      <c r="D435" s="6" t="n">
        <v>-7.9833241</v>
      </c>
      <c r="E435" s="6" t="n">
        <v>112.6298451</v>
      </c>
    </row>
    <row r="436">
      <c r="A436" s="6" t="n">
        <v>435</v>
      </c>
      <c r="B436" s="6" t="inlineStr">
        <is>
          <t>Lafayette Coffee &amp; Eatery</t>
        </is>
      </c>
      <c r="C436" s="6" t="n">
        <v>49000</v>
      </c>
      <c r="D436" s="6" t="n">
        <v>-7.9762568</v>
      </c>
      <c r="E436" s="6" t="n">
        <v>112.6291195</v>
      </c>
    </row>
    <row r="437">
      <c r="A437" s="6" t="n">
        <v>436</v>
      </c>
      <c r="B437" s="6" t="inlineStr">
        <is>
          <t>Koppi Asia Malang | Coffee &amp; Eatery Malang</t>
        </is>
      </c>
      <c r="C437" s="6" t="n">
        <v>62500</v>
      </c>
      <c r="D437" s="6" t="n">
        <v>-7.9576795</v>
      </c>
      <c r="E437" s="6" t="n">
        <v>112.6073449</v>
      </c>
    </row>
    <row r="438">
      <c r="A438" s="6" t="n">
        <v>437</v>
      </c>
      <c r="B438" s="6" t="inlineStr">
        <is>
          <t>Oui Coffee Malang</t>
        </is>
      </c>
      <c r="C438" s="6" t="n">
        <v>70000</v>
      </c>
      <c r="D438" s="6" t="n">
        <v>-7.9267033</v>
      </c>
      <c r="E438" s="6" t="n">
        <v>112.6453935</v>
      </c>
    </row>
    <row r="439">
      <c r="A439" s="6" t="n">
        <v>438</v>
      </c>
      <c r="B439" s="6" t="inlineStr">
        <is>
          <t>And Coffee Space</t>
        </is>
      </c>
      <c r="C439" s="6" t="n">
        <v>15000</v>
      </c>
      <c r="D439" s="6" t="n">
        <v>-7.9631751</v>
      </c>
      <c r="E439" s="6" t="n">
        <v>112.6220671</v>
      </c>
    </row>
    <row r="440">
      <c r="A440" s="6" t="n">
        <v>439</v>
      </c>
      <c r="B440" s="6" t="inlineStr">
        <is>
          <t>Egg And Butter</t>
        </is>
      </c>
      <c r="C440" s="6" t="n">
        <v>84000</v>
      </c>
      <c r="D440" s="6" t="n">
        <v>-7.2990071</v>
      </c>
      <c r="E440" s="6" t="n">
        <v>112.7855545</v>
      </c>
    </row>
    <row r="441">
      <c r="A441" s="6" t="n">
        <v>440</v>
      </c>
      <c r="B441" s="6" t="inlineStr">
        <is>
          <t>Bataputi Coffee House</t>
        </is>
      </c>
      <c r="C441" s="6" t="n">
        <v>71250</v>
      </c>
      <c r="D441" s="6" t="n">
        <v>-7.9401249</v>
      </c>
      <c r="E441" s="6" t="n">
        <v>112.6642684</v>
      </c>
    </row>
    <row r="442">
      <c r="A442" s="6" t="n">
        <v>441</v>
      </c>
      <c r="B442" s="6" t="inlineStr">
        <is>
          <t>Ada Apa Dengan Kopi (AADK)</t>
        </is>
      </c>
      <c r="C442" s="6" t="n">
        <v>48000</v>
      </c>
      <c r="D442" s="6" t="n">
        <v>-7.289975</v>
      </c>
      <c r="E442" s="6" t="n">
        <v>112.7882303</v>
      </c>
    </row>
    <row r="443">
      <c r="A443" s="6" t="n">
        <v>442</v>
      </c>
      <c r="B443" s="6" t="inlineStr">
        <is>
          <t>Henshin Coffee Cafe</t>
        </is>
      </c>
      <c r="C443" s="6" t="n">
        <v>45000</v>
      </c>
      <c r="D443" s="6" t="n">
        <v>-7.9394617</v>
      </c>
      <c r="E443" s="6" t="n">
        <v>112.5938292</v>
      </c>
    </row>
    <row r="444">
      <c r="A444" s="6" t="n">
        <v>443</v>
      </c>
      <c r="B444" s="6" t="inlineStr">
        <is>
          <t>Naiki Cafe</t>
        </is>
      </c>
      <c r="C444" s="6" t="n">
        <v>105000</v>
      </c>
      <c r="D444" s="6" t="n">
        <v>-7.974972</v>
      </c>
      <c r="E444" s="6" t="n">
        <v>112.626137</v>
      </c>
    </row>
    <row r="445">
      <c r="A445" s="6" t="n">
        <v>444</v>
      </c>
      <c r="B445" s="6" t="inlineStr">
        <is>
          <t>Capella Coffee &amp; Eatery</t>
        </is>
      </c>
      <c r="C445" s="6" t="n">
        <v>33600</v>
      </c>
      <c r="D445" s="6" t="n">
        <v>-7.9408646</v>
      </c>
      <c r="E445" s="6" t="n">
        <v>112.5794296</v>
      </c>
    </row>
    <row r="446">
      <c r="A446" s="6" t="n">
        <v>445</v>
      </c>
      <c r="B446" s="6" t="inlineStr">
        <is>
          <t>Forenoon Coffee</t>
        </is>
      </c>
      <c r="C446" s="6" t="n">
        <v>116400</v>
      </c>
      <c r="D446" s="6" t="n">
        <v>-7.9418084</v>
      </c>
      <c r="E446" s="6" t="n">
        <v>112.6610201</v>
      </c>
    </row>
    <row r="447">
      <c r="A447" s="6" t="n">
        <v>446</v>
      </c>
      <c r="B447" s="6" t="inlineStr">
        <is>
          <t>Andzero</t>
        </is>
      </c>
      <c r="C447" s="6" t="n">
        <v>84500</v>
      </c>
      <c r="D447" s="6" t="n">
        <v>-7.3045468</v>
      </c>
      <c r="E447" s="6" t="n">
        <v>112.768486</v>
      </c>
    </row>
    <row r="448">
      <c r="A448" s="6" t="n">
        <v>447</v>
      </c>
      <c r="B448" s="6" t="inlineStr">
        <is>
          <t>Roewang Tamoe Coffee &amp; Space</t>
        </is>
      </c>
      <c r="C448" s="6" t="n">
        <v>85000</v>
      </c>
      <c r="D448" s="6" t="n">
        <v>-7.9861563</v>
      </c>
      <c r="E448" s="6" t="n">
        <v>112.6530101</v>
      </c>
    </row>
    <row r="449">
      <c r="A449" s="6" t="n">
        <v>448</v>
      </c>
      <c r="B449" s="6" t="inlineStr">
        <is>
          <t>nowhere coffee</t>
        </is>
      </c>
      <c r="C449" s="6" t="n">
        <v>55600</v>
      </c>
      <c r="D449" s="6" t="n">
        <v>-7.9572232</v>
      </c>
      <c r="E449" s="6" t="n">
        <v>112.617358</v>
      </c>
    </row>
    <row r="450">
      <c r="A450" s="6" t="n">
        <v>449</v>
      </c>
      <c r="B450" s="6" t="inlineStr">
        <is>
          <t>The Localist Coffee and Bistro Surabaya</t>
        </is>
      </c>
      <c r="C450" s="6" t="n">
        <v>79000</v>
      </c>
      <c r="D450" s="6" t="n">
        <v>-7.2900085</v>
      </c>
      <c r="E450" s="6" t="n">
        <v>112.7770857</v>
      </c>
    </row>
    <row r="451">
      <c r="A451" s="6" t="n">
        <v>450</v>
      </c>
      <c r="B451" s="6" t="inlineStr">
        <is>
          <t>Bohemian Cafe</t>
        </is>
      </c>
      <c r="C451" s="6" t="n">
        <v>32000</v>
      </c>
      <c r="D451" s="6" t="n">
        <v>-7.9747424</v>
      </c>
      <c r="E451" s="6" t="n">
        <v>112.6168467</v>
      </c>
    </row>
    <row r="452">
      <c r="A452" s="6" t="n">
        <v>451</v>
      </c>
      <c r="B452" s="6" t="inlineStr">
        <is>
          <t>Nakoa Cafe Bondowoso</t>
        </is>
      </c>
      <c r="C452" s="6" t="n">
        <v>38000</v>
      </c>
      <c r="D452" s="6" t="n">
        <v>-7.9674742</v>
      </c>
      <c r="E452" s="6" t="n">
        <v>112.6163677</v>
      </c>
    </row>
    <row r="453">
      <c r="A453" s="6" t="n">
        <v>452</v>
      </c>
      <c r="B453" s="6" t="inlineStr">
        <is>
          <t>Ruca Koffie</t>
        </is>
      </c>
      <c r="C453" s="6" t="n">
        <v>173750</v>
      </c>
      <c r="D453" s="6" t="n">
        <v>-7.9710492</v>
      </c>
      <c r="E453" s="6" t="n">
        <v>112.6353339</v>
      </c>
    </row>
    <row r="454">
      <c r="A454" s="6" t="n">
        <v>453</v>
      </c>
      <c r="B454" s="6" t="inlineStr">
        <is>
          <t>Brick Lane Coffee Malang</t>
        </is>
      </c>
      <c r="C454" s="6" t="n">
        <v>250000</v>
      </c>
      <c r="D454" s="6" t="n">
        <v>-7.9645091</v>
      </c>
      <c r="E454" s="6" t="n">
        <v>112.6189659</v>
      </c>
    </row>
    <row r="455">
      <c r="A455" s="6" t="n">
        <v>454</v>
      </c>
      <c r="B455" s="6" t="inlineStr">
        <is>
          <t>Dekker Koffie</t>
        </is>
      </c>
      <c r="C455" s="6" t="n">
        <v>99000</v>
      </c>
      <c r="D455" s="6" t="n">
        <v>-7.9627919</v>
      </c>
      <c r="E455" s="6" t="n">
        <v>112.6201583</v>
      </c>
    </row>
    <row r="456">
      <c r="A456" s="6" t="n">
        <v>455</v>
      </c>
      <c r="B456" s="6" t="inlineStr">
        <is>
          <t>Robucca</t>
        </is>
      </c>
      <c r="C456" s="6" t="n">
        <v>47500</v>
      </c>
      <c r="D456" s="6" t="n">
        <v>-7.9794879</v>
      </c>
      <c r="E456" s="6" t="n">
        <v>112.6173849</v>
      </c>
    </row>
    <row r="457">
      <c r="A457" s="6" t="n">
        <v>456</v>
      </c>
      <c r="B457" s="6" t="inlineStr">
        <is>
          <t>KAF Cafe</t>
        </is>
      </c>
      <c r="C457" s="6" t="n">
        <v>133000</v>
      </c>
      <c r="D457" s="6" t="n">
        <v>-7.9450156</v>
      </c>
      <c r="E457" s="6" t="n">
        <v>112.6115516</v>
      </c>
    </row>
    <row r="458">
      <c r="A458" s="6" t="n">
        <v>457</v>
      </c>
      <c r="B458" s="6" t="inlineStr">
        <is>
          <t>the lust coffee &amp; co</t>
        </is>
      </c>
      <c r="C458" s="6" t="n">
        <v>26000</v>
      </c>
      <c r="D458" s="6" t="n">
        <v>-7.9409434</v>
      </c>
      <c r="E458" s="6" t="n">
        <v>112.6606436</v>
      </c>
    </row>
    <row r="459">
      <c r="A459" s="6" t="n">
        <v>458</v>
      </c>
      <c r="B459" s="6" t="inlineStr">
        <is>
          <t>Hidden Leaf Coffee &amp; Roastery</t>
        </is>
      </c>
      <c r="C459" s="6" t="n">
        <v>34375</v>
      </c>
      <c r="D459" s="6" t="n">
        <v>-8.023792800000001</v>
      </c>
      <c r="E459" s="6" t="n">
        <v>112.6427065</v>
      </c>
    </row>
    <row r="460">
      <c r="A460" s="6" t="n">
        <v>459</v>
      </c>
      <c r="B460" s="6" t="inlineStr">
        <is>
          <t>Soma Coffee - Malang</t>
        </is>
      </c>
      <c r="C460" s="6" t="n">
        <v>140000</v>
      </c>
      <c r="D460" s="6" t="n">
        <v>-7.9787275</v>
      </c>
      <c r="E460" s="6" t="n">
        <v>112.6292464</v>
      </c>
    </row>
    <row r="461">
      <c r="A461" s="6" t="n">
        <v>460</v>
      </c>
      <c r="B461" s="6" t="inlineStr">
        <is>
          <t>All About Koffie by Kawisari</t>
        </is>
      </c>
      <c r="C461" s="6" t="n">
        <v>61000</v>
      </c>
      <c r="D461" s="6" t="n">
        <v>-7.9782753</v>
      </c>
      <c r="E461" s="6" t="n">
        <v>112.6291264</v>
      </c>
    </row>
    <row r="462">
      <c r="A462" s="6" t="n">
        <v>461</v>
      </c>
      <c r="B462" s="6" t="inlineStr">
        <is>
          <t>Lupa Lelah Cafe</t>
        </is>
      </c>
      <c r="C462" s="6" t="n">
        <v>22000</v>
      </c>
      <c r="D462" s="6" t="n">
        <v>-7.9344841</v>
      </c>
      <c r="E462" s="6" t="n">
        <v>112.6291273</v>
      </c>
    </row>
    <row r="463">
      <c r="A463" s="6" t="n">
        <v>462</v>
      </c>
      <c r="B463" s="6" t="inlineStr">
        <is>
          <t>Kopi Kakak - Pucang Anom Timur</t>
        </is>
      </c>
      <c r="C463" s="6" t="n">
        <v>144000</v>
      </c>
      <c r="D463" s="6" t="n">
        <v>-7.2848976</v>
      </c>
      <c r="E463" s="6" t="n">
        <v>112.755551</v>
      </c>
    </row>
    <row r="464">
      <c r="A464" s="6" t="n">
        <v>463</v>
      </c>
      <c r="B464" s="6" t="inlineStr">
        <is>
          <t>De Historien Koffie Malang</t>
        </is>
      </c>
      <c r="C464" s="6" t="n">
        <v>31000</v>
      </c>
      <c r="D464" s="6" t="n">
        <v>-7.9336821</v>
      </c>
      <c r="E464" s="6" t="n">
        <v>112.6499203</v>
      </c>
    </row>
    <row r="465">
      <c r="A465" s="6" t="n">
        <v>464</v>
      </c>
      <c r="B465" s="6" t="inlineStr">
        <is>
          <t>coffee story</t>
        </is>
      </c>
      <c r="C465" s="6" t="n">
        <v>63000</v>
      </c>
      <c r="D465" s="6" t="n">
        <v>-7.9825009</v>
      </c>
      <c r="E465" s="6" t="n">
        <v>112.6365566</v>
      </c>
    </row>
    <row r="466">
      <c r="A466" s="6" t="n">
        <v>465</v>
      </c>
      <c r="B466" s="6" t="inlineStr">
        <is>
          <t>Motiv Coffee</t>
        </is>
      </c>
      <c r="C466" s="6" t="n">
        <v>35000</v>
      </c>
      <c r="D466" s="6" t="n">
        <v>-7.9462133</v>
      </c>
      <c r="E466" s="6" t="n">
        <v>112.6131483</v>
      </c>
    </row>
    <row r="467">
      <c r="A467" s="6" t="n">
        <v>466</v>
      </c>
      <c r="B467" s="6" t="inlineStr">
        <is>
          <t>Calathea Garden</t>
        </is>
      </c>
      <c r="C467" s="6" t="n">
        <v>19500</v>
      </c>
      <c r="D467" s="6" t="n">
        <v>-7.9807485</v>
      </c>
      <c r="E467" s="6" t="n">
        <v>112.629032</v>
      </c>
    </row>
    <row r="468">
      <c r="A468" s="6" t="n">
        <v>467</v>
      </c>
      <c r="B468" s="6" t="inlineStr">
        <is>
          <t>Kopi Zocco</t>
        </is>
      </c>
      <c r="C468" s="6" t="n">
        <v>53000</v>
      </c>
      <c r="D468" s="6" t="n">
        <v>-7.9575219</v>
      </c>
      <c r="E468" s="6" t="n">
        <v>112.6451674</v>
      </c>
    </row>
    <row r="469">
      <c r="A469" s="6" t="n">
        <v>468</v>
      </c>
      <c r="B469" s="6" t="inlineStr">
        <is>
          <t>Sixteenhaus</t>
        </is>
      </c>
      <c r="C469" s="6" t="n">
        <v>45000</v>
      </c>
      <c r="D469" s="6" t="n">
        <v>-7.9758449</v>
      </c>
      <c r="E469" s="6" t="n">
        <v>112.6171499</v>
      </c>
    </row>
    <row r="470">
      <c r="A470" s="6" t="n">
        <v>469</v>
      </c>
      <c r="B470" s="6" t="inlineStr">
        <is>
          <t>KOZI Coffee Malang</t>
        </is>
      </c>
      <c r="C470" s="6" t="n">
        <v>60000</v>
      </c>
      <c r="D470" s="6" t="n">
        <v>-7.9618078</v>
      </c>
      <c r="E470" s="6" t="n">
        <v>112.6242126</v>
      </c>
    </row>
    <row r="471">
      <c r="A471" s="6" t="n">
        <v>470</v>
      </c>
      <c r="B471" s="6" t="inlineStr">
        <is>
          <t>Queen coffee malang</t>
        </is>
      </c>
      <c r="C471" s="6" t="n">
        <v>12500</v>
      </c>
      <c r="D471" s="6" t="n">
        <v>-7.9725129</v>
      </c>
      <c r="E471" s="6" t="n">
        <v>112.6418945</v>
      </c>
    </row>
    <row r="472">
      <c r="A472" s="6" t="n">
        <v>471</v>
      </c>
      <c r="B472" s="6" t="inlineStr">
        <is>
          <t>Kopi Sontoloyo</t>
        </is>
      </c>
      <c r="C472" s="6" t="n">
        <v>15000</v>
      </c>
      <c r="D472" s="6" t="n">
        <v>-7.938053</v>
      </c>
      <c r="E472" s="6" t="n">
        <v>112.5849777</v>
      </c>
    </row>
    <row r="473">
      <c r="A473" s="6" t="n">
        <v>472</v>
      </c>
      <c r="B473" s="6" t="inlineStr">
        <is>
          <t>Jeda Cafe Rooftop</t>
        </is>
      </c>
      <c r="C473" s="6" t="n">
        <v>60000</v>
      </c>
      <c r="D473" s="6" t="n">
        <v>-7.9276466</v>
      </c>
      <c r="E473" s="6" t="n">
        <v>112.6063469</v>
      </c>
    </row>
    <row r="474">
      <c r="A474" s="6" t="n">
        <v>473</v>
      </c>
      <c r="B474" s="6" t="inlineStr">
        <is>
          <t>Blue Doors Surabaya</t>
        </is>
      </c>
      <c r="C474" s="6" t="n">
        <v>60000</v>
      </c>
      <c r="D474" s="6" t="n">
        <v>-7.2777983</v>
      </c>
      <c r="E474" s="6" t="n">
        <v>112.7356596</v>
      </c>
    </row>
    <row r="475">
      <c r="A475" s="6" t="n">
        <v>474</v>
      </c>
      <c r="B475" s="6" t="inlineStr">
        <is>
          <t>OURA - Cafe &amp; Restaurant</t>
        </is>
      </c>
      <c r="C475" s="6" t="n">
        <v>189750</v>
      </c>
      <c r="D475" s="6" t="n">
        <v>-7.9678288</v>
      </c>
      <c r="E475" s="6" t="n">
        <v>112.6217853</v>
      </c>
    </row>
    <row r="476">
      <c r="A476" s="6" t="n">
        <v>475</v>
      </c>
      <c r="B476" s="6" t="inlineStr">
        <is>
          <t>Amstirdam Coffee Mergan</t>
        </is>
      </c>
      <c r="C476" s="6" t="n">
        <v>250000</v>
      </c>
      <c r="D476" s="6" t="n">
        <v>-7.983007</v>
      </c>
      <c r="E476" s="6" t="n">
        <v>112.6160149</v>
      </c>
    </row>
    <row r="477">
      <c r="A477" s="6" t="n">
        <v>476</v>
      </c>
      <c r="B477" s="6" t="inlineStr">
        <is>
          <t>Konoae Warung A La Cafe, Klampis Ngasem</t>
        </is>
      </c>
      <c r="C477" s="6" t="n">
        <v>65800</v>
      </c>
      <c r="D477" s="6" t="n">
        <v>-7.2840839</v>
      </c>
      <c r="E477" s="6" t="n">
        <v>112.7757231</v>
      </c>
    </row>
    <row r="478">
      <c r="A478" s="6" t="n">
        <v>477</v>
      </c>
      <c r="B478" s="6" t="inlineStr">
        <is>
          <t>LOT #1 Coffee Bar</t>
        </is>
      </c>
      <c r="C478" s="6" t="n">
        <v>73750</v>
      </c>
      <c r="D478" s="6" t="n">
        <v>-7.2707183</v>
      </c>
      <c r="E478" s="6" t="n">
        <v>112.7908659</v>
      </c>
    </row>
    <row r="479">
      <c r="A479" s="6" t="n">
        <v>478</v>
      </c>
      <c r="B479" s="6" t="inlineStr">
        <is>
          <t>LaLeite Coffee</t>
        </is>
      </c>
      <c r="C479" s="6" t="n">
        <v>275000</v>
      </c>
      <c r="D479" s="6" t="n">
        <v>-7.9410234</v>
      </c>
      <c r="E479" s="6" t="n">
        <v>112.637541</v>
      </c>
    </row>
    <row r="480">
      <c r="A480" s="6" t="n">
        <v>479</v>
      </c>
      <c r="B480" s="6" t="inlineStr">
        <is>
          <t>Grain Alley</t>
        </is>
      </c>
      <c r="C480" s="6" t="n">
        <v>178250</v>
      </c>
      <c r="D480" s="6" t="n">
        <v>-7.967947</v>
      </c>
      <c r="E480" s="6" t="n">
        <v>112.6253293</v>
      </c>
    </row>
    <row r="481">
      <c r="A481" s="6" t="n">
        <v>480</v>
      </c>
      <c r="B481" s="6" t="inlineStr">
        <is>
          <t>MMMM Coffee</t>
        </is>
      </c>
      <c r="C481" s="6" t="n">
        <v>76000</v>
      </c>
      <c r="D481" s="6" t="n">
        <v>-7.9755356</v>
      </c>
      <c r="E481" s="6" t="n">
        <v>112.6228085</v>
      </c>
    </row>
    <row r="482">
      <c r="A482" s="6" t="n">
        <v>481</v>
      </c>
      <c r="B482" s="6" t="inlineStr">
        <is>
          <t>La Luna Space</t>
        </is>
      </c>
      <c r="C482" s="6" t="n">
        <v>50000</v>
      </c>
      <c r="D482" s="6" t="n">
        <v>-7.9557214</v>
      </c>
      <c r="E482" s="6" t="n">
        <v>112.6057954</v>
      </c>
    </row>
    <row r="483">
      <c r="A483" s="6" t="n">
        <v>482</v>
      </c>
      <c r="B483" s="6" t="inlineStr">
        <is>
          <t>UB Coffee - Coffee &amp; Eatery</t>
        </is>
      </c>
      <c r="C483" s="6" t="n">
        <v>54000</v>
      </c>
      <c r="D483" s="6" t="n">
        <v>-7.9477396</v>
      </c>
      <c r="E483" s="6" t="n">
        <v>112.6132613</v>
      </c>
    </row>
    <row r="484">
      <c r="A484" s="6" t="n">
        <v>483</v>
      </c>
      <c r="B484" s="6" t="inlineStr">
        <is>
          <t>Droomhaven Coffee Shop</t>
        </is>
      </c>
      <c r="C484" s="6" t="n">
        <v>150000</v>
      </c>
      <c r="D484" s="6" t="n">
        <v>-7.9641398</v>
      </c>
      <c r="E484" s="6" t="n">
        <v>112.6428931</v>
      </c>
    </row>
    <row r="485">
      <c r="A485" s="6" t="n">
        <v>484</v>
      </c>
      <c r="B485" s="6" t="inlineStr">
        <is>
          <t>KOPI BUJEND</t>
        </is>
      </c>
      <c r="C485" s="6" t="n">
        <v>12700</v>
      </c>
      <c r="D485" s="6" t="n">
        <v>-7.2664116</v>
      </c>
      <c r="E485" s="6" t="n">
        <v>112.7714516</v>
      </c>
    </row>
    <row r="486">
      <c r="A486" s="6" t="n">
        <v>485</v>
      </c>
      <c r="B486" s="6" t="inlineStr">
        <is>
          <t>Kopi Titik Koma Tenggilis</t>
        </is>
      </c>
      <c r="C486" s="6" t="n">
        <v>119000</v>
      </c>
      <c r="D486" s="6" t="n">
        <v>-7.3203757</v>
      </c>
      <c r="E486" s="6" t="n">
        <v>112.7663575</v>
      </c>
    </row>
    <row r="487">
      <c r="A487" s="6" t="n">
        <v>486</v>
      </c>
      <c r="B487" s="6" t="inlineStr">
        <is>
          <t>Seniman Coffee Trunojoyo</t>
        </is>
      </c>
      <c r="C487" s="6" t="n">
        <v>322936</v>
      </c>
      <c r="D487" s="6" t="n">
        <v>-7.2848579</v>
      </c>
      <c r="E487" s="6" t="n">
        <v>112.735288</v>
      </c>
    </row>
    <row r="488">
      <c r="A488" s="6" t="n">
        <v>487</v>
      </c>
      <c r="B488" s="6" t="inlineStr">
        <is>
          <t>Tenthirty coffee and eatery</t>
        </is>
      </c>
      <c r="C488" s="6" t="n">
        <v>33000</v>
      </c>
      <c r="D488" s="6" t="n">
        <v>-7.9360908</v>
      </c>
      <c r="E488" s="6" t="n">
        <v>112.6247192</v>
      </c>
    </row>
    <row r="489">
      <c r="A489" s="6" t="n">
        <v>488</v>
      </c>
      <c r="B489" s="6" t="inlineStr">
        <is>
          <t>SWAG COFFEE Co. Space</t>
        </is>
      </c>
      <c r="C489" s="6" t="n">
        <v>60000</v>
      </c>
      <c r="D489" s="6" t="n">
        <v>-7.9703752</v>
      </c>
      <c r="E489" s="6" t="n">
        <v>112.6607042</v>
      </c>
    </row>
    <row r="490">
      <c r="A490" s="6" t="n">
        <v>489</v>
      </c>
      <c r="B490" s="6" t="inlineStr">
        <is>
          <t>Retawu Deli</t>
        </is>
      </c>
      <c r="C490" s="6" t="n">
        <v>86350</v>
      </c>
      <c r="D490" s="6" t="n">
        <v>-7.9710993</v>
      </c>
      <c r="E490" s="6" t="n">
        <v>112.6208851</v>
      </c>
    </row>
    <row r="491">
      <c r="A491" s="6" t="n">
        <v>490</v>
      </c>
      <c r="B491" s="6" t="inlineStr">
        <is>
          <t>Partikular Coffee</t>
        </is>
      </c>
      <c r="C491" s="6" t="n">
        <v>238000</v>
      </c>
      <c r="D491" s="6" t="n">
        <v>-7.9810387</v>
      </c>
      <c r="E491" s="6" t="n">
        <v>112.6278531</v>
      </c>
    </row>
    <row r="492">
      <c r="A492" s="6" t="n">
        <v>491</v>
      </c>
      <c r="B492" s="6" t="inlineStr">
        <is>
          <t>Nasi Babat Kampung Malang Surabaya</t>
        </is>
      </c>
      <c r="C492" s="6" t="n">
        <v>35000</v>
      </c>
      <c r="D492" s="6" t="n">
        <v>-7.2705997</v>
      </c>
      <c r="E492" s="6" t="n">
        <v>112.7351861</v>
      </c>
    </row>
    <row r="494" ht="17" customHeight="1" s="21" thickBot="1"/>
    <row r="495">
      <c r="A495" s="70" t="inlineStr">
        <is>
          <t>NORMALISASI</t>
        </is>
      </c>
      <c r="B495" s="71" t="n"/>
    </row>
    <row r="496" ht="17" customHeight="1" s="21" thickBot="1">
      <c r="A496" s="72" t="n"/>
      <c r="B496" s="73" t="n"/>
    </row>
    <row r="498">
      <c r="A498" s="9" t="inlineStr">
        <is>
          <t>Id_Tempat</t>
        </is>
      </c>
      <c r="B498" s="9" t="inlineStr">
        <is>
          <t>Nama_Tempat</t>
        </is>
      </c>
      <c r="C498" s="9" t="inlineStr">
        <is>
          <t>Estimasi_Harga</t>
        </is>
      </c>
      <c r="D498" s="9" t="inlineStr">
        <is>
          <t>Latitude</t>
        </is>
      </c>
      <c r="E498" s="9" t="inlineStr">
        <is>
          <t>Longitude</t>
        </is>
      </c>
    </row>
    <row r="499">
      <c r="A499" s="6" t="n">
        <v>1</v>
      </c>
      <c r="B499" s="6" t="inlineStr">
        <is>
          <t>Depot Cwimie Malang</t>
        </is>
      </c>
      <c r="C499" s="6">
        <f>(C2-MIN($C$2:$C$492)) / (MAX($C$2:$C$492)-MIN($C$2:$C$492))</f>
        <v/>
      </c>
      <c r="D499" s="6">
        <f>(D2-MIN($D$2:$D$492)) / (MAX($D$2:$D$492)-MIN($D$2:$D$492))</f>
        <v/>
      </c>
      <c r="E499" s="6">
        <f>(E2-MIN($E$2:$E$492)) / (MAX($E$2:$E$492)-MIN($E$2:$E$492))</f>
        <v/>
      </c>
    </row>
    <row r="500">
      <c r="A500" s="6" t="n">
        <v>2</v>
      </c>
      <c r="B500" s="6" t="inlineStr">
        <is>
          <t>Depot Rawon Malang "MM"</t>
        </is>
      </c>
      <c r="C500" s="6">
        <f>(C3-MIN($C$2:$C$492)) / (MAX($C$2:$C$492)-MIN($C$2:$C$492))</f>
        <v/>
      </c>
      <c r="D500" s="6">
        <f>(D3-MIN($D$2:$D$492)) / (MAX($D$2:$D$492)-MIN($D$2:$D$492))</f>
        <v/>
      </c>
      <c r="E500" s="6">
        <f>(E3-MIN($E$2:$E$492)) / (MAX($E$2:$E$492)-MIN($E$2:$E$492))</f>
        <v/>
      </c>
    </row>
    <row r="501">
      <c r="A501" s="6" t="n">
        <v>3</v>
      </c>
      <c r="B501" s="6" t="inlineStr">
        <is>
          <t>Depot J-One</t>
        </is>
      </c>
      <c r="C501" s="6">
        <f>(C4-MIN($C$2:$C$492)) / (MAX($C$2:$C$492)-MIN($C$2:$C$492))</f>
        <v/>
      </c>
      <c r="D501" s="6">
        <f>(D4-MIN($D$2:$D$492)) / (MAX($D$2:$D$492)-MIN($D$2:$D$492))</f>
        <v/>
      </c>
      <c r="E501" s="6">
        <f>(E4-MIN($E$2:$E$492)) / (MAX($E$2:$E$492)-MIN($E$2:$E$492))</f>
        <v/>
      </c>
    </row>
    <row r="502">
      <c r="A502" s="6" t="n">
        <v>4</v>
      </c>
      <c r="B502" s="6" t="inlineStr">
        <is>
          <t>Depot Gang Djangkrik Manyar Kertoarjo Surabaya</t>
        </is>
      </c>
      <c r="C502" s="6">
        <f>(C5-MIN($C$2:$C$492)) / (MAX($C$2:$C$492)-MIN($C$2:$C$492))</f>
        <v/>
      </c>
      <c r="D502" s="6">
        <f>(D5-MIN($D$2:$D$492)) / (MAX($D$2:$D$492)-MIN($D$2:$D$492))</f>
        <v/>
      </c>
      <c r="E502" s="6">
        <f>(E5-MIN($E$2:$E$492)) / (MAX($E$2:$E$492)-MIN($E$2:$E$492))</f>
        <v/>
      </c>
    </row>
    <row r="503">
      <c r="A503" s="6" t="n">
        <v>5</v>
      </c>
      <c r="B503" s="6" t="inlineStr">
        <is>
          <t>Depot Gang Djangkrik Kawi Atas Malang</t>
        </is>
      </c>
      <c r="C503" s="6">
        <f>(C6-MIN($C$2:$C$492)) / (MAX($C$2:$C$492)-MIN($C$2:$C$492))</f>
        <v/>
      </c>
      <c r="D503" s="6">
        <f>(D6-MIN($D$2:$D$492)) / (MAX($D$2:$D$492)-MIN($D$2:$D$492))</f>
        <v/>
      </c>
      <c r="E503" s="6">
        <f>(E6-MIN($E$2:$E$492)) / (MAX($E$2:$E$492)-MIN($E$2:$E$492))</f>
        <v/>
      </c>
    </row>
    <row r="504">
      <c r="A504" s="6" t="n">
        <v>6</v>
      </c>
      <c r="B504" s="6" t="inlineStr">
        <is>
          <t>Depot Pak Bas</t>
        </is>
      </c>
      <c r="C504" s="6">
        <f>(C7-MIN($C$2:$C$492)) / (MAX($C$2:$C$492)-MIN($C$2:$C$492))</f>
        <v/>
      </c>
      <c r="D504" s="6">
        <f>(D7-MIN($D$2:$D$492)) / (MAX($D$2:$D$492)-MIN($D$2:$D$492))</f>
        <v/>
      </c>
      <c r="E504" s="6">
        <f>(E7-MIN($E$2:$E$492)) / (MAX($E$2:$E$492)-MIN($E$2:$E$492))</f>
        <v/>
      </c>
    </row>
    <row r="505">
      <c r="A505" s="6" t="n">
        <v>7</v>
      </c>
      <c r="B505" s="6" t="inlineStr">
        <is>
          <t>Depot Ny Kim</t>
        </is>
      </c>
      <c r="C505" s="6">
        <f>(C8-MIN($C$2:$C$492)) / (MAX($C$2:$C$492)-MIN($C$2:$C$492))</f>
        <v/>
      </c>
      <c r="D505" s="6">
        <f>(D8-MIN($D$2:$D$492)) / (MAX($D$2:$D$492)-MIN($D$2:$D$492))</f>
        <v/>
      </c>
      <c r="E505" s="6">
        <f>(E8-MIN($E$2:$E$492)) / (MAX($E$2:$E$492)-MIN($E$2:$E$492))</f>
        <v/>
      </c>
    </row>
    <row r="506">
      <c r="A506" s="6" t="n">
        <v>8</v>
      </c>
      <c r="B506" s="6" t="inlineStr">
        <is>
          <t>Depot Gang Djangkrik</t>
        </is>
      </c>
      <c r="C506" s="6">
        <f>(C9-MIN($C$2:$C$492)) / (MAX($C$2:$C$492)-MIN($C$2:$C$492))</f>
        <v/>
      </c>
      <c r="D506" s="6">
        <f>(D9-MIN($D$2:$D$492)) / (MAX($D$2:$D$492)-MIN($D$2:$D$492))</f>
        <v/>
      </c>
      <c r="E506" s="6">
        <f>(E9-MIN($E$2:$E$492)) / (MAX($E$2:$E$492)-MIN($E$2:$E$492))</f>
        <v/>
      </c>
    </row>
    <row r="507">
      <c r="A507" s="6" t="n">
        <v>9</v>
      </c>
      <c r="B507" s="6" t="inlineStr">
        <is>
          <t>Depot Tanjung Api Malang</t>
        </is>
      </c>
      <c r="C507" s="6">
        <f>(C10-MIN($C$2:$C$492)) / (MAX($C$2:$C$492)-MIN($C$2:$C$492))</f>
        <v/>
      </c>
      <c r="D507" s="6">
        <f>(D10-MIN($D$2:$D$492)) / (MAX($D$2:$D$492)-MIN($D$2:$D$492))</f>
        <v/>
      </c>
      <c r="E507" s="6">
        <f>(E10-MIN($E$2:$E$492)) / (MAX($E$2:$E$492)-MIN($E$2:$E$492))</f>
        <v/>
      </c>
    </row>
    <row r="508">
      <c r="A508" s="6" t="n">
        <v>10</v>
      </c>
      <c r="B508" s="6" t="inlineStr">
        <is>
          <t>Depot Sari Rasa</t>
        </is>
      </c>
      <c r="C508" s="6">
        <f>(C11-MIN($C$2:$C$492)) / (MAX($C$2:$C$492)-MIN($C$2:$C$492))</f>
        <v/>
      </c>
      <c r="D508" s="6">
        <f>(D11-MIN($D$2:$D$492)) / (MAX($D$2:$D$492)-MIN($D$2:$D$492))</f>
        <v/>
      </c>
      <c r="E508" s="6">
        <f>(E11-MIN($E$2:$E$492)) / (MAX($E$2:$E$492)-MIN($E$2:$E$492))</f>
        <v/>
      </c>
    </row>
    <row r="509">
      <c r="A509" s="6" t="n">
        <v>11</v>
      </c>
      <c r="B509" s="6" t="inlineStr">
        <is>
          <t>Depot Kayutangan</t>
        </is>
      </c>
      <c r="C509" s="6">
        <f>(C12-MIN($C$2:$C$492)) / (MAX($C$2:$C$492)-MIN($C$2:$C$492))</f>
        <v/>
      </c>
      <c r="D509" s="6">
        <f>(D12-MIN($D$2:$D$492)) / (MAX($D$2:$D$492)-MIN($D$2:$D$492))</f>
        <v/>
      </c>
      <c r="E509" s="6">
        <f>(E12-MIN($E$2:$E$492)) / (MAX($E$2:$E$492)-MIN($E$2:$E$492))</f>
        <v/>
      </c>
    </row>
    <row r="510">
      <c r="A510" s="6" t="n">
        <v>12</v>
      </c>
      <c r="B510" s="6" t="inlineStr">
        <is>
          <t>Depot Malang Kuliner</t>
        </is>
      </c>
      <c r="C510" s="6">
        <f>(C13-MIN($C$2:$C$492)) / (MAX($C$2:$C$492)-MIN($C$2:$C$492))</f>
        <v/>
      </c>
      <c r="D510" s="6">
        <f>(D13-MIN($D$2:$D$492)) / (MAX($D$2:$D$492)-MIN($D$2:$D$492))</f>
        <v/>
      </c>
      <c r="E510" s="6">
        <f>(E13-MIN($E$2:$E$492)) / (MAX($E$2:$E$492)-MIN($E$2:$E$492))</f>
        <v/>
      </c>
    </row>
    <row r="511">
      <c r="A511" s="6" t="n">
        <v>13</v>
      </c>
      <c r="B511" s="6" t="inlineStr">
        <is>
          <t>Depot Djempolan</t>
        </is>
      </c>
      <c r="C511" s="6">
        <f>(C14-MIN($C$2:$C$492)) / (MAX($C$2:$C$492)-MIN($C$2:$C$492))</f>
        <v/>
      </c>
      <c r="D511" s="6">
        <f>(D14-MIN($D$2:$D$492)) / (MAX($D$2:$D$492)-MIN($D$2:$D$492))</f>
        <v/>
      </c>
      <c r="E511" s="6">
        <f>(E14-MIN($E$2:$E$492)) / (MAX($E$2:$E$492)-MIN($E$2:$E$492))</f>
        <v/>
      </c>
    </row>
    <row r="512">
      <c r="A512" s="6" t="n">
        <v>14</v>
      </c>
      <c r="B512" s="6" t="inlineStr">
        <is>
          <t>Depot 200</t>
        </is>
      </c>
      <c r="C512" s="6">
        <f>(C15-MIN($C$2:$C$492)) / (MAX($C$2:$C$492)-MIN($C$2:$C$492))</f>
        <v/>
      </c>
      <c r="D512" s="6">
        <f>(D15-MIN($D$2:$D$492)) / (MAX($D$2:$D$492)-MIN($D$2:$D$492))</f>
        <v/>
      </c>
      <c r="E512" s="6">
        <f>(E15-MIN($E$2:$E$492)) / (MAX($E$2:$E$492)-MIN($E$2:$E$492))</f>
        <v/>
      </c>
    </row>
    <row r="513">
      <c r="A513" s="6" t="n">
        <v>15</v>
      </c>
      <c r="B513" s="6" t="inlineStr">
        <is>
          <t>Gudeg Bu Toegijo</t>
        </is>
      </c>
      <c r="C513" s="6">
        <f>(C16-MIN($C$2:$C$492)) / (MAX($C$2:$C$492)-MIN($C$2:$C$492))</f>
        <v/>
      </c>
      <c r="D513" s="6">
        <f>(D16-MIN($D$2:$D$492)) / (MAX($D$2:$D$492)-MIN($D$2:$D$492))</f>
        <v/>
      </c>
      <c r="E513" s="6">
        <f>(E16-MIN($E$2:$E$492)) / (MAX($E$2:$E$492)-MIN($E$2:$E$492))</f>
        <v/>
      </c>
    </row>
    <row r="514">
      <c r="A514" s="6" t="n">
        <v>16</v>
      </c>
      <c r="B514" s="6" t="inlineStr">
        <is>
          <t>Depot Arema</t>
        </is>
      </c>
      <c r="C514" s="6">
        <f>(C17-MIN($C$2:$C$492)) / (MAX($C$2:$C$492)-MIN($C$2:$C$492))</f>
        <v/>
      </c>
      <c r="D514" s="6">
        <f>(D17-MIN($D$2:$D$492)) / (MAX($D$2:$D$492)-MIN($D$2:$D$492))</f>
        <v/>
      </c>
      <c r="E514" s="6">
        <f>(E17-MIN($E$2:$E$492)) / (MAX($E$2:$E$492)-MIN($E$2:$E$492))</f>
        <v/>
      </c>
    </row>
    <row r="515">
      <c r="A515" s="6" t="n">
        <v>17</v>
      </c>
      <c r="B515" s="6" t="inlineStr">
        <is>
          <t>Depot Cak Win</t>
        </is>
      </c>
      <c r="C515" s="6">
        <f>(C18-MIN($C$2:$C$492)) / (MAX($C$2:$C$492)-MIN($C$2:$C$492))</f>
        <v/>
      </c>
      <c r="D515" s="6">
        <f>(D18-MIN($D$2:$D$492)) / (MAX($D$2:$D$492)-MIN($D$2:$D$492))</f>
        <v/>
      </c>
      <c r="E515" s="6">
        <f>(E18-MIN($E$2:$E$492)) / (MAX($E$2:$E$492)-MIN($E$2:$E$492))</f>
        <v/>
      </c>
    </row>
    <row r="516">
      <c r="A516" s="6" t="n">
        <v>18</v>
      </c>
      <c r="B516" s="6" t="inlineStr">
        <is>
          <t>Depot Widari</t>
        </is>
      </c>
      <c r="C516" s="6">
        <f>(C19-MIN($C$2:$C$492)) / (MAX($C$2:$C$492)-MIN($C$2:$C$492))</f>
        <v/>
      </c>
      <c r="D516" s="6">
        <f>(D19-MIN($D$2:$D$492)) / (MAX($D$2:$D$492)-MIN($D$2:$D$492))</f>
        <v/>
      </c>
      <c r="E516" s="6">
        <f>(E19-MIN($E$2:$E$492)) / (MAX($E$2:$E$492)-MIN($E$2:$E$492))</f>
        <v/>
      </c>
    </row>
    <row r="517">
      <c r="A517" s="6" t="n">
        <v>19</v>
      </c>
      <c r="B517" s="6" t="inlineStr">
        <is>
          <t>Depot 2 Legenda</t>
        </is>
      </c>
      <c r="C517" s="6">
        <f>(C20-MIN($C$2:$C$492)) / (MAX($C$2:$C$492)-MIN($C$2:$C$492))</f>
        <v/>
      </c>
      <c r="D517" s="6">
        <f>(D20-MIN($D$2:$D$492)) / (MAX($D$2:$D$492)-MIN($D$2:$D$492))</f>
        <v/>
      </c>
      <c r="E517" s="6">
        <f>(E20-MIN($E$2:$E$492)) / (MAX($E$2:$E$492)-MIN($E$2:$E$492))</f>
        <v/>
      </c>
    </row>
    <row r="518">
      <c r="A518" s="6" t="n">
        <v>20</v>
      </c>
      <c r="B518" s="6" t="inlineStr">
        <is>
          <t>Depot Asri Bu Saeroen</t>
        </is>
      </c>
      <c r="C518" s="6">
        <f>(C21-MIN($C$2:$C$492)) / (MAX($C$2:$C$492)-MIN($C$2:$C$492))</f>
        <v/>
      </c>
      <c r="D518" s="6">
        <f>(D21-MIN($D$2:$D$492)) / (MAX($D$2:$D$492)-MIN($D$2:$D$492))</f>
        <v/>
      </c>
      <c r="E518" s="6">
        <f>(E21-MIN($E$2:$E$492)) / (MAX($E$2:$E$492)-MIN($E$2:$E$492))</f>
        <v/>
      </c>
    </row>
    <row r="519">
      <c r="A519" s="6" t="n">
        <v>21</v>
      </c>
      <c r="B519" s="6" t="inlineStr">
        <is>
          <t>Rumah Makan Gloria l Since 1970</t>
        </is>
      </c>
      <c r="C519" s="6">
        <f>(C22-MIN($C$2:$C$492)) / (MAX($C$2:$C$492)-MIN($C$2:$C$492))</f>
        <v/>
      </c>
      <c r="D519" s="6">
        <f>(D22-MIN($D$2:$D$492)) / (MAX($D$2:$D$492)-MIN($D$2:$D$492))</f>
        <v/>
      </c>
      <c r="E519" s="6">
        <f>(E22-MIN($E$2:$E$492)) / (MAX($E$2:$E$492)-MIN($E$2:$E$492))</f>
        <v/>
      </c>
    </row>
    <row r="520">
      <c r="A520" s="6" t="n">
        <v>22</v>
      </c>
      <c r="B520" s="6" t="inlineStr">
        <is>
          <t>Depot Kawanua 1 Malang</t>
        </is>
      </c>
      <c r="C520" s="6">
        <f>(C23-MIN($C$2:$C$492)) / (MAX($C$2:$C$492)-MIN($C$2:$C$492))</f>
        <v/>
      </c>
      <c r="D520" s="6">
        <f>(D23-MIN($D$2:$D$492)) / (MAX($D$2:$D$492)-MIN($D$2:$D$492))</f>
        <v/>
      </c>
      <c r="E520" s="6">
        <f>(E23-MIN($E$2:$E$492)) / (MAX($E$2:$E$492)-MIN($E$2:$E$492))</f>
        <v/>
      </c>
    </row>
    <row r="521">
      <c r="A521" s="6" t="n">
        <v>23</v>
      </c>
      <c r="B521" s="6" t="inlineStr">
        <is>
          <t>Rumah Makan Hok Lay</t>
        </is>
      </c>
      <c r="C521" s="6">
        <f>(C24-MIN($C$2:$C$492)) / (MAX($C$2:$C$492)-MIN($C$2:$C$492))</f>
        <v/>
      </c>
      <c r="D521" s="6">
        <f>(D24-MIN($D$2:$D$492)) / (MAX($D$2:$D$492)-MIN($D$2:$D$492))</f>
        <v/>
      </c>
      <c r="E521" s="6">
        <f>(E24-MIN($E$2:$E$492)) / (MAX($E$2:$E$492)-MIN($E$2:$E$492))</f>
        <v/>
      </c>
    </row>
    <row r="522">
      <c r="A522" s="6" t="n">
        <v>24</v>
      </c>
      <c r="B522" s="6" t="inlineStr">
        <is>
          <t>Depot Dua Satu</t>
        </is>
      </c>
      <c r="C522" s="6">
        <f>(C25-MIN($C$2:$C$492)) / (MAX($C$2:$C$492)-MIN($C$2:$C$492))</f>
        <v/>
      </c>
      <c r="D522" s="6">
        <f>(D25-MIN($D$2:$D$492)) / (MAX($D$2:$D$492)-MIN($D$2:$D$492))</f>
        <v/>
      </c>
      <c r="E522" s="6">
        <f>(E25-MIN($E$2:$E$492)) / (MAX($E$2:$E$492)-MIN($E$2:$E$492))</f>
        <v/>
      </c>
    </row>
    <row r="523">
      <c r="A523" s="6" t="n">
        <v>25</v>
      </c>
      <c r="B523" s="6" t="inlineStr">
        <is>
          <t>Depot Kanton</t>
        </is>
      </c>
      <c r="C523" s="6">
        <f>(C26-MIN($C$2:$C$492)) / (MAX($C$2:$C$492)-MIN($C$2:$C$492))</f>
        <v/>
      </c>
      <c r="D523" s="6">
        <f>(D26-MIN($D$2:$D$492)) / (MAX($D$2:$D$492)-MIN($D$2:$D$492))</f>
        <v/>
      </c>
      <c r="E523" s="6">
        <f>(E26-MIN($E$2:$E$492)) / (MAX($E$2:$E$492)-MIN($E$2:$E$492))</f>
        <v/>
      </c>
    </row>
    <row r="524">
      <c r="A524" s="6" t="n">
        <v>26</v>
      </c>
      <c r="B524" s="6" t="inlineStr">
        <is>
          <t>Depot Mie Gadjah Mada 1</t>
        </is>
      </c>
      <c r="C524" s="6">
        <f>(C27-MIN($C$2:$C$492)) / (MAX($C$2:$C$492)-MIN($C$2:$C$492))</f>
        <v/>
      </c>
      <c r="D524" s="6">
        <f>(D27-MIN($D$2:$D$492)) / (MAX($D$2:$D$492)-MIN($D$2:$D$492))</f>
        <v/>
      </c>
      <c r="E524" s="6">
        <f>(E27-MIN($E$2:$E$492)) / (MAX($E$2:$E$492)-MIN($E$2:$E$492))</f>
        <v/>
      </c>
    </row>
    <row r="525">
      <c r="A525" s="6" t="n">
        <v>27</v>
      </c>
      <c r="B525" s="6" t="inlineStr">
        <is>
          <t>Depot 29</t>
        </is>
      </c>
      <c r="C525" s="6">
        <f>(C28-MIN($C$2:$C$492)) / (MAX($C$2:$C$492)-MIN($C$2:$C$492))</f>
        <v/>
      </c>
      <c r="D525" s="6">
        <f>(D28-MIN($D$2:$D$492)) / (MAX($D$2:$D$492)-MIN($D$2:$D$492))</f>
        <v/>
      </c>
      <c r="E525" s="6">
        <f>(E28-MIN($E$2:$E$492)) / (MAX($E$2:$E$492)-MIN($E$2:$E$492))</f>
        <v/>
      </c>
    </row>
    <row r="526">
      <c r="A526" s="6" t="n">
        <v>28</v>
      </c>
      <c r="B526" s="6" t="inlineStr">
        <is>
          <t>Depot Rawon Malang MM</t>
        </is>
      </c>
      <c r="C526" s="6">
        <f>(C29-MIN($C$2:$C$492)) / (MAX($C$2:$C$492)-MIN($C$2:$C$492))</f>
        <v/>
      </c>
      <c r="D526" s="6">
        <f>(D29-MIN($D$2:$D$492)) / (MAX($D$2:$D$492)-MIN($D$2:$D$492))</f>
        <v/>
      </c>
      <c r="E526" s="6">
        <f>(E29-MIN($E$2:$E$492)) / (MAX($E$2:$E$492)-MIN($E$2:$E$492))</f>
        <v/>
      </c>
    </row>
    <row r="527">
      <c r="A527" s="6" t="n">
        <v>29</v>
      </c>
      <c r="B527" s="6" t="inlineStr">
        <is>
          <t>Depot 88 - Araya</t>
        </is>
      </c>
      <c r="C527" s="6">
        <f>(C30-MIN($C$2:$C$492)) / (MAX($C$2:$C$492)-MIN($C$2:$C$492))</f>
        <v/>
      </c>
      <c r="D527" s="6">
        <f>(D30-MIN($D$2:$D$492)) / (MAX($D$2:$D$492)-MIN($D$2:$D$492))</f>
        <v/>
      </c>
      <c r="E527" s="6">
        <f>(E30-MIN($E$2:$E$492)) / (MAX($E$2:$E$492)-MIN($E$2:$E$492))</f>
        <v/>
      </c>
    </row>
    <row r="528">
      <c r="A528" s="6" t="n">
        <v>30</v>
      </c>
      <c r="B528" s="6" t="inlineStr">
        <is>
          <t>Depot "Janur Kuning"</t>
        </is>
      </c>
      <c r="C528" s="6">
        <f>(C31-MIN($C$2:$C$492)) / (MAX($C$2:$C$492)-MIN($C$2:$C$492))</f>
        <v/>
      </c>
      <c r="D528" s="6">
        <f>(D31-MIN($D$2:$D$492)) / (MAX($D$2:$D$492)-MIN($D$2:$D$492))</f>
        <v/>
      </c>
      <c r="E528" s="6">
        <f>(E31-MIN($E$2:$E$492)) / (MAX($E$2:$E$492)-MIN($E$2:$E$492))</f>
        <v/>
      </c>
    </row>
    <row r="529">
      <c r="A529" s="6" t="n">
        <v>31</v>
      </c>
      <c r="B529" s="6" t="inlineStr">
        <is>
          <t>Rawon Rampal</t>
        </is>
      </c>
      <c r="C529" s="6">
        <f>(C32-MIN($C$2:$C$492)) / (MAX($C$2:$C$492)-MIN($C$2:$C$492))</f>
        <v/>
      </c>
      <c r="D529" s="6">
        <f>(D32-MIN($D$2:$D$492)) / (MAX($D$2:$D$492)-MIN($D$2:$D$492))</f>
        <v/>
      </c>
      <c r="E529" s="6">
        <f>(E32-MIN($E$2:$E$492)) / (MAX($E$2:$E$492)-MIN($E$2:$E$492))</f>
        <v/>
      </c>
    </row>
    <row r="530">
      <c r="A530" s="6" t="n">
        <v>32</v>
      </c>
      <c r="B530" s="6" t="inlineStr">
        <is>
          <t>Depot Semeru</t>
        </is>
      </c>
      <c r="C530" s="6">
        <f>(C33-MIN($C$2:$C$492)) / (MAX($C$2:$C$492)-MIN($C$2:$C$492))</f>
        <v/>
      </c>
      <c r="D530" s="6">
        <f>(D33-MIN($D$2:$D$492)) / (MAX($D$2:$D$492)-MIN($D$2:$D$492))</f>
        <v/>
      </c>
      <c r="E530" s="6">
        <f>(E33-MIN($E$2:$E$492)) / (MAX($E$2:$E$492)-MIN($E$2:$E$492))</f>
        <v/>
      </c>
    </row>
    <row r="531">
      <c r="A531" s="6" t="n">
        <v>33</v>
      </c>
      <c r="B531" s="6" t="inlineStr">
        <is>
          <t>Depot Chinesefood B2 Malang</t>
        </is>
      </c>
      <c r="C531" s="6">
        <f>(C34-MIN($C$2:$C$492)) / (MAX($C$2:$C$492)-MIN($C$2:$C$492))</f>
        <v/>
      </c>
      <c r="D531" s="6">
        <f>(D34-MIN($D$2:$D$492)) / (MAX($D$2:$D$492)-MIN($D$2:$D$492))</f>
        <v/>
      </c>
      <c r="E531" s="6">
        <f>(E34-MIN($E$2:$E$492)) / (MAX($E$2:$E$492)-MIN($E$2:$E$492))</f>
        <v/>
      </c>
    </row>
    <row r="532">
      <c r="A532" s="6" t="n">
        <v>34</v>
      </c>
      <c r="B532" s="6" t="inlineStr">
        <is>
          <t>Harmoni Cafe &amp; Resto l Since 2010</t>
        </is>
      </c>
      <c r="C532" s="6">
        <f>(C35-MIN($C$2:$C$492)) / (MAX($C$2:$C$492)-MIN($C$2:$C$492))</f>
        <v/>
      </c>
      <c r="D532" s="6">
        <f>(D35-MIN($D$2:$D$492)) / (MAX($D$2:$D$492)-MIN($D$2:$D$492))</f>
        <v/>
      </c>
      <c r="E532" s="6">
        <f>(E35-MIN($E$2:$E$492)) / (MAX($E$2:$E$492)-MIN($E$2:$E$492))</f>
        <v/>
      </c>
    </row>
    <row r="533">
      <c r="A533" s="6" t="n">
        <v>35</v>
      </c>
      <c r="B533" s="6" t="inlineStr">
        <is>
          <t>Depot Samsin</t>
        </is>
      </c>
      <c r="C533" s="6">
        <f>(C36-MIN($C$2:$C$492)) / (MAX($C$2:$C$492)-MIN($C$2:$C$492))</f>
        <v/>
      </c>
      <c r="D533" s="6">
        <f>(D36-MIN($D$2:$D$492)) / (MAX($D$2:$D$492)-MIN($D$2:$D$492))</f>
        <v/>
      </c>
      <c r="E533" s="6">
        <f>(E36-MIN($E$2:$E$492)) / (MAX($E$2:$E$492)-MIN($E$2:$E$492))</f>
        <v/>
      </c>
    </row>
    <row r="534">
      <c r="A534" s="6" t="n">
        <v>36</v>
      </c>
      <c r="B534" s="6" t="inlineStr">
        <is>
          <t>Depot Idola</t>
        </is>
      </c>
      <c r="C534" s="6">
        <f>(C37-MIN($C$2:$C$492)) / (MAX($C$2:$C$492)-MIN($C$2:$C$492))</f>
        <v/>
      </c>
      <c r="D534" s="6">
        <f>(D37-MIN($D$2:$D$492)) / (MAX($D$2:$D$492)-MIN($D$2:$D$492))</f>
        <v/>
      </c>
      <c r="E534" s="6">
        <f>(E37-MIN($E$2:$E$492)) / (MAX($E$2:$E$492)-MIN($E$2:$E$492))</f>
        <v/>
      </c>
    </row>
    <row r="535">
      <c r="A535" s="6" t="n">
        <v>37</v>
      </c>
      <c r="B535" s="6" t="inlineStr">
        <is>
          <t>Depot Melati</t>
        </is>
      </c>
      <c r="C535" s="6">
        <f>(C38-MIN($C$2:$C$492)) / (MAX($C$2:$C$492)-MIN($C$2:$C$492))</f>
        <v/>
      </c>
      <c r="D535" s="6">
        <f>(D38-MIN($D$2:$D$492)) / (MAX($D$2:$D$492)-MIN($D$2:$D$492))</f>
        <v/>
      </c>
      <c r="E535" s="6">
        <f>(E38-MIN($E$2:$E$492)) / (MAX($E$2:$E$492)-MIN($E$2:$E$492))</f>
        <v/>
      </c>
    </row>
    <row r="536">
      <c r="A536" s="6" t="n">
        <v>38</v>
      </c>
      <c r="B536" s="6" t="inlineStr">
        <is>
          <t>Depot Mie Sahadja Sigura-gura</t>
        </is>
      </c>
      <c r="C536" s="6">
        <f>(C39-MIN($C$2:$C$492)) / (MAX($C$2:$C$492)-MIN($C$2:$C$492))</f>
        <v/>
      </c>
      <c r="D536" s="6">
        <f>(D39-MIN($D$2:$D$492)) / (MAX($D$2:$D$492)-MIN($D$2:$D$492))</f>
        <v/>
      </c>
      <c r="E536" s="6">
        <f>(E39-MIN($E$2:$E$492)) / (MAX($E$2:$E$492)-MIN($E$2:$E$492))</f>
        <v/>
      </c>
    </row>
    <row r="537">
      <c r="A537" s="6" t="n">
        <v>39</v>
      </c>
      <c r="B537" s="6" t="inlineStr">
        <is>
          <t>Resto 52</t>
        </is>
      </c>
      <c r="C537" s="6">
        <f>(C40-MIN($C$2:$C$492)) / (MAX($C$2:$C$492)-MIN($C$2:$C$492))</f>
        <v/>
      </c>
      <c r="D537" s="6">
        <f>(D40-MIN($D$2:$D$492)) / (MAX($D$2:$D$492)-MIN($D$2:$D$492))</f>
        <v/>
      </c>
      <c r="E537" s="6">
        <f>(E40-MIN($E$2:$E$492)) / (MAX($E$2:$E$492)-MIN($E$2:$E$492))</f>
        <v/>
      </c>
    </row>
    <row r="538">
      <c r="A538" s="6" t="n">
        <v>40</v>
      </c>
      <c r="B538" s="6" t="inlineStr">
        <is>
          <t>Javanine Resto</t>
        </is>
      </c>
      <c r="C538" s="6">
        <f>(C41-MIN($C$2:$C$492)) / (MAX($C$2:$C$492)-MIN($C$2:$C$492))</f>
        <v/>
      </c>
      <c r="D538" s="6">
        <f>(D41-MIN($D$2:$D$492)) / (MAX($D$2:$D$492)-MIN($D$2:$D$492))</f>
        <v/>
      </c>
      <c r="E538" s="6">
        <f>(E41-MIN($E$2:$E$492)) / (MAX($E$2:$E$492)-MIN($E$2:$E$492))</f>
        <v/>
      </c>
    </row>
    <row r="539">
      <c r="A539" s="6" t="n">
        <v>41</v>
      </c>
      <c r="B539" s="6" t="inlineStr">
        <is>
          <t>Depot Guntur</t>
        </is>
      </c>
      <c r="C539" s="6">
        <f>(C42-MIN($C$2:$C$492)) / (MAX($C$2:$C$492)-MIN($C$2:$C$492))</f>
        <v/>
      </c>
      <c r="D539" s="6">
        <f>(D42-MIN($D$2:$D$492)) / (MAX($D$2:$D$492)-MIN($D$2:$D$492))</f>
        <v/>
      </c>
      <c r="E539" s="6">
        <f>(E42-MIN($E$2:$E$492)) / (MAX($E$2:$E$492)-MIN($E$2:$E$492))</f>
        <v/>
      </c>
    </row>
    <row r="540">
      <c r="A540" s="6" t="n">
        <v>42</v>
      </c>
      <c r="B540" s="6" t="inlineStr">
        <is>
          <t>Depot Es Talun sejak 1950</t>
        </is>
      </c>
      <c r="C540" s="6">
        <f>(C43-MIN($C$2:$C$492)) / (MAX($C$2:$C$492)-MIN($C$2:$C$492))</f>
        <v/>
      </c>
      <c r="D540" s="6">
        <f>(D43-MIN($D$2:$D$492)) / (MAX($D$2:$D$492)-MIN($D$2:$D$492))</f>
        <v/>
      </c>
      <c r="E540" s="6">
        <f>(E43-MIN($E$2:$E$492)) / (MAX($E$2:$E$492)-MIN($E$2:$E$492))</f>
        <v/>
      </c>
    </row>
    <row r="541">
      <c r="A541" s="6" t="n">
        <v>43</v>
      </c>
      <c r="B541" s="6" t="inlineStr">
        <is>
          <t>Depot WS 7</t>
        </is>
      </c>
      <c r="C541" s="6">
        <f>(C44-MIN($C$2:$C$492)) / (MAX($C$2:$C$492)-MIN($C$2:$C$492))</f>
        <v/>
      </c>
      <c r="D541" s="6">
        <f>(D44-MIN($D$2:$D$492)) / (MAX($D$2:$D$492)-MIN($D$2:$D$492))</f>
        <v/>
      </c>
      <c r="E541" s="6">
        <f>(E44-MIN($E$2:$E$492)) / (MAX($E$2:$E$492)-MIN($E$2:$E$492))</f>
        <v/>
      </c>
    </row>
    <row r="542">
      <c r="A542" s="6" t="n">
        <v>44</v>
      </c>
      <c r="B542" s="6" t="inlineStr">
        <is>
          <t>Resto Sambat Luwe</t>
        </is>
      </c>
      <c r="C542" s="6">
        <f>(C45-MIN($C$2:$C$492)) / (MAX($C$2:$C$492)-MIN($C$2:$C$492))</f>
        <v/>
      </c>
      <c r="D542" s="6">
        <f>(D45-MIN($D$2:$D$492)) / (MAX($D$2:$D$492)-MIN($D$2:$D$492))</f>
        <v/>
      </c>
      <c r="E542" s="6">
        <f>(E45-MIN($E$2:$E$492)) / (MAX($E$2:$E$492)-MIN($E$2:$E$492))</f>
        <v/>
      </c>
    </row>
    <row r="543">
      <c r="A543" s="6" t="n">
        <v>45</v>
      </c>
      <c r="B543" s="6" t="inlineStr">
        <is>
          <t>Depot 59</t>
        </is>
      </c>
      <c r="C543" s="6">
        <f>(C46-MIN($C$2:$C$492)) / (MAX($C$2:$C$492)-MIN($C$2:$C$492))</f>
        <v/>
      </c>
      <c r="D543" s="6">
        <f>(D46-MIN($D$2:$D$492)) / (MAX($D$2:$D$492)-MIN($D$2:$D$492))</f>
        <v/>
      </c>
      <c r="E543" s="6">
        <f>(E46-MIN($E$2:$E$492)) / (MAX($E$2:$E$492)-MIN($E$2:$E$492))</f>
        <v/>
      </c>
    </row>
    <row r="544">
      <c r="A544" s="6" t="n">
        <v>46</v>
      </c>
      <c r="B544" s="6" t="inlineStr">
        <is>
          <t>Depot Semangkok</t>
        </is>
      </c>
      <c r="C544" s="6">
        <f>(C47-MIN($C$2:$C$492)) / (MAX($C$2:$C$492)-MIN($C$2:$C$492))</f>
        <v/>
      </c>
      <c r="D544" s="6">
        <f>(D47-MIN($D$2:$D$492)) / (MAX($D$2:$D$492)-MIN($D$2:$D$492))</f>
        <v/>
      </c>
      <c r="E544" s="6">
        <f>(E47-MIN($E$2:$E$492)) / (MAX($E$2:$E$492)-MIN($E$2:$E$492))</f>
        <v/>
      </c>
    </row>
    <row r="545">
      <c r="A545" s="6" t="n">
        <v>47</v>
      </c>
      <c r="B545" s="6" t="inlineStr">
        <is>
          <t>Depot Wiejen</t>
        </is>
      </c>
      <c r="C545" s="6">
        <f>(C48-MIN($C$2:$C$492)) / (MAX($C$2:$C$492)-MIN($C$2:$C$492))</f>
        <v/>
      </c>
      <c r="D545" s="6">
        <f>(D48-MIN($D$2:$D$492)) / (MAX($D$2:$D$492)-MIN($D$2:$D$492))</f>
        <v/>
      </c>
      <c r="E545" s="6">
        <f>(E48-MIN($E$2:$E$492)) / (MAX($E$2:$E$492)-MIN($E$2:$E$492))</f>
        <v/>
      </c>
    </row>
    <row r="546">
      <c r="A546" s="6" t="n">
        <v>48</v>
      </c>
      <c r="B546" s="6" t="inlineStr">
        <is>
          <t>Depot New Purnama</t>
        </is>
      </c>
      <c r="C546" s="6">
        <f>(C49-MIN($C$2:$C$492)) / (MAX($C$2:$C$492)-MIN($C$2:$C$492))</f>
        <v/>
      </c>
      <c r="D546" s="6">
        <f>(D49-MIN($D$2:$D$492)) / (MAX($D$2:$D$492)-MIN($D$2:$D$492))</f>
        <v/>
      </c>
      <c r="E546" s="6">
        <f>(E49-MIN($E$2:$E$492)) / (MAX($E$2:$E$492)-MIN($E$2:$E$492))</f>
        <v/>
      </c>
    </row>
    <row r="547">
      <c r="A547" s="6" t="n">
        <v>49</v>
      </c>
      <c r="B547" s="6" t="inlineStr">
        <is>
          <t>Depot 77 Sawojajar Halalan Toyiban</t>
        </is>
      </c>
      <c r="C547" s="6">
        <f>(C50-MIN($C$2:$C$492)) / (MAX($C$2:$C$492)-MIN($C$2:$C$492))</f>
        <v/>
      </c>
      <c r="D547" s="6">
        <f>(D50-MIN($D$2:$D$492)) / (MAX($D$2:$D$492)-MIN($D$2:$D$492))</f>
        <v/>
      </c>
      <c r="E547" s="6">
        <f>(E50-MIN($E$2:$E$492)) / (MAX($E$2:$E$492)-MIN($E$2:$E$492))</f>
        <v/>
      </c>
    </row>
    <row r="548">
      <c r="A548" s="6" t="n">
        <v>50</v>
      </c>
      <c r="B548" s="6" t="inlineStr">
        <is>
          <t>Rawon Nguling</t>
        </is>
      </c>
      <c r="C548" s="6">
        <f>(C51-MIN($C$2:$C$492)) / (MAX($C$2:$C$492)-MIN($C$2:$C$492))</f>
        <v/>
      </c>
      <c r="D548" s="6">
        <f>(D51-MIN($D$2:$D$492)) / (MAX($D$2:$D$492)-MIN($D$2:$D$492))</f>
        <v/>
      </c>
      <c r="E548" s="6">
        <f>(E51-MIN($E$2:$E$492)) / (MAX($E$2:$E$492)-MIN($E$2:$E$492))</f>
        <v/>
      </c>
    </row>
    <row r="549">
      <c r="A549" s="6" t="n">
        <v>51</v>
      </c>
      <c r="B549" s="6" t="inlineStr">
        <is>
          <t>Depot 88 Tidar</t>
        </is>
      </c>
      <c r="C549" s="6">
        <f>(C52-MIN($C$2:$C$492)) / (MAX($C$2:$C$492)-MIN($C$2:$C$492))</f>
        <v/>
      </c>
      <c r="D549" s="6">
        <f>(D52-MIN($D$2:$D$492)) / (MAX($D$2:$D$492)-MIN($D$2:$D$492))</f>
        <v/>
      </c>
      <c r="E549" s="6">
        <f>(E52-MIN($E$2:$E$492)) / (MAX($E$2:$E$492)-MIN($E$2:$E$492))</f>
        <v/>
      </c>
    </row>
    <row r="550">
      <c r="A550" s="6" t="n">
        <v>52</v>
      </c>
      <c r="B550" s="6" t="inlineStr">
        <is>
          <t>Depot Goyang Lidah 1987</t>
        </is>
      </c>
      <c r="C550" s="6">
        <f>(C53-MIN($C$2:$C$492)) / (MAX($C$2:$C$492)-MIN($C$2:$C$492))</f>
        <v/>
      </c>
      <c r="D550" s="6">
        <f>(D53-MIN($D$2:$D$492)) / (MAX($D$2:$D$492)-MIN($D$2:$D$492))</f>
        <v/>
      </c>
      <c r="E550" s="6">
        <f>(E53-MIN($E$2:$E$492)) / (MAX($E$2:$E$492)-MIN($E$2:$E$492))</f>
        <v/>
      </c>
    </row>
    <row r="551">
      <c r="A551" s="6" t="n">
        <v>53</v>
      </c>
      <c r="B551" s="6" t="inlineStr">
        <is>
          <t>Rumah Makan Cairo</t>
        </is>
      </c>
      <c r="C551" s="6">
        <f>(C54-MIN($C$2:$C$492)) / (MAX($C$2:$C$492)-MIN($C$2:$C$492))</f>
        <v/>
      </c>
      <c r="D551" s="6">
        <f>(D54-MIN($D$2:$D$492)) / (MAX($D$2:$D$492)-MIN($D$2:$D$492))</f>
        <v/>
      </c>
      <c r="E551" s="6">
        <f>(E54-MIN($E$2:$E$492)) / (MAX($E$2:$E$492)-MIN($E$2:$E$492))</f>
        <v/>
      </c>
    </row>
    <row r="552">
      <c r="A552" s="6" t="n">
        <v>54</v>
      </c>
      <c r="B552" s="6" t="inlineStr">
        <is>
          <t>Depot Santo Yusup</t>
        </is>
      </c>
      <c r="C552" s="6">
        <f>(C55-MIN($C$2:$C$492)) / (MAX($C$2:$C$492)-MIN($C$2:$C$492))</f>
        <v/>
      </c>
      <c r="D552" s="6">
        <f>(D55-MIN($D$2:$D$492)) / (MAX($D$2:$D$492)-MIN($D$2:$D$492))</f>
        <v/>
      </c>
      <c r="E552" s="6">
        <f>(E55-MIN($E$2:$E$492)) / (MAX($E$2:$E$492)-MIN($E$2:$E$492))</f>
        <v/>
      </c>
    </row>
    <row r="553">
      <c r="A553" s="6" t="n">
        <v>55</v>
      </c>
      <c r="B553" s="6" t="inlineStr">
        <is>
          <t>Green Leaf Hall and Restaurant Malang</t>
        </is>
      </c>
      <c r="C553" s="6">
        <f>(C56-MIN($C$2:$C$492)) / (MAX($C$2:$C$492)-MIN($C$2:$C$492))</f>
        <v/>
      </c>
      <c r="D553" s="6">
        <f>(D56-MIN($D$2:$D$492)) / (MAX($D$2:$D$492)-MIN($D$2:$D$492))</f>
        <v/>
      </c>
      <c r="E553" s="6">
        <f>(E56-MIN($E$2:$E$492)) / (MAX($E$2:$E$492)-MIN($E$2:$E$492))</f>
        <v/>
      </c>
    </row>
    <row r="554">
      <c r="A554" s="6" t="n">
        <v>56</v>
      </c>
      <c r="B554" s="6" t="inlineStr">
        <is>
          <t>Dapur 93</t>
        </is>
      </c>
      <c r="C554" s="6">
        <f>(C57-MIN($C$2:$C$492)) / (MAX($C$2:$C$492)-MIN($C$2:$C$492))</f>
        <v/>
      </c>
      <c r="D554" s="6">
        <f>(D57-MIN($D$2:$D$492)) / (MAX($D$2:$D$492)-MIN($D$2:$D$492))</f>
        <v/>
      </c>
      <c r="E554" s="6">
        <f>(E57-MIN($E$2:$E$492)) / (MAX($E$2:$E$492)-MIN($E$2:$E$492))</f>
        <v/>
      </c>
    </row>
    <row r="555">
      <c r="A555" s="6" t="n">
        <v>57</v>
      </c>
      <c r="B555" s="6" t="inlineStr">
        <is>
          <t>Depot Ikana</t>
        </is>
      </c>
      <c r="C555" s="6">
        <f>(C58-MIN($C$2:$C$492)) / (MAX($C$2:$C$492)-MIN($C$2:$C$492))</f>
        <v/>
      </c>
      <c r="D555" s="6">
        <f>(D58-MIN($D$2:$D$492)) / (MAX($D$2:$D$492)-MIN($D$2:$D$492))</f>
        <v/>
      </c>
      <c r="E555" s="6">
        <f>(E58-MIN($E$2:$E$492)) / (MAX($E$2:$E$492)-MIN($E$2:$E$492))</f>
        <v/>
      </c>
    </row>
    <row r="556">
      <c r="A556" s="6" t="n">
        <v>58</v>
      </c>
      <c r="B556" s="6" t="inlineStr">
        <is>
          <t>Depot Juang 45 Malang</t>
        </is>
      </c>
      <c r="C556" s="6">
        <f>(C59-MIN($C$2:$C$492)) / (MAX($C$2:$C$492)-MIN($C$2:$C$492))</f>
        <v/>
      </c>
      <c r="D556" s="6">
        <f>(D59-MIN($D$2:$D$492)) / (MAX($D$2:$D$492)-MIN($D$2:$D$492))</f>
        <v/>
      </c>
      <c r="E556" s="6">
        <f>(E59-MIN($E$2:$E$492)) / (MAX($E$2:$E$492)-MIN($E$2:$E$492))</f>
        <v/>
      </c>
    </row>
    <row r="557">
      <c r="A557" s="6" t="n">
        <v>59</v>
      </c>
      <c r="B557" s="6" t="inlineStr">
        <is>
          <t>Rumah Makan Kertanegara</t>
        </is>
      </c>
      <c r="C557" s="6">
        <f>(C60-MIN($C$2:$C$492)) / (MAX($C$2:$C$492)-MIN($C$2:$C$492))</f>
        <v/>
      </c>
      <c r="D557" s="6">
        <f>(D60-MIN($D$2:$D$492)) / (MAX($D$2:$D$492)-MIN($D$2:$D$492))</f>
        <v/>
      </c>
      <c r="E557" s="6">
        <f>(E60-MIN($E$2:$E$492)) / (MAX($E$2:$E$492)-MIN($E$2:$E$492))</f>
        <v/>
      </c>
    </row>
    <row r="558">
      <c r="A558" s="6" t="n">
        <v>60</v>
      </c>
      <c r="B558" s="6" t="inlineStr">
        <is>
          <t>Ayam Goreng Tenes</t>
        </is>
      </c>
      <c r="C558" s="6">
        <f>(C61-MIN($C$2:$C$492)) / (MAX($C$2:$C$492)-MIN($C$2:$C$492))</f>
        <v/>
      </c>
      <c r="D558" s="6">
        <f>(D61-MIN($D$2:$D$492)) / (MAX($D$2:$D$492)-MIN($D$2:$D$492))</f>
        <v/>
      </c>
      <c r="E558" s="6">
        <f>(E61-MIN($E$2:$E$492)) / (MAX($E$2:$E$492)-MIN($E$2:$E$492))</f>
        <v/>
      </c>
    </row>
    <row r="559">
      <c r="A559" s="6" t="n">
        <v>61</v>
      </c>
      <c r="B559" s="6" t="inlineStr">
        <is>
          <t>Resto Mie Gang Jangkrik (halal)</t>
        </is>
      </c>
      <c r="C559" s="6">
        <f>(C62-MIN($C$2:$C$492)) / (MAX($C$2:$C$492)-MIN($C$2:$C$492))</f>
        <v/>
      </c>
      <c r="D559" s="6">
        <f>(D62-MIN($D$2:$D$492)) / (MAX($D$2:$D$492)-MIN($D$2:$D$492))</f>
        <v/>
      </c>
      <c r="E559" s="6">
        <f>(E62-MIN($E$2:$E$492)) / (MAX($E$2:$E$492)-MIN($E$2:$E$492))</f>
        <v/>
      </c>
    </row>
    <row r="560">
      <c r="A560" s="6" t="n">
        <v>62</v>
      </c>
      <c r="B560" s="6" t="inlineStr">
        <is>
          <t>Depot Cahyen Enak</t>
        </is>
      </c>
      <c r="C560" s="6">
        <f>(C63-MIN($C$2:$C$492)) / (MAX($C$2:$C$492)-MIN($C$2:$C$492))</f>
        <v/>
      </c>
      <c r="D560" s="6">
        <f>(D63-MIN($D$2:$D$492)) / (MAX($D$2:$D$492)-MIN($D$2:$D$492))</f>
        <v/>
      </c>
      <c r="E560" s="6">
        <f>(E63-MIN($E$2:$E$492)) / (MAX($E$2:$E$492)-MIN($E$2:$E$492))</f>
        <v/>
      </c>
    </row>
    <row r="561">
      <c r="A561" s="6" t="n">
        <v>63</v>
      </c>
      <c r="B561" s="6" t="inlineStr">
        <is>
          <t>Depot Mie Sawahan</t>
        </is>
      </c>
      <c r="C561" s="6">
        <f>(C64-MIN($C$2:$C$492)) / (MAX($C$2:$C$492)-MIN($C$2:$C$492))</f>
        <v/>
      </c>
      <c r="D561" s="6">
        <f>(D64-MIN($D$2:$D$492)) / (MAX($D$2:$D$492)-MIN($D$2:$D$492))</f>
        <v/>
      </c>
      <c r="E561" s="6">
        <f>(E64-MIN($E$2:$E$492)) / (MAX($E$2:$E$492)-MIN($E$2:$E$492))</f>
        <v/>
      </c>
    </row>
    <row r="562">
      <c r="A562" s="6" t="n">
        <v>64</v>
      </c>
      <c r="B562" s="6" t="inlineStr">
        <is>
          <t>Depot Lo &amp; Mie</t>
        </is>
      </c>
      <c r="C562" s="6">
        <f>(C65-MIN($C$2:$C$492)) / (MAX($C$2:$C$492)-MIN($C$2:$C$492))</f>
        <v/>
      </c>
      <c r="D562" s="6">
        <f>(D65-MIN($D$2:$D$492)) / (MAX($D$2:$D$492)-MIN($D$2:$D$492))</f>
        <v/>
      </c>
      <c r="E562" s="6">
        <f>(E65-MIN($E$2:$E$492)) / (MAX($E$2:$E$492)-MIN($E$2:$E$492))</f>
        <v/>
      </c>
    </row>
    <row r="563">
      <c r="A563" s="6" t="n">
        <v>65</v>
      </c>
      <c r="B563" s="6" t="inlineStr">
        <is>
          <t>Depot Mie Atom</t>
        </is>
      </c>
      <c r="C563" s="6">
        <f>(C66-MIN($C$2:$C$492)) / (MAX($C$2:$C$492)-MIN($C$2:$C$492))</f>
        <v/>
      </c>
      <c r="D563" s="6">
        <f>(D66-MIN($D$2:$D$492)) / (MAX($D$2:$D$492)-MIN($D$2:$D$492))</f>
        <v/>
      </c>
      <c r="E563" s="6">
        <f>(E66-MIN($E$2:$E$492)) / (MAX($E$2:$E$492)-MIN($E$2:$E$492))</f>
        <v/>
      </c>
    </row>
    <row r="564">
      <c r="A564" s="6" t="n">
        <v>66</v>
      </c>
      <c r="B564" s="6" t="inlineStr">
        <is>
          <t>Depot Panjang Umur</t>
        </is>
      </c>
      <c r="C564" s="6">
        <f>(C67-MIN($C$2:$C$492)) / (MAX($C$2:$C$492)-MIN($C$2:$C$492))</f>
        <v/>
      </c>
      <c r="D564" s="6">
        <f>(D67-MIN($D$2:$D$492)) / (MAX($D$2:$D$492)-MIN($D$2:$D$492))</f>
        <v/>
      </c>
      <c r="E564" s="6">
        <f>(E67-MIN($E$2:$E$492)) / (MAX($E$2:$E$492)-MIN($E$2:$E$492))</f>
        <v/>
      </c>
    </row>
    <row r="565">
      <c r="A565" s="6" t="n">
        <v>67</v>
      </c>
      <c r="B565" s="6" t="inlineStr">
        <is>
          <t>Depot Barokah Cab. Mbah Riman Kediri</t>
        </is>
      </c>
      <c r="C565" s="6">
        <f>(C68-MIN($C$2:$C$492)) / (MAX($C$2:$C$492)-MIN($C$2:$C$492))</f>
        <v/>
      </c>
      <c r="D565" s="6">
        <f>(D68-MIN($D$2:$D$492)) / (MAX($D$2:$D$492)-MIN($D$2:$D$492))</f>
        <v/>
      </c>
      <c r="E565" s="6">
        <f>(E68-MIN($E$2:$E$492)) / (MAX($E$2:$E$492)-MIN($E$2:$E$492))</f>
        <v/>
      </c>
    </row>
    <row r="566">
      <c r="A566" s="6" t="n">
        <v>68</v>
      </c>
      <c r="B566" s="6" t="inlineStr">
        <is>
          <t>Baegopa? House Of Hungry Kandang Malang</t>
        </is>
      </c>
      <c r="C566" s="6">
        <f>(C69-MIN($C$2:$C$492)) / (MAX($C$2:$C$492)-MIN($C$2:$C$492))</f>
        <v/>
      </c>
      <c r="D566" s="6">
        <f>(D69-MIN($D$2:$D$492)) / (MAX($D$2:$D$492)-MIN($D$2:$D$492))</f>
        <v/>
      </c>
      <c r="E566" s="6">
        <f>(E69-MIN($E$2:$E$492)) / (MAX($E$2:$E$492)-MIN($E$2:$E$492))</f>
        <v/>
      </c>
    </row>
    <row r="567">
      <c r="A567" s="6" t="n">
        <v>69</v>
      </c>
      <c r="B567" s="6" t="inlineStr">
        <is>
          <t>Rumah Makan Pecel Kawi Hj Musilah Asli 1975</t>
        </is>
      </c>
      <c r="C567" s="6">
        <f>(C70-MIN($C$2:$C$492)) / (MAX($C$2:$C$492)-MIN($C$2:$C$492))</f>
        <v/>
      </c>
      <c r="D567" s="6">
        <f>(D70-MIN($D$2:$D$492)) / (MAX($D$2:$D$492)-MIN($D$2:$D$492))</f>
        <v/>
      </c>
      <c r="E567" s="6">
        <f>(E70-MIN($E$2:$E$492)) / (MAX($E$2:$E$492)-MIN($E$2:$E$492))</f>
        <v/>
      </c>
    </row>
    <row r="568">
      <c r="A568" s="6" t="n">
        <v>70</v>
      </c>
      <c r="B568" s="6" t="inlineStr">
        <is>
          <t>Depot Bang Leo</t>
        </is>
      </c>
      <c r="C568" s="6">
        <f>(C71-MIN($C$2:$C$492)) / (MAX($C$2:$C$492)-MIN($C$2:$C$492))</f>
        <v/>
      </c>
      <c r="D568" s="6">
        <f>(D71-MIN($D$2:$D$492)) / (MAX($D$2:$D$492)-MIN($D$2:$D$492))</f>
        <v/>
      </c>
      <c r="E568" s="6">
        <f>(E71-MIN($E$2:$E$492)) / (MAX($E$2:$E$492)-MIN($E$2:$E$492))</f>
        <v/>
      </c>
    </row>
    <row r="569">
      <c r="A569" s="6" t="n">
        <v>71</v>
      </c>
      <c r="B569" s="6" t="inlineStr">
        <is>
          <t>Depot Asem Djawa</t>
        </is>
      </c>
      <c r="C569" s="6">
        <f>(C72-MIN($C$2:$C$492)) / (MAX($C$2:$C$492)-MIN($C$2:$C$492))</f>
        <v/>
      </c>
      <c r="D569" s="6">
        <f>(D72-MIN($D$2:$D$492)) / (MAX($D$2:$D$492)-MIN($D$2:$D$492))</f>
        <v/>
      </c>
      <c r="E569" s="6">
        <f>(E72-MIN($E$2:$E$492)) / (MAX($E$2:$E$492)-MIN($E$2:$E$492))</f>
        <v/>
      </c>
    </row>
    <row r="570">
      <c r="A570" s="6" t="n">
        <v>72</v>
      </c>
      <c r="B570" s="6" t="inlineStr">
        <is>
          <t>Depot Soto banjar Achmad Jais</t>
        </is>
      </c>
      <c r="C570" s="6">
        <f>(C73-MIN($C$2:$C$492)) / (MAX($C$2:$C$492)-MIN($C$2:$C$492))</f>
        <v/>
      </c>
      <c r="D570" s="6">
        <f>(D73-MIN($D$2:$D$492)) / (MAX($D$2:$D$492)-MIN($D$2:$D$492))</f>
        <v/>
      </c>
      <c r="E570" s="6">
        <f>(E73-MIN($E$2:$E$492)) / (MAX($E$2:$E$492)-MIN($E$2:$E$492))</f>
        <v/>
      </c>
    </row>
    <row r="571">
      <c r="A571" s="6" t="n">
        <v>73</v>
      </c>
      <c r="B571" s="6" t="inlineStr">
        <is>
          <t>Depot Rahayu</t>
        </is>
      </c>
      <c r="C571" s="6">
        <f>(C74-MIN($C$2:$C$492)) / (MAX($C$2:$C$492)-MIN($C$2:$C$492))</f>
        <v/>
      </c>
      <c r="D571" s="6">
        <f>(D74-MIN($D$2:$D$492)) / (MAX($D$2:$D$492)-MIN($D$2:$D$492))</f>
        <v/>
      </c>
      <c r="E571" s="6">
        <f>(E74-MIN($E$2:$E$492)) / (MAX($E$2:$E$492)-MIN($E$2:$E$492))</f>
        <v/>
      </c>
    </row>
    <row r="572">
      <c r="A572" s="6" t="n">
        <v>74</v>
      </c>
      <c r="B572" s="6" t="inlineStr">
        <is>
          <t>Ikan Bakar Cianjur - Malang</t>
        </is>
      </c>
      <c r="C572" s="6">
        <f>(C75-MIN($C$2:$C$492)) / (MAX($C$2:$C$492)-MIN($C$2:$C$492))</f>
        <v/>
      </c>
      <c r="D572" s="6">
        <f>(D75-MIN($D$2:$D$492)) / (MAX($D$2:$D$492)-MIN($D$2:$D$492))</f>
        <v/>
      </c>
      <c r="E572" s="6">
        <f>(E75-MIN($E$2:$E$492)) / (MAX($E$2:$E$492)-MIN($E$2:$E$492))</f>
        <v/>
      </c>
    </row>
    <row r="573">
      <c r="A573" s="6" t="n">
        <v>75</v>
      </c>
      <c r="B573" s="6" t="inlineStr">
        <is>
          <t>Depot Podo Seneng</t>
        </is>
      </c>
      <c r="C573" s="6">
        <f>(C76-MIN($C$2:$C$492)) / (MAX($C$2:$C$492)-MIN($C$2:$C$492))</f>
        <v/>
      </c>
      <c r="D573" s="6">
        <f>(D76-MIN($D$2:$D$492)) / (MAX($D$2:$D$492)-MIN($D$2:$D$492))</f>
        <v/>
      </c>
      <c r="E573" s="6">
        <f>(E76-MIN($E$2:$E$492)) / (MAX($E$2:$E$492)-MIN($E$2:$E$492))</f>
        <v/>
      </c>
    </row>
    <row r="574">
      <c r="A574" s="6" t="n">
        <v>76</v>
      </c>
      <c r="B574" s="6" t="inlineStr">
        <is>
          <t>DEPOT ESELON SAWOJAJAR</t>
        </is>
      </c>
      <c r="C574" s="6">
        <f>(C77-MIN($C$2:$C$492)) / (MAX($C$2:$C$492)-MIN($C$2:$C$492))</f>
        <v/>
      </c>
      <c r="D574" s="6">
        <f>(D77-MIN($D$2:$D$492)) / (MAX($D$2:$D$492)-MIN($D$2:$D$492))</f>
        <v/>
      </c>
      <c r="E574" s="6">
        <f>(E77-MIN($E$2:$E$492)) / (MAX($E$2:$E$492)-MIN($E$2:$E$492))</f>
        <v/>
      </c>
    </row>
    <row r="575">
      <c r="A575" s="6" t="n">
        <v>77</v>
      </c>
      <c r="B575" s="6" t="inlineStr">
        <is>
          <t>Depot Flamboyant</t>
        </is>
      </c>
      <c r="C575" s="6">
        <f>(C78-MIN($C$2:$C$492)) / (MAX($C$2:$C$492)-MIN($C$2:$C$492))</f>
        <v/>
      </c>
      <c r="D575" s="6">
        <f>(D78-MIN($D$2:$D$492)) / (MAX($D$2:$D$492)-MIN($D$2:$D$492))</f>
        <v/>
      </c>
      <c r="E575" s="6">
        <f>(E78-MIN($E$2:$E$492)) / (MAX($E$2:$E$492)-MIN($E$2:$E$492))</f>
        <v/>
      </c>
    </row>
    <row r="576">
      <c r="A576" s="6" t="n">
        <v>78</v>
      </c>
      <c r="B576" s="6" t="inlineStr">
        <is>
          <t>Depot Pangsit Mie Bromo Pojok</t>
        </is>
      </c>
      <c r="C576" s="6">
        <f>(C79-MIN($C$2:$C$492)) / (MAX($C$2:$C$492)-MIN($C$2:$C$492))</f>
        <v/>
      </c>
      <c r="D576" s="6">
        <f>(D79-MIN($D$2:$D$492)) / (MAX($D$2:$D$492)-MIN($D$2:$D$492))</f>
        <v/>
      </c>
      <c r="E576" s="6">
        <f>(E79-MIN($E$2:$E$492)) / (MAX($E$2:$E$492)-MIN($E$2:$E$492))</f>
        <v/>
      </c>
    </row>
    <row r="577">
      <c r="A577" s="6" t="n">
        <v>79</v>
      </c>
      <c r="B577" s="6" t="inlineStr">
        <is>
          <t>Depot Indah Jaya</t>
        </is>
      </c>
      <c r="C577" s="6">
        <f>(C80-MIN($C$2:$C$492)) / (MAX($C$2:$C$492)-MIN($C$2:$C$492))</f>
        <v/>
      </c>
      <c r="D577" s="6">
        <f>(D80-MIN($D$2:$D$492)) / (MAX($D$2:$D$492)-MIN($D$2:$D$492))</f>
        <v/>
      </c>
      <c r="E577" s="6">
        <f>(E80-MIN($E$2:$E$492)) / (MAX($E$2:$E$492)-MIN($E$2:$E$492))</f>
        <v/>
      </c>
    </row>
    <row r="578">
      <c r="A578" s="6" t="n">
        <v>80</v>
      </c>
      <c r="B578" s="6" t="inlineStr">
        <is>
          <t>Rumah Makan Kaliurang</t>
        </is>
      </c>
      <c r="C578" s="6">
        <f>(C81-MIN($C$2:$C$492)) / (MAX($C$2:$C$492)-MIN($C$2:$C$492))</f>
        <v/>
      </c>
      <c r="D578" s="6">
        <f>(D81-MIN($D$2:$D$492)) / (MAX($D$2:$D$492)-MIN($D$2:$D$492))</f>
        <v/>
      </c>
      <c r="E578" s="6">
        <f>(E81-MIN($E$2:$E$492)) / (MAX($E$2:$E$492)-MIN($E$2:$E$492))</f>
        <v/>
      </c>
    </row>
    <row r="579">
      <c r="A579" s="6" t="n">
        <v>81</v>
      </c>
      <c r="B579" s="6" t="inlineStr">
        <is>
          <t>Depot Santai</t>
        </is>
      </c>
      <c r="C579" s="6">
        <f>(C82-MIN($C$2:$C$492)) / (MAX($C$2:$C$492)-MIN($C$2:$C$492))</f>
        <v/>
      </c>
      <c r="D579" s="6">
        <f>(D82-MIN($D$2:$D$492)) / (MAX($D$2:$D$492)-MIN($D$2:$D$492))</f>
        <v/>
      </c>
      <c r="E579" s="6">
        <f>(E82-MIN($E$2:$E$492)) / (MAX($E$2:$E$492)-MIN($E$2:$E$492))</f>
        <v/>
      </c>
    </row>
    <row r="580">
      <c r="A580" s="6" t="n">
        <v>82</v>
      </c>
      <c r="B580" s="6" t="inlineStr">
        <is>
          <t>Depot Es Selon</t>
        </is>
      </c>
      <c r="C580" s="6">
        <f>(C83-MIN($C$2:$C$492)) / (MAX($C$2:$C$492)-MIN($C$2:$C$492))</f>
        <v/>
      </c>
      <c r="D580" s="6">
        <f>(D83-MIN($D$2:$D$492)) / (MAX($D$2:$D$492)-MIN($D$2:$D$492))</f>
        <v/>
      </c>
      <c r="E580" s="6">
        <f>(E83-MIN($E$2:$E$492)) / (MAX($E$2:$E$492)-MIN($E$2:$E$492))</f>
        <v/>
      </c>
    </row>
    <row r="581">
      <c r="A581" s="6" t="n">
        <v>83</v>
      </c>
      <c r="B581" s="6" t="inlineStr">
        <is>
          <t>Depot Kee Tjie</t>
        </is>
      </c>
      <c r="C581" s="6">
        <f>(C84-MIN($C$2:$C$492)) / (MAX($C$2:$C$492)-MIN($C$2:$C$492))</f>
        <v/>
      </c>
      <c r="D581" s="6">
        <f>(D84-MIN($D$2:$D$492)) / (MAX($D$2:$D$492)-MIN($D$2:$D$492))</f>
        <v/>
      </c>
      <c r="E581" s="6">
        <f>(E84-MIN($E$2:$E$492)) / (MAX($E$2:$E$492)-MIN($E$2:$E$492))</f>
        <v/>
      </c>
    </row>
    <row r="582">
      <c r="A582" s="6" t="n">
        <v>84</v>
      </c>
      <c r="B582" s="6" t="inlineStr">
        <is>
          <t>Depot Jepun</t>
        </is>
      </c>
      <c r="C582" s="6">
        <f>(C85-MIN($C$2:$C$492)) / (MAX($C$2:$C$492)-MIN($C$2:$C$492))</f>
        <v/>
      </c>
      <c r="D582" s="6">
        <f>(D85-MIN($D$2:$D$492)) / (MAX($D$2:$D$492)-MIN($D$2:$D$492))</f>
        <v/>
      </c>
      <c r="E582" s="6">
        <f>(E85-MIN($E$2:$E$492)) / (MAX($E$2:$E$492)-MIN($E$2:$E$492))</f>
        <v/>
      </c>
    </row>
    <row r="583">
      <c r="A583" s="6" t="n">
        <v>85</v>
      </c>
      <c r="B583" s="6" t="inlineStr">
        <is>
          <t>Depot Maninjau</t>
        </is>
      </c>
      <c r="C583" s="6">
        <f>(C86-MIN($C$2:$C$492)) / (MAX($C$2:$C$492)-MIN($C$2:$C$492))</f>
        <v/>
      </c>
      <c r="D583" s="6">
        <f>(D86-MIN($D$2:$D$492)) / (MAX($D$2:$D$492)-MIN($D$2:$D$492))</f>
        <v/>
      </c>
      <c r="E583" s="6">
        <f>(E86-MIN($E$2:$E$492)) / (MAX($E$2:$E$492)-MIN($E$2:$E$492))</f>
        <v/>
      </c>
    </row>
    <row r="584">
      <c r="A584" s="6" t="n">
        <v>86</v>
      </c>
      <c r="B584" s="6" t="inlineStr">
        <is>
          <t>Warung Es dan Kue Mungil Malang</t>
        </is>
      </c>
      <c r="C584" s="6">
        <f>(C87-MIN($C$2:$C$492)) / (MAX($C$2:$C$492)-MIN($C$2:$C$492))</f>
        <v/>
      </c>
      <c r="D584" s="6">
        <f>(D87-MIN($D$2:$D$492)) / (MAX($D$2:$D$492)-MIN($D$2:$D$492))</f>
        <v/>
      </c>
      <c r="E584" s="6">
        <f>(E87-MIN($E$2:$E$492)) / (MAX($E$2:$E$492)-MIN($E$2:$E$492))</f>
        <v/>
      </c>
    </row>
    <row r="585">
      <c r="A585" s="6" t="n">
        <v>87</v>
      </c>
      <c r="B585" s="6" t="inlineStr">
        <is>
          <t>Depot Tahu Lontong Lonceng</t>
        </is>
      </c>
      <c r="C585" s="6">
        <f>(C88-MIN($C$2:$C$492)) / (MAX($C$2:$C$492)-MIN($C$2:$C$492))</f>
        <v/>
      </c>
      <c r="D585" s="6">
        <f>(D88-MIN($D$2:$D$492)) / (MAX($D$2:$D$492)-MIN($D$2:$D$492))</f>
        <v/>
      </c>
      <c r="E585" s="6">
        <f>(E88-MIN($E$2:$E$492)) / (MAX($E$2:$E$492)-MIN($E$2:$E$492))</f>
        <v/>
      </c>
    </row>
    <row r="586">
      <c r="A586" s="6" t="n">
        <v>88</v>
      </c>
      <c r="B586" s="6" t="inlineStr">
        <is>
          <t>Depot Bu Rudy - Dharmahusada</t>
        </is>
      </c>
      <c r="C586" s="6">
        <f>(C89-MIN($C$2:$C$492)) / (MAX($C$2:$C$492)-MIN($C$2:$C$492))</f>
        <v/>
      </c>
      <c r="D586" s="6">
        <f>(D89-MIN($D$2:$D$492)) / (MAX($D$2:$D$492)-MIN($D$2:$D$492))</f>
        <v/>
      </c>
      <c r="E586" s="6">
        <f>(E89-MIN($E$2:$E$492)) / (MAX($E$2:$E$492)-MIN($E$2:$E$492))</f>
        <v/>
      </c>
    </row>
    <row r="587">
      <c r="A587" s="6" t="n">
        <v>89</v>
      </c>
      <c r="B587" s="6" t="inlineStr">
        <is>
          <t>Depot Jakarta</t>
        </is>
      </c>
      <c r="C587" s="6">
        <f>(C90-MIN($C$2:$C$492)) / (MAX($C$2:$C$492)-MIN($C$2:$C$492))</f>
        <v/>
      </c>
      <c r="D587" s="6">
        <f>(D90-MIN($D$2:$D$492)) / (MAX($D$2:$D$492)-MIN($D$2:$D$492))</f>
        <v/>
      </c>
      <c r="E587" s="6">
        <f>(E90-MIN($E$2:$E$492)) / (MAX($E$2:$E$492)-MIN($E$2:$E$492))</f>
        <v/>
      </c>
    </row>
    <row r="588">
      <c r="A588" s="6" t="n">
        <v>90</v>
      </c>
      <c r="B588" s="6" t="inlineStr">
        <is>
          <t>Depot Asri Vegetarian</t>
        </is>
      </c>
      <c r="C588" s="6">
        <f>(C91-MIN($C$2:$C$492)) / (MAX($C$2:$C$492)-MIN($C$2:$C$492))</f>
        <v/>
      </c>
      <c r="D588" s="6">
        <f>(D91-MIN($D$2:$D$492)) / (MAX($D$2:$D$492)-MIN($D$2:$D$492))</f>
        <v/>
      </c>
      <c r="E588" s="6">
        <f>(E91-MIN($E$2:$E$492)) / (MAX($E$2:$E$492)-MIN($E$2:$E$492))</f>
        <v/>
      </c>
    </row>
    <row r="589">
      <c r="A589" s="6" t="n">
        <v>91</v>
      </c>
      <c r="B589" s="6" t="inlineStr">
        <is>
          <t>Ayam Tulang Lunak MBOK SURIP, SP Sudarmo, Blimbing, Kota Malang</t>
        </is>
      </c>
      <c r="C589" s="6">
        <f>(C92-MIN($C$2:$C$492)) / (MAX($C$2:$C$492)-MIN($C$2:$C$492))</f>
        <v/>
      </c>
      <c r="D589" s="6">
        <f>(D92-MIN($D$2:$D$492)) / (MAX($D$2:$D$492)-MIN($D$2:$D$492))</f>
        <v/>
      </c>
      <c r="E589" s="6">
        <f>(E92-MIN($E$2:$E$492)) / (MAX($E$2:$E$492)-MIN($E$2:$E$492))</f>
        <v/>
      </c>
    </row>
    <row r="590">
      <c r="A590" s="6" t="n">
        <v>92</v>
      </c>
      <c r="B590" s="6" t="inlineStr">
        <is>
          <t>Cita Rasa</t>
        </is>
      </c>
      <c r="C590" s="6">
        <f>(C93-MIN($C$2:$C$492)) / (MAX($C$2:$C$492)-MIN($C$2:$C$492))</f>
        <v/>
      </c>
      <c r="D590" s="6">
        <f>(D93-MIN($D$2:$D$492)) / (MAX($D$2:$D$492)-MIN($D$2:$D$492))</f>
        <v/>
      </c>
      <c r="E590" s="6">
        <f>(E93-MIN($E$2:$E$492)) / (MAX($E$2:$E$492)-MIN($E$2:$E$492))</f>
        <v/>
      </c>
    </row>
    <row r="591">
      <c r="A591" s="6" t="n">
        <v>93</v>
      </c>
      <c r="B591" s="6" t="inlineStr">
        <is>
          <t>Soto Basket Stasiun</t>
        </is>
      </c>
      <c r="C591" s="6">
        <f>(C94-MIN($C$2:$C$492)) / (MAX($C$2:$C$492)-MIN($C$2:$C$492))</f>
        <v/>
      </c>
      <c r="D591" s="6">
        <f>(D94-MIN($D$2:$D$492)) / (MAX($D$2:$D$492)-MIN($D$2:$D$492))</f>
        <v/>
      </c>
      <c r="E591" s="6">
        <f>(E94-MIN($E$2:$E$492)) / (MAX($E$2:$E$492)-MIN($E$2:$E$492))</f>
        <v/>
      </c>
    </row>
    <row r="592">
      <c r="A592" s="6" t="n">
        <v>94</v>
      </c>
      <c r="B592" s="6" t="inlineStr">
        <is>
          <t>Depot Agung 1952</t>
        </is>
      </c>
      <c r="C592" s="6">
        <f>(C95-MIN($C$2:$C$492)) / (MAX($C$2:$C$492)-MIN($C$2:$C$492))</f>
        <v/>
      </c>
      <c r="D592" s="6">
        <f>(D95-MIN($D$2:$D$492)) / (MAX($D$2:$D$492)-MIN($D$2:$D$492))</f>
        <v/>
      </c>
      <c r="E592" s="6">
        <f>(E95-MIN($E$2:$E$492)) / (MAX($E$2:$E$492)-MIN($E$2:$E$492))</f>
        <v/>
      </c>
    </row>
    <row r="593">
      <c r="A593" s="6" t="n">
        <v>95</v>
      </c>
      <c r="B593" s="6" t="inlineStr">
        <is>
          <t>Depot Goyang Lidah</t>
        </is>
      </c>
      <c r="C593" s="6">
        <f>(C96-MIN($C$2:$C$492)) / (MAX($C$2:$C$492)-MIN($C$2:$C$492))</f>
        <v/>
      </c>
      <c r="D593" s="6">
        <f>(D96-MIN($D$2:$D$492)) / (MAX($D$2:$D$492)-MIN($D$2:$D$492))</f>
        <v/>
      </c>
      <c r="E593" s="6">
        <f>(E96-MIN($E$2:$E$492)) / (MAX($E$2:$E$492)-MIN($E$2:$E$492))</f>
        <v/>
      </c>
    </row>
    <row r="594">
      <c r="A594" s="6" t="n">
        <v>96</v>
      </c>
      <c r="B594" s="6" t="inlineStr">
        <is>
          <t>Pondok Desa</t>
        </is>
      </c>
      <c r="C594" s="6">
        <f>(C97-MIN($C$2:$C$492)) / (MAX($C$2:$C$492)-MIN($C$2:$C$492))</f>
        <v/>
      </c>
      <c r="D594" s="6">
        <f>(D97-MIN($D$2:$D$492)) / (MAX($D$2:$D$492)-MIN($D$2:$D$492))</f>
        <v/>
      </c>
      <c r="E594" s="6">
        <f>(E97-MIN($E$2:$E$492)) / (MAX($E$2:$E$492)-MIN($E$2:$E$492))</f>
        <v/>
      </c>
    </row>
    <row r="595">
      <c r="A595" s="6" t="n">
        <v>97</v>
      </c>
      <c r="B595" s="6" t="inlineStr">
        <is>
          <t>Melati Restaurant</t>
        </is>
      </c>
      <c r="C595" s="6">
        <f>(C98-MIN($C$2:$C$492)) / (MAX($C$2:$C$492)-MIN($C$2:$C$492))</f>
        <v/>
      </c>
      <c r="D595" s="6">
        <f>(D98-MIN($D$2:$D$492)) / (MAX($D$2:$D$492)-MIN($D$2:$D$492))</f>
        <v/>
      </c>
      <c r="E595" s="6">
        <f>(E98-MIN($E$2:$E$492)) / (MAX($E$2:$E$492)-MIN($E$2:$E$492))</f>
        <v/>
      </c>
    </row>
    <row r="596">
      <c r="A596" s="6" t="n">
        <v>98</v>
      </c>
      <c r="B596" s="6" t="inlineStr">
        <is>
          <t>Depot Mamujung</t>
        </is>
      </c>
      <c r="C596" s="6">
        <f>(C99-MIN($C$2:$C$492)) / (MAX($C$2:$C$492)-MIN($C$2:$C$492))</f>
        <v/>
      </c>
      <c r="D596" s="6">
        <f>(D99-MIN($D$2:$D$492)) / (MAX($D$2:$D$492)-MIN($D$2:$D$492))</f>
        <v/>
      </c>
      <c r="E596" s="6">
        <f>(E99-MIN($E$2:$E$492)) / (MAX($E$2:$E$492)-MIN($E$2:$E$492))</f>
        <v/>
      </c>
    </row>
    <row r="597">
      <c r="A597" s="6" t="n">
        <v>99</v>
      </c>
      <c r="B597" s="6" t="inlineStr">
        <is>
          <t>Soto Ayam Lombok Sejak 1955</t>
        </is>
      </c>
      <c r="C597" s="6">
        <f>(C100-MIN($C$2:$C$492)) / (MAX($C$2:$C$492)-MIN($C$2:$C$492))</f>
        <v/>
      </c>
      <c r="D597" s="6">
        <f>(D100-MIN($D$2:$D$492)) / (MAX($D$2:$D$492)-MIN($D$2:$D$492))</f>
        <v/>
      </c>
      <c r="E597" s="6">
        <f>(E100-MIN($E$2:$E$492)) / (MAX($E$2:$E$492)-MIN($E$2:$E$492))</f>
        <v/>
      </c>
    </row>
    <row r="598">
      <c r="A598" s="6" t="n">
        <v>100</v>
      </c>
      <c r="B598" s="6" t="inlineStr">
        <is>
          <t>Pecel Berkah Malang</t>
        </is>
      </c>
      <c r="C598" s="6">
        <f>(C101-MIN($C$2:$C$492)) / (MAX($C$2:$C$492)-MIN($C$2:$C$492))</f>
        <v/>
      </c>
      <c r="D598" s="6">
        <f>(D101-MIN($D$2:$D$492)) / (MAX($D$2:$D$492)-MIN($D$2:$D$492))</f>
        <v/>
      </c>
      <c r="E598" s="6">
        <f>(E101-MIN($E$2:$E$492)) / (MAX($E$2:$E$492)-MIN($E$2:$E$492))</f>
        <v/>
      </c>
    </row>
    <row r="599">
      <c r="A599" s="6" t="n">
        <v>101</v>
      </c>
      <c r="B599" s="6" t="inlineStr">
        <is>
          <t>Ayam Goreng Remaja</t>
        </is>
      </c>
      <c r="C599" s="6">
        <f>(C102-MIN($C$2:$C$492)) / (MAX($C$2:$C$492)-MIN($C$2:$C$492))</f>
        <v/>
      </c>
      <c r="D599" s="6">
        <f>(D102-MIN($D$2:$D$492)) / (MAX($D$2:$D$492)-MIN($D$2:$D$492))</f>
        <v/>
      </c>
      <c r="E599" s="6">
        <f>(E102-MIN($E$2:$E$492)) / (MAX($E$2:$E$492)-MIN($E$2:$E$492))</f>
        <v/>
      </c>
    </row>
    <row r="600">
      <c r="A600" s="6" t="n">
        <v>102</v>
      </c>
      <c r="B600" s="6" t="inlineStr">
        <is>
          <t>Depot Rujak Pojok</t>
        </is>
      </c>
      <c r="C600" s="6">
        <f>(C103-MIN($C$2:$C$492)) / (MAX($C$2:$C$492)-MIN($C$2:$C$492))</f>
        <v/>
      </c>
      <c r="D600" s="6">
        <f>(D103-MIN($D$2:$D$492)) / (MAX($D$2:$D$492)-MIN($D$2:$D$492))</f>
        <v/>
      </c>
      <c r="E600" s="6">
        <f>(E103-MIN($E$2:$E$492)) / (MAX($E$2:$E$492)-MIN($E$2:$E$492))</f>
        <v/>
      </c>
    </row>
    <row r="601">
      <c r="A601" s="6" t="n">
        <v>103</v>
      </c>
      <c r="B601" s="6" t="inlineStr">
        <is>
          <t>Waroeng Sampah</t>
        </is>
      </c>
      <c r="C601" s="6">
        <f>(C104-MIN($C$2:$C$492)) / (MAX($C$2:$C$492)-MIN($C$2:$C$492))</f>
        <v/>
      </c>
      <c r="D601" s="6">
        <f>(D104-MIN($D$2:$D$492)) / (MAX($D$2:$D$492)-MIN($D$2:$D$492))</f>
        <v/>
      </c>
      <c r="E601" s="6">
        <f>(E104-MIN($E$2:$E$492)) / (MAX($E$2:$E$492)-MIN($E$2:$E$492))</f>
        <v/>
      </c>
    </row>
    <row r="602">
      <c r="A602" s="6" t="n">
        <v>104</v>
      </c>
      <c r="B602" s="6" t="inlineStr">
        <is>
          <t>Depot 51</t>
        </is>
      </c>
      <c r="C602" s="6">
        <f>(C105-MIN($C$2:$C$492)) / (MAX($C$2:$C$492)-MIN($C$2:$C$492))</f>
        <v/>
      </c>
      <c r="D602" s="6">
        <f>(D105-MIN($D$2:$D$492)) / (MAX($D$2:$D$492)-MIN($D$2:$D$492))</f>
        <v/>
      </c>
      <c r="E602" s="6">
        <f>(E105-MIN($E$2:$E$492)) / (MAX($E$2:$E$492)-MIN($E$2:$E$492))</f>
        <v/>
      </c>
    </row>
    <row r="603">
      <c r="A603" s="6" t="n">
        <v>105</v>
      </c>
      <c r="B603" s="6" t="inlineStr">
        <is>
          <t>Taman Indie Resto</t>
        </is>
      </c>
      <c r="C603" s="6">
        <f>(C106-MIN($C$2:$C$492)) / (MAX($C$2:$C$492)-MIN($C$2:$C$492))</f>
        <v/>
      </c>
      <c r="D603" s="6">
        <f>(D106-MIN($D$2:$D$492)) / (MAX($D$2:$D$492)-MIN($D$2:$D$492))</f>
        <v/>
      </c>
      <c r="E603" s="6">
        <f>(E106-MIN($E$2:$E$492)) / (MAX($E$2:$E$492)-MIN($E$2:$E$492))</f>
        <v/>
      </c>
    </row>
    <row r="604">
      <c r="A604" s="6" t="n">
        <v>106</v>
      </c>
      <c r="B604" s="6" t="inlineStr">
        <is>
          <t>Depot Lumayan</t>
        </is>
      </c>
      <c r="C604" s="6">
        <f>(C107-MIN($C$2:$C$492)) / (MAX($C$2:$C$492)-MIN($C$2:$C$492))</f>
        <v/>
      </c>
      <c r="D604" s="6">
        <f>(D107-MIN($D$2:$D$492)) / (MAX($D$2:$D$492)-MIN($D$2:$D$492))</f>
        <v/>
      </c>
      <c r="E604" s="6">
        <f>(E107-MIN($E$2:$E$492)) / (MAX($E$2:$E$492)-MIN($E$2:$E$492))</f>
        <v/>
      </c>
    </row>
    <row r="605">
      <c r="A605" s="6" t="n">
        <v>107</v>
      </c>
      <c r="B605" s="6" t="inlineStr">
        <is>
          <t>Warung Manteb Bu Lanny</t>
        </is>
      </c>
      <c r="C605" s="6">
        <f>(C108-MIN($C$2:$C$492)) / (MAX($C$2:$C$492)-MIN($C$2:$C$492))</f>
        <v/>
      </c>
      <c r="D605" s="6">
        <f>(D108-MIN($D$2:$D$492)) / (MAX($D$2:$D$492)-MIN($D$2:$D$492))</f>
        <v/>
      </c>
      <c r="E605" s="6">
        <f>(E108-MIN($E$2:$E$492)) / (MAX($E$2:$E$492)-MIN($E$2:$E$492))</f>
        <v/>
      </c>
    </row>
    <row r="606">
      <c r="A606" s="6" t="n">
        <v>108</v>
      </c>
      <c r="B606" s="6" t="inlineStr">
        <is>
          <t>Depot Nasi Goreng Cak Koes</t>
        </is>
      </c>
      <c r="C606" s="6">
        <f>(C109-MIN($C$2:$C$492)) / (MAX($C$2:$C$492)-MIN($C$2:$C$492))</f>
        <v/>
      </c>
      <c r="D606" s="6">
        <f>(D109-MIN($D$2:$D$492)) / (MAX($D$2:$D$492)-MIN($D$2:$D$492))</f>
        <v/>
      </c>
      <c r="E606" s="6">
        <f>(E109-MIN($E$2:$E$492)) / (MAX($E$2:$E$492)-MIN($E$2:$E$492))</f>
        <v/>
      </c>
    </row>
    <row r="607">
      <c r="A607" s="6" t="n">
        <v>109</v>
      </c>
      <c r="B607" s="6" t="inlineStr">
        <is>
          <t>Hot Cui Mie KAWI l Since 2000</t>
        </is>
      </c>
      <c r="C607" s="6">
        <f>(C110-MIN($C$2:$C$492)) / (MAX($C$2:$C$492)-MIN($C$2:$C$492))</f>
        <v/>
      </c>
      <c r="D607" s="6">
        <f>(D110-MIN($D$2:$D$492)) / (MAX($D$2:$D$492)-MIN($D$2:$D$492))</f>
        <v/>
      </c>
      <c r="E607" s="6">
        <f>(E110-MIN($E$2:$E$492)) / (MAX($E$2:$E$492)-MIN($E$2:$E$492))</f>
        <v/>
      </c>
    </row>
    <row r="608">
      <c r="A608" s="6" t="n">
        <v>110</v>
      </c>
      <c r="B608" s="6" t="inlineStr">
        <is>
          <t>Potre Koneng Warisan Rasa Nusantara</t>
        </is>
      </c>
      <c r="C608" s="6">
        <f>(C111-MIN($C$2:$C$492)) / (MAX($C$2:$C$492)-MIN($C$2:$C$492))</f>
        <v/>
      </c>
      <c r="D608" s="6">
        <f>(D111-MIN($D$2:$D$492)) / (MAX($D$2:$D$492)-MIN($D$2:$D$492))</f>
        <v/>
      </c>
      <c r="E608" s="6">
        <f>(E111-MIN($E$2:$E$492)) / (MAX($E$2:$E$492)-MIN($E$2:$E$492))</f>
        <v/>
      </c>
    </row>
    <row r="609">
      <c r="A609" s="6" t="n">
        <v>111</v>
      </c>
      <c r="B609" s="6" t="inlineStr">
        <is>
          <t>Depot Nasi Goreng Cak Mien</t>
        </is>
      </c>
      <c r="C609" s="6">
        <f>(C112-MIN($C$2:$C$492)) / (MAX($C$2:$C$492)-MIN($C$2:$C$492))</f>
        <v/>
      </c>
      <c r="D609" s="6">
        <f>(D112-MIN($D$2:$D$492)) / (MAX($D$2:$D$492)-MIN($D$2:$D$492))</f>
        <v/>
      </c>
      <c r="E609" s="6">
        <f>(E112-MIN($E$2:$E$492)) / (MAX($E$2:$E$492)-MIN($E$2:$E$492))</f>
        <v/>
      </c>
    </row>
    <row r="610">
      <c r="A610" s="6" t="n">
        <v>112</v>
      </c>
      <c r="B610" s="6" t="inlineStr">
        <is>
          <t>Depot Kurnia Ria Ning Sul</t>
        </is>
      </c>
      <c r="C610" s="6">
        <f>(C113-MIN($C$2:$C$492)) / (MAX($C$2:$C$492)-MIN($C$2:$C$492))</f>
        <v/>
      </c>
      <c r="D610" s="6">
        <f>(D113-MIN($D$2:$D$492)) / (MAX($D$2:$D$492)-MIN($D$2:$D$492))</f>
        <v/>
      </c>
      <c r="E610" s="6">
        <f>(E113-MIN($E$2:$E$492)) / (MAX($E$2:$E$492)-MIN($E$2:$E$492))</f>
        <v/>
      </c>
    </row>
    <row r="611">
      <c r="A611" s="6" t="n">
        <v>113</v>
      </c>
      <c r="B611" s="6" t="inlineStr">
        <is>
          <t>Rumah Makan Inggil</t>
        </is>
      </c>
      <c r="C611" s="6">
        <f>(C114-MIN($C$2:$C$492)) / (MAX($C$2:$C$492)-MIN($C$2:$C$492))</f>
        <v/>
      </c>
      <c r="D611" s="6">
        <f>(D114-MIN($D$2:$D$492)) / (MAX($D$2:$D$492)-MIN($D$2:$D$492))</f>
        <v/>
      </c>
      <c r="E611" s="6">
        <f>(E114-MIN($E$2:$E$492)) / (MAX($E$2:$E$492)-MIN($E$2:$E$492))</f>
        <v/>
      </c>
    </row>
    <row r="612">
      <c r="A612" s="6" t="n">
        <v>114</v>
      </c>
      <c r="B612" s="6" t="inlineStr">
        <is>
          <t>Ronde Titoni</t>
        </is>
      </c>
      <c r="C612" s="6">
        <f>(C115-MIN($C$2:$C$492)) / (MAX($C$2:$C$492)-MIN($C$2:$C$492))</f>
        <v/>
      </c>
      <c r="D612" s="6">
        <f>(D115-MIN($D$2:$D$492)) / (MAX($D$2:$D$492)-MIN($D$2:$D$492))</f>
        <v/>
      </c>
      <c r="E612" s="6">
        <f>(E115-MIN($E$2:$E$492)) / (MAX($E$2:$E$492)-MIN($E$2:$E$492))</f>
        <v/>
      </c>
    </row>
    <row r="613">
      <c r="A613" s="6" t="n">
        <v>115</v>
      </c>
      <c r="B613" s="6" t="inlineStr">
        <is>
          <t>Soto Ayam Lamongan CAK HAR</t>
        </is>
      </c>
      <c r="C613" s="6">
        <f>(C116-MIN($C$2:$C$492)) / (MAX($C$2:$C$492)-MIN($C$2:$C$492))</f>
        <v/>
      </c>
      <c r="D613" s="6">
        <f>(D116-MIN($D$2:$D$492)) / (MAX($D$2:$D$492)-MIN($D$2:$D$492))</f>
        <v/>
      </c>
      <c r="E613" s="6">
        <f>(E116-MIN($E$2:$E$492)) / (MAX($E$2:$E$492)-MIN($E$2:$E$492))</f>
        <v/>
      </c>
    </row>
    <row r="614">
      <c r="A614" s="6" t="n">
        <v>116</v>
      </c>
      <c r="B614" s="6" t="inlineStr">
        <is>
          <t>Sentra Kuliner Sriwijaya</t>
        </is>
      </c>
      <c r="C614" s="6">
        <f>(C117-MIN($C$2:$C$492)) / (MAX($C$2:$C$492)-MIN($C$2:$C$492))</f>
        <v/>
      </c>
      <c r="D614" s="6">
        <f>(D117-MIN($D$2:$D$492)) / (MAX($D$2:$D$492)-MIN($D$2:$D$492))</f>
        <v/>
      </c>
      <c r="E614" s="6">
        <f>(E117-MIN($E$2:$E$492)) / (MAX($E$2:$E$492)-MIN($E$2:$E$492))</f>
        <v/>
      </c>
    </row>
    <row r="615">
      <c r="A615" s="6" t="n">
        <v>117</v>
      </c>
      <c r="B615" s="6" t="inlineStr">
        <is>
          <t>Pos Ketan Legenda 1967 Suhat</t>
        </is>
      </c>
      <c r="C615" s="6">
        <f>(C118-MIN($C$2:$C$492)) / (MAX($C$2:$C$492)-MIN($C$2:$C$492))</f>
        <v/>
      </c>
      <c r="D615" s="6">
        <f>(D118-MIN($D$2:$D$492)) / (MAX($D$2:$D$492)-MIN($D$2:$D$492))</f>
        <v/>
      </c>
      <c r="E615" s="6">
        <f>(E118-MIN($E$2:$E$492)) / (MAX($E$2:$E$492)-MIN($E$2:$E$492))</f>
        <v/>
      </c>
    </row>
    <row r="616">
      <c r="A616" s="6" t="n">
        <v>118</v>
      </c>
      <c r="B616" s="6" t="inlineStr">
        <is>
          <t>Taman Jajan Al Fatih</t>
        </is>
      </c>
      <c r="C616" s="6">
        <f>(C119-MIN($C$2:$C$492)) / (MAX($C$2:$C$492)-MIN($C$2:$C$492))</f>
        <v/>
      </c>
      <c r="D616" s="6">
        <f>(D119-MIN($D$2:$D$492)) / (MAX($D$2:$D$492)-MIN($D$2:$D$492))</f>
        <v/>
      </c>
      <c r="E616" s="6">
        <f>(E119-MIN($E$2:$E$492)) / (MAX($E$2:$E$492)-MIN($E$2:$E$492))</f>
        <v/>
      </c>
    </row>
    <row r="617">
      <c r="A617" s="6" t="n">
        <v>119</v>
      </c>
      <c r="B617" s="6" t="inlineStr">
        <is>
          <t>Puthu Lanang</t>
        </is>
      </c>
      <c r="C617" s="6">
        <f>(C120-MIN($C$2:$C$492)) / (MAX($C$2:$C$492)-MIN($C$2:$C$492))</f>
        <v/>
      </c>
      <c r="D617" s="6">
        <f>(D120-MIN($D$2:$D$492)) / (MAX($D$2:$D$492)-MIN($D$2:$D$492))</f>
        <v/>
      </c>
      <c r="E617" s="6">
        <f>(E120-MIN($E$2:$E$492)) / (MAX($E$2:$E$492)-MIN($E$2:$E$492))</f>
        <v/>
      </c>
    </row>
    <row r="618">
      <c r="A618" s="6" t="n">
        <v>120</v>
      </c>
      <c r="B618" s="6" t="inlineStr">
        <is>
          <t>Sego Goreng Resek (Pak Man)</t>
        </is>
      </c>
      <c r="C618" s="6">
        <f>(C121-MIN($C$2:$C$492)) / (MAX($C$2:$C$492)-MIN($C$2:$C$492))</f>
        <v/>
      </c>
      <c r="D618" s="6">
        <f>(D121-MIN($D$2:$D$492)) / (MAX($D$2:$D$492)-MIN($D$2:$D$492))</f>
        <v/>
      </c>
      <c r="E618" s="6">
        <f>(E121-MIN($E$2:$E$492)) / (MAX($E$2:$E$492)-MIN($E$2:$E$492))</f>
        <v/>
      </c>
    </row>
    <row r="619">
      <c r="A619" s="6" t="n">
        <v>121</v>
      </c>
      <c r="B619" s="6" t="inlineStr">
        <is>
          <t>Surabi Imut</t>
        </is>
      </c>
      <c r="C619" s="6">
        <f>(C122-MIN($C$2:$C$492)) / (MAX($C$2:$C$492)-MIN($C$2:$C$492))</f>
        <v/>
      </c>
      <c r="D619" s="6">
        <f>(D122-MIN($D$2:$D$492)) / (MAX($D$2:$D$492)-MIN($D$2:$D$492))</f>
        <v/>
      </c>
      <c r="E619" s="6">
        <f>(E122-MIN($E$2:$E$492)) / (MAX($E$2:$E$492)-MIN($E$2:$E$492))</f>
        <v/>
      </c>
    </row>
    <row r="620">
      <c r="A620" s="6" t="n">
        <v>122</v>
      </c>
      <c r="B620" s="6" t="inlineStr">
        <is>
          <t>Sego Ceker Glintung Malang</t>
        </is>
      </c>
      <c r="C620" s="6">
        <f>(C123-MIN($C$2:$C$492)) / (MAX($C$2:$C$492)-MIN($C$2:$C$492))</f>
        <v/>
      </c>
      <c r="D620" s="6">
        <f>(D123-MIN($D$2:$D$492)) / (MAX($D$2:$D$492)-MIN($D$2:$D$492))</f>
        <v/>
      </c>
      <c r="E620" s="6">
        <f>(E123-MIN($E$2:$E$492)) / (MAX($E$2:$E$492)-MIN($E$2:$E$492))</f>
        <v/>
      </c>
    </row>
    <row r="621">
      <c r="A621" s="6" t="n">
        <v>123</v>
      </c>
      <c r="B621" s="6" t="inlineStr">
        <is>
          <t>Warung Lama H. Ridwan</t>
        </is>
      </c>
      <c r="C621" s="6">
        <f>(C124-MIN($C$2:$C$492)) / (MAX($C$2:$C$492)-MIN($C$2:$C$492))</f>
        <v/>
      </c>
      <c r="D621" s="6">
        <f>(D124-MIN($D$2:$D$492)) / (MAX($D$2:$D$492)-MIN($D$2:$D$492))</f>
        <v/>
      </c>
      <c r="E621" s="6">
        <f>(E124-MIN($E$2:$E$492)) / (MAX($E$2:$E$492)-MIN($E$2:$E$492))</f>
        <v/>
      </c>
    </row>
    <row r="622">
      <c r="A622" s="6" t="n">
        <v>124</v>
      </c>
      <c r="B622" s="6" t="inlineStr">
        <is>
          <t>Kampoeng Kuliner</t>
        </is>
      </c>
      <c r="C622" s="6">
        <f>(C125-MIN($C$2:$C$492)) / (MAX($C$2:$C$492)-MIN($C$2:$C$492))</f>
        <v/>
      </c>
      <c r="D622" s="6">
        <f>(D125-MIN($D$2:$D$492)) / (MAX($D$2:$D$492)-MIN($D$2:$D$492))</f>
        <v/>
      </c>
      <c r="E622" s="6">
        <f>(E125-MIN($E$2:$E$492)) / (MAX($E$2:$E$492)-MIN($E$2:$E$492))</f>
        <v/>
      </c>
    </row>
    <row r="623">
      <c r="A623" s="6" t="n">
        <v>125</v>
      </c>
      <c r="B623" s="6" t="inlineStr">
        <is>
          <t>Warung Mekar Jaya</t>
        </is>
      </c>
      <c r="C623" s="6">
        <f>(C126-MIN($C$2:$C$492)) / (MAX($C$2:$C$492)-MIN($C$2:$C$492))</f>
        <v/>
      </c>
      <c r="D623" s="6">
        <f>(D126-MIN($D$2:$D$492)) / (MAX($D$2:$D$492)-MIN($D$2:$D$492))</f>
        <v/>
      </c>
      <c r="E623" s="6">
        <f>(E126-MIN($E$2:$E$492)) / (MAX($E$2:$E$492)-MIN($E$2:$E$492))</f>
        <v/>
      </c>
    </row>
    <row r="624">
      <c r="A624" s="6" t="n">
        <v>126</v>
      </c>
      <c r="B624" s="6" t="inlineStr">
        <is>
          <t>Toko Oen Malang</t>
        </is>
      </c>
      <c r="C624" s="6">
        <f>(C127-MIN($C$2:$C$492)) / (MAX($C$2:$C$492)-MIN($C$2:$C$492))</f>
        <v/>
      </c>
      <c r="D624" s="6">
        <f>(D127-MIN($D$2:$D$492)) / (MAX($D$2:$D$492)-MIN($D$2:$D$492))</f>
        <v/>
      </c>
      <c r="E624" s="6">
        <f>(E127-MIN($E$2:$E$492)) / (MAX($E$2:$E$492)-MIN($E$2:$E$492))</f>
        <v/>
      </c>
    </row>
    <row r="625">
      <c r="A625" s="6" t="n">
        <v>127</v>
      </c>
      <c r="B625" s="6" t="inlineStr">
        <is>
          <t>Mbok Mesem Makanan Khas Kediri</t>
        </is>
      </c>
      <c r="C625" s="6">
        <f>(C128-MIN($C$2:$C$492)) / (MAX($C$2:$C$492)-MIN($C$2:$C$492))</f>
        <v/>
      </c>
      <c r="D625" s="6">
        <f>(D128-MIN($D$2:$D$492)) / (MAX($D$2:$D$492)-MIN($D$2:$D$492))</f>
        <v/>
      </c>
      <c r="E625" s="6">
        <f>(E128-MIN($E$2:$E$492)) / (MAX($E$2:$E$492)-MIN($E$2:$E$492))</f>
        <v/>
      </c>
    </row>
    <row r="626">
      <c r="A626" s="6" t="n">
        <v>128</v>
      </c>
      <c r="B626" s="6" t="inlineStr">
        <is>
          <t>Rawon Tessy</t>
        </is>
      </c>
      <c r="C626" s="6">
        <f>(C129-MIN($C$2:$C$492)) / (MAX($C$2:$C$492)-MIN($C$2:$C$492))</f>
        <v/>
      </c>
      <c r="D626" s="6">
        <f>(D129-MIN($D$2:$D$492)) / (MAX($D$2:$D$492)-MIN($D$2:$D$492))</f>
        <v/>
      </c>
      <c r="E626" s="6">
        <f>(E129-MIN($E$2:$E$492)) / (MAX($E$2:$E$492)-MIN($E$2:$E$492))</f>
        <v/>
      </c>
    </row>
    <row r="627">
      <c r="A627" s="6" t="n">
        <v>129</v>
      </c>
      <c r="B627" s="6" t="inlineStr">
        <is>
          <t>Warung Subuh</t>
        </is>
      </c>
      <c r="C627" s="6">
        <f>(C130-MIN($C$2:$C$492)) / (MAX($C$2:$C$492)-MIN($C$2:$C$492))</f>
        <v/>
      </c>
      <c r="D627" s="6">
        <f>(D130-MIN($D$2:$D$492)) / (MAX($D$2:$D$492)-MIN($D$2:$D$492))</f>
        <v/>
      </c>
      <c r="E627" s="6">
        <f>(E130-MIN($E$2:$E$492)) / (MAX($E$2:$E$492)-MIN($E$2:$E$492))</f>
        <v/>
      </c>
    </row>
    <row r="628">
      <c r="A628" s="6" t="n">
        <v>130</v>
      </c>
      <c r="B628" s="6" t="inlineStr">
        <is>
          <t>Warung Malam Pak Gatot</t>
        </is>
      </c>
      <c r="C628" s="6">
        <f>(C131-MIN($C$2:$C$492)) / (MAX($C$2:$C$492)-MIN($C$2:$C$492))</f>
        <v/>
      </c>
      <c r="D628" s="6">
        <f>(D131-MIN($D$2:$D$492)) / (MAX($D$2:$D$492)-MIN($D$2:$D$492))</f>
        <v/>
      </c>
      <c r="E628" s="6">
        <f>(E131-MIN($E$2:$E$492)) / (MAX($E$2:$E$492)-MIN($E$2:$E$492))</f>
        <v/>
      </c>
    </row>
    <row r="629">
      <c r="A629" s="6" t="n">
        <v>131</v>
      </c>
      <c r="B629" s="6" t="inlineStr">
        <is>
          <t>Bakso President Malang</t>
        </is>
      </c>
      <c r="C629" s="6">
        <f>(C132-MIN($C$2:$C$492)) / (MAX($C$2:$C$492)-MIN($C$2:$C$492))</f>
        <v/>
      </c>
      <c r="D629" s="6">
        <f>(D132-MIN($D$2:$D$492)) / (MAX($D$2:$D$492)-MIN($D$2:$D$492))</f>
        <v/>
      </c>
      <c r="E629" s="6">
        <f>(E132-MIN($E$2:$E$492)) / (MAX($E$2:$E$492)-MIN($E$2:$E$492))</f>
        <v/>
      </c>
    </row>
    <row r="630">
      <c r="A630" s="6" t="n">
        <v>132</v>
      </c>
      <c r="B630" s="6" t="inlineStr">
        <is>
          <t>Kawasan Wisata Kuliner Merjosari</t>
        </is>
      </c>
      <c r="C630" s="6">
        <f>(C133-MIN($C$2:$C$492)) / (MAX($C$2:$C$492)-MIN($C$2:$C$492))</f>
        <v/>
      </c>
      <c r="D630" s="6">
        <f>(D133-MIN($D$2:$D$492)) / (MAX($D$2:$D$492)-MIN($D$2:$D$492))</f>
        <v/>
      </c>
      <c r="E630" s="6">
        <f>(E133-MIN($E$2:$E$492)) / (MAX($E$2:$E$492)-MIN($E$2:$E$492))</f>
        <v/>
      </c>
    </row>
    <row r="631">
      <c r="A631" s="6" t="n">
        <v>133</v>
      </c>
      <c r="B631" s="6" t="inlineStr">
        <is>
          <t>Pos Ketan Legenda - 1967 Batu</t>
        </is>
      </c>
      <c r="C631" s="6">
        <f>(C134-MIN($C$2:$C$492)) / (MAX($C$2:$C$492)-MIN($C$2:$C$492))</f>
        <v/>
      </c>
      <c r="D631" s="6">
        <f>(D134-MIN($D$2:$D$492)) / (MAX($D$2:$D$492)-MIN($D$2:$D$492))</f>
        <v/>
      </c>
      <c r="E631" s="6">
        <f>(E134-MIN($E$2:$E$492)) / (MAX($E$2:$E$492)-MIN($E$2:$E$492))</f>
        <v/>
      </c>
    </row>
    <row r="632">
      <c r="A632" s="6" t="n">
        <v>134</v>
      </c>
      <c r="B632" s="6" t="inlineStr">
        <is>
          <t>SAMBAL GAMI BU'SUM</t>
        </is>
      </c>
      <c r="C632" s="6">
        <f>(C135-MIN($C$2:$C$492)) / (MAX($C$2:$C$492)-MIN($C$2:$C$492))</f>
        <v/>
      </c>
      <c r="D632" s="6">
        <f>(D135-MIN($D$2:$D$492)) / (MAX($D$2:$D$492)-MIN($D$2:$D$492))</f>
        <v/>
      </c>
      <c r="E632" s="6">
        <f>(E135-MIN($E$2:$E$492)) / (MAX($E$2:$E$492)-MIN($E$2:$E$492))</f>
        <v/>
      </c>
    </row>
    <row r="633">
      <c r="A633" s="6" t="n">
        <v>135</v>
      </c>
      <c r="B633" s="6" t="inlineStr">
        <is>
          <t>Pusat Kuliner Araya</t>
        </is>
      </c>
      <c r="C633" s="6">
        <f>(C136-MIN($C$2:$C$492)) / (MAX($C$2:$C$492)-MIN($C$2:$C$492))</f>
        <v/>
      </c>
      <c r="D633" s="6">
        <f>(D136-MIN($D$2:$D$492)) / (MAX($D$2:$D$492)-MIN($D$2:$D$492))</f>
        <v/>
      </c>
      <c r="E633" s="6">
        <f>(E136-MIN($E$2:$E$492)) / (MAX($E$2:$E$492)-MIN($E$2:$E$492))</f>
        <v/>
      </c>
    </row>
    <row r="634">
      <c r="A634" s="6" t="n">
        <v>136</v>
      </c>
      <c r="B634" s="6" t="inlineStr">
        <is>
          <t>Kampung Kuliner</t>
        </is>
      </c>
      <c r="C634" s="6">
        <f>(C137-MIN($C$2:$C$492)) / (MAX($C$2:$C$492)-MIN($C$2:$C$492))</f>
        <v/>
      </c>
      <c r="D634" s="6">
        <f>(D137-MIN($D$2:$D$492)) / (MAX($D$2:$D$492)-MIN($D$2:$D$492))</f>
        <v/>
      </c>
      <c r="E634" s="6">
        <f>(E137-MIN($E$2:$E$492)) / (MAX($E$2:$E$492)-MIN($E$2:$E$492))</f>
        <v/>
      </c>
    </row>
    <row r="635">
      <c r="A635" s="6" t="n">
        <v>137</v>
      </c>
      <c r="B635" s="6" t="inlineStr">
        <is>
          <t>Es Tawon Kidul Dalem</t>
        </is>
      </c>
      <c r="C635" s="6">
        <f>(C138-MIN($C$2:$C$492)) / (MAX($C$2:$C$492)-MIN($C$2:$C$492))</f>
        <v/>
      </c>
      <c r="D635" s="6">
        <f>(D138-MIN($D$2:$D$492)) / (MAX($D$2:$D$492)-MIN($D$2:$D$492))</f>
        <v/>
      </c>
      <c r="E635" s="6">
        <f>(E138-MIN($E$2:$E$492)) / (MAX($E$2:$E$492)-MIN($E$2:$E$492))</f>
        <v/>
      </c>
    </row>
    <row r="636">
      <c r="A636" s="6" t="n">
        <v>138</v>
      </c>
      <c r="B636" s="6" t="inlineStr">
        <is>
          <t>Warung Sate Gebug 1920</t>
        </is>
      </c>
      <c r="C636" s="6">
        <f>(C139-MIN($C$2:$C$492)) / (MAX($C$2:$C$492)-MIN($C$2:$C$492))</f>
        <v/>
      </c>
      <c r="D636" s="6">
        <f>(D139-MIN($D$2:$D$492)) / (MAX($D$2:$D$492)-MIN($D$2:$D$492))</f>
        <v/>
      </c>
      <c r="E636" s="6">
        <f>(E139-MIN($E$2:$E$492)) / (MAX($E$2:$E$492)-MIN($E$2:$E$492))</f>
        <v/>
      </c>
    </row>
    <row r="637">
      <c r="A637" s="6" t="n">
        <v>139</v>
      </c>
      <c r="B637" s="6" t="inlineStr">
        <is>
          <t>Sengkaling Kuliner</t>
        </is>
      </c>
      <c r="C637" s="6">
        <f>(C140-MIN($C$2:$C$492)) / (MAX($C$2:$C$492)-MIN($C$2:$C$492))</f>
        <v/>
      </c>
      <c r="D637" s="6">
        <f>(D140-MIN($D$2:$D$492)) / (MAX($D$2:$D$492)-MIN($D$2:$D$492))</f>
        <v/>
      </c>
      <c r="E637" s="6">
        <f>(E140-MIN($E$2:$E$492)) / (MAX($E$2:$E$492)-MIN($E$2:$E$492))</f>
        <v/>
      </c>
    </row>
    <row r="638">
      <c r="A638" s="6" t="n">
        <v>140</v>
      </c>
      <c r="B638" s="6" t="inlineStr">
        <is>
          <t>Tahwa Mas Agus</t>
        </is>
      </c>
      <c r="C638" s="6">
        <f>(C141-MIN($C$2:$C$492)) / (MAX($C$2:$C$492)-MIN($C$2:$C$492))</f>
        <v/>
      </c>
      <c r="D638" s="6">
        <f>(D141-MIN($D$2:$D$492)) / (MAX($D$2:$D$492)-MIN($D$2:$D$492))</f>
        <v/>
      </c>
      <c r="E638" s="6">
        <f>(E141-MIN($E$2:$E$492)) / (MAX($E$2:$E$492)-MIN($E$2:$E$492))</f>
        <v/>
      </c>
    </row>
    <row r="639">
      <c r="A639" s="6" t="n">
        <v>141</v>
      </c>
      <c r="B639" s="6" t="inlineStr">
        <is>
          <t>Sambal Bawang Mbok Jayus</t>
        </is>
      </c>
      <c r="C639" s="6">
        <f>(C142-MIN($C$2:$C$492)) / (MAX($C$2:$C$492)-MIN($C$2:$C$492))</f>
        <v/>
      </c>
      <c r="D639" s="6">
        <f>(D142-MIN($D$2:$D$492)) / (MAX($D$2:$D$492)-MIN($D$2:$D$492))</f>
        <v/>
      </c>
      <c r="E639" s="6">
        <f>(E142-MIN($E$2:$E$492)) / (MAX($E$2:$E$492)-MIN($E$2:$E$492))</f>
        <v/>
      </c>
    </row>
    <row r="640">
      <c r="A640" s="6" t="n">
        <v>142</v>
      </c>
      <c r="B640" s="6" t="inlineStr">
        <is>
          <t>Niki Kopitiam Malang</t>
        </is>
      </c>
      <c r="C640" s="6">
        <f>(C143-MIN($C$2:$C$492)) / (MAX($C$2:$C$492)-MIN($C$2:$C$492))</f>
        <v/>
      </c>
      <c r="D640" s="6">
        <f>(D143-MIN($D$2:$D$492)) / (MAX($D$2:$D$492)-MIN($D$2:$D$492))</f>
        <v/>
      </c>
      <c r="E640" s="6">
        <f>(E143-MIN($E$2:$E$492)) / (MAX($E$2:$E$492)-MIN($E$2:$E$492))</f>
        <v/>
      </c>
    </row>
    <row r="641">
      <c r="A641" s="6" t="n">
        <v>143</v>
      </c>
      <c r="B641" s="6" t="inlineStr">
        <is>
          <t>Tahu Campur Pak Iwan</t>
        </is>
      </c>
      <c r="C641" s="6">
        <f>(C144-MIN($C$2:$C$492)) / (MAX($C$2:$C$492)-MIN($C$2:$C$492))</f>
        <v/>
      </c>
      <c r="D641" s="6">
        <f>(D144-MIN($D$2:$D$492)) / (MAX($D$2:$D$492)-MIN($D$2:$D$492))</f>
        <v/>
      </c>
      <c r="E641" s="6">
        <f>(E144-MIN($E$2:$E$492)) / (MAX($E$2:$E$492)-MIN($E$2:$E$492))</f>
        <v/>
      </c>
    </row>
    <row r="642">
      <c r="A642" s="6" t="n">
        <v>144</v>
      </c>
      <c r="B642" s="6" t="inlineStr">
        <is>
          <t>Hot Cui Mie</t>
        </is>
      </c>
      <c r="C642" s="6">
        <f>(C145-MIN($C$2:$C$492)) / (MAX($C$2:$C$492)-MIN($C$2:$C$492))</f>
        <v/>
      </c>
      <c r="D642" s="6">
        <f>(D145-MIN($D$2:$D$492)) / (MAX($D$2:$D$492)-MIN($D$2:$D$492))</f>
        <v/>
      </c>
      <c r="E642" s="6">
        <f>(E145-MIN($E$2:$E$492)) / (MAX($E$2:$E$492)-MIN($E$2:$E$492))</f>
        <v/>
      </c>
    </row>
    <row r="643">
      <c r="A643" s="6" t="n">
        <v>145</v>
      </c>
      <c r="B643" s="6" t="inlineStr">
        <is>
          <t>Ocean Garden Stasiun</t>
        </is>
      </c>
      <c r="C643" s="6">
        <f>(C146-MIN($C$2:$C$492)) / (MAX($C$2:$C$492)-MIN($C$2:$C$492))</f>
        <v/>
      </c>
      <c r="D643" s="6">
        <f>(D146-MIN($D$2:$D$492)) / (MAX($D$2:$D$492)-MIN($D$2:$D$492))</f>
        <v/>
      </c>
      <c r="E643" s="6">
        <f>(E146-MIN($E$2:$E$492)) / (MAX($E$2:$E$492)-MIN($E$2:$E$492))</f>
        <v/>
      </c>
    </row>
    <row r="644">
      <c r="A644" s="6" t="n">
        <v>146</v>
      </c>
      <c r="B644" s="6" t="inlineStr">
        <is>
          <t>Kupang Kraton Hj. Qomariyah</t>
        </is>
      </c>
      <c r="C644" s="6">
        <f>(C147-MIN($C$2:$C$492)) / (MAX($C$2:$C$492)-MIN($C$2:$C$492))</f>
        <v/>
      </c>
      <c r="D644" s="6">
        <f>(D147-MIN($D$2:$D$492)) / (MAX($D$2:$D$492)-MIN($D$2:$D$492))</f>
        <v/>
      </c>
      <c r="E644" s="6">
        <f>(E147-MIN($E$2:$E$492)) / (MAX($E$2:$E$492)-MIN($E$2:$E$492))</f>
        <v/>
      </c>
    </row>
    <row r="645">
      <c r="A645" s="6" t="n">
        <v>147</v>
      </c>
      <c r="B645" s="6" t="inlineStr">
        <is>
          <t>Sego Sambel Cak UUT</t>
        </is>
      </c>
      <c r="C645" s="6">
        <f>(C148-MIN($C$2:$C$492)) / (MAX($C$2:$C$492)-MIN($C$2:$C$492))</f>
        <v/>
      </c>
      <c r="D645" s="6">
        <f>(D148-MIN($D$2:$D$492)) / (MAX($D$2:$D$492)-MIN($D$2:$D$492))</f>
        <v/>
      </c>
      <c r="E645" s="6">
        <f>(E148-MIN($E$2:$E$492)) / (MAX($E$2:$E$492)-MIN($E$2:$E$492))</f>
        <v/>
      </c>
    </row>
    <row r="646">
      <c r="A646" s="6" t="n">
        <v>148</v>
      </c>
      <c r="B646" s="6" t="inlineStr">
        <is>
          <t>Rawon Djenggot</t>
        </is>
      </c>
      <c r="C646" s="6">
        <f>(C149-MIN($C$2:$C$492)) / (MAX($C$2:$C$492)-MIN($C$2:$C$492))</f>
        <v/>
      </c>
      <c r="D646" s="6">
        <f>(D149-MIN($D$2:$D$492)) / (MAX($D$2:$D$492)-MIN($D$2:$D$492))</f>
        <v/>
      </c>
      <c r="E646" s="6">
        <f>(E149-MIN($E$2:$E$492)) / (MAX($E$2:$E$492)-MIN($E$2:$E$492))</f>
        <v/>
      </c>
    </row>
    <row r="647">
      <c r="A647" s="6" t="n">
        <v>149</v>
      </c>
      <c r="B647" s="6" t="inlineStr">
        <is>
          <t>Madame Wang Secret Garden</t>
        </is>
      </c>
      <c r="C647" s="6">
        <f>(C150-MIN($C$2:$C$492)) / (MAX($C$2:$C$492)-MIN($C$2:$C$492))</f>
        <v/>
      </c>
      <c r="D647" s="6">
        <f>(D150-MIN($D$2:$D$492)) / (MAX($D$2:$D$492)-MIN($D$2:$D$492))</f>
        <v/>
      </c>
      <c r="E647" s="6">
        <f>(E150-MIN($E$2:$E$492)) / (MAX($E$2:$E$492)-MIN($E$2:$E$492))</f>
        <v/>
      </c>
    </row>
    <row r="648">
      <c r="A648" s="6" t="n">
        <v>150</v>
      </c>
      <c r="B648" s="6" t="inlineStr">
        <is>
          <t>Burger Buto Sarangan</t>
        </is>
      </c>
      <c r="C648" s="6">
        <f>(C151-MIN($C$2:$C$492)) / (MAX($C$2:$C$492)-MIN($C$2:$C$492))</f>
        <v/>
      </c>
      <c r="D648" s="6">
        <f>(D151-MIN($D$2:$D$492)) / (MAX($D$2:$D$492)-MIN($D$2:$D$492))</f>
        <v/>
      </c>
      <c r="E648" s="6">
        <f>(E151-MIN($E$2:$E$492)) / (MAX($E$2:$E$492)-MIN($E$2:$E$492))</f>
        <v/>
      </c>
    </row>
    <row r="649">
      <c r="A649" s="6" t="n">
        <v>151</v>
      </c>
      <c r="B649" s="6" t="inlineStr">
        <is>
          <t>Bakso Bakar Pak Man</t>
        </is>
      </c>
      <c r="C649" s="6">
        <f>(C152-MIN($C$2:$C$492)) / (MAX($C$2:$C$492)-MIN($C$2:$C$492))</f>
        <v/>
      </c>
      <c r="D649" s="6">
        <f>(D152-MIN($D$2:$D$492)) / (MAX($D$2:$D$492)-MIN($D$2:$D$492))</f>
        <v/>
      </c>
      <c r="E649" s="6">
        <f>(E152-MIN($E$2:$E$492)) / (MAX($E$2:$E$492)-MIN($E$2:$E$492))</f>
        <v/>
      </c>
    </row>
    <row r="650">
      <c r="A650" s="6" t="n">
        <v>152</v>
      </c>
      <c r="B650" s="6" t="inlineStr">
        <is>
          <t>Nasi Bhug Matirah</t>
        </is>
      </c>
      <c r="C650" s="6">
        <f>(C153-MIN($C$2:$C$492)) / (MAX($C$2:$C$492)-MIN($C$2:$C$492))</f>
        <v/>
      </c>
      <c r="D650" s="6">
        <f>(D153-MIN($D$2:$D$492)) / (MAX($D$2:$D$492)-MIN($D$2:$D$492))</f>
        <v/>
      </c>
      <c r="E650" s="6">
        <f>(E153-MIN($E$2:$E$492)) / (MAX($E$2:$E$492)-MIN($E$2:$E$492))</f>
        <v/>
      </c>
    </row>
    <row r="651">
      <c r="A651" s="6" t="n">
        <v>153</v>
      </c>
      <c r="B651" s="6" t="inlineStr">
        <is>
          <t>orem-orem AREMA</t>
        </is>
      </c>
      <c r="C651" s="6">
        <f>(C154-MIN($C$2:$C$492)) / (MAX($C$2:$C$492)-MIN($C$2:$C$492))</f>
        <v/>
      </c>
      <c r="D651" s="6">
        <f>(D154-MIN($D$2:$D$492)) / (MAX($D$2:$D$492)-MIN($D$2:$D$492))</f>
        <v/>
      </c>
      <c r="E651" s="6">
        <f>(E154-MIN($E$2:$E$492)) / (MAX($E$2:$E$492)-MIN($E$2:$E$492))</f>
        <v/>
      </c>
    </row>
    <row r="652">
      <c r="A652" s="6" t="n">
        <v>154</v>
      </c>
      <c r="B652" s="6" t="inlineStr">
        <is>
          <t>Foodcourt MOG</t>
        </is>
      </c>
      <c r="C652" s="6">
        <f>(C155-MIN($C$2:$C$492)) / (MAX($C$2:$C$492)-MIN($C$2:$C$492))</f>
        <v/>
      </c>
      <c r="D652" s="6">
        <f>(D155-MIN($D$2:$D$492)) / (MAX($D$2:$D$492)-MIN($D$2:$D$492))</f>
        <v/>
      </c>
      <c r="E652" s="6">
        <f>(E155-MIN($E$2:$E$492)) / (MAX($E$2:$E$492)-MIN($E$2:$E$492))</f>
        <v/>
      </c>
    </row>
    <row r="653">
      <c r="A653" s="6" t="n">
        <v>155</v>
      </c>
      <c r="B653" s="6" t="inlineStr">
        <is>
          <t>Toko Kue Sara</t>
        </is>
      </c>
      <c r="C653" s="6">
        <f>(C156-MIN($C$2:$C$492)) / (MAX($C$2:$C$492)-MIN($C$2:$C$492))</f>
        <v/>
      </c>
      <c r="D653" s="6">
        <f>(D156-MIN($D$2:$D$492)) / (MAX($D$2:$D$492)-MIN($D$2:$D$492))</f>
        <v/>
      </c>
      <c r="E653" s="6">
        <f>(E156-MIN($E$2:$E$492)) / (MAX($E$2:$E$492)-MIN($E$2:$E$492))</f>
        <v/>
      </c>
    </row>
    <row r="654">
      <c r="A654" s="6" t="n">
        <v>156</v>
      </c>
      <c r="B654" s="6" t="inlineStr">
        <is>
          <t>BIJI CABE eatery</t>
        </is>
      </c>
      <c r="C654" s="6">
        <f>(C157-MIN($C$2:$C$492)) / (MAX($C$2:$C$492)-MIN($C$2:$C$492))</f>
        <v/>
      </c>
      <c r="D654" s="6">
        <f>(D157-MIN($D$2:$D$492)) / (MAX($D$2:$D$492)-MIN($D$2:$D$492))</f>
        <v/>
      </c>
      <c r="E654" s="6">
        <f>(E157-MIN($E$2:$E$492)) / (MAX($E$2:$E$492)-MIN($E$2:$E$492))</f>
        <v/>
      </c>
    </row>
    <row r="655">
      <c r="A655" s="6" t="n">
        <v>157</v>
      </c>
      <c r="B655" s="6" t="inlineStr">
        <is>
          <t>Dapur Cecebuncit (Gyoza - Gohyong - Sambel Tempong - Ceker Pedas - Sayap Pedas - Makanan Serba Pedas - Kota Malang)</t>
        </is>
      </c>
      <c r="C655" s="6">
        <f>(C158-MIN($C$2:$C$492)) / (MAX($C$2:$C$492)-MIN($C$2:$C$492))</f>
        <v/>
      </c>
      <c r="D655" s="6">
        <f>(D158-MIN($D$2:$D$492)) / (MAX($D$2:$D$492)-MIN($D$2:$D$492))</f>
        <v/>
      </c>
      <c r="E655" s="6">
        <f>(E158-MIN($E$2:$E$492)) / (MAX($E$2:$E$492)-MIN($E$2:$E$492))</f>
        <v/>
      </c>
    </row>
    <row r="656">
      <c r="A656" s="6" t="n">
        <v>158</v>
      </c>
      <c r="B656" s="6" t="inlineStr">
        <is>
          <t>Jajanan Pedas Malang</t>
        </is>
      </c>
      <c r="C656" s="6">
        <f>(C159-MIN($C$2:$C$492)) / (MAX($C$2:$C$492)-MIN($C$2:$C$492))</f>
        <v/>
      </c>
      <c r="D656" s="6">
        <f>(D159-MIN($D$2:$D$492)) / (MAX($D$2:$D$492)-MIN($D$2:$D$492))</f>
        <v/>
      </c>
      <c r="E656" s="6">
        <f>(E159-MIN($E$2:$E$492)) / (MAX($E$2:$E$492)-MIN($E$2:$E$492))</f>
        <v/>
      </c>
    </row>
    <row r="657">
      <c r="A657" s="6" t="n">
        <v>159</v>
      </c>
      <c r="B657" s="6" t="inlineStr">
        <is>
          <t>Kajoetangan Food Court</t>
        </is>
      </c>
      <c r="C657" s="6">
        <f>(C160-MIN($C$2:$C$492)) / (MAX($C$2:$C$492)-MIN($C$2:$C$492))</f>
        <v/>
      </c>
      <c r="D657" s="6">
        <f>(D160-MIN($D$2:$D$492)) / (MAX($D$2:$D$492)-MIN($D$2:$D$492))</f>
        <v/>
      </c>
      <c r="E657" s="6">
        <f>(E160-MIN($E$2:$E$492)) / (MAX($E$2:$E$492)-MIN($E$2:$E$492))</f>
        <v/>
      </c>
    </row>
    <row r="658">
      <c r="A658" s="6" t="n">
        <v>160</v>
      </c>
      <c r="B658" s="6" t="inlineStr">
        <is>
          <t>Pojok Kuliner Mas Gendoet</t>
        </is>
      </c>
      <c r="C658" s="6">
        <f>(C161-MIN($C$2:$C$492)) / (MAX($C$2:$C$492)-MIN($C$2:$C$492))</f>
        <v/>
      </c>
      <c r="D658" s="6">
        <f>(D161-MIN($D$2:$D$492)) / (MAX($D$2:$D$492)-MIN($D$2:$D$492))</f>
        <v/>
      </c>
      <c r="E658" s="6">
        <f>(E161-MIN($E$2:$E$492)) / (MAX($E$2:$E$492)-MIN($E$2:$E$492))</f>
        <v/>
      </c>
    </row>
    <row r="659">
      <c r="A659" s="6" t="n">
        <v>161</v>
      </c>
      <c r="B659" s="6" t="inlineStr">
        <is>
          <t>Sentra Jajanan Pasar Soekarno Hatta Malang</t>
        </is>
      </c>
      <c r="C659" s="6">
        <f>(C162-MIN($C$2:$C$492)) / (MAX($C$2:$C$492)-MIN($C$2:$C$492))</f>
        <v/>
      </c>
      <c r="D659" s="6">
        <f>(D162-MIN($D$2:$D$492)) / (MAX($D$2:$D$492)-MIN($D$2:$D$492))</f>
        <v/>
      </c>
      <c r="E659" s="6">
        <f>(E162-MIN($E$2:$E$492)) / (MAX($E$2:$E$492)-MIN($E$2:$E$492))</f>
        <v/>
      </c>
    </row>
    <row r="660">
      <c r="A660" s="6" t="n">
        <v>162</v>
      </c>
      <c r="B660" s="6" t="inlineStr">
        <is>
          <t>CHAIYOO Eatery &amp; Playground</t>
        </is>
      </c>
      <c r="C660" s="6">
        <f>(C163-MIN($C$2:$C$492)) / (MAX($C$2:$C$492)-MIN($C$2:$C$492))</f>
        <v/>
      </c>
      <c r="D660" s="6">
        <f>(D163-MIN($D$2:$D$492)) / (MAX($D$2:$D$492)-MIN($D$2:$D$492))</f>
        <v/>
      </c>
      <c r="E660" s="6">
        <f>(E163-MIN($E$2:$E$492)) / (MAX($E$2:$E$492)-MIN($E$2:$E$492))</f>
        <v/>
      </c>
    </row>
    <row r="661">
      <c r="A661" s="6" t="n">
        <v>163</v>
      </c>
      <c r="B661" s="6" t="inlineStr">
        <is>
          <t>Rawon Cak Wot</t>
        </is>
      </c>
      <c r="C661" s="6">
        <f>(C164-MIN($C$2:$C$492)) / (MAX($C$2:$C$492)-MIN($C$2:$C$492))</f>
        <v/>
      </c>
      <c r="D661" s="6">
        <f>(D164-MIN($D$2:$D$492)) / (MAX($D$2:$D$492)-MIN($D$2:$D$492))</f>
        <v/>
      </c>
      <c r="E661" s="6">
        <f>(E164-MIN($E$2:$E$492)) / (MAX($E$2:$E$492)-MIN($E$2:$E$492))</f>
        <v/>
      </c>
    </row>
    <row r="662">
      <c r="A662" s="6" t="n">
        <v>164</v>
      </c>
      <c r="B662" s="6" t="inlineStr">
        <is>
          <t>Loopi Hoopi Dessert &amp; Bakery</t>
        </is>
      </c>
      <c r="C662" s="6">
        <f>(C165-MIN($C$2:$C$492)) / (MAX($C$2:$C$492)-MIN($C$2:$C$492))</f>
        <v/>
      </c>
      <c r="D662" s="6">
        <f>(D165-MIN($D$2:$D$492)) / (MAX($D$2:$D$492)-MIN($D$2:$D$492))</f>
        <v/>
      </c>
      <c r="E662" s="6">
        <f>(E165-MIN($E$2:$E$492)) / (MAX($E$2:$E$492)-MIN($E$2:$E$492))</f>
        <v/>
      </c>
    </row>
    <row r="663">
      <c r="A663" s="6" t="n">
        <v>165</v>
      </c>
      <c r="B663" s="6" t="inlineStr">
        <is>
          <t>Pasar Oro Oro Dowo</t>
        </is>
      </c>
      <c r="C663" s="6">
        <f>(C166-MIN($C$2:$C$492)) / (MAX($C$2:$C$492)-MIN($C$2:$C$492))</f>
        <v/>
      </c>
      <c r="D663" s="6">
        <f>(D166-MIN($D$2:$D$492)) / (MAX($D$2:$D$492)-MIN($D$2:$D$492))</f>
        <v/>
      </c>
      <c r="E663" s="6">
        <f>(E166-MIN($E$2:$E$492)) / (MAX($E$2:$E$492)-MIN($E$2:$E$492))</f>
        <v/>
      </c>
    </row>
    <row r="664">
      <c r="A664" s="6" t="n">
        <v>166</v>
      </c>
      <c r="B664" s="6" t="inlineStr">
        <is>
          <t>Mie ‎Setan Noodle N Dimsum - Malang</t>
        </is>
      </c>
      <c r="C664" s="6">
        <f>(C167-MIN($C$2:$C$492)) / (MAX($C$2:$C$492)-MIN($C$2:$C$492))</f>
        <v/>
      </c>
      <c r="D664" s="6">
        <f>(D167-MIN($D$2:$D$492)) / (MAX($D$2:$D$492)-MIN($D$2:$D$492))</f>
        <v/>
      </c>
      <c r="E664" s="6">
        <f>(E167-MIN($E$2:$E$492)) / (MAX($E$2:$E$492)-MIN($E$2:$E$492))</f>
        <v/>
      </c>
    </row>
    <row r="665">
      <c r="A665" s="6" t="n">
        <v>167</v>
      </c>
      <c r="B665" s="6" t="inlineStr">
        <is>
          <t>Oleh Oleh Khas Malang</t>
        </is>
      </c>
      <c r="C665" s="6">
        <f>(C168-MIN($C$2:$C$492)) / (MAX($C$2:$C$492)-MIN($C$2:$C$492))</f>
        <v/>
      </c>
      <c r="D665" s="6">
        <f>(D168-MIN($D$2:$D$492)) / (MAX($D$2:$D$492)-MIN($D$2:$D$492))</f>
        <v/>
      </c>
      <c r="E665" s="6">
        <f>(E168-MIN($E$2:$E$492)) / (MAX($E$2:$E$492)-MIN($E$2:$E$492))</f>
        <v/>
      </c>
    </row>
    <row r="666">
      <c r="A666" s="6" t="n">
        <v>168</v>
      </c>
      <c r="B666" s="6" t="inlineStr">
        <is>
          <t>Putu Pojok Lawas Jl. Gajayana</t>
        </is>
      </c>
      <c r="C666" s="6">
        <f>(C169-MIN($C$2:$C$492)) / (MAX($C$2:$C$492)-MIN($C$2:$C$492))</f>
        <v/>
      </c>
      <c r="D666" s="6">
        <f>(D169-MIN($D$2:$D$492)) / (MAX($D$2:$D$492)-MIN($D$2:$D$492))</f>
        <v/>
      </c>
      <c r="E666" s="6">
        <f>(E169-MIN($E$2:$E$492)) / (MAX($E$2:$E$492)-MIN($E$2:$E$492))</f>
        <v/>
      </c>
    </row>
    <row r="667">
      <c r="A667" s="6" t="n">
        <v>169</v>
      </c>
      <c r="B667" s="6" t="inlineStr">
        <is>
          <t>Lumpia Ciliwung</t>
        </is>
      </c>
      <c r="C667" s="6">
        <f>(C170-MIN($C$2:$C$492)) / (MAX($C$2:$C$492)-MIN($C$2:$C$492))</f>
        <v/>
      </c>
      <c r="D667" s="6">
        <f>(D170-MIN($D$2:$D$492)) / (MAX($D$2:$D$492)-MIN($D$2:$D$492))</f>
        <v/>
      </c>
      <c r="E667" s="6">
        <f>(E170-MIN($E$2:$E$492)) / (MAX($E$2:$E$492)-MIN($E$2:$E$492))</f>
        <v/>
      </c>
    </row>
    <row r="668">
      <c r="A668" s="6" t="n">
        <v>170</v>
      </c>
      <c r="B668" s="6" t="inlineStr">
        <is>
          <t>Bagortalik</t>
        </is>
      </c>
      <c r="C668" s="6">
        <f>(C171-MIN($C$2:$C$492)) / (MAX($C$2:$C$492)-MIN($C$2:$C$492))</f>
        <v/>
      </c>
      <c r="D668" s="6">
        <f>(D171-MIN($D$2:$D$492)) / (MAX($D$2:$D$492)-MIN($D$2:$D$492))</f>
        <v/>
      </c>
      <c r="E668" s="6">
        <f>(E171-MIN($E$2:$E$492)) / (MAX($E$2:$E$492)-MIN($E$2:$E$492))</f>
        <v/>
      </c>
    </row>
    <row r="669">
      <c r="A669" s="6" t="n">
        <v>171</v>
      </c>
      <c r="B669" s="6" t="inlineStr">
        <is>
          <t>Nasi Goreng Pak Dji porsi Jumbo</t>
        </is>
      </c>
      <c r="C669" s="6">
        <f>(C172-MIN($C$2:$C$492)) / (MAX($C$2:$C$492)-MIN($C$2:$C$492))</f>
        <v/>
      </c>
      <c r="D669" s="6">
        <f>(D172-MIN($D$2:$D$492)) / (MAX($D$2:$D$492)-MIN($D$2:$D$492))</f>
        <v/>
      </c>
      <c r="E669" s="6">
        <f>(E172-MIN($E$2:$E$492)) / (MAX($E$2:$E$492)-MIN($E$2:$E$492))</f>
        <v/>
      </c>
    </row>
    <row r="670">
      <c r="A670" s="6" t="n">
        <v>172</v>
      </c>
      <c r="B670" s="6" t="inlineStr">
        <is>
          <t>TimTong</t>
        </is>
      </c>
      <c r="C670" s="6">
        <f>(C173-MIN($C$2:$C$492)) / (MAX($C$2:$C$492)-MIN($C$2:$C$492))</f>
        <v/>
      </c>
      <c r="D670" s="6">
        <f>(D173-MIN($D$2:$D$492)) / (MAX($D$2:$D$492)-MIN($D$2:$D$492))</f>
        <v/>
      </c>
      <c r="E670" s="6">
        <f>(E173-MIN($E$2:$E$492)) / (MAX($E$2:$E$492)-MIN($E$2:$E$492))</f>
        <v/>
      </c>
    </row>
    <row r="671">
      <c r="A671" s="6" t="n">
        <v>173</v>
      </c>
      <c r="B671" s="6" t="inlineStr">
        <is>
          <t>Molly Molen</t>
        </is>
      </c>
      <c r="C671" s="6">
        <f>(C174-MIN($C$2:$C$492)) / (MAX($C$2:$C$492)-MIN($C$2:$C$492))</f>
        <v/>
      </c>
      <c r="D671" s="6">
        <f>(D174-MIN($D$2:$D$492)) / (MAX($D$2:$D$492)-MIN($D$2:$D$492))</f>
        <v/>
      </c>
      <c r="E671" s="6">
        <f>(E174-MIN($E$2:$E$492)) / (MAX($E$2:$E$492)-MIN($E$2:$E$492))</f>
        <v/>
      </c>
    </row>
    <row r="672">
      <c r="A672" s="6" t="n">
        <v>174</v>
      </c>
      <c r="B672" s="6" t="inlineStr">
        <is>
          <t>Coto Makassar Sop Konro Daeng Rudi</t>
        </is>
      </c>
      <c r="C672" s="6">
        <f>(C175-MIN($C$2:$C$492)) / (MAX($C$2:$C$492)-MIN($C$2:$C$492))</f>
        <v/>
      </c>
      <c r="D672" s="6">
        <f>(D175-MIN($D$2:$D$492)) / (MAX($D$2:$D$492)-MIN($D$2:$D$492))</f>
        <v/>
      </c>
      <c r="E672" s="6">
        <f>(E175-MIN($E$2:$E$492)) / (MAX($E$2:$E$492)-MIN($E$2:$E$492))</f>
        <v/>
      </c>
    </row>
    <row r="673">
      <c r="A673" s="6" t="n">
        <v>175</v>
      </c>
      <c r="B673" s="6" t="inlineStr">
        <is>
          <t>Soto Ayam Ambengan Bu Keni</t>
        </is>
      </c>
      <c r="C673" s="6">
        <f>(C176-MIN($C$2:$C$492)) / (MAX($C$2:$C$492)-MIN($C$2:$C$492))</f>
        <v/>
      </c>
      <c r="D673" s="6">
        <f>(D176-MIN($D$2:$D$492)) / (MAX($D$2:$D$492)-MIN($D$2:$D$492))</f>
        <v/>
      </c>
      <c r="E673" s="6">
        <f>(E176-MIN($E$2:$E$492)) / (MAX($E$2:$E$492)-MIN($E$2:$E$492))</f>
        <v/>
      </c>
    </row>
    <row r="674">
      <c r="A674" s="6" t="n">
        <v>176</v>
      </c>
      <c r="B674" s="6" t="inlineStr">
        <is>
          <t>CAK TOMO CABANG SANAN</t>
        </is>
      </c>
      <c r="C674" s="6">
        <f>(C177-MIN($C$2:$C$492)) / (MAX($C$2:$C$492)-MIN($C$2:$C$492))</f>
        <v/>
      </c>
      <c r="D674" s="6">
        <f>(D177-MIN($D$2:$D$492)) / (MAX($D$2:$D$492)-MIN($D$2:$D$492))</f>
        <v/>
      </c>
      <c r="E674" s="6">
        <f>(E177-MIN($E$2:$E$492)) / (MAX($E$2:$E$492)-MIN($E$2:$E$492))</f>
        <v/>
      </c>
    </row>
    <row r="675">
      <c r="A675" s="6" t="n">
        <v>177</v>
      </c>
      <c r="B675" s="6" t="inlineStr">
        <is>
          <t>Soehat Street Food</t>
        </is>
      </c>
      <c r="C675" s="6">
        <f>(C178-MIN($C$2:$C$492)) / (MAX($C$2:$C$492)-MIN($C$2:$C$492))</f>
        <v/>
      </c>
      <c r="D675" s="6">
        <f>(D178-MIN($D$2:$D$492)) / (MAX($D$2:$D$492)-MIN($D$2:$D$492))</f>
        <v/>
      </c>
      <c r="E675" s="6">
        <f>(E178-MIN($E$2:$E$492)) / (MAX($E$2:$E$492)-MIN($E$2:$E$492))</f>
        <v/>
      </c>
    </row>
    <row r="676">
      <c r="A676" s="6" t="n">
        <v>178</v>
      </c>
      <c r="B676" s="6" t="inlineStr">
        <is>
          <t>Soto Daging Pak Markeso (Sejak 1987)</t>
        </is>
      </c>
      <c r="C676" s="6">
        <f>(C179-MIN($C$2:$C$492)) / (MAX($C$2:$C$492)-MIN($C$2:$C$492))</f>
        <v/>
      </c>
      <c r="D676" s="6">
        <f>(D179-MIN($D$2:$D$492)) / (MAX($D$2:$D$492)-MIN($D$2:$D$492))</f>
        <v/>
      </c>
      <c r="E676" s="6">
        <f>(E179-MIN($E$2:$E$492)) / (MAX($E$2:$E$492)-MIN($E$2:$E$492))</f>
        <v/>
      </c>
    </row>
    <row r="677">
      <c r="A677" s="6" t="n">
        <v>179</v>
      </c>
      <c r="B677" s="6" t="inlineStr">
        <is>
          <t>Lalapan dan Sea Food Bang Husein</t>
        </is>
      </c>
      <c r="C677" s="6">
        <f>(C180-MIN($C$2:$C$492)) / (MAX($C$2:$C$492)-MIN($C$2:$C$492))</f>
        <v/>
      </c>
      <c r="D677" s="6">
        <f>(D180-MIN($D$2:$D$492)) / (MAX($D$2:$D$492)-MIN($D$2:$D$492))</f>
        <v/>
      </c>
      <c r="E677" s="6">
        <f>(E180-MIN($E$2:$E$492)) / (MAX($E$2:$E$492)-MIN($E$2:$E$492))</f>
        <v/>
      </c>
    </row>
    <row r="678">
      <c r="A678" s="6" t="n">
        <v>180</v>
      </c>
      <c r="B678" s="6" t="inlineStr">
        <is>
          <t>Tahwa "ING" MALANG</t>
        </is>
      </c>
      <c r="C678" s="6">
        <f>(C181-MIN($C$2:$C$492)) / (MAX($C$2:$C$492)-MIN($C$2:$C$492))</f>
        <v/>
      </c>
      <c r="D678" s="6">
        <f>(D181-MIN($D$2:$D$492)) / (MAX($D$2:$D$492)-MIN($D$2:$D$492))</f>
        <v/>
      </c>
      <c r="E678" s="6">
        <f>(E181-MIN($E$2:$E$492)) / (MAX($E$2:$E$492)-MIN($E$2:$E$492))</f>
        <v/>
      </c>
    </row>
    <row r="679">
      <c r="A679" s="6" t="n">
        <v>181</v>
      </c>
      <c r="B679" s="6" t="inlineStr">
        <is>
          <t>Bubur Ayam AGUS</t>
        </is>
      </c>
      <c r="C679" s="6">
        <f>(C182-MIN($C$2:$C$492)) / (MAX($C$2:$C$492)-MIN($C$2:$C$492))</f>
        <v/>
      </c>
      <c r="D679" s="6">
        <f>(D182-MIN($D$2:$D$492)) / (MAX($D$2:$D$492)-MIN($D$2:$D$492))</f>
        <v/>
      </c>
      <c r="E679" s="6">
        <f>(E182-MIN($E$2:$E$492)) / (MAX($E$2:$E$492)-MIN($E$2:$E$492))</f>
        <v/>
      </c>
    </row>
    <row r="680">
      <c r="A680" s="6" t="n">
        <v>182</v>
      </c>
      <c r="B680" s="6" t="inlineStr">
        <is>
          <t>Mie Gacoan Stasiun Kota Malang</t>
        </is>
      </c>
      <c r="C680" s="6">
        <f>(C183-MIN($C$2:$C$492)) / (MAX($C$2:$C$492)-MIN($C$2:$C$492))</f>
        <v/>
      </c>
      <c r="D680" s="6">
        <f>(D183-MIN($D$2:$D$492)) / (MAX($D$2:$D$492)-MIN($D$2:$D$492))</f>
        <v/>
      </c>
      <c r="E680" s="6">
        <f>(E183-MIN($E$2:$E$492)) / (MAX($E$2:$E$492)-MIN($E$2:$E$492))</f>
        <v/>
      </c>
    </row>
    <row r="681">
      <c r="A681" s="6" t="n">
        <v>183</v>
      </c>
      <c r="B681" s="6" t="inlineStr">
        <is>
          <t>Nasi Gendut Malang</t>
        </is>
      </c>
      <c r="C681" s="6">
        <f>(C184-MIN($C$2:$C$492)) / (MAX($C$2:$C$492)-MIN($C$2:$C$492))</f>
        <v/>
      </c>
      <c r="D681" s="6">
        <f>(D184-MIN($D$2:$D$492)) / (MAX($D$2:$D$492)-MIN($D$2:$D$492))</f>
        <v/>
      </c>
      <c r="E681" s="6">
        <f>(E184-MIN($E$2:$E$492)) / (MAX($E$2:$E$492)-MIN($E$2:$E$492))</f>
        <v/>
      </c>
    </row>
    <row r="682">
      <c r="A682" s="6" t="n">
        <v>184</v>
      </c>
      <c r="B682" s="6" t="inlineStr">
        <is>
          <t>Hot Cui Mie MOG l Since 2000</t>
        </is>
      </c>
      <c r="C682" s="6">
        <f>(C185-MIN($C$2:$C$492)) / (MAX($C$2:$C$492)-MIN($C$2:$C$492))</f>
        <v/>
      </c>
      <c r="D682" s="6">
        <f>(D185-MIN($D$2:$D$492)) / (MAX($D$2:$D$492)-MIN($D$2:$D$492))</f>
        <v/>
      </c>
      <c r="E682" s="6">
        <f>(E185-MIN($E$2:$E$492)) / (MAX($E$2:$E$492)-MIN($E$2:$E$492))</f>
        <v/>
      </c>
    </row>
    <row r="683">
      <c r="A683" s="6" t="n">
        <v>185</v>
      </c>
      <c r="B683" s="6" t="inlineStr">
        <is>
          <t>Bakmi Jawa Mbah Sri</t>
        </is>
      </c>
      <c r="C683" s="6">
        <f>(C186-MIN($C$2:$C$492)) / (MAX($C$2:$C$492)-MIN($C$2:$C$492))</f>
        <v/>
      </c>
      <c r="D683" s="6">
        <f>(D186-MIN($D$2:$D$492)) / (MAX($D$2:$D$492)-MIN($D$2:$D$492))</f>
        <v/>
      </c>
      <c r="E683" s="6">
        <f>(E186-MIN($E$2:$E$492)) / (MAX($E$2:$E$492)-MIN($E$2:$E$492))</f>
        <v/>
      </c>
    </row>
    <row r="684">
      <c r="A684" s="6" t="n">
        <v>186</v>
      </c>
      <c r="B684" s="6" t="inlineStr">
        <is>
          <t>Warung Makan Dan Jajanan Poharin</t>
        </is>
      </c>
      <c r="C684" s="6">
        <f>(C187-MIN($C$2:$C$492)) / (MAX($C$2:$C$492)-MIN($C$2:$C$492))</f>
        <v/>
      </c>
      <c r="D684" s="6">
        <f>(D187-MIN($D$2:$D$492)) / (MAX($D$2:$D$492)-MIN($D$2:$D$492))</f>
        <v/>
      </c>
      <c r="E684" s="6">
        <f>(E187-MIN($E$2:$E$492)) / (MAX($E$2:$E$492)-MIN($E$2:$E$492))</f>
        <v/>
      </c>
    </row>
    <row r="685">
      <c r="A685" s="6" t="n">
        <v>187</v>
      </c>
      <c r="B685" s="6" t="inlineStr">
        <is>
          <t>Bikang Mekar Sari Sawojajar</t>
        </is>
      </c>
      <c r="C685" s="6">
        <f>(C188-MIN($C$2:$C$492)) / (MAX($C$2:$C$492)-MIN($C$2:$C$492))</f>
        <v/>
      </c>
      <c r="D685" s="6">
        <f>(D188-MIN($D$2:$D$492)) / (MAX($D$2:$D$492)-MIN($D$2:$D$492))</f>
        <v/>
      </c>
      <c r="E685" s="6">
        <f>(E188-MIN($E$2:$E$492)) / (MAX($E$2:$E$492)-MIN($E$2:$E$492))</f>
        <v/>
      </c>
    </row>
    <row r="686">
      <c r="A686" s="6" t="n">
        <v>188</v>
      </c>
      <c r="B686" s="6" t="inlineStr">
        <is>
          <t>Jajan Sunda</t>
        </is>
      </c>
      <c r="C686" s="6">
        <f>(C189-MIN($C$2:$C$492)) / (MAX($C$2:$C$492)-MIN($C$2:$C$492))</f>
        <v/>
      </c>
      <c r="D686" s="6">
        <f>(D189-MIN($D$2:$D$492)) / (MAX($D$2:$D$492)-MIN($D$2:$D$492))</f>
        <v/>
      </c>
      <c r="E686" s="6">
        <f>(E189-MIN($E$2:$E$492)) / (MAX($E$2:$E$492)-MIN($E$2:$E$492))</f>
        <v/>
      </c>
    </row>
    <row r="687">
      <c r="A687" s="6" t="n">
        <v>189</v>
      </c>
      <c r="B687" s="6" t="inlineStr">
        <is>
          <t>Primasari Terang Bulan</t>
        </is>
      </c>
      <c r="C687" s="6">
        <f>(C190-MIN($C$2:$C$492)) / (MAX($C$2:$C$492)-MIN($C$2:$C$492))</f>
        <v/>
      </c>
      <c r="D687" s="6">
        <f>(D190-MIN($D$2:$D$492)) / (MAX($D$2:$D$492)-MIN($D$2:$D$492))</f>
        <v/>
      </c>
      <c r="E687" s="6">
        <f>(E190-MIN($E$2:$E$492)) / (MAX($E$2:$E$492)-MIN($E$2:$E$492))</f>
        <v/>
      </c>
    </row>
    <row r="688">
      <c r="A688" s="6" t="n">
        <v>190</v>
      </c>
      <c r="B688" s="6" t="inlineStr">
        <is>
          <t>Cwi Mie Isor Uwit</t>
        </is>
      </c>
      <c r="C688" s="6">
        <f>(C191-MIN($C$2:$C$492)) / (MAX($C$2:$C$492)-MIN($C$2:$C$492))</f>
        <v/>
      </c>
      <c r="D688" s="6">
        <f>(D191-MIN($D$2:$D$492)) / (MAX($D$2:$D$492)-MIN($D$2:$D$492))</f>
        <v/>
      </c>
      <c r="E688" s="6">
        <f>(E191-MIN($E$2:$E$492)) / (MAX($E$2:$E$492)-MIN($E$2:$E$492))</f>
        <v/>
      </c>
    </row>
    <row r="689">
      <c r="A689" s="6" t="n">
        <v>191</v>
      </c>
      <c r="B689" s="6" t="inlineStr">
        <is>
          <t>Bakso Priangan Mang Yayat</t>
        </is>
      </c>
      <c r="C689" s="6">
        <f>(C192-MIN($C$2:$C$492)) / (MAX($C$2:$C$492)-MIN($C$2:$C$492))</f>
        <v/>
      </c>
      <c r="D689" s="6">
        <f>(D192-MIN($D$2:$D$492)) / (MAX($D$2:$D$492)-MIN($D$2:$D$492))</f>
        <v/>
      </c>
      <c r="E689" s="6">
        <f>(E192-MIN($E$2:$E$492)) / (MAX($E$2:$E$492)-MIN($E$2:$E$492))</f>
        <v/>
      </c>
    </row>
    <row r="690">
      <c r="A690" s="6" t="n">
        <v>192</v>
      </c>
      <c r="B690" s="6" t="inlineStr">
        <is>
          <t>Warung Legendaris</t>
        </is>
      </c>
      <c r="C690" s="6">
        <f>(C193-MIN($C$2:$C$492)) / (MAX($C$2:$C$492)-MIN($C$2:$C$492))</f>
        <v/>
      </c>
      <c r="D690" s="6">
        <f>(D193-MIN($D$2:$D$492)) / (MAX($D$2:$D$492)-MIN($D$2:$D$492))</f>
        <v/>
      </c>
      <c r="E690" s="6">
        <f>(E193-MIN($E$2:$E$492)) / (MAX($E$2:$E$492)-MIN($E$2:$E$492))</f>
        <v/>
      </c>
    </row>
    <row r="691">
      <c r="A691" s="6" t="n">
        <v>193</v>
      </c>
      <c r="B691" s="6" t="inlineStr">
        <is>
          <t>Warung Tressel</t>
        </is>
      </c>
      <c r="C691" s="6">
        <f>(C194-MIN($C$2:$C$492)) / (MAX($C$2:$C$492)-MIN($C$2:$C$492))</f>
        <v/>
      </c>
      <c r="D691" s="6">
        <f>(D194-MIN($D$2:$D$492)) / (MAX($D$2:$D$492)-MIN($D$2:$D$492))</f>
        <v/>
      </c>
      <c r="E691" s="6">
        <f>(E194-MIN($E$2:$E$492)) / (MAX($E$2:$E$492)-MIN($E$2:$E$492))</f>
        <v/>
      </c>
    </row>
    <row r="692">
      <c r="A692" s="6" t="n">
        <v>194</v>
      </c>
      <c r="B692" s="6" t="inlineStr">
        <is>
          <t>Dialoogi Signature Restaurant Malang</t>
        </is>
      </c>
      <c r="C692" s="6">
        <f>(C195-MIN($C$2:$C$492)) / (MAX($C$2:$C$492)-MIN($C$2:$C$492))</f>
        <v/>
      </c>
      <c r="D692" s="6">
        <f>(D195-MIN($D$2:$D$492)) / (MAX($D$2:$D$492)-MIN($D$2:$D$492))</f>
        <v/>
      </c>
      <c r="E692" s="6">
        <f>(E195-MIN($E$2:$E$492)) / (MAX($E$2:$E$492)-MIN($E$2:$E$492))</f>
        <v/>
      </c>
    </row>
    <row r="693">
      <c r="A693" s="6" t="n">
        <v>195</v>
      </c>
      <c r="B693" s="6" t="inlineStr">
        <is>
          <t>Rujak manis semeru</t>
        </is>
      </c>
      <c r="C693" s="6">
        <f>(C196-MIN($C$2:$C$492)) / (MAX($C$2:$C$492)-MIN($C$2:$C$492))</f>
        <v/>
      </c>
      <c r="D693" s="6">
        <f>(D196-MIN($D$2:$D$492)) / (MAX($D$2:$D$492)-MIN($D$2:$D$492))</f>
        <v/>
      </c>
      <c r="E693" s="6">
        <f>(E196-MIN($E$2:$E$492)) / (MAX($E$2:$E$492)-MIN($E$2:$E$492))</f>
        <v/>
      </c>
    </row>
    <row r="694">
      <c r="A694" s="6" t="n">
        <v>196</v>
      </c>
      <c r="B694" s="6" t="inlineStr">
        <is>
          <t>Bakso Bakar Pahlawan Trip (BABATRIP)</t>
        </is>
      </c>
      <c r="C694" s="6">
        <f>(C197-MIN($C$2:$C$492)) / (MAX($C$2:$C$492)-MIN($C$2:$C$492))</f>
        <v/>
      </c>
      <c r="D694" s="6">
        <f>(D197-MIN($D$2:$D$492)) / (MAX($D$2:$D$492)-MIN($D$2:$D$492))</f>
        <v/>
      </c>
      <c r="E694" s="6">
        <f>(E197-MIN($E$2:$E$492)) / (MAX($E$2:$E$492)-MIN($E$2:$E$492))</f>
        <v/>
      </c>
    </row>
    <row r="695">
      <c r="A695" s="6" t="n">
        <v>197</v>
      </c>
      <c r="B695" s="6" t="inlineStr">
        <is>
          <t>Elinor Coffee and Eatery</t>
        </is>
      </c>
      <c r="C695" s="6">
        <f>(C198-MIN($C$2:$C$492)) / (MAX($C$2:$C$492)-MIN($C$2:$C$492))</f>
        <v/>
      </c>
      <c r="D695" s="6">
        <f>(D198-MIN($D$2:$D$492)) / (MAX($D$2:$D$492)-MIN($D$2:$D$492))</f>
        <v/>
      </c>
      <c r="E695" s="6">
        <f>(E198-MIN($E$2:$E$492)) / (MAX($E$2:$E$492)-MIN($E$2:$E$492))</f>
        <v/>
      </c>
    </row>
    <row r="696">
      <c r="A696" s="6" t="n">
        <v>198</v>
      </c>
      <c r="B696" s="6" t="inlineStr">
        <is>
          <t>Amstirdam Coffee &amp; Roastery</t>
        </is>
      </c>
      <c r="C696" s="6">
        <f>(C199-MIN($C$2:$C$492)) / (MAX($C$2:$C$492)-MIN($C$2:$C$492))</f>
        <v/>
      </c>
      <c r="D696" s="6">
        <f>(D199-MIN($D$2:$D$492)) / (MAX($D$2:$D$492)-MIN($D$2:$D$492))</f>
        <v/>
      </c>
      <c r="E696" s="6">
        <f>(E199-MIN($E$2:$E$492)) / (MAX($E$2:$E$492)-MIN($E$2:$E$492))</f>
        <v/>
      </c>
    </row>
    <row r="697">
      <c r="A697" s="6" t="n">
        <v>199</v>
      </c>
      <c r="B697" s="6" t="inlineStr">
        <is>
          <t>Hindia Koffie En Eaten</t>
        </is>
      </c>
      <c r="C697" s="6">
        <f>(C200-MIN($C$2:$C$492)) / (MAX($C$2:$C$492)-MIN($C$2:$C$492))</f>
        <v/>
      </c>
      <c r="D697" s="6">
        <f>(D200-MIN($D$2:$D$492)) / (MAX($D$2:$D$492)-MIN($D$2:$D$492))</f>
        <v/>
      </c>
      <c r="E697" s="6">
        <f>(E200-MIN($E$2:$E$492)) / (MAX($E$2:$E$492)-MIN($E$2:$E$492))</f>
        <v/>
      </c>
    </row>
    <row r="698">
      <c r="A698" s="6" t="n">
        <v>200</v>
      </c>
      <c r="B698" s="6" t="inlineStr">
        <is>
          <t>Malbourne Coffee Co</t>
        </is>
      </c>
      <c r="C698" s="6">
        <f>(C201-MIN($C$2:$C$492)) / (MAX($C$2:$C$492)-MIN($C$2:$C$492))</f>
        <v/>
      </c>
      <c r="D698" s="6">
        <f>(D201-MIN($D$2:$D$492)) / (MAX($D$2:$D$492)-MIN($D$2:$D$492))</f>
        <v/>
      </c>
      <c r="E698" s="6">
        <f>(E201-MIN($E$2:$E$492)) / (MAX($E$2:$E$492)-MIN($E$2:$E$492))</f>
        <v/>
      </c>
    </row>
    <row r="699">
      <c r="A699" s="6" t="n">
        <v>201</v>
      </c>
      <c r="B699" s="6" t="inlineStr">
        <is>
          <t>11:12 sebelasduabelaskopi</t>
        </is>
      </c>
      <c r="C699" s="6">
        <f>(C202-MIN($C$2:$C$492)) / (MAX($C$2:$C$492)-MIN($C$2:$C$492))</f>
        <v/>
      </c>
      <c r="D699" s="6">
        <f>(D202-MIN($D$2:$D$492)) / (MAX($D$2:$D$492)-MIN($D$2:$D$492))</f>
        <v/>
      </c>
      <c r="E699" s="6">
        <f>(E202-MIN($E$2:$E$492)) / (MAX($E$2:$E$492)-MIN($E$2:$E$492))</f>
        <v/>
      </c>
    </row>
    <row r="700">
      <c r="A700" s="6" t="n">
        <v>202</v>
      </c>
      <c r="B700" s="6" t="inlineStr">
        <is>
          <t>Niwa Garden</t>
        </is>
      </c>
      <c r="C700" s="6">
        <f>(C203-MIN($C$2:$C$492)) / (MAX($C$2:$C$492)-MIN($C$2:$C$492))</f>
        <v/>
      </c>
      <c r="D700" s="6">
        <f>(D203-MIN($D$2:$D$492)) / (MAX($D$2:$D$492)-MIN($D$2:$D$492))</f>
        <v/>
      </c>
      <c r="E700" s="6">
        <f>(E203-MIN($E$2:$E$492)) / (MAX($E$2:$E$492)-MIN($E$2:$E$492))</f>
        <v/>
      </c>
    </row>
    <row r="701">
      <c r="A701" s="6" t="n">
        <v>203</v>
      </c>
      <c r="B701" s="6" t="inlineStr">
        <is>
          <t>Distrik Coffee Roaster</t>
        </is>
      </c>
      <c r="C701" s="6">
        <f>(C204-MIN($C$2:$C$492)) / (MAX($C$2:$C$492)-MIN($C$2:$C$492))</f>
        <v/>
      </c>
      <c r="D701" s="6">
        <f>(D204-MIN($D$2:$D$492)) / (MAX($D$2:$D$492)-MIN($D$2:$D$492))</f>
        <v/>
      </c>
      <c r="E701" s="6">
        <f>(E204-MIN($E$2:$E$492)) / (MAX($E$2:$E$492)-MIN($E$2:$E$492))</f>
        <v/>
      </c>
    </row>
    <row r="702">
      <c r="A702" s="6" t="n">
        <v>204</v>
      </c>
      <c r="B702" s="6" t="inlineStr">
        <is>
          <t>TOKO KOPI KOOPEN</t>
        </is>
      </c>
      <c r="C702" s="6">
        <f>(C205-MIN($C$2:$C$492)) / (MAX($C$2:$C$492)-MIN($C$2:$C$492))</f>
        <v/>
      </c>
      <c r="D702" s="6">
        <f>(D205-MIN($D$2:$D$492)) / (MAX($D$2:$D$492)-MIN($D$2:$D$492))</f>
        <v/>
      </c>
      <c r="E702" s="6">
        <f>(E205-MIN($E$2:$E$492)) / (MAX($E$2:$E$492)-MIN($E$2:$E$492))</f>
        <v/>
      </c>
    </row>
    <row r="703">
      <c r="A703" s="6" t="n">
        <v>205</v>
      </c>
      <c r="B703" s="6" t="inlineStr">
        <is>
          <t>Toko Kopi TUKU - Malang</t>
        </is>
      </c>
      <c r="C703" s="6">
        <f>(C206-MIN($C$2:$C$492)) / (MAX($C$2:$C$492)-MIN($C$2:$C$492))</f>
        <v/>
      </c>
      <c r="D703" s="6">
        <f>(D206-MIN($D$2:$D$492)) / (MAX($D$2:$D$492)-MIN($D$2:$D$492))</f>
        <v/>
      </c>
      <c r="E703" s="6">
        <f>(E206-MIN($E$2:$E$492)) / (MAX($E$2:$E$492)-MIN($E$2:$E$492))</f>
        <v/>
      </c>
    </row>
    <row r="704">
      <c r="A704" s="6" t="n">
        <v>206</v>
      </c>
      <c r="B704" s="6" t="inlineStr">
        <is>
          <t>Kopi tuju</t>
        </is>
      </c>
      <c r="C704" s="6">
        <f>(C207-MIN($C$2:$C$492)) / (MAX($C$2:$C$492)-MIN($C$2:$C$492))</f>
        <v/>
      </c>
      <c r="D704" s="6">
        <f>(D207-MIN($D$2:$D$492)) / (MAX($D$2:$D$492)-MIN($D$2:$D$492))</f>
        <v/>
      </c>
      <c r="E704" s="6">
        <f>(E207-MIN($E$2:$E$492)) / (MAX($E$2:$E$492)-MIN($E$2:$E$492))</f>
        <v/>
      </c>
    </row>
    <row r="705">
      <c r="A705" s="6" t="n">
        <v>207</v>
      </c>
      <c r="B705" s="6" t="inlineStr">
        <is>
          <t>CW Coffee &amp; Eatery - Simpang Ijen</t>
        </is>
      </c>
      <c r="C705" s="6">
        <f>(C208-MIN($C$2:$C$492)) / (MAX($C$2:$C$492)-MIN($C$2:$C$492))</f>
        <v/>
      </c>
      <c r="D705" s="6">
        <f>(D208-MIN($D$2:$D$492)) / (MAX($D$2:$D$492)-MIN($D$2:$D$492))</f>
        <v/>
      </c>
      <c r="E705" s="6">
        <f>(E208-MIN($E$2:$E$492)) / (MAX($E$2:$E$492)-MIN($E$2:$E$492))</f>
        <v/>
      </c>
    </row>
    <row r="706">
      <c r="A706" s="6" t="n">
        <v>208</v>
      </c>
      <c r="B706" s="6" t="inlineStr">
        <is>
          <t>Tematik Coffee Bar HQ</t>
        </is>
      </c>
      <c r="C706" s="6">
        <f>(C209-MIN($C$2:$C$492)) / (MAX($C$2:$C$492)-MIN($C$2:$C$492))</f>
        <v/>
      </c>
      <c r="D706" s="6">
        <f>(D209-MIN($D$2:$D$492)) / (MAX($D$2:$D$492)-MIN($D$2:$D$492))</f>
        <v/>
      </c>
      <c r="E706" s="6">
        <f>(E209-MIN($E$2:$E$492)) / (MAX($E$2:$E$492)-MIN($E$2:$E$492))</f>
        <v/>
      </c>
    </row>
    <row r="707">
      <c r="A707" s="6" t="n">
        <v>209</v>
      </c>
      <c r="B707" s="6" t="inlineStr">
        <is>
          <t>JOKOPI - Malang</t>
        </is>
      </c>
      <c r="C707" s="6">
        <f>(C210-MIN($C$2:$C$492)) / (MAX($C$2:$C$492)-MIN($C$2:$C$492))</f>
        <v/>
      </c>
      <c r="D707" s="6">
        <f>(D210-MIN($D$2:$D$492)) / (MAX($D$2:$D$492)-MIN($D$2:$D$492))</f>
        <v/>
      </c>
      <c r="E707" s="6">
        <f>(E210-MIN($E$2:$E$492)) / (MAX($E$2:$E$492)-MIN($E$2:$E$492))</f>
        <v/>
      </c>
    </row>
    <row r="708">
      <c r="A708" s="6" t="n">
        <v>210</v>
      </c>
      <c r="B708" s="6" t="inlineStr">
        <is>
          <t>Cale Cafe Malang</t>
        </is>
      </c>
      <c r="C708" s="6">
        <f>(C211-MIN($C$2:$C$492)) / (MAX($C$2:$C$492)-MIN($C$2:$C$492))</f>
        <v/>
      </c>
      <c r="D708" s="6">
        <f>(D211-MIN($D$2:$D$492)) / (MAX($D$2:$D$492)-MIN($D$2:$D$492))</f>
        <v/>
      </c>
      <c r="E708" s="6">
        <f>(E211-MIN($E$2:$E$492)) / (MAX($E$2:$E$492)-MIN($E$2:$E$492))</f>
        <v/>
      </c>
    </row>
    <row r="709">
      <c r="A709" s="6" t="n">
        <v>211</v>
      </c>
      <c r="B709" s="6" t="inlineStr">
        <is>
          <t>Labore coffee eatery</t>
        </is>
      </c>
      <c r="C709" s="6">
        <f>(C212-MIN($C$2:$C$492)) / (MAX($C$2:$C$492)-MIN($C$2:$C$492))</f>
        <v/>
      </c>
      <c r="D709" s="6">
        <f>(D212-MIN($D$2:$D$492)) / (MAX($D$2:$D$492)-MIN($D$2:$D$492))</f>
        <v/>
      </c>
      <c r="E709" s="6">
        <f>(E212-MIN($E$2:$E$492)) / (MAX($E$2:$E$492)-MIN($E$2:$E$492))</f>
        <v/>
      </c>
    </row>
    <row r="710">
      <c r="A710" s="6" t="n">
        <v>212</v>
      </c>
      <c r="B710" s="6" t="inlineStr">
        <is>
          <t>Roketto Coffee &amp; Co</t>
        </is>
      </c>
      <c r="C710" s="6">
        <f>(C213-MIN($C$2:$C$492)) / (MAX($C$2:$C$492)-MIN($C$2:$C$492))</f>
        <v/>
      </c>
      <c r="D710" s="6">
        <f>(D213-MIN($D$2:$D$492)) / (MAX($D$2:$D$492)-MIN($D$2:$D$492))</f>
        <v/>
      </c>
      <c r="E710" s="6">
        <f>(E213-MIN($E$2:$E$492)) / (MAX($E$2:$E$492)-MIN($E$2:$E$492))</f>
        <v/>
      </c>
    </row>
    <row r="711">
      <c r="A711" s="6" t="n">
        <v>213</v>
      </c>
      <c r="B711" s="6" t="inlineStr">
        <is>
          <t>Kopi Handall</t>
        </is>
      </c>
      <c r="C711" s="6">
        <f>(C214-MIN($C$2:$C$492)) / (MAX($C$2:$C$492)-MIN($C$2:$C$492))</f>
        <v/>
      </c>
      <c r="D711" s="6">
        <f>(D214-MIN($D$2:$D$492)) / (MAX($D$2:$D$492)-MIN($D$2:$D$492))</f>
        <v/>
      </c>
      <c r="E711" s="6">
        <f>(E214-MIN($E$2:$E$492)) / (MAX($E$2:$E$492)-MIN($E$2:$E$492))</f>
        <v/>
      </c>
    </row>
    <row r="712">
      <c r="A712" s="6" t="n">
        <v>214</v>
      </c>
      <c r="B712" s="6" t="inlineStr">
        <is>
          <t>Lataroma</t>
        </is>
      </c>
      <c r="C712" s="6">
        <f>(C215-MIN($C$2:$C$492)) / (MAX($C$2:$C$492)-MIN($C$2:$C$492))</f>
        <v/>
      </c>
      <c r="D712" s="6">
        <f>(D215-MIN($D$2:$D$492)) / (MAX($D$2:$D$492)-MIN($D$2:$D$492))</f>
        <v/>
      </c>
      <c r="E712" s="6">
        <f>(E215-MIN($E$2:$E$492)) / (MAX($E$2:$E$492)-MIN($E$2:$E$492))</f>
        <v/>
      </c>
    </row>
    <row r="713">
      <c r="A713" s="6" t="n">
        <v>215</v>
      </c>
      <c r="B713" s="6" t="inlineStr">
        <is>
          <t>Baratimur Kopi</t>
        </is>
      </c>
      <c r="C713" s="6">
        <f>(C216-MIN($C$2:$C$492)) / (MAX($C$2:$C$492)-MIN($C$2:$C$492))</f>
        <v/>
      </c>
      <c r="D713" s="6">
        <f>(D216-MIN($D$2:$D$492)) / (MAX($D$2:$D$492)-MIN($D$2:$D$492))</f>
        <v/>
      </c>
      <c r="E713" s="6">
        <f>(E216-MIN($E$2:$E$492)) / (MAX($E$2:$E$492)-MIN($E$2:$E$492))</f>
        <v/>
      </c>
    </row>
    <row r="714">
      <c r="A714" s="6" t="n">
        <v>216</v>
      </c>
      <c r="B714" s="6" t="inlineStr">
        <is>
          <t>Dialoogi Space &amp; Coffee</t>
        </is>
      </c>
      <c r="C714" s="6">
        <f>(C217-MIN($C$2:$C$492)) / (MAX($C$2:$C$492)-MIN($C$2:$C$492))</f>
        <v/>
      </c>
      <c r="D714" s="6">
        <f>(D217-MIN($D$2:$D$492)) / (MAX($D$2:$D$492)-MIN($D$2:$D$492))</f>
        <v/>
      </c>
      <c r="E714" s="6">
        <f>(E217-MIN($E$2:$E$492)) / (MAX($E$2:$E$492)-MIN($E$2:$E$492))</f>
        <v/>
      </c>
    </row>
    <row r="715">
      <c r="A715" s="6" t="n">
        <v>217</v>
      </c>
      <c r="B715" s="6" t="inlineStr">
        <is>
          <t>Toko Kopi Abah</t>
        </is>
      </c>
      <c r="C715" s="6">
        <f>(C218-MIN($C$2:$C$492)) / (MAX($C$2:$C$492)-MIN($C$2:$C$492))</f>
        <v/>
      </c>
      <c r="D715" s="6">
        <f>(D218-MIN($D$2:$D$492)) / (MAX($D$2:$D$492)-MIN($D$2:$D$492))</f>
        <v/>
      </c>
      <c r="E715" s="6">
        <f>(E218-MIN($E$2:$E$492)) / (MAX($E$2:$E$492)-MIN($E$2:$E$492))</f>
        <v/>
      </c>
    </row>
    <row r="716">
      <c r="A716" s="6" t="n">
        <v>218</v>
      </c>
      <c r="B716" s="6" t="inlineStr">
        <is>
          <t>GOLDEN HERITAGE KOFFIE</t>
        </is>
      </c>
      <c r="C716" s="6">
        <f>(C219-MIN($C$2:$C$492)) / (MAX($C$2:$C$492)-MIN($C$2:$C$492))</f>
        <v/>
      </c>
      <c r="D716" s="6">
        <f>(D219-MIN($D$2:$D$492)) / (MAX($D$2:$D$492)-MIN($D$2:$D$492))</f>
        <v/>
      </c>
      <c r="E716" s="6">
        <f>(E219-MIN($E$2:$E$492)) / (MAX($E$2:$E$492)-MIN($E$2:$E$492))</f>
        <v/>
      </c>
    </row>
    <row r="717">
      <c r="A717" s="6" t="n">
        <v>219</v>
      </c>
      <c r="B717" s="6" t="inlineStr">
        <is>
          <t>Ruang Rindu Kopi</t>
        </is>
      </c>
      <c r="C717" s="6">
        <f>(C220-MIN($C$2:$C$492)) / (MAX($C$2:$C$492)-MIN($C$2:$C$492))</f>
        <v/>
      </c>
      <c r="D717" s="6">
        <f>(D220-MIN($D$2:$D$492)) / (MAX($D$2:$D$492)-MIN($D$2:$D$492))</f>
        <v/>
      </c>
      <c r="E717" s="6">
        <f>(E220-MIN($E$2:$E$492)) / (MAX($E$2:$E$492)-MIN($E$2:$E$492))</f>
        <v/>
      </c>
    </row>
    <row r="718">
      <c r="A718" s="6" t="n">
        <v>220</v>
      </c>
      <c r="B718" s="6" t="inlineStr">
        <is>
          <t>Ada Apa Dengan Kopi (AADK) Bandung Malang - Coffee &amp; Eatery</t>
        </is>
      </c>
      <c r="C718" s="6">
        <f>(C221-MIN($C$2:$C$492)) / (MAX($C$2:$C$492)-MIN($C$2:$C$492))</f>
        <v/>
      </c>
      <c r="D718" s="6">
        <f>(D221-MIN($D$2:$D$492)) / (MAX($D$2:$D$492)-MIN($D$2:$D$492))</f>
        <v/>
      </c>
      <c r="E718" s="6">
        <f>(E221-MIN($E$2:$E$492)) / (MAX($E$2:$E$492)-MIN($E$2:$E$492))</f>
        <v/>
      </c>
    </row>
    <row r="719">
      <c r="A719" s="6" t="n">
        <v>221</v>
      </c>
      <c r="B719" s="6" t="inlineStr">
        <is>
          <t>Sorai Kedai Kopi &amp; Teh</t>
        </is>
      </c>
      <c r="C719" s="6">
        <f>(C222-MIN($C$2:$C$492)) / (MAX($C$2:$C$492)-MIN($C$2:$C$492))</f>
        <v/>
      </c>
      <c r="D719" s="6">
        <f>(D222-MIN($D$2:$D$492)) / (MAX($D$2:$D$492)-MIN($D$2:$D$492))</f>
        <v/>
      </c>
      <c r="E719" s="6">
        <f>(E222-MIN($E$2:$E$492)) / (MAX($E$2:$E$492)-MIN($E$2:$E$492))</f>
        <v/>
      </c>
    </row>
    <row r="720">
      <c r="A720" s="6" t="n">
        <v>222</v>
      </c>
      <c r="B720" s="6" t="inlineStr">
        <is>
          <t>Baja</t>
        </is>
      </c>
      <c r="C720" s="6">
        <f>(C223-MIN($C$2:$C$492)) / (MAX($C$2:$C$492)-MIN($C$2:$C$492))</f>
        <v/>
      </c>
      <c r="D720" s="6">
        <f>(D223-MIN($D$2:$D$492)) / (MAX($D$2:$D$492)-MIN($D$2:$D$492))</f>
        <v/>
      </c>
      <c r="E720" s="6">
        <f>(E223-MIN($E$2:$E$492)) / (MAX($E$2:$E$492)-MIN($E$2:$E$492))</f>
        <v/>
      </c>
    </row>
    <row r="721">
      <c r="A721" s="6" t="n">
        <v>223</v>
      </c>
      <c r="B721" s="6" t="inlineStr">
        <is>
          <t>Eight Ounces</t>
        </is>
      </c>
      <c r="C721" s="6">
        <f>(C224-MIN($C$2:$C$492)) / (MAX($C$2:$C$492)-MIN($C$2:$C$492))</f>
        <v/>
      </c>
      <c r="D721" s="6">
        <f>(D224-MIN($D$2:$D$492)) / (MAX($D$2:$D$492)-MIN($D$2:$D$492))</f>
        <v/>
      </c>
      <c r="E721" s="6">
        <f>(E224-MIN($E$2:$E$492)) / (MAX($E$2:$E$492)-MIN($E$2:$E$492))</f>
        <v/>
      </c>
    </row>
    <row r="722">
      <c r="A722" s="6" t="n">
        <v>224</v>
      </c>
      <c r="B722" s="6" t="inlineStr">
        <is>
          <t>KOPI STUDIO 24 SARANGAN</t>
        </is>
      </c>
      <c r="C722" s="6">
        <f>(C225-MIN($C$2:$C$492)) / (MAX($C$2:$C$492)-MIN($C$2:$C$492))</f>
        <v/>
      </c>
      <c r="D722" s="6">
        <f>(D225-MIN($D$2:$D$492)) / (MAX($D$2:$D$492)-MIN($D$2:$D$492))</f>
        <v/>
      </c>
      <c r="E722" s="6">
        <f>(E225-MIN($E$2:$E$492)) / (MAX($E$2:$E$492)-MIN($E$2:$E$492))</f>
        <v/>
      </c>
    </row>
    <row r="723">
      <c r="A723" s="6" t="n">
        <v>225</v>
      </c>
      <c r="B723" s="6" t="inlineStr">
        <is>
          <t>Sejenak Coffee</t>
        </is>
      </c>
      <c r="C723" s="6">
        <f>(C226-MIN($C$2:$C$492)) / (MAX($C$2:$C$492)-MIN($C$2:$C$492))</f>
        <v/>
      </c>
      <c r="D723" s="6">
        <f>(D226-MIN($D$2:$D$492)) / (MAX($D$2:$D$492)-MIN($D$2:$D$492))</f>
        <v/>
      </c>
      <c r="E723" s="6">
        <f>(E226-MIN($E$2:$E$492)) / (MAX($E$2:$E$492)-MIN($E$2:$E$492))</f>
        <v/>
      </c>
    </row>
    <row r="724">
      <c r="A724" s="6" t="n">
        <v>226</v>
      </c>
      <c r="B724" s="6" t="inlineStr">
        <is>
          <t>Kopi Studio 24</t>
        </is>
      </c>
      <c r="C724" s="6">
        <f>(C227-MIN($C$2:$C$492)) / (MAX($C$2:$C$492)-MIN($C$2:$C$492))</f>
        <v/>
      </c>
      <c r="D724" s="6">
        <f>(D227-MIN($D$2:$D$492)) / (MAX($D$2:$D$492)-MIN($D$2:$D$492))</f>
        <v/>
      </c>
      <c r="E724" s="6">
        <f>(E227-MIN($E$2:$E$492)) / (MAX($E$2:$E$492)-MIN($E$2:$E$492))</f>
        <v/>
      </c>
    </row>
    <row r="725">
      <c r="A725" s="6" t="n">
        <v>227</v>
      </c>
      <c r="B725" s="6" t="inlineStr">
        <is>
          <t>Kotäsk Kaffe Co.</t>
        </is>
      </c>
      <c r="C725" s="6">
        <f>(C228-MIN($C$2:$C$492)) / (MAX($C$2:$C$492)-MIN($C$2:$C$492))</f>
        <v/>
      </c>
      <c r="D725" s="6">
        <f>(D228-MIN($D$2:$D$492)) / (MAX($D$2:$D$492)-MIN($D$2:$D$492))</f>
        <v/>
      </c>
      <c r="E725" s="6">
        <f>(E228-MIN($E$2:$E$492)) / (MAX($E$2:$E$492)-MIN($E$2:$E$492))</f>
        <v/>
      </c>
    </row>
    <row r="726">
      <c r="A726" s="6" t="n">
        <v>228</v>
      </c>
      <c r="B726" s="6" t="inlineStr">
        <is>
          <t>Vosco Coffee</t>
        </is>
      </c>
      <c r="C726" s="6">
        <f>(C229-MIN($C$2:$C$492)) / (MAX($C$2:$C$492)-MIN($C$2:$C$492))</f>
        <v/>
      </c>
      <c r="D726" s="6">
        <f>(D229-MIN($D$2:$D$492)) / (MAX($D$2:$D$492)-MIN($D$2:$D$492))</f>
        <v/>
      </c>
      <c r="E726" s="6">
        <f>(E229-MIN($E$2:$E$492)) / (MAX($E$2:$E$492)-MIN($E$2:$E$492))</f>
        <v/>
      </c>
    </row>
    <row r="727">
      <c r="A727" s="6" t="n">
        <v>229</v>
      </c>
      <c r="B727" s="6" t="inlineStr">
        <is>
          <t>NARA Coffee</t>
        </is>
      </c>
      <c r="C727" s="6">
        <f>(C230-MIN($C$2:$C$492)) / (MAX($C$2:$C$492)-MIN($C$2:$C$492))</f>
        <v/>
      </c>
      <c r="D727" s="6">
        <f>(D230-MIN($D$2:$D$492)) / (MAX($D$2:$D$492)-MIN($D$2:$D$492))</f>
        <v/>
      </c>
      <c r="E727" s="6">
        <f>(E230-MIN($E$2:$E$492)) / (MAX($E$2:$E$492)-MIN($E$2:$E$492))</f>
        <v/>
      </c>
    </row>
    <row r="728">
      <c r="A728" s="6" t="n">
        <v>230</v>
      </c>
      <c r="B728" s="6" t="inlineStr">
        <is>
          <t>Katamichi Coffee</t>
        </is>
      </c>
      <c r="C728" s="6">
        <f>(C231-MIN($C$2:$C$492)) / (MAX($C$2:$C$492)-MIN($C$2:$C$492))</f>
        <v/>
      </c>
      <c r="D728" s="6">
        <f>(D231-MIN($D$2:$D$492)) / (MAX($D$2:$D$492)-MIN($D$2:$D$492))</f>
        <v/>
      </c>
      <c r="E728" s="6">
        <f>(E231-MIN($E$2:$E$492)) / (MAX($E$2:$E$492)-MIN($E$2:$E$492))</f>
        <v/>
      </c>
    </row>
    <row r="729">
      <c r="A729" s="6" t="n">
        <v>231</v>
      </c>
      <c r="B729" s="6" t="inlineStr">
        <is>
          <t>Klodjen Djaja 1956</t>
        </is>
      </c>
      <c r="C729" s="6">
        <f>(C232-MIN($C$2:$C$492)) / (MAX($C$2:$C$492)-MIN($C$2:$C$492))</f>
        <v/>
      </c>
      <c r="D729" s="6">
        <f>(D232-MIN($D$2:$D$492)) / (MAX($D$2:$D$492)-MIN($D$2:$D$492))</f>
        <v/>
      </c>
      <c r="E729" s="6">
        <f>(E232-MIN($E$2:$E$492)) / (MAX($E$2:$E$492)-MIN($E$2:$E$492))</f>
        <v/>
      </c>
    </row>
    <row r="730">
      <c r="A730" s="6" t="n">
        <v>232</v>
      </c>
      <c r="B730" s="6" t="inlineStr">
        <is>
          <t>Equal Coffee Roastery</t>
        </is>
      </c>
      <c r="C730" s="6">
        <f>(C233-MIN($C$2:$C$492)) / (MAX($C$2:$C$492)-MIN($C$2:$C$492))</f>
        <v/>
      </c>
      <c r="D730" s="6">
        <f>(D233-MIN($D$2:$D$492)) / (MAX($D$2:$D$492)-MIN($D$2:$D$492))</f>
        <v/>
      </c>
      <c r="E730" s="6">
        <f>(E233-MIN($E$2:$E$492)) / (MAX($E$2:$E$492)-MIN($E$2:$E$492))</f>
        <v/>
      </c>
    </row>
    <row r="731">
      <c r="A731" s="6" t="n">
        <v>233</v>
      </c>
      <c r="B731" s="6" t="inlineStr">
        <is>
          <t>Toko Kopi Jaya, Soehat</t>
        </is>
      </c>
      <c r="C731" s="6">
        <f>(C234-MIN($C$2:$C$492)) / (MAX($C$2:$C$492)-MIN($C$2:$C$492))</f>
        <v/>
      </c>
      <c r="D731" s="6">
        <f>(D234-MIN($D$2:$D$492)) / (MAX($D$2:$D$492)-MIN($D$2:$D$492))</f>
        <v/>
      </c>
      <c r="E731" s="6">
        <f>(E234-MIN($E$2:$E$492)) / (MAX($E$2:$E$492)-MIN($E$2:$E$492))</f>
        <v/>
      </c>
    </row>
    <row r="732">
      <c r="A732" s="6" t="n">
        <v>234</v>
      </c>
      <c r="B732" s="6" t="inlineStr">
        <is>
          <t>Foursense Coffee</t>
        </is>
      </c>
      <c r="C732" s="6">
        <f>(C235-MIN($C$2:$C$492)) / (MAX($C$2:$C$492)-MIN($C$2:$C$492))</f>
        <v/>
      </c>
      <c r="D732" s="6">
        <f>(D235-MIN($D$2:$D$492)) / (MAX($D$2:$D$492)-MIN($D$2:$D$492))</f>
        <v/>
      </c>
      <c r="E732" s="6">
        <f>(E235-MIN($E$2:$E$492)) / (MAX($E$2:$E$492)-MIN($E$2:$E$492))</f>
        <v/>
      </c>
    </row>
    <row r="733">
      <c r="A733" s="6" t="n">
        <v>235</v>
      </c>
      <c r="B733" s="6" t="inlineStr">
        <is>
          <t>Toko Kopi Makmur (Malang)</t>
        </is>
      </c>
      <c r="C733" s="6">
        <f>(C236-MIN($C$2:$C$492)) / (MAX($C$2:$C$492)-MIN($C$2:$C$492))</f>
        <v/>
      </c>
      <c r="D733" s="6">
        <f>(D236-MIN($D$2:$D$492)) / (MAX($D$2:$D$492)-MIN($D$2:$D$492))</f>
        <v/>
      </c>
      <c r="E733" s="6">
        <f>(E236-MIN($E$2:$E$492)) / (MAX($E$2:$E$492)-MIN($E$2:$E$492))</f>
        <v/>
      </c>
    </row>
    <row r="734">
      <c r="A734" s="6" t="n">
        <v>236</v>
      </c>
      <c r="B734" s="6" t="inlineStr">
        <is>
          <t>Tilik Kawan Cafe and Eatery</t>
        </is>
      </c>
      <c r="C734" s="6">
        <f>(C237-MIN($C$2:$C$492)) / (MAX($C$2:$C$492)-MIN($C$2:$C$492))</f>
        <v/>
      </c>
      <c r="D734" s="6">
        <f>(D237-MIN($D$2:$D$492)) / (MAX($D$2:$D$492)-MIN($D$2:$D$492))</f>
        <v/>
      </c>
      <c r="E734" s="6">
        <f>(E237-MIN($E$2:$E$492)) / (MAX($E$2:$E$492)-MIN($E$2:$E$492))</f>
        <v/>
      </c>
    </row>
    <row r="735">
      <c r="A735" s="6" t="n">
        <v>237</v>
      </c>
      <c r="B735" s="6" t="inlineStr">
        <is>
          <t>Bureau Coffee &amp; Dine</t>
        </is>
      </c>
      <c r="C735" s="6">
        <f>(C238-MIN($C$2:$C$492)) / (MAX($C$2:$C$492)-MIN($C$2:$C$492))</f>
        <v/>
      </c>
      <c r="D735" s="6">
        <f>(D238-MIN($D$2:$D$492)) / (MAX($D$2:$D$492)-MIN($D$2:$D$492))</f>
        <v/>
      </c>
      <c r="E735" s="6">
        <f>(E238-MIN($E$2:$E$492)) / (MAX($E$2:$E$492)-MIN($E$2:$E$492))</f>
        <v/>
      </c>
    </row>
    <row r="736">
      <c r="A736" s="6" t="n">
        <v>238</v>
      </c>
      <c r="B736" s="6" t="inlineStr">
        <is>
          <t>Apresio Kopi</t>
        </is>
      </c>
      <c r="C736" s="6">
        <f>(C239-MIN($C$2:$C$492)) / (MAX($C$2:$C$492)-MIN($C$2:$C$492))</f>
        <v/>
      </c>
      <c r="D736" s="6">
        <f>(D239-MIN($D$2:$D$492)) / (MAX($D$2:$D$492)-MIN($D$2:$D$492))</f>
        <v/>
      </c>
      <c r="E736" s="6">
        <f>(E239-MIN($E$2:$E$492)) / (MAX($E$2:$E$492)-MIN($E$2:$E$492))</f>
        <v/>
      </c>
    </row>
    <row r="737">
      <c r="A737" s="6" t="n">
        <v>239</v>
      </c>
      <c r="B737" s="6" t="inlineStr">
        <is>
          <t>Toko kopi ong</t>
        </is>
      </c>
      <c r="C737" s="6">
        <f>(C240-MIN($C$2:$C$492)) / (MAX($C$2:$C$492)-MIN($C$2:$C$492))</f>
        <v/>
      </c>
      <c r="D737" s="6">
        <f>(D240-MIN($D$2:$D$492)) / (MAX($D$2:$D$492)-MIN($D$2:$D$492))</f>
        <v/>
      </c>
      <c r="E737" s="6">
        <f>(E240-MIN($E$2:$E$492)) / (MAX($E$2:$E$492)-MIN($E$2:$E$492))</f>
        <v/>
      </c>
    </row>
    <row r="738">
      <c r="A738" s="6" t="n">
        <v>240</v>
      </c>
      <c r="B738" s="6" t="inlineStr">
        <is>
          <t>Kopi Langit Tuju</t>
        </is>
      </c>
      <c r="C738" s="6">
        <f>(C241-MIN($C$2:$C$492)) / (MAX($C$2:$C$492)-MIN($C$2:$C$492))</f>
        <v/>
      </c>
      <c r="D738" s="6">
        <f>(D241-MIN($D$2:$D$492)) / (MAX($D$2:$D$492)-MIN($D$2:$D$492))</f>
        <v/>
      </c>
      <c r="E738" s="6">
        <f>(E241-MIN($E$2:$E$492)) / (MAX($E$2:$E$492)-MIN($E$2:$E$492))</f>
        <v/>
      </c>
    </row>
    <row r="739">
      <c r="A739" s="6" t="n">
        <v>241</v>
      </c>
      <c r="B739" s="6" t="inlineStr">
        <is>
          <t>Tumbazz Kopi Malang</t>
        </is>
      </c>
      <c r="C739" s="6">
        <f>(C242-MIN($C$2:$C$492)) / (MAX($C$2:$C$492)-MIN($C$2:$C$492))</f>
        <v/>
      </c>
      <c r="D739" s="6">
        <f>(D242-MIN($D$2:$D$492)) / (MAX($D$2:$D$492)-MIN($D$2:$D$492))</f>
        <v/>
      </c>
      <c r="E739" s="6">
        <f>(E242-MIN($E$2:$E$492)) / (MAX($E$2:$E$492)-MIN($E$2:$E$492))</f>
        <v/>
      </c>
    </row>
    <row r="740">
      <c r="A740" s="6" t="n">
        <v>242</v>
      </c>
      <c r="B740" s="6" t="inlineStr">
        <is>
          <t>Java Dancer Coffee - Jakarta</t>
        </is>
      </c>
      <c r="C740" s="6">
        <f>(C243-MIN($C$2:$C$492)) / (MAX($C$2:$C$492)-MIN($C$2:$C$492))</f>
        <v/>
      </c>
      <c r="D740" s="6">
        <f>(D243-MIN($D$2:$D$492)) / (MAX($D$2:$D$492)-MIN($D$2:$D$492))</f>
        <v/>
      </c>
      <c r="E740" s="6">
        <f>(E243-MIN($E$2:$E$492)) / (MAX($E$2:$E$492)-MIN($E$2:$E$492))</f>
        <v/>
      </c>
    </row>
    <row r="741">
      <c r="A741" s="6" t="n">
        <v>243</v>
      </c>
      <c r="B741" s="6" t="inlineStr">
        <is>
          <t>Omah Semeru (Toko Kopi)</t>
        </is>
      </c>
      <c r="C741" s="6">
        <f>(C244-MIN($C$2:$C$492)) / (MAX($C$2:$C$492)-MIN($C$2:$C$492))</f>
        <v/>
      </c>
      <c r="D741" s="6">
        <f>(D244-MIN($D$2:$D$492)) / (MAX($D$2:$D$492)-MIN($D$2:$D$492))</f>
        <v/>
      </c>
      <c r="E741" s="6">
        <f>(E244-MIN($E$2:$E$492)) / (MAX($E$2:$E$492)-MIN($E$2:$E$492))</f>
        <v/>
      </c>
    </row>
    <row r="742">
      <c r="A742" s="6" t="n">
        <v>244</v>
      </c>
      <c r="B742" s="6" t="inlineStr">
        <is>
          <t>Kopi Jokotole</t>
        </is>
      </c>
      <c r="C742" s="6">
        <f>(C245-MIN($C$2:$C$492)) / (MAX($C$2:$C$492)-MIN($C$2:$C$492))</f>
        <v/>
      </c>
      <c r="D742" s="6">
        <f>(D245-MIN($D$2:$D$492)) / (MAX($D$2:$D$492)-MIN($D$2:$D$492))</f>
        <v/>
      </c>
      <c r="E742" s="6">
        <f>(E245-MIN($E$2:$E$492)) / (MAX($E$2:$E$492)-MIN($E$2:$E$492))</f>
        <v/>
      </c>
    </row>
    <row r="743">
      <c r="A743" s="6" t="n">
        <v>245</v>
      </c>
      <c r="B743" s="6" t="inlineStr">
        <is>
          <t>Toko Kopi Sumber Rejeki Malang</t>
        </is>
      </c>
      <c r="C743" s="6">
        <f>(C246-MIN($C$2:$C$492)) / (MAX($C$2:$C$492)-MIN($C$2:$C$492))</f>
        <v/>
      </c>
      <c r="D743" s="6">
        <f>(D246-MIN($D$2:$D$492)) / (MAX($D$2:$D$492)-MIN($D$2:$D$492))</f>
        <v/>
      </c>
      <c r="E743" s="6">
        <f>(E246-MIN($E$2:$E$492)) / (MAX($E$2:$E$492)-MIN($E$2:$E$492))</f>
        <v/>
      </c>
    </row>
    <row r="744">
      <c r="A744" s="6" t="n">
        <v>246</v>
      </c>
      <c r="B744" s="6" t="inlineStr">
        <is>
          <t>Arah Coffee Gunungan Malang</t>
        </is>
      </c>
      <c r="C744" s="6">
        <f>(C247-MIN($C$2:$C$492)) / (MAX($C$2:$C$492)-MIN($C$2:$C$492))</f>
        <v/>
      </c>
      <c r="D744" s="6">
        <f>(D247-MIN($D$2:$D$492)) / (MAX($D$2:$D$492)-MIN($D$2:$D$492))</f>
        <v/>
      </c>
      <c r="E744" s="6">
        <f>(E247-MIN($E$2:$E$492)) / (MAX($E$2:$E$492)-MIN($E$2:$E$492))</f>
        <v/>
      </c>
    </row>
    <row r="745">
      <c r="A745" s="6" t="n">
        <v>247</v>
      </c>
      <c r="B745" s="6" t="inlineStr">
        <is>
          <t>toko kopi jaya, klojen</t>
        </is>
      </c>
      <c r="C745" s="6">
        <f>(C248-MIN($C$2:$C$492)) / (MAX($C$2:$C$492)-MIN($C$2:$C$492))</f>
        <v/>
      </c>
      <c r="D745" s="6">
        <f>(D248-MIN($D$2:$D$492)) / (MAX($D$2:$D$492)-MIN($D$2:$D$492))</f>
        <v/>
      </c>
      <c r="E745" s="6">
        <f>(E248-MIN($E$2:$E$492)) / (MAX($E$2:$E$492)-MIN($E$2:$E$492))</f>
        <v/>
      </c>
    </row>
    <row r="746">
      <c r="A746" s="6" t="n">
        <v>248</v>
      </c>
      <c r="B746" s="6" t="inlineStr">
        <is>
          <t>Kopi 1922</t>
        </is>
      </c>
      <c r="C746" s="6">
        <f>(C249-MIN($C$2:$C$492)) / (MAX($C$2:$C$492)-MIN($C$2:$C$492))</f>
        <v/>
      </c>
      <c r="D746" s="6">
        <f>(D249-MIN($D$2:$D$492)) / (MAX($D$2:$D$492)-MIN($D$2:$D$492))</f>
        <v/>
      </c>
      <c r="E746" s="6">
        <f>(E249-MIN($E$2:$E$492)) / (MAX($E$2:$E$492)-MIN($E$2:$E$492))</f>
        <v/>
      </c>
    </row>
    <row r="747">
      <c r="A747" s="6" t="n">
        <v>249</v>
      </c>
      <c r="B747" s="6" t="inlineStr">
        <is>
          <t>Zocco Heritage</t>
        </is>
      </c>
      <c r="C747" s="6">
        <f>(C250-MIN($C$2:$C$492)) / (MAX($C$2:$C$492)-MIN($C$2:$C$492))</f>
        <v/>
      </c>
      <c r="D747" s="6">
        <f>(D250-MIN($D$2:$D$492)) / (MAX($D$2:$D$492)-MIN($D$2:$D$492))</f>
        <v/>
      </c>
      <c r="E747" s="6">
        <f>(E250-MIN($E$2:$E$492)) / (MAX($E$2:$E$492)-MIN($E$2:$E$492))</f>
        <v/>
      </c>
    </row>
    <row r="748">
      <c r="A748" s="6" t="n">
        <v>250</v>
      </c>
      <c r="B748" s="6" t="inlineStr">
        <is>
          <t>Rodjo.Kopi</t>
        </is>
      </c>
      <c r="C748" s="6">
        <f>(C251-MIN($C$2:$C$492)) / (MAX($C$2:$C$492)-MIN($C$2:$C$492))</f>
        <v/>
      </c>
      <c r="D748" s="6">
        <f>(D251-MIN($D$2:$D$492)) / (MAX($D$2:$D$492)-MIN($D$2:$D$492))</f>
        <v/>
      </c>
      <c r="E748" s="6">
        <f>(E251-MIN($E$2:$E$492)) / (MAX($E$2:$E$492)-MIN($E$2:$E$492))</f>
        <v/>
      </c>
    </row>
    <row r="749">
      <c r="A749" s="6" t="n">
        <v>251</v>
      </c>
      <c r="B749" s="6" t="inlineStr">
        <is>
          <t>Toko Kopi Jaya, Ijen</t>
        </is>
      </c>
      <c r="C749" s="6">
        <f>(C252-MIN($C$2:$C$492)) / (MAX($C$2:$C$492)-MIN($C$2:$C$492))</f>
        <v/>
      </c>
      <c r="D749" s="6">
        <f>(D252-MIN($D$2:$D$492)) / (MAX($D$2:$D$492)-MIN($D$2:$D$492))</f>
        <v/>
      </c>
      <c r="E749" s="6">
        <f>(E252-MIN($E$2:$E$492)) / (MAX($E$2:$E$492)-MIN($E$2:$E$492))</f>
        <v/>
      </c>
    </row>
    <row r="750">
      <c r="A750" s="6" t="n">
        <v>252</v>
      </c>
      <c r="B750" s="6" t="inlineStr">
        <is>
          <t>Gartenhaus Co</t>
        </is>
      </c>
      <c r="C750" s="6">
        <f>(C253-MIN($C$2:$C$492)) / (MAX($C$2:$C$492)-MIN($C$2:$C$492))</f>
        <v/>
      </c>
      <c r="D750" s="6">
        <f>(D253-MIN($D$2:$D$492)) / (MAX($D$2:$D$492)-MIN($D$2:$D$492))</f>
        <v/>
      </c>
      <c r="E750" s="6">
        <f>(E253-MIN($E$2:$E$492)) / (MAX($E$2:$E$492)-MIN($E$2:$E$492))</f>
        <v/>
      </c>
    </row>
    <row r="751">
      <c r="A751" s="6" t="n">
        <v>253</v>
      </c>
      <c r="B751" s="6" t="inlineStr">
        <is>
          <t>Simpang Luwe Cafe &amp; Resto</t>
        </is>
      </c>
      <c r="C751" s="6">
        <f>(C254-MIN($C$2:$C$492)) / (MAX($C$2:$C$492)-MIN($C$2:$C$492))</f>
        <v/>
      </c>
      <c r="D751" s="6">
        <f>(D254-MIN($D$2:$D$492)) / (MAX($D$2:$D$492)-MIN($D$2:$D$492))</f>
        <v/>
      </c>
      <c r="E751" s="6">
        <f>(E254-MIN($E$2:$E$492)) / (MAX($E$2:$E$492)-MIN($E$2:$E$492))</f>
        <v/>
      </c>
    </row>
    <row r="752">
      <c r="A752" s="6" t="n">
        <v>254</v>
      </c>
      <c r="B752" s="6" t="inlineStr">
        <is>
          <t>The Arbanat Kitchen Cafe Lounge</t>
        </is>
      </c>
      <c r="C752" s="6">
        <f>(C255-MIN($C$2:$C$492)) / (MAX($C$2:$C$492)-MIN($C$2:$C$492))</f>
        <v/>
      </c>
      <c r="D752" s="6">
        <f>(D255-MIN($D$2:$D$492)) / (MAX($D$2:$D$492)-MIN($D$2:$D$492))</f>
        <v/>
      </c>
      <c r="E752" s="6">
        <f>(E255-MIN($E$2:$E$492)) / (MAX($E$2:$E$492)-MIN($E$2:$E$492))</f>
        <v/>
      </c>
    </row>
    <row r="753">
      <c r="A753" s="6" t="n">
        <v>255</v>
      </c>
      <c r="B753" s="6" t="inlineStr">
        <is>
          <t>critasena</t>
        </is>
      </c>
      <c r="C753" s="6">
        <f>(C256-MIN($C$2:$C$492)) / (MAX($C$2:$C$492)-MIN($C$2:$C$492))</f>
        <v/>
      </c>
      <c r="D753" s="6">
        <f>(D256-MIN($D$2:$D$492)) / (MAX($D$2:$D$492)-MIN($D$2:$D$492))</f>
        <v/>
      </c>
      <c r="E753" s="6">
        <f>(E256-MIN($E$2:$E$492)) / (MAX($E$2:$E$492)-MIN($E$2:$E$492))</f>
        <v/>
      </c>
    </row>
    <row r="754">
      <c r="A754" s="6" t="n">
        <v>256</v>
      </c>
      <c r="B754" s="6" t="inlineStr">
        <is>
          <t>Koat Kopi Malang</t>
        </is>
      </c>
      <c r="C754" s="6">
        <f>(C257-MIN($C$2:$C$492)) / (MAX($C$2:$C$492)-MIN($C$2:$C$492))</f>
        <v/>
      </c>
      <c r="D754" s="6">
        <f>(D257-MIN($D$2:$D$492)) / (MAX($D$2:$D$492)-MIN($D$2:$D$492))</f>
        <v/>
      </c>
      <c r="E754" s="6">
        <f>(E257-MIN($E$2:$E$492)) / (MAX($E$2:$E$492)-MIN($E$2:$E$492))</f>
        <v/>
      </c>
    </row>
    <row r="755">
      <c r="A755" s="6" t="n">
        <v>257</v>
      </c>
      <c r="B755" s="6" t="inlineStr">
        <is>
          <t>BARAKA.MALANG</t>
        </is>
      </c>
      <c r="C755" s="6">
        <f>(C258-MIN($C$2:$C$492)) / (MAX($C$2:$C$492)-MIN($C$2:$C$492))</f>
        <v/>
      </c>
      <c r="D755" s="6">
        <f>(D258-MIN($D$2:$D$492)) / (MAX($D$2:$D$492)-MIN($D$2:$D$492))</f>
        <v/>
      </c>
      <c r="E755" s="6">
        <f>(E258-MIN($E$2:$E$492)) / (MAX($E$2:$E$492)-MIN($E$2:$E$492))</f>
        <v/>
      </c>
    </row>
    <row r="756">
      <c r="A756" s="6" t="n">
        <v>258</v>
      </c>
      <c r="B756" s="6" t="inlineStr">
        <is>
          <t>Semusim Cafe</t>
        </is>
      </c>
      <c r="C756" s="6">
        <f>(C259-MIN($C$2:$C$492)) / (MAX($C$2:$C$492)-MIN($C$2:$C$492))</f>
        <v/>
      </c>
      <c r="D756" s="6">
        <f>(D259-MIN($D$2:$D$492)) / (MAX($D$2:$D$492)-MIN($D$2:$D$492))</f>
        <v/>
      </c>
      <c r="E756" s="6">
        <f>(E259-MIN($E$2:$E$492)) / (MAX($E$2:$E$492)-MIN($E$2:$E$492))</f>
        <v/>
      </c>
    </row>
    <row r="757">
      <c r="A757" s="6" t="n">
        <v>259</v>
      </c>
      <c r="B757" s="6" t="inlineStr">
        <is>
          <t>Kopi Wojo Malang</t>
        </is>
      </c>
      <c r="C757" s="6">
        <f>(C260-MIN($C$2:$C$492)) / (MAX($C$2:$C$492)-MIN($C$2:$C$492))</f>
        <v/>
      </c>
      <c r="D757" s="6">
        <f>(D260-MIN($D$2:$D$492)) / (MAX($D$2:$D$492)-MIN($D$2:$D$492))</f>
        <v/>
      </c>
      <c r="E757" s="6">
        <f>(E260-MIN($E$2:$E$492)) / (MAX($E$2:$E$492)-MIN($E$2:$E$492))</f>
        <v/>
      </c>
    </row>
    <row r="758">
      <c r="A758" s="6" t="n">
        <v>260</v>
      </c>
      <c r="B758" s="6" t="inlineStr">
        <is>
          <t>Love Coffee</t>
        </is>
      </c>
      <c r="C758" s="6">
        <f>(C261-MIN($C$2:$C$492)) / (MAX($C$2:$C$492)-MIN($C$2:$C$492))</f>
        <v/>
      </c>
      <c r="D758" s="6">
        <f>(D261-MIN($D$2:$D$492)) / (MAX($D$2:$D$492)-MIN($D$2:$D$492))</f>
        <v/>
      </c>
      <c r="E758" s="6">
        <f>(E261-MIN($E$2:$E$492)) / (MAX($E$2:$E$492)-MIN($E$2:$E$492))</f>
        <v/>
      </c>
    </row>
    <row r="759">
      <c r="A759" s="6" t="n">
        <v>261</v>
      </c>
      <c r="B759" s="6" t="inlineStr">
        <is>
          <t>Kopi Dampit / Toko Nava</t>
        </is>
      </c>
      <c r="C759" s="6">
        <f>(C262-MIN($C$2:$C$492)) / (MAX($C$2:$C$492)-MIN($C$2:$C$492))</f>
        <v/>
      </c>
      <c r="D759" s="6">
        <f>(D262-MIN($D$2:$D$492)) / (MAX($D$2:$D$492)-MIN($D$2:$D$492))</f>
        <v/>
      </c>
      <c r="E759" s="6">
        <f>(E262-MIN($E$2:$E$492)) / (MAX($E$2:$E$492)-MIN($E$2:$E$492))</f>
        <v/>
      </c>
    </row>
    <row r="760">
      <c r="A760" s="6" t="n">
        <v>262</v>
      </c>
      <c r="B760" s="6" t="inlineStr">
        <is>
          <t>Kedai Kopi Omah Kayu</t>
        </is>
      </c>
      <c r="C760" s="6">
        <f>(C263-MIN($C$2:$C$492)) / (MAX($C$2:$C$492)-MIN($C$2:$C$492))</f>
        <v/>
      </c>
      <c r="D760" s="6">
        <f>(D263-MIN($D$2:$D$492)) / (MAX($D$2:$D$492)-MIN($D$2:$D$492))</f>
        <v/>
      </c>
      <c r="E760" s="6">
        <f>(E263-MIN($E$2:$E$492)) / (MAX($E$2:$E$492)-MIN($E$2:$E$492))</f>
        <v/>
      </c>
    </row>
    <row r="761">
      <c r="A761" s="6" t="n">
        <v>263</v>
      </c>
      <c r="B761" s="6" t="inlineStr">
        <is>
          <t>kedai 90 rohani</t>
        </is>
      </c>
      <c r="C761" s="6">
        <f>(C264-MIN($C$2:$C$492)) / (MAX($C$2:$C$492)-MIN($C$2:$C$492))</f>
        <v/>
      </c>
      <c r="D761" s="6">
        <f>(D264-MIN($D$2:$D$492)) / (MAX($D$2:$D$492)-MIN($D$2:$D$492))</f>
        <v/>
      </c>
      <c r="E761" s="6">
        <f>(E264-MIN($E$2:$E$492)) / (MAX($E$2:$E$492)-MIN($E$2:$E$492))</f>
        <v/>
      </c>
    </row>
    <row r="762">
      <c r="A762" s="6" t="n">
        <v>264</v>
      </c>
      <c r="B762" s="6" t="inlineStr">
        <is>
          <t>Toko Kopi Sidomukti</t>
        </is>
      </c>
      <c r="C762" s="6">
        <f>(C265-MIN($C$2:$C$492)) / (MAX($C$2:$C$492)-MIN($C$2:$C$492))</f>
        <v/>
      </c>
      <c r="D762" s="6">
        <f>(D265-MIN($D$2:$D$492)) / (MAX($D$2:$D$492)-MIN($D$2:$D$492))</f>
        <v/>
      </c>
      <c r="E762" s="6">
        <f>(E265-MIN($E$2:$E$492)) / (MAX($E$2:$E$492)-MIN($E$2:$E$492))</f>
        <v/>
      </c>
    </row>
    <row r="763">
      <c r="A763" s="6" t="n">
        <v>265</v>
      </c>
      <c r="B763" s="6" t="inlineStr">
        <is>
          <t>Kedai Kopi Kalimetro</t>
        </is>
      </c>
      <c r="C763" s="6">
        <f>(C266-MIN($C$2:$C$492)) / (MAX($C$2:$C$492)-MIN($C$2:$C$492))</f>
        <v/>
      </c>
      <c r="D763" s="6">
        <f>(D266-MIN($D$2:$D$492)) / (MAX($D$2:$D$492)-MIN($D$2:$D$492))</f>
        <v/>
      </c>
      <c r="E763" s="6">
        <f>(E266-MIN($E$2:$E$492)) / (MAX($E$2:$E$492)-MIN($E$2:$E$492))</f>
        <v/>
      </c>
    </row>
    <row r="764">
      <c r="A764" s="6" t="n">
        <v>266</v>
      </c>
      <c r="B764" s="6" t="inlineStr">
        <is>
          <t>Berkat Terang Jaya</t>
        </is>
      </c>
      <c r="C764" s="6">
        <f>(C267-MIN($C$2:$C$492)) / (MAX($C$2:$C$492)-MIN($C$2:$C$492))</f>
        <v/>
      </c>
      <c r="D764" s="6">
        <f>(D267-MIN($D$2:$D$492)) / (MAX($D$2:$D$492)-MIN($D$2:$D$492))</f>
        <v/>
      </c>
      <c r="E764" s="6">
        <f>(E267-MIN($E$2:$E$492)) / (MAX($E$2:$E$492)-MIN($E$2:$E$492))</f>
        <v/>
      </c>
    </row>
    <row r="765">
      <c r="A765" s="6" t="n">
        <v>267</v>
      </c>
      <c r="B765" s="6" t="inlineStr">
        <is>
          <t>Bedjana Tiny House Coffee</t>
        </is>
      </c>
      <c r="C765" s="6">
        <f>(C268-MIN($C$2:$C$492)) / (MAX($C$2:$C$492)-MIN($C$2:$C$492))</f>
        <v/>
      </c>
      <c r="D765" s="6">
        <f>(D268-MIN($D$2:$D$492)) / (MAX($D$2:$D$492)-MIN($D$2:$D$492))</f>
        <v/>
      </c>
      <c r="E765" s="6">
        <f>(E268-MIN($E$2:$E$492)) / (MAX($E$2:$E$492)-MIN($E$2:$E$492))</f>
        <v/>
      </c>
    </row>
    <row r="766">
      <c r="A766" s="6" t="n">
        <v>268</v>
      </c>
      <c r="B766" s="6" t="inlineStr">
        <is>
          <t>Kedai Kopi Sudah Buka</t>
        </is>
      </c>
      <c r="C766" s="6">
        <f>(C269-MIN($C$2:$C$492)) / (MAX($C$2:$C$492)-MIN($C$2:$C$492))</f>
        <v/>
      </c>
      <c r="D766" s="6">
        <f>(D269-MIN($D$2:$D$492)) / (MAX($D$2:$D$492)-MIN($D$2:$D$492))</f>
        <v/>
      </c>
      <c r="E766" s="6">
        <f>(E269-MIN($E$2:$E$492)) / (MAX($E$2:$E$492)-MIN($E$2:$E$492))</f>
        <v/>
      </c>
    </row>
    <row r="767">
      <c r="A767" s="6" t="n">
        <v>269</v>
      </c>
      <c r="B767" s="6" t="inlineStr">
        <is>
          <t>Fajar Baru</t>
        </is>
      </c>
      <c r="C767" s="6">
        <f>(C270-MIN($C$2:$C$492)) / (MAX($C$2:$C$492)-MIN($C$2:$C$492))</f>
        <v/>
      </c>
      <c r="D767" s="6">
        <f>(D270-MIN($D$2:$D$492)) / (MAX($D$2:$D$492)-MIN($D$2:$D$492))</f>
        <v/>
      </c>
      <c r="E767" s="6">
        <f>(E270-MIN($E$2:$E$492)) / (MAX($E$2:$E$492)-MIN($E$2:$E$492))</f>
        <v/>
      </c>
    </row>
    <row r="768">
      <c r="A768" s="6" t="n">
        <v>270</v>
      </c>
      <c r="B768" s="6" t="inlineStr">
        <is>
          <t>WARUNG TENANG</t>
        </is>
      </c>
      <c r="C768" s="6">
        <f>(C271-MIN($C$2:$C$492)) / (MAX($C$2:$C$492)-MIN($C$2:$C$492))</f>
        <v/>
      </c>
      <c r="D768" s="6">
        <f>(D271-MIN($D$2:$D$492)) / (MAX($D$2:$D$492)-MIN($D$2:$D$492))</f>
        <v/>
      </c>
      <c r="E768" s="6">
        <f>(E271-MIN($E$2:$E$492)) / (MAX($E$2:$E$492)-MIN($E$2:$E$492))</f>
        <v/>
      </c>
    </row>
    <row r="769">
      <c r="A769" s="6" t="n">
        <v>271</v>
      </c>
      <c r="B769" s="6" t="inlineStr">
        <is>
          <t>OMAH KANAKOPI</t>
        </is>
      </c>
      <c r="C769" s="6">
        <f>(C272-MIN($C$2:$C$492)) / (MAX($C$2:$C$492)-MIN($C$2:$C$492))</f>
        <v/>
      </c>
      <c r="D769" s="6">
        <f>(D272-MIN($D$2:$D$492)) / (MAX($D$2:$D$492)-MIN($D$2:$D$492))</f>
        <v/>
      </c>
      <c r="E769" s="6">
        <f>(E272-MIN($E$2:$E$492)) / (MAX($E$2:$E$492)-MIN($E$2:$E$492))</f>
        <v/>
      </c>
    </row>
    <row r="770">
      <c r="A770" s="6" t="n">
        <v>272</v>
      </c>
      <c r="B770" s="6" t="inlineStr">
        <is>
          <t>Toko Kopi Padma Malang</t>
        </is>
      </c>
      <c r="C770" s="6">
        <f>(C273-MIN($C$2:$C$492)) / (MAX($C$2:$C$492)-MIN($C$2:$C$492))</f>
        <v/>
      </c>
      <c r="D770" s="6">
        <f>(D273-MIN($D$2:$D$492)) / (MAX($D$2:$D$492)-MIN($D$2:$D$492))</f>
        <v/>
      </c>
      <c r="E770" s="6">
        <f>(E273-MIN($E$2:$E$492)) / (MAX($E$2:$E$492)-MIN($E$2:$E$492))</f>
        <v/>
      </c>
    </row>
    <row r="771">
      <c r="A771" s="6" t="n">
        <v>273</v>
      </c>
      <c r="B771" s="6" t="inlineStr">
        <is>
          <t>Bento Kopi UIN Malang</t>
        </is>
      </c>
      <c r="C771" s="6">
        <f>(C274-MIN($C$2:$C$492)) / (MAX($C$2:$C$492)-MIN($C$2:$C$492))</f>
        <v/>
      </c>
      <c r="D771" s="6">
        <f>(D274-MIN($D$2:$D$492)) / (MAX($D$2:$D$492)-MIN($D$2:$D$492))</f>
        <v/>
      </c>
      <c r="E771" s="6">
        <f>(E274-MIN($E$2:$E$492)) / (MAX($E$2:$E$492)-MIN($E$2:$E$492))</f>
        <v/>
      </c>
    </row>
    <row r="772">
      <c r="A772" s="6" t="n">
        <v>274</v>
      </c>
      <c r="B772" s="6" t="inlineStr">
        <is>
          <t>Kedaikopi_sinarmandiri</t>
        </is>
      </c>
      <c r="C772" s="6">
        <f>(C275-MIN($C$2:$C$492)) / (MAX($C$2:$C$492)-MIN($C$2:$C$492))</f>
        <v/>
      </c>
      <c r="D772" s="6">
        <f>(D275-MIN($D$2:$D$492)) / (MAX($D$2:$D$492)-MIN($D$2:$D$492))</f>
        <v/>
      </c>
      <c r="E772" s="6">
        <f>(E275-MIN($E$2:$E$492)) / (MAX($E$2:$E$492)-MIN($E$2:$E$492))</f>
        <v/>
      </c>
    </row>
    <row r="773">
      <c r="A773" s="6" t="n">
        <v>275</v>
      </c>
      <c r="B773" s="6" t="inlineStr">
        <is>
          <t>Kopi Satoe Djiwa</t>
        </is>
      </c>
      <c r="C773" s="6">
        <f>(C276-MIN($C$2:$C$492)) / (MAX($C$2:$C$492)-MIN($C$2:$C$492))</f>
        <v/>
      </c>
      <c r="D773" s="6">
        <f>(D276-MIN($D$2:$D$492)) / (MAX($D$2:$D$492)-MIN($D$2:$D$492))</f>
        <v/>
      </c>
      <c r="E773" s="6">
        <f>(E276-MIN($E$2:$E$492)) / (MAX($E$2:$E$492)-MIN($E$2:$E$492))</f>
        <v/>
      </c>
    </row>
    <row r="774">
      <c r="A774" s="6" t="n">
        <v>276</v>
      </c>
      <c r="B774" s="6" t="inlineStr">
        <is>
          <t>Kopi Letek</t>
        </is>
      </c>
      <c r="C774" s="6">
        <f>(C277-MIN($C$2:$C$492)) / (MAX($C$2:$C$492)-MIN($C$2:$C$492))</f>
        <v/>
      </c>
      <c r="D774" s="6">
        <f>(D277-MIN($D$2:$D$492)) / (MAX($D$2:$D$492)-MIN($D$2:$D$492))</f>
        <v/>
      </c>
      <c r="E774" s="6">
        <f>(E277-MIN($E$2:$E$492)) / (MAX($E$2:$E$492)-MIN($E$2:$E$492))</f>
        <v/>
      </c>
    </row>
    <row r="775">
      <c r="A775" s="6" t="n">
        <v>277</v>
      </c>
      <c r="B775" s="6" t="inlineStr">
        <is>
          <t>Toko Kopi Mandala - Tidar</t>
        </is>
      </c>
      <c r="C775" s="6">
        <f>(C278-MIN($C$2:$C$492)) / (MAX($C$2:$C$492)-MIN($C$2:$C$492))</f>
        <v/>
      </c>
      <c r="D775" s="6">
        <f>(D278-MIN($D$2:$D$492)) / (MAX($D$2:$D$492)-MIN($D$2:$D$492))</f>
        <v/>
      </c>
      <c r="E775" s="6">
        <f>(E278-MIN($E$2:$E$492)) / (MAX($E$2:$E$492)-MIN($E$2:$E$492))</f>
        <v/>
      </c>
    </row>
    <row r="776">
      <c r="A776" s="6" t="n">
        <v>278</v>
      </c>
      <c r="B776" s="6" t="inlineStr">
        <is>
          <t>Starbucks Malang Ijen</t>
        </is>
      </c>
      <c r="C776" s="6">
        <f>(C279-MIN($C$2:$C$492)) / (MAX($C$2:$C$492)-MIN($C$2:$C$492))</f>
        <v/>
      </c>
      <c r="D776" s="6">
        <f>(D279-MIN($D$2:$D$492)) / (MAX($D$2:$D$492)-MIN($D$2:$D$492))</f>
        <v/>
      </c>
      <c r="E776" s="6">
        <f>(E279-MIN($E$2:$E$492)) / (MAX($E$2:$E$492)-MIN($E$2:$E$492))</f>
        <v/>
      </c>
    </row>
    <row r="777">
      <c r="A777" s="6" t="n">
        <v>279</v>
      </c>
      <c r="B777" s="6" t="inlineStr">
        <is>
          <t>Markas kopi ngalam asli</t>
        </is>
      </c>
      <c r="C777" s="6">
        <f>(C280-MIN($C$2:$C$492)) / (MAX($C$2:$C$492)-MIN($C$2:$C$492))</f>
        <v/>
      </c>
      <c r="D777" s="6">
        <f>(D280-MIN($D$2:$D$492)) / (MAX($D$2:$D$492)-MIN($D$2:$D$492))</f>
        <v/>
      </c>
      <c r="E777" s="6">
        <f>(E280-MIN($E$2:$E$492)) / (MAX($E$2:$E$492)-MIN($E$2:$E$492))</f>
        <v/>
      </c>
    </row>
    <row r="778">
      <c r="A778" s="6" t="n">
        <v>280</v>
      </c>
      <c r="B778" s="6" t="inlineStr">
        <is>
          <t>Kopi Lokal</t>
        </is>
      </c>
      <c r="C778" s="6">
        <f>(C281-MIN($C$2:$C$492)) / (MAX($C$2:$C$492)-MIN($C$2:$C$492))</f>
        <v/>
      </c>
      <c r="D778" s="6">
        <f>(D281-MIN($D$2:$D$492)) / (MAX($D$2:$D$492)-MIN($D$2:$D$492))</f>
        <v/>
      </c>
      <c r="E778" s="6">
        <f>(E281-MIN($E$2:$E$492)) / (MAX($E$2:$E$492)-MIN($E$2:$E$492))</f>
        <v/>
      </c>
    </row>
    <row r="779">
      <c r="A779" s="6" t="n">
        <v>281</v>
      </c>
      <c r="B779" s="6" t="inlineStr">
        <is>
          <t>Nogo Keling</t>
        </is>
      </c>
      <c r="C779" s="6">
        <f>(C282-MIN($C$2:$C$492)) / (MAX($C$2:$C$492)-MIN($C$2:$C$492))</f>
        <v/>
      </c>
      <c r="D779" s="6">
        <f>(D282-MIN($D$2:$D$492)) / (MAX($D$2:$D$492)-MIN($D$2:$D$492))</f>
        <v/>
      </c>
      <c r="E779" s="6">
        <f>(E282-MIN($E$2:$E$492)) / (MAX($E$2:$E$492)-MIN($E$2:$E$492))</f>
        <v/>
      </c>
    </row>
    <row r="780">
      <c r="A780" s="6" t="n">
        <v>282</v>
      </c>
      <c r="B780" s="6" t="inlineStr">
        <is>
          <t>HEYDAY KOPI</t>
        </is>
      </c>
      <c r="C780" s="6">
        <f>(C283-MIN($C$2:$C$492)) / (MAX($C$2:$C$492)-MIN($C$2:$C$492))</f>
        <v/>
      </c>
      <c r="D780" s="6">
        <f>(D283-MIN($D$2:$D$492)) / (MAX($D$2:$D$492)-MIN($D$2:$D$492))</f>
        <v/>
      </c>
      <c r="E780" s="6">
        <f>(E283-MIN($E$2:$E$492)) / (MAX($E$2:$E$492)-MIN($E$2:$E$492))</f>
        <v/>
      </c>
    </row>
    <row r="781">
      <c r="A781" s="6" t="n">
        <v>283</v>
      </c>
      <c r="B781" s="6" t="inlineStr">
        <is>
          <t>Kedai Pendjoeal Kopi</t>
        </is>
      </c>
      <c r="C781" s="6">
        <f>(C284-MIN($C$2:$C$492)) / (MAX($C$2:$C$492)-MIN($C$2:$C$492))</f>
        <v/>
      </c>
      <c r="D781" s="6">
        <f>(D284-MIN($D$2:$D$492)) / (MAX($D$2:$D$492)-MIN($D$2:$D$492))</f>
        <v/>
      </c>
      <c r="E781" s="6">
        <f>(E284-MIN($E$2:$E$492)) / (MAX($E$2:$E$492)-MIN($E$2:$E$492))</f>
        <v/>
      </c>
    </row>
    <row r="782">
      <c r="A782" s="6" t="n">
        <v>284</v>
      </c>
      <c r="B782" s="6" t="inlineStr">
        <is>
          <t>Kedai Kopi Tumapel</t>
        </is>
      </c>
      <c r="C782" s="6">
        <f>(C285-MIN($C$2:$C$492)) / (MAX($C$2:$C$492)-MIN($C$2:$C$492))</f>
        <v/>
      </c>
      <c r="D782" s="6">
        <f>(D285-MIN($D$2:$D$492)) / (MAX($D$2:$D$492)-MIN($D$2:$D$492))</f>
        <v/>
      </c>
      <c r="E782" s="6">
        <f>(E285-MIN($E$2:$E$492)) / (MAX($E$2:$E$492)-MIN($E$2:$E$492))</f>
        <v/>
      </c>
    </row>
    <row r="783">
      <c r="A783" s="6" t="n">
        <v>285</v>
      </c>
      <c r="B783" s="6" t="inlineStr">
        <is>
          <t>Kedai Kopi Oro,oro</t>
        </is>
      </c>
      <c r="C783" s="6">
        <f>(C286-MIN($C$2:$C$492)) / (MAX($C$2:$C$492)-MIN($C$2:$C$492))</f>
        <v/>
      </c>
      <c r="D783" s="6">
        <f>(D286-MIN($D$2:$D$492)) / (MAX($D$2:$D$492)-MIN($D$2:$D$492))</f>
        <v/>
      </c>
      <c r="E783" s="6">
        <f>(E286-MIN($E$2:$E$492)) / (MAX($E$2:$E$492)-MIN($E$2:$E$492))</f>
        <v/>
      </c>
    </row>
    <row r="784">
      <c r="A784" s="6" t="n">
        <v>286</v>
      </c>
      <c r="B784" s="6" t="inlineStr">
        <is>
          <t>Swara Malang</t>
        </is>
      </c>
      <c r="C784" s="6">
        <f>(C287-MIN($C$2:$C$492)) / (MAX($C$2:$C$492)-MIN($C$2:$C$492))</f>
        <v/>
      </c>
      <c r="D784" s="6">
        <f>(D287-MIN($D$2:$D$492)) / (MAX($D$2:$D$492)-MIN($D$2:$D$492))</f>
        <v/>
      </c>
      <c r="E784" s="6">
        <f>(E287-MIN($E$2:$E$492)) / (MAX($E$2:$E$492)-MIN($E$2:$E$492))</f>
        <v/>
      </c>
    </row>
    <row r="785">
      <c r="A785" s="6" t="n">
        <v>287</v>
      </c>
      <c r="B785" s="6" t="inlineStr">
        <is>
          <t>KEDAI DARAT COFFEE</t>
        </is>
      </c>
      <c r="C785" s="6">
        <f>(C288-MIN($C$2:$C$492)) / (MAX($C$2:$C$492)-MIN($C$2:$C$492))</f>
        <v/>
      </c>
      <c r="D785" s="6">
        <f>(D288-MIN($D$2:$D$492)) / (MAX($D$2:$D$492)-MIN($D$2:$D$492))</f>
        <v/>
      </c>
      <c r="E785" s="6">
        <f>(E288-MIN($E$2:$E$492)) / (MAX($E$2:$E$492)-MIN($E$2:$E$492))</f>
        <v/>
      </c>
    </row>
    <row r="786">
      <c r="A786" s="6" t="n">
        <v>288</v>
      </c>
      <c r="B786" s="6" t="inlineStr">
        <is>
          <t>SUJIWA KOPI</t>
        </is>
      </c>
      <c r="C786" s="6">
        <f>(C289-MIN($C$2:$C$492)) / (MAX($C$2:$C$492)-MIN($C$2:$C$492))</f>
        <v/>
      </c>
      <c r="D786" s="6">
        <f>(D289-MIN($D$2:$D$492)) / (MAX($D$2:$D$492)-MIN($D$2:$D$492))</f>
        <v/>
      </c>
      <c r="E786" s="6">
        <f>(E289-MIN($E$2:$E$492)) / (MAX($E$2:$E$492)-MIN($E$2:$E$492))</f>
        <v/>
      </c>
    </row>
    <row r="787">
      <c r="A787" s="6" t="n">
        <v>289</v>
      </c>
      <c r="B787" s="6" t="inlineStr">
        <is>
          <t>Toko Kopi SWJ</t>
        </is>
      </c>
      <c r="C787" s="6">
        <f>(C290-MIN($C$2:$C$492)) / (MAX($C$2:$C$492)-MIN($C$2:$C$492))</f>
        <v/>
      </c>
      <c r="D787" s="6">
        <f>(D290-MIN($D$2:$D$492)) / (MAX($D$2:$D$492)-MIN($D$2:$D$492))</f>
        <v/>
      </c>
      <c r="E787" s="6">
        <f>(E290-MIN($E$2:$E$492)) / (MAX($E$2:$E$492)-MIN($E$2:$E$492))</f>
        <v/>
      </c>
    </row>
    <row r="788">
      <c r="A788" s="6" t="n">
        <v>290</v>
      </c>
      <c r="B788" s="6" t="inlineStr">
        <is>
          <t>POS KOPI 58</t>
        </is>
      </c>
      <c r="C788" s="6">
        <f>(C291-MIN($C$2:$C$492)) / (MAX($C$2:$C$492)-MIN($C$2:$C$492))</f>
        <v/>
      </c>
      <c r="D788" s="6">
        <f>(D291-MIN($D$2:$D$492)) / (MAX($D$2:$D$492)-MIN($D$2:$D$492))</f>
        <v/>
      </c>
      <c r="E788" s="6">
        <f>(E291-MIN($E$2:$E$492)) / (MAX($E$2:$E$492)-MIN($E$2:$E$492))</f>
        <v/>
      </c>
    </row>
    <row r="789">
      <c r="A789" s="6" t="n">
        <v>291</v>
      </c>
      <c r="B789" s="6" t="inlineStr">
        <is>
          <t>WARUNG KOPI JON</t>
        </is>
      </c>
      <c r="C789" s="6">
        <f>(C292-MIN($C$2:$C$492)) / (MAX($C$2:$C$492)-MIN($C$2:$C$492))</f>
        <v/>
      </c>
      <c r="D789" s="6">
        <f>(D292-MIN($D$2:$D$492)) / (MAX($D$2:$D$492)-MIN($D$2:$D$492))</f>
        <v/>
      </c>
      <c r="E789" s="6">
        <f>(E292-MIN($E$2:$E$492)) / (MAX($E$2:$E$492)-MIN($E$2:$E$492))</f>
        <v/>
      </c>
    </row>
    <row r="790">
      <c r="A790" s="6" t="n">
        <v>292</v>
      </c>
      <c r="B790" s="6" t="inlineStr">
        <is>
          <t>Kopi Maeda Malang</t>
        </is>
      </c>
      <c r="C790" s="6">
        <f>(C293-MIN($C$2:$C$492)) / (MAX($C$2:$C$492)-MIN($C$2:$C$492))</f>
        <v/>
      </c>
      <c r="D790" s="6">
        <f>(D293-MIN($D$2:$D$492)) / (MAX($D$2:$D$492)-MIN($D$2:$D$492))</f>
        <v/>
      </c>
      <c r="E790" s="6">
        <f>(E293-MIN($E$2:$E$492)) / (MAX($E$2:$E$492)-MIN($E$2:$E$492))</f>
        <v/>
      </c>
    </row>
    <row r="791">
      <c r="A791" s="6" t="n">
        <v>293</v>
      </c>
      <c r="B791" s="6" t="inlineStr">
        <is>
          <t>Kedai Kopi K26</t>
        </is>
      </c>
      <c r="C791" s="6">
        <f>(C294-MIN($C$2:$C$492)) / (MAX($C$2:$C$492)-MIN($C$2:$C$492))</f>
        <v/>
      </c>
      <c r="D791" s="6">
        <f>(D294-MIN($D$2:$D$492)) / (MAX($D$2:$D$492)-MIN($D$2:$D$492))</f>
        <v/>
      </c>
      <c r="E791" s="6">
        <f>(E294-MIN($E$2:$E$492)) / (MAX($E$2:$E$492)-MIN($E$2:$E$492))</f>
        <v/>
      </c>
    </row>
    <row r="792">
      <c r="A792" s="6" t="n">
        <v>294</v>
      </c>
      <c r="B792" s="6" t="inlineStr">
        <is>
          <t>Biji Kopi Malang</t>
        </is>
      </c>
      <c r="C792" s="6">
        <f>(C295-MIN($C$2:$C$492)) / (MAX($C$2:$C$492)-MIN($C$2:$C$492))</f>
        <v/>
      </c>
      <c r="D792" s="6">
        <f>(D295-MIN($D$2:$D$492)) / (MAX($D$2:$D$492)-MIN($D$2:$D$492))</f>
        <v/>
      </c>
      <c r="E792" s="6">
        <f>(E295-MIN($E$2:$E$492)) / (MAX($E$2:$E$492)-MIN($E$2:$E$492))</f>
        <v/>
      </c>
    </row>
    <row r="793">
      <c r="A793" s="6" t="n">
        <v>295</v>
      </c>
      <c r="B793" s="6" t="inlineStr">
        <is>
          <t>Kedai Kopi Cahaya Baru 2</t>
        </is>
      </c>
      <c r="C793" s="6">
        <f>(C296-MIN($C$2:$C$492)) / (MAX($C$2:$C$492)-MIN($C$2:$C$492))</f>
        <v/>
      </c>
      <c r="D793" s="6">
        <f>(D296-MIN($D$2:$D$492)) / (MAX($D$2:$D$492)-MIN($D$2:$D$492))</f>
        <v/>
      </c>
      <c r="E793" s="6">
        <f>(E296-MIN($E$2:$E$492)) / (MAX($E$2:$E$492)-MIN($E$2:$E$492))</f>
        <v/>
      </c>
    </row>
    <row r="794">
      <c r="A794" s="6" t="n">
        <v>296</v>
      </c>
      <c r="B794" s="6" t="inlineStr">
        <is>
          <t>Kedai Kopi &amp; Buku Bintang Kecil</t>
        </is>
      </c>
      <c r="C794" s="6">
        <f>(C297-MIN($C$2:$C$492)) / (MAX($C$2:$C$492)-MIN($C$2:$C$492))</f>
        <v/>
      </c>
      <c r="D794" s="6">
        <f>(D297-MIN($D$2:$D$492)) / (MAX($D$2:$D$492)-MIN($D$2:$D$492))</f>
        <v/>
      </c>
      <c r="E794" s="6">
        <f>(E297-MIN($E$2:$E$492)) / (MAX($E$2:$E$492)-MIN($E$2:$E$492))</f>
        <v/>
      </c>
    </row>
    <row r="795">
      <c r="A795" s="6" t="n">
        <v>297</v>
      </c>
      <c r="B795" s="6" t="inlineStr">
        <is>
          <t>Kedai Kopi Sriwedari</t>
        </is>
      </c>
      <c r="C795" s="6">
        <f>(C298-MIN($C$2:$C$492)) / (MAX($C$2:$C$492)-MIN($C$2:$C$492))</f>
        <v/>
      </c>
      <c r="D795" s="6">
        <f>(D298-MIN($D$2:$D$492)) / (MAX($D$2:$D$492)-MIN($D$2:$D$492))</f>
        <v/>
      </c>
      <c r="E795" s="6">
        <f>(E298-MIN($E$2:$E$492)) / (MAX($E$2:$E$492)-MIN($E$2:$E$492))</f>
        <v/>
      </c>
    </row>
    <row r="796">
      <c r="A796" s="6" t="n">
        <v>298</v>
      </c>
      <c r="B796" s="6" t="inlineStr">
        <is>
          <t>Kopi Perempat</t>
        </is>
      </c>
      <c r="C796" s="6">
        <f>(C299-MIN($C$2:$C$492)) / (MAX($C$2:$C$492)-MIN($C$2:$C$492))</f>
        <v/>
      </c>
      <c r="D796" s="6">
        <f>(D299-MIN($D$2:$D$492)) / (MAX($D$2:$D$492)-MIN($D$2:$D$492))</f>
        <v/>
      </c>
      <c r="E796" s="6">
        <f>(E299-MIN($E$2:$E$492)) / (MAX($E$2:$E$492)-MIN($E$2:$E$492))</f>
        <v/>
      </c>
    </row>
    <row r="797">
      <c r="A797" s="6" t="n">
        <v>299</v>
      </c>
      <c r="B797" s="6" t="inlineStr">
        <is>
          <t>Warteg Kharisma Bahari Signature - Arief Rahman Hakim</t>
        </is>
      </c>
      <c r="C797" s="6">
        <f>(C300-MIN($C$2:$C$492)) / (MAX($C$2:$C$492)-MIN($C$2:$C$492))</f>
        <v/>
      </c>
      <c r="D797" s="6">
        <f>(D300-MIN($D$2:$D$492)) / (MAX($D$2:$D$492)-MIN($D$2:$D$492))</f>
        <v/>
      </c>
      <c r="E797" s="6">
        <f>(E300-MIN($E$2:$E$492)) / (MAX($E$2:$E$492)-MIN($E$2:$E$492))</f>
        <v/>
      </c>
    </row>
    <row r="798">
      <c r="A798" s="6" t="n">
        <v>300</v>
      </c>
      <c r="B798" s="6" t="inlineStr">
        <is>
          <t>Warteg Orens Bahari 150 - Semolowaru</t>
        </is>
      </c>
      <c r="C798" s="6">
        <f>(C301-MIN($C$2:$C$492)) / (MAX($C$2:$C$492)-MIN($C$2:$C$492))</f>
        <v/>
      </c>
      <c r="D798" s="6">
        <f>(D301-MIN($D$2:$D$492)) / (MAX($D$2:$D$492)-MIN($D$2:$D$492))</f>
        <v/>
      </c>
      <c r="E798" s="6">
        <f>(E301-MIN($E$2:$E$492)) / (MAX($E$2:$E$492)-MIN($E$2:$E$492))</f>
        <v/>
      </c>
    </row>
    <row r="799">
      <c r="A799" s="6" t="n">
        <v>301</v>
      </c>
      <c r="B799" s="6" t="inlineStr">
        <is>
          <t>Warteg Putri Sami Asih Semolowaru</t>
        </is>
      </c>
      <c r="C799" s="6">
        <f>(C302-MIN($C$2:$C$492)) / (MAX($C$2:$C$492)-MIN($C$2:$C$492))</f>
        <v/>
      </c>
      <c r="D799" s="6">
        <f>(D302-MIN($D$2:$D$492)) / (MAX($D$2:$D$492)-MIN($D$2:$D$492))</f>
        <v/>
      </c>
      <c r="E799" s="6">
        <f>(E302-MIN($E$2:$E$492)) / (MAX($E$2:$E$492)-MIN($E$2:$E$492))</f>
        <v/>
      </c>
    </row>
    <row r="800">
      <c r="A800" s="6" t="n">
        <v>302</v>
      </c>
      <c r="B800" s="6" t="inlineStr">
        <is>
          <t>Warteg Bu Erni</t>
        </is>
      </c>
      <c r="C800" s="6">
        <f>(C303-MIN($C$2:$C$492)) / (MAX($C$2:$C$492)-MIN($C$2:$C$492))</f>
        <v/>
      </c>
      <c r="D800" s="6">
        <f>(D303-MIN($D$2:$D$492)) / (MAX($D$2:$D$492)-MIN($D$2:$D$492))</f>
        <v/>
      </c>
      <c r="E800" s="6">
        <f>(E303-MIN($E$2:$E$492)) / (MAX($E$2:$E$492)-MIN($E$2:$E$492))</f>
        <v/>
      </c>
    </row>
    <row r="801">
      <c r="A801" s="6" t="n">
        <v>303</v>
      </c>
      <c r="B801" s="6" t="inlineStr">
        <is>
          <t>Warung Tegal Gebang</t>
        </is>
      </c>
      <c r="C801" s="6">
        <f>(C304-MIN($C$2:$C$492)) / (MAX($C$2:$C$492)-MIN($C$2:$C$492))</f>
        <v/>
      </c>
      <c r="D801" s="6">
        <f>(D304-MIN($D$2:$D$492)) / (MAX($D$2:$D$492)-MIN($D$2:$D$492))</f>
        <v/>
      </c>
      <c r="E801" s="6">
        <f>(E304-MIN($E$2:$E$492)) / (MAX($E$2:$E$492)-MIN($E$2:$E$492))</f>
        <v/>
      </c>
    </row>
    <row r="802">
      <c r="A802" s="6" t="n">
        <v>304</v>
      </c>
      <c r="B802" s="6" t="inlineStr">
        <is>
          <t>Warteg Kekinian</t>
        </is>
      </c>
      <c r="C802" s="6">
        <f>(C305-MIN($C$2:$C$492)) / (MAX($C$2:$C$492)-MIN($C$2:$C$492))</f>
        <v/>
      </c>
      <c r="D802" s="6">
        <f>(D305-MIN($D$2:$D$492)) / (MAX($D$2:$D$492)-MIN($D$2:$D$492))</f>
        <v/>
      </c>
      <c r="E802" s="6">
        <f>(E305-MIN($E$2:$E$492)) / (MAX($E$2:$E$492)-MIN($E$2:$E$492))</f>
        <v/>
      </c>
    </row>
    <row r="803">
      <c r="A803" s="6" t="n">
        <v>305</v>
      </c>
      <c r="B803" s="6" t="inlineStr">
        <is>
          <t>Warung Makan Tegal Aero</t>
        </is>
      </c>
      <c r="C803" s="6">
        <f>(C306-MIN($C$2:$C$492)) / (MAX($C$2:$C$492)-MIN($C$2:$C$492))</f>
        <v/>
      </c>
      <c r="D803" s="6">
        <f>(D306-MIN($D$2:$D$492)) / (MAX($D$2:$D$492)-MIN($D$2:$D$492))</f>
        <v/>
      </c>
      <c r="E803" s="6">
        <f>(E306-MIN($E$2:$E$492)) / (MAX($E$2:$E$492)-MIN($E$2:$E$492))</f>
        <v/>
      </c>
    </row>
    <row r="804">
      <c r="A804" s="6" t="n">
        <v>306</v>
      </c>
      <c r="B804" s="6" t="inlineStr">
        <is>
          <t>Warung Makan Tegal Aero Bu. Sarah</t>
        </is>
      </c>
      <c r="C804" s="6">
        <f>(C307-MIN($C$2:$C$492)) / (MAX($C$2:$C$492)-MIN($C$2:$C$492))</f>
        <v/>
      </c>
      <c r="D804" s="6">
        <f>(D307-MIN($D$2:$D$492)) / (MAX($D$2:$D$492)-MIN($D$2:$D$492))</f>
        <v/>
      </c>
      <c r="E804" s="6">
        <f>(E307-MIN($E$2:$E$492)) / (MAX($E$2:$E$492)-MIN($E$2:$E$492))</f>
        <v/>
      </c>
    </row>
    <row r="805">
      <c r="A805" s="6" t="n">
        <v>307</v>
      </c>
      <c r="B805" s="6" t="inlineStr">
        <is>
          <t>Warteg Sari Rasa 24 Jam Non Stop</t>
        </is>
      </c>
      <c r="C805" s="6">
        <f>(C308-MIN($C$2:$C$492)) / (MAX($C$2:$C$492)-MIN($C$2:$C$492))</f>
        <v/>
      </c>
      <c r="D805" s="6">
        <f>(D308-MIN($D$2:$D$492)) / (MAX($D$2:$D$492)-MIN($D$2:$D$492))</f>
        <v/>
      </c>
      <c r="E805" s="6">
        <f>(E308-MIN($E$2:$E$492)) / (MAX($E$2:$E$492)-MIN($E$2:$E$492))</f>
        <v/>
      </c>
    </row>
    <row r="806">
      <c r="A806" s="6" t="n">
        <v>308</v>
      </c>
      <c r="B806" s="6" t="inlineStr">
        <is>
          <t>Warteg Mbok Yem</t>
        </is>
      </c>
      <c r="C806" s="6">
        <f>(C309-MIN($C$2:$C$492)) / (MAX($C$2:$C$492)-MIN($C$2:$C$492))</f>
        <v/>
      </c>
      <c r="D806" s="6">
        <f>(D309-MIN($D$2:$D$492)) / (MAX($D$2:$D$492)-MIN($D$2:$D$492))</f>
        <v/>
      </c>
      <c r="E806" s="6">
        <f>(E309-MIN($E$2:$E$492)) / (MAX($E$2:$E$492)-MIN($E$2:$E$492))</f>
        <v/>
      </c>
    </row>
    <row r="807">
      <c r="A807" s="6" t="n">
        <v>309</v>
      </c>
      <c r="B807" s="6" t="inlineStr">
        <is>
          <t>Warteg Sahabat</t>
        </is>
      </c>
      <c r="C807" s="6">
        <f>(C310-MIN($C$2:$C$492)) / (MAX($C$2:$C$492)-MIN($C$2:$C$492))</f>
        <v/>
      </c>
      <c r="D807" s="6">
        <f>(D310-MIN($D$2:$D$492)) / (MAX($D$2:$D$492)-MIN($D$2:$D$492))</f>
        <v/>
      </c>
      <c r="E807" s="6">
        <f>(E310-MIN($E$2:$E$492)) / (MAX($E$2:$E$492)-MIN($E$2:$E$492))</f>
        <v/>
      </c>
    </row>
    <row r="808">
      <c r="A808" s="6" t="n">
        <v>310</v>
      </c>
      <c r="B808" s="6" t="inlineStr">
        <is>
          <t>Warteg Sari Rasa 24 Jam</t>
        </is>
      </c>
      <c r="C808" s="6">
        <f>(C311-MIN($C$2:$C$492)) / (MAX($C$2:$C$492)-MIN($C$2:$C$492))</f>
        <v/>
      </c>
      <c r="D808" s="6">
        <f>(D311-MIN($D$2:$D$492)) / (MAX($D$2:$D$492)-MIN($D$2:$D$492))</f>
        <v/>
      </c>
      <c r="E808" s="6">
        <f>(E311-MIN($E$2:$E$492)) / (MAX($E$2:$E$492)-MIN($E$2:$E$492))</f>
        <v/>
      </c>
    </row>
    <row r="809">
      <c r="A809" s="6" t="n">
        <v>311</v>
      </c>
      <c r="B809" s="6" t="inlineStr">
        <is>
          <t>Warung Gresik Mbak tien</t>
        </is>
      </c>
      <c r="C809" s="6">
        <f>(C312-MIN($C$2:$C$492)) / (MAX($C$2:$C$492)-MIN($C$2:$C$492))</f>
        <v/>
      </c>
      <c r="D809" s="6">
        <f>(D312-MIN($D$2:$D$492)) / (MAX($D$2:$D$492)-MIN($D$2:$D$492))</f>
        <v/>
      </c>
      <c r="E809" s="6">
        <f>(E312-MIN($E$2:$E$492)) / (MAX($E$2:$E$492)-MIN($E$2:$E$492))</f>
        <v/>
      </c>
    </row>
    <row r="810">
      <c r="A810" s="6" t="n">
        <v>312</v>
      </c>
      <c r="B810" s="6" t="inlineStr">
        <is>
          <t>WARTEG depan ABM</t>
        </is>
      </c>
      <c r="C810" s="6">
        <f>(C313-MIN($C$2:$C$492)) / (MAX($C$2:$C$492)-MIN($C$2:$C$492))</f>
        <v/>
      </c>
      <c r="D810" s="6">
        <f>(D313-MIN($D$2:$D$492)) / (MAX($D$2:$D$492)-MIN($D$2:$D$492))</f>
        <v/>
      </c>
      <c r="E810" s="6">
        <f>(E313-MIN($E$2:$E$492)) / (MAX($E$2:$E$492)-MIN($E$2:$E$492))</f>
        <v/>
      </c>
    </row>
    <row r="811">
      <c r="A811" s="6" t="n">
        <v>313</v>
      </c>
      <c r="B811" s="6" t="inlineStr">
        <is>
          <t>Warung Makan Teh Nia</t>
        </is>
      </c>
      <c r="C811" s="6">
        <f>(C314-MIN($C$2:$C$492)) / (MAX($C$2:$C$492)-MIN($C$2:$C$492))</f>
        <v/>
      </c>
      <c r="D811" s="6">
        <f>(D314-MIN($D$2:$D$492)) / (MAX($D$2:$D$492)-MIN($D$2:$D$492))</f>
        <v/>
      </c>
      <c r="E811" s="6">
        <f>(E314-MIN($E$2:$E$492)) / (MAX($E$2:$E$492)-MIN($E$2:$E$492))</f>
        <v/>
      </c>
    </row>
    <row r="812">
      <c r="A812" s="6" t="n">
        <v>314</v>
      </c>
      <c r="B812" s="6" t="inlineStr">
        <is>
          <t>Warteg Candi Panggung Bahari Malang</t>
        </is>
      </c>
      <c r="C812" s="6">
        <f>(C315-MIN($C$2:$C$492)) / (MAX($C$2:$C$492)-MIN($C$2:$C$492))</f>
        <v/>
      </c>
      <c r="D812" s="6">
        <f>(D315-MIN($D$2:$D$492)) / (MAX($D$2:$D$492)-MIN($D$2:$D$492))</f>
        <v/>
      </c>
      <c r="E812" s="6">
        <f>(E315-MIN($E$2:$E$492)) / (MAX($E$2:$E$492)-MIN($E$2:$E$492))</f>
        <v/>
      </c>
    </row>
    <row r="813">
      <c r="A813" s="6" t="n">
        <v>315</v>
      </c>
      <c r="B813" s="6" t="inlineStr">
        <is>
          <t>Warung Makan Tegal</t>
        </is>
      </c>
      <c r="C813" s="6">
        <f>(C316-MIN($C$2:$C$492)) / (MAX($C$2:$C$492)-MIN($C$2:$C$492))</f>
        <v/>
      </c>
      <c r="D813" s="6">
        <f>(D316-MIN($D$2:$D$492)) / (MAX($D$2:$D$492)-MIN($D$2:$D$492))</f>
        <v/>
      </c>
      <c r="E813" s="6">
        <f>(E316-MIN($E$2:$E$492)) / (MAX($E$2:$E$492)-MIN($E$2:$E$492))</f>
        <v/>
      </c>
    </row>
    <row r="814">
      <c r="A814" s="6" t="n">
        <v>316</v>
      </c>
      <c r="B814" s="6" t="inlineStr">
        <is>
          <t>Warteg Sarirasa Cab. Simpang Gajayana</t>
        </is>
      </c>
      <c r="C814" s="6">
        <f>(C317-MIN($C$2:$C$492)) / (MAX($C$2:$C$492)-MIN($C$2:$C$492))</f>
        <v/>
      </c>
      <c r="D814" s="6">
        <f>(D317-MIN($D$2:$D$492)) / (MAX($D$2:$D$492)-MIN($D$2:$D$492))</f>
        <v/>
      </c>
      <c r="E814" s="6">
        <f>(E317-MIN($E$2:$E$492)) / (MAX($E$2:$E$492)-MIN($E$2:$E$492))</f>
        <v/>
      </c>
    </row>
    <row r="815">
      <c r="A815" s="6" t="n">
        <v>317</v>
      </c>
      <c r="B815" s="6" t="inlineStr">
        <is>
          <t>Warung Tegal</t>
        </is>
      </c>
      <c r="C815" s="6">
        <f>(C318-MIN($C$2:$C$492)) / (MAX($C$2:$C$492)-MIN($C$2:$C$492))</f>
        <v/>
      </c>
      <c r="D815" s="6">
        <f>(D318-MIN($D$2:$D$492)) / (MAX($D$2:$D$492)-MIN($D$2:$D$492))</f>
        <v/>
      </c>
      <c r="E815" s="6">
        <f>(E318-MIN($E$2:$E$492)) / (MAX($E$2:$E$492)-MIN($E$2:$E$492))</f>
        <v/>
      </c>
    </row>
    <row r="816">
      <c r="A816" s="6" t="n">
        <v>318</v>
      </c>
      <c r="B816" s="6" t="inlineStr">
        <is>
          <t>WARTEG DO'I</t>
        </is>
      </c>
      <c r="C816" s="6">
        <f>(C319-MIN($C$2:$C$492)) / (MAX($C$2:$C$492)-MIN($C$2:$C$492))</f>
        <v/>
      </c>
      <c r="D816" s="6">
        <f>(D319-MIN($D$2:$D$492)) / (MAX($D$2:$D$492)-MIN($D$2:$D$492))</f>
        <v/>
      </c>
      <c r="E816" s="6">
        <f>(E319-MIN($E$2:$E$492)) / (MAX($E$2:$E$492)-MIN($E$2:$E$492))</f>
        <v/>
      </c>
    </row>
    <row r="817">
      <c r="A817" s="6" t="n">
        <v>319</v>
      </c>
      <c r="B817" s="6" t="inlineStr">
        <is>
          <t>Warung Tegal (Warteg) bu marni</t>
        </is>
      </c>
      <c r="C817" s="6">
        <f>(C320-MIN($C$2:$C$492)) / (MAX($C$2:$C$492)-MIN($C$2:$C$492))</f>
        <v/>
      </c>
      <c r="D817" s="6">
        <f>(D320-MIN($D$2:$D$492)) / (MAX($D$2:$D$492)-MIN($D$2:$D$492))</f>
        <v/>
      </c>
      <c r="E817" s="6">
        <f>(E320-MIN($E$2:$E$492)) / (MAX($E$2:$E$492)-MIN($E$2:$E$492))</f>
        <v/>
      </c>
    </row>
    <row r="818">
      <c r="A818" s="6" t="n">
        <v>320</v>
      </c>
      <c r="B818" s="6" t="inlineStr">
        <is>
          <t>Warteg Sari Rasa</t>
        </is>
      </c>
      <c r="C818" s="6">
        <f>(C321-MIN($C$2:$C$492)) / (MAX($C$2:$C$492)-MIN($C$2:$C$492))</f>
        <v/>
      </c>
      <c r="D818" s="6">
        <f>(D321-MIN($D$2:$D$492)) / (MAX($D$2:$D$492)-MIN($D$2:$D$492))</f>
        <v/>
      </c>
      <c r="E818" s="6">
        <f>(E321-MIN($E$2:$E$492)) / (MAX($E$2:$E$492)-MIN($E$2:$E$492))</f>
        <v/>
      </c>
    </row>
    <row r="819">
      <c r="A819" s="6" t="n">
        <v>321</v>
      </c>
      <c r="B819" s="6" t="inlineStr">
        <is>
          <t>Warteg sarirasa merjosari 24 jam</t>
        </is>
      </c>
      <c r="C819" s="6">
        <f>(C322-MIN($C$2:$C$492)) / (MAX($C$2:$C$492)-MIN($C$2:$C$492))</f>
        <v/>
      </c>
      <c r="D819" s="6">
        <f>(D322-MIN($D$2:$D$492)) / (MAX($D$2:$D$492)-MIN($D$2:$D$492))</f>
        <v/>
      </c>
      <c r="E819" s="6">
        <f>(E322-MIN($E$2:$E$492)) / (MAX($E$2:$E$492)-MIN($E$2:$E$492))</f>
        <v/>
      </c>
    </row>
    <row r="820">
      <c r="A820" s="6" t="n">
        <v>322</v>
      </c>
      <c r="B820" s="6" t="inlineStr">
        <is>
          <t>Warteg ITA Barokah</t>
        </is>
      </c>
      <c r="C820" s="6">
        <f>(C323-MIN($C$2:$C$492)) / (MAX($C$2:$C$492)-MIN($C$2:$C$492))</f>
        <v/>
      </c>
      <c r="D820" s="6">
        <f>(D323-MIN($D$2:$D$492)) / (MAX($D$2:$D$492)-MIN($D$2:$D$492))</f>
        <v/>
      </c>
      <c r="E820" s="6">
        <f>(E323-MIN($E$2:$E$492)) / (MAX($E$2:$E$492)-MIN($E$2:$E$492))</f>
        <v/>
      </c>
    </row>
    <row r="821">
      <c r="A821" s="6" t="n">
        <v>323</v>
      </c>
      <c r="B821" s="6" t="inlineStr">
        <is>
          <t>ALMEERA WARTEG</t>
        </is>
      </c>
      <c r="C821" s="6">
        <f>(C324-MIN($C$2:$C$492)) / (MAX($C$2:$C$492)-MIN($C$2:$C$492))</f>
        <v/>
      </c>
      <c r="D821" s="6">
        <f>(D324-MIN($D$2:$D$492)) / (MAX($D$2:$D$492)-MIN($D$2:$D$492))</f>
        <v/>
      </c>
      <c r="E821" s="6">
        <f>(E324-MIN($E$2:$E$492)) / (MAX($E$2:$E$492)-MIN($E$2:$E$492))</f>
        <v/>
      </c>
    </row>
    <row r="822">
      <c r="A822" s="6" t="n">
        <v>324</v>
      </c>
      <c r="B822" s="6" t="inlineStr">
        <is>
          <t>Warteg mamoka bahari 288</t>
        </is>
      </c>
      <c r="C822" s="6">
        <f>(C325-MIN($C$2:$C$492)) / (MAX($C$2:$C$492)-MIN($C$2:$C$492))</f>
        <v/>
      </c>
      <c r="D822" s="6">
        <f>(D325-MIN($D$2:$D$492)) / (MAX($D$2:$D$492)-MIN($D$2:$D$492))</f>
        <v/>
      </c>
      <c r="E822" s="6">
        <f>(E325-MIN($E$2:$E$492)) / (MAX($E$2:$E$492)-MIN($E$2:$E$492))</f>
        <v/>
      </c>
    </row>
    <row r="823">
      <c r="A823" s="6" t="n">
        <v>325</v>
      </c>
      <c r="B823" s="6" t="inlineStr">
        <is>
          <t>WARTEG CITRA BARU BAHARI</t>
        </is>
      </c>
      <c r="C823" s="6">
        <f>(C326-MIN($C$2:$C$492)) / (MAX($C$2:$C$492)-MIN($C$2:$C$492))</f>
        <v/>
      </c>
      <c r="D823" s="6">
        <f>(D326-MIN($D$2:$D$492)) / (MAX($D$2:$D$492)-MIN($D$2:$D$492))</f>
        <v/>
      </c>
      <c r="E823" s="6">
        <f>(E326-MIN($E$2:$E$492)) / (MAX($E$2:$E$492)-MIN($E$2:$E$492))</f>
        <v/>
      </c>
    </row>
    <row r="824">
      <c r="A824" s="6" t="n">
        <v>326</v>
      </c>
      <c r="B824" s="6" t="inlineStr">
        <is>
          <t>Warung Bu Marni Prasmanan</t>
        </is>
      </c>
      <c r="C824" s="6">
        <f>(C327-MIN($C$2:$C$492)) / (MAX($C$2:$C$492)-MIN($C$2:$C$492))</f>
        <v/>
      </c>
      <c r="D824" s="6">
        <f>(D327-MIN($D$2:$D$492)) / (MAX($D$2:$D$492)-MIN($D$2:$D$492))</f>
        <v/>
      </c>
      <c r="E824" s="6">
        <f>(E327-MIN($E$2:$E$492)) / (MAX($E$2:$E$492)-MIN($E$2:$E$492))</f>
        <v/>
      </c>
    </row>
    <row r="825">
      <c r="A825" s="6" t="n">
        <v>327</v>
      </c>
      <c r="B825" s="6" t="inlineStr">
        <is>
          <t>Warung TEMA</t>
        </is>
      </c>
      <c r="C825" s="6">
        <f>(C328-MIN($C$2:$C$492)) / (MAX($C$2:$C$492)-MIN($C$2:$C$492))</f>
        <v/>
      </c>
      <c r="D825" s="6">
        <f>(D328-MIN($D$2:$D$492)) / (MAX($D$2:$D$492)-MIN($D$2:$D$492))</f>
        <v/>
      </c>
      <c r="E825" s="6">
        <f>(E328-MIN($E$2:$E$492)) / (MAX($E$2:$E$492)-MIN($E$2:$E$492))</f>
        <v/>
      </c>
    </row>
    <row r="826">
      <c r="A826" s="6" t="n">
        <v>328</v>
      </c>
      <c r="B826" s="6" t="inlineStr">
        <is>
          <t>WARTEG BINTANG RASA</t>
        </is>
      </c>
      <c r="C826" s="6">
        <f>(C329-MIN($C$2:$C$492)) / (MAX($C$2:$C$492)-MIN($C$2:$C$492))</f>
        <v/>
      </c>
      <c r="D826" s="6">
        <f>(D329-MIN($D$2:$D$492)) / (MAX($D$2:$D$492)-MIN($D$2:$D$492))</f>
        <v/>
      </c>
      <c r="E826" s="6">
        <f>(E329-MIN($E$2:$E$492)) / (MAX($E$2:$E$492)-MIN($E$2:$E$492))</f>
        <v/>
      </c>
    </row>
    <row r="827">
      <c r="A827" s="6" t="n">
        <v>329</v>
      </c>
      <c r="B827" s="6" t="inlineStr">
        <is>
          <t>Warteg Nasional Bahari 58</t>
        </is>
      </c>
      <c r="C827" s="6">
        <f>(C330-MIN($C$2:$C$492)) / (MAX($C$2:$C$492)-MIN($C$2:$C$492))</f>
        <v/>
      </c>
      <c r="D827" s="6">
        <f>(D330-MIN($D$2:$D$492)) / (MAX($D$2:$D$492)-MIN($D$2:$D$492))</f>
        <v/>
      </c>
      <c r="E827" s="6">
        <f>(E330-MIN($E$2:$E$492)) / (MAX($E$2:$E$492)-MIN($E$2:$E$492))</f>
        <v/>
      </c>
    </row>
    <row r="828">
      <c r="A828" s="6" t="n">
        <v>330</v>
      </c>
      <c r="B828" s="6" t="inlineStr">
        <is>
          <t>Warteg Mamoka 245 Dinoyo Malang</t>
        </is>
      </c>
      <c r="C828" s="6">
        <f>(C331-MIN($C$2:$C$492)) / (MAX($C$2:$C$492)-MIN($C$2:$C$492))</f>
        <v/>
      </c>
      <c r="D828" s="6">
        <f>(D331-MIN($D$2:$D$492)) / (MAX($D$2:$D$492)-MIN($D$2:$D$492))</f>
        <v/>
      </c>
      <c r="E828" s="6">
        <f>(E331-MIN($E$2:$E$492)) / (MAX($E$2:$E$492)-MIN($E$2:$E$492))</f>
        <v/>
      </c>
    </row>
    <row r="829">
      <c r="A829" s="6" t="n">
        <v>331</v>
      </c>
      <c r="B829" s="6" t="inlineStr">
        <is>
          <t>WARTEG MAMOKA BAHARI</t>
        </is>
      </c>
      <c r="C829" s="6">
        <f>(C332-MIN($C$2:$C$492)) / (MAX($C$2:$C$492)-MIN($C$2:$C$492))</f>
        <v/>
      </c>
      <c r="D829" s="6">
        <f>(D332-MIN($D$2:$D$492)) / (MAX($D$2:$D$492)-MIN($D$2:$D$492))</f>
        <v/>
      </c>
      <c r="E829" s="6">
        <f>(E332-MIN($E$2:$E$492)) / (MAX($E$2:$E$492)-MIN($E$2:$E$492))</f>
        <v/>
      </c>
    </row>
    <row r="830">
      <c r="A830" s="6" t="n">
        <v>332</v>
      </c>
      <c r="B830" s="6" t="inlineStr">
        <is>
          <t>Warteg Nasional Bahari 57</t>
        </is>
      </c>
      <c r="C830" s="6">
        <f>(C333-MIN($C$2:$C$492)) / (MAX($C$2:$C$492)-MIN($C$2:$C$492))</f>
        <v/>
      </c>
      <c r="D830" s="6">
        <f>(D333-MIN($D$2:$D$492)) / (MAX($D$2:$D$492)-MIN($D$2:$D$492))</f>
        <v/>
      </c>
      <c r="E830" s="6">
        <f>(E333-MIN($E$2:$E$492)) / (MAX($E$2:$E$492)-MIN($E$2:$E$492))</f>
        <v/>
      </c>
    </row>
    <row r="831">
      <c r="A831" s="6" t="n">
        <v>333</v>
      </c>
      <c r="B831" s="6" t="inlineStr">
        <is>
          <t>Warteg Aruna Bahari Grup</t>
        </is>
      </c>
      <c r="C831" s="6">
        <f>(C334-MIN($C$2:$C$492)) / (MAX($C$2:$C$492)-MIN($C$2:$C$492))</f>
        <v/>
      </c>
      <c r="D831" s="6">
        <f>(D334-MIN($D$2:$D$492)) / (MAX($D$2:$D$492)-MIN($D$2:$D$492))</f>
        <v/>
      </c>
      <c r="E831" s="6">
        <f>(E334-MIN($E$2:$E$492)) / (MAX($E$2:$E$492)-MIN($E$2:$E$492))</f>
        <v/>
      </c>
    </row>
    <row r="832">
      <c r="A832" s="6" t="n">
        <v>334</v>
      </c>
      <c r="B832" s="6" t="inlineStr">
        <is>
          <t>Warung Makan Tegal Citra Baru</t>
        </is>
      </c>
      <c r="C832" s="6">
        <f>(C335-MIN($C$2:$C$492)) / (MAX($C$2:$C$492)-MIN($C$2:$C$492))</f>
        <v/>
      </c>
      <c r="D832" s="6">
        <f>(D335-MIN($D$2:$D$492)) / (MAX($D$2:$D$492)-MIN($D$2:$D$492))</f>
        <v/>
      </c>
      <c r="E832" s="6">
        <f>(E335-MIN($E$2:$E$492)) / (MAX($E$2:$E$492)-MIN($E$2:$E$492))</f>
        <v/>
      </c>
    </row>
    <row r="833">
      <c r="A833" s="6" t="n">
        <v>335</v>
      </c>
      <c r="B833" s="6" t="inlineStr">
        <is>
          <t>Warteg Orens Bahari WOB 152 Dinoyo</t>
        </is>
      </c>
      <c r="C833" s="6">
        <f>(C336-MIN($C$2:$C$492)) / (MAX($C$2:$C$492)-MIN($C$2:$C$492))</f>
        <v/>
      </c>
      <c r="D833" s="6">
        <f>(D336-MIN($D$2:$D$492)) / (MAX($D$2:$D$492)-MIN($D$2:$D$492))</f>
        <v/>
      </c>
      <c r="E833" s="6">
        <f>(E336-MIN($E$2:$E$492)) / (MAX($E$2:$E$492)-MIN($E$2:$E$492))</f>
        <v/>
      </c>
    </row>
    <row r="834">
      <c r="A834" s="6" t="n">
        <v>336</v>
      </c>
      <c r="B834" s="6" t="inlineStr">
        <is>
          <t>WARTEG SARIRASA BAHARI</t>
        </is>
      </c>
      <c r="C834" s="6">
        <f>(C337-MIN($C$2:$C$492)) / (MAX($C$2:$C$492)-MIN($C$2:$C$492))</f>
        <v/>
      </c>
      <c r="D834" s="6">
        <f>(D337-MIN($D$2:$D$492)) / (MAX($D$2:$D$492)-MIN($D$2:$D$492))</f>
        <v/>
      </c>
      <c r="E834" s="6">
        <f>(E337-MIN($E$2:$E$492)) / (MAX($E$2:$E$492)-MIN($E$2:$E$492))</f>
        <v/>
      </c>
    </row>
    <row r="835">
      <c r="A835" s="6" t="n">
        <v>337</v>
      </c>
      <c r="B835" s="6" t="inlineStr">
        <is>
          <t>Warung Prasmanan Ayah 24 jam</t>
        </is>
      </c>
      <c r="C835" s="6">
        <f>(C338-MIN($C$2:$C$492)) / (MAX($C$2:$C$492)-MIN($C$2:$C$492))</f>
        <v/>
      </c>
      <c r="D835" s="6">
        <f>(D338-MIN($D$2:$D$492)) / (MAX($D$2:$D$492)-MIN($D$2:$D$492))</f>
        <v/>
      </c>
      <c r="E835" s="6">
        <f>(E338-MIN($E$2:$E$492)) / (MAX($E$2:$E$492)-MIN($E$2:$E$492))</f>
        <v/>
      </c>
    </row>
    <row r="836">
      <c r="A836" s="6" t="n">
        <v>338</v>
      </c>
      <c r="B836" s="6" t="inlineStr">
        <is>
          <t>Warteg Orens Bahari</t>
        </is>
      </c>
      <c r="C836" s="6">
        <f>(C339-MIN($C$2:$C$492)) / (MAX($C$2:$C$492)-MIN($C$2:$C$492))</f>
        <v/>
      </c>
      <c r="D836" s="6">
        <f>(D339-MIN($D$2:$D$492)) / (MAX($D$2:$D$492)-MIN($D$2:$D$492))</f>
        <v/>
      </c>
      <c r="E836" s="6">
        <f>(E339-MIN($E$2:$E$492)) / (MAX($E$2:$E$492)-MIN($E$2:$E$492))</f>
        <v/>
      </c>
    </row>
    <row r="837">
      <c r="A837" s="6" t="n">
        <v>339</v>
      </c>
      <c r="B837" s="6" t="inlineStr">
        <is>
          <t>Warteg Bahari Sentosa</t>
        </is>
      </c>
      <c r="C837" s="6">
        <f>(C340-MIN($C$2:$C$492)) / (MAX($C$2:$C$492)-MIN($C$2:$C$492))</f>
        <v/>
      </c>
      <c r="D837" s="6">
        <f>(D340-MIN($D$2:$D$492)) / (MAX($D$2:$D$492)-MIN($D$2:$D$492))</f>
        <v/>
      </c>
      <c r="E837" s="6">
        <f>(E340-MIN($E$2:$E$492)) / (MAX($E$2:$E$492)-MIN($E$2:$E$492))</f>
        <v/>
      </c>
    </row>
    <row r="838">
      <c r="A838" s="6" t="n">
        <v>340</v>
      </c>
      <c r="B838" s="6" t="inlineStr">
        <is>
          <t>Warteg Nasional Bahari 81 Mayjend Sungkono</t>
        </is>
      </c>
      <c r="C838" s="6">
        <f>(C341-MIN($C$2:$C$492)) / (MAX($C$2:$C$492)-MIN($C$2:$C$492))</f>
        <v/>
      </c>
      <c r="D838" s="6">
        <f>(D341-MIN($D$2:$D$492)) / (MAX($D$2:$D$492)-MIN($D$2:$D$492))</f>
        <v/>
      </c>
      <c r="E838" s="6">
        <f>(E341-MIN($E$2:$E$492)) / (MAX($E$2:$E$492)-MIN($E$2:$E$492))</f>
        <v/>
      </c>
    </row>
    <row r="839">
      <c r="A839" s="6" t="n">
        <v>341</v>
      </c>
      <c r="B839" s="6" t="inlineStr">
        <is>
          <t>Warteg Nasional Bahari (Satsui Tubun)</t>
        </is>
      </c>
      <c r="C839" s="6">
        <f>(C342-MIN($C$2:$C$492)) / (MAX($C$2:$C$492)-MIN($C$2:$C$492))</f>
        <v/>
      </c>
      <c r="D839" s="6">
        <f>(D342-MIN($D$2:$D$492)) / (MAX($D$2:$D$492)-MIN($D$2:$D$492))</f>
        <v/>
      </c>
      <c r="E839" s="6">
        <f>(E342-MIN($E$2:$E$492)) / (MAX($E$2:$E$492)-MIN($E$2:$E$492))</f>
        <v/>
      </c>
    </row>
    <row r="840">
      <c r="A840" s="6" t="n">
        <v>342</v>
      </c>
      <c r="B840" s="6" t="inlineStr">
        <is>
          <t>Warteg Nasional Bahari 101</t>
        </is>
      </c>
      <c r="C840" s="6">
        <f>(C343-MIN($C$2:$C$492)) / (MAX($C$2:$C$492)-MIN($C$2:$C$492))</f>
        <v/>
      </c>
      <c r="D840" s="6">
        <f>(D343-MIN($D$2:$D$492)) / (MAX($D$2:$D$492)-MIN($D$2:$D$492))</f>
        <v/>
      </c>
      <c r="E840" s="6">
        <f>(E343-MIN($E$2:$E$492)) / (MAX($E$2:$E$492)-MIN($E$2:$E$492))</f>
        <v/>
      </c>
    </row>
    <row r="841">
      <c r="A841" s="6" t="n">
        <v>343</v>
      </c>
      <c r="B841" s="6" t="inlineStr">
        <is>
          <t>WARTEG NASIONAL</t>
        </is>
      </c>
      <c r="C841" s="6">
        <f>(C344-MIN($C$2:$C$492)) / (MAX($C$2:$C$492)-MIN($C$2:$C$492))</f>
        <v/>
      </c>
      <c r="D841" s="6">
        <f>(D344-MIN($D$2:$D$492)) / (MAX($D$2:$D$492)-MIN($D$2:$D$492))</f>
        <v/>
      </c>
      <c r="E841" s="6">
        <f>(E344-MIN($E$2:$E$492)) / (MAX($E$2:$E$492)-MIN($E$2:$E$492))</f>
        <v/>
      </c>
    </row>
    <row r="842">
      <c r="A842" s="6" t="n">
        <v>344</v>
      </c>
      <c r="B842" s="6" t="inlineStr">
        <is>
          <t>WARTEG BOROBUDUR</t>
        </is>
      </c>
      <c r="C842" s="6">
        <f>(C345-MIN($C$2:$C$492)) / (MAX($C$2:$C$492)-MIN($C$2:$C$492))</f>
        <v/>
      </c>
      <c r="D842" s="6">
        <f>(D345-MIN($D$2:$D$492)) / (MAX($D$2:$D$492)-MIN($D$2:$D$492))</f>
        <v/>
      </c>
      <c r="E842" s="6">
        <f>(E345-MIN($E$2:$E$492)) / (MAX($E$2:$E$492)-MIN($E$2:$E$492))</f>
        <v/>
      </c>
    </row>
    <row r="843">
      <c r="A843" s="6" t="n">
        <v>345</v>
      </c>
      <c r="B843" s="6" t="inlineStr">
        <is>
          <t>Warteg Mamoka Bahari</t>
        </is>
      </c>
      <c r="C843" s="6">
        <f>(C346-MIN($C$2:$C$492)) / (MAX($C$2:$C$492)-MIN($C$2:$C$492))</f>
        <v/>
      </c>
      <c r="D843" s="6">
        <f>(D346-MIN($D$2:$D$492)) / (MAX($D$2:$D$492)-MIN($D$2:$D$492))</f>
        <v/>
      </c>
      <c r="E843" s="6">
        <f>(E346-MIN($E$2:$E$492)) / (MAX($E$2:$E$492)-MIN($E$2:$E$492))</f>
        <v/>
      </c>
    </row>
    <row r="844">
      <c r="A844" s="6" t="n">
        <v>346</v>
      </c>
      <c r="B844" s="6" t="inlineStr">
        <is>
          <t>Warung Nasi Matos Bu Kesy</t>
        </is>
      </c>
      <c r="C844" s="6">
        <f>(C347-MIN($C$2:$C$492)) / (MAX($C$2:$C$492)-MIN($C$2:$C$492))</f>
        <v/>
      </c>
      <c r="D844" s="6">
        <f>(D347-MIN($D$2:$D$492)) / (MAX($D$2:$D$492)-MIN($D$2:$D$492))</f>
        <v/>
      </c>
      <c r="E844" s="6">
        <f>(E347-MIN($E$2:$E$492)) / (MAX($E$2:$E$492)-MIN($E$2:$E$492))</f>
        <v/>
      </c>
    </row>
    <row r="845">
      <c r="A845" s="6" t="n">
        <v>347</v>
      </c>
      <c r="B845" s="6" t="inlineStr">
        <is>
          <t>Warung Pudji Mulyo</t>
        </is>
      </c>
      <c r="C845" s="6">
        <f>(C348-MIN($C$2:$C$492)) / (MAX($C$2:$C$492)-MIN($C$2:$C$492))</f>
        <v/>
      </c>
      <c r="D845" s="6">
        <f>(D348-MIN($D$2:$D$492)) / (MAX($D$2:$D$492)-MIN($D$2:$D$492))</f>
        <v/>
      </c>
      <c r="E845" s="6">
        <f>(E348-MIN($E$2:$E$492)) / (MAX($E$2:$E$492)-MIN($E$2:$E$492))</f>
        <v/>
      </c>
    </row>
    <row r="846">
      <c r="A846" s="6" t="n">
        <v>348</v>
      </c>
      <c r="B846" s="6" t="inlineStr">
        <is>
          <t>Warteg paradise bahari</t>
        </is>
      </c>
      <c r="C846" s="6">
        <f>(C349-MIN($C$2:$C$492)) / (MAX($C$2:$C$492)-MIN($C$2:$C$492))</f>
        <v/>
      </c>
      <c r="D846" s="6">
        <f>(D349-MIN($D$2:$D$492)) / (MAX($D$2:$D$492)-MIN($D$2:$D$492))</f>
        <v/>
      </c>
      <c r="E846" s="6">
        <f>(E349-MIN($E$2:$E$492)) / (MAX($E$2:$E$492)-MIN($E$2:$E$492))</f>
        <v/>
      </c>
    </row>
    <row r="847">
      <c r="A847" s="6" t="n">
        <v>349</v>
      </c>
      <c r="B847" s="6" t="inlineStr">
        <is>
          <t>Warteg citra baru</t>
        </is>
      </c>
      <c r="C847" s="6">
        <f>(C350-MIN($C$2:$C$492)) / (MAX($C$2:$C$492)-MIN($C$2:$C$492))</f>
        <v/>
      </c>
      <c r="D847" s="6">
        <f>(D350-MIN($D$2:$D$492)) / (MAX($D$2:$D$492)-MIN($D$2:$D$492))</f>
        <v/>
      </c>
      <c r="E847" s="6">
        <f>(E350-MIN($E$2:$E$492)) / (MAX($E$2:$E$492)-MIN($E$2:$E$492))</f>
        <v/>
      </c>
    </row>
    <row r="848">
      <c r="A848" s="6" t="n">
        <v>350</v>
      </c>
      <c r="B848" s="6" t="inlineStr">
        <is>
          <t>Warteg Jie</t>
        </is>
      </c>
      <c r="C848" s="6">
        <f>(C351-MIN($C$2:$C$492)) / (MAX($C$2:$C$492)-MIN($C$2:$C$492))</f>
        <v/>
      </c>
      <c r="D848" s="6">
        <f>(D351-MIN($D$2:$D$492)) / (MAX($D$2:$D$492)-MIN($D$2:$D$492))</f>
        <v/>
      </c>
      <c r="E848" s="6">
        <f>(E351-MIN($E$2:$E$492)) / (MAX($E$2:$E$492)-MIN($E$2:$E$492))</f>
        <v/>
      </c>
    </row>
    <row r="849">
      <c r="A849" s="6" t="n">
        <v>351</v>
      </c>
      <c r="B849" s="6" t="inlineStr">
        <is>
          <t>Warteg Dimas</t>
        </is>
      </c>
      <c r="C849" s="6">
        <f>(C352-MIN($C$2:$C$492)) / (MAX($C$2:$C$492)-MIN($C$2:$C$492))</f>
        <v/>
      </c>
      <c r="D849" s="6">
        <f>(D352-MIN($D$2:$D$492)) / (MAX($D$2:$D$492)-MIN($D$2:$D$492))</f>
        <v/>
      </c>
      <c r="E849" s="6">
        <f>(E352-MIN($E$2:$E$492)) / (MAX($E$2:$E$492)-MIN($E$2:$E$492))</f>
        <v/>
      </c>
    </row>
    <row r="850">
      <c r="A850" s="6" t="n">
        <v>352</v>
      </c>
      <c r="B850" s="6" t="inlineStr">
        <is>
          <t>WARTEG MAMOKA BAHARI 273</t>
        </is>
      </c>
      <c r="C850" s="6">
        <f>(C353-MIN($C$2:$C$492)) / (MAX($C$2:$C$492)-MIN($C$2:$C$492))</f>
        <v/>
      </c>
      <c r="D850" s="6">
        <f>(D353-MIN($D$2:$D$492)) / (MAX($D$2:$D$492)-MIN($D$2:$D$492))</f>
        <v/>
      </c>
      <c r="E850" s="6">
        <f>(E353-MIN($E$2:$E$492)) / (MAX($E$2:$E$492)-MIN($E$2:$E$492))</f>
        <v/>
      </c>
    </row>
    <row r="851">
      <c r="A851" s="6" t="n">
        <v>353</v>
      </c>
      <c r="B851" s="6" t="inlineStr">
        <is>
          <t>Rumah Makan Prasmanan Bu Marni</t>
        </is>
      </c>
      <c r="C851" s="6">
        <f>(C354-MIN($C$2:$C$492)) / (MAX($C$2:$C$492)-MIN($C$2:$C$492))</f>
        <v/>
      </c>
      <c r="D851" s="6">
        <f>(D354-MIN($D$2:$D$492)) / (MAX($D$2:$D$492)-MIN($D$2:$D$492))</f>
        <v/>
      </c>
      <c r="E851" s="6">
        <f>(E354-MIN($E$2:$E$492)) / (MAX($E$2:$E$492)-MIN($E$2:$E$492))</f>
        <v/>
      </c>
    </row>
    <row r="852">
      <c r="A852" s="6" t="n">
        <v>354</v>
      </c>
      <c r="B852" s="6" t="inlineStr">
        <is>
          <t>Warung Wareg</t>
        </is>
      </c>
      <c r="C852" s="6">
        <f>(C355-MIN($C$2:$C$492)) / (MAX($C$2:$C$492)-MIN($C$2:$C$492))</f>
        <v/>
      </c>
      <c r="D852" s="6">
        <f>(D355-MIN($D$2:$D$492)) / (MAX($D$2:$D$492)-MIN($D$2:$D$492))</f>
        <v/>
      </c>
      <c r="E852" s="6">
        <f>(E355-MIN($E$2:$E$492)) / (MAX($E$2:$E$492)-MIN($E$2:$E$492))</f>
        <v/>
      </c>
    </row>
    <row r="853">
      <c r="A853" s="6" t="n">
        <v>355</v>
      </c>
      <c r="B853" s="6" t="inlineStr">
        <is>
          <t>Warung kuning</t>
        </is>
      </c>
      <c r="C853" s="6">
        <f>(C356-MIN($C$2:$C$492)) / (MAX($C$2:$C$492)-MIN($C$2:$C$492))</f>
        <v/>
      </c>
      <c r="D853" s="6">
        <f>(D356-MIN($D$2:$D$492)) / (MAX($D$2:$D$492)-MIN($D$2:$D$492))</f>
        <v/>
      </c>
      <c r="E853" s="6">
        <f>(E356-MIN($E$2:$E$492)) / (MAX($E$2:$E$492)-MIN($E$2:$E$492))</f>
        <v/>
      </c>
    </row>
    <row r="854">
      <c r="A854" s="6" t="n">
        <v>356</v>
      </c>
      <c r="B854" s="6" t="inlineStr">
        <is>
          <t>Warteg Citra Baru Bahari Kerto</t>
        </is>
      </c>
      <c r="C854" s="6">
        <f>(C357-MIN($C$2:$C$492)) / (MAX($C$2:$C$492)-MIN($C$2:$C$492))</f>
        <v/>
      </c>
      <c r="D854" s="6">
        <f>(D357-MIN($D$2:$D$492)) / (MAX($D$2:$D$492)-MIN($D$2:$D$492))</f>
        <v/>
      </c>
      <c r="E854" s="6">
        <f>(E357-MIN($E$2:$E$492)) / (MAX($E$2:$E$492)-MIN($E$2:$E$492))</f>
        <v/>
      </c>
    </row>
    <row r="855">
      <c r="A855" s="6" t="n">
        <v>357</v>
      </c>
      <c r="B855" s="6" t="inlineStr">
        <is>
          <t>WARTEG ORENS BAHARI</t>
        </is>
      </c>
      <c r="C855" s="6">
        <f>(C358-MIN($C$2:$C$492)) / (MAX($C$2:$C$492)-MIN($C$2:$C$492))</f>
        <v/>
      </c>
      <c r="D855" s="6">
        <f>(D358-MIN($D$2:$D$492)) / (MAX($D$2:$D$492)-MIN($D$2:$D$492))</f>
        <v/>
      </c>
      <c r="E855" s="6">
        <f>(E358-MIN($E$2:$E$492)) / (MAX($E$2:$E$492)-MIN($E$2:$E$492))</f>
        <v/>
      </c>
    </row>
    <row r="856">
      <c r="A856" s="6" t="n">
        <v>358</v>
      </c>
      <c r="B856" s="6" t="inlineStr">
        <is>
          <t>Warteg Putra Bahari 249</t>
        </is>
      </c>
      <c r="C856" s="6">
        <f>(C359-MIN($C$2:$C$492)) / (MAX($C$2:$C$492)-MIN($C$2:$C$492))</f>
        <v/>
      </c>
      <c r="D856" s="6">
        <f>(D359-MIN($D$2:$D$492)) / (MAX($D$2:$D$492)-MIN($D$2:$D$492))</f>
        <v/>
      </c>
      <c r="E856" s="6">
        <f>(E359-MIN($E$2:$E$492)) / (MAX($E$2:$E$492)-MIN($E$2:$E$492))</f>
        <v/>
      </c>
    </row>
    <row r="857">
      <c r="A857" s="6" t="n">
        <v>359</v>
      </c>
      <c r="B857" s="6" t="inlineStr">
        <is>
          <t>warteg orens bahari</t>
        </is>
      </c>
      <c r="C857" s="6">
        <f>(C360-MIN($C$2:$C$492)) / (MAX($C$2:$C$492)-MIN($C$2:$C$492))</f>
        <v/>
      </c>
      <c r="D857" s="6">
        <f>(D360-MIN($D$2:$D$492)) / (MAX($D$2:$D$492)-MIN($D$2:$D$492))</f>
        <v/>
      </c>
      <c r="E857" s="6">
        <f>(E360-MIN($E$2:$E$492)) / (MAX($E$2:$E$492)-MIN($E$2:$E$492))</f>
        <v/>
      </c>
    </row>
    <row r="858">
      <c r="A858" s="6" t="n">
        <v>360</v>
      </c>
      <c r="B858" s="6" t="inlineStr">
        <is>
          <t>Warteg Yonada bahari</t>
        </is>
      </c>
      <c r="C858" s="6">
        <f>(C361-MIN($C$2:$C$492)) / (MAX($C$2:$C$492)-MIN($C$2:$C$492))</f>
        <v/>
      </c>
      <c r="D858" s="6">
        <f>(D361-MIN($D$2:$D$492)) / (MAX($D$2:$D$492)-MIN($D$2:$D$492))</f>
        <v/>
      </c>
      <c r="E858" s="6">
        <f>(E361-MIN($E$2:$E$492)) / (MAX($E$2:$E$492)-MIN($E$2:$E$492))</f>
        <v/>
      </c>
    </row>
    <row r="859">
      <c r="A859" s="6" t="n">
        <v>361</v>
      </c>
      <c r="B859" s="6" t="inlineStr">
        <is>
          <t>WARTEG JAYA BAHARU</t>
        </is>
      </c>
      <c r="C859" s="6">
        <f>(C362-MIN($C$2:$C$492)) / (MAX($C$2:$C$492)-MIN($C$2:$C$492))</f>
        <v/>
      </c>
      <c r="D859" s="6">
        <f>(D362-MIN($D$2:$D$492)) / (MAX($D$2:$D$492)-MIN($D$2:$D$492))</f>
        <v/>
      </c>
      <c r="E859" s="6">
        <f>(E362-MIN($E$2:$E$492)) / (MAX($E$2:$E$492)-MIN($E$2:$E$492))</f>
        <v/>
      </c>
    </row>
    <row r="860">
      <c r="A860" s="6" t="n">
        <v>362</v>
      </c>
      <c r="B860" s="6" t="inlineStr">
        <is>
          <t>WARTEG NASIONAL 24 JAM</t>
        </is>
      </c>
      <c r="C860" s="6">
        <f>(C363-MIN($C$2:$C$492)) / (MAX($C$2:$C$492)-MIN($C$2:$C$492))</f>
        <v/>
      </c>
      <c r="D860" s="6">
        <f>(D363-MIN($D$2:$D$492)) / (MAX($D$2:$D$492)-MIN($D$2:$D$492))</f>
        <v/>
      </c>
      <c r="E860" s="6">
        <f>(E363-MIN($E$2:$E$492)) / (MAX($E$2:$E$492)-MIN($E$2:$E$492))</f>
        <v/>
      </c>
    </row>
    <row r="861">
      <c r="A861" s="6" t="n">
        <v>363</v>
      </c>
      <c r="B861" s="6" t="inlineStr">
        <is>
          <t>Warung Pojok</t>
        </is>
      </c>
      <c r="C861" s="6">
        <f>(C364-MIN($C$2:$C$492)) / (MAX($C$2:$C$492)-MIN($C$2:$C$492))</f>
        <v/>
      </c>
      <c r="D861" s="6">
        <f>(D364-MIN($D$2:$D$492)) / (MAX($D$2:$D$492)-MIN($D$2:$D$492))</f>
        <v/>
      </c>
      <c r="E861" s="6">
        <f>(E364-MIN($E$2:$E$492)) / (MAX($E$2:$E$492)-MIN($E$2:$E$492))</f>
        <v/>
      </c>
    </row>
    <row r="862">
      <c r="A862" s="6" t="n">
        <v>364</v>
      </c>
      <c r="B862" s="6" t="inlineStr">
        <is>
          <t>Warteg putra bahari</t>
        </is>
      </c>
      <c r="C862" s="6">
        <f>(C365-MIN($C$2:$C$492)) / (MAX($C$2:$C$492)-MIN($C$2:$C$492))</f>
        <v/>
      </c>
      <c r="D862" s="6">
        <f>(D365-MIN($D$2:$D$492)) / (MAX($D$2:$D$492)-MIN($D$2:$D$492))</f>
        <v/>
      </c>
      <c r="E862" s="6">
        <f>(E365-MIN($E$2:$E$492)) / (MAX($E$2:$E$492)-MIN($E$2:$E$492))</f>
        <v/>
      </c>
    </row>
    <row r="863">
      <c r="A863" s="6" t="n">
        <v>365</v>
      </c>
      <c r="B863" s="6" t="inlineStr">
        <is>
          <t>Warteg Fadli Bahari</t>
        </is>
      </c>
      <c r="C863" s="6">
        <f>(C366-MIN($C$2:$C$492)) / (MAX($C$2:$C$492)-MIN($C$2:$C$492))</f>
        <v/>
      </c>
      <c r="D863" s="6">
        <f>(D366-MIN($D$2:$D$492)) / (MAX($D$2:$D$492)-MIN($D$2:$D$492))</f>
        <v/>
      </c>
      <c r="E863" s="6">
        <f>(E366-MIN($E$2:$E$492)) / (MAX($E$2:$E$492)-MIN($E$2:$E$492))</f>
        <v/>
      </c>
    </row>
    <row r="864">
      <c r="A864" s="6" t="n">
        <v>366</v>
      </c>
      <c r="B864" s="6" t="inlineStr">
        <is>
          <t>WARTEG NASIONAL BAHARI 96</t>
        </is>
      </c>
      <c r="C864" s="6">
        <f>(C367-MIN($C$2:$C$492)) / (MAX($C$2:$C$492)-MIN($C$2:$C$492))</f>
        <v/>
      </c>
      <c r="D864" s="6">
        <f>(D367-MIN($D$2:$D$492)) / (MAX($D$2:$D$492)-MIN($D$2:$D$492))</f>
        <v/>
      </c>
      <c r="E864" s="6">
        <f>(E367-MIN($E$2:$E$492)) / (MAX($E$2:$E$492)-MIN($E$2:$E$492))</f>
        <v/>
      </c>
    </row>
    <row r="865">
      <c r="A865" s="6" t="n">
        <v>367</v>
      </c>
      <c r="B865" s="6" t="inlineStr">
        <is>
          <t>Warteg sari bahari</t>
        </is>
      </c>
      <c r="C865" s="6">
        <f>(C368-MIN($C$2:$C$492)) / (MAX($C$2:$C$492)-MIN($C$2:$C$492))</f>
        <v/>
      </c>
      <c r="D865" s="6">
        <f>(D368-MIN($D$2:$D$492)) / (MAX($D$2:$D$492)-MIN($D$2:$D$492))</f>
        <v/>
      </c>
      <c r="E865" s="6">
        <f>(E368-MIN($E$2:$E$492)) / (MAX($E$2:$E$492)-MIN($E$2:$E$492))</f>
        <v/>
      </c>
    </row>
    <row r="866">
      <c r="A866" s="6" t="n">
        <v>368</v>
      </c>
      <c r="B866" s="6" t="inlineStr">
        <is>
          <t>Warung Prasmanan Andong</t>
        </is>
      </c>
      <c r="C866" s="6">
        <f>(C369-MIN($C$2:$C$492)) / (MAX($C$2:$C$492)-MIN($C$2:$C$492))</f>
        <v/>
      </c>
      <c r="D866" s="6">
        <f>(D369-MIN($D$2:$D$492)) / (MAX($D$2:$D$492)-MIN($D$2:$D$492))</f>
        <v/>
      </c>
      <c r="E866" s="6">
        <f>(E369-MIN($E$2:$E$492)) / (MAX($E$2:$E$492)-MIN($E$2:$E$492))</f>
        <v/>
      </c>
    </row>
    <row r="867">
      <c r="A867" s="6" t="n">
        <v>369</v>
      </c>
      <c r="B867" s="6" t="inlineStr">
        <is>
          <t>Warung Biru Cak Matos</t>
        </is>
      </c>
      <c r="C867" s="6">
        <f>(C370-MIN($C$2:$C$492)) / (MAX($C$2:$C$492)-MIN($C$2:$C$492))</f>
        <v/>
      </c>
      <c r="D867" s="6">
        <f>(D370-MIN($D$2:$D$492)) / (MAX($D$2:$D$492)-MIN($D$2:$D$492))</f>
        <v/>
      </c>
      <c r="E867" s="6">
        <f>(E370-MIN($E$2:$E$492)) / (MAX($E$2:$E$492)-MIN($E$2:$E$492))</f>
        <v/>
      </c>
    </row>
    <row r="868">
      <c r="A868" s="6" t="n">
        <v>370</v>
      </c>
      <c r="B868" s="6" t="inlineStr">
        <is>
          <t>Warung Warteg Barokah</t>
        </is>
      </c>
      <c r="C868" s="6">
        <f>(C371-MIN($C$2:$C$492)) / (MAX($C$2:$C$492)-MIN($C$2:$C$492))</f>
        <v/>
      </c>
      <c r="D868" s="6">
        <f>(D371-MIN($D$2:$D$492)) / (MAX($D$2:$D$492)-MIN($D$2:$D$492))</f>
        <v/>
      </c>
      <c r="E868" s="6">
        <f>(E371-MIN($E$2:$E$492)) / (MAX($E$2:$E$492)-MIN($E$2:$E$492))</f>
        <v/>
      </c>
    </row>
    <row r="869">
      <c r="A869" s="6" t="n">
        <v>371</v>
      </c>
      <c r="B869" s="6" t="inlineStr">
        <is>
          <t>Warteg Paradise Bahari 046</t>
        </is>
      </c>
      <c r="C869" s="6">
        <f>(C372-MIN($C$2:$C$492)) / (MAX($C$2:$C$492)-MIN($C$2:$C$492))</f>
        <v/>
      </c>
      <c r="D869" s="6">
        <f>(D372-MIN($D$2:$D$492)) / (MAX($D$2:$D$492)-MIN($D$2:$D$492))</f>
        <v/>
      </c>
      <c r="E869" s="6">
        <f>(E372-MIN($E$2:$E$492)) / (MAX($E$2:$E$492)-MIN($E$2:$E$492))</f>
        <v/>
      </c>
    </row>
    <row r="870">
      <c r="A870" s="6" t="n">
        <v>372</v>
      </c>
      <c r="B870" s="6" t="inlineStr">
        <is>
          <t>WARTEG OI BAHARI</t>
        </is>
      </c>
      <c r="C870" s="6">
        <f>(C373-MIN($C$2:$C$492)) / (MAX($C$2:$C$492)-MIN($C$2:$C$492))</f>
        <v/>
      </c>
      <c r="D870" s="6">
        <f>(D373-MIN($D$2:$D$492)) / (MAX($D$2:$D$492)-MIN($D$2:$D$492))</f>
        <v/>
      </c>
      <c r="E870" s="6">
        <f>(E373-MIN($E$2:$E$492)) / (MAX($E$2:$E$492)-MIN($E$2:$E$492))</f>
        <v/>
      </c>
    </row>
    <row r="871">
      <c r="A871" s="6" t="n">
        <v>373</v>
      </c>
      <c r="B871" s="6" t="inlineStr">
        <is>
          <t>Warung Sumber Rejeki</t>
        </is>
      </c>
      <c r="C871" s="6">
        <f>(C374-MIN($C$2:$C$492)) / (MAX($C$2:$C$492)-MIN($C$2:$C$492))</f>
        <v/>
      </c>
      <c r="D871" s="6">
        <f>(D374-MIN($D$2:$D$492)) / (MAX($D$2:$D$492)-MIN($D$2:$D$492))</f>
        <v/>
      </c>
      <c r="E871" s="6">
        <f>(E374-MIN($E$2:$E$492)) / (MAX($E$2:$E$492)-MIN($E$2:$E$492))</f>
        <v/>
      </c>
    </row>
    <row r="872">
      <c r="A872" s="6" t="n">
        <v>374</v>
      </c>
      <c r="B872" s="6" t="inlineStr">
        <is>
          <t>Warteg Kalijogo</t>
        </is>
      </c>
      <c r="C872" s="6">
        <f>(C375-MIN($C$2:$C$492)) / (MAX($C$2:$C$492)-MIN($C$2:$C$492))</f>
        <v/>
      </c>
      <c r="D872" s="6">
        <f>(D375-MIN($D$2:$D$492)) / (MAX($D$2:$D$492)-MIN($D$2:$D$492))</f>
        <v/>
      </c>
      <c r="E872" s="6">
        <f>(E375-MIN($E$2:$E$492)) / (MAX($E$2:$E$492)-MIN($E$2:$E$492))</f>
        <v/>
      </c>
    </row>
    <row r="873">
      <c r="A873" s="6" t="n">
        <v>375</v>
      </c>
      <c r="B873" s="6" t="inlineStr">
        <is>
          <t>Warteg Bolapelangi2</t>
        </is>
      </c>
      <c r="C873" s="6">
        <f>(C376-MIN($C$2:$C$492)) / (MAX($C$2:$C$492)-MIN($C$2:$C$492))</f>
        <v/>
      </c>
      <c r="D873" s="6">
        <f>(D376-MIN($D$2:$D$492)) / (MAX($D$2:$D$492)-MIN($D$2:$D$492))</f>
        <v/>
      </c>
      <c r="E873" s="6">
        <f>(E376-MIN($E$2:$E$492)) / (MAX($E$2:$E$492)-MIN($E$2:$E$492))</f>
        <v/>
      </c>
    </row>
    <row r="874">
      <c r="A874" s="6" t="n">
        <v>376</v>
      </c>
      <c r="B874" s="6" t="inlineStr">
        <is>
          <t>WARTEG KHARISMA BAHARI</t>
        </is>
      </c>
      <c r="C874" s="6">
        <f>(C377-MIN($C$2:$C$492)) / (MAX($C$2:$C$492)-MIN($C$2:$C$492))</f>
        <v/>
      </c>
      <c r="D874" s="6">
        <f>(D377-MIN($D$2:$D$492)) / (MAX($D$2:$D$492)-MIN($D$2:$D$492))</f>
        <v/>
      </c>
      <c r="E874" s="6">
        <f>(E377-MIN($E$2:$E$492)) / (MAX($E$2:$E$492)-MIN($E$2:$E$492))</f>
        <v/>
      </c>
    </row>
    <row r="875">
      <c r="A875" s="6" t="n">
        <v>377</v>
      </c>
      <c r="B875" s="6" t="inlineStr">
        <is>
          <t>WARTEG AR</t>
        </is>
      </c>
      <c r="C875" s="6">
        <f>(C378-MIN($C$2:$C$492)) / (MAX($C$2:$C$492)-MIN($C$2:$C$492))</f>
        <v/>
      </c>
      <c r="D875" s="6">
        <f>(D378-MIN($D$2:$D$492)) / (MAX($D$2:$D$492)-MIN($D$2:$D$492))</f>
        <v/>
      </c>
      <c r="E875" s="6">
        <f>(E378-MIN($E$2:$E$492)) / (MAX($E$2:$E$492)-MIN($E$2:$E$492))</f>
        <v/>
      </c>
    </row>
    <row r="876">
      <c r="A876" s="6" t="n">
        <v>378</v>
      </c>
      <c r="B876" s="6" t="inlineStr">
        <is>
          <t>WARTEG OMAHAN</t>
        </is>
      </c>
      <c r="C876" s="6">
        <f>(C379-MIN($C$2:$C$492)) / (MAX($C$2:$C$492)-MIN($C$2:$C$492))</f>
        <v/>
      </c>
      <c r="D876" s="6">
        <f>(D379-MIN($D$2:$D$492)) / (MAX($D$2:$D$492)-MIN($D$2:$D$492))</f>
        <v/>
      </c>
      <c r="E876" s="6">
        <f>(E379-MIN($E$2:$E$492)) / (MAX($E$2:$E$492)-MIN($E$2:$E$492))</f>
        <v/>
      </c>
    </row>
    <row r="877">
      <c r="A877" s="6" t="n">
        <v>379</v>
      </c>
      <c r="B877" s="6" t="inlineStr">
        <is>
          <t>WARTEG BU MARNI 2</t>
        </is>
      </c>
      <c r="C877" s="6">
        <f>(C380-MIN($C$2:$C$492)) / (MAX($C$2:$C$492)-MIN($C$2:$C$492))</f>
        <v/>
      </c>
      <c r="D877" s="6">
        <f>(D380-MIN($D$2:$D$492)) / (MAX($D$2:$D$492)-MIN($D$2:$D$492))</f>
        <v/>
      </c>
      <c r="E877" s="6">
        <f>(E380-MIN($E$2:$E$492)) / (MAX($E$2:$E$492)-MIN($E$2:$E$492))</f>
        <v/>
      </c>
    </row>
    <row r="878">
      <c r="A878" s="6" t="n">
        <v>380</v>
      </c>
      <c r="B878" s="6" t="inlineStr">
        <is>
          <t>Warung Mak Toen</t>
        </is>
      </c>
      <c r="C878" s="6">
        <f>(C381-MIN($C$2:$C$492)) / (MAX($C$2:$C$492)-MIN($C$2:$C$492))</f>
        <v/>
      </c>
      <c r="D878" s="6">
        <f>(D381-MIN($D$2:$D$492)) / (MAX($D$2:$D$492)-MIN($D$2:$D$492))</f>
        <v/>
      </c>
      <c r="E878" s="6">
        <f>(E381-MIN($E$2:$E$492)) / (MAX($E$2:$E$492)-MIN($E$2:$E$492))</f>
        <v/>
      </c>
    </row>
    <row r="879">
      <c r="A879" s="6" t="n">
        <v>381</v>
      </c>
      <c r="B879" s="6" t="inlineStr">
        <is>
          <t>Warung Mak Par</t>
        </is>
      </c>
      <c r="C879" s="6">
        <f>(C382-MIN($C$2:$C$492)) / (MAX($C$2:$C$492)-MIN($C$2:$C$492))</f>
        <v/>
      </c>
      <c r="D879" s="6">
        <f>(D382-MIN($D$2:$D$492)) / (MAX($D$2:$D$492)-MIN($D$2:$D$492))</f>
        <v/>
      </c>
      <c r="E879" s="6">
        <f>(E382-MIN($E$2:$E$492)) / (MAX($E$2:$E$492)-MIN($E$2:$E$492))</f>
        <v/>
      </c>
    </row>
    <row r="880">
      <c r="A880" s="6" t="n">
        <v>382</v>
      </c>
      <c r="B880" s="6" t="inlineStr">
        <is>
          <t>Warung Rizky</t>
        </is>
      </c>
      <c r="C880" s="6">
        <f>(C383-MIN($C$2:$C$492)) / (MAX($C$2:$C$492)-MIN($C$2:$C$492))</f>
        <v/>
      </c>
      <c r="D880" s="6">
        <f>(D383-MIN($D$2:$D$492)) / (MAX($D$2:$D$492)-MIN($D$2:$D$492))</f>
        <v/>
      </c>
      <c r="E880" s="6">
        <f>(E383-MIN($E$2:$E$492)) / (MAX($E$2:$E$492)-MIN($E$2:$E$492))</f>
        <v/>
      </c>
    </row>
    <row r="881">
      <c r="A881" s="6" t="n">
        <v>383</v>
      </c>
      <c r="B881" s="6" t="inlineStr">
        <is>
          <t>Warung Makan 24 Jam Rawon Cak Wan</t>
        </is>
      </c>
      <c r="C881" s="6">
        <f>(C384-MIN($C$2:$C$492)) / (MAX($C$2:$C$492)-MIN($C$2:$C$492))</f>
        <v/>
      </c>
      <c r="D881" s="6">
        <f>(D384-MIN($D$2:$D$492)) / (MAX($D$2:$D$492)-MIN($D$2:$D$492))</f>
        <v/>
      </c>
      <c r="E881" s="6">
        <f>(E384-MIN($E$2:$E$492)) / (MAX($E$2:$E$492)-MIN($E$2:$E$492))</f>
        <v/>
      </c>
    </row>
    <row r="882">
      <c r="A882" s="6" t="n">
        <v>384</v>
      </c>
      <c r="B882" s="6" t="inlineStr">
        <is>
          <t>Warung Pagi</t>
        </is>
      </c>
      <c r="C882" s="6">
        <f>(C385-MIN($C$2:$C$492)) / (MAX($C$2:$C$492)-MIN($C$2:$C$492))</f>
        <v/>
      </c>
      <c r="D882" s="6">
        <f>(D385-MIN($D$2:$D$492)) / (MAX($D$2:$D$492)-MIN($D$2:$D$492))</f>
        <v/>
      </c>
      <c r="E882" s="6">
        <f>(E385-MIN($E$2:$E$492)) / (MAX($E$2:$E$492)-MIN($E$2:$E$492))</f>
        <v/>
      </c>
    </row>
    <row r="883">
      <c r="A883" s="6" t="n">
        <v>385</v>
      </c>
      <c r="B883" s="6" t="inlineStr">
        <is>
          <t>Warteg Yonada Bahari Jalan Bondowoso</t>
        </is>
      </c>
      <c r="C883" s="6">
        <f>(C386-MIN($C$2:$C$492)) / (MAX($C$2:$C$492)-MIN($C$2:$C$492))</f>
        <v/>
      </c>
      <c r="D883" s="6">
        <f>(D386-MIN($D$2:$D$492)) / (MAX($D$2:$D$492)-MIN($D$2:$D$492))</f>
        <v/>
      </c>
      <c r="E883" s="6">
        <f>(E386-MIN($E$2:$E$492)) / (MAX($E$2:$E$492)-MIN($E$2:$E$492))</f>
        <v/>
      </c>
    </row>
    <row r="884">
      <c r="A884" s="6" t="n">
        <v>386</v>
      </c>
      <c r="B884" s="6" t="inlineStr">
        <is>
          <t>Warung Tegal Barokah</t>
        </is>
      </c>
      <c r="C884" s="6">
        <f>(C387-MIN($C$2:$C$492)) / (MAX($C$2:$C$492)-MIN($C$2:$C$492))</f>
        <v/>
      </c>
      <c r="D884" s="6">
        <f>(D387-MIN($D$2:$D$492)) / (MAX($D$2:$D$492)-MIN($D$2:$D$492))</f>
        <v/>
      </c>
      <c r="E884" s="6">
        <f>(E387-MIN($E$2:$E$492)) / (MAX($E$2:$E$492)-MIN($E$2:$E$492))</f>
        <v/>
      </c>
    </row>
    <row r="885">
      <c r="A885" s="6" t="n">
        <v>387</v>
      </c>
      <c r="B885" s="6" t="inlineStr">
        <is>
          <t>WARUNG BU' WARNI - KLOJEN</t>
        </is>
      </c>
      <c r="C885" s="6">
        <f>(C388-MIN($C$2:$C$492)) / (MAX($C$2:$C$492)-MIN($C$2:$C$492))</f>
        <v/>
      </c>
      <c r="D885" s="6">
        <f>(D388-MIN($D$2:$D$492)) / (MAX($D$2:$D$492)-MIN($D$2:$D$492))</f>
        <v/>
      </c>
      <c r="E885" s="6">
        <f>(E388-MIN($E$2:$E$492)) / (MAX($E$2:$E$492)-MIN($E$2:$E$492))</f>
        <v/>
      </c>
    </row>
    <row r="886">
      <c r="A886" s="6" t="n">
        <v>388</v>
      </c>
      <c r="B886" s="6" t="inlineStr">
        <is>
          <t>Warteg sarirasa cab tlogomas</t>
        </is>
      </c>
      <c r="C886" s="6">
        <f>(C389-MIN($C$2:$C$492)) / (MAX($C$2:$C$492)-MIN($C$2:$C$492))</f>
        <v/>
      </c>
      <c r="D886" s="6">
        <f>(D389-MIN($D$2:$D$492)) / (MAX($D$2:$D$492)-MIN($D$2:$D$492))</f>
        <v/>
      </c>
      <c r="E886" s="6">
        <f>(E389-MIN($E$2:$E$492)) / (MAX($E$2:$E$492)-MIN($E$2:$E$492))</f>
        <v/>
      </c>
    </row>
    <row r="887">
      <c r="A887" s="6" t="n">
        <v>389</v>
      </c>
      <c r="B887" s="6" t="inlineStr">
        <is>
          <t>Omah Wareg</t>
        </is>
      </c>
      <c r="C887" s="6">
        <f>(C390-MIN($C$2:$C$492)) / (MAX($C$2:$C$492)-MIN($C$2:$C$492))</f>
        <v/>
      </c>
      <c r="D887" s="6">
        <f>(D390-MIN($D$2:$D$492)) / (MAX($D$2:$D$492)-MIN($D$2:$D$492))</f>
        <v/>
      </c>
      <c r="E887" s="6">
        <f>(E390-MIN($E$2:$E$492)) / (MAX($E$2:$E$492)-MIN($E$2:$E$492))</f>
        <v/>
      </c>
    </row>
    <row r="888">
      <c r="A888" s="6" t="n">
        <v>390</v>
      </c>
      <c r="B888" s="6" t="inlineStr">
        <is>
          <t>warteg citra baru bahari</t>
        </is>
      </c>
      <c r="C888" s="6">
        <f>(C391-MIN($C$2:$C$492)) / (MAX($C$2:$C$492)-MIN($C$2:$C$492))</f>
        <v/>
      </c>
      <c r="D888" s="6">
        <f>(D391-MIN($D$2:$D$492)) / (MAX($D$2:$D$492)-MIN($D$2:$D$492))</f>
        <v/>
      </c>
      <c r="E888" s="6">
        <f>(E391-MIN($E$2:$E$492)) / (MAX($E$2:$E$492)-MIN($E$2:$E$492))</f>
        <v/>
      </c>
    </row>
    <row r="889">
      <c r="A889" s="6" t="n">
        <v>391</v>
      </c>
      <c r="B889" s="6" t="inlineStr">
        <is>
          <t>WARTEG YONADA BAHARI</t>
        </is>
      </c>
      <c r="C889" s="6">
        <f>(C392-MIN($C$2:$C$492)) / (MAX($C$2:$C$492)-MIN($C$2:$C$492))</f>
        <v/>
      </c>
      <c r="D889" s="6">
        <f>(D392-MIN($D$2:$D$492)) / (MAX($D$2:$D$492)-MIN($D$2:$D$492))</f>
        <v/>
      </c>
      <c r="E889" s="6">
        <f>(E392-MIN($E$2:$E$492)) / (MAX($E$2:$E$492)-MIN($E$2:$E$492))</f>
        <v/>
      </c>
    </row>
    <row r="890">
      <c r="A890" s="6" t="n">
        <v>392</v>
      </c>
      <c r="B890" s="6" t="inlineStr">
        <is>
          <t>Warung Makan Ma'Nia</t>
        </is>
      </c>
      <c r="C890" s="6">
        <f>(C393-MIN($C$2:$C$492)) / (MAX($C$2:$C$492)-MIN($C$2:$C$492))</f>
        <v/>
      </c>
      <c r="D890" s="6">
        <f>(D393-MIN($D$2:$D$492)) / (MAX($D$2:$D$492)-MIN($D$2:$D$492))</f>
        <v/>
      </c>
      <c r="E890" s="6">
        <f>(E393-MIN($E$2:$E$492)) / (MAX($E$2:$E$492)-MIN($E$2:$E$492))</f>
        <v/>
      </c>
    </row>
    <row r="891">
      <c r="A891" s="6" t="n">
        <v>393</v>
      </c>
      <c r="B891" s="6" t="inlineStr">
        <is>
          <t>Warung Hajah Sarah</t>
        </is>
      </c>
      <c r="C891" s="6">
        <f>(C394-MIN($C$2:$C$492)) / (MAX($C$2:$C$492)-MIN($C$2:$C$492))</f>
        <v/>
      </c>
      <c r="D891" s="6">
        <f>(D394-MIN($D$2:$D$492)) / (MAX($D$2:$D$492)-MIN($D$2:$D$492))</f>
        <v/>
      </c>
      <c r="E891" s="6">
        <f>(E394-MIN($E$2:$E$492)) / (MAX($E$2:$E$492)-MIN($E$2:$E$492))</f>
        <v/>
      </c>
    </row>
    <row r="892">
      <c r="A892" s="6" t="n">
        <v>394</v>
      </c>
      <c r="B892" s="6" t="inlineStr">
        <is>
          <t>Warung Nasi Bu Pah</t>
        </is>
      </c>
      <c r="C892" s="6">
        <f>(C395-MIN($C$2:$C$492)) / (MAX($C$2:$C$492)-MIN($C$2:$C$492))</f>
        <v/>
      </c>
      <c r="D892" s="6">
        <f>(D395-MIN($D$2:$D$492)) / (MAX($D$2:$D$492)-MIN($D$2:$D$492))</f>
        <v/>
      </c>
      <c r="E892" s="6">
        <f>(E395-MIN($E$2:$E$492)) / (MAX($E$2:$E$492)-MIN($E$2:$E$492))</f>
        <v/>
      </c>
    </row>
    <row r="893">
      <c r="A893" s="6" t="n">
        <v>395</v>
      </c>
      <c r="B893" s="6" t="inlineStr">
        <is>
          <t>Warteg Nakamora</t>
        </is>
      </c>
      <c r="C893" s="6">
        <f>(C396-MIN($C$2:$C$492)) / (MAX($C$2:$C$492)-MIN($C$2:$C$492))</f>
        <v/>
      </c>
      <c r="D893" s="6">
        <f>(D396-MIN($D$2:$D$492)) / (MAX($D$2:$D$492)-MIN($D$2:$D$492))</f>
        <v/>
      </c>
      <c r="E893" s="6">
        <f>(E396-MIN($E$2:$E$492)) / (MAX($E$2:$E$492)-MIN($E$2:$E$492))</f>
        <v/>
      </c>
    </row>
    <row r="894">
      <c r="A894" s="6" t="n">
        <v>396</v>
      </c>
      <c r="B894" s="6" t="inlineStr">
        <is>
          <t>Warung AE</t>
        </is>
      </c>
      <c r="C894" s="6">
        <f>(C397-MIN($C$2:$C$492)) / (MAX($C$2:$C$492)-MIN($C$2:$C$492))</f>
        <v/>
      </c>
      <c r="D894" s="6">
        <f>(D397-MIN($D$2:$D$492)) / (MAX($D$2:$D$492)-MIN($D$2:$D$492))</f>
        <v/>
      </c>
      <c r="E894" s="6">
        <f>(E397-MIN($E$2:$E$492)) / (MAX($E$2:$E$492)-MIN($E$2:$E$492))</f>
        <v/>
      </c>
    </row>
    <row r="895">
      <c r="A895" s="6" t="n">
        <v>397</v>
      </c>
      <c r="B895" s="6" t="inlineStr">
        <is>
          <t>WARUNG WAREG KEPANJEN MALANG</t>
        </is>
      </c>
      <c r="C895" s="6">
        <f>(C398-MIN($C$2:$C$492)) / (MAX($C$2:$C$492)-MIN($C$2:$C$492))</f>
        <v/>
      </c>
      <c r="D895" s="6">
        <f>(D398-MIN($D$2:$D$492)) / (MAX($D$2:$D$492)-MIN($D$2:$D$492))</f>
        <v/>
      </c>
      <c r="E895" s="6">
        <f>(E398-MIN($E$2:$E$492)) / (MAX($E$2:$E$492)-MIN($E$2:$E$492))</f>
        <v/>
      </c>
    </row>
    <row r="896">
      <c r="A896" s="6" t="n">
        <v>398</v>
      </c>
      <c r="B896" s="6" t="inlineStr">
        <is>
          <t>Warung Prasmanan Bu Widya</t>
        </is>
      </c>
      <c r="C896" s="6">
        <f>(C399-MIN($C$2:$C$492)) / (MAX($C$2:$C$492)-MIN($C$2:$C$492))</f>
        <v/>
      </c>
      <c r="D896" s="6">
        <f>(D399-MIN($D$2:$D$492)) / (MAX($D$2:$D$492)-MIN($D$2:$D$492))</f>
        <v/>
      </c>
      <c r="E896" s="6">
        <f>(E399-MIN($E$2:$E$492)) / (MAX($E$2:$E$492)-MIN($E$2:$E$492))</f>
        <v/>
      </c>
    </row>
    <row r="897">
      <c r="A897" s="6" t="n">
        <v>399</v>
      </c>
      <c r="B897" s="6" t="inlineStr">
        <is>
          <t>Warung Makan Bu diyah</t>
        </is>
      </c>
      <c r="C897" s="6">
        <f>(C400-MIN($C$2:$C$492)) / (MAX($C$2:$C$492)-MIN($C$2:$C$492))</f>
        <v/>
      </c>
      <c r="D897" s="6">
        <f>(D400-MIN($D$2:$D$492)) / (MAX($D$2:$D$492)-MIN($D$2:$D$492))</f>
        <v/>
      </c>
      <c r="E897" s="6">
        <f>(E400-MIN($E$2:$E$492)) / (MAX($E$2:$E$492)-MIN($E$2:$E$492))</f>
        <v/>
      </c>
    </row>
    <row r="898">
      <c r="A898" s="6" t="n">
        <v>400</v>
      </c>
      <c r="B898" s="6" t="inlineStr">
        <is>
          <t>Warung Rezeki</t>
        </is>
      </c>
      <c r="C898" s="6">
        <f>(C401-MIN($C$2:$C$492)) / (MAX($C$2:$C$492)-MIN($C$2:$C$492))</f>
        <v/>
      </c>
      <c r="D898" s="6">
        <f>(D401-MIN($D$2:$D$492)) / (MAX($D$2:$D$492)-MIN($D$2:$D$492))</f>
        <v/>
      </c>
      <c r="E898" s="6">
        <f>(E401-MIN($E$2:$E$492)) / (MAX($E$2:$E$492)-MIN($E$2:$E$492))</f>
        <v/>
      </c>
    </row>
    <row r="899">
      <c r="A899" s="6" t="n">
        <v>401</v>
      </c>
      <c r="B899" s="6" t="inlineStr">
        <is>
          <t>Warteg Mamoka Akordion</t>
        </is>
      </c>
      <c r="C899" s="6">
        <f>(C402-MIN($C$2:$C$492)) / (MAX($C$2:$C$492)-MIN($C$2:$C$492))</f>
        <v/>
      </c>
      <c r="D899" s="6">
        <f>(D402-MIN($D$2:$D$492)) / (MAX($D$2:$D$492)-MIN($D$2:$D$492))</f>
        <v/>
      </c>
      <c r="E899" s="6">
        <f>(E402-MIN($E$2:$E$492)) / (MAX($E$2:$E$492)-MIN($E$2:$E$492))</f>
        <v/>
      </c>
    </row>
    <row r="900">
      <c r="A900" s="6" t="n">
        <v>402</v>
      </c>
      <c r="B900" s="6" t="inlineStr">
        <is>
          <t>Warung Sederhana</t>
        </is>
      </c>
      <c r="C900" s="6">
        <f>(C403-MIN($C$2:$C$492)) / (MAX($C$2:$C$492)-MIN($C$2:$C$492))</f>
        <v/>
      </c>
      <c r="D900" s="6">
        <f>(D403-MIN($D$2:$D$492)) / (MAX($D$2:$D$492)-MIN($D$2:$D$492))</f>
        <v/>
      </c>
      <c r="E900" s="6">
        <f>(E403-MIN($E$2:$E$492)) / (MAX($E$2:$E$492)-MIN($E$2:$E$492))</f>
        <v/>
      </c>
    </row>
    <row r="901">
      <c r="A901" s="6" t="n">
        <v>403</v>
      </c>
      <c r="B901" s="6" t="inlineStr">
        <is>
          <t>Warteg 46</t>
        </is>
      </c>
      <c r="C901" s="6">
        <f>(C404-MIN($C$2:$C$492)) / (MAX($C$2:$C$492)-MIN($C$2:$C$492))</f>
        <v/>
      </c>
      <c r="D901" s="6">
        <f>(D404-MIN($D$2:$D$492)) / (MAX($D$2:$D$492)-MIN($D$2:$D$492))</f>
        <v/>
      </c>
      <c r="E901" s="6">
        <f>(E404-MIN($E$2:$E$492)) / (MAX($E$2:$E$492)-MIN($E$2:$E$492))</f>
        <v/>
      </c>
    </row>
    <row r="902">
      <c r="A902" s="6" t="n">
        <v>404</v>
      </c>
      <c r="B902" s="6" t="inlineStr">
        <is>
          <t>Wisata Warung Wareg</t>
        </is>
      </c>
      <c r="C902" s="6">
        <f>(C405-MIN($C$2:$C$492)) / (MAX($C$2:$C$492)-MIN($C$2:$C$492))</f>
        <v/>
      </c>
      <c r="D902" s="6">
        <f>(D405-MIN($D$2:$D$492)) / (MAX($D$2:$D$492)-MIN($D$2:$D$492))</f>
        <v/>
      </c>
      <c r="E902" s="6">
        <f>(E405-MIN($E$2:$E$492)) / (MAX($E$2:$E$492)-MIN($E$2:$E$492))</f>
        <v/>
      </c>
    </row>
    <row r="903">
      <c r="A903" s="6" t="n">
        <v>405</v>
      </c>
      <c r="B903" s="6" t="inlineStr">
        <is>
          <t>Catering Rumah Madinah</t>
        </is>
      </c>
      <c r="C903" s="6">
        <f>(C406-MIN($C$2:$C$492)) / (MAX($C$2:$C$492)-MIN($C$2:$C$492))</f>
        <v/>
      </c>
      <c r="D903" s="6">
        <f>(D406-MIN($D$2:$D$492)) / (MAX($D$2:$D$492)-MIN($D$2:$D$492))</f>
        <v/>
      </c>
      <c r="E903" s="6">
        <f>(E406-MIN($E$2:$E$492)) / (MAX($E$2:$E$492)-MIN($E$2:$E$492))</f>
        <v/>
      </c>
    </row>
    <row r="904">
      <c r="A904" s="6" t="n">
        <v>406</v>
      </c>
      <c r="B904" s="6" t="inlineStr">
        <is>
          <t>Titik Koma Buring</t>
        </is>
      </c>
      <c r="C904" s="6">
        <f>(C407-MIN($C$2:$C$492)) / (MAX($C$2:$C$492)-MIN($C$2:$C$492))</f>
        <v/>
      </c>
      <c r="D904" s="6">
        <f>(D407-MIN($D$2:$D$492)) / (MAX($D$2:$D$492)-MIN($D$2:$D$492))</f>
        <v/>
      </c>
      <c r="E904" s="6">
        <f>(E407-MIN($E$2:$E$492)) / (MAX($E$2:$E$492)-MIN($E$2:$E$492))</f>
        <v/>
      </c>
    </row>
    <row r="905">
      <c r="A905" s="6" t="n">
        <v>407</v>
      </c>
      <c r="B905" s="6" t="inlineStr">
        <is>
          <t>Toko Kopi Remboeg Pawon</t>
        </is>
      </c>
      <c r="C905" s="6">
        <f>(C408-MIN($C$2:$C$492)) / (MAX($C$2:$C$492)-MIN($C$2:$C$492))</f>
        <v/>
      </c>
      <c r="D905" s="6">
        <f>(D408-MIN($D$2:$D$492)) / (MAX($D$2:$D$492)-MIN($D$2:$D$492))</f>
        <v/>
      </c>
      <c r="E905" s="6">
        <f>(E408-MIN($E$2:$E$492)) / (MAX($E$2:$E$492)-MIN($E$2:$E$492))</f>
        <v/>
      </c>
    </row>
    <row r="906">
      <c r="A906" s="6" t="n">
        <v>408</v>
      </c>
      <c r="B906" s="6" t="inlineStr">
        <is>
          <t>Cafe LaiLai</t>
        </is>
      </c>
      <c r="C906" s="6">
        <f>(C409-MIN($C$2:$C$492)) / (MAX($C$2:$C$492)-MIN($C$2:$C$492))</f>
        <v/>
      </c>
      <c r="D906" s="6">
        <f>(D409-MIN($D$2:$D$492)) / (MAX($D$2:$D$492)-MIN($D$2:$D$492))</f>
        <v/>
      </c>
      <c r="E906" s="6">
        <f>(E409-MIN($E$2:$E$492)) / (MAX($E$2:$E$492)-MIN($E$2:$E$492))</f>
        <v/>
      </c>
    </row>
    <row r="907">
      <c r="A907" s="6" t="n">
        <v>409</v>
      </c>
      <c r="B907" s="6" t="inlineStr">
        <is>
          <t>Kopi Ortu</t>
        </is>
      </c>
      <c r="C907" s="6">
        <f>(C410-MIN($C$2:$C$492)) / (MAX($C$2:$C$492)-MIN($C$2:$C$492))</f>
        <v/>
      </c>
      <c r="D907" s="6">
        <f>(D410-MIN($D$2:$D$492)) / (MAX($D$2:$D$492)-MIN($D$2:$D$492))</f>
        <v/>
      </c>
      <c r="E907" s="6">
        <f>(E410-MIN($E$2:$E$492)) / (MAX($E$2:$E$492)-MIN($E$2:$E$492))</f>
        <v/>
      </c>
    </row>
    <row r="908">
      <c r="A908" s="6" t="n">
        <v>410</v>
      </c>
      <c r="B908" s="6" t="inlineStr">
        <is>
          <t>Kedai Kopi tjapGiling</t>
        </is>
      </c>
      <c r="C908" s="6">
        <f>(C411-MIN($C$2:$C$492)) / (MAX($C$2:$C$492)-MIN($C$2:$C$492))</f>
        <v/>
      </c>
      <c r="D908" s="6">
        <f>(D411-MIN($D$2:$D$492)) / (MAX($D$2:$D$492)-MIN($D$2:$D$492))</f>
        <v/>
      </c>
      <c r="E908" s="6">
        <f>(E411-MIN($E$2:$E$492)) / (MAX($E$2:$E$492)-MIN($E$2:$E$492))</f>
        <v/>
      </c>
    </row>
    <row r="909">
      <c r="A909" s="6" t="n">
        <v>411</v>
      </c>
      <c r="B909" s="6" t="inlineStr">
        <is>
          <t>Warung kopi Bambu</t>
        </is>
      </c>
      <c r="C909" s="6">
        <f>(C412-MIN($C$2:$C$492)) / (MAX($C$2:$C$492)-MIN($C$2:$C$492))</f>
        <v/>
      </c>
      <c r="D909" s="6">
        <f>(D412-MIN($D$2:$D$492)) / (MAX($D$2:$D$492)-MIN($D$2:$D$492))</f>
        <v/>
      </c>
      <c r="E909" s="6">
        <f>(E412-MIN($E$2:$E$492)) / (MAX($E$2:$E$492)-MIN($E$2:$E$492))</f>
        <v/>
      </c>
    </row>
    <row r="910">
      <c r="A910" s="6" t="n">
        <v>412</v>
      </c>
      <c r="B910" s="6" t="inlineStr">
        <is>
          <t>My Kopi O! Malang</t>
        </is>
      </c>
      <c r="C910" s="6">
        <f>(C413-MIN($C$2:$C$492)) / (MAX($C$2:$C$492)-MIN($C$2:$C$492))</f>
        <v/>
      </c>
      <c r="D910" s="6">
        <f>(D413-MIN($D$2:$D$492)) / (MAX($D$2:$D$492)-MIN($D$2:$D$492))</f>
        <v/>
      </c>
      <c r="E910" s="6">
        <f>(E413-MIN($E$2:$E$492)) / (MAX($E$2:$E$492)-MIN($E$2:$E$492))</f>
        <v/>
      </c>
    </row>
    <row r="911">
      <c r="A911" s="6" t="n">
        <v>413</v>
      </c>
      <c r="B911" s="6" t="inlineStr">
        <is>
          <t>Robusto Coffee</t>
        </is>
      </c>
      <c r="C911" s="6">
        <f>(C414-MIN($C$2:$C$492)) / (MAX($C$2:$C$492)-MIN($C$2:$C$492))</f>
        <v/>
      </c>
      <c r="D911" s="6">
        <f>(D414-MIN($D$2:$D$492)) / (MAX($D$2:$D$492)-MIN($D$2:$D$492))</f>
        <v/>
      </c>
      <c r="E911" s="6">
        <f>(E414-MIN($E$2:$E$492)) / (MAX($E$2:$E$492)-MIN($E$2:$E$492))</f>
        <v/>
      </c>
    </row>
    <row r="912">
      <c r="A912" s="6" t="n">
        <v>414</v>
      </c>
      <c r="B912" s="6" t="inlineStr">
        <is>
          <t>Mifeng Kopitiam</t>
        </is>
      </c>
      <c r="C912" s="6">
        <f>(C415-MIN($C$2:$C$492)) / (MAX($C$2:$C$492)-MIN($C$2:$C$492))</f>
        <v/>
      </c>
      <c r="D912" s="6">
        <f>(D415-MIN($D$2:$D$492)) / (MAX($D$2:$D$492)-MIN($D$2:$D$492))</f>
        <v/>
      </c>
      <c r="E912" s="6">
        <f>(E415-MIN($E$2:$E$492)) / (MAX($E$2:$E$492)-MIN($E$2:$E$492))</f>
        <v/>
      </c>
    </row>
    <row r="913">
      <c r="A913" s="6" t="n">
        <v>415</v>
      </c>
      <c r="B913" s="6" t="inlineStr">
        <is>
          <t>Kopi Serut</t>
        </is>
      </c>
      <c r="C913" s="6">
        <f>(C416-MIN($C$2:$C$492)) / (MAX($C$2:$C$492)-MIN($C$2:$C$492))</f>
        <v/>
      </c>
      <c r="D913" s="6">
        <f>(D416-MIN($D$2:$D$492)) / (MAX($D$2:$D$492)-MIN($D$2:$D$492))</f>
        <v/>
      </c>
      <c r="E913" s="6">
        <f>(E416-MIN($E$2:$E$492)) / (MAX($E$2:$E$492)-MIN($E$2:$E$492))</f>
        <v/>
      </c>
    </row>
    <row r="914">
      <c r="A914" s="6" t="n">
        <v>416</v>
      </c>
      <c r="B914" s="6" t="inlineStr">
        <is>
          <t>Kedai Ramah Djiwa</t>
        </is>
      </c>
      <c r="C914" s="6">
        <f>(C417-MIN($C$2:$C$492)) / (MAX($C$2:$C$492)-MIN($C$2:$C$492))</f>
        <v/>
      </c>
      <c r="D914" s="6">
        <f>(D417-MIN($D$2:$D$492)) / (MAX($D$2:$D$492)-MIN($D$2:$D$492))</f>
        <v/>
      </c>
      <c r="E914" s="6">
        <f>(E417-MIN($E$2:$E$492)) / (MAX($E$2:$E$492)-MIN($E$2:$E$492))</f>
        <v/>
      </c>
    </row>
    <row r="915">
      <c r="A915" s="6" t="n">
        <v>417</v>
      </c>
      <c r="B915" s="6" t="inlineStr">
        <is>
          <t>Beryl Coffee</t>
        </is>
      </c>
      <c r="C915" s="6">
        <f>(C418-MIN($C$2:$C$492)) / (MAX($C$2:$C$492)-MIN($C$2:$C$492))</f>
        <v/>
      </c>
      <c r="D915" s="6">
        <f>(D418-MIN($D$2:$D$492)) / (MAX($D$2:$D$492)-MIN($D$2:$D$492))</f>
        <v/>
      </c>
      <c r="E915" s="6">
        <f>(E418-MIN($E$2:$E$492)) / (MAX($E$2:$E$492)-MIN($E$2:$E$492))</f>
        <v/>
      </c>
    </row>
    <row r="916">
      <c r="A916" s="6" t="n">
        <v>418</v>
      </c>
      <c r="B916" s="6" t="inlineStr">
        <is>
          <t>Toko Kopi Jaya, Sukun</t>
        </is>
      </c>
      <c r="C916" s="6">
        <f>(C419-MIN($C$2:$C$492)) / (MAX($C$2:$C$492)-MIN($C$2:$C$492))</f>
        <v/>
      </c>
      <c r="D916" s="6">
        <f>(D419-MIN($D$2:$D$492)) / (MAX($D$2:$D$492)-MIN($D$2:$D$492))</f>
        <v/>
      </c>
      <c r="E916" s="6">
        <f>(E419-MIN($E$2:$E$492)) / (MAX($E$2:$E$492)-MIN($E$2:$E$492))</f>
        <v/>
      </c>
    </row>
    <row r="917">
      <c r="A917" s="6" t="n">
        <v>419</v>
      </c>
      <c r="B917" s="6" t="inlineStr">
        <is>
          <t>Warung Kopi 69 - Kedai69 - Cafe69</t>
        </is>
      </c>
      <c r="C917" s="6">
        <f>(C420-MIN($C$2:$C$492)) / (MAX($C$2:$C$492)-MIN($C$2:$C$492))</f>
        <v/>
      </c>
      <c r="D917" s="6">
        <f>(D420-MIN($D$2:$D$492)) / (MAX($D$2:$D$492)-MIN($D$2:$D$492))</f>
        <v/>
      </c>
      <c r="E917" s="6">
        <f>(E420-MIN($E$2:$E$492)) / (MAX($E$2:$E$492)-MIN($E$2:$E$492))</f>
        <v/>
      </c>
    </row>
    <row r="918">
      <c r="A918" s="6" t="n">
        <v>420</v>
      </c>
      <c r="B918" s="6" t="inlineStr">
        <is>
          <t>Cak Ril Kopi</t>
        </is>
      </c>
      <c r="C918" s="6">
        <f>(C421-MIN($C$2:$C$492)) / (MAX($C$2:$C$492)-MIN($C$2:$C$492))</f>
        <v/>
      </c>
      <c r="D918" s="6">
        <f>(D421-MIN($D$2:$D$492)) / (MAX($D$2:$D$492)-MIN($D$2:$D$492))</f>
        <v/>
      </c>
      <c r="E918" s="6">
        <f>(E421-MIN($E$2:$E$492)) / (MAX($E$2:$E$492)-MIN($E$2:$E$492))</f>
        <v/>
      </c>
    </row>
    <row r="919">
      <c r="A919" s="6" t="n">
        <v>421</v>
      </c>
      <c r="B919" s="6" t="inlineStr">
        <is>
          <t>Oppa Express</t>
        </is>
      </c>
      <c r="C919" s="6">
        <f>(C422-MIN($C$2:$C$492)) / (MAX($C$2:$C$492)-MIN($C$2:$C$492))</f>
        <v/>
      </c>
      <c r="D919" s="6">
        <f>(D422-MIN($D$2:$D$492)) / (MAX($D$2:$D$492)-MIN($D$2:$D$492))</f>
        <v/>
      </c>
      <c r="E919" s="6">
        <f>(E422-MIN($E$2:$E$492)) / (MAX($E$2:$E$492)-MIN($E$2:$E$492))</f>
        <v/>
      </c>
    </row>
    <row r="920">
      <c r="A920" s="6" t="n">
        <v>422</v>
      </c>
      <c r="B920" s="6" t="inlineStr">
        <is>
          <t>Kopi Hamur Mbah Ndut</t>
        </is>
      </c>
      <c r="C920" s="6">
        <f>(C423-MIN($C$2:$C$492)) / (MAX($C$2:$C$492)-MIN($C$2:$C$492))</f>
        <v/>
      </c>
      <c r="D920" s="6">
        <f>(D423-MIN($D$2:$D$492)) / (MAX($D$2:$D$492)-MIN($D$2:$D$492))</f>
        <v/>
      </c>
      <c r="E920" s="6">
        <f>(E423-MIN($E$2:$E$492)) / (MAX($E$2:$E$492)-MIN($E$2:$E$492))</f>
        <v/>
      </c>
    </row>
    <row r="921">
      <c r="A921" s="6" t="n">
        <v>423</v>
      </c>
      <c r="B921" s="6" t="inlineStr">
        <is>
          <t>Kedai Kopi Kembang</t>
        </is>
      </c>
      <c r="C921" s="6">
        <f>(C424-MIN($C$2:$C$492)) / (MAX($C$2:$C$492)-MIN($C$2:$C$492))</f>
        <v/>
      </c>
      <c r="D921" s="6">
        <f>(D424-MIN($D$2:$D$492)) / (MAX($D$2:$D$492)-MIN($D$2:$D$492))</f>
        <v/>
      </c>
      <c r="E921" s="6">
        <f>(E424-MIN($E$2:$E$492)) / (MAX($E$2:$E$492)-MIN($E$2:$E$492))</f>
        <v/>
      </c>
    </row>
    <row r="922">
      <c r="A922" s="6" t="n">
        <v>424</v>
      </c>
      <c r="B922" s="6" t="inlineStr">
        <is>
          <t>Toko kopi sudawirat</t>
        </is>
      </c>
      <c r="C922" s="6">
        <f>(C425-MIN($C$2:$C$492)) / (MAX($C$2:$C$492)-MIN($C$2:$C$492))</f>
        <v/>
      </c>
      <c r="D922" s="6">
        <f>(D425-MIN($D$2:$D$492)) / (MAX($D$2:$D$492)-MIN($D$2:$D$492))</f>
        <v/>
      </c>
      <c r="E922" s="6">
        <f>(E425-MIN($E$2:$E$492)) / (MAX($E$2:$E$492)-MIN($E$2:$E$492))</f>
        <v/>
      </c>
    </row>
    <row r="923">
      <c r="A923" s="6" t="n">
        <v>425</v>
      </c>
      <c r="B923" s="6" t="inlineStr">
        <is>
          <t>rata.space</t>
        </is>
      </c>
      <c r="C923" s="6">
        <f>(C426-MIN($C$2:$C$492)) / (MAX($C$2:$C$492)-MIN($C$2:$C$492))</f>
        <v/>
      </c>
      <c r="D923" s="6">
        <f>(D426-MIN($D$2:$D$492)) / (MAX($D$2:$D$492)-MIN($D$2:$D$492))</f>
        <v/>
      </c>
      <c r="E923" s="6">
        <f>(E426-MIN($E$2:$E$492)) / (MAX($E$2:$E$492)-MIN($E$2:$E$492))</f>
        <v/>
      </c>
    </row>
    <row r="924">
      <c r="A924" s="6" t="n">
        <v>426</v>
      </c>
      <c r="B924" s="6" t="inlineStr">
        <is>
          <t>Warung Kopi Aroma Spesial Mie Bangladesh</t>
        </is>
      </c>
      <c r="C924" s="6">
        <f>(C427-MIN($C$2:$C$492)) / (MAX($C$2:$C$492)-MIN($C$2:$C$492))</f>
        <v/>
      </c>
      <c r="D924" s="6">
        <f>(D427-MIN($D$2:$D$492)) / (MAX($D$2:$D$492)-MIN($D$2:$D$492))</f>
        <v/>
      </c>
      <c r="E924" s="6">
        <f>(E427-MIN($E$2:$E$492)) / (MAX($E$2:$E$492)-MIN($E$2:$E$492))</f>
        <v/>
      </c>
    </row>
    <row r="925">
      <c r="A925" s="6" t="n">
        <v>427</v>
      </c>
      <c r="B925" s="6" t="inlineStr">
        <is>
          <t>RANDAB IPOK</t>
        </is>
      </c>
      <c r="C925" s="6">
        <f>(C428-MIN($C$2:$C$492)) / (MAX($C$2:$C$492)-MIN($C$2:$C$492))</f>
        <v/>
      </c>
      <c r="D925" s="6">
        <f>(D428-MIN($D$2:$D$492)) / (MAX($D$2:$D$492)-MIN($D$2:$D$492))</f>
        <v/>
      </c>
      <c r="E925" s="6">
        <f>(E428-MIN($E$2:$E$492)) / (MAX($E$2:$E$492)-MIN($E$2:$E$492))</f>
        <v/>
      </c>
    </row>
    <row r="926">
      <c r="A926" s="6" t="n">
        <v>428</v>
      </c>
      <c r="B926" s="6" t="inlineStr">
        <is>
          <t>Hambre Coffee</t>
        </is>
      </c>
      <c r="C926" s="6">
        <f>(C429-MIN($C$2:$C$492)) / (MAX($C$2:$C$492)-MIN($C$2:$C$492))</f>
        <v/>
      </c>
      <c r="D926" s="6">
        <f>(D429-MIN($D$2:$D$492)) / (MAX($D$2:$D$492)-MIN($D$2:$D$492))</f>
        <v/>
      </c>
      <c r="E926" s="6">
        <f>(E429-MIN($E$2:$E$492)) / (MAX($E$2:$E$492)-MIN($E$2:$E$492))</f>
        <v/>
      </c>
    </row>
    <row r="927">
      <c r="A927" s="6" t="n">
        <v>429</v>
      </c>
      <c r="B927" s="6" t="inlineStr">
        <is>
          <t>Halter Coffee</t>
        </is>
      </c>
      <c r="C927" s="6">
        <f>(C430-MIN($C$2:$C$492)) / (MAX($C$2:$C$492)-MIN($C$2:$C$492))</f>
        <v/>
      </c>
      <c r="D927" s="6">
        <f>(D430-MIN($D$2:$D$492)) / (MAX($D$2:$D$492)-MIN($D$2:$D$492))</f>
        <v/>
      </c>
      <c r="E927" s="6">
        <f>(E430-MIN($E$2:$E$492)) / (MAX($E$2:$E$492)-MIN($E$2:$E$492))</f>
        <v/>
      </c>
    </row>
    <row r="928">
      <c r="A928" s="6" t="n">
        <v>430</v>
      </c>
      <c r="B928" s="6" t="inlineStr">
        <is>
          <t>Ladang Coffee</t>
        </is>
      </c>
      <c r="C928" s="6">
        <f>(C431-MIN($C$2:$C$492)) / (MAX($C$2:$C$492)-MIN($C$2:$C$492))</f>
        <v/>
      </c>
      <c r="D928" s="6">
        <f>(D431-MIN($D$2:$D$492)) / (MAX($D$2:$D$492)-MIN($D$2:$D$492))</f>
        <v/>
      </c>
      <c r="E928" s="6">
        <f>(E431-MIN($E$2:$E$492)) / (MAX($E$2:$E$492)-MIN($E$2:$E$492))</f>
        <v/>
      </c>
    </row>
    <row r="929">
      <c r="A929" s="6" t="n">
        <v>431</v>
      </c>
      <c r="B929" s="6" t="inlineStr">
        <is>
          <t>Workshop Kopi</t>
        </is>
      </c>
      <c r="C929" s="6">
        <f>(C432-MIN($C$2:$C$492)) / (MAX($C$2:$C$492)-MIN($C$2:$C$492))</f>
        <v/>
      </c>
      <c r="D929" s="6">
        <f>(D432-MIN($D$2:$D$492)) / (MAX($D$2:$D$492)-MIN($D$2:$D$492))</f>
        <v/>
      </c>
      <c r="E929" s="6">
        <f>(E432-MIN($E$2:$E$492)) / (MAX($E$2:$E$492)-MIN($E$2:$E$492))</f>
        <v/>
      </c>
    </row>
    <row r="930">
      <c r="A930" s="6" t="n">
        <v>432</v>
      </c>
      <c r="B930" s="6" t="inlineStr">
        <is>
          <t>gingsul kopi &amp; kudapan</t>
        </is>
      </c>
      <c r="C930" s="6">
        <f>(C433-MIN($C$2:$C$492)) / (MAX($C$2:$C$492)-MIN($C$2:$C$492))</f>
        <v/>
      </c>
      <c r="D930" s="6">
        <f>(D433-MIN($D$2:$D$492)) / (MAX($D$2:$D$492)-MIN($D$2:$D$492))</f>
        <v/>
      </c>
      <c r="E930" s="6">
        <f>(E433-MIN($E$2:$E$492)) / (MAX($E$2:$E$492)-MIN($E$2:$E$492))</f>
        <v/>
      </c>
    </row>
    <row r="931">
      <c r="A931" s="6" t="n">
        <v>433</v>
      </c>
      <c r="B931" s="6" t="inlineStr">
        <is>
          <t>The Grove Cafe Malang</t>
        </is>
      </c>
      <c r="C931" s="6">
        <f>(C434-MIN($C$2:$C$492)) / (MAX($C$2:$C$492)-MIN($C$2:$C$492))</f>
        <v/>
      </c>
      <c r="D931" s="6">
        <f>(D434-MIN($D$2:$D$492)) / (MAX($D$2:$D$492)-MIN($D$2:$D$492))</f>
        <v/>
      </c>
      <c r="E931" s="6">
        <f>(E434-MIN($E$2:$E$492)) / (MAX($E$2:$E$492)-MIN($E$2:$E$492))</f>
        <v/>
      </c>
    </row>
    <row r="932">
      <c r="A932" s="6" t="n">
        <v>434</v>
      </c>
      <c r="B932" s="6" t="inlineStr">
        <is>
          <t>Lapidoth Cafe and Patisserie</t>
        </is>
      </c>
      <c r="C932" s="6">
        <f>(C435-MIN($C$2:$C$492)) / (MAX($C$2:$C$492)-MIN($C$2:$C$492))</f>
        <v/>
      </c>
      <c r="D932" s="6">
        <f>(D435-MIN($D$2:$D$492)) / (MAX($D$2:$D$492)-MIN($D$2:$D$492))</f>
        <v/>
      </c>
      <c r="E932" s="6">
        <f>(E435-MIN($E$2:$E$492)) / (MAX($E$2:$E$492)-MIN($E$2:$E$492))</f>
        <v/>
      </c>
    </row>
    <row r="933">
      <c r="A933" s="6" t="n">
        <v>435</v>
      </c>
      <c r="B933" s="6" t="inlineStr">
        <is>
          <t>Lafayette Coffee &amp; Eatery</t>
        </is>
      </c>
      <c r="C933" s="6">
        <f>(C436-MIN($C$2:$C$492)) / (MAX($C$2:$C$492)-MIN($C$2:$C$492))</f>
        <v/>
      </c>
      <c r="D933" s="6">
        <f>(D436-MIN($D$2:$D$492)) / (MAX($D$2:$D$492)-MIN($D$2:$D$492))</f>
        <v/>
      </c>
      <c r="E933" s="6">
        <f>(E436-MIN($E$2:$E$492)) / (MAX($E$2:$E$492)-MIN($E$2:$E$492))</f>
        <v/>
      </c>
    </row>
    <row r="934">
      <c r="A934" s="6" t="n">
        <v>436</v>
      </c>
      <c r="B934" s="6" t="inlineStr">
        <is>
          <t>Koppi Asia Malang | Coffee &amp; Eatery Malang</t>
        </is>
      </c>
      <c r="C934" s="6">
        <f>(C437-MIN($C$2:$C$492)) / (MAX($C$2:$C$492)-MIN($C$2:$C$492))</f>
        <v/>
      </c>
      <c r="D934" s="6">
        <f>(D437-MIN($D$2:$D$492)) / (MAX($D$2:$D$492)-MIN($D$2:$D$492))</f>
        <v/>
      </c>
      <c r="E934" s="6">
        <f>(E437-MIN($E$2:$E$492)) / (MAX($E$2:$E$492)-MIN($E$2:$E$492))</f>
        <v/>
      </c>
    </row>
    <row r="935">
      <c r="A935" s="6" t="n">
        <v>437</v>
      </c>
      <c r="B935" s="6" t="inlineStr">
        <is>
          <t>Oui Coffee Malang</t>
        </is>
      </c>
      <c r="C935" s="6">
        <f>(C438-MIN($C$2:$C$492)) / (MAX($C$2:$C$492)-MIN($C$2:$C$492))</f>
        <v/>
      </c>
      <c r="D935" s="6">
        <f>(D438-MIN($D$2:$D$492)) / (MAX($D$2:$D$492)-MIN($D$2:$D$492))</f>
        <v/>
      </c>
      <c r="E935" s="6">
        <f>(E438-MIN($E$2:$E$492)) / (MAX($E$2:$E$492)-MIN($E$2:$E$492))</f>
        <v/>
      </c>
    </row>
    <row r="936">
      <c r="A936" s="6" t="n">
        <v>438</v>
      </c>
      <c r="B936" s="6" t="inlineStr">
        <is>
          <t>And Coffee Space</t>
        </is>
      </c>
      <c r="C936" s="6">
        <f>(C439-MIN($C$2:$C$492)) / (MAX($C$2:$C$492)-MIN($C$2:$C$492))</f>
        <v/>
      </c>
      <c r="D936" s="6">
        <f>(D439-MIN($D$2:$D$492)) / (MAX($D$2:$D$492)-MIN($D$2:$D$492))</f>
        <v/>
      </c>
      <c r="E936" s="6">
        <f>(E439-MIN($E$2:$E$492)) / (MAX($E$2:$E$492)-MIN($E$2:$E$492))</f>
        <v/>
      </c>
    </row>
    <row r="937">
      <c r="A937" s="6" t="n">
        <v>439</v>
      </c>
      <c r="B937" s="6" t="inlineStr">
        <is>
          <t>Egg And Butter</t>
        </is>
      </c>
      <c r="C937" s="6">
        <f>(C440-MIN($C$2:$C$492)) / (MAX($C$2:$C$492)-MIN($C$2:$C$492))</f>
        <v/>
      </c>
      <c r="D937" s="6">
        <f>(D440-MIN($D$2:$D$492)) / (MAX($D$2:$D$492)-MIN($D$2:$D$492))</f>
        <v/>
      </c>
      <c r="E937" s="6">
        <f>(E440-MIN($E$2:$E$492)) / (MAX($E$2:$E$492)-MIN($E$2:$E$492))</f>
        <v/>
      </c>
    </row>
    <row r="938">
      <c r="A938" s="6" t="n">
        <v>440</v>
      </c>
      <c r="B938" s="6" t="inlineStr">
        <is>
          <t>Bataputi Coffee House</t>
        </is>
      </c>
      <c r="C938" s="6">
        <f>(C441-MIN($C$2:$C$492)) / (MAX($C$2:$C$492)-MIN($C$2:$C$492))</f>
        <v/>
      </c>
      <c r="D938" s="6">
        <f>(D441-MIN($D$2:$D$492)) / (MAX($D$2:$D$492)-MIN($D$2:$D$492))</f>
        <v/>
      </c>
      <c r="E938" s="6">
        <f>(E441-MIN($E$2:$E$492)) / (MAX($E$2:$E$492)-MIN($E$2:$E$492))</f>
        <v/>
      </c>
    </row>
    <row r="939">
      <c r="A939" s="6" t="n">
        <v>441</v>
      </c>
      <c r="B939" s="6" t="inlineStr">
        <is>
          <t>Ada Apa Dengan Kopi (AADK)</t>
        </is>
      </c>
      <c r="C939" s="6">
        <f>(C442-MIN($C$2:$C$492)) / (MAX($C$2:$C$492)-MIN($C$2:$C$492))</f>
        <v/>
      </c>
      <c r="D939" s="6">
        <f>(D442-MIN($D$2:$D$492)) / (MAX($D$2:$D$492)-MIN($D$2:$D$492))</f>
        <v/>
      </c>
      <c r="E939" s="6">
        <f>(E442-MIN($E$2:$E$492)) / (MAX($E$2:$E$492)-MIN($E$2:$E$492))</f>
        <v/>
      </c>
    </row>
    <row r="940">
      <c r="A940" s="6" t="n">
        <v>442</v>
      </c>
      <c r="B940" s="6" t="inlineStr">
        <is>
          <t>Henshin Coffee Cafe</t>
        </is>
      </c>
      <c r="C940" s="6">
        <f>(C443-MIN($C$2:$C$492)) / (MAX($C$2:$C$492)-MIN($C$2:$C$492))</f>
        <v/>
      </c>
      <c r="D940" s="6">
        <f>(D443-MIN($D$2:$D$492)) / (MAX($D$2:$D$492)-MIN($D$2:$D$492))</f>
        <v/>
      </c>
      <c r="E940" s="6">
        <f>(E443-MIN($E$2:$E$492)) / (MAX($E$2:$E$492)-MIN($E$2:$E$492))</f>
        <v/>
      </c>
    </row>
    <row r="941">
      <c r="A941" s="6" t="n">
        <v>443</v>
      </c>
      <c r="B941" s="6" t="inlineStr">
        <is>
          <t>Naiki Cafe</t>
        </is>
      </c>
      <c r="C941" s="6">
        <f>(C444-MIN($C$2:$C$492)) / (MAX($C$2:$C$492)-MIN($C$2:$C$492))</f>
        <v/>
      </c>
      <c r="D941" s="6">
        <f>(D444-MIN($D$2:$D$492)) / (MAX($D$2:$D$492)-MIN($D$2:$D$492))</f>
        <v/>
      </c>
      <c r="E941" s="6">
        <f>(E444-MIN($E$2:$E$492)) / (MAX($E$2:$E$492)-MIN($E$2:$E$492))</f>
        <v/>
      </c>
    </row>
    <row r="942">
      <c r="A942" s="6" t="n">
        <v>444</v>
      </c>
      <c r="B942" s="6" t="inlineStr">
        <is>
          <t>Capella Coffee &amp; Eatery</t>
        </is>
      </c>
      <c r="C942" s="6">
        <f>(C445-MIN($C$2:$C$492)) / (MAX($C$2:$C$492)-MIN($C$2:$C$492))</f>
        <v/>
      </c>
      <c r="D942" s="6">
        <f>(D445-MIN($D$2:$D$492)) / (MAX($D$2:$D$492)-MIN($D$2:$D$492))</f>
        <v/>
      </c>
      <c r="E942" s="6">
        <f>(E445-MIN($E$2:$E$492)) / (MAX($E$2:$E$492)-MIN($E$2:$E$492))</f>
        <v/>
      </c>
    </row>
    <row r="943">
      <c r="A943" s="6" t="n">
        <v>445</v>
      </c>
      <c r="B943" s="6" t="inlineStr">
        <is>
          <t>Forenoon Coffee</t>
        </is>
      </c>
      <c r="C943" s="6">
        <f>(C446-MIN($C$2:$C$492)) / (MAX($C$2:$C$492)-MIN($C$2:$C$492))</f>
        <v/>
      </c>
      <c r="D943" s="6">
        <f>(D446-MIN($D$2:$D$492)) / (MAX($D$2:$D$492)-MIN($D$2:$D$492))</f>
        <v/>
      </c>
      <c r="E943" s="6">
        <f>(E446-MIN($E$2:$E$492)) / (MAX($E$2:$E$492)-MIN($E$2:$E$492))</f>
        <v/>
      </c>
    </row>
    <row r="944">
      <c r="A944" s="6" t="n">
        <v>446</v>
      </c>
      <c r="B944" s="6" t="inlineStr">
        <is>
          <t>Andzero</t>
        </is>
      </c>
      <c r="C944" s="6">
        <f>(C447-MIN($C$2:$C$492)) / (MAX($C$2:$C$492)-MIN($C$2:$C$492))</f>
        <v/>
      </c>
      <c r="D944" s="6">
        <f>(D447-MIN($D$2:$D$492)) / (MAX($D$2:$D$492)-MIN($D$2:$D$492))</f>
        <v/>
      </c>
      <c r="E944" s="6">
        <f>(E447-MIN($E$2:$E$492)) / (MAX($E$2:$E$492)-MIN($E$2:$E$492))</f>
        <v/>
      </c>
    </row>
    <row r="945">
      <c r="A945" s="6" t="n">
        <v>447</v>
      </c>
      <c r="B945" s="6" t="inlineStr">
        <is>
          <t>Roewang Tamoe Coffee &amp; Space</t>
        </is>
      </c>
      <c r="C945" s="6">
        <f>(C448-MIN($C$2:$C$492)) / (MAX($C$2:$C$492)-MIN($C$2:$C$492))</f>
        <v/>
      </c>
      <c r="D945" s="6">
        <f>(D448-MIN($D$2:$D$492)) / (MAX($D$2:$D$492)-MIN($D$2:$D$492))</f>
        <v/>
      </c>
      <c r="E945" s="6">
        <f>(E448-MIN($E$2:$E$492)) / (MAX($E$2:$E$492)-MIN($E$2:$E$492))</f>
        <v/>
      </c>
    </row>
    <row r="946">
      <c r="A946" s="6" t="n">
        <v>448</v>
      </c>
      <c r="B946" s="6" t="inlineStr">
        <is>
          <t>nowhere coffee</t>
        </is>
      </c>
      <c r="C946" s="6">
        <f>(C449-MIN($C$2:$C$492)) / (MAX($C$2:$C$492)-MIN($C$2:$C$492))</f>
        <v/>
      </c>
      <c r="D946" s="6">
        <f>(D449-MIN($D$2:$D$492)) / (MAX($D$2:$D$492)-MIN($D$2:$D$492))</f>
        <v/>
      </c>
      <c r="E946" s="6">
        <f>(E449-MIN($E$2:$E$492)) / (MAX($E$2:$E$492)-MIN($E$2:$E$492))</f>
        <v/>
      </c>
    </row>
    <row r="947">
      <c r="A947" s="6" t="n">
        <v>449</v>
      </c>
      <c r="B947" s="6" t="inlineStr">
        <is>
          <t>The Localist Coffee and Bistro Surabaya</t>
        </is>
      </c>
      <c r="C947" s="6">
        <f>(C450-MIN($C$2:$C$492)) / (MAX($C$2:$C$492)-MIN($C$2:$C$492))</f>
        <v/>
      </c>
      <c r="D947" s="6">
        <f>(D450-MIN($D$2:$D$492)) / (MAX($D$2:$D$492)-MIN($D$2:$D$492))</f>
        <v/>
      </c>
      <c r="E947" s="6">
        <f>(E450-MIN($E$2:$E$492)) / (MAX($E$2:$E$492)-MIN($E$2:$E$492))</f>
        <v/>
      </c>
    </row>
    <row r="948">
      <c r="A948" s="6" t="n">
        <v>450</v>
      </c>
      <c r="B948" s="6" t="inlineStr">
        <is>
          <t>Bohemian Cafe</t>
        </is>
      </c>
      <c r="C948" s="6">
        <f>(C451-MIN($C$2:$C$492)) / (MAX($C$2:$C$492)-MIN($C$2:$C$492))</f>
        <v/>
      </c>
      <c r="D948" s="6">
        <f>(D451-MIN($D$2:$D$492)) / (MAX($D$2:$D$492)-MIN($D$2:$D$492))</f>
        <v/>
      </c>
      <c r="E948" s="6">
        <f>(E451-MIN($E$2:$E$492)) / (MAX($E$2:$E$492)-MIN($E$2:$E$492))</f>
        <v/>
      </c>
    </row>
    <row r="949">
      <c r="A949" s="6" t="n">
        <v>451</v>
      </c>
      <c r="B949" s="6" t="inlineStr">
        <is>
          <t>Nakoa Cafe Bondowoso</t>
        </is>
      </c>
      <c r="C949" s="6">
        <f>(C452-MIN($C$2:$C$492)) / (MAX($C$2:$C$492)-MIN($C$2:$C$492))</f>
        <v/>
      </c>
      <c r="D949" s="6">
        <f>(D452-MIN($D$2:$D$492)) / (MAX($D$2:$D$492)-MIN($D$2:$D$492))</f>
        <v/>
      </c>
      <c r="E949" s="6">
        <f>(E452-MIN($E$2:$E$492)) / (MAX($E$2:$E$492)-MIN($E$2:$E$492))</f>
        <v/>
      </c>
    </row>
    <row r="950">
      <c r="A950" s="6" t="n">
        <v>452</v>
      </c>
      <c r="B950" s="6" t="inlineStr">
        <is>
          <t>Ruca Koffie</t>
        </is>
      </c>
      <c r="C950" s="6">
        <f>(C453-MIN($C$2:$C$492)) / (MAX($C$2:$C$492)-MIN($C$2:$C$492))</f>
        <v/>
      </c>
      <c r="D950" s="6">
        <f>(D453-MIN($D$2:$D$492)) / (MAX($D$2:$D$492)-MIN($D$2:$D$492))</f>
        <v/>
      </c>
      <c r="E950" s="6">
        <f>(E453-MIN($E$2:$E$492)) / (MAX($E$2:$E$492)-MIN($E$2:$E$492))</f>
        <v/>
      </c>
    </row>
    <row r="951">
      <c r="A951" s="6" t="n">
        <v>453</v>
      </c>
      <c r="B951" s="6" t="inlineStr">
        <is>
          <t>Brick Lane Coffee Malang</t>
        </is>
      </c>
      <c r="C951" s="6">
        <f>(C454-MIN($C$2:$C$492)) / (MAX($C$2:$C$492)-MIN($C$2:$C$492))</f>
        <v/>
      </c>
      <c r="D951" s="6">
        <f>(D454-MIN($D$2:$D$492)) / (MAX($D$2:$D$492)-MIN($D$2:$D$492))</f>
        <v/>
      </c>
      <c r="E951" s="6">
        <f>(E454-MIN($E$2:$E$492)) / (MAX($E$2:$E$492)-MIN($E$2:$E$492))</f>
        <v/>
      </c>
    </row>
    <row r="952">
      <c r="A952" s="6" t="n">
        <v>454</v>
      </c>
      <c r="B952" s="6" t="inlineStr">
        <is>
          <t>Dekker Koffie</t>
        </is>
      </c>
      <c r="C952" s="6">
        <f>(C455-MIN($C$2:$C$492)) / (MAX($C$2:$C$492)-MIN($C$2:$C$492))</f>
        <v/>
      </c>
      <c r="D952" s="6">
        <f>(D455-MIN($D$2:$D$492)) / (MAX($D$2:$D$492)-MIN($D$2:$D$492))</f>
        <v/>
      </c>
      <c r="E952" s="6">
        <f>(E455-MIN($E$2:$E$492)) / (MAX($E$2:$E$492)-MIN($E$2:$E$492))</f>
        <v/>
      </c>
    </row>
    <row r="953">
      <c r="A953" s="6" t="n">
        <v>455</v>
      </c>
      <c r="B953" s="6" t="inlineStr">
        <is>
          <t>Robucca</t>
        </is>
      </c>
      <c r="C953" s="6">
        <f>(C456-MIN($C$2:$C$492)) / (MAX($C$2:$C$492)-MIN($C$2:$C$492))</f>
        <v/>
      </c>
      <c r="D953" s="6">
        <f>(D456-MIN($D$2:$D$492)) / (MAX($D$2:$D$492)-MIN($D$2:$D$492))</f>
        <v/>
      </c>
      <c r="E953" s="6">
        <f>(E456-MIN($E$2:$E$492)) / (MAX($E$2:$E$492)-MIN($E$2:$E$492))</f>
        <v/>
      </c>
    </row>
    <row r="954">
      <c r="A954" s="6" t="n">
        <v>456</v>
      </c>
      <c r="B954" s="6" t="inlineStr">
        <is>
          <t>KAF Cafe</t>
        </is>
      </c>
      <c r="C954" s="6">
        <f>(C457-MIN($C$2:$C$492)) / (MAX($C$2:$C$492)-MIN($C$2:$C$492))</f>
        <v/>
      </c>
      <c r="D954" s="6">
        <f>(D457-MIN($D$2:$D$492)) / (MAX($D$2:$D$492)-MIN($D$2:$D$492))</f>
        <v/>
      </c>
      <c r="E954" s="6">
        <f>(E457-MIN($E$2:$E$492)) / (MAX($E$2:$E$492)-MIN($E$2:$E$492))</f>
        <v/>
      </c>
    </row>
    <row r="955">
      <c r="A955" s="6" t="n">
        <v>457</v>
      </c>
      <c r="B955" s="6" t="inlineStr">
        <is>
          <t>the lust coffee &amp; co</t>
        </is>
      </c>
      <c r="C955" s="6">
        <f>(C458-MIN($C$2:$C$492)) / (MAX($C$2:$C$492)-MIN($C$2:$C$492))</f>
        <v/>
      </c>
      <c r="D955" s="6">
        <f>(D458-MIN($D$2:$D$492)) / (MAX($D$2:$D$492)-MIN($D$2:$D$492))</f>
        <v/>
      </c>
      <c r="E955" s="6">
        <f>(E458-MIN($E$2:$E$492)) / (MAX($E$2:$E$492)-MIN($E$2:$E$492))</f>
        <v/>
      </c>
    </row>
    <row r="956">
      <c r="A956" s="6" t="n">
        <v>458</v>
      </c>
      <c r="B956" s="6" t="inlineStr">
        <is>
          <t>Hidden Leaf Coffee &amp; Roastery</t>
        </is>
      </c>
      <c r="C956" s="6">
        <f>(C459-MIN($C$2:$C$492)) / (MAX($C$2:$C$492)-MIN($C$2:$C$492))</f>
        <v/>
      </c>
      <c r="D956" s="6">
        <f>(D459-MIN($D$2:$D$492)) / (MAX($D$2:$D$492)-MIN($D$2:$D$492))</f>
        <v/>
      </c>
      <c r="E956" s="6">
        <f>(E459-MIN($E$2:$E$492)) / (MAX($E$2:$E$492)-MIN($E$2:$E$492))</f>
        <v/>
      </c>
    </row>
    <row r="957">
      <c r="A957" s="6" t="n">
        <v>459</v>
      </c>
      <c r="B957" s="6" t="inlineStr">
        <is>
          <t>Soma Coffee - Malang</t>
        </is>
      </c>
      <c r="C957" s="6">
        <f>(C460-MIN($C$2:$C$492)) / (MAX($C$2:$C$492)-MIN($C$2:$C$492))</f>
        <v/>
      </c>
      <c r="D957" s="6">
        <f>(D460-MIN($D$2:$D$492)) / (MAX($D$2:$D$492)-MIN($D$2:$D$492))</f>
        <v/>
      </c>
      <c r="E957" s="6">
        <f>(E460-MIN($E$2:$E$492)) / (MAX($E$2:$E$492)-MIN($E$2:$E$492))</f>
        <v/>
      </c>
    </row>
    <row r="958">
      <c r="A958" s="6" t="n">
        <v>460</v>
      </c>
      <c r="B958" s="6" t="inlineStr">
        <is>
          <t>All About Koffie by Kawisari</t>
        </is>
      </c>
      <c r="C958" s="6">
        <f>(C461-MIN($C$2:$C$492)) / (MAX($C$2:$C$492)-MIN($C$2:$C$492))</f>
        <v/>
      </c>
      <c r="D958" s="6">
        <f>(D461-MIN($D$2:$D$492)) / (MAX($D$2:$D$492)-MIN($D$2:$D$492))</f>
        <v/>
      </c>
      <c r="E958" s="6">
        <f>(E461-MIN($E$2:$E$492)) / (MAX($E$2:$E$492)-MIN($E$2:$E$492))</f>
        <v/>
      </c>
    </row>
    <row r="959">
      <c r="A959" s="6" t="n">
        <v>461</v>
      </c>
      <c r="B959" s="6" t="inlineStr">
        <is>
          <t>Lupa Lelah Cafe</t>
        </is>
      </c>
      <c r="C959" s="6">
        <f>(C462-MIN($C$2:$C$492)) / (MAX($C$2:$C$492)-MIN($C$2:$C$492))</f>
        <v/>
      </c>
      <c r="D959" s="6">
        <f>(D462-MIN($D$2:$D$492)) / (MAX($D$2:$D$492)-MIN($D$2:$D$492))</f>
        <v/>
      </c>
      <c r="E959" s="6">
        <f>(E462-MIN($E$2:$E$492)) / (MAX($E$2:$E$492)-MIN($E$2:$E$492))</f>
        <v/>
      </c>
    </row>
    <row r="960">
      <c r="A960" s="6" t="n">
        <v>462</v>
      </c>
      <c r="B960" s="6" t="inlineStr">
        <is>
          <t>Kopi Kakak - Pucang Anom Timur</t>
        </is>
      </c>
      <c r="C960" s="6">
        <f>(C463-MIN($C$2:$C$492)) / (MAX($C$2:$C$492)-MIN($C$2:$C$492))</f>
        <v/>
      </c>
      <c r="D960" s="6">
        <f>(D463-MIN($D$2:$D$492)) / (MAX($D$2:$D$492)-MIN($D$2:$D$492))</f>
        <v/>
      </c>
      <c r="E960" s="6">
        <f>(E463-MIN($E$2:$E$492)) / (MAX($E$2:$E$492)-MIN($E$2:$E$492))</f>
        <v/>
      </c>
    </row>
    <row r="961">
      <c r="A961" s="6" t="n">
        <v>463</v>
      </c>
      <c r="B961" s="6" t="inlineStr">
        <is>
          <t>De Historien Koffie Malang</t>
        </is>
      </c>
      <c r="C961" s="6">
        <f>(C464-MIN($C$2:$C$492)) / (MAX($C$2:$C$492)-MIN($C$2:$C$492))</f>
        <v/>
      </c>
      <c r="D961" s="6">
        <f>(D464-MIN($D$2:$D$492)) / (MAX($D$2:$D$492)-MIN($D$2:$D$492))</f>
        <v/>
      </c>
      <c r="E961" s="6">
        <f>(E464-MIN($E$2:$E$492)) / (MAX($E$2:$E$492)-MIN($E$2:$E$492))</f>
        <v/>
      </c>
    </row>
    <row r="962">
      <c r="A962" s="6" t="n">
        <v>464</v>
      </c>
      <c r="B962" s="6" t="inlineStr">
        <is>
          <t>coffee story</t>
        </is>
      </c>
      <c r="C962" s="6">
        <f>(C465-MIN($C$2:$C$492)) / (MAX($C$2:$C$492)-MIN($C$2:$C$492))</f>
        <v/>
      </c>
      <c r="D962" s="6">
        <f>(D465-MIN($D$2:$D$492)) / (MAX($D$2:$D$492)-MIN($D$2:$D$492))</f>
        <v/>
      </c>
      <c r="E962" s="6">
        <f>(E465-MIN($E$2:$E$492)) / (MAX($E$2:$E$492)-MIN($E$2:$E$492))</f>
        <v/>
      </c>
    </row>
    <row r="963">
      <c r="A963" s="6" t="n">
        <v>465</v>
      </c>
      <c r="B963" s="6" t="inlineStr">
        <is>
          <t>Motiv Coffee</t>
        </is>
      </c>
      <c r="C963" s="6">
        <f>(C466-MIN($C$2:$C$492)) / (MAX($C$2:$C$492)-MIN($C$2:$C$492))</f>
        <v/>
      </c>
      <c r="D963" s="6">
        <f>(D466-MIN($D$2:$D$492)) / (MAX($D$2:$D$492)-MIN($D$2:$D$492))</f>
        <v/>
      </c>
      <c r="E963" s="6">
        <f>(E466-MIN($E$2:$E$492)) / (MAX($E$2:$E$492)-MIN($E$2:$E$492))</f>
        <v/>
      </c>
    </row>
    <row r="964">
      <c r="A964" s="6" t="n">
        <v>466</v>
      </c>
      <c r="B964" s="6" t="inlineStr">
        <is>
          <t>Calathea Garden</t>
        </is>
      </c>
      <c r="C964" s="6">
        <f>(C467-MIN($C$2:$C$492)) / (MAX($C$2:$C$492)-MIN($C$2:$C$492))</f>
        <v/>
      </c>
      <c r="D964" s="6">
        <f>(D467-MIN($D$2:$D$492)) / (MAX($D$2:$D$492)-MIN($D$2:$D$492))</f>
        <v/>
      </c>
      <c r="E964" s="6">
        <f>(E467-MIN($E$2:$E$492)) / (MAX($E$2:$E$492)-MIN($E$2:$E$492))</f>
        <v/>
      </c>
    </row>
    <row r="965">
      <c r="A965" s="6" t="n">
        <v>467</v>
      </c>
      <c r="B965" s="6" t="inlineStr">
        <is>
          <t>Kopi Zocco</t>
        </is>
      </c>
      <c r="C965" s="6">
        <f>(C468-MIN($C$2:$C$492)) / (MAX($C$2:$C$492)-MIN($C$2:$C$492))</f>
        <v/>
      </c>
      <c r="D965" s="6">
        <f>(D468-MIN($D$2:$D$492)) / (MAX($D$2:$D$492)-MIN($D$2:$D$492))</f>
        <v/>
      </c>
      <c r="E965" s="6">
        <f>(E468-MIN($E$2:$E$492)) / (MAX($E$2:$E$492)-MIN($E$2:$E$492))</f>
        <v/>
      </c>
    </row>
    <row r="966">
      <c r="A966" s="6" t="n">
        <v>468</v>
      </c>
      <c r="B966" s="6" t="inlineStr">
        <is>
          <t>Sixteenhaus</t>
        </is>
      </c>
      <c r="C966" s="6">
        <f>(C469-MIN($C$2:$C$492)) / (MAX($C$2:$C$492)-MIN($C$2:$C$492))</f>
        <v/>
      </c>
      <c r="D966" s="6">
        <f>(D469-MIN($D$2:$D$492)) / (MAX($D$2:$D$492)-MIN($D$2:$D$492))</f>
        <v/>
      </c>
      <c r="E966" s="6">
        <f>(E469-MIN($E$2:$E$492)) / (MAX($E$2:$E$492)-MIN($E$2:$E$492))</f>
        <v/>
      </c>
    </row>
    <row r="967">
      <c r="A967" s="6" t="n">
        <v>469</v>
      </c>
      <c r="B967" s="6" t="inlineStr">
        <is>
          <t>KOZI Coffee Malang</t>
        </is>
      </c>
      <c r="C967" s="6">
        <f>(C470-MIN($C$2:$C$492)) / (MAX($C$2:$C$492)-MIN($C$2:$C$492))</f>
        <v/>
      </c>
      <c r="D967" s="6">
        <f>(D470-MIN($D$2:$D$492)) / (MAX($D$2:$D$492)-MIN($D$2:$D$492))</f>
        <v/>
      </c>
      <c r="E967" s="6">
        <f>(E470-MIN($E$2:$E$492)) / (MAX($E$2:$E$492)-MIN($E$2:$E$492))</f>
        <v/>
      </c>
    </row>
    <row r="968">
      <c r="A968" s="6" t="n">
        <v>470</v>
      </c>
      <c r="B968" s="6" t="inlineStr">
        <is>
          <t>Queen coffee malang</t>
        </is>
      </c>
      <c r="C968" s="6">
        <f>(C471-MIN($C$2:$C$492)) / (MAX($C$2:$C$492)-MIN($C$2:$C$492))</f>
        <v/>
      </c>
      <c r="D968" s="6">
        <f>(D471-MIN($D$2:$D$492)) / (MAX($D$2:$D$492)-MIN($D$2:$D$492))</f>
        <v/>
      </c>
      <c r="E968" s="6">
        <f>(E471-MIN($E$2:$E$492)) / (MAX($E$2:$E$492)-MIN($E$2:$E$492))</f>
        <v/>
      </c>
    </row>
    <row r="969">
      <c r="A969" s="6" t="n">
        <v>471</v>
      </c>
      <c r="B969" s="6" t="inlineStr">
        <is>
          <t>Kopi Sontoloyo</t>
        </is>
      </c>
      <c r="C969" s="6">
        <f>(C472-MIN($C$2:$C$492)) / (MAX($C$2:$C$492)-MIN($C$2:$C$492))</f>
        <v/>
      </c>
      <c r="D969" s="6">
        <f>(D472-MIN($D$2:$D$492)) / (MAX($D$2:$D$492)-MIN($D$2:$D$492))</f>
        <v/>
      </c>
      <c r="E969" s="6">
        <f>(E472-MIN($E$2:$E$492)) / (MAX($E$2:$E$492)-MIN($E$2:$E$492))</f>
        <v/>
      </c>
    </row>
    <row r="970">
      <c r="A970" s="6" t="n">
        <v>472</v>
      </c>
      <c r="B970" s="6" t="inlineStr">
        <is>
          <t>Jeda Cafe Rooftop</t>
        </is>
      </c>
      <c r="C970" s="6">
        <f>(C473-MIN($C$2:$C$492)) / (MAX($C$2:$C$492)-MIN($C$2:$C$492))</f>
        <v/>
      </c>
      <c r="D970" s="6">
        <f>(D473-MIN($D$2:$D$492)) / (MAX($D$2:$D$492)-MIN($D$2:$D$492))</f>
        <v/>
      </c>
      <c r="E970" s="6">
        <f>(E473-MIN($E$2:$E$492)) / (MAX($E$2:$E$492)-MIN($E$2:$E$492))</f>
        <v/>
      </c>
    </row>
    <row r="971">
      <c r="A971" s="6" t="n">
        <v>473</v>
      </c>
      <c r="B971" s="6" t="inlineStr">
        <is>
          <t>Blue Doors Surabaya</t>
        </is>
      </c>
      <c r="C971" s="6">
        <f>(C474-MIN($C$2:$C$492)) / (MAX($C$2:$C$492)-MIN($C$2:$C$492))</f>
        <v/>
      </c>
      <c r="D971" s="6">
        <f>(D474-MIN($D$2:$D$492)) / (MAX($D$2:$D$492)-MIN($D$2:$D$492))</f>
        <v/>
      </c>
      <c r="E971" s="6">
        <f>(E474-MIN($E$2:$E$492)) / (MAX($E$2:$E$492)-MIN($E$2:$E$492))</f>
        <v/>
      </c>
    </row>
    <row r="972">
      <c r="A972" s="6" t="n">
        <v>474</v>
      </c>
      <c r="B972" s="6" t="inlineStr">
        <is>
          <t>OURA - Cafe &amp; Restaurant</t>
        </is>
      </c>
      <c r="C972" s="6">
        <f>(C475-MIN($C$2:$C$492)) / (MAX($C$2:$C$492)-MIN($C$2:$C$492))</f>
        <v/>
      </c>
      <c r="D972" s="6">
        <f>(D475-MIN($D$2:$D$492)) / (MAX($D$2:$D$492)-MIN($D$2:$D$492))</f>
        <v/>
      </c>
      <c r="E972" s="6">
        <f>(E475-MIN($E$2:$E$492)) / (MAX($E$2:$E$492)-MIN($E$2:$E$492))</f>
        <v/>
      </c>
    </row>
    <row r="973">
      <c r="A973" s="6" t="n">
        <v>475</v>
      </c>
      <c r="B973" s="6" t="inlineStr">
        <is>
          <t>Amstirdam Coffee Mergan</t>
        </is>
      </c>
      <c r="C973" s="6">
        <f>(C476-MIN($C$2:$C$492)) / (MAX($C$2:$C$492)-MIN($C$2:$C$492))</f>
        <v/>
      </c>
      <c r="D973" s="6">
        <f>(D476-MIN($D$2:$D$492)) / (MAX($D$2:$D$492)-MIN($D$2:$D$492))</f>
        <v/>
      </c>
      <c r="E973" s="6">
        <f>(E476-MIN($E$2:$E$492)) / (MAX($E$2:$E$492)-MIN($E$2:$E$492))</f>
        <v/>
      </c>
    </row>
    <row r="974">
      <c r="A974" s="6" t="n">
        <v>476</v>
      </c>
      <c r="B974" s="6" t="inlineStr">
        <is>
          <t>Konoae Warung A La Cafe, Klampis Ngasem</t>
        </is>
      </c>
      <c r="C974" s="6">
        <f>(C477-MIN($C$2:$C$492)) / (MAX($C$2:$C$492)-MIN($C$2:$C$492))</f>
        <v/>
      </c>
      <c r="D974" s="6">
        <f>(D477-MIN($D$2:$D$492)) / (MAX($D$2:$D$492)-MIN($D$2:$D$492))</f>
        <v/>
      </c>
      <c r="E974" s="6">
        <f>(E477-MIN($E$2:$E$492)) / (MAX($E$2:$E$492)-MIN($E$2:$E$492))</f>
        <v/>
      </c>
    </row>
    <row r="975">
      <c r="A975" s="6" t="n">
        <v>477</v>
      </c>
      <c r="B975" s="6" t="inlineStr">
        <is>
          <t>LOT #1 Coffee Bar</t>
        </is>
      </c>
      <c r="C975" s="6">
        <f>(C478-MIN($C$2:$C$492)) / (MAX($C$2:$C$492)-MIN($C$2:$C$492))</f>
        <v/>
      </c>
      <c r="D975" s="6">
        <f>(D478-MIN($D$2:$D$492)) / (MAX($D$2:$D$492)-MIN($D$2:$D$492))</f>
        <v/>
      </c>
      <c r="E975" s="6">
        <f>(E478-MIN($E$2:$E$492)) / (MAX($E$2:$E$492)-MIN($E$2:$E$492))</f>
        <v/>
      </c>
    </row>
    <row r="976">
      <c r="A976" s="6" t="n">
        <v>478</v>
      </c>
      <c r="B976" s="6" t="inlineStr">
        <is>
          <t>LaLeite Coffee</t>
        </is>
      </c>
      <c r="C976" s="6">
        <f>(C479-MIN($C$2:$C$492)) / (MAX($C$2:$C$492)-MIN($C$2:$C$492))</f>
        <v/>
      </c>
      <c r="D976" s="6">
        <f>(D479-MIN($D$2:$D$492)) / (MAX($D$2:$D$492)-MIN($D$2:$D$492))</f>
        <v/>
      </c>
      <c r="E976" s="6">
        <f>(E479-MIN($E$2:$E$492)) / (MAX($E$2:$E$492)-MIN($E$2:$E$492))</f>
        <v/>
      </c>
    </row>
    <row r="977">
      <c r="A977" s="6" t="n">
        <v>479</v>
      </c>
      <c r="B977" s="6" t="inlineStr">
        <is>
          <t>Grain Alley</t>
        </is>
      </c>
      <c r="C977" s="6">
        <f>(C480-MIN($C$2:$C$492)) / (MAX($C$2:$C$492)-MIN($C$2:$C$492))</f>
        <v/>
      </c>
      <c r="D977" s="6">
        <f>(D480-MIN($D$2:$D$492)) / (MAX($D$2:$D$492)-MIN($D$2:$D$492))</f>
        <v/>
      </c>
      <c r="E977" s="6">
        <f>(E480-MIN($E$2:$E$492)) / (MAX($E$2:$E$492)-MIN($E$2:$E$492))</f>
        <v/>
      </c>
    </row>
    <row r="978">
      <c r="A978" s="6" t="n">
        <v>480</v>
      </c>
      <c r="B978" s="6" t="inlineStr">
        <is>
          <t>MMMM Coffee</t>
        </is>
      </c>
      <c r="C978" s="6">
        <f>(C481-MIN($C$2:$C$492)) / (MAX($C$2:$C$492)-MIN($C$2:$C$492))</f>
        <v/>
      </c>
      <c r="D978" s="6">
        <f>(D481-MIN($D$2:$D$492)) / (MAX($D$2:$D$492)-MIN($D$2:$D$492))</f>
        <v/>
      </c>
      <c r="E978" s="6">
        <f>(E481-MIN($E$2:$E$492)) / (MAX($E$2:$E$492)-MIN($E$2:$E$492))</f>
        <v/>
      </c>
    </row>
    <row r="979">
      <c r="A979" s="6" t="n">
        <v>481</v>
      </c>
      <c r="B979" s="6" t="inlineStr">
        <is>
          <t>La Luna Space</t>
        </is>
      </c>
      <c r="C979" s="6">
        <f>(C482-MIN($C$2:$C$492)) / (MAX($C$2:$C$492)-MIN($C$2:$C$492))</f>
        <v/>
      </c>
      <c r="D979" s="6">
        <f>(D482-MIN($D$2:$D$492)) / (MAX($D$2:$D$492)-MIN($D$2:$D$492))</f>
        <v/>
      </c>
      <c r="E979" s="6">
        <f>(E482-MIN($E$2:$E$492)) / (MAX($E$2:$E$492)-MIN($E$2:$E$492))</f>
        <v/>
      </c>
    </row>
    <row r="980">
      <c r="A980" s="6" t="n">
        <v>482</v>
      </c>
      <c r="B980" s="6" t="inlineStr">
        <is>
          <t>UB Coffee - Coffee &amp; Eatery</t>
        </is>
      </c>
      <c r="C980" s="6">
        <f>(C483-MIN($C$2:$C$492)) / (MAX($C$2:$C$492)-MIN($C$2:$C$492))</f>
        <v/>
      </c>
      <c r="D980" s="6">
        <f>(D483-MIN($D$2:$D$492)) / (MAX($D$2:$D$492)-MIN($D$2:$D$492))</f>
        <v/>
      </c>
      <c r="E980" s="6">
        <f>(E483-MIN($E$2:$E$492)) / (MAX($E$2:$E$492)-MIN($E$2:$E$492))</f>
        <v/>
      </c>
    </row>
    <row r="981">
      <c r="A981" s="6" t="n">
        <v>483</v>
      </c>
      <c r="B981" s="6" t="inlineStr">
        <is>
          <t>Droomhaven Coffee Shop</t>
        </is>
      </c>
      <c r="C981" s="6">
        <f>(C484-MIN($C$2:$C$492)) / (MAX($C$2:$C$492)-MIN($C$2:$C$492))</f>
        <v/>
      </c>
      <c r="D981" s="6">
        <f>(D484-MIN($D$2:$D$492)) / (MAX($D$2:$D$492)-MIN($D$2:$D$492))</f>
        <v/>
      </c>
      <c r="E981" s="6">
        <f>(E484-MIN($E$2:$E$492)) / (MAX($E$2:$E$492)-MIN($E$2:$E$492))</f>
        <v/>
      </c>
    </row>
    <row r="982">
      <c r="A982" s="6" t="n">
        <v>484</v>
      </c>
      <c r="B982" s="6" t="inlineStr">
        <is>
          <t>KOPI BUJEND</t>
        </is>
      </c>
      <c r="C982" s="6">
        <f>(C485-MIN($C$2:$C$492)) / (MAX($C$2:$C$492)-MIN($C$2:$C$492))</f>
        <v/>
      </c>
      <c r="D982" s="6">
        <f>(D485-MIN($D$2:$D$492)) / (MAX($D$2:$D$492)-MIN($D$2:$D$492))</f>
        <v/>
      </c>
      <c r="E982" s="6">
        <f>(E485-MIN($E$2:$E$492)) / (MAX($E$2:$E$492)-MIN($E$2:$E$492))</f>
        <v/>
      </c>
    </row>
    <row r="983">
      <c r="A983" s="6" t="n">
        <v>485</v>
      </c>
      <c r="B983" s="6" t="inlineStr">
        <is>
          <t>Kopi Titik Koma Tenggilis</t>
        </is>
      </c>
      <c r="C983" s="6">
        <f>(C486-MIN($C$2:$C$492)) / (MAX($C$2:$C$492)-MIN($C$2:$C$492))</f>
        <v/>
      </c>
      <c r="D983" s="6">
        <f>(D486-MIN($D$2:$D$492)) / (MAX($D$2:$D$492)-MIN($D$2:$D$492))</f>
        <v/>
      </c>
      <c r="E983" s="6">
        <f>(E486-MIN($E$2:$E$492)) / (MAX($E$2:$E$492)-MIN($E$2:$E$492))</f>
        <v/>
      </c>
    </row>
    <row r="984">
      <c r="A984" s="6" t="n">
        <v>486</v>
      </c>
      <c r="B984" s="6" t="inlineStr">
        <is>
          <t>Seniman Coffee Trunojoyo</t>
        </is>
      </c>
      <c r="C984" s="6">
        <f>(C487-MIN($C$2:$C$492)) / (MAX($C$2:$C$492)-MIN($C$2:$C$492))</f>
        <v/>
      </c>
      <c r="D984" s="6">
        <f>(D487-MIN($D$2:$D$492)) / (MAX($D$2:$D$492)-MIN($D$2:$D$492))</f>
        <v/>
      </c>
      <c r="E984" s="6">
        <f>(E487-MIN($E$2:$E$492)) / (MAX($E$2:$E$492)-MIN($E$2:$E$492))</f>
        <v/>
      </c>
    </row>
    <row r="985">
      <c r="A985" s="6" t="n">
        <v>487</v>
      </c>
      <c r="B985" s="6" t="inlineStr">
        <is>
          <t>Tenthirty coffee and eatery</t>
        </is>
      </c>
      <c r="C985" s="6">
        <f>(C488-MIN($C$2:$C$492)) / (MAX($C$2:$C$492)-MIN($C$2:$C$492))</f>
        <v/>
      </c>
      <c r="D985" s="6">
        <f>(D488-MIN($D$2:$D$492)) / (MAX($D$2:$D$492)-MIN($D$2:$D$492))</f>
        <v/>
      </c>
      <c r="E985" s="6">
        <f>(E488-MIN($E$2:$E$492)) / (MAX($E$2:$E$492)-MIN($E$2:$E$492))</f>
        <v/>
      </c>
    </row>
    <row r="986">
      <c r="A986" s="6" t="n">
        <v>488</v>
      </c>
      <c r="B986" s="6" t="inlineStr">
        <is>
          <t>SWAG COFFEE Co. Space</t>
        </is>
      </c>
      <c r="C986" s="6">
        <f>(C489-MIN($C$2:$C$492)) / (MAX($C$2:$C$492)-MIN($C$2:$C$492))</f>
        <v/>
      </c>
      <c r="D986" s="6">
        <f>(D489-MIN($D$2:$D$492)) / (MAX($D$2:$D$492)-MIN($D$2:$D$492))</f>
        <v/>
      </c>
      <c r="E986" s="6">
        <f>(E489-MIN($E$2:$E$492)) / (MAX($E$2:$E$492)-MIN($E$2:$E$492))</f>
        <v/>
      </c>
    </row>
    <row r="987">
      <c r="A987" s="6" t="n">
        <v>489</v>
      </c>
      <c r="B987" s="6" t="inlineStr">
        <is>
          <t>Retawu Deli</t>
        </is>
      </c>
      <c r="C987" s="6">
        <f>(C490-MIN($C$2:$C$492)) / (MAX($C$2:$C$492)-MIN($C$2:$C$492))</f>
        <v/>
      </c>
      <c r="D987" s="6">
        <f>(D490-MIN($D$2:$D$492)) / (MAX($D$2:$D$492)-MIN($D$2:$D$492))</f>
        <v/>
      </c>
      <c r="E987" s="6">
        <f>(E490-MIN($E$2:$E$492)) / (MAX($E$2:$E$492)-MIN($E$2:$E$492))</f>
        <v/>
      </c>
    </row>
    <row r="988">
      <c r="A988" s="6" t="n">
        <v>490</v>
      </c>
      <c r="B988" s="6" t="inlineStr">
        <is>
          <t>Partikular Coffee</t>
        </is>
      </c>
      <c r="C988" s="6">
        <f>(C491-MIN($C$2:$C$492)) / (MAX($C$2:$C$492)-MIN($C$2:$C$492))</f>
        <v/>
      </c>
      <c r="D988" s="6">
        <f>(D491-MIN($D$2:$D$492)) / (MAX($D$2:$D$492)-MIN($D$2:$D$492))</f>
        <v/>
      </c>
      <c r="E988" s="6">
        <f>(E491-MIN($E$2:$E$492)) / (MAX($E$2:$E$492)-MIN($E$2:$E$492))</f>
        <v/>
      </c>
    </row>
    <row r="989">
      <c r="A989" s="6" t="n">
        <v>491</v>
      </c>
      <c r="B989" s="6" t="inlineStr">
        <is>
          <t>Nasi Babat Kampung Malang Surabaya</t>
        </is>
      </c>
      <c r="C989" s="6">
        <f>(C492-MIN($C$2:$C$492)) / (MAX($C$2:$C$492)-MIN($C$2:$C$492))</f>
        <v/>
      </c>
      <c r="D989" s="6">
        <f>(D492-MIN($D$2:$D$492)) / (MAX($D$2:$D$492)-MIN($D$2:$D$492))</f>
        <v/>
      </c>
      <c r="E989" s="6">
        <f>(E492-MIN($E$2:$E$492)) / (MAX($E$2:$E$492)-MIN($E$2:$E$492))</f>
        <v/>
      </c>
    </row>
  </sheetData>
  <mergeCells count="1">
    <mergeCell ref="A495:B49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4"/>
  <sheetViews>
    <sheetView zoomScale="107" workbookViewId="0">
      <selection activeCell="S2" sqref="S2:S364"/>
    </sheetView>
  </sheetViews>
  <sheetFormatPr baseColWidth="10" defaultRowHeight="16"/>
  <cols>
    <col width="69.6640625" bestFit="1" customWidth="1" style="21" min="1" max="1"/>
    <col width="12.1640625" bestFit="1" customWidth="1" style="21" min="4" max="4"/>
    <col width="12.1640625" customWidth="1" style="21" min="5" max="5"/>
    <col width="19" bestFit="1" customWidth="1" style="21" min="6" max="6"/>
    <col width="17.83203125" bestFit="1" customWidth="1" style="21" min="7" max="7"/>
    <col width="19" bestFit="1" customWidth="1" style="21" min="8" max="8"/>
    <col width="17.5" bestFit="1" customWidth="1" style="21" min="9" max="9"/>
    <col width="24.1640625" customWidth="1" style="21" min="10" max="10"/>
    <col width="27.83203125" customWidth="1" style="21" min="18" max="18"/>
    <col width="13" bestFit="1" customWidth="1" style="21" min="19" max="19"/>
  </cols>
  <sheetData>
    <row r="1">
      <c r="A1" s="3" t="inlineStr">
        <is>
          <t>Nama_Tempat</t>
        </is>
      </c>
      <c r="B1" s="3" t="inlineStr">
        <is>
          <t>Norm_Harga</t>
        </is>
      </c>
      <c r="C1" s="3" t="inlineStr">
        <is>
          <t>Norm_Lat</t>
        </is>
      </c>
      <c r="D1" s="18" t="inlineStr">
        <is>
          <t>Norm_Long</t>
        </is>
      </c>
      <c r="F1" s="63" t="inlineStr">
        <is>
          <t>PUSAT CLUSTER</t>
        </is>
      </c>
      <c r="G1" s="60" t="inlineStr">
        <is>
          <t>Cluster 1 (Murah)</t>
        </is>
      </c>
      <c r="H1" s="60" t="inlineStr">
        <is>
          <t>Cluster 2 (Sedang)</t>
        </is>
      </c>
      <c r="I1" s="60" t="inlineStr">
        <is>
          <t>Cluster 3 (Mahal)</t>
        </is>
      </c>
      <c r="K1" s="23" t="inlineStr">
        <is>
          <t>Jarak_ke_C1</t>
        </is>
      </c>
      <c r="L1" s="23" t="inlineStr">
        <is>
          <t>Jarak_ke_C2</t>
        </is>
      </c>
      <c r="M1" s="23" t="inlineStr">
        <is>
          <t>Jarak_ke_C3</t>
        </is>
      </c>
      <c r="O1" s="24" t="inlineStr">
        <is>
          <t>Mu_Murah</t>
        </is>
      </c>
      <c r="P1" s="24" t="inlineStr">
        <is>
          <t>Mu_Sedang</t>
        </is>
      </c>
      <c r="Q1" s="24" t="inlineStr">
        <is>
          <t>Mu_Mahal</t>
        </is>
      </c>
      <c r="S1" s="23" t="inlineStr">
        <is>
          <t>Kategori Akhir</t>
        </is>
      </c>
    </row>
    <row r="2">
      <c r="A2" s="6" t="inlineStr">
        <is>
          <t>SUPER OYO Flagship 90502 Holistay Malang New</t>
        </is>
      </c>
      <c r="B2" s="6" t="n">
        <v>0.08613619924675547</v>
      </c>
      <c r="C2" s="6" t="n">
        <v>0.6132745389024156</v>
      </c>
      <c r="D2" s="6" t="n">
        <v>0.5485690595530867</v>
      </c>
      <c r="F2" s="74" t="n"/>
      <c r="G2" t="n">
        <v>0.057953</v>
      </c>
      <c r="H2" t="n">
        <v>0.242811</v>
      </c>
      <c r="I2" t="n">
        <v>0.787523</v>
      </c>
      <c r="K2" s="6">
        <f>ABS(B2 - $G$2)</f>
        <v/>
      </c>
      <c r="L2" s="6">
        <f>ABS(B2 - $H$2)</f>
        <v/>
      </c>
      <c r="M2" s="6">
        <f>ABS(B2 - $I$2)</f>
        <v/>
      </c>
      <c r="O2">
        <f>(1/K2^2) / ((1/K2^2) + (1/L2^2) + (1/M2^2))</f>
        <v/>
      </c>
      <c r="P2">
        <f>(1/L2^2) / ((1/K2^2) + (1/L2^2) + (1/M2^2))</f>
        <v/>
      </c>
      <c r="Q2">
        <f>(1/M2^2) / ((1/K2^2) + (1/L2^2) + (1/M2^2))</f>
        <v/>
      </c>
      <c r="S2">
        <f>IF(MAX(O2:Q2)=O2, "Murah", IF(MAX(O2:Q2)=P2, "Sedang", "Mahal"))</f>
        <v/>
      </c>
    </row>
    <row r="3">
      <c r="A3" s="6" t="inlineStr">
        <is>
          <t>Hotel OYO 709 Menjangan Residen</t>
        </is>
      </c>
      <c r="B3" s="6" t="n">
        <v>0.004318823630483401</v>
      </c>
      <c r="C3" s="6" t="n">
        <v>0.3866539744070913</v>
      </c>
      <c r="D3" s="6" t="n">
        <v>0.3883306609409815</v>
      </c>
      <c r="K3" s="6">
        <f>ABS(B3 - $G$2)</f>
        <v/>
      </c>
      <c r="L3" s="6">
        <f>ABS(B3 - $H$2)</f>
        <v/>
      </c>
      <c r="M3" s="6">
        <f>ABS(B3 - $I$2)</f>
        <v/>
      </c>
      <c r="O3">
        <f>(1/K3^2) / ((1/K3^2) + (1/L3^2) + (1/M3^2))</f>
        <v/>
      </c>
      <c r="P3">
        <f>(1/L3^2) / ((1/K3^2) + (1/L3^2) + (1/M3^2))</f>
        <v/>
      </c>
      <c r="Q3">
        <f>(1/M3^2) / ((1/K3^2) + (1/L3^2) + (1/M3^2))</f>
        <v/>
      </c>
      <c r="S3">
        <f>IF(MAX(O3:Q3)=O3, "Murah", IF(MAX(O3:Q3)=P3, "Sedang", "Mahal"))</f>
        <v/>
      </c>
    </row>
    <row r="4">
      <c r="A4" s="6" t="inlineStr">
        <is>
          <t>Super OYO 1376 Kina Family Residence Syariah</t>
        </is>
      </c>
      <c r="B4" s="6" t="n">
        <v>0.03387300153253944</v>
      </c>
      <c r="C4" s="6" t="n">
        <v>0.5914087160484579</v>
      </c>
      <c r="D4" s="6" t="n">
        <v>0.3303791753536849</v>
      </c>
      <c r="G4">
        <f>SUMPRODUCT(O2:O364^2, $B$2:$B$364) / SUMSQ(O2:O364)</f>
        <v/>
      </c>
      <c r="H4">
        <f>SUMPRODUCT(P2:P364^2, $B$2:$B$364) / SUMSQ(P2:P364)</f>
        <v/>
      </c>
      <c r="I4">
        <f>SUMPRODUCT(Q2:Q364^2, $B$2:$B$364) / SUMSQ(Q2:Q364)</f>
        <v/>
      </c>
      <c r="K4" s="6">
        <f>ABS(B4 - $G$2)</f>
        <v/>
      </c>
      <c r="L4" s="6">
        <f>ABS(B4 - $H$2)</f>
        <v/>
      </c>
      <c r="M4" s="6">
        <f>ABS(B4 - $I$2)</f>
        <v/>
      </c>
      <c r="O4">
        <f>(1/K4^2) / ((1/K4^2) + (1/L4^2) + (1/M4^2))</f>
        <v/>
      </c>
      <c r="P4">
        <f>(1/L4^2) / ((1/K4^2) + (1/L4^2) + (1/M4^2))</f>
        <v/>
      </c>
      <c r="Q4">
        <f>(1/M4^2) / ((1/K4^2) + (1/L4^2) + (1/M4^2))</f>
        <v/>
      </c>
      <c r="S4">
        <f>IF(MAX(O4:Q4)=O4, "Murah", IF(MAX(O4:Q4)=P4, "Sedang", "Mahal"))</f>
        <v/>
      </c>
    </row>
    <row r="5">
      <c r="A5" s="6" t="inlineStr">
        <is>
          <t>OYO Flagship 90723 Khalifi House Malang</t>
        </is>
      </c>
      <c r="B5" s="6" t="n">
        <v>0.05107568749497698</v>
      </c>
      <c r="C5" s="6" t="n">
        <v>0.5033340785483627</v>
      </c>
      <c r="D5" s="6" t="n">
        <v>0.6395221697889518</v>
      </c>
      <c r="K5" s="6">
        <f>ABS(B5 - $G$2)</f>
        <v/>
      </c>
      <c r="L5" s="6">
        <f>ABS(B5 - $H$2)</f>
        <v/>
      </c>
      <c r="M5" s="6">
        <f>ABS(B5 - $I$2)</f>
        <v/>
      </c>
      <c r="O5">
        <f>(1/K5^2) / ((1/K5^2) + (1/L5^2) + (1/M5^2))</f>
        <v/>
      </c>
      <c r="P5">
        <f>(1/L5^2) / ((1/K5^2) + (1/L5^2) + (1/M5^2))</f>
        <v/>
      </c>
      <c r="Q5">
        <f>(1/M5^2) / ((1/K5^2) + (1/L5^2) + (1/M5^2))</f>
        <v/>
      </c>
      <c r="S5">
        <f>IF(MAX(O5:Q5)=O5, "Murah", IF(MAX(O5:Q5)=P5, "Sedang", "Mahal"))</f>
        <v/>
      </c>
    </row>
    <row r="6">
      <c r="A6" s="6" t="inlineStr">
        <is>
          <t>OYO 94769 Griya Djati Syariah 2</t>
        </is>
      </c>
      <c r="B6" s="6" t="n">
        <v>0.02431222789110933</v>
      </c>
      <c r="C6" s="6" t="n">
        <v>0.4474260913606651</v>
      </c>
      <c r="D6" s="6" t="n">
        <v>0.5997226614722475</v>
      </c>
      <c r="K6" s="6">
        <f>ABS(B6 - $G$2)</f>
        <v/>
      </c>
      <c r="L6" s="6">
        <f>ABS(B6 - $H$2)</f>
        <v/>
      </c>
      <c r="M6" s="6">
        <f>ABS(B6 - $I$2)</f>
        <v/>
      </c>
      <c r="O6">
        <f>(1/K6^2) / ((1/K6^2) + (1/L6^2) + (1/M6^2))</f>
        <v/>
      </c>
      <c r="P6">
        <f>(1/L6^2) / ((1/K6^2) + (1/L6^2) + (1/M6^2))</f>
        <v/>
      </c>
      <c r="Q6">
        <f>(1/M6^2) / ((1/K6^2) + (1/L6^2) + (1/M6^2))</f>
        <v/>
      </c>
      <c r="S6">
        <f>IF(MAX(O6:Q6)=O6, "Murah", IF(MAX(O6:Q6)=P6, "Sedang", "Mahal"))</f>
        <v/>
      </c>
    </row>
    <row r="7">
      <c r="A7" s="6" t="inlineStr">
        <is>
          <t>SPOT ON 2689 Safira Family Residence</t>
        </is>
      </c>
      <c r="B7" s="6" t="n">
        <v>0.02319455491230161</v>
      </c>
      <c r="C7" s="6" t="n">
        <v>0.831420221359211</v>
      </c>
      <c r="D7" s="6" t="n">
        <v>0.6887744302547286</v>
      </c>
      <c r="K7" s="6">
        <f>ABS(B7 - $G$2)</f>
        <v/>
      </c>
      <c r="L7" s="6">
        <f>ABS(B7 - $H$2)</f>
        <v/>
      </c>
      <c r="M7" s="6">
        <f>ABS(B7 - $I$2)</f>
        <v/>
      </c>
      <c r="O7">
        <f>(1/K7^2) / ((1/K7^2) + (1/L7^2) + (1/M7^2))</f>
        <v/>
      </c>
      <c r="P7">
        <f>(1/L7^2) / ((1/K7^2) + (1/L7^2) + (1/M7^2))</f>
        <v/>
      </c>
      <c r="Q7">
        <f>(1/M7^2) / ((1/K7^2) + (1/L7^2) + (1/M7^2))</f>
        <v/>
      </c>
      <c r="S7">
        <f>IF(MAX(O7:Q7)=O7, "Murah", IF(MAX(O7:Q7)=P7, "Sedang", "Mahal"))</f>
        <v/>
      </c>
    </row>
    <row r="8">
      <c r="A8" s="6" t="inlineStr">
        <is>
          <t>OYO 90684 Happy Homestay Syariah</t>
        </is>
      </c>
      <c r="B8" s="6" t="n">
        <v>0.04931811694412189</v>
      </c>
      <c r="C8" s="6" t="n">
        <v>0.6189088365979467</v>
      </c>
      <c r="D8" s="6" t="n">
        <v>0.7878918259841752</v>
      </c>
      <c r="K8" s="6">
        <f>ABS(B8 - $G$2)</f>
        <v/>
      </c>
      <c r="L8" s="6">
        <f>ABS(B8 - $H$2)</f>
        <v/>
      </c>
      <c r="M8" s="6">
        <f>ABS(B8 - $I$2)</f>
        <v/>
      </c>
      <c r="O8">
        <f>(1/K8^2) / ((1/K8^2) + (1/L8^2) + (1/M8^2))</f>
        <v/>
      </c>
      <c r="P8">
        <f>(1/L8^2) / ((1/K8^2) + (1/L8^2) + (1/M8^2))</f>
        <v/>
      </c>
      <c r="Q8">
        <f>(1/M8^2) / ((1/K8^2) + (1/L8^2) + (1/M8^2))</f>
        <v/>
      </c>
      <c r="S8">
        <f>IF(MAX(O8:Q8)=O8, "Murah", IF(MAX(O8:Q8)=P8, "Sedang", "Mahal"))</f>
        <v/>
      </c>
    </row>
    <row r="9">
      <c r="A9" s="6" t="inlineStr">
        <is>
          <t>OYO LIfe 1036 Hotel Palem 1 Syariah</t>
        </is>
      </c>
      <c r="B9" s="6" t="n">
        <v>0.08782808953577634</v>
      </c>
      <c r="C9" s="6" t="n">
        <v>0.5047617891500069</v>
      </c>
      <c r="D9" s="6" t="n">
        <v>0.4682455686477583</v>
      </c>
      <c r="K9" s="6">
        <f>ABS(B9 - $G$2)</f>
        <v/>
      </c>
      <c r="L9" s="6">
        <f>ABS(B9 - $H$2)</f>
        <v/>
      </c>
      <c r="M9" s="6">
        <f>ABS(B9 - $I$2)</f>
        <v/>
      </c>
      <c r="O9">
        <f>(1/K9^2) / ((1/K9^2) + (1/L9^2) + (1/M9^2))</f>
        <v/>
      </c>
      <c r="P9">
        <f>(1/L9^2) / ((1/K9^2) + (1/L9^2) + (1/M9^2))</f>
        <v/>
      </c>
      <c r="Q9">
        <f>(1/M9^2) / ((1/K9^2) + (1/L9^2) + (1/M9^2))</f>
        <v/>
      </c>
      <c r="S9">
        <f>IF(MAX(O9:Q9)=O9, "Murah", IF(MAX(O9:Q9)=P9, "Sedang", "Mahal"))</f>
        <v/>
      </c>
    </row>
    <row r="10">
      <c r="A10" s="6" t="inlineStr">
        <is>
          <t>SPOT ON 90797 Sukun Syariah Homestay</t>
        </is>
      </c>
      <c r="B10" s="6" t="n">
        <v>0.03269546806193344</v>
      </c>
      <c r="C10" s="6" t="n">
        <v>0.3692425816541554</v>
      </c>
      <c r="D10" s="6" t="n">
        <v>0.418001825250884</v>
      </c>
      <c r="K10" s="6">
        <f>ABS(B10 - $G$2)</f>
        <v/>
      </c>
      <c r="L10" s="6">
        <f>ABS(B10 - $H$2)</f>
        <v/>
      </c>
      <c r="M10" s="6">
        <f>ABS(B10 - $I$2)</f>
        <v/>
      </c>
      <c r="O10">
        <f>(1/K10^2) / ((1/K10^2) + (1/L10^2) + (1/M10^2))</f>
        <v/>
      </c>
      <c r="P10">
        <f>(1/L10^2) / ((1/K10^2) + (1/L10^2) + (1/M10^2))</f>
        <v/>
      </c>
      <c r="Q10">
        <f>(1/M10^2) / ((1/K10^2) + (1/L10^2) + (1/M10^2))</f>
        <v/>
      </c>
      <c r="S10">
        <f>IF(MAX(O10:Q10)=O10, "Murah", IF(MAX(O10:Q10)=P10, "Sedang", "Mahal"))</f>
        <v/>
      </c>
    </row>
    <row r="11">
      <c r="A11" s="6" t="inlineStr">
        <is>
          <t>OYO 90383 Avisha Guest House Syariah</t>
        </is>
      </c>
      <c r="B11" s="6" t="n">
        <v>0.0617344577498552</v>
      </c>
      <c r="C11" s="6" t="n">
        <v>0.5111463598943492</v>
      </c>
      <c r="D11" s="6" t="n">
        <v>0.5217422983681027</v>
      </c>
      <c r="K11" s="6">
        <f>ABS(B11 - $G$2)</f>
        <v/>
      </c>
      <c r="L11" s="6">
        <f>ABS(B11 - $H$2)</f>
        <v/>
      </c>
      <c r="M11" s="6">
        <f>ABS(B11 - $I$2)</f>
        <v/>
      </c>
      <c r="O11">
        <f>(1/K11^2) / ((1/K11^2) + (1/L11^2) + (1/M11^2))</f>
        <v/>
      </c>
      <c r="P11">
        <f>(1/L11^2) / ((1/K11^2) + (1/L11^2) + (1/M11^2))</f>
        <v/>
      </c>
      <c r="Q11">
        <f>(1/M11^2) / ((1/K11^2) + (1/L11^2) + (1/M11^2))</f>
        <v/>
      </c>
      <c r="S11">
        <f>IF(MAX(O11:Q11)=O11, "Murah", IF(MAX(O11:Q11)=P11, "Sedang", "Mahal"))</f>
        <v/>
      </c>
    </row>
    <row r="12">
      <c r="A12" s="6" t="inlineStr">
        <is>
          <t>OYO 353 Loesje Guest House Syariah</t>
        </is>
      </c>
      <c r="B12" s="6" t="n">
        <v>0.07309658878336321</v>
      </c>
      <c r="C12" s="6" t="n">
        <v>0.4779347225355377</v>
      </c>
      <c r="D12" s="6" t="n">
        <v>0.4405956460525625</v>
      </c>
      <c r="K12" s="6">
        <f>ABS(B12 - $G$2)</f>
        <v/>
      </c>
      <c r="L12" s="6">
        <f>ABS(B12 - $H$2)</f>
        <v/>
      </c>
      <c r="M12" s="6">
        <f>ABS(B12 - $I$2)</f>
        <v/>
      </c>
      <c r="O12">
        <f>(1/K12^2) / ((1/K12^2) + (1/L12^2) + (1/M12^2))</f>
        <v/>
      </c>
      <c r="P12">
        <f>(1/L12^2) / ((1/K12^2) + (1/L12^2) + (1/M12^2))</f>
        <v/>
      </c>
      <c r="Q12">
        <f>(1/M12^2) / ((1/K12^2) + (1/L12^2) + (1/M12^2))</f>
        <v/>
      </c>
      <c r="S12">
        <f>IF(MAX(O12:Q12)=O12, "Murah", IF(MAX(O12:Q12)=P12, "Sedang", "Mahal"))</f>
        <v/>
      </c>
    </row>
    <row r="13">
      <c r="A13" s="6" t="inlineStr">
        <is>
          <t>BTC Syariah near RS Saiful Anwar</t>
        </is>
      </c>
      <c r="B13" s="6" t="n">
        <v>0</v>
      </c>
      <c r="C13" s="6" t="n">
        <v>0.520167508152687</v>
      </c>
      <c r="D13" s="6" t="n">
        <v>0.4673324820415053</v>
      </c>
      <c r="K13" s="6">
        <f>ABS(B13 - $G$2)</f>
        <v/>
      </c>
      <c r="L13" s="6">
        <f>ABS(B13 - $H$2)</f>
        <v/>
      </c>
      <c r="M13" s="6">
        <f>ABS(B13 - $I$2)</f>
        <v/>
      </c>
      <c r="O13">
        <f>(1/K13^2) / ((1/K13^2) + (1/L13^2) + (1/M13^2))</f>
        <v/>
      </c>
      <c r="P13">
        <f>(1/L13^2) / ((1/K13^2) + (1/L13^2) + (1/M13^2))</f>
        <v/>
      </c>
      <c r="Q13">
        <f>(1/M13^2) / ((1/K13^2) + (1/L13^2) + (1/M13^2))</f>
        <v/>
      </c>
      <c r="S13">
        <f>IF(MAX(O13:Q13)=O13, "Murah", IF(MAX(O13:Q13)=P13, "Sedang", "Mahal"))</f>
        <v/>
      </c>
    </row>
    <row r="14">
      <c r="A14" s="6" t="inlineStr">
        <is>
          <t>OYO 778 Guest House Amalia Malang</t>
        </is>
      </c>
      <c r="B14" s="6" t="n">
        <v>0.06785408450860356</v>
      </c>
      <c r="C14" s="6" t="n">
        <v>0.5094013428032979</v>
      </c>
      <c r="D14" s="6" t="n">
        <v>0.4449226620255896</v>
      </c>
      <c r="K14" s="6">
        <f>ABS(B14 - $G$2)</f>
        <v/>
      </c>
      <c r="L14" s="6">
        <f>ABS(B14 - $H$2)</f>
        <v/>
      </c>
      <c r="M14" s="6">
        <f>ABS(B14 - $I$2)</f>
        <v/>
      </c>
      <c r="O14">
        <f>(1/K14^2) / ((1/K14^2) + (1/L14^2) + (1/M14^2))</f>
        <v/>
      </c>
      <c r="P14">
        <f>(1/L14^2) / ((1/K14^2) + (1/L14^2) + (1/M14^2))</f>
        <v/>
      </c>
      <c r="Q14">
        <f>(1/M14^2) / ((1/K14^2) + (1/L14^2) + (1/M14^2))</f>
        <v/>
      </c>
      <c r="S14">
        <f>IF(MAX(O14:Q14)=O14, "Murah", IF(MAX(O14:Q14)=P14, "Sedang", "Mahal"))</f>
        <v/>
      </c>
    </row>
    <row r="15">
      <c r="A15" s="6" t="inlineStr">
        <is>
          <t>OYO 3350 Cozy Residence</t>
        </is>
      </c>
      <c r="B15" s="6" t="n">
        <v>0.09128143022234293</v>
      </c>
      <c r="C15" s="6" t="n">
        <v>0.5842833138936742</v>
      </c>
      <c r="D15" s="6" t="n">
        <v>0.4849568981618065</v>
      </c>
      <c r="K15" s="6">
        <f>ABS(B15 - $G$2)</f>
        <v/>
      </c>
      <c r="L15" s="6">
        <f>ABS(B15 - $H$2)</f>
        <v/>
      </c>
      <c r="M15" s="6">
        <f>ABS(B15 - $I$2)</f>
        <v/>
      </c>
      <c r="O15">
        <f>(1/K15^2) / ((1/K15^2) + (1/L15^2) + (1/M15^2))</f>
        <v/>
      </c>
      <c r="P15">
        <f>(1/L15^2) / ((1/K15^2) + (1/L15^2) + (1/M15^2))</f>
        <v/>
      </c>
      <c r="Q15">
        <f>(1/M15^2) / ((1/K15^2) + (1/L15^2) + (1/M15^2))</f>
        <v/>
      </c>
      <c r="S15">
        <f>IF(MAX(O15:Q15)=O15, "Murah", IF(MAX(O15:Q15)=P15, "Sedang", "Mahal"))</f>
        <v/>
      </c>
    </row>
    <row r="16">
      <c r="A16" s="6" t="inlineStr">
        <is>
          <t>Serayu Homestay Syariah</t>
        </is>
      </c>
      <c r="B16" s="6" t="n">
        <v>0.002675154293188929</v>
      </c>
      <c r="C16" s="6" t="n">
        <v>0.5524805038597739</v>
      </c>
      <c r="D16" s="6" t="n">
        <v>0.3758269082933967</v>
      </c>
      <c r="K16" s="6">
        <f>ABS(B16 - $G$2)</f>
        <v/>
      </c>
      <c r="L16" s="6">
        <f>ABS(B16 - $H$2)</f>
        <v/>
      </c>
      <c r="M16" s="6">
        <f>ABS(B16 - $I$2)</f>
        <v/>
      </c>
      <c r="O16">
        <f>(1/K16^2) / ((1/K16^2) + (1/L16^2) + (1/M16^2))</f>
        <v/>
      </c>
      <c r="P16">
        <f>(1/L16^2) / ((1/K16^2) + (1/L16^2) + (1/M16^2))</f>
        <v/>
      </c>
      <c r="Q16">
        <f>(1/M16^2) / ((1/K16^2) + (1/L16^2) + (1/M16^2))</f>
        <v/>
      </c>
      <c r="S16">
        <f>IF(MAX(O16:Q16)=O16, "Murah", IF(MAX(O16:Q16)=P16, "Sedang", "Mahal"))</f>
        <v/>
      </c>
    </row>
    <row r="17">
      <c r="A17" s="6" t="inlineStr">
        <is>
          <t>OYO 90319 Angler Guest House Malang</t>
        </is>
      </c>
      <c r="B17" s="6" t="n">
        <v>0</v>
      </c>
      <c r="C17" s="6" t="n">
        <v>0.5206338576477438</v>
      </c>
      <c r="D17" s="6" t="n">
        <v>0.4261910131064834</v>
      </c>
      <c r="K17" s="6">
        <f>ABS(B17 - $G$2)</f>
        <v/>
      </c>
      <c r="L17" s="6">
        <f>ABS(B17 - $H$2)</f>
        <v/>
      </c>
      <c r="M17" s="6">
        <f>ABS(B17 - $I$2)</f>
        <v/>
      </c>
      <c r="O17">
        <f>(1/K17^2) / ((1/K17^2) + (1/L17^2) + (1/M17^2))</f>
        <v/>
      </c>
      <c r="P17">
        <f>(1/L17^2) / ((1/K17^2) + (1/L17^2) + (1/M17^2))</f>
        <v/>
      </c>
      <c r="Q17">
        <f>(1/M17^2) / ((1/K17^2) + (1/L17^2) + (1/M17^2))</f>
        <v/>
      </c>
      <c r="S17">
        <f>IF(MAX(O17:Q17)=O17, "Murah", IF(MAX(O17:Q17)=P17, "Sedang", "Mahal"))</f>
        <v/>
      </c>
    </row>
    <row r="18">
      <c r="A18" s="6" t="inlineStr">
        <is>
          <t>OYO Life 92568 Penginapan Joglo Syariah</t>
        </is>
      </c>
      <c r="B18" s="6" t="n">
        <v>0.01851130282480552</v>
      </c>
      <c r="C18" s="6" t="n">
        <v>0</v>
      </c>
      <c r="D18" s="6" t="n">
        <v>0.1719023882748869</v>
      </c>
      <c r="K18" s="6">
        <f>ABS(B18 - $G$2)</f>
        <v/>
      </c>
      <c r="L18" s="6">
        <f>ABS(B18 - $H$2)</f>
        <v/>
      </c>
      <c r="M18" s="6">
        <f>ABS(B18 - $I$2)</f>
        <v/>
      </c>
      <c r="O18">
        <f>(1/K18^2) / ((1/K18^2) + (1/L18^2) + (1/M18^2))</f>
        <v/>
      </c>
      <c r="P18">
        <f>(1/L18^2) / ((1/K18^2) + (1/L18^2) + (1/M18^2))</f>
        <v/>
      </c>
      <c r="Q18">
        <f>(1/M18^2) / ((1/K18^2) + (1/L18^2) + (1/M18^2))</f>
        <v/>
      </c>
      <c r="S18">
        <f>IF(MAX(O18:Q18)=O18, "Murah", IF(MAX(O18:Q18)=P18, "Sedang", "Mahal"))</f>
        <v/>
      </c>
    </row>
    <row r="19">
      <c r="A19" s="6" t="inlineStr">
        <is>
          <t>OYO 90303 Cafe &amp; Homestay Kolam Pancing Abah</t>
        </is>
      </c>
      <c r="B19" s="6" t="n">
        <v>0.02943473405036595</v>
      </c>
      <c r="C19" s="6" t="n">
        <v>0.6925337209800282</v>
      </c>
      <c r="D19" s="6" t="n">
        <v>0.492093269491076</v>
      </c>
      <c r="K19" s="6">
        <f>ABS(B19 - $G$2)</f>
        <v/>
      </c>
      <c r="L19" s="6">
        <f>ABS(B19 - $H$2)</f>
        <v/>
      </c>
      <c r="M19" s="6">
        <f>ABS(B19 - $I$2)</f>
        <v/>
      </c>
      <c r="O19">
        <f>(1/K19^2) / ((1/K19^2) + (1/L19^2) + (1/M19^2))</f>
        <v/>
      </c>
      <c r="P19">
        <f>(1/L19^2) / ((1/K19^2) + (1/L19^2) + (1/M19^2))</f>
        <v/>
      </c>
      <c r="Q19">
        <f>(1/M19^2) / ((1/K19^2) + (1/L19^2) + (1/M19^2))</f>
        <v/>
      </c>
      <c r="S19">
        <f>IF(MAX(O19:Q19)=O19, "Murah", IF(MAX(O19:Q19)=P19, "Sedang", "Mahal"))</f>
        <v/>
      </c>
    </row>
    <row r="20">
      <c r="A20" s="6" t="inlineStr">
        <is>
          <t>D Maktab Syariah Mitra RedDoorz Malang</t>
        </is>
      </c>
      <c r="B20" s="6" t="n">
        <v>0.05455646424028445</v>
      </c>
      <c r="C20" s="6" t="n">
        <v>0.5653548521759783</v>
      </c>
      <c r="D20" s="6" t="n">
        <v>0.4468313819565551</v>
      </c>
      <c r="K20" s="6">
        <f>ABS(B20 - $G$2)</f>
        <v/>
      </c>
      <c r="L20" s="6">
        <f>ABS(B20 - $H$2)</f>
        <v/>
      </c>
      <c r="M20" s="6">
        <f>ABS(B20 - $I$2)</f>
        <v/>
      </c>
      <c r="O20">
        <f>(1/K20^2) / ((1/K20^2) + (1/L20^2) + (1/M20^2))</f>
        <v/>
      </c>
      <c r="P20">
        <f>(1/L20^2) / ((1/K20^2) + (1/L20^2) + (1/M20^2))</f>
        <v/>
      </c>
      <c r="Q20">
        <f>(1/M20^2) / ((1/K20^2) + (1/L20^2) + (1/M20^2))</f>
        <v/>
      </c>
      <c r="S20">
        <f>IF(MAX(O20:Q20)=O20, "Murah", IF(MAX(O20:Q20)=P20, "Sedang", "Mahal"))</f>
        <v/>
      </c>
    </row>
    <row r="21">
      <c r="A21" s="6" t="inlineStr">
        <is>
          <t>OYO 94148 Forzando Hotel</t>
        </is>
      </c>
      <c r="B21" s="6" t="n">
        <v>0.01499422179975003</v>
      </c>
      <c r="C21" s="6" t="n">
        <v>0.6618922324652753</v>
      </c>
      <c r="D21" s="6" t="n">
        <v>0.3628347926578774</v>
      </c>
      <c r="K21" s="6">
        <f>ABS(B21 - $G$2)</f>
        <v/>
      </c>
      <c r="L21" s="6">
        <f>ABS(B21 - $H$2)</f>
        <v/>
      </c>
      <c r="M21" s="6">
        <f>ABS(B21 - $I$2)</f>
        <v/>
      </c>
      <c r="O21">
        <f>(1/K21^2) / ((1/K21^2) + (1/L21^2) + (1/M21^2))</f>
        <v/>
      </c>
      <c r="P21">
        <f>(1/L21^2) / ((1/K21^2) + (1/L21^2) + (1/M21^2))</f>
        <v/>
      </c>
      <c r="Q21">
        <f>(1/M21^2) / ((1/K21^2) + (1/L21^2) + (1/M21^2))</f>
        <v/>
      </c>
      <c r="S21">
        <f>IF(MAX(O21:Q21)=O21, "Murah", IF(MAX(O21:Q21)=P21, "Sedang", "Mahal"))</f>
        <v/>
      </c>
    </row>
    <row r="22">
      <c r="A22" s="6" t="inlineStr">
        <is>
          <t>Forzando House Redpartner near Universitas Muhammadiyah Malang</t>
        </is>
      </c>
      <c r="B22" s="6" t="n">
        <v>0.01499422179975003</v>
      </c>
      <c r="C22" s="6" t="n">
        <v>0.6634814625232708</v>
      </c>
      <c r="D22" s="6" t="n">
        <v>0.3632249296623441</v>
      </c>
      <c r="K22" s="6">
        <f>ABS(B22 - $G$2)</f>
        <v/>
      </c>
      <c r="L22" s="6">
        <f>ABS(B22 - $H$2)</f>
        <v/>
      </c>
      <c r="M22" s="6">
        <f>ABS(B22 - $I$2)</f>
        <v/>
      </c>
      <c r="O22">
        <f>(1/K22^2) / ((1/K22^2) + (1/L22^2) + (1/M22^2))</f>
        <v/>
      </c>
      <c r="P22">
        <f>(1/L22^2) / ((1/K22^2) + (1/L22^2) + (1/M22^2))</f>
        <v/>
      </c>
      <c r="Q22">
        <f>(1/M22^2) / ((1/K22^2) + (1/L22^2) + (1/M22^2))</f>
        <v/>
      </c>
      <c r="S22">
        <f>IF(MAX(O22:Q22)=O22, "Murah", IF(MAX(O22:Q22)=P22, "Sedang", "Mahal"))</f>
        <v/>
      </c>
    </row>
    <row r="23">
      <c r="A23" s="6" t="inlineStr">
        <is>
          <t>OYO 2771 D'soetta</t>
        </is>
      </c>
      <c r="B23" s="6" t="n">
        <v>0.05589224002948683</v>
      </c>
      <c r="C23" s="6" t="n">
        <v>0.6050397442395051</v>
      </c>
      <c r="D23" s="6" t="n">
        <v>0.4404217906735235</v>
      </c>
      <c r="K23" s="6">
        <f>ABS(B23 - $G$2)</f>
        <v/>
      </c>
      <c r="L23" s="6">
        <f>ABS(B23 - $H$2)</f>
        <v/>
      </c>
      <c r="M23" s="6">
        <f>ABS(B23 - $I$2)</f>
        <v/>
      </c>
      <c r="O23">
        <f>(1/K23^2) / ((1/K23^2) + (1/L23^2) + (1/M23^2))</f>
        <v/>
      </c>
      <c r="P23">
        <f>(1/L23^2) / ((1/K23^2) + (1/L23^2) + (1/M23^2))</f>
        <v/>
      </c>
      <c r="Q23">
        <f>(1/M23^2) / ((1/K23^2) + (1/L23^2) + (1/M23^2))</f>
        <v/>
      </c>
      <c r="S23">
        <f>IF(MAX(O23:Q23)=O23, "Murah", IF(MAX(O23:Q23)=P23, "Sedang", "Mahal"))</f>
        <v/>
      </c>
    </row>
    <row r="24">
      <c r="A24" s="6" t="inlineStr">
        <is>
          <t>OYO 1468 SM House</t>
        </is>
      </c>
      <c r="B24" s="6" t="n">
        <v>0.06454041830289962</v>
      </c>
      <c r="C24" s="6" t="n">
        <v>0.6285949459584224</v>
      </c>
      <c r="D24" s="6" t="n">
        <v>0.4596390356514219</v>
      </c>
      <c r="K24" s="6">
        <f>ABS(B24 - $G$2)</f>
        <v/>
      </c>
      <c r="L24" s="6">
        <f>ABS(B24 - $H$2)</f>
        <v/>
      </c>
      <c r="M24" s="6">
        <f>ABS(B24 - $I$2)</f>
        <v/>
      </c>
      <c r="O24">
        <f>(1/K24^2) / ((1/K24^2) + (1/L24^2) + (1/M24^2))</f>
        <v/>
      </c>
      <c r="P24">
        <f>(1/L24^2) / ((1/K24^2) + (1/L24^2) + (1/M24^2))</f>
        <v/>
      </c>
      <c r="Q24">
        <f>(1/M24^2) / ((1/K24^2) + (1/L24^2) + (1/M24^2))</f>
        <v/>
      </c>
      <c r="S24">
        <f>IF(MAX(O24:Q24)=O24, "Murah", IF(MAX(O24:Q24)=P24, "Sedang", "Mahal"))</f>
        <v/>
      </c>
    </row>
    <row r="25">
      <c r="A25" s="6" t="inlineStr">
        <is>
          <t>OYO 91084 Oke Guest House</t>
        </is>
      </c>
      <c r="B25" s="6" t="n">
        <v>0.006584931229717409</v>
      </c>
      <c r="C25" s="6" t="n">
        <v>0.3515405213200622</v>
      </c>
      <c r="D25" s="6" t="n">
        <v>0.5205359172761814</v>
      </c>
      <c r="K25" s="6">
        <f>ABS(B25 - $G$2)</f>
        <v/>
      </c>
      <c r="L25" s="6">
        <f>ABS(B25 - $H$2)</f>
        <v/>
      </c>
      <c r="M25" s="6">
        <f>ABS(B25 - $I$2)</f>
        <v/>
      </c>
      <c r="O25">
        <f>(1/K25^2) / ((1/K25^2) + (1/L25^2) + (1/M25^2))</f>
        <v/>
      </c>
      <c r="P25">
        <f>(1/L25^2) / ((1/K25^2) + (1/L25^2) + (1/M25^2))</f>
        <v/>
      </c>
      <c r="Q25">
        <f>(1/M25^2) / ((1/K25^2) + (1/L25^2) + (1/M25^2))</f>
        <v/>
      </c>
      <c r="S25">
        <f>IF(MAX(O25:Q25)=O25, "Murah", IF(MAX(O25:Q25)=P25, "Sedang", "Mahal"))</f>
        <v/>
      </c>
    </row>
    <row r="26">
      <c r="A26" s="6" t="inlineStr">
        <is>
          <t>OYO Life 2760 Kost Simpang Borobudur 47</t>
        </is>
      </c>
      <c r="B26" s="6" t="n">
        <v>0.08695318410703942</v>
      </c>
      <c r="C26" s="6" t="n">
        <v>0.6147285512109414</v>
      </c>
      <c r="D26" s="6" t="n">
        <v>0.4991701518444757</v>
      </c>
      <c r="K26" s="6">
        <f>ABS(B26 - $G$2)</f>
        <v/>
      </c>
      <c r="L26" s="6">
        <f>ABS(B26 - $H$2)</f>
        <v/>
      </c>
      <c r="M26" s="6">
        <f>ABS(B26 - $I$2)</f>
        <v/>
      </c>
      <c r="O26">
        <f>(1/K26^2) / ((1/K26^2) + (1/L26^2) + (1/M26^2))</f>
        <v/>
      </c>
      <c r="P26">
        <f>(1/L26^2) / ((1/K26^2) + (1/L26^2) + (1/M26^2))</f>
        <v/>
      </c>
      <c r="Q26">
        <f>(1/M26^2) / ((1/K26^2) + (1/L26^2) + (1/M26^2))</f>
        <v/>
      </c>
      <c r="S26">
        <f>IF(MAX(O26:Q26)=O26, "Murah", IF(MAX(O26:Q26)=P26, "Sedang", "Mahal"))</f>
        <v/>
      </c>
    </row>
    <row r="27">
      <c r="A27" s="6" t="inlineStr">
        <is>
          <t>OYO 90217 Cmb 37 Guest House</t>
        </is>
      </c>
      <c r="B27" s="6" t="n">
        <v>0</v>
      </c>
      <c r="C27" s="6" t="n">
        <v>0.6032846111073449</v>
      </c>
      <c r="D27" s="6" t="n">
        <v>0.4469978588580126</v>
      </c>
      <c r="K27" s="6">
        <f>ABS(B27 - $G$2)</f>
        <v/>
      </c>
      <c r="L27" s="6">
        <f>ABS(B27 - $H$2)</f>
        <v/>
      </c>
      <c r="M27" s="6">
        <f>ABS(B27 - $I$2)</f>
        <v/>
      </c>
      <c r="O27">
        <f>(1/K27^2) / ((1/K27^2) + (1/L27^2) + (1/M27^2))</f>
        <v/>
      </c>
      <c r="P27">
        <f>(1/L27^2) / ((1/K27^2) + (1/L27^2) + (1/M27^2))</f>
        <v/>
      </c>
      <c r="Q27">
        <f>(1/M27^2) / ((1/K27^2) + (1/L27^2) + (1/M27^2))</f>
        <v/>
      </c>
      <c r="S27">
        <f>IF(MAX(O27:Q27)=O27, "Murah", IF(MAX(O27:Q27)=P27, "Sedang", "Mahal"))</f>
        <v/>
      </c>
    </row>
    <row r="28">
      <c r="A28" s="6" t="inlineStr">
        <is>
          <t>Embun Pagi Syariah Bendungan Sempor 8 Malang</t>
        </is>
      </c>
      <c r="B28" s="6" t="n">
        <v>0.07363089909904418</v>
      </c>
      <c r="C28" s="6" t="n">
        <v>0.5358942428598452</v>
      </c>
      <c r="D28" s="6" t="n">
        <v>0.3813962754367354</v>
      </c>
      <c r="K28" s="6">
        <f>ABS(B28 - $G$2)</f>
        <v/>
      </c>
      <c r="L28" s="6">
        <f>ABS(B28 - $H$2)</f>
        <v/>
      </c>
      <c r="M28" s="6">
        <f>ABS(B28 - $I$2)</f>
        <v/>
      </c>
      <c r="O28">
        <f>(1/K28^2) / ((1/K28^2) + (1/L28^2) + (1/M28^2))</f>
        <v/>
      </c>
      <c r="P28">
        <f>(1/L28^2) / ((1/K28^2) + (1/L28^2) + (1/M28^2))</f>
        <v/>
      </c>
      <c r="Q28">
        <f>(1/M28^2) / ((1/K28^2) + (1/L28^2) + (1/M28^2))</f>
        <v/>
      </c>
      <c r="S28">
        <f>IF(MAX(O28:Q28)=O28, "Murah", IF(MAX(O28:Q28)=P28, "Sedang", "Mahal"))</f>
        <v/>
      </c>
    </row>
    <row r="29">
      <c r="A29" s="6" t="inlineStr">
        <is>
          <t>OYO 94767 Griya Djati Syariah 1</t>
        </is>
      </c>
      <c r="B29" s="6" t="n">
        <v>0.03069152724622339</v>
      </c>
      <c r="C29" s="6" t="n">
        <v>0.4482980941041339</v>
      </c>
      <c r="D29" s="6" t="n">
        <v>0.598509363057569</v>
      </c>
      <c r="K29" s="6">
        <f>ABS(B29 - $G$2)</f>
        <v/>
      </c>
      <c r="L29" s="6">
        <f>ABS(B29 - $H$2)</f>
        <v/>
      </c>
      <c r="M29" s="6">
        <f>ABS(B29 - $I$2)</f>
        <v/>
      </c>
      <c r="O29">
        <f>(1/K29^2) / ((1/K29^2) + (1/L29^2) + (1/M29^2))</f>
        <v/>
      </c>
      <c r="P29">
        <f>(1/L29^2) / ((1/K29^2) + (1/L29^2) + (1/M29^2))</f>
        <v/>
      </c>
      <c r="Q29">
        <f>(1/M29^2) / ((1/K29^2) + (1/L29^2) + (1/M29^2))</f>
        <v/>
      </c>
      <c r="S29">
        <f>IF(MAX(O29:Q29)=O29, "Murah", IF(MAX(O29:Q29)=P29, "Sedang", "Mahal"))</f>
        <v/>
      </c>
    </row>
    <row r="30">
      <c r="A30" s="6" t="inlineStr">
        <is>
          <t>OYO 3510 Borobudur Townhouse</t>
        </is>
      </c>
      <c r="B30" s="6" t="n">
        <v>0.07309658878336321</v>
      </c>
      <c r="C30" s="6" t="n">
        <v>0.6114755695921256</v>
      </c>
      <c r="D30" s="6" t="n">
        <v>0.4897349235797084</v>
      </c>
      <c r="K30" s="6">
        <f>ABS(B30 - $G$2)</f>
        <v/>
      </c>
      <c r="L30" s="6">
        <f>ABS(B30 - $H$2)</f>
        <v/>
      </c>
      <c r="M30" s="6">
        <f>ABS(B30 - $I$2)</f>
        <v/>
      </c>
      <c r="O30">
        <f>(1/K30^2) / ((1/K30^2) + (1/L30^2) + (1/M30^2))</f>
        <v/>
      </c>
      <c r="P30">
        <f>(1/L30^2) / ((1/K30^2) + (1/L30^2) + (1/M30^2))</f>
        <v/>
      </c>
      <c r="Q30">
        <f>(1/M30^2) / ((1/K30^2) + (1/L30^2) + (1/M30^2))</f>
        <v/>
      </c>
      <c r="S30">
        <f>IF(MAX(O30:Q30)=O30, "Murah", IF(MAX(O30:Q30)=P30, "Sedang", "Mahal"))</f>
        <v/>
      </c>
    </row>
    <row r="31">
      <c r="A31" s="6" t="inlineStr">
        <is>
          <t>OYO 1110 Ijen Butik House</t>
        </is>
      </c>
      <c r="B31" s="6" t="n">
        <v>0</v>
      </c>
      <c r="C31" s="6" t="n">
        <v>0.4695033394737704</v>
      </c>
      <c r="D31" s="6" t="n">
        <v>0.3967734839649372</v>
      </c>
      <c r="K31" s="6">
        <f>ABS(B31 - $G$2)</f>
        <v/>
      </c>
      <c r="L31" s="6">
        <f>ABS(B31 - $H$2)</f>
        <v/>
      </c>
      <c r="M31" s="6">
        <f>ABS(B31 - $I$2)</f>
        <v/>
      </c>
      <c r="O31">
        <f>(1/K31^2) / ((1/K31^2) + (1/L31^2) + (1/M31^2))</f>
        <v/>
      </c>
      <c r="P31">
        <f>(1/L31^2) / ((1/K31^2) + (1/L31^2) + (1/M31^2))</f>
        <v/>
      </c>
      <c r="Q31">
        <f>(1/M31^2) / ((1/K31^2) + (1/L31^2) + (1/M31^2))</f>
        <v/>
      </c>
      <c r="S31">
        <f>IF(MAX(O31:Q31)=O31, "Murah", IF(MAX(O31:Q31)=P31, "Sedang", "Mahal"))</f>
        <v/>
      </c>
    </row>
    <row r="32">
      <c r="A32" s="6" t="inlineStr">
        <is>
          <t>Hotel Nugraha</t>
        </is>
      </c>
      <c r="B32" s="6" t="n">
        <v>0.03065272877931709</v>
      </c>
      <c r="C32" s="6" t="n">
        <v>0.6177175041568497</v>
      </c>
      <c r="D32" s="6" t="n">
        <v>0.5494258852674364</v>
      </c>
      <c r="K32" s="6">
        <f>ABS(B32 - $G$2)</f>
        <v/>
      </c>
      <c r="L32" s="6">
        <f>ABS(B32 - $H$2)</f>
        <v/>
      </c>
      <c r="M32" s="6">
        <f>ABS(B32 - $I$2)</f>
        <v/>
      </c>
      <c r="O32">
        <f>(1/K32^2) / ((1/K32^2) + (1/L32^2) + (1/M32^2))</f>
        <v/>
      </c>
      <c r="P32">
        <f>(1/L32^2) / ((1/K32^2) + (1/L32^2) + (1/M32^2))</f>
        <v/>
      </c>
      <c r="Q32">
        <f>(1/M32^2) / ((1/K32^2) + (1/L32^2) + (1/M32^2))</f>
        <v/>
      </c>
      <c r="S32">
        <f>IF(MAX(O32:Q32)=O32, "Murah", IF(MAX(O32:Q32)=P32, "Sedang", "Mahal"))</f>
        <v/>
      </c>
    </row>
    <row r="33">
      <c r="A33" s="6" t="inlineStr">
        <is>
          <t>SPOT ON 92450 Homestay Simpang Panji Suroso Syariah</t>
        </is>
      </c>
      <c r="B33" s="6" t="n">
        <v>0</v>
      </c>
      <c r="C33" s="6" t="n">
        <v>0.6257894305579302</v>
      </c>
      <c r="D33" s="6" t="n">
        <v>0.5451864887162635</v>
      </c>
      <c r="K33" s="6">
        <f>ABS(B33 - $G$2)</f>
        <v/>
      </c>
      <c r="L33" s="6">
        <f>ABS(B33 - $H$2)</f>
        <v/>
      </c>
      <c r="M33" s="6">
        <f>ABS(B33 - $I$2)</f>
        <v/>
      </c>
      <c r="O33">
        <f>(1/K33^2) / ((1/K33^2) + (1/L33^2) + (1/M33^2))</f>
        <v/>
      </c>
      <c r="P33">
        <f>(1/L33^2) / ((1/K33^2) + (1/L33^2) + (1/M33^2))</f>
        <v/>
      </c>
      <c r="Q33">
        <f>(1/M33^2) / ((1/K33^2) + (1/L33^2) + (1/M33^2))</f>
        <v/>
      </c>
      <c r="S33">
        <f>IF(MAX(O33:Q33)=O33, "Murah", IF(MAX(O33:Q33)=P33, "Sedang", "Mahal"))</f>
        <v/>
      </c>
    </row>
    <row r="34">
      <c r="A34" s="6" t="inlineStr">
        <is>
          <t>OYO Life 2906 Rukost Larose</t>
        </is>
      </c>
      <c r="B34" s="6" t="n">
        <v>0.09388342169222284</v>
      </c>
      <c r="C34" s="6" t="n">
        <v>0.5448058006728524</v>
      </c>
      <c r="D34" s="6" t="n">
        <v>0.4795563136941121</v>
      </c>
      <c r="K34" s="6">
        <f>ABS(B34 - $G$2)</f>
        <v/>
      </c>
      <c r="L34" s="6">
        <f>ABS(B34 - $H$2)</f>
        <v/>
      </c>
      <c r="M34" s="6">
        <f>ABS(B34 - $I$2)</f>
        <v/>
      </c>
      <c r="O34">
        <f>(1/K34^2) / ((1/K34^2) + (1/L34^2) + (1/M34^2))</f>
        <v/>
      </c>
      <c r="P34">
        <f>(1/L34^2) / ((1/K34^2) + (1/L34^2) + (1/M34^2))</f>
        <v/>
      </c>
      <c r="Q34">
        <f>(1/M34^2) / ((1/K34^2) + (1/L34^2) + (1/M34^2))</f>
        <v/>
      </c>
      <c r="S34">
        <f>IF(MAX(O34:Q34)=O34, "Murah", IF(MAX(O34:Q34)=P34, "Sedang", "Mahal"))</f>
        <v/>
      </c>
    </row>
    <row r="35">
      <c r="A35" s="6" t="inlineStr">
        <is>
          <t>OYO Life 414 Loji Rejo Guest House</t>
        </is>
      </c>
      <c r="B35" s="6" t="n">
        <v>0</v>
      </c>
      <c r="C35" s="6" t="n">
        <v>0.5441233050994633</v>
      </c>
      <c r="D35" s="6" t="n">
        <v>0.2825421991276101</v>
      </c>
      <c r="K35" s="6">
        <f>ABS(B35 - $G$2)</f>
        <v/>
      </c>
      <c r="L35" s="6">
        <f>ABS(B35 - $H$2)</f>
        <v/>
      </c>
      <c r="M35" s="6">
        <f>ABS(B35 - $I$2)</f>
        <v/>
      </c>
      <c r="O35">
        <f>(1/K35^2) / ((1/K35^2) + (1/L35^2) + (1/M35^2))</f>
        <v/>
      </c>
      <c r="P35">
        <f>(1/L35^2) / ((1/K35^2) + (1/L35^2) + (1/M35^2))</f>
        <v/>
      </c>
      <c r="Q35">
        <f>(1/M35^2) / ((1/K35^2) + (1/L35^2) + (1/M35^2))</f>
        <v/>
      </c>
      <c r="S35">
        <f>IF(MAX(O35:Q35)=O35, "Murah", IF(MAX(O35:Q35)=P35, "Sedang", "Mahal"))</f>
        <v/>
      </c>
    </row>
    <row r="36">
      <c r="A36" s="6" t="inlineStr">
        <is>
          <t>OYO 1293 Dei Residence Arjosari</t>
        </is>
      </c>
      <c r="B36" s="6" t="n">
        <v>0</v>
      </c>
      <c r="C36" s="6" t="n">
        <v>0.6350253760891186</v>
      </c>
      <c r="D36" s="6" t="n">
        <v>0.5478169159900722</v>
      </c>
      <c r="K36" s="6">
        <f>ABS(B36 - $G$2)</f>
        <v/>
      </c>
      <c r="L36" s="6">
        <f>ABS(B36 - $H$2)</f>
        <v/>
      </c>
      <c r="M36" s="6">
        <f>ABS(B36 - $I$2)</f>
        <v/>
      </c>
      <c r="O36">
        <f>(1/K36^2) / ((1/K36^2) + (1/L36^2) + (1/M36^2))</f>
        <v/>
      </c>
      <c r="P36">
        <f>(1/L36^2) / ((1/K36^2) + (1/L36^2) + (1/M36^2))</f>
        <v/>
      </c>
      <c r="Q36">
        <f>(1/M36^2) / ((1/K36^2) + (1/L36^2) + (1/M36^2))</f>
        <v/>
      </c>
      <c r="S36">
        <f>IF(MAX(O36:Q36)=O36, "Murah", IF(MAX(O36:Q36)=P36, "Sedang", "Mahal"))</f>
        <v/>
      </c>
    </row>
    <row r="37">
      <c r="A37" s="6" t="inlineStr">
        <is>
          <t>OYO 350 D' Maktab Homestay Syariah</t>
        </is>
      </c>
      <c r="B37" s="6" t="n">
        <v>0.03971993049531786</v>
      </c>
      <c r="C37" s="6" t="n">
        <v>0.5656195552516252</v>
      </c>
      <c r="D37" s="6" t="n">
        <v>0.4463365628007532</v>
      </c>
      <c r="K37" s="6">
        <f>ABS(B37 - $G$2)</f>
        <v/>
      </c>
      <c r="L37" s="6">
        <f>ABS(B37 - $H$2)</f>
        <v/>
      </c>
      <c r="M37" s="6">
        <f>ABS(B37 - $I$2)</f>
        <v/>
      </c>
      <c r="O37">
        <f>(1/K37^2) / ((1/K37^2) + (1/L37^2) + (1/M37^2))</f>
        <v/>
      </c>
      <c r="P37">
        <f>(1/L37^2) / ((1/K37^2) + (1/L37^2) + (1/M37^2))</f>
        <v/>
      </c>
      <c r="Q37">
        <f>(1/M37^2) / ((1/K37^2) + (1/L37^2) + (1/M37^2))</f>
        <v/>
      </c>
      <c r="S37">
        <f>IF(MAX(O37:Q37)=O37, "Murah", IF(MAX(O37:Q37)=P37, "Sedang", "Mahal"))</f>
        <v/>
      </c>
    </row>
    <row r="38">
      <c r="A38" s="6" t="inlineStr">
        <is>
          <t>OYO 3371 Omah Saras Family</t>
        </is>
      </c>
      <c r="B38" s="6" t="n">
        <v>0</v>
      </c>
      <c r="C38" s="6" t="n">
        <v>0.5265412884531808</v>
      </c>
      <c r="D38" s="6" t="n">
        <v>0.430011681052381</v>
      </c>
      <c r="K38" s="6">
        <f>ABS(B38 - $G$2)</f>
        <v/>
      </c>
      <c r="L38" s="6">
        <f>ABS(B38 - $H$2)</f>
        <v/>
      </c>
      <c r="M38" s="6">
        <f>ABS(B38 - $I$2)</f>
        <v/>
      </c>
      <c r="O38">
        <f>(1/K38^2) / ((1/K38^2) + (1/L38^2) + (1/M38^2))</f>
        <v/>
      </c>
      <c r="P38">
        <f>(1/L38^2) / ((1/K38^2) + (1/L38^2) + (1/M38^2))</f>
        <v/>
      </c>
      <c r="Q38">
        <f>(1/M38^2) / ((1/K38^2) + (1/L38^2) + (1/M38^2))</f>
        <v/>
      </c>
      <c r="S38">
        <f>IF(MAX(O38:Q38)=O38, "Murah", IF(MAX(O38:Q38)=P38, "Sedang", "Mahal"))</f>
        <v/>
      </c>
    </row>
    <row r="39">
      <c r="A39" s="6" t="inlineStr">
        <is>
          <t>SPOT ON 91530 Sumpil Syariah</t>
        </is>
      </c>
      <c r="B39" s="6" t="n">
        <v>0.04869900426506004</v>
      </c>
      <c r="C39" s="6" t="n">
        <v>0.621426044826877</v>
      </c>
      <c r="D39" s="6" t="n">
        <v>0.5331222166422913</v>
      </c>
      <c r="K39" s="6">
        <f>ABS(B39 - $G$2)</f>
        <v/>
      </c>
      <c r="L39" s="6">
        <f>ABS(B39 - $H$2)</f>
        <v/>
      </c>
      <c r="M39" s="6">
        <f>ABS(B39 - $I$2)</f>
        <v/>
      </c>
      <c r="O39">
        <f>(1/K39^2) / ((1/K39^2) + (1/L39^2) + (1/M39^2))</f>
        <v/>
      </c>
      <c r="P39">
        <f>(1/L39^2) / ((1/K39^2) + (1/L39^2) + (1/M39^2))</f>
        <v/>
      </c>
      <c r="Q39">
        <f>(1/M39^2) / ((1/K39^2) + (1/L39^2) + (1/M39^2))</f>
        <v/>
      </c>
      <c r="S39">
        <f>IF(MAX(O39:Q39)=O39, "Murah", IF(MAX(O39:Q39)=P39, "Sedang", "Mahal"))</f>
        <v/>
      </c>
    </row>
    <row r="40">
      <c r="A40" s="6" t="inlineStr">
        <is>
          <t>OYO 90734 Konzo Kostel Syariah Malang</t>
        </is>
      </c>
      <c r="B40" s="6" t="n">
        <v>0.03975346345600116</v>
      </c>
      <c r="C40" s="6" t="n">
        <v>0.3795538623550754</v>
      </c>
      <c r="D40" s="6" t="n">
        <v>0.43343022196766</v>
      </c>
      <c r="K40" s="6">
        <f>ABS(B40 - $G$2)</f>
        <v/>
      </c>
      <c r="L40" s="6">
        <f>ABS(B40 - $H$2)</f>
        <v/>
      </c>
      <c r="M40" s="6">
        <f>ABS(B40 - $I$2)</f>
        <v/>
      </c>
      <c r="O40">
        <f>(1/K40^2) / ((1/K40^2) + (1/L40^2) + (1/M40^2))</f>
        <v/>
      </c>
      <c r="P40">
        <f>(1/L40^2) / ((1/K40^2) + (1/L40^2) + (1/M40^2))</f>
        <v/>
      </c>
      <c r="Q40">
        <f>(1/M40^2) / ((1/K40^2) + (1/L40^2) + (1/M40^2))</f>
        <v/>
      </c>
      <c r="S40">
        <f>IF(MAX(O40:Q40)=O40, "Murah", IF(MAX(O40:Q40)=P40, "Sedang", "Mahal"))</f>
        <v/>
      </c>
    </row>
    <row r="41">
      <c r="A41" s="6" t="inlineStr">
        <is>
          <t>Victory Hotel</t>
        </is>
      </c>
      <c r="B41" s="6" t="n">
        <v>0.04133089826764845</v>
      </c>
      <c r="C41" s="6" t="n">
        <v>1</v>
      </c>
      <c r="D41" s="6" t="n">
        <v>0</v>
      </c>
      <c r="K41" s="6">
        <f>ABS(B41 - $G$2)</f>
        <v/>
      </c>
      <c r="L41" s="6">
        <f>ABS(B41 - $H$2)</f>
        <v/>
      </c>
      <c r="M41" s="6">
        <f>ABS(B41 - $I$2)</f>
        <v/>
      </c>
      <c r="O41">
        <f>(1/K41^2) / ((1/K41^2) + (1/L41^2) + (1/M41^2))</f>
        <v/>
      </c>
      <c r="P41">
        <f>(1/L41^2) / ((1/K41^2) + (1/L41^2) + (1/M41^2))</f>
        <v/>
      </c>
      <c r="Q41">
        <f>(1/M41^2) / ((1/K41^2) + (1/L41^2) + (1/M41^2))</f>
        <v/>
      </c>
      <c r="S41">
        <f>IF(MAX(O41:Q41)=O41, "Murah", IF(MAX(O41:Q41)=P41, "Sedang", "Mahal"))</f>
        <v/>
      </c>
    </row>
    <row r="42">
      <c r="A42" s="6" t="inlineStr">
        <is>
          <t>Hotel Palem 2 Syariah Malang Redpartner</t>
        </is>
      </c>
      <c r="B42" s="6" t="n">
        <v>0.1171625018359989</v>
      </c>
      <c r="C42" s="6" t="n">
        <v>0.4970516798192057</v>
      </c>
      <c r="D42" s="6" t="n">
        <v>0.4885714298890001</v>
      </c>
      <c r="K42" s="6">
        <f>ABS(B42 - $G$2)</f>
        <v/>
      </c>
      <c r="L42" s="6">
        <f>ABS(B42 - $H$2)</f>
        <v/>
      </c>
      <c r="M42" s="6">
        <f>ABS(B42 - $I$2)</f>
        <v/>
      </c>
      <c r="O42">
        <f>(1/K42^2) / ((1/K42^2) + (1/L42^2) + (1/M42^2))</f>
        <v/>
      </c>
      <c r="P42">
        <f>(1/L42^2) / ((1/K42^2) + (1/L42^2) + (1/M42^2))</f>
        <v/>
      </c>
      <c r="Q42">
        <f>(1/M42^2) / ((1/K42^2) + (1/L42^2) + (1/M42^2))</f>
        <v/>
      </c>
      <c r="S42">
        <f>IF(MAX(O42:Q42)=O42, "Murah", IF(MAX(O42:Q42)=P42, "Sedang", "Mahal"))</f>
        <v/>
      </c>
    </row>
    <row r="43">
      <c r="A43" s="6" t="inlineStr">
        <is>
          <t>OYO Life 91931 Permata Brantas Syariah Homestay</t>
        </is>
      </c>
      <c r="B43" s="6" t="n">
        <v>0.1535781886104329</v>
      </c>
      <c r="C43" s="6" t="n">
        <v>0.6271571193156691</v>
      </c>
      <c r="D43" s="6" t="n">
        <v>0.3763157324360898</v>
      </c>
      <c r="K43" s="6">
        <f>ABS(B43 - $G$2)</f>
        <v/>
      </c>
      <c r="L43" s="6">
        <f>ABS(B43 - $H$2)</f>
        <v/>
      </c>
      <c r="M43" s="6">
        <f>ABS(B43 - $I$2)</f>
        <v/>
      </c>
      <c r="O43">
        <f>(1/K43^2) / ((1/K43^2) + (1/L43^2) + (1/M43^2))</f>
        <v/>
      </c>
      <c r="P43">
        <f>(1/L43^2) / ((1/K43^2) + (1/L43^2) + (1/M43^2))</f>
        <v/>
      </c>
      <c r="Q43">
        <f>(1/M43^2) / ((1/K43^2) + (1/L43^2) + (1/M43^2))</f>
        <v/>
      </c>
      <c r="S43">
        <f>IF(MAX(O43:Q43)=O43, "Murah", IF(MAX(O43:Q43)=P43, "Sedang", "Mahal"))</f>
        <v/>
      </c>
    </row>
    <row r="44">
      <c r="A44" s="6" t="inlineStr">
        <is>
          <t>OYO Life Hotel O Forzando Hotel</t>
        </is>
      </c>
      <c r="B44" s="6" t="n">
        <v>0.1117736719146212</v>
      </c>
      <c r="C44" s="6" t="n">
        <v>0.6618878488474617</v>
      </c>
      <c r="D44" s="6" t="n">
        <v>0.362832486883625</v>
      </c>
      <c r="K44" s="6">
        <f>ABS(B44 - $G$2)</f>
        <v/>
      </c>
      <c r="L44" s="6">
        <f>ABS(B44 - $H$2)</f>
        <v/>
      </c>
      <c r="M44" s="6">
        <f>ABS(B44 - $I$2)</f>
        <v/>
      </c>
      <c r="O44">
        <f>(1/K44^2) / ((1/K44^2) + (1/L44^2) + (1/M44^2))</f>
        <v/>
      </c>
      <c r="P44">
        <f>(1/L44^2) / ((1/K44^2) + (1/L44^2) + (1/M44^2))</f>
        <v/>
      </c>
      <c r="Q44">
        <f>(1/M44^2) / ((1/K44^2) + (1/L44^2) + (1/M44^2))</f>
        <v/>
      </c>
      <c r="S44">
        <f>IF(MAX(O44:Q44)=O44, "Murah", IF(MAX(O44:Q44)=P44, "Sedang", "Mahal"))</f>
        <v/>
      </c>
    </row>
    <row r="45">
      <c r="A45" s="6" t="inlineStr">
        <is>
          <t>Hotel Malang</t>
        </is>
      </c>
      <c r="B45" s="6" t="n">
        <v>0</v>
      </c>
      <c r="C45" s="6" t="n">
        <v>0.4497349091427766</v>
      </c>
      <c r="D45" s="6" t="n">
        <v>0.4798021092300626</v>
      </c>
      <c r="K45" s="6">
        <f>ABS(B45 - $G$2)</f>
        <v/>
      </c>
      <c r="L45" s="6">
        <f>ABS(B45 - $H$2)</f>
        <v/>
      </c>
      <c r="M45" s="6">
        <f>ABS(B45 - $I$2)</f>
        <v/>
      </c>
      <c r="O45">
        <f>(1/K45^2) / ((1/K45^2) + (1/L45^2) + (1/M45^2))</f>
        <v/>
      </c>
      <c r="P45">
        <f>(1/L45^2) / ((1/K45^2) + (1/L45^2) + (1/M45^2))</f>
        <v/>
      </c>
      <c r="Q45">
        <f>(1/M45^2) / ((1/K45^2) + (1/L45^2) + (1/M45^2))</f>
        <v/>
      </c>
      <c r="S45">
        <f>IF(MAX(O45:Q45)=O45, "Murah", IF(MAX(O45:Q45)=P45, "Sedang", "Mahal"))</f>
        <v/>
      </c>
    </row>
    <row r="46">
      <c r="A46" s="6" t="inlineStr">
        <is>
          <t>Warung ampiran Bromo</t>
        </is>
      </c>
      <c r="B46" s="6" t="n">
        <v>0.001151483071397493</v>
      </c>
      <c r="C46" s="6" t="n">
        <v>0.3811349995801832</v>
      </c>
      <c r="D46" s="6" t="n">
        <v>1</v>
      </c>
      <c r="K46" s="6">
        <f>ABS(B46 - $G$2)</f>
        <v/>
      </c>
      <c r="L46" s="6">
        <f>ABS(B46 - $H$2)</f>
        <v/>
      </c>
      <c r="M46" s="6">
        <f>ABS(B46 - $I$2)</f>
        <v/>
      </c>
      <c r="O46">
        <f>(1/K46^2) / ((1/K46^2) + (1/L46^2) + (1/M46^2))</f>
        <v/>
      </c>
      <c r="P46">
        <f>(1/L46^2) / ((1/K46^2) + (1/L46^2) + (1/M46^2))</f>
        <v/>
      </c>
      <c r="Q46">
        <f>(1/M46^2) / ((1/K46^2) + (1/L46^2) + (1/M46^2))</f>
        <v/>
      </c>
      <c r="S46">
        <f>IF(MAX(O46:Q46)=O46, "Murah", IF(MAX(O46:Q46)=P46, "Sedang", "Mahal"))</f>
        <v/>
      </c>
    </row>
    <row r="47">
      <c r="A47" s="6" t="inlineStr">
        <is>
          <t>OYO 90480 sultan palace guest house</t>
        </is>
      </c>
      <c r="B47" s="6" t="n">
        <v>0</v>
      </c>
      <c r="C47" s="6" t="n">
        <v>0.6469440957220278</v>
      </c>
      <c r="D47" s="6" t="n">
        <v>0.3334334039361637</v>
      </c>
      <c r="K47" s="6">
        <f>ABS(B47 - $G$2)</f>
        <v/>
      </c>
      <c r="L47" s="6">
        <f>ABS(B47 - $H$2)</f>
        <v/>
      </c>
      <c r="M47" s="6">
        <f>ABS(B47 - $I$2)</f>
        <v/>
      </c>
      <c r="O47">
        <f>(1/K47^2) / ((1/K47^2) + (1/L47^2) + (1/M47^2))</f>
        <v/>
      </c>
      <c r="P47">
        <f>(1/L47^2) / ((1/K47^2) + (1/L47^2) + (1/M47^2))</f>
        <v/>
      </c>
      <c r="Q47">
        <f>(1/M47^2) / ((1/K47^2) + (1/L47^2) + (1/M47^2))</f>
        <v/>
      </c>
      <c r="S47">
        <f>IF(MAX(O47:Q47)=O47, "Murah", IF(MAX(O47:Q47)=P47, "Sedang", "Mahal"))</f>
        <v/>
      </c>
    </row>
    <row r="48">
      <c r="A48" s="6" t="inlineStr">
        <is>
          <t>OYO 91137 Griya Cipu Syariah Guest House</t>
        </is>
      </c>
      <c r="B48" s="6" t="n">
        <v>0</v>
      </c>
      <c r="C48" s="6" t="n">
        <v>0.5507624628783435</v>
      </c>
      <c r="D48" s="6" t="n">
        <v>0.5144191593239282</v>
      </c>
      <c r="K48" s="6">
        <f>ABS(B48 - $G$2)</f>
        <v/>
      </c>
      <c r="L48" s="6">
        <f>ABS(B48 - $H$2)</f>
        <v/>
      </c>
      <c r="M48" s="6">
        <f>ABS(B48 - $I$2)</f>
        <v/>
      </c>
      <c r="O48">
        <f>(1/K48^2) / ((1/K48^2) + (1/L48^2) + (1/M48^2))</f>
        <v/>
      </c>
      <c r="P48">
        <f>(1/L48^2) / ((1/K48^2) + (1/L48^2) + (1/M48^2))</f>
        <v/>
      </c>
      <c r="Q48">
        <f>(1/M48^2) / ((1/K48^2) + (1/L48^2) + (1/M48^2))</f>
        <v/>
      </c>
      <c r="S48">
        <f>IF(MAX(O48:Q48)=O48, "Murah", IF(MAX(O48:Q48)=P48, "Sedang", "Mahal"))</f>
        <v/>
      </c>
    </row>
    <row r="49">
      <c r="A49" s="6" t="inlineStr">
        <is>
          <t>Villa Unik Dau Malang</t>
        </is>
      </c>
      <c r="B49" s="6" t="n">
        <v>0.02487563705697001</v>
      </c>
      <c r="C49" s="6" t="n">
        <v>0.6243401390685892</v>
      </c>
      <c r="D49" s="6" t="n">
        <v>0.2003219783174026</v>
      </c>
      <c r="K49" s="6">
        <f>ABS(B49 - $G$2)</f>
        <v/>
      </c>
      <c r="L49" s="6">
        <f>ABS(B49 - $H$2)</f>
        <v/>
      </c>
      <c r="M49" s="6">
        <f>ABS(B49 - $I$2)</f>
        <v/>
      </c>
      <c r="O49">
        <f>(1/K49^2) / ((1/K49^2) + (1/L49^2) + (1/M49^2))</f>
        <v/>
      </c>
      <c r="P49">
        <f>(1/L49^2) / ((1/K49^2) + (1/L49^2) + (1/M49^2))</f>
        <v/>
      </c>
      <c r="Q49">
        <f>(1/M49^2) / ((1/K49^2) + (1/L49^2) + (1/M49^2))</f>
        <v/>
      </c>
      <c r="S49">
        <f>IF(MAX(O49:Q49)=O49, "Murah", IF(MAX(O49:Q49)=P49, "Sedang", "Mahal"))</f>
        <v/>
      </c>
    </row>
    <row r="50">
      <c r="A50" s="6" t="inlineStr">
        <is>
          <t>Orange house Villa</t>
        </is>
      </c>
      <c r="B50" s="6" t="n">
        <v>0.2061199038906548</v>
      </c>
      <c r="C50" s="6" t="n">
        <v>0.6253756844766304</v>
      </c>
      <c r="D50" s="6" t="n">
        <v>0.2007794439302759</v>
      </c>
      <c r="K50" s="6">
        <f>ABS(B50 - $G$2)</f>
        <v/>
      </c>
      <c r="L50" s="6">
        <f>ABS(B50 - $H$2)</f>
        <v/>
      </c>
      <c r="M50" s="6">
        <f>ABS(B50 - $I$2)</f>
        <v/>
      </c>
      <c r="O50">
        <f>(1/K50^2) / ((1/K50^2) + (1/L50^2) + (1/M50^2))</f>
        <v/>
      </c>
      <c r="P50">
        <f>(1/L50^2) / ((1/K50^2) + (1/L50^2) + (1/M50^2))</f>
        <v/>
      </c>
      <c r="Q50">
        <f>(1/M50^2) / ((1/K50^2) + (1/L50^2) + (1/M50^2))</f>
        <v/>
      </c>
      <c r="S50">
        <f>IF(MAX(O50:Q50)=O50, "Murah", IF(MAX(O50:Q50)=P50, "Sedang", "Mahal"))</f>
        <v/>
      </c>
    </row>
    <row r="51">
      <c r="A51" s="6" t="inlineStr">
        <is>
          <t>Villa FiFa</t>
        </is>
      </c>
      <c r="B51" s="6" t="n">
        <v>0.04094928763243441</v>
      </c>
      <c r="C51" s="6" t="n">
        <v>0.6599489409685172</v>
      </c>
      <c r="D51" s="6" t="n">
        <v>0.4157144971867139</v>
      </c>
      <c r="K51" s="6">
        <f>ABS(B51 - $G$2)</f>
        <v/>
      </c>
      <c r="L51" s="6">
        <f>ABS(B51 - $H$2)</f>
        <v/>
      </c>
      <c r="M51" s="6">
        <f>ABS(B51 - $I$2)</f>
        <v/>
      </c>
      <c r="O51">
        <f>(1/K51^2) / ((1/K51^2) + (1/L51^2) + (1/M51^2))</f>
        <v/>
      </c>
      <c r="P51">
        <f>(1/L51^2) / ((1/K51^2) + (1/L51^2) + (1/M51^2))</f>
        <v/>
      </c>
      <c r="Q51">
        <f>(1/M51^2) / ((1/K51^2) + (1/L51^2) + (1/M51^2))</f>
        <v/>
      </c>
      <c r="S51">
        <f>IF(MAX(O51:Q51)=O51, "Murah", IF(MAX(O51:Q51)=P51, "Sedang", "Mahal"))</f>
        <v/>
      </c>
    </row>
    <row r="52">
      <c r="A52" s="6" t="inlineStr">
        <is>
          <t>Villa Nayyara</t>
        </is>
      </c>
      <c r="B52" s="6" t="n">
        <v>0.2169283253750288</v>
      </c>
      <c r="C52" s="6" t="n">
        <v>0.6042432746029718</v>
      </c>
      <c r="D52" s="6" t="n">
        <v>0.199970117165644</v>
      </c>
      <c r="K52" s="6">
        <f>ABS(B52 - $G$2)</f>
        <v/>
      </c>
      <c r="L52" s="6">
        <f>ABS(B52 - $H$2)</f>
        <v/>
      </c>
      <c r="M52" s="6">
        <f>ABS(B52 - $I$2)</f>
        <v/>
      </c>
      <c r="O52">
        <f>(1/K52^2) / ((1/K52^2) + (1/L52^2) + (1/M52^2))</f>
        <v/>
      </c>
      <c r="P52">
        <f>(1/L52^2) / ((1/K52^2) + (1/L52^2) + (1/M52^2))</f>
        <v/>
      </c>
      <c r="Q52">
        <f>(1/M52^2) / ((1/K52^2) + (1/L52^2) + (1/M52^2))</f>
        <v/>
      </c>
      <c r="S52">
        <f>IF(MAX(O52:Q52)=O52, "Murah", IF(MAX(O52:Q52)=P52, "Sedang", "Mahal"))</f>
        <v/>
      </c>
    </row>
    <row r="53">
      <c r="A53" s="6" t="inlineStr">
        <is>
          <t>Villa Tidar Van Java, Private PooL, Sejuk  Nyaman</t>
        </is>
      </c>
      <c r="B53" s="6" t="n">
        <v>0</v>
      </c>
      <c r="C53" s="6" t="n">
        <v>0.5715337300844653</v>
      </c>
      <c r="D53" s="6" t="n">
        <v>0.2949302019074219</v>
      </c>
      <c r="K53" s="6">
        <f>ABS(B53 - $G$2)</f>
        <v/>
      </c>
      <c r="L53" s="6">
        <f>ABS(B53 - $H$2)</f>
        <v/>
      </c>
      <c r="M53" s="6">
        <f>ABS(B53 - $I$2)</f>
        <v/>
      </c>
      <c r="O53">
        <f>(1/K53^2) / ((1/K53^2) + (1/L53^2) + (1/M53^2))</f>
        <v/>
      </c>
      <c r="P53">
        <f>(1/L53^2) / ((1/K53^2) + (1/L53^2) + (1/M53^2))</f>
        <v/>
      </c>
      <c r="Q53">
        <f>(1/M53^2) / ((1/K53^2) + (1/L53^2) + (1/M53^2))</f>
        <v/>
      </c>
      <c r="S53">
        <f>IF(MAX(O53:Q53)=O53, "Murah", IF(MAX(O53:Q53)=P53, "Sedang", "Mahal"))</f>
        <v/>
      </c>
    </row>
    <row r="54">
      <c r="A54" s="6" t="inlineStr">
        <is>
          <t>Villa The Oz HE-05</t>
        </is>
      </c>
      <c r="B54" s="6" t="n">
        <v>0.1664900412649409</v>
      </c>
      <c r="C54" s="6" t="n">
        <v>0.5632867961722247</v>
      </c>
      <c r="D54" s="6" t="n">
        <v>0.2145011065410442</v>
      </c>
      <c r="K54" s="6">
        <f>ABS(B54 - $G$2)</f>
        <v/>
      </c>
      <c r="L54" s="6">
        <f>ABS(B54 - $H$2)</f>
        <v/>
      </c>
      <c r="M54" s="6">
        <f>ABS(B54 - $I$2)</f>
        <v/>
      </c>
      <c r="O54">
        <f>(1/K54^2) / ((1/K54^2) + (1/L54^2) + (1/M54^2))</f>
        <v/>
      </c>
      <c r="P54">
        <f>(1/L54^2) / ((1/K54^2) + (1/L54^2) + (1/M54^2))</f>
        <v/>
      </c>
      <c r="Q54">
        <f>(1/M54^2) / ((1/K54^2) + (1/L54^2) + (1/M54^2))</f>
        <v/>
      </c>
      <c r="S54">
        <f>IF(MAX(O54:Q54)=O54, "Murah", IF(MAX(O54:Q54)=P54, "Sedang", "Mahal"))</f>
        <v/>
      </c>
    </row>
    <row r="55">
      <c r="A55" s="6" t="inlineStr">
        <is>
          <t>Huis Van Gustafine Floor 1</t>
        </is>
      </c>
      <c r="B55" s="6" t="n">
        <v>0.4478191104620066</v>
      </c>
      <c r="C55" s="6" t="n">
        <v>0.5030080048233285</v>
      </c>
      <c r="D55" s="6" t="n">
        <v>0.46708207495705</v>
      </c>
      <c r="K55" s="6">
        <f>ABS(B55 - $G$2)</f>
        <v/>
      </c>
      <c r="L55" s="6">
        <f>ABS(B55 - $H$2)</f>
        <v/>
      </c>
      <c r="M55" s="6">
        <f>ABS(B55 - $I$2)</f>
        <v/>
      </c>
      <c r="O55">
        <f>(1/K55^2) / ((1/K55^2) + (1/L55^2) + (1/M55^2))</f>
        <v/>
      </c>
      <c r="P55">
        <f>(1/L55^2) / ((1/K55^2) + (1/L55^2) + (1/M55^2))</f>
        <v/>
      </c>
      <c r="Q55">
        <f>(1/M55^2) / ((1/K55^2) + (1/L55^2) + (1/M55^2))</f>
        <v/>
      </c>
      <c r="S55">
        <f>IF(MAX(O55:Q55)=O55, "Murah", IF(MAX(O55:Q55)=P55, "Sedang", "Mahal"))</f>
        <v/>
      </c>
    </row>
    <row r="56">
      <c r="A56" s="6" t="inlineStr">
        <is>
          <t>Villa Harga Ekonomis di Malang</t>
        </is>
      </c>
      <c r="B56" s="6" t="n">
        <v>0.0453833981360108</v>
      </c>
      <c r="C56" s="6" t="n">
        <v>0.6915828131159178</v>
      </c>
      <c r="D56" s="6" t="n">
        <v>0.3711369634521077</v>
      </c>
      <c r="K56" s="6">
        <f>ABS(B56 - $G$2)</f>
        <v/>
      </c>
      <c r="L56" s="6">
        <f>ABS(B56 - $H$2)</f>
        <v/>
      </c>
      <c r="M56" s="6">
        <f>ABS(B56 - $I$2)</f>
        <v/>
      </c>
      <c r="O56">
        <f>(1/K56^2) / ((1/K56^2) + (1/L56^2) + (1/M56^2))</f>
        <v/>
      </c>
      <c r="P56">
        <f>(1/L56^2) / ((1/K56^2) + (1/L56^2) + (1/M56^2))</f>
        <v/>
      </c>
      <c r="Q56">
        <f>(1/M56^2) / ((1/K56^2) + (1/L56^2) + (1/M56^2))</f>
        <v/>
      </c>
      <c r="S56">
        <f>IF(MAX(O56:Q56)=O56, "Murah", IF(MAX(O56:Q56)=P56, "Sedang", "Mahal"))</f>
        <v/>
      </c>
    </row>
    <row r="57">
      <c r="A57" s="6" t="inlineStr">
        <is>
          <t>Vila Shopie WonderHouz</t>
        </is>
      </c>
      <c r="B57" s="6" t="n">
        <v>0.3647188912506686</v>
      </c>
      <c r="C57" s="6" t="n">
        <v>0.6523369572364587</v>
      </c>
      <c r="D57" s="6" t="n">
        <v>0.540087499521533</v>
      </c>
      <c r="K57" s="6">
        <f>ABS(B57 - $G$2)</f>
        <v/>
      </c>
      <c r="L57" s="6">
        <f>ABS(B57 - $H$2)</f>
        <v/>
      </c>
      <c r="M57" s="6">
        <f>ABS(B57 - $I$2)</f>
        <v/>
      </c>
      <c r="O57">
        <f>(1/K57^2) / ((1/K57^2) + (1/L57^2) + (1/M57^2))</f>
        <v/>
      </c>
      <c r="P57">
        <f>(1/L57^2) / ((1/K57^2) + (1/L57^2) + (1/M57^2))</f>
        <v/>
      </c>
      <c r="Q57">
        <f>(1/M57^2) / ((1/K57^2) + (1/L57^2) + (1/M57^2))</f>
        <v/>
      </c>
      <c r="S57">
        <f>IF(MAX(O57:Q57)=O57, "Murah", IF(MAX(O57:Q57)=P57, "Sedang", "Mahal"))</f>
        <v/>
      </c>
    </row>
    <row r="58">
      <c r="A58" s="6" t="inlineStr">
        <is>
          <t>Villa Griya Sumber Arum - 2 Bedrooms Privatepool</t>
        </is>
      </c>
      <c r="B58" s="6" t="n">
        <v>0.1043820097051594</v>
      </c>
      <c r="C58" s="6" t="n">
        <v>0.5964576321652351</v>
      </c>
      <c r="D58" s="6" t="n">
        <v>0.1957131967300347</v>
      </c>
      <c r="K58" s="6">
        <f>ABS(B58 - $G$2)</f>
        <v/>
      </c>
      <c r="L58" s="6">
        <f>ABS(B58 - $H$2)</f>
        <v/>
      </c>
      <c r="M58" s="6">
        <f>ABS(B58 - $I$2)</f>
        <v/>
      </c>
      <c r="O58">
        <f>(1/K58^2) / ((1/K58^2) + (1/L58^2) + (1/M58^2))</f>
        <v/>
      </c>
      <c r="P58">
        <f>(1/L58^2) / ((1/K58^2) + (1/L58^2) + (1/M58^2))</f>
        <v/>
      </c>
      <c r="Q58">
        <f>(1/M58^2) / ((1/K58^2) + (1/L58^2) + (1/M58^2))</f>
        <v/>
      </c>
      <c r="S58">
        <f>IF(MAX(O58:Q58)=O58, "Murah", IF(MAX(O58:Q58)=P58, "Sedang", "Mahal"))</f>
        <v/>
      </c>
    </row>
    <row r="59">
      <c r="A59" s="6" t="inlineStr">
        <is>
          <t>Villa Griya Samara  Kolam Renang Pribadi</t>
        </is>
      </c>
      <c r="B59" s="6" t="n">
        <v>0.2300926451963341</v>
      </c>
      <c r="C59" s="6" t="n">
        <v>0.7120128325353465</v>
      </c>
      <c r="D59" s="6" t="n">
        <v>0.4770388693589997</v>
      </c>
      <c r="K59" s="6">
        <f>ABS(B59 - $G$2)</f>
        <v/>
      </c>
      <c r="L59" s="6">
        <f>ABS(B59 - $H$2)</f>
        <v/>
      </c>
      <c r="M59" s="6">
        <f>ABS(B59 - $I$2)</f>
        <v/>
      </c>
      <c r="O59">
        <f>(1/K59^2) / ((1/K59^2) + (1/L59^2) + (1/M59^2))</f>
        <v/>
      </c>
      <c r="P59">
        <f>(1/L59^2) / ((1/K59^2) + (1/L59^2) + (1/M59^2))</f>
        <v/>
      </c>
      <c r="Q59">
        <f>(1/M59^2) / ((1/K59^2) + (1/L59^2) + (1/M59^2))</f>
        <v/>
      </c>
      <c r="S59">
        <f>IF(MAX(O59:Q59)=O59, "Murah", IF(MAX(O59:Q59)=P59, "Sedang", "Mahal"))</f>
        <v/>
      </c>
    </row>
    <row r="60">
      <c r="A60" s="6" t="inlineStr">
        <is>
          <t>Gerbera 4BR Villa Springhill Garden Malang</t>
        </is>
      </c>
      <c r="B60" s="6" t="n">
        <v>0.07309658878336321</v>
      </c>
      <c r="C60" s="6" t="n">
        <v>0.513676381775346</v>
      </c>
      <c r="D60" s="6" t="n">
        <v>0.6371933377881071</v>
      </c>
      <c r="K60" s="6">
        <f>ABS(B60 - $G$2)</f>
        <v/>
      </c>
      <c r="L60" s="6">
        <f>ABS(B60 - $H$2)</f>
        <v/>
      </c>
      <c r="M60" s="6">
        <f>ABS(B60 - $I$2)</f>
        <v/>
      </c>
      <c r="O60">
        <f>(1/K60^2) / ((1/K60^2) + (1/L60^2) + (1/M60^2))</f>
        <v/>
      </c>
      <c r="P60">
        <f>(1/L60^2) / ((1/K60^2) + (1/L60^2) + (1/M60^2))</f>
        <v/>
      </c>
      <c r="Q60">
        <f>(1/M60^2) / ((1/K60^2) + (1/L60^2) + (1/M60^2))</f>
        <v/>
      </c>
      <c r="S60">
        <f>IF(MAX(O60:Q60)=O60, "Murah", IF(MAX(O60:Q60)=P60, "Sedang", "Mahal"))</f>
        <v/>
      </c>
    </row>
    <row r="61">
      <c r="A61" s="6" t="inlineStr">
        <is>
          <t>Gerbera 4BR Springhill Garden Malang</t>
        </is>
      </c>
      <c r="B61" s="6" t="n">
        <v>0.1285229700780681</v>
      </c>
      <c r="C61" s="6" t="n">
        <v>0.514412829567974</v>
      </c>
      <c r="D61" s="6" t="n">
        <v>0.6304733892898604</v>
      </c>
      <c r="K61" s="6">
        <f>ABS(B61 - $G$2)</f>
        <v/>
      </c>
      <c r="L61" s="6">
        <f>ABS(B61 - $H$2)</f>
        <v/>
      </c>
      <c r="M61" s="6">
        <f>ABS(B61 - $I$2)</f>
        <v/>
      </c>
      <c r="O61">
        <f>(1/K61^2) / ((1/K61^2) + (1/L61^2) + (1/M61^2))</f>
        <v/>
      </c>
      <c r="P61">
        <f>(1/L61^2) / ((1/K61^2) + (1/L61^2) + (1/M61^2))</f>
        <v/>
      </c>
      <c r="Q61">
        <f>(1/M61^2) / ((1/K61^2) + (1/L61^2) + (1/M61^2))</f>
        <v/>
      </c>
      <c r="S61">
        <f>IF(MAX(O61:Q61)=O61, "Murah", IF(MAX(O61:Q61)=P61, "Sedang", "Mahal"))</f>
        <v/>
      </c>
    </row>
    <row r="62">
      <c r="A62" s="6" t="inlineStr">
        <is>
          <t>FLAZ Villa</t>
        </is>
      </c>
      <c r="B62" s="6" t="n">
        <v>0.08183511205828638</v>
      </c>
      <c r="C62" s="6" t="n">
        <v>0.6526586473436793</v>
      </c>
      <c r="D62" s="6" t="n">
        <v>0.1933557731284468</v>
      </c>
      <c r="K62" s="6">
        <f>ABS(B62 - $G$2)</f>
        <v/>
      </c>
      <c r="L62" s="6">
        <f>ABS(B62 - $H$2)</f>
        <v/>
      </c>
      <c r="M62" s="6">
        <f>ABS(B62 - $I$2)</f>
        <v/>
      </c>
      <c r="O62">
        <f>(1/K62^2) / ((1/K62^2) + (1/L62^2) + (1/M62^2))</f>
        <v/>
      </c>
      <c r="P62">
        <f>(1/L62^2) / ((1/K62^2) + (1/L62^2) + (1/M62^2))</f>
        <v/>
      </c>
      <c r="Q62">
        <f>(1/M62^2) / ((1/K62^2) + (1/L62^2) + (1/M62^2))</f>
        <v/>
      </c>
      <c r="S62">
        <f>IF(MAX(O62:Q62)=O62, "Murah", IF(MAX(O62:Q62)=P62, "Sedang", "Mahal"))</f>
        <v/>
      </c>
    </row>
    <row r="63">
      <c r="A63" s="6" t="inlineStr">
        <is>
          <t>Kertavilla</t>
        </is>
      </c>
      <c r="B63" s="6" t="n">
        <v>0.009663312446825315</v>
      </c>
      <c r="C63" s="6" t="n">
        <v>0.7144744025381821</v>
      </c>
      <c r="D63" s="6" t="n">
        <v>0.4116683245183789</v>
      </c>
      <c r="K63" s="6">
        <f>ABS(B63 - $G$2)</f>
        <v/>
      </c>
      <c r="L63" s="6">
        <f>ABS(B63 - $H$2)</f>
        <v/>
      </c>
      <c r="M63" s="6">
        <f>ABS(B63 - $I$2)</f>
        <v/>
      </c>
      <c r="O63">
        <f>(1/K63^2) / ((1/K63^2) + (1/L63^2) + (1/M63^2))</f>
        <v/>
      </c>
      <c r="P63">
        <f>(1/L63^2) / ((1/K63^2) + (1/L63^2) + (1/M63^2))</f>
        <v/>
      </c>
      <c r="Q63">
        <f>(1/M63^2) / ((1/K63^2) + (1/L63^2) + (1/M63^2))</f>
        <v/>
      </c>
      <c r="S63">
        <f>IF(MAX(O63:Q63)=O63, "Murah", IF(MAX(O63:Q63)=P63, "Sedang", "Mahal"))</f>
        <v/>
      </c>
    </row>
    <row r="64">
      <c r="A64" s="6" t="inlineStr">
        <is>
          <t>Villa Lisha Orolas</t>
        </is>
      </c>
      <c r="B64" s="6" t="n">
        <v>0.4797247525904905</v>
      </c>
      <c r="C64" s="6" t="n">
        <v>0.6602847935332861</v>
      </c>
      <c r="D64" s="6" t="n">
        <v>0.4403074242702887</v>
      </c>
      <c r="K64" s="6">
        <f>ABS(B64 - $G$2)</f>
        <v/>
      </c>
      <c r="L64" s="6">
        <f>ABS(B64 - $H$2)</f>
        <v/>
      </c>
      <c r="M64" s="6">
        <f>ABS(B64 - $I$2)</f>
        <v/>
      </c>
      <c r="O64">
        <f>(1/K64^2) / ((1/K64^2) + (1/L64^2) + (1/M64^2))</f>
        <v/>
      </c>
      <c r="P64">
        <f>(1/L64^2) / ((1/K64^2) + (1/L64^2) + (1/M64^2))</f>
        <v/>
      </c>
      <c r="Q64">
        <f>(1/M64^2) / ((1/K64^2) + (1/L64^2) + (1/M64^2))</f>
        <v/>
      </c>
      <c r="S64">
        <f>IF(MAX(O64:Q64)=O64, "Murah", IF(MAX(O64:Q64)=P64, "Sedang", "Mahal"))</f>
        <v/>
      </c>
    </row>
    <row r="65">
      <c r="A65" s="6" t="inlineStr">
        <is>
          <t>Derumah 35 Villa</t>
        </is>
      </c>
      <c r="B65" s="6" t="n">
        <v>0.09989385847982064</v>
      </c>
      <c r="C65" s="6" t="n">
        <v>0.5471206880796275</v>
      </c>
      <c r="D65" s="6" t="n">
        <v>0.4193382520109827</v>
      </c>
      <c r="K65" s="6">
        <f>ABS(B65 - $G$2)</f>
        <v/>
      </c>
      <c r="L65" s="6">
        <f>ABS(B65 - $H$2)</f>
        <v/>
      </c>
      <c r="M65" s="6">
        <f>ABS(B65 - $I$2)</f>
        <v/>
      </c>
      <c r="O65">
        <f>(1/K65^2) / ((1/K65^2) + (1/L65^2) + (1/M65^2))</f>
        <v/>
      </c>
      <c r="P65">
        <f>(1/L65^2) / ((1/K65^2) + (1/L65^2) + (1/M65^2))</f>
        <v/>
      </c>
      <c r="Q65">
        <f>(1/M65^2) / ((1/K65^2) + (1/L65^2) + (1/M65^2))</f>
        <v/>
      </c>
      <c r="S65">
        <f>IF(MAX(O65:Q65)=O65, "Murah", IF(MAX(O65:Q65)=P65, "Sedang", "Mahal"))</f>
        <v/>
      </c>
    </row>
    <row r="66">
      <c r="A66" s="6" t="inlineStr">
        <is>
          <t>Kateza Homestay by Yurooms-ID</t>
        </is>
      </c>
      <c r="B66" s="6" t="n">
        <v>0.04443006437774187</v>
      </c>
      <c r="C66" s="6" t="n">
        <v>0.5309019765732704</v>
      </c>
      <c r="D66" s="6" t="n">
        <v>0.3805311489350245</v>
      </c>
      <c r="K66" s="6">
        <f>ABS(B66 - $G$2)</f>
        <v/>
      </c>
      <c r="L66" s="6">
        <f>ABS(B66 - $H$2)</f>
        <v/>
      </c>
      <c r="M66" s="6">
        <f>ABS(B66 - $I$2)</f>
        <v/>
      </c>
      <c r="O66">
        <f>(1/K66^2) / ((1/K66^2) + (1/L66^2) + (1/M66^2))</f>
        <v/>
      </c>
      <c r="P66">
        <f>(1/L66^2) / ((1/K66^2) + (1/L66^2) + (1/M66^2))</f>
        <v/>
      </c>
      <c r="Q66">
        <f>(1/M66^2) / ((1/K66^2) + (1/L66^2) + (1/M66^2))</f>
        <v/>
      </c>
      <c r="S66">
        <f>IF(MAX(O66:Q66)=O66, "Murah", IF(MAX(O66:Q66)=P66, "Sedang", "Mahal"))</f>
        <v/>
      </c>
    </row>
    <row r="67">
      <c r="A67" s="6" t="inlineStr">
        <is>
          <t>Gerbera Springhill 4BR Villa Springhill Garden Malang</t>
        </is>
      </c>
      <c r="B67" s="6" t="n">
        <v>0.07309658878336321</v>
      </c>
      <c r="C67" s="6" t="n">
        <v>0.5133661565147132</v>
      </c>
      <c r="D67" s="6" t="n">
        <v>0.637545198939931</v>
      </c>
      <c r="K67" s="6">
        <f>ABS(B67 - $G$2)</f>
        <v/>
      </c>
      <c r="L67" s="6">
        <f>ABS(B67 - $H$2)</f>
        <v/>
      </c>
      <c r="M67" s="6">
        <f>ABS(B67 - $I$2)</f>
        <v/>
      </c>
      <c r="O67">
        <f>(1/K67^2) / ((1/K67^2) + (1/L67^2) + (1/M67^2))</f>
        <v/>
      </c>
      <c r="P67">
        <f>(1/L67^2) / ((1/K67^2) + (1/L67^2) + (1/M67^2))</f>
        <v/>
      </c>
      <c r="Q67">
        <f>(1/M67^2) / ((1/K67^2) + (1/L67^2) + (1/M67^2))</f>
        <v/>
      </c>
      <c r="S67">
        <f>IF(MAX(O67:Q67)=O67, "Murah", IF(MAX(O67:Q67)=P67, "Sedang", "Mahal"))</f>
        <v/>
      </c>
    </row>
    <row r="68">
      <c r="A68" s="6" t="inlineStr">
        <is>
          <t>Villa Malang MARRY IND Puncak Buring</t>
        </is>
      </c>
      <c r="B68" s="6" t="n">
        <v>1</v>
      </c>
      <c r="C68" s="6" t="n">
        <v>0.363789361094448</v>
      </c>
      <c r="D68" s="6" t="n">
        <v>0.5785777892144088</v>
      </c>
      <c r="K68" s="6">
        <f>ABS(B68 - $G$2)</f>
        <v/>
      </c>
      <c r="L68" s="6">
        <f>ABS(B68 - $H$2)</f>
        <v/>
      </c>
      <c r="M68" s="6">
        <f>ABS(B68 - $I$2)</f>
        <v/>
      </c>
      <c r="O68">
        <f>(1/K68^2) / ((1/K68^2) + (1/L68^2) + (1/M68^2))</f>
        <v/>
      </c>
      <c r="P68">
        <f>(1/L68^2) / ((1/K68^2) + (1/L68^2) + (1/M68^2))</f>
        <v/>
      </c>
      <c r="Q68">
        <f>(1/M68^2) / ((1/K68^2) + (1/L68^2) + (1/M68^2))</f>
        <v/>
      </c>
      <c r="S68">
        <f>IF(MAX(O68:Q68)=O68, "Murah", IF(MAX(O68:Q68)=P68, "Sedang", "Mahal"))</f>
        <v/>
      </c>
    </row>
    <row r="69">
      <c r="A69" s="6" t="inlineStr">
        <is>
          <t>Villa Jingga Joyogrand Malang</t>
        </is>
      </c>
      <c r="B69" s="6" t="n">
        <v>0.07309658878336321</v>
      </c>
      <c r="C69" s="6" t="n">
        <v>0.5923060088946976</v>
      </c>
      <c r="D69" s="6" t="n">
        <v>0.2803641647632801</v>
      </c>
      <c r="K69" s="6">
        <f>ABS(B69 - $G$2)</f>
        <v/>
      </c>
      <c r="L69" s="6">
        <f>ABS(B69 - $H$2)</f>
        <v/>
      </c>
      <c r="M69" s="6">
        <f>ABS(B69 - $I$2)</f>
        <v/>
      </c>
      <c r="O69">
        <f>(1/K69^2) / ((1/K69^2) + (1/L69^2) + (1/M69^2))</f>
        <v/>
      </c>
      <c r="P69">
        <f>(1/L69^2) / ((1/K69^2) + (1/L69^2) + (1/M69^2))</f>
        <v/>
      </c>
      <c r="Q69">
        <f>(1/M69^2) / ((1/K69^2) + (1/L69^2) + (1/M69^2))</f>
        <v/>
      </c>
      <c r="S69">
        <f>IF(MAX(O69:Q69)=O69, "Murah", IF(MAX(O69:Q69)=P69, "Sedang", "Mahal"))</f>
        <v/>
      </c>
    </row>
    <row r="70">
      <c r="A70" s="6" t="inlineStr">
        <is>
          <t>Derumah 35 Univ Brawijaya</t>
        </is>
      </c>
      <c r="B70" s="6" t="n">
        <v>0.2670889233148301</v>
      </c>
      <c r="C70" s="6" t="n">
        <v>0.5471065256220762</v>
      </c>
      <c r="D70" s="6" t="n">
        <v>0.4193382520109827</v>
      </c>
      <c r="K70" s="6">
        <f>ABS(B70 - $G$2)</f>
        <v/>
      </c>
      <c r="L70" s="6">
        <f>ABS(B70 - $H$2)</f>
        <v/>
      </c>
      <c r="M70" s="6">
        <f>ABS(B70 - $I$2)</f>
        <v/>
      </c>
      <c r="O70">
        <f>(1/K70^2) / ((1/K70^2) + (1/L70^2) + (1/M70^2))</f>
        <v/>
      </c>
      <c r="P70">
        <f>(1/L70^2) / ((1/K70^2) + (1/L70^2) + (1/M70^2))</f>
        <v/>
      </c>
      <c r="Q70">
        <f>(1/M70^2) / ((1/K70^2) + (1/L70^2) + (1/M70^2))</f>
        <v/>
      </c>
      <c r="S70">
        <f>IF(MAX(O70:Q70)=O70, "Murah", IF(MAX(O70:Q70)=P70, "Sedang", "Mahal"))</f>
        <v/>
      </c>
    </row>
    <row r="71">
      <c r="A71" s="6" t="inlineStr">
        <is>
          <t>Entire 250m villa without other guests</t>
        </is>
      </c>
      <c r="B71" s="6" t="n">
        <v>0.2509739800853012</v>
      </c>
      <c r="C71" s="6" t="n">
        <v>0.5126587080399273</v>
      </c>
      <c r="D71" s="6" t="n">
        <v>0.3517509357984994</v>
      </c>
      <c r="K71" s="6">
        <f>ABS(B71 - $G$2)</f>
        <v/>
      </c>
      <c r="L71" s="6">
        <f>ABS(B71 - $H$2)</f>
        <v/>
      </c>
      <c r="M71" s="6">
        <f>ABS(B71 - $I$2)</f>
        <v/>
      </c>
      <c r="O71">
        <f>(1/K71^2) / ((1/K71^2) + (1/L71^2) + (1/M71^2))</f>
        <v/>
      </c>
      <c r="P71">
        <f>(1/L71^2) / ((1/K71^2) + (1/L71^2) + (1/M71^2))</f>
        <v/>
      </c>
      <c r="Q71">
        <f>(1/M71^2) / ((1/K71^2) + (1/L71^2) + (1/M71^2))</f>
        <v/>
      </c>
      <c r="S71">
        <f>IF(MAX(O71:Q71)=O71, "Murah", IF(MAX(O71:Q71)=P71, "Sedang", "Mahal"))</f>
        <v/>
      </c>
    </row>
    <row r="72">
      <c r="A72" s="6" t="inlineStr">
        <is>
          <t>Villa Sunrise F1</t>
        </is>
      </c>
      <c r="B72" s="6" t="n">
        <v>0.2670889233148301</v>
      </c>
      <c r="C72" s="6" t="n">
        <v>0.6520911374375449</v>
      </c>
      <c r="D72" s="6" t="n">
        <v>0.1534580388283403</v>
      </c>
      <c r="K72" s="6">
        <f>ABS(B72 - $G$2)</f>
        <v/>
      </c>
      <c r="L72" s="6">
        <f>ABS(B72 - $H$2)</f>
        <v/>
      </c>
      <c r="M72" s="6">
        <f>ABS(B72 - $I$2)</f>
        <v/>
      </c>
      <c r="O72">
        <f>(1/K72^2) / ((1/K72^2) + (1/L72^2) + (1/M72^2))</f>
        <v/>
      </c>
      <c r="P72">
        <f>(1/L72^2) / ((1/K72^2) + (1/L72^2) + (1/M72^2))</f>
        <v/>
      </c>
      <c r="Q72">
        <f>(1/M72^2) / ((1/K72^2) + (1/L72^2) + (1/M72^2))</f>
        <v/>
      </c>
      <c r="S72">
        <f>IF(MAX(O72:Q72)=O72, "Murah", IF(MAX(O72:Q72)=P72, "Sedang", "Mahal"))</f>
        <v/>
      </c>
    </row>
    <row r="73">
      <c r="A73" s="6" t="inlineStr">
        <is>
          <t>SULFAT INDAH HOME STAY SYARIAH</t>
        </is>
      </c>
      <c r="B73" s="6" t="n">
        <v>0.08452246015536015</v>
      </c>
      <c r="C73" s="6" t="n">
        <v>0.5305981581386754</v>
      </c>
      <c r="D73" s="6" t="n">
        <v>0.5727377241731674</v>
      </c>
      <c r="K73" s="6">
        <f>ABS(B73 - $G$2)</f>
        <v/>
      </c>
      <c r="L73" s="6">
        <f>ABS(B73 - $H$2)</f>
        <v/>
      </c>
      <c r="M73" s="6">
        <f>ABS(B73 - $I$2)</f>
        <v/>
      </c>
      <c r="O73">
        <f>(1/K73^2) / ((1/K73^2) + (1/L73^2) + (1/M73^2))</f>
        <v/>
      </c>
      <c r="P73">
        <f>(1/L73^2) / ((1/K73^2) + (1/L73^2) + (1/M73^2))</f>
        <v/>
      </c>
      <c r="Q73">
        <f>(1/M73^2) / ((1/K73^2) + (1/L73^2) + (1/M73^2))</f>
        <v/>
      </c>
      <c r="S73">
        <f>IF(MAX(O73:Q73)=O73, "Murah", IF(MAX(O73:Q73)=P73, "Sedang", "Mahal"))</f>
        <v/>
      </c>
    </row>
    <row r="74">
      <c r="A74" s="6" t="inlineStr">
        <is>
          <t>Little Creek Lodge</t>
        </is>
      </c>
      <c r="B74" s="6" t="n">
        <v>0.5442208297883544</v>
      </c>
      <c r="C74" s="6" t="n">
        <v>0.5895406204572641</v>
      </c>
      <c r="D74" s="6" t="n">
        <v>0.4801350630329774</v>
      </c>
      <c r="K74" s="6">
        <f>ABS(B74 - $G$2)</f>
        <v/>
      </c>
      <c r="L74" s="6">
        <f>ABS(B74 - $H$2)</f>
        <v/>
      </c>
      <c r="M74" s="6">
        <f>ABS(B74 - $I$2)</f>
        <v/>
      </c>
      <c r="O74">
        <f>(1/K74^2) / ((1/K74^2) + (1/L74^2) + (1/M74^2))</f>
        <v/>
      </c>
      <c r="P74">
        <f>(1/L74^2) / ((1/K74^2) + (1/L74^2) + (1/M74^2))</f>
        <v/>
      </c>
      <c r="Q74">
        <f>(1/M74^2) / ((1/K74^2) + (1/L74^2) + (1/M74^2))</f>
        <v/>
      </c>
      <c r="S74">
        <f>IF(MAX(O74:Q74)=O74, "Murah", IF(MAX(O74:Q74)=P74, "Sedang", "Mahal"))</f>
        <v/>
      </c>
    </row>
    <row r="75">
      <c r="A75" s="6" t="inlineStr">
        <is>
          <t>Omah Venus Homestay</t>
        </is>
      </c>
      <c r="B75" s="6" t="n">
        <v>0</v>
      </c>
      <c r="C75" s="6" t="n">
        <v>0.6245397622797778</v>
      </c>
      <c r="D75" s="6" t="n">
        <v>0.3475641109003734</v>
      </c>
      <c r="K75" s="6">
        <f>ABS(B75 - $G$2)</f>
        <v/>
      </c>
      <c r="L75" s="6">
        <f>ABS(B75 - $H$2)</f>
        <v/>
      </c>
      <c r="M75" s="6">
        <f>ABS(B75 - $I$2)</f>
        <v/>
      </c>
      <c r="O75">
        <f>(1/K75^2) / ((1/K75^2) + (1/L75^2) + (1/M75^2))</f>
        <v/>
      </c>
      <c r="P75">
        <f>(1/L75^2) / ((1/K75^2) + (1/L75^2) + (1/M75^2))</f>
        <v/>
      </c>
      <c r="Q75">
        <f>(1/M75^2) / ((1/K75^2) + (1/L75^2) + (1/M75^2))</f>
        <v/>
      </c>
      <c r="S75">
        <f>IF(MAX(O75:Q75)=O75, "Murah", IF(MAX(O75:Q75)=P75, "Sedang", "Mahal"))</f>
        <v/>
      </c>
    </row>
    <row r="76">
      <c r="A76" s="6" t="inlineStr">
        <is>
          <t>Villa Murah di Malang</t>
        </is>
      </c>
      <c r="B76" s="6" t="n">
        <v>0.2509739800853012</v>
      </c>
      <c r="C76" s="6" t="n">
        <v>0.6902852622431903</v>
      </c>
      <c r="D76" s="6" t="n">
        <v>0.3760980673461238</v>
      </c>
      <c r="K76" s="6">
        <f>ABS(B76 - $G$2)</f>
        <v/>
      </c>
      <c r="L76" s="6">
        <f>ABS(B76 - $H$2)</f>
        <v/>
      </c>
      <c r="M76" s="6">
        <f>ABS(B76 - $I$2)</f>
        <v/>
      </c>
      <c r="O76">
        <f>(1/K76^2) / ((1/K76^2) + (1/L76^2) + (1/M76^2))</f>
        <v/>
      </c>
      <c r="P76">
        <f>(1/L76^2) / ((1/K76^2) + (1/L76^2) + (1/M76^2))</f>
        <v/>
      </c>
      <c r="Q76">
        <f>(1/M76^2) / ((1/K76^2) + (1/L76^2) + (1/M76^2))</f>
        <v/>
      </c>
      <c r="S76">
        <f>IF(MAX(O76:Q76)=O76, "Murah", IF(MAX(O76:Q76)=P76, "Sedang", "Mahal"))</f>
        <v/>
      </c>
    </row>
    <row r="77">
      <c r="A77" s="6" t="inlineStr">
        <is>
          <t>Fendis Homestay</t>
        </is>
      </c>
      <c r="B77" s="6" t="n">
        <v>0.2670889233148301</v>
      </c>
      <c r="C77" s="6" t="n">
        <v>0.4850958680355695</v>
      </c>
      <c r="D77" s="6" t="n">
        <v>0.4100851799126811</v>
      </c>
      <c r="K77" s="6">
        <f>ABS(B77 - $G$2)</f>
        <v/>
      </c>
      <c r="L77" s="6">
        <f>ABS(B77 - $H$2)</f>
        <v/>
      </c>
      <c r="M77" s="6">
        <f>ABS(B77 - $I$2)</f>
        <v/>
      </c>
      <c r="O77">
        <f>(1/K77^2) / ((1/K77^2) + (1/L77^2) + (1/M77^2))</f>
        <v/>
      </c>
      <c r="P77">
        <f>(1/L77^2) / ((1/K77^2) + (1/L77^2) + (1/M77^2))</f>
        <v/>
      </c>
      <c r="Q77">
        <f>(1/M77^2) / ((1/K77^2) + (1/L77^2) + (1/M77^2))</f>
        <v/>
      </c>
      <c r="S77">
        <f>IF(MAX(O77:Q77)=O77, "Murah", IF(MAX(O77:Q77)=P77, "Sedang", "Mahal"))</f>
        <v/>
      </c>
    </row>
    <row r="78">
      <c r="A78" s="6" t="inlineStr">
        <is>
          <t>Inez Apartment 6</t>
        </is>
      </c>
      <c r="B78" s="6" t="n">
        <v>0.1408930298554203</v>
      </c>
      <c r="C78" s="6" t="n">
        <v>0.5493300314575145</v>
      </c>
      <c r="D78" s="6" t="n">
        <v>0.4247213125943063</v>
      </c>
      <c r="K78" s="6">
        <f>ABS(B78 - $G$2)</f>
        <v/>
      </c>
      <c r="L78" s="6">
        <f>ABS(B78 - $H$2)</f>
        <v/>
      </c>
      <c r="M78" s="6">
        <f>ABS(B78 - $I$2)</f>
        <v/>
      </c>
      <c r="O78">
        <f>(1/K78^2) / ((1/K78^2) + (1/L78^2) + (1/M78^2))</f>
        <v/>
      </c>
      <c r="P78">
        <f>(1/L78^2) / ((1/K78^2) + (1/L78^2) + (1/M78^2))</f>
        <v/>
      </c>
      <c r="Q78">
        <f>(1/M78^2) / ((1/K78^2) + (1/L78^2) + (1/M78^2))</f>
        <v/>
      </c>
      <c r="S78">
        <f>IF(MAX(O78:Q78)=O78, "Murah", IF(MAX(O78:Q78)=P78, "Sedang", "Mahal"))</f>
        <v/>
      </c>
    </row>
    <row r="79">
      <c r="A79" s="6" t="inlineStr">
        <is>
          <t>Vintage 58 (Khusus PutriFemale only)</t>
        </is>
      </c>
      <c r="B79" s="6" t="n">
        <v>0.01038440966746943</v>
      </c>
      <c r="C79" s="6" t="n">
        <v>0.5155144664445871</v>
      </c>
      <c r="D79" s="6" t="n">
        <v>0.4637746723610393</v>
      </c>
      <c r="K79" s="6">
        <f>ABS(B79 - $G$2)</f>
        <v/>
      </c>
      <c r="L79" s="6">
        <f>ABS(B79 - $H$2)</f>
        <v/>
      </c>
      <c r="M79" s="6">
        <f>ABS(B79 - $I$2)</f>
        <v/>
      </c>
      <c r="O79">
        <f>(1/K79^2) / ((1/K79^2) + (1/L79^2) + (1/M79^2))</f>
        <v/>
      </c>
      <c r="P79">
        <f>(1/L79^2) / ((1/K79^2) + (1/L79^2) + (1/M79^2))</f>
        <v/>
      </c>
      <c r="Q79">
        <f>(1/M79^2) / ((1/K79^2) + (1/L79^2) + (1/M79^2))</f>
        <v/>
      </c>
      <c r="S79">
        <f>IF(MAX(O79:Q79)=O79, "Murah", IF(MAX(O79:Q79)=P79, "Sedang", "Mahal"))</f>
        <v/>
      </c>
    </row>
    <row r="80">
      <c r="A80" s="6" t="inlineStr">
        <is>
          <t>The Kost Homestay Syariah</t>
        </is>
      </c>
      <c r="B80" s="6" t="n">
        <v>0.07166658814595983</v>
      </c>
      <c r="C80" s="6" t="n">
        <v>0.532722189569889</v>
      </c>
      <c r="D80" s="6" t="n">
        <v>0.3471071064423898</v>
      </c>
      <c r="K80" s="6">
        <f>ABS(B80 - $G$2)</f>
        <v/>
      </c>
      <c r="L80" s="6">
        <f>ABS(B80 - $H$2)</f>
        <v/>
      </c>
      <c r="M80" s="6">
        <f>ABS(B80 - $I$2)</f>
        <v/>
      </c>
      <c r="O80">
        <f>(1/K80^2) / ((1/K80^2) + (1/L80^2) + (1/M80^2))</f>
        <v/>
      </c>
      <c r="P80">
        <f>(1/L80^2) / ((1/K80^2) + (1/L80^2) + (1/M80^2))</f>
        <v/>
      </c>
      <c r="Q80">
        <f>(1/M80^2) / ((1/K80^2) + (1/L80^2) + (1/M80^2))</f>
        <v/>
      </c>
      <c r="S80">
        <f>IF(MAX(O80:Q80)=O80, "Murah", IF(MAX(O80:Q80)=P80, "Sedang", "Mahal"))</f>
        <v/>
      </c>
    </row>
    <row r="81">
      <c r="A81" s="6" t="inlineStr">
        <is>
          <t>Cerita PAGI Villa</t>
        </is>
      </c>
      <c r="B81" s="6" t="n">
        <v>0.4220375292027747</v>
      </c>
      <c r="C81" s="6" t="n">
        <v>0.3198456157246455</v>
      </c>
      <c r="D81" s="6" t="n">
        <v>0.3904173866446666</v>
      </c>
      <c r="K81" s="6">
        <f>ABS(B81 - $G$2)</f>
        <v/>
      </c>
      <c r="L81" s="6">
        <f>ABS(B81 - $H$2)</f>
        <v/>
      </c>
      <c r="M81" s="6">
        <f>ABS(B81 - $I$2)</f>
        <v/>
      </c>
      <c r="O81">
        <f>(1/K81^2) / ((1/K81^2) + (1/L81^2) + (1/M81^2))</f>
        <v/>
      </c>
      <c r="P81">
        <f>(1/L81^2) / ((1/K81^2) + (1/L81^2) + (1/M81^2))</f>
        <v/>
      </c>
      <c r="Q81">
        <f>(1/M81^2) / ((1/K81^2) + (1/L81^2) + (1/M81^2))</f>
        <v/>
      </c>
      <c r="S81">
        <f>IF(MAX(O81:Q81)=O81, "Murah", IF(MAX(O81:Q81)=P81, "Sedang", "Mahal"))</f>
        <v/>
      </c>
    </row>
    <row r="82">
      <c r="A82" s="6" t="inlineStr">
        <is>
          <t>Villa Kebun Jeruk Syariah Malang by ecommerceloka</t>
        </is>
      </c>
      <c r="B82" s="6" t="n">
        <v>0.1289450419716272</v>
      </c>
      <c r="C82" s="6" t="n">
        <v>0.6802471146521761</v>
      </c>
      <c r="D82" s="6" t="n">
        <v>0.2530970006949693</v>
      </c>
      <c r="K82" s="6">
        <f>ABS(B82 - $G$2)</f>
        <v/>
      </c>
      <c r="L82" s="6">
        <f>ABS(B82 - $H$2)</f>
        <v/>
      </c>
      <c r="M82" s="6">
        <f>ABS(B82 - $I$2)</f>
        <v/>
      </c>
      <c r="O82">
        <f>(1/K82^2) / ((1/K82^2) + (1/L82^2) + (1/M82^2))</f>
        <v/>
      </c>
      <c r="P82">
        <f>(1/L82^2) / ((1/K82^2) + (1/L82^2) + (1/M82^2))</f>
        <v/>
      </c>
      <c r="Q82">
        <f>(1/M82^2) / ((1/K82^2) + (1/L82^2) + (1/M82^2))</f>
        <v/>
      </c>
      <c r="S82">
        <f>IF(MAX(O82:Q82)=O82, "Murah", IF(MAX(O82:Q82)=P82, "Sedang", "Mahal"))</f>
        <v/>
      </c>
    </row>
    <row r="83">
      <c r="A83" s="6" t="inlineStr">
        <is>
          <t>PALMVIEW HOMESTAY GRIYA MERTOJOYO MALANG</t>
        </is>
      </c>
      <c r="B83" s="6" t="n">
        <v>0</v>
      </c>
      <c r="C83" s="6" t="n">
        <v>0.6015112691011939</v>
      </c>
      <c r="D83" s="6" t="n">
        <v>0.3410904190929016</v>
      </c>
      <c r="K83" s="6">
        <f>ABS(B83 - $G$2)</f>
        <v/>
      </c>
      <c r="L83" s="6">
        <f>ABS(B83 - $H$2)</f>
        <v/>
      </c>
      <c r="M83" s="6">
        <f>ABS(B83 - $I$2)</f>
        <v/>
      </c>
      <c r="O83">
        <f>(1/K83^2) / ((1/K83^2) + (1/L83^2) + (1/M83^2))</f>
        <v/>
      </c>
      <c r="P83">
        <f>(1/L83^2) / ((1/K83^2) + (1/L83^2) + (1/M83^2))</f>
        <v/>
      </c>
      <c r="Q83">
        <f>(1/M83^2) / ((1/K83^2) + (1/L83^2) + (1/M83^2))</f>
        <v/>
      </c>
      <c r="S83">
        <f>IF(MAX(O83:Q83)=O83, "Murah", IF(MAX(O83:Q83)=P83, "Sedang", "Mahal"))</f>
        <v/>
      </c>
    </row>
    <row r="84">
      <c r="A84" s="6" t="inlineStr">
        <is>
          <t>Emka Villa</t>
        </is>
      </c>
      <c r="B84" s="6" t="n">
        <v>0.01881337660286166</v>
      </c>
      <c r="C84" s="6" t="n">
        <v>0.5277794918847425</v>
      </c>
      <c r="D84" s="6" t="n">
        <v>0.2577062434371614</v>
      </c>
      <c r="K84" s="6">
        <f>ABS(B84 - $G$2)</f>
        <v/>
      </c>
      <c r="L84" s="6">
        <f>ABS(B84 - $H$2)</f>
        <v/>
      </c>
      <c r="M84" s="6">
        <f>ABS(B84 - $I$2)</f>
        <v/>
      </c>
      <c r="O84">
        <f>(1/K84^2) / ((1/K84^2) + (1/L84^2) + (1/M84^2))</f>
        <v/>
      </c>
      <c r="P84">
        <f>(1/L84^2) / ((1/K84^2) + (1/L84^2) + (1/M84^2))</f>
        <v/>
      </c>
      <c r="Q84">
        <f>(1/M84^2) / ((1/K84^2) + (1/L84^2) + (1/M84^2))</f>
        <v/>
      </c>
      <c r="S84">
        <f>IF(MAX(O84:Q84)=O84, "Murah", IF(MAX(O84:Q84)=P84, "Sedang", "Mahal"))</f>
        <v/>
      </c>
    </row>
    <row r="85">
      <c r="A85" s="6" t="inlineStr">
        <is>
          <t>puncak dieng private villa at malang, batu</t>
        </is>
      </c>
      <c r="B85" s="6" t="n">
        <v>0.1043820097051594</v>
      </c>
      <c r="C85" s="6" t="n">
        <v>0.4925615063729358</v>
      </c>
      <c r="D85" s="6" t="n">
        <v>0.305168300768888</v>
      </c>
      <c r="K85" s="6">
        <f>ABS(B85 - $G$2)</f>
        <v/>
      </c>
      <c r="L85" s="6">
        <f>ABS(B85 - $H$2)</f>
        <v/>
      </c>
      <c r="M85" s="6">
        <f>ABS(B85 - $I$2)</f>
        <v/>
      </c>
      <c r="O85">
        <f>(1/K85^2) / ((1/K85^2) + (1/L85^2) + (1/M85^2))</f>
        <v/>
      </c>
      <c r="P85">
        <f>(1/L85^2) / ((1/K85^2) + (1/L85^2) + (1/M85^2))</f>
        <v/>
      </c>
      <c r="Q85">
        <f>(1/M85^2) / ((1/K85^2) + (1/L85^2) + (1/M85^2))</f>
        <v/>
      </c>
      <c r="S85">
        <f>IF(MAX(O85:Q85)=O85, "Murah", IF(MAX(O85:Q85)=P85, "Sedang", "Mahal"))</f>
        <v/>
      </c>
    </row>
    <row r="86">
      <c r="A86" s="6" t="inlineStr">
        <is>
          <t>Omahe Malang</t>
        </is>
      </c>
      <c r="B86" s="6" t="n">
        <v>0.01767020748865838</v>
      </c>
      <c r="C86" s="6" t="n">
        <v>0.5222996324167853</v>
      </c>
      <c r="D86" s="6" t="n">
        <v>0.5734059375531839</v>
      </c>
      <c r="K86" s="6">
        <f>ABS(B86 - $G$2)</f>
        <v/>
      </c>
      <c r="L86" s="6">
        <f>ABS(B86 - $H$2)</f>
        <v/>
      </c>
      <c r="M86" s="6">
        <f>ABS(B86 - $I$2)</f>
        <v/>
      </c>
      <c r="O86">
        <f>(1/K86^2) / ((1/K86^2) + (1/L86^2) + (1/M86^2))</f>
        <v/>
      </c>
      <c r="P86">
        <f>(1/L86^2) / ((1/K86^2) + (1/L86^2) + (1/M86^2))</f>
        <v/>
      </c>
      <c r="Q86">
        <f>(1/M86^2) / ((1/K86^2) + (1/L86^2) + (1/M86^2))</f>
        <v/>
      </c>
      <c r="S86">
        <f>IF(MAX(O86:Q86)=O86, "Murah", IF(MAX(O86:Q86)=P86, "Sedang", "Mahal"))</f>
        <v/>
      </c>
    </row>
    <row r="87">
      <c r="A87" s="6" t="inlineStr">
        <is>
          <t>Villa Tidar Van Java, Private PooL, Sejuk &amp; Nyaman</t>
        </is>
      </c>
      <c r="B87" s="6" t="n">
        <v>0.2509739800853012</v>
      </c>
      <c r="C87" s="6" t="n">
        <v>0.5722492713921389</v>
      </c>
      <c r="D87" s="6" t="n">
        <v>0.2934522006078836</v>
      </c>
      <c r="K87" s="6">
        <f>ABS(B87 - $G$2)</f>
        <v/>
      </c>
      <c r="L87" s="6">
        <f>ABS(B87 - $H$2)</f>
        <v/>
      </c>
      <c r="M87" s="6">
        <f>ABS(B87 - $I$2)</f>
        <v/>
      </c>
      <c r="O87">
        <f>(1/K87^2) / ((1/K87^2) + (1/L87^2) + (1/M87^2))</f>
        <v/>
      </c>
      <c r="P87">
        <f>(1/L87^2) / ((1/K87^2) + (1/L87^2) + (1/M87^2))</f>
        <v/>
      </c>
      <c r="Q87">
        <f>(1/M87^2) / ((1/K87^2) + (1/L87^2) + (1/M87^2))</f>
        <v/>
      </c>
      <c r="S87">
        <f>IF(MAX(O87:Q87)=O87, "Murah", IF(MAX(O87:Q87)=P87, "Sedang", "Mahal"))</f>
        <v/>
      </c>
    </row>
    <row r="88">
      <c r="A88" s="6" t="inlineStr">
        <is>
          <t>The Garden Homestay Syariah dekat Batu, pintu tol, UB, UMM</t>
        </is>
      </c>
      <c r="B88" s="6" t="n">
        <v>0.07225133646861896</v>
      </c>
      <c r="C88" s="6" t="n">
        <v>0.6883412963436928</v>
      </c>
      <c r="D88" s="6" t="n">
        <v>0.3910510134108314</v>
      </c>
      <c r="K88" s="6">
        <f>ABS(B88 - $G$2)</f>
        <v/>
      </c>
      <c r="L88" s="6">
        <f>ABS(B88 - $H$2)</f>
        <v/>
      </c>
      <c r="M88" s="6">
        <f>ABS(B88 - $I$2)</f>
        <v/>
      </c>
      <c r="O88">
        <f>(1/K88^2) / ((1/K88^2) + (1/L88^2) + (1/M88^2))</f>
        <v/>
      </c>
      <c r="P88">
        <f>(1/L88^2) / ((1/K88^2) + (1/L88^2) + (1/M88^2))</f>
        <v/>
      </c>
      <c r="Q88">
        <f>(1/M88^2) / ((1/K88^2) + (1/L88^2) + (1/M88^2))</f>
        <v/>
      </c>
      <c r="S88">
        <f>IF(MAX(O88:Q88)=O88, "Murah", IF(MAX(O88:Q88)=P88, "Sedang", "Mahal"))</f>
        <v/>
      </c>
    </row>
    <row r="89">
      <c r="A89" s="6" t="inlineStr">
        <is>
          <t>Kusuma Pinus M12 by Kusuma Estate</t>
        </is>
      </c>
      <c r="B89" s="6" t="n">
        <v>0.3014441343646335</v>
      </c>
      <c r="C89" s="6" t="n">
        <v>0.4725317449799979</v>
      </c>
      <c r="D89" s="6" t="n">
        <v>0.4542047868795897</v>
      </c>
      <c r="K89" s="6">
        <f>ABS(B89 - $G$2)</f>
        <v/>
      </c>
      <c r="L89" s="6">
        <f>ABS(B89 - $H$2)</f>
        <v/>
      </c>
      <c r="M89" s="6">
        <f>ABS(B89 - $I$2)</f>
        <v/>
      </c>
      <c r="O89">
        <f>(1/K89^2) / ((1/K89^2) + (1/L89^2) + (1/M89^2))</f>
        <v/>
      </c>
      <c r="P89">
        <f>(1/L89^2) / ((1/K89^2) + (1/L89^2) + (1/M89^2))</f>
        <v/>
      </c>
      <c r="Q89">
        <f>(1/M89^2) / ((1/K89^2) + (1/L89^2) + (1/M89^2))</f>
        <v/>
      </c>
      <c r="S89">
        <f>IF(MAX(O89:Q89)=O89, "Murah", IF(MAX(O89:Q89)=P89, "Sedang", "Mahal"))</f>
        <v/>
      </c>
    </row>
    <row r="90">
      <c r="A90" s="6" t="inlineStr">
        <is>
          <t>Rumah Oma Family</t>
        </is>
      </c>
      <c r="B90" s="6" t="n">
        <v>0</v>
      </c>
      <c r="C90" s="6" t="n">
        <v>0.6883379243299897</v>
      </c>
      <c r="D90" s="6" t="n">
        <v>0.3910510134108314</v>
      </c>
      <c r="K90" s="6">
        <f>ABS(B90 - $G$2)</f>
        <v/>
      </c>
      <c r="L90" s="6">
        <f>ABS(B90 - $H$2)</f>
        <v/>
      </c>
      <c r="M90" s="6">
        <f>ABS(B90 - $I$2)</f>
        <v/>
      </c>
      <c r="O90">
        <f>(1/K90^2) / ((1/K90^2) + (1/L90^2) + (1/M90^2))</f>
        <v/>
      </c>
      <c r="P90">
        <f>(1/L90^2) / ((1/K90^2) + (1/L90^2) + (1/M90^2))</f>
        <v/>
      </c>
      <c r="Q90">
        <f>(1/M90^2) / ((1/K90^2) + (1/L90^2) + (1/M90^2))</f>
        <v/>
      </c>
      <c r="S90">
        <f>IF(MAX(O90:Q90)=O90, "Murah", IF(MAX(O90:Q90)=P90, "Sedang", "Mahal"))</f>
        <v/>
      </c>
    </row>
    <row r="91">
      <c r="A91" s="6" t="inlineStr">
        <is>
          <t>Adyvan Villa</t>
        </is>
      </c>
      <c r="B91" s="6" t="n">
        <v>0.2835228453687101</v>
      </c>
      <c r="C91" s="6" t="n">
        <v>0.6560272890324923</v>
      </c>
      <c r="D91" s="6" t="n">
        <v>0.3422165592406813</v>
      </c>
      <c r="K91" s="6">
        <f>ABS(B91 - $G$2)</f>
        <v/>
      </c>
      <c r="L91" s="6">
        <f>ABS(B91 - $H$2)</f>
        <v/>
      </c>
      <c r="M91" s="6">
        <f>ABS(B91 - $I$2)</f>
        <v/>
      </c>
      <c r="O91">
        <f>(1/K91^2) / ((1/K91^2) + (1/L91^2) + (1/M91^2))</f>
        <v/>
      </c>
      <c r="P91">
        <f>(1/L91^2) / ((1/K91^2) + (1/L91^2) + (1/M91^2))</f>
        <v/>
      </c>
      <c r="Q91">
        <f>(1/M91^2) / ((1/K91^2) + (1/L91^2) + (1/M91^2))</f>
        <v/>
      </c>
      <c r="S91">
        <f>IF(MAX(O91:Q91)=O91, "Murah", IF(MAX(O91:Q91)=P91, "Sedang", "Mahal"))</f>
        <v/>
      </c>
    </row>
    <row r="92">
      <c r="A92" s="6" t="inlineStr">
        <is>
          <t>Urbanisia</t>
        </is>
      </c>
      <c r="B92" s="6" t="n">
        <v>0</v>
      </c>
      <c r="C92" s="6" t="n">
        <v>0.5335051711516134</v>
      </c>
      <c r="D92" s="6" t="n">
        <v>0.4355224815296295</v>
      </c>
      <c r="K92" s="6">
        <f>ABS(B92 - $G$2)</f>
        <v/>
      </c>
      <c r="L92" s="6">
        <f>ABS(B92 - $H$2)</f>
        <v/>
      </c>
      <c r="M92" s="6">
        <f>ABS(B92 - $I$2)</f>
        <v/>
      </c>
      <c r="O92">
        <f>(1/K92^2) / ((1/K92^2) + (1/L92^2) + (1/M92^2))</f>
        <v/>
      </c>
      <c r="P92">
        <f>(1/L92^2) / ((1/K92^2) + (1/L92^2) + (1/M92^2))</f>
        <v/>
      </c>
      <c r="Q92">
        <f>(1/M92^2) / ((1/K92^2) + (1/L92^2) + (1/M92^2))</f>
        <v/>
      </c>
      <c r="S92">
        <f>IF(MAX(O92:Q92)=O92, "Murah", IF(MAX(O92:Q92)=P92, "Sedang", "Mahal"))</f>
        <v/>
      </c>
    </row>
    <row r="93">
      <c r="A93" s="6" t="inlineStr">
        <is>
          <t>Villa Sulfat</t>
        </is>
      </c>
      <c r="B93" s="6" t="n">
        <v>0.08452246015536015</v>
      </c>
      <c r="C93" s="6" t="n">
        <v>0.5094893523609317</v>
      </c>
      <c r="D93" s="6" t="n">
        <v>0.566369175671855</v>
      </c>
      <c r="K93" s="6">
        <f>ABS(B93 - $G$2)</f>
        <v/>
      </c>
      <c r="L93" s="6">
        <f>ABS(B93 - $H$2)</f>
        <v/>
      </c>
      <c r="M93" s="6">
        <f>ABS(B93 - $I$2)</f>
        <v/>
      </c>
      <c r="O93">
        <f>(1/K93^2) / ((1/K93^2) + (1/L93^2) + (1/M93^2))</f>
        <v/>
      </c>
      <c r="P93">
        <f>(1/L93^2) / ((1/K93^2) + (1/L93^2) + (1/M93^2))</f>
        <v/>
      </c>
      <c r="Q93">
        <f>(1/M93^2) / ((1/K93^2) + (1/L93^2) + (1/M93^2))</f>
        <v/>
      </c>
      <c r="S93">
        <f>IF(MAX(O93:Q93)=O93, "Murah", IF(MAX(O93:Q93)=P93, "Sedang", "Mahal"))</f>
        <v/>
      </c>
    </row>
    <row r="94">
      <c r="A94" s="6" t="inlineStr">
        <is>
          <t>Villa Dengan Kolam Renang di Malang</t>
        </is>
      </c>
      <c r="B94" s="6" t="n">
        <v>0.2509739800853012</v>
      </c>
      <c r="C94" s="6" t="n">
        <v>0.6578232235304505</v>
      </c>
      <c r="D94" s="6" t="n">
        <v>0.3369391031184071</v>
      </c>
      <c r="K94" s="6">
        <f>ABS(B94 - $G$2)</f>
        <v/>
      </c>
      <c r="L94" s="6">
        <f>ABS(B94 - $H$2)</f>
        <v/>
      </c>
      <c r="M94" s="6">
        <f>ABS(B94 - $I$2)</f>
        <v/>
      </c>
      <c r="O94">
        <f>(1/K94^2) / ((1/K94^2) + (1/L94^2) + (1/M94^2))</f>
        <v/>
      </c>
      <c r="P94">
        <f>(1/L94^2) / ((1/K94^2) + (1/L94^2) + (1/M94^2))</f>
        <v/>
      </c>
      <c r="Q94">
        <f>(1/M94^2) / ((1/K94^2) + (1/L94^2) + (1/M94^2))</f>
        <v/>
      </c>
      <c r="S94">
        <f>IF(MAX(O94:Q94)=O94, "Murah", IF(MAX(O94:Q94)=P94, "Sedang", "Mahal"))</f>
        <v/>
      </c>
    </row>
    <row r="95">
      <c r="A95" s="6" t="inlineStr">
        <is>
          <t>Villa Coco4 Malang</t>
        </is>
      </c>
      <c r="B95" s="6" t="n">
        <v>0.209174451763806</v>
      </c>
      <c r="C95" s="6" t="n">
        <v>0.4818465956318249</v>
      </c>
      <c r="D95" s="6" t="n">
        <v>0.3944990682366331</v>
      </c>
      <c r="K95" s="6">
        <f>ABS(B95 - $G$2)</f>
        <v/>
      </c>
      <c r="L95" s="6">
        <f>ABS(B95 - $H$2)</f>
        <v/>
      </c>
      <c r="M95" s="6">
        <f>ABS(B95 - $I$2)</f>
        <v/>
      </c>
      <c r="O95">
        <f>(1/K95^2) / ((1/K95^2) + (1/L95^2) + (1/M95^2))</f>
        <v/>
      </c>
      <c r="P95">
        <f>(1/L95^2) / ((1/K95^2) + (1/L95^2) + (1/M95^2))</f>
        <v/>
      </c>
      <c r="Q95">
        <f>(1/M95^2) / ((1/K95^2) + (1/L95^2) + (1/M95^2))</f>
        <v/>
      </c>
      <c r="S95">
        <f>IF(MAX(O95:Q95)=O95, "Murah", IF(MAX(O95:Q95)=P95, "Sedang", "Mahal"))</f>
        <v/>
      </c>
    </row>
    <row r="96">
      <c r="A96" s="6" t="inlineStr">
        <is>
          <t>Villa Seventeen Araya</t>
        </is>
      </c>
      <c r="B96" s="6" t="n">
        <v>0.009663312446825315</v>
      </c>
      <c r="C96" s="6" t="n">
        <v>0.5990834192353823</v>
      </c>
      <c r="D96" s="6" t="n">
        <v>0.5791759070570076</v>
      </c>
      <c r="K96" s="6">
        <f>ABS(B96 - $G$2)</f>
        <v/>
      </c>
      <c r="L96" s="6">
        <f>ABS(B96 - $H$2)</f>
        <v/>
      </c>
      <c r="M96" s="6">
        <f>ABS(B96 - $I$2)</f>
        <v/>
      </c>
      <c r="O96">
        <f>(1/K96^2) / ((1/K96^2) + (1/L96^2) + (1/M96^2))</f>
        <v/>
      </c>
      <c r="P96">
        <f>(1/L96^2) / ((1/K96^2) + (1/L96^2) + (1/M96^2))</f>
        <v/>
      </c>
      <c r="Q96">
        <f>(1/M96^2) / ((1/K96^2) + (1/L96^2) + (1/M96^2))</f>
        <v/>
      </c>
      <c r="S96">
        <f>IF(MAX(O96:Q96)=O96, "Murah", IF(MAX(O96:Q96)=P96, "Sedang", "Mahal"))</f>
        <v/>
      </c>
    </row>
    <row r="97">
      <c r="A97" s="6" t="inlineStr">
        <is>
          <t>Samanea Villa</t>
        </is>
      </c>
      <c r="B97" s="6" t="n">
        <v>0.3678751465334956</v>
      </c>
      <c r="C97" s="6" t="n">
        <v>0.6507662732538282</v>
      </c>
      <c r="D97" s="6" t="n">
        <v>0.5401931039825824</v>
      </c>
      <c r="K97" s="6">
        <f>ABS(B97 - $G$2)</f>
        <v/>
      </c>
      <c r="L97" s="6">
        <f>ABS(B97 - $H$2)</f>
        <v/>
      </c>
      <c r="M97" s="6">
        <f>ABS(B97 - $I$2)</f>
        <v/>
      </c>
      <c r="O97">
        <f>(1/K97^2) / ((1/K97^2) + (1/L97^2) + (1/M97^2))</f>
        <v/>
      </c>
      <c r="P97">
        <f>(1/L97^2) / ((1/K97^2) + (1/L97^2) + (1/M97^2))</f>
        <v/>
      </c>
      <c r="Q97">
        <f>(1/M97^2) / ((1/K97^2) + (1/L97^2) + (1/M97^2))</f>
        <v/>
      </c>
      <c r="S97">
        <f>IF(MAX(O97:Q97)=O97, "Murah", IF(MAX(O97:Q97)=P97, "Sedang", "Mahal"))</f>
        <v/>
      </c>
    </row>
    <row r="98">
      <c r="A98" s="6" t="inlineStr">
        <is>
          <t>Casa de Vie Homestay</t>
        </is>
      </c>
      <c r="B98" s="6" t="n">
        <v>0.09901202475342188</v>
      </c>
      <c r="C98" s="6" t="n">
        <v>0.6504091770027307</v>
      </c>
      <c r="D98" s="6" t="n">
        <v>0.4026965568795281</v>
      </c>
      <c r="K98" s="6">
        <f>ABS(B98 - $G$2)</f>
        <v/>
      </c>
      <c r="L98" s="6">
        <f>ABS(B98 - $H$2)</f>
        <v/>
      </c>
      <c r="M98" s="6">
        <f>ABS(B98 - $I$2)</f>
        <v/>
      </c>
      <c r="O98">
        <f>(1/K98^2) / ((1/K98^2) + (1/L98^2) + (1/M98^2))</f>
        <v/>
      </c>
      <c r="P98">
        <f>(1/L98^2) / ((1/K98^2) + (1/L98^2) + (1/M98^2))</f>
        <v/>
      </c>
      <c r="Q98">
        <f>(1/M98^2) / ((1/K98^2) + (1/L98^2) + (1/M98^2))</f>
        <v/>
      </c>
      <c r="S98">
        <f>IF(MAX(O98:Q98)=O98, "Murah", IF(MAX(O98:Q98)=P98, "Sedang", "Mahal"))</f>
        <v/>
      </c>
    </row>
    <row r="99">
      <c r="A99" s="6" t="inlineStr">
        <is>
          <t>Villa Kalimaya - 3 Bedrooms</t>
        </is>
      </c>
      <c r="B99" s="6" t="n">
        <v>0.1043820097051594</v>
      </c>
      <c r="C99" s="6" t="n">
        <v>0.624137818246437</v>
      </c>
      <c r="D99" s="6" t="n">
        <v>0.3322597648387317</v>
      </c>
      <c r="K99" s="6">
        <f>ABS(B99 - $G$2)</f>
        <v/>
      </c>
      <c r="L99" s="6">
        <f>ABS(B99 - $H$2)</f>
        <v/>
      </c>
      <c r="M99" s="6">
        <f>ABS(B99 - $I$2)</f>
        <v/>
      </c>
      <c r="O99">
        <f>(1/K99^2) / ((1/K99^2) + (1/L99^2) + (1/M99^2))</f>
        <v/>
      </c>
      <c r="P99">
        <f>(1/L99^2) / ((1/K99^2) + (1/L99^2) + (1/M99^2))</f>
        <v/>
      </c>
      <c r="Q99">
        <f>(1/M99^2) / ((1/K99^2) + (1/L99^2) + (1/M99^2))</f>
        <v/>
      </c>
      <c r="S99">
        <f>IF(MAX(O99:Q99)=O99, "Murah", IF(MAX(O99:Q99)=P99, "Sedang", "Mahal"))</f>
        <v/>
      </c>
    </row>
    <row r="100">
      <c r="A100" s="6" t="inlineStr">
        <is>
          <t>MP Villa Permata Kencana 24A</t>
        </is>
      </c>
      <c r="B100" s="6" t="n">
        <v>0.4056548765515923</v>
      </c>
      <c r="C100" s="6" t="n">
        <v>0.6545527074403803</v>
      </c>
      <c r="D100" s="6" t="n">
        <v>0.3414777891682916</v>
      </c>
      <c r="K100" s="6">
        <f>ABS(B100 - $G$2)</f>
        <v/>
      </c>
      <c r="L100" s="6">
        <f>ABS(B100 - $H$2)</f>
        <v/>
      </c>
      <c r="M100" s="6">
        <f>ABS(B100 - $I$2)</f>
        <v/>
      </c>
      <c r="O100">
        <f>(1/K100^2) / ((1/K100^2) + (1/L100^2) + (1/M100^2))</f>
        <v/>
      </c>
      <c r="P100">
        <f>(1/L100^2) / ((1/K100^2) + (1/L100^2) + (1/M100^2))</f>
        <v/>
      </c>
      <c r="Q100">
        <f>(1/M100^2) / ((1/K100^2) + (1/L100^2) + (1/M100^2))</f>
        <v/>
      </c>
      <c r="S100">
        <f>IF(MAX(O100:Q100)=O100, "Murah", IF(MAX(O100:Q100)=P100, "Sedang", "Mahal"))</f>
        <v/>
      </c>
    </row>
    <row r="101">
      <c r="A101" s="6" t="inlineStr">
        <is>
          <t>Vila Bumi Madinah Dau-Malang</t>
        </is>
      </c>
      <c r="B101" s="6" t="n">
        <v>0.7915782384941761</v>
      </c>
      <c r="C101" s="6" t="n">
        <v>0.6195181594739928</v>
      </c>
      <c r="D101" s="6" t="n">
        <v>0.1956776878064688</v>
      </c>
      <c r="K101" s="6">
        <f>ABS(B101 - $G$2)</f>
        <v/>
      </c>
      <c r="L101" s="6">
        <f>ABS(B101 - $H$2)</f>
        <v/>
      </c>
      <c r="M101" s="6">
        <f>ABS(B101 - $I$2)</f>
        <v/>
      </c>
      <c r="O101">
        <f>(1/K101^2) / ((1/K101^2) + (1/L101^2) + (1/M101^2))</f>
        <v/>
      </c>
      <c r="P101">
        <f>(1/L101^2) / ((1/K101^2) + (1/L101^2) + (1/M101^2))</f>
        <v/>
      </c>
      <c r="Q101">
        <f>(1/M101^2) / ((1/K101^2) + (1/L101^2) + (1/M101^2))</f>
        <v/>
      </c>
      <c r="S101">
        <f>IF(MAX(O101:Q101)=O101, "Murah", IF(MAX(O101:Q101)=P101, "Sedang", "Mahal"))</f>
        <v/>
      </c>
    </row>
    <row r="102">
      <c r="A102" s="6" t="inlineStr">
        <is>
          <t>Rumah Fia (Villa kota Malang)</t>
        </is>
      </c>
      <c r="B102" s="6" t="n">
        <v>0.2560036470558892</v>
      </c>
      <c r="C102" s="6" t="n">
        <v>0.6869921536613157</v>
      </c>
      <c r="D102" s="6" t="n">
        <v>0.3612152168188996</v>
      </c>
      <c r="K102" s="6">
        <f>ABS(B102 - $G$2)</f>
        <v/>
      </c>
      <c r="L102" s="6">
        <f>ABS(B102 - $H$2)</f>
        <v/>
      </c>
      <c r="M102" s="6">
        <f>ABS(B102 - $I$2)</f>
        <v/>
      </c>
      <c r="O102">
        <f>(1/K102^2) / ((1/K102^2) + (1/L102^2) + (1/M102^2))</f>
        <v/>
      </c>
      <c r="P102">
        <f>(1/L102^2) / ((1/K102^2) + (1/L102^2) + (1/M102^2))</f>
        <v/>
      </c>
      <c r="Q102">
        <f>(1/M102^2) / ((1/K102^2) + (1/L102^2) + (1/M102^2))</f>
        <v/>
      </c>
      <c r="S102">
        <f>IF(MAX(O102:Q102)=O102, "Murah", IF(MAX(O102:Q102)=P102, "Sedang", "Mahal"))</f>
        <v/>
      </c>
    </row>
    <row r="103">
      <c r="A103" s="6" t="inlineStr">
        <is>
          <t>Vila Bumi Madinah Landungsari Malang</t>
        </is>
      </c>
      <c r="B103" s="6" t="n">
        <v>0</v>
      </c>
      <c r="C103" s="6" t="n">
        <v>0.6193832789258913</v>
      </c>
      <c r="D103" s="6" t="n">
        <v>0.1961706623429081</v>
      </c>
      <c r="K103" s="6">
        <f>ABS(B103 - $G$2)</f>
        <v/>
      </c>
      <c r="L103" s="6">
        <f>ABS(B103 - $H$2)</f>
        <v/>
      </c>
      <c r="M103" s="6">
        <f>ABS(B103 - $I$2)</f>
        <v/>
      </c>
      <c r="O103">
        <f>(1/K103^2) / ((1/K103^2) + (1/L103^2) + (1/M103^2))</f>
        <v/>
      </c>
      <c r="P103">
        <f>(1/L103^2) / ((1/K103^2) + (1/L103^2) + (1/M103^2))</f>
        <v/>
      </c>
      <c r="Q103">
        <f>(1/M103^2) / ((1/K103^2) + (1/L103^2) + (1/M103^2))</f>
        <v/>
      </c>
      <c r="S103">
        <f>IF(MAX(O103:Q103)=O103, "Murah", IF(MAX(O103:Q103)=P103, "Sedang", "Mahal"))</f>
        <v/>
      </c>
    </row>
    <row r="104">
      <c r="A104" s="6" t="inlineStr">
        <is>
          <t>Villa Samawa</t>
        </is>
      </c>
      <c r="B104" s="6" t="n">
        <v>0.6827867830251164</v>
      </c>
      <c r="C104" s="6" t="n">
        <v>0.6320950961816338</v>
      </c>
      <c r="D104" s="6" t="n">
        <v>0.4275712495774437</v>
      </c>
      <c r="K104" s="6">
        <f>ABS(B104 - $G$2)</f>
        <v/>
      </c>
      <c r="L104" s="6">
        <f>ABS(B104 - $H$2)</f>
        <v/>
      </c>
      <c r="M104" s="6">
        <f>ABS(B104 - $I$2)</f>
        <v/>
      </c>
      <c r="O104">
        <f>(1/K104^2) / ((1/K104^2) + (1/L104^2) + (1/M104^2))</f>
        <v/>
      </c>
      <c r="P104">
        <f>(1/L104^2) / ((1/K104^2) + (1/L104^2) + (1/M104^2))</f>
        <v/>
      </c>
      <c r="Q104">
        <f>(1/M104^2) / ((1/K104^2) + (1/L104^2) + (1/M104^2))</f>
        <v/>
      </c>
      <c r="S104">
        <f>IF(MAX(O104:Q104)=O104, "Murah", IF(MAX(O104:Q104)=P104, "Sedang", "Mahal"))</f>
        <v/>
      </c>
    </row>
    <row r="105">
      <c r="A105" s="6" t="inlineStr">
        <is>
          <t>Dekaka Riverside</t>
        </is>
      </c>
      <c r="B105" s="6" t="n">
        <v>0</v>
      </c>
      <c r="C105" s="6" t="n">
        <v>0.6588361764466875</v>
      </c>
      <c r="D105" s="6" t="n">
        <v>0.5421281097401042</v>
      </c>
      <c r="K105" s="6">
        <f>ABS(B105 - $G$2)</f>
        <v/>
      </c>
      <c r="L105" s="6">
        <f>ABS(B105 - $H$2)</f>
        <v/>
      </c>
      <c r="M105" s="6">
        <f>ABS(B105 - $I$2)</f>
        <v/>
      </c>
      <c r="O105">
        <f>(1/K105^2) / ((1/K105^2) + (1/L105^2) + (1/M105^2))</f>
        <v/>
      </c>
      <c r="P105">
        <f>(1/L105^2) / ((1/K105^2) + (1/L105^2) + (1/M105^2))</f>
        <v/>
      </c>
      <c r="Q105">
        <f>(1/M105^2) / ((1/K105^2) + (1/L105^2) + (1/M105^2))</f>
        <v/>
      </c>
      <c r="S105">
        <f>IF(MAX(O105:Q105)=O105, "Murah", IF(MAX(O105:Q105)=P105, "Sedang", "Mahal"))</f>
        <v/>
      </c>
    </row>
    <row r="106">
      <c r="A106" s="6" t="inlineStr">
        <is>
          <t>AdyneVille - Syariah Premium HomeStay</t>
        </is>
      </c>
      <c r="B106" s="6" t="n">
        <v>0.05508301486258414</v>
      </c>
      <c r="C106" s="6" t="n">
        <v>0.6710081343086529</v>
      </c>
      <c r="D106" s="6" t="n">
        <v>0.4004797855076656</v>
      </c>
      <c r="K106" s="6">
        <f>ABS(B106 - $G$2)</f>
        <v/>
      </c>
      <c r="L106" s="6">
        <f>ABS(B106 - $H$2)</f>
        <v/>
      </c>
      <c r="M106" s="6">
        <f>ABS(B106 - $I$2)</f>
        <v/>
      </c>
      <c r="O106">
        <f>(1/K106^2) / ((1/K106^2) + (1/L106^2) + (1/M106^2))</f>
        <v/>
      </c>
      <c r="P106">
        <f>(1/L106^2) / ((1/K106^2) + (1/L106^2) + (1/M106^2))</f>
        <v/>
      </c>
      <c r="Q106">
        <f>(1/M106^2) / ((1/K106^2) + (1/L106^2) + (1/M106^2))</f>
        <v/>
      </c>
      <c r="S106">
        <f>IF(MAX(O106:Q106)=O106, "Murah", IF(MAX(O106:Q106)=P106, "Sedang", "Mahal"))</f>
        <v/>
      </c>
    </row>
    <row r="107">
      <c r="A107" s="6" t="inlineStr">
        <is>
          <t>Villa Bromo</t>
        </is>
      </c>
      <c r="B107" s="6" t="n">
        <v>0.8036489958125369</v>
      </c>
      <c r="C107" s="6" t="n">
        <v>0.5153566562033072</v>
      </c>
      <c r="D107" s="6" t="n">
        <v>0.2535544663077771</v>
      </c>
      <c r="K107" s="6">
        <f>ABS(B107 - $G$2)</f>
        <v/>
      </c>
      <c r="L107" s="6">
        <f>ABS(B107 - $H$2)</f>
        <v/>
      </c>
      <c r="M107" s="6">
        <f>ABS(B107 - $I$2)</f>
        <v/>
      </c>
      <c r="O107">
        <f>(1/K107^2) / ((1/K107^2) + (1/L107^2) + (1/M107^2))</f>
        <v/>
      </c>
      <c r="P107">
        <f>(1/L107^2) / ((1/K107^2) + (1/L107^2) + (1/M107^2))</f>
        <v/>
      </c>
      <c r="Q107">
        <f>(1/M107^2) / ((1/K107^2) + (1/L107^2) + (1/M107^2))</f>
        <v/>
      </c>
      <c r="S107">
        <f>IF(MAX(O107:Q107)=O107, "Murah", IF(MAX(O107:Q107)=P107, "Sedang", "Mahal"))</f>
        <v/>
      </c>
    </row>
    <row r="108">
      <c r="A108" s="6" t="inlineStr">
        <is>
          <t>Sierra Villa Malang</t>
        </is>
      </c>
      <c r="B108" s="6" t="n">
        <v>0.01100546226987659</v>
      </c>
      <c r="C108" s="6" t="n">
        <v>0.5140078507223014</v>
      </c>
      <c r="D108" s="6" t="n">
        <v>0.630684598211959</v>
      </c>
      <c r="K108" s="6">
        <f>ABS(B108 - $G$2)</f>
        <v/>
      </c>
      <c r="L108" s="6">
        <f>ABS(B108 - $H$2)</f>
        <v/>
      </c>
      <c r="M108" s="6">
        <f>ABS(B108 - $I$2)</f>
        <v/>
      </c>
      <c r="O108">
        <f>(1/K108^2) / ((1/K108^2) + (1/L108^2) + (1/M108^2))</f>
        <v/>
      </c>
      <c r="P108">
        <f>(1/L108^2) / ((1/K108^2) + (1/L108^2) + (1/M108^2))</f>
        <v/>
      </c>
      <c r="Q108">
        <f>(1/M108^2) / ((1/K108^2) + (1/L108^2) + (1/M108^2))</f>
        <v/>
      </c>
      <c r="S108">
        <f>IF(MAX(O108:Q108)=O108, "Murah", IF(MAX(O108:Q108)=P108, "Sedang", "Mahal"))</f>
        <v/>
      </c>
    </row>
    <row r="109">
      <c r="A109" s="6" t="inlineStr">
        <is>
          <t>Villa Griya Samara &amp; Kolam Renang Pribadi</t>
        </is>
      </c>
      <c r="B109" s="6" t="n">
        <v>0.2300926451963341</v>
      </c>
      <c r="C109" s="6" t="n">
        <v>0.7121655847560705</v>
      </c>
      <c r="D109" s="6" t="n">
        <v>0.4766870082071757</v>
      </c>
      <c r="K109" s="6">
        <f>ABS(B109 - $G$2)</f>
        <v/>
      </c>
      <c r="L109" s="6">
        <f>ABS(B109 - $H$2)</f>
        <v/>
      </c>
      <c r="M109" s="6">
        <f>ABS(B109 - $I$2)</f>
        <v/>
      </c>
      <c r="O109">
        <f>(1/K109^2) / ((1/K109^2) + (1/L109^2) + (1/M109^2))</f>
        <v/>
      </c>
      <c r="P109">
        <f>(1/L109^2) / ((1/K109^2) + (1/L109^2) + (1/M109^2))</f>
        <v/>
      </c>
      <c r="Q109">
        <f>(1/M109^2) / ((1/K109^2) + (1/L109^2) + (1/M109^2))</f>
        <v/>
      </c>
      <c r="S109">
        <f>IF(MAX(O109:Q109)=O109, "Murah", IF(MAX(O109:Q109)=P109, "Sedang", "Mahal"))</f>
        <v/>
      </c>
    </row>
    <row r="110">
      <c r="A110" s="6" t="inlineStr">
        <is>
          <t>Villa Greenland - 2 Bedrooms</t>
        </is>
      </c>
      <c r="B110" s="6" t="n">
        <v>0.1119294200460593</v>
      </c>
      <c r="C110" s="6" t="n">
        <v>0.567891618084378</v>
      </c>
      <c r="D110" s="6" t="n">
        <v>0.2879635355635763</v>
      </c>
      <c r="K110" s="6">
        <f>ABS(B110 - $G$2)</f>
        <v/>
      </c>
      <c r="L110" s="6">
        <f>ABS(B110 - $H$2)</f>
        <v/>
      </c>
      <c r="M110" s="6">
        <f>ABS(B110 - $I$2)</f>
        <v/>
      </c>
      <c r="O110">
        <f>(1/K110^2) / ((1/K110^2) + (1/L110^2) + (1/M110^2))</f>
        <v/>
      </c>
      <c r="P110">
        <f>(1/L110^2) / ((1/K110^2) + (1/L110^2) + (1/M110^2))</f>
        <v/>
      </c>
      <c r="Q110">
        <f>(1/M110^2) / ((1/K110^2) + (1/L110^2) + (1/M110^2))</f>
        <v/>
      </c>
      <c r="S110">
        <f>IF(MAX(O110:Q110)=O110, "Murah", IF(MAX(O110:Q110)=P110, "Sedang", "Mahal"))</f>
        <v/>
      </c>
    </row>
    <row r="111">
      <c r="A111" s="6" t="inlineStr">
        <is>
          <t>Villa Malang Puncak Buring</t>
        </is>
      </c>
      <c r="B111" s="6" t="n">
        <v>1</v>
      </c>
      <c r="C111" s="6" t="n">
        <v>0.3600076477270776</v>
      </c>
      <c r="D111" s="6" t="n">
        <v>0.5772409012994859</v>
      </c>
      <c r="K111" s="6">
        <f>ABS(B111 - $G$2)</f>
        <v/>
      </c>
      <c r="L111" s="6">
        <f>ABS(B111 - $H$2)</f>
        <v/>
      </c>
      <c r="M111" s="6">
        <f>ABS(B111 - $I$2)</f>
        <v/>
      </c>
      <c r="O111">
        <f>(1/K111^2) / ((1/K111^2) + (1/L111^2) + (1/M111^2))</f>
        <v/>
      </c>
      <c r="P111">
        <f>(1/L111^2) / ((1/K111^2) + (1/L111^2) + (1/M111^2))</f>
        <v/>
      </c>
      <c r="Q111">
        <f>(1/M111^2) / ((1/K111^2) + (1/L111^2) + (1/M111^2))</f>
        <v/>
      </c>
      <c r="S111">
        <f>IF(MAX(O111:Q111)=O111, "Murah", IF(MAX(O111:Q111)=P111, "Sedang", "Mahal"))</f>
        <v/>
      </c>
    </row>
    <row r="112">
      <c r="A112" s="6" t="inlineStr">
        <is>
          <t>Cozy villa @oma view malang</t>
        </is>
      </c>
      <c r="B112" s="6" t="n">
        <v>0.01268183317213494</v>
      </c>
      <c r="C112" s="6" t="n">
        <v>0.4430269622843638</v>
      </c>
      <c r="D112" s="6" t="n">
        <v>0.6680842566806211</v>
      </c>
      <c r="K112" s="6">
        <f>ABS(B112 - $G$2)</f>
        <v/>
      </c>
      <c r="L112" s="6">
        <f>ABS(B112 - $H$2)</f>
        <v/>
      </c>
      <c r="M112" s="6">
        <f>ABS(B112 - $I$2)</f>
        <v/>
      </c>
      <c r="O112">
        <f>(1/K112^2) / ((1/K112^2) + (1/L112^2) + (1/M112^2))</f>
        <v/>
      </c>
      <c r="P112">
        <f>(1/L112^2) / ((1/K112^2) + (1/L112^2) + (1/M112^2))</f>
        <v/>
      </c>
      <c r="Q112">
        <f>(1/M112^2) / ((1/K112^2) + (1/L112^2) + (1/M112^2))</f>
        <v/>
      </c>
      <c r="S112">
        <f>IF(MAX(O112:Q112)=O112, "Murah", IF(MAX(O112:Q112)=P112, "Sedang", "Mahal"))</f>
        <v/>
      </c>
    </row>
    <row r="113">
      <c r="A113" s="6" t="inlineStr">
        <is>
          <t>Villa Strategis di Malang View Pegunungan</t>
        </is>
      </c>
      <c r="B113" s="6" t="n">
        <v>0.05697250020092063</v>
      </c>
      <c r="C113" s="6" t="n">
        <v>0.6928257373666673</v>
      </c>
      <c r="D113" s="6" t="n">
        <v>0.3756756495020577</v>
      </c>
      <c r="K113" s="6">
        <f>ABS(B113 - $G$2)</f>
        <v/>
      </c>
      <c r="L113" s="6">
        <f>ABS(B113 - $H$2)</f>
        <v/>
      </c>
      <c r="M113" s="6">
        <f>ABS(B113 - $I$2)</f>
        <v/>
      </c>
      <c r="O113">
        <f>(1/K113^2) / ((1/K113^2) + (1/L113^2) + (1/M113^2))</f>
        <v/>
      </c>
      <c r="P113">
        <f>(1/L113^2) / ((1/K113^2) + (1/L113^2) + (1/M113^2))</f>
        <v/>
      </c>
      <c r="Q113">
        <f>(1/M113^2) / ((1/K113^2) + (1/L113^2) + (1/M113^2))</f>
        <v/>
      </c>
      <c r="S113">
        <f>IF(MAX(O113:Q113)=O113, "Murah", IF(MAX(O113:Q113)=P113, "Sedang", "Mahal"))</f>
        <v/>
      </c>
    </row>
    <row r="114">
      <c r="A114" s="6" t="inlineStr">
        <is>
          <t>Villa Griya Sumber Arum</t>
        </is>
      </c>
      <c r="B114" s="6" t="n">
        <v>0.1043820097051594</v>
      </c>
      <c r="C114" s="6" t="n">
        <v>0.5917320921625284</v>
      </c>
      <c r="D114" s="6" t="n">
        <v>0.2034532197601219</v>
      </c>
      <c r="K114" s="6">
        <f>ABS(B114 - $G$2)</f>
        <v/>
      </c>
      <c r="L114" s="6">
        <f>ABS(B114 - $H$2)</f>
        <v/>
      </c>
      <c r="M114" s="6">
        <f>ABS(B114 - $I$2)</f>
        <v/>
      </c>
      <c r="O114">
        <f>(1/K114^2) / ((1/K114^2) + (1/L114^2) + (1/M114^2))</f>
        <v/>
      </c>
      <c r="P114">
        <f>(1/L114^2) / ((1/K114^2) + (1/L114^2) + (1/M114^2))</f>
        <v/>
      </c>
      <c r="Q114">
        <f>(1/M114^2) / ((1/K114^2) + (1/L114^2) + (1/M114^2))</f>
        <v/>
      </c>
      <c r="S114">
        <f>IF(MAX(O114:Q114)=O114, "Murah", IF(MAX(O114:Q114)=P114, "Sedang", "Mahal"))</f>
        <v/>
      </c>
    </row>
    <row r="115">
      <c r="A115" s="6" t="inlineStr">
        <is>
          <t>Villa Graha Dewata</t>
        </is>
      </c>
      <c r="B115" s="6" t="n">
        <v>0</v>
      </c>
      <c r="C115" s="6" t="n">
        <v>0.6217096311792571</v>
      </c>
      <c r="D115" s="6" t="n">
        <v>0.2177379524448129</v>
      </c>
      <c r="K115" s="6">
        <f>ABS(B115 - $G$2)</f>
        <v/>
      </c>
      <c r="L115" s="6">
        <f>ABS(B115 - $H$2)</f>
        <v/>
      </c>
      <c r="M115" s="6">
        <f>ABS(B115 - $I$2)</f>
        <v/>
      </c>
      <c r="O115">
        <f>(1/K115^2) / ((1/K115^2) + (1/L115^2) + (1/M115^2))</f>
        <v/>
      </c>
      <c r="P115">
        <f>(1/L115^2) / ((1/K115^2) + (1/L115^2) + (1/M115^2))</f>
        <v/>
      </c>
      <c r="Q115">
        <f>(1/M115^2) / ((1/K115^2) + (1/L115^2) + (1/M115^2))</f>
        <v/>
      </c>
      <c r="S115">
        <f>IF(MAX(O115:Q115)=O115, "Murah", IF(MAX(O115:Q115)=P115, "Sedang", "Mahal"))</f>
        <v/>
      </c>
    </row>
    <row r="116">
      <c r="A116" s="6" t="inlineStr">
        <is>
          <t>The OZ HE-01, Villa Omah Dalem with Mountain View</t>
        </is>
      </c>
      <c r="B116" s="6" t="n">
        <v>0.01767020748865838</v>
      </c>
      <c r="C116" s="6" t="n">
        <v>0.5629121654498759</v>
      </c>
      <c r="D116" s="6" t="n">
        <v>0.2149936199226592</v>
      </c>
      <c r="K116" s="6">
        <f>ABS(B116 - $G$2)</f>
        <v/>
      </c>
      <c r="L116" s="6">
        <f>ABS(B116 - $H$2)</f>
        <v/>
      </c>
      <c r="M116" s="6">
        <f>ABS(B116 - $I$2)</f>
        <v/>
      </c>
      <c r="O116">
        <f>(1/K116^2) / ((1/K116^2) + (1/L116^2) + (1/M116^2))</f>
        <v/>
      </c>
      <c r="P116">
        <f>(1/L116^2) / ((1/K116^2) + (1/L116^2) + (1/M116^2))</f>
        <v/>
      </c>
      <c r="Q116">
        <f>(1/M116^2) / ((1/K116^2) + (1/L116^2) + (1/M116^2))</f>
        <v/>
      </c>
      <c r="S116">
        <f>IF(MAX(O116:Q116)=O116, "Murah", IF(MAX(O116:Q116)=P116, "Sedang", "Mahal"))</f>
        <v/>
      </c>
    </row>
    <row r="117">
      <c r="A117" s="6" t="inlineStr">
        <is>
          <t>Omah Joglo Bugis</t>
        </is>
      </c>
      <c r="B117" s="6" t="n">
        <v>0.08994842575220528</v>
      </c>
      <c r="C117" s="6" t="n">
        <v>0.5389671589469479</v>
      </c>
      <c r="D117" s="6" t="n">
        <v>0.7112192980393205</v>
      </c>
      <c r="K117" s="6">
        <f>ABS(B117 - $G$2)</f>
        <v/>
      </c>
      <c r="L117" s="6">
        <f>ABS(B117 - $H$2)</f>
        <v/>
      </c>
      <c r="M117" s="6">
        <f>ABS(B117 - $I$2)</f>
        <v/>
      </c>
      <c r="O117">
        <f>(1/K117^2) / ((1/K117^2) + (1/L117^2) + (1/M117^2))</f>
        <v/>
      </c>
      <c r="P117">
        <f>(1/L117^2) / ((1/K117^2) + (1/L117^2) + (1/M117^2))</f>
        <v/>
      </c>
      <c r="Q117">
        <f>(1/M117^2) / ((1/K117^2) + (1/L117^2) + (1/M117^2))</f>
        <v/>
      </c>
      <c r="S117">
        <f>IF(MAX(O117:Q117)=O117, "Murah", IF(MAX(O117:Q117)=P117, "Sedang", "Mahal"))</f>
        <v/>
      </c>
    </row>
    <row r="118">
      <c r="A118" s="6" t="inlineStr">
        <is>
          <t>HS Villa</t>
        </is>
      </c>
      <c r="B118" s="6" t="n">
        <v>0.009663312446825315</v>
      </c>
      <c r="C118" s="6" t="n">
        <v>0.650708274618144</v>
      </c>
      <c r="D118" s="6" t="n">
        <v>0.5718578407162278</v>
      </c>
      <c r="K118" s="6">
        <f>ABS(B118 - $G$2)</f>
        <v/>
      </c>
      <c r="L118" s="6">
        <f>ABS(B118 - $H$2)</f>
        <v/>
      </c>
      <c r="M118" s="6">
        <f>ABS(B118 - $I$2)</f>
        <v/>
      </c>
      <c r="O118">
        <f>(1/K118^2) / ((1/K118^2) + (1/L118^2) + (1/M118^2))</f>
        <v/>
      </c>
      <c r="P118">
        <f>(1/L118^2) / ((1/K118^2) + (1/L118^2) + (1/M118^2))</f>
        <v/>
      </c>
      <c r="Q118">
        <f>(1/M118^2) / ((1/K118^2) + (1/L118^2) + (1/M118^2))</f>
        <v/>
      </c>
      <c r="S118">
        <f>IF(MAX(O118:Q118)=O118, "Murah", IF(MAX(O118:Q118)=P118, "Sedang", "Mahal"))</f>
        <v/>
      </c>
    </row>
    <row r="119">
      <c r="A119" s="6" t="inlineStr">
        <is>
          <t>Villa Awwa</t>
        </is>
      </c>
      <c r="B119" s="6" t="n">
        <v>0</v>
      </c>
      <c r="C119" s="6" t="n">
        <v>0.4539189037448561</v>
      </c>
      <c r="D119" s="6" t="n">
        <v>0.7022120214769039</v>
      </c>
      <c r="K119" s="6">
        <f>ABS(B119 - $G$2)</f>
        <v/>
      </c>
      <c r="L119" s="6">
        <f>ABS(B119 - $H$2)</f>
        <v/>
      </c>
      <c r="M119" s="6">
        <f>ABS(B119 - $I$2)</f>
        <v/>
      </c>
      <c r="O119">
        <f>(1/K119^2) / ((1/K119^2) + (1/L119^2) + (1/M119^2))</f>
        <v/>
      </c>
      <c r="P119">
        <f>(1/L119^2) / ((1/K119^2) + (1/L119^2) + (1/M119^2))</f>
        <v/>
      </c>
      <c r="Q119">
        <f>(1/M119^2) / ((1/K119^2) + (1/L119^2) + (1/M119^2))</f>
        <v/>
      </c>
      <c r="S119">
        <f>IF(MAX(O119:Q119)=O119, "Murah", IF(MAX(O119:Q119)=P119, "Sedang", "Mahal"))</f>
        <v/>
      </c>
    </row>
    <row r="120">
      <c r="A120" s="6" t="inlineStr">
        <is>
          <t>Homestay Villa Estetik di Malang</t>
        </is>
      </c>
      <c r="B120" s="6" t="n">
        <v>0.2126613254110559</v>
      </c>
      <c r="C120" s="6" t="n">
        <v>0.6901615093403083</v>
      </c>
      <c r="D120" s="6" t="n">
        <v>0.3785961431775027</v>
      </c>
      <c r="K120" s="6">
        <f>ABS(B120 - $G$2)</f>
        <v/>
      </c>
      <c r="L120" s="6">
        <f>ABS(B120 - $H$2)</f>
        <v/>
      </c>
      <c r="M120" s="6">
        <f>ABS(B120 - $I$2)</f>
        <v/>
      </c>
      <c r="O120">
        <f>(1/K120^2) / ((1/K120^2) + (1/L120^2) + (1/M120^2))</f>
        <v/>
      </c>
      <c r="P120">
        <f>(1/L120^2) / ((1/K120^2) + (1/L120^2) + (1/M120^2))</f>
        <v/>
      </c>
      <c r="Q120">
        <f>(1/M120^2) / ((1/K120^2) + (1/L120^2) + (1/M120^2))</f>
        <v/>
      </c>
      <c r="S120">
        <f>IF(MAX(O120:Q120)=O120, "Murah", IF(MAX(O120:Q120)=P120, "Sedang", "Mahal"))</f>
        <v/>
      </c>
    </row>
    <row r="121">
      <c r="A121" s="6" t="inlineStr">
        <is>
          <t>Villa naca</t>
        </is>
      </c>
      <c r="B121" s="6" t="n">
        <v>0.02189175781996957</v>
      </c>
      <c r="C121" s="6" t="n">
        <v>0.4747572740236574</v>
      </c>
      <c r="D121" s="6" t="n">
        <v>0.4560696970996937</v>
      </c>
      <c r="K121" s="6">
        <f>ABS(B121 - $G$2)</f>
        <v/>
      </c>
      <c r="L121" s="6">
        <f>ABS(B121 - $H$2)</f>
        <v/>
      </c>
      <c r="M121" s="6">
        <f>ABS(B121 - $I$2)</f>
        <v/>
      </c>
      <c r="O121">
        <f>(1/K121^2) / ((1/K121^2) + (1/L121^2) + (1/M121^2))</f>
        <v/>
      </c>
      <c r="P121">
        <f>(1/L121^2) / ((1/K121^2) + (1/L121^2) + (1/M121^2))</f>
        <v/>
      </c>
      <c r="Q121">
        <f>(1/M121^2) / ((1/K121^2) + (1/L121^2) + (1/M121^2))</f>
        <v/>
      </c>
      <c r="S121">
        <f>IF(MAX(O121:Q121)=O121, "Murah", IF(MAX(O121:Q121)=P121, "Sedang", "Mahal"))</f>
        <v/>
      </c>
    </row>
    <row r="122">
      <c r="A122" s="6" t="inlineStr">
        <is>
          <t>Villa Estetik di Malang</t>
        </is>
      </c>
      <c r="B122" s="6" t="n">
        <v>0.009663312446825315</v>
      </c>
      <c r="C122" s="6" t="n">
        <v>0.6898910738413659</v>
      </c>
      <c r="D122" s="6" t="n">
        <v>0.3759574151163984</v>
      </c>
      <c r="K122" s="6">
        <f>ABS(B122 - $G$2)</f>
        <v/>
      </c>
      <c r="L122" s="6">
        <f>ABS(B122 - $H$2)</f>
        <v/>
      </c>
      <c r="M122" s="6">
        <f>ABS(B122 - $I$2)</f>
        <v/>
      </c>
      <c r="O122">
        <f>(1/K122^2) / ((1/K122^2) + (1/L122^2) + (1/M122^2))</f>
        <v/>
      </c>
      <c r="P122">
        <f>(1/L122^2) / ((1/K122^2) + (1/L122^2) + (1/M122^2))</f>
        <v/>
      </c>
      <c r="Q122">
        <f>(1/M122^2) / ((1/K122^2) + (1/L122^2) + (1/M122^2))</f>
        <v/>
      </c>
      <c r="S122">
        <f>IF(MAX(O122:Q122)=O122, "Murah", IF(MAX(O122:Q122)=P122, "Sedang", "Mahal"))</f>
        <v/>
      </c>
    </row>
    <row r="123">
      <c r="A123" s="6" t="inlineStr">
        <is>
          <t>Villa Murah Malang</t>
        </is>
      </c>
      <c r="B123" s="6" t="n">
        <v>0.2509739800853012</v>
      </c>
      <c r="C123" s="6" t="n">
        <v>0.6905408608818419</v>
      </c>
      <c r="D123" s="6" t="n">
        <v>0.3779274686426619</v>
      </c>
      <c r="K123" s="6">
        <f>ABS(B123 - $G$2)</f>
        <v/>
      </c>
      <c r="L123" s="6">
        <f>ABS(B123 - $H$2)</f>
        <v/>
      </c>
      <c r="M123" s="6">
        <f>ABS(B123 - $I$2)</f>
        <v/>
      </c>
      <c r="O123">
        <f>(1/K123^2) / ((1/K123^2) + (1/L123^2) + (1/M123^2))</f>
        <v/>
      </c>
      <c r="P123">
        <f>(1/L123^2) / ((1/K123^2) + (1/L123^2) + (1/M123^2))</f>
        <v/>
      </c>
      <c r="Q123">
        <f>(1/M123^2) / ((1/K123^2) + (1/L123^2) + (1/M123^2))</f>
        <v/>
      </c>
      <c r="S123">
        <f>IF(MAX(O123:Q123)=O123, "Murah", IF(MAX(O123:Q123)=P123, "Sedang", "Mahal"))</f>
        <v/>
      </c>
    </row>
    <row r="124">
      <c r="A124" s="6" t="inlineStr">
        <is>
          <t>Lavah Guest House</t>
        </is>
      </c>
      <c r="B124" s="6" t="n">
        <v>0.2670889233148301</v>
      </c>
      <c r="C124" s="6" t="n">
        <v>0.5314165458642767</v>
      </c>
      <c r="D124" s="6" t="n">
        <v>0.6182647757473065</v>
      </c>
      <c r="K124" s="6">
        <f>ABS(B124 - $G$2)</f>
        <v/>
      </c>
      <c r="L124" s="6">
        <f>ABS(B124 - $H$2)</f>
        <v/>
      </c>
      <c r="M124" s="6">
        <f>ABS(B124 - $I$2)</f>
        <v/>
      </c>
      <c r="O124">
        <f>(1/K124^2) / ((1/K124^2) + (1/L124^2) + (1/M124^2))</f>
        <v/>
      </c>
      <c r="P124">
        <f>(1/L124^2) / ((1/K124^2) + (1/L124^2) + (1/M124^2))</f>
        <v/>
      </c>
      <c r="Q124">
        <f>(1/M124^2) / ((1/K124^2) + (1/L124^2) + (1/M124^2))</f>
        <v/>
      </c>
      <c r="S124">
        <f>IF(MAX(O124:Q124)=O124, "Murah", IF(MAX(O124:Q124)=P124, "Sedang", "Mahal"))</f>
        <v/>
      </c>
    </row>
    <row r="125">
      <c r="A125" s="6" t="inlineStr">
        <is>
          <t>Bellecrown Rooms</t>
        </is>
      </c>
      <c r="B125" s="6" t="n">
        <v>0</v>
      </c>
      <c r="C125" s="6" t="n">
        <v>0.5002294655324572</v>
      </c>
      <c r="D125" s="6" t="n">
        <v>0.3395072744872038</v>
      </c>
      <c r="K125" s="6">
        <f>ABS(B125 - $G$2)</f>
        <v/>
      </c>
      <c r="L125" s="6">
        <f>ABS(B125 - $H$2)</f>
        <v/>
      </c>
      <c r="M125" s="6">
        <f>ABS(B125 - $I$2)</f>
        <v/>
      </c>
      <c r="O125">
        <f>(1/K125^2) / ((1/K125^2) + (1/L125^2) + (1/M125^2))</f>
        <v/>
      </c>
      <c r="P125">
        <f>(1/L125^2) / ((1/K125^2) + (1/L125^2) + (1/M125^2))</f>
        <v/>
      </c>
      <c r="Q125">
        <f>(1/M125^2) / ((1/K125^2) + (1/L125^2) + (1/M125^2))</f>
        <v/>
      </c>
      <c r="S125">
        <f>IF(MAX(O125:Q125)=O125, "Murah", IF(MAX(O125:Q125)=P125, "Sedang", "Mahal"))</f>
        <v/>
      </c>
    </row>
    <row r="126">
      <c r="A126" s="6" t="inlineStr">
        <is>
          <t>Adel Guest House</t>
        </is>
      </c>
      <c r="B126" s="6" t="n">
        <v>0.07166658814595983</v>
      </c>
      <c r="C126" s="6" t="n">
        <v>0.5049745632146363</v>
      </c>
      <c r="D126" s="6" t="n">
        <v>0.3599138378275425</v>
      </c>
      <c r="K126" s="6">
        <f>ABS(B126 - $G$2)</f>
        <v/>
      </c>
      <c r="L126" s="6">
        <f>ABS(B126 - $H$2)</f>
        <v/>
      </c>
      <c r="M126" s="6">
        <f>ABS(B126 - $I$2)</f>
        <v/>
      </c>
      <c r="O126">
        <f>(1/K126^2) / ((1/K126^2) + (1/L126^2) + (1/M126^2))</f>
        <v/>
      </c>
      <c r="P126">
        <f>(1/L126^2) / ((1/K126^2) + (1/L126^2) + (1/M126^2))</f>
        <v/>
      </c>
      <c r="Q126">
        <f>(1/M126^2) / ((1/K126^2) + (1/L126^2) + (1/M126^2))</f>
        <v/>
      </c>
      <c r="S126">
        <f>IF(MAX(O126:Q126)=O126, "Murah", IF(MAX(O126:Q126)=P126, "Sedang", "Mahal"))</f>
        <v/>
      </c>
    </row>
    <row r="127">
      <c r="A127" s="6" t="inlineStr">
        <is>
          <t>rumah bea malang</t>
        </is>
      </c>
      <c r="B127" s="6" t="n">
        <v>0.1257993177012462</v>
      </c>
      <c r="C127" s="6" t="n">
        <v>0.6059957101241684</v>
      </c>
      <c r="D127" s="6" t="n">
        <v>0.1980000636393806</v>
      </c>
      <c r="K127" s="6">
        <f>ABS(B127 - $G$2)</f>
        <v/>
      </c>
      <c r="L127" s="6">
        <f>ABS(B127 - $H$2)</f>
        <v/>
      </c>
      <c r="M127" s="6">
        <f>ABS(B127 - $I$2)</f>
        <v/>
      </c>
      <c r="O127">
        <f>(1/K127^2) / ((1/K127^2) + (1/L127^2) + (1/M127^2))</f>
        <v/>
      </c>
      <c r="P127">
        <f>(1/L127^2) / ((1/K127^2) + (1/L127^2) + (1/M127^2))</f>
        <v/>
      </c>
      <c r="Q127">
        <f>(1/M127^2) / ((1/K127^2) + (1/L127^2) + (1/M127^2))</f>
        <v/>
      </c>
      <c r="S127">
        <f>IF(MAX(O127:Q127)=O127, "Murah", IF(MAX(O127:Q127)=P127, "Sedang", "Mahal"))</f>
        <v/>
      </c>
    </row>
    <row r="128">
      <c r="A128" s="6" t="inlineStr">
        <is>
          <t>Saraba Stays Syariah</t>
        </is>
      </c>
      <c r="B128" s="6" t="n">
        <v>0</v>
      </c>
      <c r="C128" s="6" t="n">
        <v>0.5227417034131848</v>
      </c>
      <c r="D128" s="6" t="n">
        <v>0.6306490892883275</v>
      </c>
      <c r="K128" s="6">
        <f>ABS(B128 - $G$2)</f>
        <v/>
      </c>
      <c r="L128" s="6">
        <f>ABS(B128 - $H$2)</f>
        <v/>
      </c>
      <c r="M128" s="6">
        <f>ABS(B128 - $I$2)</f>
        <v/>
      </c>
      <c r="O128">
        <f>(1/K128^2) / ((1/K128^2) + (1/L128^2) + (1/M128^2))</f>
        <v/>
      </c>
      <c r="P128">
        <f>(1/L128^2) / ((1/K128^2) + (1/L128^2) + (1/M128^2))</f>
        <v/>
      </c>
      <c r="Q128">
        <f>(1/M128^2) / ((1/K128^2) + (1/L128^2) + (1/M128^2))</f>
        <v/>
      </c>
      <c r="S128">
        <f>IF(MAX(O128:Q128)=O128, "Murah", IF(MAX(O128:Q128)=P128, "Sedang", "Mahal"))</f>
        <v/>
      </c>
    </row>
    <row r="129">
      <c r="A129" s="6" t="inlineStr">
        <is>
          <t>Privat Homestay Malang Oz HK 39</t>
        </is>
      </c>
      <c r="B129" s="6" t="n">
        <v>0.01767020748865838</v>
      </c>
      <c r="C129" s="6" t="n">
        <v>0.5674542679071634</v>
      </c>
      <c r="D129" s="6" t="n">
        <v>0.2114750084045498</v>
      </c>
      <c r="K129" s="6">
        <f>ABS(B129 - $G$2)</f>
        <v/>
      </c>
      <c r="L129" s="6">
        <f>ABS(B129 - $H$2)</f>
        <v/>
      </c>
      <c r="M129" s="6">
        <f>ABS(B129 - $I$2)</f>
        <v/>
      </c>
      <c r="O129">
        <f>(1/K129^2) / ((1/K129^2) + (1/L129^2) + (1/M129^2))</f>
        <v/>
      </c>
      <c r="P129">
        <f>(1/L129^2) / ((1/K129^2) + (1/L129^2) + (1/M129^2))</f>
        <v/>
      </c>
      <c r="Q129">
        <f>(1/M129^2) / ((1/K129^2) + (1/L129^2) + (1/M129^2))</f>
        <v/>
      </c>
      <c r="S129">
        <f>IF(MAX(O129:Q129)=O129, "Murah", IF(MAX(O129:Q129)=P129, "Sedang", "Mahal"))</f>
        <v/>
      </c>
    </row>
    <row r="130">
      <c r="A130" s="6" t="inlineStr">
        <is>
          <t>RJ Guest House</t>
        </is>
      </c>
      <c r="B130" s="6" t="n">
        <v>0.05799788825487267</v>
      </c>
      <c r="C130" s="6" t="n">
        <v>0.4320335232114258</v>
      </c>
      <c r="D130" s="6" t="n">
        <v>0.6955976774397066</v>
      </c>
      <c r="K130" s="6">
        <f>ABS(B130 - $G$2)</f>
        <v/>
      </c>
      <c r="L130" s="6">
        <f>ABS(B130 - $H$2)</f>
        <v/>
      </c>
      <c r="M130" s="6">
        <f>ABS(B130 - $I$2)</f>
        <v/>
      </c>
      <c r="O130">
        <f>(1/K130^2) / ((1/K130^2) + (1/L130^2) + (1/M130^2))</f>
        <v/>
      </c>
      <c r="P130">
        <f>(1/L130^2) / ((1/K130^2) + (1/L130^2) + (1/M130^2))</f>
        <v/>
      </c>
      <c r="Q130">
        <f>(1/M130^2) / ((1/K130^2) + (1/L130^2) + (1/M130^2))</f>
        <v/>
      </c>
      <c r="S130">
        <f>IF(MAX(O130:Q130)=O130, "Murah", IF(MAX(O130:Q130)=P130, "Sedang", "Mahal"))</f>
        <v/>
      </c>
    </row>
    <row r="131">
      <c r="A131" s="6" t="inlineStr">
        <is>
          <t>omah venus homestay</t>
        </is>
      </c>
      <c r="B131" s="6" t="n">
        <v>0.1912185212795735</v>
      </c>
      <c r="C131" s="6" t="n">
        <v>0.626092911791157</v>
      </c>
      <c r="D131" s="6" t="n">
        <v>0.34861969435578</v>
      </c>
      <c r="K131" s="6">
        <f>ABS(B131 - $G$2)</f>
        <v/>
      </c>
      <c r="L131" s="6">
        <f>ABS(B131 - $H$2)</f>
        <v/>
      </c>
      <c r="M131" s="6">
        <f>ABS(B131 - $I$2)</f>
        <v/>
      </c>
      <c r="O131">
        <f>(1/K131^2) / ((1/K131^2) + (1/L131^2) + (1/M131^2))</f>
        <v/>
      </c>
      <c r="P131">
        <f>(1/L131^2) / ((1/K131^2) + (1/L131^2) + (1/M131^2))</f>
        <v/>
      </c>
      <c r="Q131">
        <f>(1/M131^2) / ((1/K131^2) + (1/L131^2) + (1/M131^2))</f>
        <v/>
      </c>
      <c r="S131">
        <f>IF(MAX(O131:Q131)=O131, "Murah", IF(MAX(O131:Q131)=P131, "Sedang", "Mahal"))</f>
        <v/>
      </c>
    </row>
    <row r="132">
      <c r="A132" s="6" t="inlineStr">
        <is>
          <t>Closed</t>
        </is>
      </c>
      <c r="B132" s="6" t="n">
        <v>0</v>
      </c>
      <c r="C132" s="6" t="n">
        <v>0.5095375721568781</v>
      </c>
      <c r="D132" s="6" t="n">
        <v>0.6292421058359867</v>
      </c>
      <c r="K132" s="6">
        <f>ABS(B132 - $G$2)</f>
        <v/>
      </c>
      <c r="L132" s="6">
        <f>ABS(B132 - $H$2)</f>
        <v/>
      </c>
      <c r="M132" s="6">
        <f>ABS(B132 - $I$2)</f>
        <v/>
      </c>
      <c r="O132">
        <f>(1/K132^2) / ((1/K132^2) + (1/L132^2) + (1/M132^2))</f>
        <v/>
      </c>
      <c r="P132">
        <f>(1/L132^2) / ((1/K132^2) + (1/L132^2) + (1/M132^2))</f>
        <v/>
      </c>
      <c r="Q132">
        <f>(1/M132^2) / ((1/K132^2) + (1/L132^2) + (1/M132^2))</f>
        <v/>
      </c>
      <c r="S132">
        <f>IF(MAX(O132:Q132)=O132, "Murah", IF(MAX(O132:Q132)=P132, "Sedang", "Mahal"))</f>
        <v/>
      </c>
    </row>
    <row r="133">
      <c r="A133" s="6" t="inlineStr">
        <is>
          <t>The Garden Vila dekat Batu, UB, UMM</t>
        </is>
      </c>
      <c r="B133" s="6" t="n">
        <v>0.03152680281233459</v>
      </c>
      <c r="C133" s="6" t="n">
        <v>0.6883412963436928</v>
      </c>
      <c r="D133" s="6" t="n">
        <v>0.3910510134108314</v>
      </c>
      <c r="K133" s="6">
        <f>ABS(B133 - $G$2)</f>
        <v/>
      </c>
      <c r="L133" s="6">
        <f>ABS(B133 - $H$2)</f>
        <v/>
      </c>
      <c r="M133" s="6">
        <f>ABS(B133 - $I$2)</f>
        <v/>
      </c>
      <c r="O133">
        <f>(1/K133^2) / ((1/K133^2) + (1/L133^2) + (1/M133^2))</f>
        <v/>
      </c>
      <c r="P133">
        <f>(1/L133^2) / ((1/K133^2) + (1/L133^2) + (1/M133^2))</f>
        <v/>
      </c>
      <c r="Q133">
        <f>(1/M133^2) / ((1/K133^2) + (1/L133^2) + (1/M133^2))</f>
        <v/>
      </c>
      <c r="S133">
        <f>IF(MAX(O133:Q133)=O133, "Murah", IF(MAX(O133:Q133)=P133, "Sedang", "Mahal"))</f>
        <v/>
      </c>
    </row>
    <row r="134">
      <c r="A134" s="6" t="inlineStr">
        <is>
          <t>De'Boutique Style Hotel</t>
        </is>
      </c>
      <c r="B134" s="6" t="n">
        <v>0.1216002150543594</v>
      </c>
      <c r="C134" s="6" t="n">
        <v>0.5254622440683749</v>
      </c>
      <c r="D134" s="6" t="n">
        <v>0.4701137069517632</v>
      </c>
      <c r="K134" s="6">
        <f>ABS(B134 - $G$2)</f>
        <v/>
      </c>
      <c r="L134" s="6">
        <f>ABS(B134 - $H$2)</f>
        <v/>
      </c>
      <c r="M134" s="6">
        <f>ABS(B134 - $I$2)</f>
        <v/>
      </c>
      <c r="O134">
        <f>(1/K134^2) / ((1/K134^2) + (1/L134^2) + (1/M134^2))</f>
        <v/>
      </c>
      <c r="P134">
        <f>(1/L134^2) / ((1/K134^2) + (1/L134^2) + (1/M134^2))</f>
        <v/>
      </c>
      <c r="Q134">
        <f>(1/M134^2) / ((1/K134^2) + (1/L134^2) + (1/M134^2))</f>
        <v/>
      </c>
      <c r="S134">
        <f>IF(MAX(O134:Q134)=O134, "Murah", IF(MAX(O134:Q134)=P134, "Sedang", "Mahal"))</f>
        <v/>
      </c>
    </row>
    <row r="135">
      <c r="A135" s="6" t="inlineStr">
        <is>
          <t>Kapal Garden Hotel</t>
        </is>
      </c>
      <c r="B135" s="6" t="n">
        <v>0.1511241855786098</v>
      </c>
      <c r="C135" s="6" t="n">
        <v>0.6864185741305178</v>
      </c>
      <c r="D135" s="6" t="n">
        <v>0.264166561753943</v>
      </c>
      <c r="K135" s="6">
        <f>ABS(B135 - $G$2)</f>
        <v/>
      </c>
      <c r="L135" s="6">
        <f>ABS(B135 - $H$2)</f>
        <v/>
      </c>
      <c r="M135" s="6">
        <f>ABS(B135 - $I$2)</f>
        <v/>
      </c>
      <c r="O135">
        <f>(1/K135^2) / ((1/K135^2) + (1/L135^2) + (1/M135^2))</f>
        <v/>
      </c>
      <c r="P135">
        <f>(1/L135^2) / ((1/K135^2) + (1/L135^2) + (1/M135^2))</f>
        <v/>
      </c>
      <c r="Q135">
        <f>(1/M135^2) / ((1/K135^2) + (1/L135^2) + (1/M135^2))</f>
        <v/>
      </c>
      <c r="S135">
        <f>IF(MAX(O135:Q135)=O135, "Murah", IF(MAX(O135:Q135)=P135, "Sedang", "Mahal"))</f>
        <v/>
      </c>
    </row>
    <row r="136">
      <c r="A136" s="6" t="inlineStr">
        <is>
          <t>Ascent Hotel &amp; Cafe Malang</t>
        </is>
      </c>
      <c r="B136" s="6" t="n">
        <v>0.1621911711317236</v>
      </c>
      <c r="C136" s="6" t="n">
        <v>0.5155741510871212</v>
      </c>
      <c r="D136" s="6" t="n">
        <v>0.4799335383627783</v>
      </c>
      <c r="K136" s="6">
        <f>ABS(B136 - $G$2)</f>
        <v/>
      </c>
      <c r="L136" s="6">
        <f>ABS(B136 - $H$2)</f>
        <v/>
      </c>
      <c r="M136" s="6">
        <f>ABS(B136 - $I$2)</f>
        <v/>
      </c>
      <c r="O136">
        <f>(1/K136^2) / ((1/K136^2) + (1/L136^2) + (1/M136^2))</f>
        <v/>
      </c>
      <c r="P136">
        <f>(1/L136^2) / ((1/K136^2) + (1/L136^2) + (1/M136^2))</f>
        <v/>
      </c>
      <c r="Q136">
        <f>(1/M136^2) / ((1/K136^2) + (1/L136^2) + (1/M136^2))</f>
        <v/>
      </c>
      <c r="S136">
        <f>IF(MAX(O136:Q136)=O136, "Murah", IF(MAX(O136:Q136)=P136, "Sedang", "Mahal"))</f>
        <v/>
      </c>
    </row>
    <row r="137">
      <c r="A137" s="6" t="inlineStr">
        <is>
          <t>The Grand Palace Hotel Malang</t>
        </is>
      </c>
      <c r="B137" s="6" t="n">
        <v>0.1147187526847153</v>
      </c>
      <c r="C137" s="6" t="n">
        <v>0.4505833077903305</v>
      </c>
      <c r="D137" s="6" t="n">
        <v>0.45914421649562</v>
      </c>
      <c r="K137" s="6">
        <f>ABS(B137 - $G$2)</f>
        <v/>
      </c>
      <c r="L137" s="6">
        <f>ABS(B137 - $H$2)</f>
        <v/>
      </c>
      <c r="M137" s="6">
        <f>ABS(B137 - $I$2)</f>
        <v/>
      </c>
      <c r="O137">
        <f>(1/K137^2) / ((1/K137^2) + (1/L137^2) + (1/M137^2))</f>
        <v/>
      </c>
      <c r="P137">
        <f>(1/L137^2) / ((1/K137^2) + (1/L137^2) + (1/M137^2))</f>
        <v/>
      </c>
      <c r="Q137">
        <f>(1/M137^2) / ((1/K137^2) + (1/L137^2) + (1/M137^2))</f>
        <v/>
      </c>
      <c r="S137">
        <f>IF(MAX(O137:Q137)=O137, "Murah", IF(MAX(O137:Q137)=P137, "Sedang", "Mahal"))</f>
        <v/>
      </c>
    </row>
    <row r="138">
      <c r="A138" s="6" t="inlineStr">
        <is>
          <t>Sunrise Hotel</t>
        </is>
      </c>
      <c r="B138" s="6" t="n">
        <v>0.07309658878336321</v>
      </c>
      <c r="C138" s="6" t="n">
        <v>0.5090176076439508</v>
      </c>
      <c r="D138" s="6" t="n">
        <v>0.4854346545881273</v>
      </c>
      <c r="K138" s="6">
        <f>ABS(B138 - $G$2)</f>
        <v/>
      </c>
      <c r="L138" s="6">
        <f>ABS(B138 - $H$2)</f>
        <v/>
      </c>
      <c r="M138" s="6">
        <f>ABS(B138 - $I$2)</f>
        <v/>
      </c>
      <c r="O138">
        <f>(1/K138^2) / ((1/K138^2) + (1/L138^2) + (1/M138^2))</f>
        <v/>
      </c>
      <c r="P138">
        <f>(1/L138^2) / ((1/K138^2) + (1/L138^2) + (1/M138^2))</f>
        <v/>
      </c>
      <c r="Q138">
        <f>(1/M138^2) / ((1/K138^2) + (1/L138^2) + (1/M138^2))</f>
        <v/>
      </c>
      <c r="S138">
        <f>IF(MAX(O138:Q138)=O138, "Murah", IF(MAX(O138:Q138)=P138, "Sedang", "Mahal"))</f>
        <v/>
      </c>
    </row>
    <row r="139">
      <c r="A139" s="6" t="inlineStr">
        <is>
          <t>Swiss-Belinn Malang</t>
        </is>
      </c>
      <c r="B139" s="6" t="n">
        <v>0.2477268255371509</v>
      </c>
      <c r="C139" s="6" t="n">
        <v>0.5503649024628162</v>
      </c>
      <c r="D139" s="6" t="n">
        <v>0.4103973817471931</v>
      </c>
      <c r="K139" s="6">
        <f>ABS(B139 - $G$2)</f>
        <v/>
      </c>
      <c r="L139" s="6">
        <f>ABS(B139 - $H$2)</f>
        <v/>
      </c>
      <c r="M139" s="6">
        <f>ABS(B139 - $I$2)</f>
        <v/>
      </c>
      <c r="O139">
        <f>(1/K139^2) / ((1/K139^2) + (1/L139^2) + (1/M139^2))</f>
        <v/>
      </c>
      <c r="P139">
        <f>(1/L139^2) / ((1/K139^2) + (1/L139^2) + (1/M139^2))</f>
        <v/>
      </c>
      <c r="Q139">
        <f>(1/M139^2) / ((1/K139^2) + (1/L139^2) + (1/M139^2))</f>
        <v/>
      </c>
      <c r="S139">
        <f>IF(MAX(O139:Q139)=O139, "Murah", IF(MAX(O139:Q139)=P139, "Sedang", "Mahal"))</f>
        <v/>
      </c>
    </row>
    <row r="140">
      <c r="A140" s="6" t="inlineStr">
        <is>
          <t>Everyday Smart Hotel Malang</t>
        </is>
      </c>
      <c r="B140" s="6" t="n">
        <v>0.0587805087587539</v>
      </c>
      <c r="C140" s="6" t="n">
        <v>0.5706839826314325</v>
      </c>
      <c r="D140" s="6" t="n">
        <v>0.4007924484970674</v>
      </c>
      <c r="K140" s="6">
        <f>ABS(B140 - $G$2)</f>
        <v/>
      </c>
      <c r="L140" s="6">
        <f>ABS(B140 - $H$2)</f>
        <v/>
      </c>
      <c r="M140" s="6">
        <f>ABS(B140 - $I$2)</f>
        <v/>
      </c>
      <c r="O140">
        <f>(1/K140^2) / ((1/K140^2) + (1/L140^2) + (1/M140^2))</f>
        <v/>
      </c>
      <c r="P140">
        <f>(1/L140^2) / ((1/K140^2) + (1/L140^2) + (1/M140^2))</f>
        <v/>
      </c>
      <c r="Q140">
        <f>(1/M140^2) / ((1/K140^2) + (1/L140^2) + (1/M140^2))</f>
        <v/>
      </c>
      <c r="S140">
        <f>IF(MAX(O140:Q140)=O140, "Murah", IF(MAX(O140:Q140)=P140, "Sedang", "Mahal"))</f>
        <v/>
      </c>
    </row>
    <row r="141">
      <c r="A141" s="6" t="inlineStr">
        <is>
          <t>Tuwuh Hotel at Kayutangan</t>
        </is>
      </c>
      <c r="B141" s="6" t="n">
        <v>0.06722222376184392</v>
      </c>
      <c r="C141" s="6" t="n">
        <v>0.4778477245820145</v>
      </c>
      <c r="D141" s="6" t="n">
        <v>0.4732232741164312</v>
      </c>
      <c r="K141" s="6">
        <f>ABS(B141 - $G$2)</f>
        <v/>
      </c>
      <c r="L141" s="6">
        <f>ABS(B141 - $H$2)</f>
        <v/>
      </c>
      <c r="M141" s="6">
        <f>ABS(B141 - $I$2)</f>
        <v/>
      </c>
      <c r="O141">
        <f>(1/K141^2) / ((1/K141^2) + (1/L141^2) + (1/M141^2))</f>
        <v/>
      </c>
      <c r="P141">
        <f>(1/L141^2) / ((1/K141^2) + (1/L141^2) + (1/M141^2))</f>
        <v/>
      </c>
      <c r="Q141">
        <f>(1/M141^2) / ((1/K141^2) + (1/L141^2) + (1/M141^2))</f>
        <v/>
      </c>
      <c r="S141">
        <f>IF(MAX(O141:Q141)=O141, "Murah", IF(MAX(O141:Q141)=P141, "Sedang", "Mahal"))</f>
        <v/>
      </c>
    </row>
    <row r="142">
      <c r="A142" s="6" t="inlineStr">
        <is>
          <t>éL Hotel Malang</t>
        </is>
      </c>
      <c r="B142" s="6" t="n">
        <v>0.1227805198440302</v>
      </c>
      <c r="C142" s="6" t="n">
        <v>0.7299829679587897</v>
      </c>
      <c r="D142" s="6" t="n">
        <v>0.3501221368624464</v>
      </c>
      <c r="K142" s="6">
        <f>ABS(B142 - $G$2)</f>
        <v/>
      </c>
      <c r="L142" s="6">
        <f>ABS(B142 - $H$2)</f>
        <v/>
      </c>
      <c r="M142" s="6">
        <f>ABS(B142 - $I$2)</f>
        <v/>
      </c>
      <c r="O142">
        <f>(1/K142^2) / ((1/K142^2) + (1/L142^2) + (1/M142^2))</f>
        <v/>
      </c>
      <c r="P142">
        <f>(1/L142^2) / ((1/K142^2) + (1/L142^2) + (1/M142^2))</f>
        <v/>
      </c>
      <c r="Q142">
        <f>(1/M142^2) / ((1/K142^2) + (1/L142^2) + (1/M142^2))</f>
        <v/>
      </c>
      <c r="S142">
        <f>IF(MAX(O142:Q142)=O142, "Murah", IF(MAX(O142:Q142)=P142, "Sedang", "Mahal"))</f>
        <v/>
      </c>
    </row>
    <row r="143">
      <c r="A143" s="6" t="inlineStr">
        <is>
          <t>Whiz Prime Hotel Basuki Rahmat Malang</t>
        </is>
      </c>
      <c r="B143" s="6" t="n">
        <v>0.09390670077236662</v>
      </c>
      <c r="C143" s="6" t="n">
        <v>0.4810032550048269</v>
      </c>
      <c r="D143" s="6" t="n">
        <v>0.4583740878933448</v>
      </c>
      <c r="K143" s="6">
        <f>ABS(B143 - $G$2)</f>
        <v/>
      </c>
      <c r="L143" s="6">
        <f>ABS(B143 - $H$2)</f>
        <v/>
      </c>
      <c r="M143" s="6">
        <f>ABS(B143 - $I$2)</f>
        <v/>
      </c>
      <c r="O143">
        <f>(1/K143^2) / ((1/K143^2) + (1/L143^2) + (1/M143^2))</f>
        <v/>
      </c>
      <c r="P143">
        <f>(1/L143^2) / ((1/K143^2) + (1/L143^2) + (1/M143^2))</f>
        <v/>
      </c>
      <c r="Q143">
        <f>(1/M143^2) / ((1/K143^2) + (1/L143^2) + (1/M143^2))</f>
        <v/>
      </c>
      <c r="S143">
        <f>IF(MAX(O143:Q143)=O143, "Murah", IF(MAX(O143:Q143)=P143, "Sedang", "Mahal"))</f>
        <v/>
      </c>
    </row>
    <row r="144">
      <c r="A144" s="6" t="inlineStr">
        <is>
          <t>Hotel Wilis Indah Malang</t>
        </is>
      </c>
      <c r="B144" s="6" t="n">
        <v>0.05638331776775792</v>
      </c>
      <c r="C144" s="6" t="n">
        <v>0.5057828348991286</v>
      </c>
      <c r="D144" s="6" t="n">
        <v>0.4920812794649241</v>
      </c>
      <c r="K144" s="6">
        <f>ABS(B144 - $G$2)</f>
        <v/>
      </c>
      <c r="L144" s="6">
        <f>ABS(B144 - $H$2)</f>
        <v/>
      </c>
      <c r="M144" s="6">
        <f>ABS(B144 - $I$2)</f>
        <v/>
      </c>
      <c r="O144">
        <f>(1/K144^2) / ((1/K144^2) + (1/L144^2) + (1/M144^2))</f>
        <v/>
      </c>
      <c r="P144">
        <f>(1/L144^2) / ((1/K144^2) + (1/L144^2) + (1/M144^2))</f>
        <v/>
      </c>
      <c r="Q144">
        <f>(1/M144^2) / ((1/K144^2) + (1/L144^2) + (1/M144^2))</f>
        <v/>
      </c>
      <c r="S144">
        <f>IF(MAX(O144:Q144)=O144, "Murah", IF(MAX(O144:Q144)=P144, "Sedang", "Mahal"))</f>
        <v/>
      </c>
    </row>
    <row r="145">
      <c r="A145" s="6" t="inlineStr">
        <is>
          <t>Solaris Hotel Malang</t>
        </is>
      </c>
      <c r="B145" s="6" t="n">
        <v>0.1133596978153692</v>
      </c>
      <c r="C145" s="6" t="n">
        <v>0.6916586834242245</v>
      </c>
      <c r="D145" s="6" t="n">
        <v>0.5805187899850394</v>
      </c>
      <c r="K145" s="6">
        <f>ABS(B145 - $G$2)</f>
        <v/>
      </c>
      <c r="L145" s="6">
        <f>ABS(B145 - $H$2)</f>
        <v/>
      </c>
      <c r="M145" s="6">
        <f>ABS(B145 - $I$2)</f>
        <v/>
      </c>
      <c r="O145">
        <f>(1/K145^2) / ((1/K145^2) + (1/L145^2) + (1/M145^2))</f>
        <v/>
      </c>
      <c r="P145">
        <f>(1/L145^2) / ((1/K145^2) + (1/L145^2) + (1/M145^2))</f>
        <v/>
      </c>
      <c r="Q145">
        <f>(1/M145^2) / ((1/K145^2) + (1/L145^2) + (1/M145^2))</f>
        <v/>
      </c>
      <c r="S145">
        <f>IF(MAX(O145:Q145)=O145, "Murah", IF(MAX(O145:Q145)=P145, "Sedang", "Mahal"))</f>
        <v/>
      </c>
    </row>
    <row r="146">
      <c r="A146" s="6" t="inlineStr">
        <is>
          <t>Hotel Montana Dua Malang</t>
        </is>
      </c>
      <c r="B146" s="6" t="n">
        <v>0.1146062371306871</v>
      </c>
      <c r="C146" s="6" t="n">
        <v>0.6066380787344959</v>
      </c>
      <c r="D146" s="6" t="n">
        <v>0.4354583810052549</v>
      </c>
      <c r="K146" s="6">
        <f>ABS(B146 - $G$2)</f>
        <v/>
      </c>
      <c r="L146" s="6">
        <f>ABS(B146 - $H$2)</f>
        <v/>
      </c>
      <c r="M146" s="6">
        <f>ABS(B146 - $I$2)</f>
        <v/>
      </c>
      <c r="O146">
        <f>(1/K146^2) / ((1/K146^2) + (1/L146^2) + (1/M146^2))</f>
        <v/>
      </c>
      <c r="P146">
        <f>(1/L146^2) / ((1/K146^2) + (1/L146^2) + (1/M146^2))</f>
        <v/>
      </c>
      <c r="Q146">
        <f>(1/M146^2) / ((1/K146^2) + (1/L146^2) + (1/M146^2))</f>
        <v/>
      </c>
      <c r="S146">
        <f>IF(MAX(O146:Q146)=O146, "Murah", IF(MAX(O146:Q146)=P146, "Sedang", "Mahal"))</f>
        <v/>
      </c>
    </row>
    <row r="147">
      <c r="A147" s="6" t="inlineStr">
        <is>
          <t>Victoria Boutique Residence</t>
        </is>
      </c>
      <c r="B147" s="6" t="n">
        <v>0.08822937653635</v>
      </c>
      <c r="C147" s="6" t="n">
        <v>0.553269892267533</v>
      </c>
      <c r="D147" s="6" t="n">
        <v>0.5107884871769022</v>
      </c>
      <c r="K147" s="6">
        <f>ABS(B147 - $G$2)</f>
        <v/>
      </c>
      <c r="L147" s="6">
        <f>ABS(B147 - $H$2)</f>
        <v/>
      </c>
      <c r="M147" s="6">
        <f>ABS(B147 - $I$2)</f>
        <v/>
      </c>
      <c r="O147">
        <f>(1/K147^2) / ((1/K147^2) + (1/L147^2) + (1/M147^2))</f>
        <v/>
      </c>
      <c r="P147">
        <f>(1/L147^2) / ((1/K147^2) + (1/L147^2) + (1/M147^2))</f>
        <v/>
      </c>
      <c r="Q147">
        <f>(1/M147^2) / ((1/K147^2) + (1/L147^2) + (1/M147^2))</f>
        <v/>
      </c>
      <c r="S147">
        <f>IF(MAX(O147:Q147)=O147, "Murah", IF(MAX(O147:Q147)=P147, "Sedang", "Mahal"))</f>
        <v/>
      </c>
    </row>
    <row r="148">
      <c r="A148" s="6" t="inlineStr">
        <is>
          <t>The Alimar Hotel Malang</t>
        </is>
      </c>
      <c r="B148" s="6" t="n">
        <v>0.01448319056421285</v>
      </c>
      <c r="C148" s="6" t="n">
        <v>0.4472875015974924</v>
      </c>
      <c r="D148" s="6" t="n">
        <v>0.4734414003612871</v>
      </c>
      <c r="K148" s="6">
        <f>ABS(B148 - $G$2)</f>
        <v/>
      </c>
      <c r="L148" s="6">
        <f>ABS(B148 - $H$2)</f>
        <v/>
      </c>
      <c r="M148" s="6">
        <f>ABS(B148 - $I$2)</f>
        <v/>
      </c>
      <c r="O148">
        <f>(1/K148^2) / ((1/K148^2) + (1/L148^2) + (1/M148^2))</f>
        <v/>
      </c>
      <c r="P148">
        <f>(1/L148^2) / ((1/K148^2) + (1/L148^2) + (1/M148^2))</f>
        <v/>
      </c>
      <c r="Q148">
        <f>(1/M148^2) / ((1/K148^2) + (1/L148^2) + (1/M148^2))</f>
        <v/>
      </c>
      <c r="S148">
        <f>IF(MAX(O148:Q148)=O148, "Murah", IF(MAX(O148:Q148)=P148, "Sedang", "Mahal"))</f>
        <v/>
      </c>
    </row>
    <row r="149">
      <c r="A149" s="6" t="inlineStr">
        <is>
          <t>Gets Hotel Malang</t>
        </is>
      </c>
      <c r="B149" s="6" t="n">
        <v>0.1075008521806124</v>
      </c>
      <c r="C149" s="6" t="n">
        <v>0.4962467801484164</v>
      </c>
      <c r="D149" s="6" t="n">
        <v>0.4570238264877315</v>
      </c>
      <c r="K149" s="6">
        <f>ABS(B149 - $G$2)</f>
        <v/>
      </c>
      <c r="L149" s="6">
        <f>ABS(B149 - $H$2)</f>
        <v/>
      </c>
      <c r="M149" s="6">
        <f>ABS(B149 - $I$2)</f>
        <v/>
      </c>
      <c r="O149">
        <f>(1/K149^2) / ((1/K149^2) + (1/L149^2) + (1/M149^2))</f>
        <v/>
      </c>
      <c r="P149">
        <f>(1/L149^2) / ((1/K149^2) + (1/L149^2) + (1/M149^2))</f>
        <v/>
      </c>
      <c r="Q149">
        <f>(1/M149^2) / ((1/K149^2) + (1/L149^2) + (1/M149^2))</f>
        <v/>
      </c>
      <c r="S149">
        <f>IF(MAX(O149:Q149)=O149, "Murah", IF(MAX(O149:Q149)=P149, "Sedang", "Mahal"))</f>
        <v/>
      </c>
    </row>
    <row r="150">
      <c r="A150" s="6" t="inlineStr">
        <is>
          <t>Hotel Gajahmada Graha</t>
        </is>
      </c>
      <c r="B150" s="6" t="n">
        <v>0.1442975953264475</v>
      </c>
      <c r="C150" s="6" t="n">
        <v>0.5057369755127746</v>
      </c>
      <c r="D150" s="6" t="n">
        <v>0.4893166561292573</v>
      </c>
      <c r="K150" s="6">
        <f>ABS(B150 - $G$2)</f>
        <v/>
      </c>
      <c r="L150" s="6">
        <f>ABS(B150 - $H$2)</f>
        <v/>
      </c>
      <c r="M150" s="6">
        <f>ABS(B150 - $I$2)</f>
        <v/>
      </c>
      <c r="O150">
        <f>(1/K150^2) / ((1/K150^2) + (1/L150^2) + (1/M150^2))</f>
        <v/>
      </c>
      <c r="P150">
        <f>(1/L150^2) / ((1/K150^2) + (1/L150^2) + (1/M150^2))</f>
        <v/>
      </c>
      <c r="Q150">
        <f>(1/M150^2) / ((1/K150^2) + (1/L150^2) + (1/M150^2))</f>
        <v/>
      </c>
      <c r="S150">
        <f>IF(MAX(O150:Q150)=O150, "Murah", IF(MAX(O150:Q150)=P150, "Sedang", "Mahal"))</f>
        <v/>
      </c>
    </row>
    <row r="151">
      <c r="A151" s="6" t="inlineStr">
        <is>
          <t>Shinta Guest House</t>
        </is>
      </c>
      <c r="B151" s="6" t="n">
        <v>0.1378855944063696</v>
      </c>
      <c r="C151" s="6" t="n">
        <v>0.510005607658788</v>
      </c>
      <c r="D151" s="6" t="n">
        <v>0.4396894767691322</v>
      </c>
      <c r="K151" s="6">
        <f>ABS(B151 - $G$2)</f>
        <v/>
      </c>
      <c r="L151" s="6">
        <f>ABS(B151 - $H$2)</f>
        <v/>
      </c>
      <c r="M151" s="6">
        <f>ABS(B151 - $I$2)</f>
        <v/>
      </c>
      <c r="O151">
        <f>(1/K151^2) / ((1/K151^2) + (1/L151^2) + (1/M151^2))</f>
        <v/>
      </c>
      <c r="P151">
        <f>(1/L151^2) / ((1/K151^2) + (1/L151^2) + (1/M151^2))</f>
        <v/>
      </c>
      <c r="Q151">
        <f>(1/M151^2) / ((1/K151^2) + (1/L151^2) + (1/M151^2))</f>
        <v/>
      </c>
      <c r="S151">
        <f>IF(MAX(O151:Q151)=O151, "Murah", IF(MAX(O151:Q151)=P151, "Sedang", "Mahal"))</f>
        <v/>
      </c>
    </row>
    <row r="152">
      <c r="A152" s="6" t="inlineStr">
        <is>
          <t>Sweet Garden Boutique Guest House</t>
        </is>
      </c>
      <c r="B152" s="6" t="n">
        <v>0.1142506768946816</v>
      </c>
      <c r="C152" s="6" t="n">
        <v>0.4983188825686124</v>
      </c>
      <c r="D152" s="6" t="n">
        <v>0.4184417669793865</v>
      </c>
      <c r="K152" s="6">
        <f>ABS(B152 - $G$2)</f>
        <v/>
      </c>
      <c r="L152" s="6">
        <f>ABS(B152 - $H$2)</f>
        <v/>
      </c>
      <c r="M152" s="6">
        <f>ABS(B152 - $I$2)</f>
        <v/>
      </c>
      <c r="O152">
        <f>(1/K152^2) / ((1/K152^2) + (1/L152^2) + (1/M152^2))</f>
        <v/>
      </c>
      <c r="P152">
        <f>(1/L152^2) / ((1/K152^2) + (1/L152^2) + (1/M152^2))</f>
        <v/>
      </c>
      <c r="Q152">
        <f>(1/M152^2) / ((1/K152^2) + (1/L152^2) + (1/M152^2))</f>
        <v/>
      </c>
      <c r="S152">
        <f>IF(MAX(O152:Q152)=O152, "Murah", IF(MAX(O152:Q152)=P152, "Sedang", "Mahal"))</f>
        <v/>
      </c>
    </row>
    <row r="153">
      <c r="A153" s="6" t="inlineStr">
        <is>
          <t>Ibis Styles Malang</t>
        </is>
      </c>
      <c r="B153" s="6" t="n">
        <v>0.1755788592696466</v>
      </c>
      <c r="C153" s="6" t="n">
        <v>0.5602398445906321</v>
      </c>
      <c r="D153" s="6" t="n">
        <v>0.5022294531302836</v>
      </c>
      <c r="K153" s="6">
        <f>ABS(B153 - $G$2)</f>
        <v/>
      </c>
      <c r="L153" s="6">
        <f>ABS(B153 - $H$2)</f>
        <v/>
      </c>
      <c r="M153" s="6">
        <f>ABS(B153 - $I$2)</f>
        <v/>
      </c>
      <c r="O153">
        <f>(1/K153^2) / ((1/K153^2) + (1/L153^2) + (1/M153^2))</f>
        <v/>
      </c>
      <c r="P153">
        <f>(1/L153^2) / ((1/K153^2) + (1/L153^2) + (1/M153^2))</f>
        <v/>
      </c>
      <c r="Q153">
        <f>(1/M153^2) / ((1/K153^2) + (1/L153^2) + (1/M153^2))</f>
        <v/>
      </c>
      <c r="S153">
        <f>IF(MAX(O153:Q153)=O153, "Murah", IF(MAX(O153:Q153)=P153, "Sedang", "Mahal"))</f>
        <v/>
      </c>
    </row>
    <row r="154">
      <c r="A154" s="6" t="inlineStr">
        <is>
          <t>Grand Citihub Hotel @Kajoetangan</t>
        </is>
      </c>
      <c r="B154" s="6" t="n">
        <v>0.1576717040009533</v>
      </c>
      <c r="C154" s="6" t="n">
        <v>0.477619439254352</v>
      </c>
      <c r="D154" s="6" t="n">
        <v>0.4603750387946694</v>
      </c>
      <c r="K154" s="6">
        <f>ABS(B154 - $G$2)</f>
        <v/>
      </c>
      <c r="L154" s="6">
        <f>ABS(B154 - $H$2)</f>
        <v/>
      </c>
      <c r="M154" s="6">
        <f>ABS(B154 - $I$2)</f>
        <v/>
      </c>
      <c r="O154">
        <f>(1/K154^2) / ((1/K154^2) + (1/L154^2) + (1/M154^2))</f>
        <v/>
      </c>
      <c r="P154">
        <f>(1/L154^2) / ((1/K154^2) + (1/L154^2) + (1/M154^2))</f>
        <v/>
      </c>
      <c r="Q154">
        <f>(1/M154^2) / ((1/K154^2) + (1/L154^2) + (1/M154^2))</f>
        <v/>
      </c>
      <c r="S154">
        <f>IF(MAX(O154:Q154)=O154, "Murah", IF(MAX(O154:Q154)=P154, "Sedang", "Mahal"))</f>
        <v/>
      </c>
    </row>
    <row r="155">
      <c r="A155" s="6" t="inlineStr">
        <is>
          <t>Same Hotel Malang</t>
        </is>
      </c>
      <c r="B155" s="6" t="n">
        <v>0.08550960400621883</v>
      </c>
      <c r="C155" s="6" t="n">
        <v>0.4929169166171832</v>
      </c>
      <c r="D155" s="6" t="n">
        <v>0.4798994129037507</v>
      </c>
      <c r="K155" s="6">
        <f>ABS(B155 - $G$2)</f>
        <v/>
      </c>
      <c r="L155" s="6">
        <f>ABS(B155 - $H$2)</f>
        <v/>
      </c>
      <c r="M155" s="6">
        <f>ABS(B155 - $I$2)</f>
        <v/>
      </c>
      <c r="O155">
        <f>(1/K155^2) / ((1/K155^2) + (1/L155^2) + (1/M155^2))</f>
        <v/>
      </c>
      <c r="P155">
        <f>(1/L155^2) / ((1/K155^2) + (1/L155^2) + (1/M155^2))</f>
        <v/>
      </c>
      <c r="Q155">
        <f>(1/M155^2) / ((1/K155^2) + (1/L155^2) + (1/M155^2))</f>
        <v/>
      </c>
      <c r="S155">
        <f>IF(MAX(O155:Q155)=O155, "Murah", IF(MAX(O155:Q155)=P155, "Sedang", "Mahal"))</f>
        <v/>
      </c>
    </row>
    <row r="156">
      <c r="A156" s="6" t="inlineStr">
        <is>
          <t>favehotel Malang</t>
        </is>
      </c>
      <c r="B156" s="6" t="n">
        <v>0.1356228123900133</v>
      </c>
      <c r="C156" s="6" t="n">
        <v>0.6268229527577502</v>
      </c>
      <c r="D156" s="6" t="n">
        <v>0.3402451222498795</v>
      </c>
      <c r="K156" s="6">
        <f>ABS(B156 - $G$2)</f>
        <v/>
      </c>
      <c r="L156" s="6">
        <f>ABS(B156 - $H$2)</f>
        <v/>
      </c>
      <c r="M156" s="6">
        <f>ABS(B156 - $I$2)</f>
        <v/>
      </c>
      <c r="O156">
        <f>(1/K156^2) / ((1/K156^2) + (1/L156^2) + (1/M156^2))</f>
        <v/>
      </c>
      <c r="P156">
        <f>(1/L156^2) / ((1/K156^2) + (1/L156^2) + (1/M156^2))</f>
        <v/>
      </c>
      <c r="Q156">
        <f>(1/M156^2) / ((1/K156^2) + (1/L156^2) + (1/M156^2))</f>
        <v/>
      </c>
      <c r="S156">
        <f>IF(MAX(O156:Q156)=O156, "Murah", IF(MAX(O156:Q156)=P156, "Sedang", "Mahal"))</f>
        <v/>
      </c>
    </row>
    <row r="157">
      <c r="A157" s="6" t="inlineStr">
        <is>
          <t>Boutique B21 Malang, Azana Hotels Collection</t>
        </is>
      </c>
      <c r="B157" s="6" t="n">
        <v>0.1291412513614105</v>
      </c>
      <c r="C157" s="6" t="n">
        <v>0.5141804978238721</v>
      </c>
      <c r="D157" s="6" t="n">
        <v>0.4458232974508664</v>
      </c>
      <c r="K157" s="6">
        <f>ABS(B157 - $G$2)</f>
        <v/>
      </c>
      <c r="L157" s="6">
        <f>ABS(B157 - $H$2)</f>
        <v/>
      </c>
      <c r="M157" s="6">
        <f>ABS(B157 - $I$2)</f>
        <v/>
      </c>
      <c r="O157">
        <f>(1/K157^2) / ((1/K157^2) + (1/L157^2) + (1/M157^2))</f>
        <v/>
      </c>
      <c r="P157">
        <f>(1/L157^2) / ((1/K157^2) + (1/L157^2) + (1/M157^2))</f>
        <v/>
      </c>
      <c r="Q157">
        <f>(1/M157^2) / ((1/K157^2) + (1/L157^2) + (1/M157^2))</f>
        <v/>
      </c>
      <c r="S157">
        <f>IF(MAX(O157:Q157)=O157, "Murah", IF(MAX(O157:Q157)=P157, "Sedang", "Mahal"))</f>
        <v/>
      </c>
    </row>
    <row r="158">
      <c r="A158" s="6" t="inlineStr">
        <is>
          <t>Ubud Cottages Malang</t>
        </is>
      </c>
      <c r="B158" s="6" t="n">
        <v>0.08953494494774678</v>
      </c>
      <c r="C158" s="6" t="n">
        <v>0.5302892816835244</v>
      </c>
      <c r="D158" s="6" t="n">
        <v>0.3466750043463587</v>
      </c>
      <c r="K158" s="6">
        <f>ABS(B158 - $G$2)</f>
        <v/>
      </c>
      <c r="L158" s="6">
        <f>ABS(B158 - $H$2)</f>
        <v/>
      </c>
      <c r="M158" s="6">
        <f>ABS(B158 - $I$2)</f>
        <v/>
      </c>
      <c r="O158">
        <f>(1/K158^2) / ((1/K158^2) + (1/L158^2) + (1/M158^2))</f>
        <v/>
      </c>
      <c r="P158">
        <f>(1/L158^2) / ((1/K158^2) + (1/L158^2) + (1/M158^2))</f>
        <v/>
      </c>
      <c r="Q158">
        <f>(1/M158^2) / ((1/K158^2) + (1/L158^2) + (1/M158^2))</f>
        <v/>
      </c>
      <c r="S158">
        <f>IF(MAX(O158:Q158)=O158, "Murah", IF(MAX(O158:Q158)=P158, "Sedang", "Mahal"))</f>
        <v/>
      </c>
    </row>
    <row r="159">
      <c r="A159" s="6" t="inlineStr">
        <is>
          <t>Hotel Dewarna Sutoyo Malang</t>
        </is>
      </c>
      <c r="B159" s="6" t="n">
        <v>0.0920939809721233</v>
      </c>
      <c r="C159" s="6" t="n">
        <v>0.5236953088882558</v>
      </c>
      <c r="D159" s="6" t="n">
        <v>0.4912161529632132</v>
      </c>
      <c r="K159" s="6">
        <f>ABS(B159 - $G$2)</f>
        <v/>
      </c>
      <c r="L159" s="6">
        <f>ABS(B159 - $H$2)</f>
        <v/>
      </c>
      <c r="M159" s="6">
        <f>ABS(B159 - $I$2)</f>
        <v/>
      </c>
      <c r="O159">
        <f>(1/K159^2) / ((1/K159^2) + (1/L159^2) + (1/M159^2))</f>
        <v/>
      </c>
      <c r="P159">
        <f>(1/L159^2) / ((1/K159^2) + (1/L159^2) + (1/M159^2))</f>
        <v/>
      </c>
      <c r="Q159">
        <f>(1/M159^2) / ((1/K159^2) + (1/L159^2) + (1/M159^2))</f>
        <v/>
      </c>
      <c r="S159">
        <f>IF(MAX(O159:Q159)=O159, "Murah", IF(MAX(O159:Q159)=P159, "Sedang", "Mahal"))</f>
        <v/>
      </c>
    </row>
    <row r="160">
      <c r="A160" s="6" t="inlineStr">
        <is>
          <t>Omahkoe guesthouse</t>
        </is>
      </c>
      <c r="B160" s="6" t="n">
        <v>0.002675154293188929</v>
      </c>
      <c r="C160" s="6" t="n">
        <v>0.5437183262537907</v>
      </c>
      <c r="D160" s="6" t="n">
        <v>0.3703124185773574</v>
      </c>
      <c r="K160" s="6">
        <f>ABS(B160 - $G$2)</f>
        <v/>
      </c>
      <c r="L160" s="6">
        <f>ABS(B160 - $H$2)</f>
        <v/>
      </c>
      <c r="M160" s="6">
        <f>ABS(B160 - $I$2)</f>
        <v/>
      </c>
      <c r="O160">
        <f>(1/K160^2) / ((1/K160^2) + (1/L160^2) + (1/M160^2))</f>
        <v/>
      </c>
      <c r="P160">
        <f>(1/L160^2) / ((1/K160^2) + (1/L160^2) + (1/M160^2))</f>
        <v/>
      </c>
      <c r="Q160">
        <f>(1/M160^2) / ((1/K160^2) + (1/L160^2) + (1/M160^2))</f>
        <v/>
      </c>
      <c r="S160">
        <f>IF(MAX(O160:Q160)=O160, "Murah", IF(MAX(O160:Q160)=P160, "Sedang", "Mahal"))</f>
        <v/>
      </c>
    </row>
    <row r="161">
      <c r="A161" s="6" t="inlineStr">
        <is>
          <t>Hotel Kartika Graha</t>
        </is>
      </c>
      <c r="B161" s="6" t="n">
        <v>0</v>
      </c>
      <c r="C161" s="6" t="n">
        <v>0.4901319705002741</v>
      </c>
      <c r="D161" s="6" t="n">
        <v>0.463166870266541</v>
      </c>
      <c r="K161" s="6">
        <f>ABS(B161 - $G$2)</f>
        <v/>
      </c>
      <c r="L161" s="6">
        <f>ABS(B161 - $H$2)</f>
        <v/>
      </c>
      <c r="M161" s="6">
        <f>ABS(B161 - $I$2)</f>
        <v/>
      </c>
      <c r="O161">
        <f>(1/K161^2) / ((1/K161^2) + (1/L161^2) + (1/M161^2))</f>
        <v/>
      </c>
      <c r="P161">
        <f>(1/L161^2) / ((1/K161^2) + (1/L161^2) + (1/M161^2))</f>
        <v/>
      </c>
      <c r="Q161">
        <f>(1/M161^2) / ((1/K161^2) + (1/L161^2) + (1/M161^2))</f>
        <v/>
      </c>
      <c r="S161">
        <f>IF(MAX(O161:Q161)=O161, "Murah", IF(MAX(O161:Q161)=P161, "Sedang", "Mahal"))</f>
        <v/>
      </c>
    </row>
    <row r="162">
      <c r="A162" s="6" t="inlineStr">
        <is>
          <t>Padi Heritage Hotel</t>
        </is>
      </c>
      <c r="B162" s="6" t="n">
        <v>0.1397581746984112</v>
      </c>
      <c r="C162" s="6" t="n">
        <v>0.6294409841963839</v>
      </c>
      <c r="D162" s="6" t="n">
        <v>0.3549255257972561</v>
      </c>
      <c r="K162" s="6">
        <f>ABS(B162 - $G$2)</f>
        <v/>
      </c>
      <c r="L162" s="6">
        <f>ABS(B162 - $H$2)</f>
        <v/>
      </c>
      <c r="M162" s="6">
        <f>ABS(B162 - $I$2)</f>
        <v/>
      </c>
      <c r="O162">
        <f>(1/K162^2) / ((1/K162^2) + (1/L162^2) + (1/M162^2))</f>
        <v/>
      </c>
      <c r="P162">
        <f>(1/L162^2) / ((1/K162^2) + (1/L162^2) + (1/M162^2))</f>
        <v/>
      </c>
      <c r="Q162">
        <f>(1/M162^2) / ((1/K162^2) + (1/L162^2) + (1/M162^2))</f>
        <v/>
      </c>
      <c r="S162">
        <f>IF(MAX(O162:Q162)=O162, "Murah", IF(MAX(O162:Q162)=P162, "Sedang", "Mahal"))</f>
        <v/>
      </c>
    </row>
    <row r="163">
      <c r="A163" s="6" t="inlineStr">
        <is>
          <t>DE LAIA INN MALANG</t>
        </is>
      </c>
      <c r="B163" s="6" t="n">
        <v>0.07609931299000386</v>
      </c>
      <c r="C163" s="6" t="n">
        <v>0.5899196347974264</v>
      </c>
      <c r="D163" s="6" t="n">
        <v>0.4079071455482855</v>
      </c>
      <c r="K163" s="6">
        <f>ABS(B163 - $G$2)</f>
        <v/>
      </c>
      <c r="L163" s="6">
        <f>ABS(B163 - $H$2)</f>
        <v/>
      </c>
      <c r="M163" s="6">
        <f>ABS(B163 - $I$2)</f>
        <v/>
      </c>
      <c r="O163">
        <f>(1/K163^2) / ((1/K163^2) + (1/L163^2) + (1/M163^2))</f>
        <v/>
      </c>
      <c r="P163">
        <f>(1/L163^2) / ((1/K163^2) + (1/L163^2) + (1/M163^2))</f>
        <v/>
      </c>
      <c r="Q163">
        <f>(1/M163^2) / ((1/K163^2) + (1/L163^2) + (1/M163^2))</f>
        <v/>
      </c>
      <c r="S163">
        <f>IF(MAX(O163:Q163)=O163, "Murah", IF(MAX(O163:Q163)=P163, "Sedang", "Mahal"))</f>
        <v/>
      </c>
    </row>
    <row r="164">
      <c r="A164" s="6" t="inlineStr">
        <is>
          <t>De'Corner Guest House</t>
        </is>
      </c>
      <c r="B164" s="6" t="n">
        <v>0.1567810020535474</v>
      </c>
      <c r="C164" s="6" t="n">
        <v>0.4908636974737203</v>
      </c>
      <c r="D164" s="6" t="n">
        <v>0.4091453463249821</v>
      </c>
      <c r="K164" s="6">
        <f>ABS(B164 - $G$2)</f>
        <v/>
      </c>
      <c r="L164" s="6">
        <f>ABS(B164 - $H$2)</f>
        <v/>
      </c>
      <c r="M164" s="6">
        <f>ABS(B164 - $I$2)</f>
        <v/>
      </c>
      <c r="O164">
        <f>(1/K164^2) / ((1/K164^2) + (1/L164^2) + (1/M164^2))</f>
        <v/>
      </c>
      <c r="P164">
        <f>(1/L164^2) / ((1/K164^2) + (1/L164^2) + (1/M164^2))</f>
        <v/>
      </c>
      <c r="Q164">
        <f>(1/M164^2) / ((1/K164^2) + (1/L164^2) + (1/M164^2))</f>
        <v/>
      </c>
      <c r="S164">
        <f>IF(MAX(O164:Q164)=O164, "Murah", IF(MAX(O164:Q164)=P164, "Sedang", "Mahal"))</f>
        <v/>
      </c>
    </row>
    <row r="165">
      <c r="A165" s="6" t="inlineStr">
        <is>
          <t>CLASS Premium Guest House Malang</t>
        </is>
      </c>
      <c r="B165" s="6" t="n">
        <v>0.1355704344596898</v>
      </c>
      <c r="C165" s="6" t="n">
        <v>0.502701825979141</v>
      </c>
      <c r="D165" s="6" t="n">
        <v>0.3391337390573939</v>
      </c>
      <c r="K165" s="6">
        <f>ABS(B165 - $G$2)</f>
        <v/>
      </c>
      <c r="L165" s="6">
        <f>ABS(B165 - $H$2)</f>
        <v/>
      </c>
      <c r="M165" s="6">
        <f>ABS(B165 - $I$2)</f>
        <v/>
      </c>
      <c r="O165">
        <f>(1/K165^2) / ((1/K165^2) + (1/L165^2) + (1/M165^2))</f>
        <v/>
      </c>
      <c r="P165">
        <f>(1/L165^2) / ((1/K165^2) + (1/L165^2) + (1/M165^2))</f>
        <v/>
      </c>
      <c r="Q165">
        <f>(1/M165^2) / ((1/K165^2) + (1/L165^2) + (1/M165^2))</f>
        <v/>
      </c>
      <c r="S165">
        <f>IF(MAX(O165:Q165)=O165, "Murah", IF(MAX(O165:Q165)=P165, "Sedang", "Mahal"))</f>
        <v/>
      </c>
    </row>
    <row r="166">
      <c r="A166" s="6" t="inlineStr">
        <is>
          <t>Regent's Park Hotel Malang</t>
        </is>
      </c>
      <c r="B166" s="6" t="n">
        <v>0.1996059184289946</v>
      </c>
      <c r="C166" s="6" t="n">
        <v>0.501890519482314</v>
      </c>
      <c r="D166" s="6" t="n">
        <v>0.4751739591388957</v>
      </c>
      <c r="K166" s="6">
        <f>ABS(B166 - $G$2)</f>
        <v/>
      </c>
      <c r="L166" s="6">
        <f>ABS(B166 - $H$2)</f>
        <v/>
      </c>
      <c r="M166" s="6">
        <f>ABS(B166 - $I$2)</f>
        <v/>
      </c>
      <c r="O166">
        <f>(1/K166^2) / ((1/K166^2) + (1/L166^2) + (1/M166^2))</f>
        <v/>
      </c>
      <c r="P166">
        <f>(1/L166^2) / ((1/K166^2) + (1/L166^2) + (1/M166^2))</f>
        <v/>
      </c>
      <c r="Q166">
        <f>(1/M166^2) / ((1/K166^2) + (1/L166^2) + (1/M166^2))</f>
        <v/>
      </c>
      <c r="S166">
        <f>IF(MAX(O166:Q166)=O166, "Murah", IF(MAX(O166:Q166)=P166, "Sedang", "Mahal"))</f>
        <v/>
      </c>
    </row>
    <row r="167">
      <c r="A167" s="6" t="inlineStr">
        <is>
          <t>Sans Hotel Fif Fa Syariah Premiere Malang</t>
        </is>
      </c>
      <c r="B167" s="6" t="n">
        <v>0.1265520079592284</v>
      </c>
      <c r="C167" s="6" t="n">
        <v>0.5409148340615196</v>
      </c>
      <c r="D167" s="6" t="n">
        <v>0.375531308033476</v>
      </c>
      <c r="K167" s="6">
        <f>ABS(B167 - $G$2)</f>
        <v/>
      </c>
      <c r="L167" s="6">
        <f>ABS(B167 - $H$2)</f>
        <v/>
      </c>
      <c r="M167" s="6">
        <f>ABS(B167 - $I$2)</f>
        <v/>
      </c>
      <c r="O167">
        <f>(1/K167^2) / ((1/K167^2) + (1/L167^2) + (1/M167^2))</f>
        <v/>
      </c>
      <c r="P167">
        <f>(1/L167^2) / ((1/K167^2) + (1/L167^2) + (1/M167^2))</f>
        <v/>
      </c>
      <c r="Q167">
        <f>(1/M167^2) / ((1/K167^2) + (1/L167^2) + (1/M167^2))</f>
        <v/>
      </c>
      <c r="S167">
        <f>IF(MAX(O167:Q167)=O167, "Murah", IF(MAX(O167:Q167)=P167, "Sedang", "Mahal"))</f>
        <v/>
      </c>
    </row>
    <row r="168">
      <c r="A168" s="6" t="inlineStr">
        <is>
          <t>Hotel Armi</t>
        </is>
      </c>
      <c r="B168" s="6" t="n">
        <v>0.1036581411654505</v>
      </c>
      <c r="C168" s="6" t="n">
        <v>0.5269111983563448</v>
      </c>
      <c r="D168" s="6" t="n">
        <v>0.4664484481908853</v>
      </c>
      <c r="K168" s="6">
        <f>ABS(B168 - $G$2)</f>
        <v/>
      </c>
      <c r="L168" s="6">
        <f>ABS(B168 - $H$2)</f>
        <v/>
      </c>
      <c r="M168" s="6">
        <f>ABS(B168 - $I$2)</f>
        <v/>
      </c>
      <c r="O168">
        <f>(1/K168^2) / ((1/K168^2) + (1/L168^2) + (1/M168^2))</f>
        <v/>
      </c>
      <c r="P168">
        <f>(1/L168^2) / ((1/K168^2) + (1/L168^2) + (1/M168^2))</f>
        <v/>
      </c>
      <c r="Q168">
        <f>(1/M168^2) / ((1/K168^2) + (1/L168^2) + (1/M168^2))</f>
        <v/>
      </c>
      <c r="S168">
        <f>IF(MAX(O168:Q168)=O168, "Murah", IF(MAX(O168:Q168)=P168, "Sedang", "Mahal"))</f>
        <v/>
      </c>
    </row>
    <row r="169">
      <c r="A169" s="6" t="inlineStr">
        <is>
          <t>The Himana Malang</t>
        </is>
      </c>
      <c r="B169" s="6" t="n">
        <v>0.07573516166489765</v>
      </c>
      <c r="C169" s="6" t="n">
        <v>0.4894498121282562</v>
      </c>
      <c r="D169" s="6" t="n">
        <v>0.3793930187611584</v>
      </c>
      <c r="K169" s="6">
        <f>ABS(B169 - $G$2)</f>
        <v/>
      </c>
      <c r="L169" s="6">
        <f>ABS(B169 - $H$2)</f>
        <v/>
      </c>
      <c r="M169" s="6">
        <f>ABS(B169 - $I$2)</f>
        <v/>
      </c>
      <c r="O169">
        <f>(1/K169^2) / ((1/K169^2) + (1/L169^2) + (1/M169^2))</f>
        <v/>
      </c>
      <c r="P169">
        <f>(1/L169^2) / ((1/K169^2) + (1/L169^2) + (1/M169^2))</f>
        <v/>
      </c>
      <c r="Q169">
        <f>(1/M169^2) / ((1/K169^2) + (1/L169^2) + (1/M169^2))</f>
        <v/>
      </c>
      <c r="S169">
        <f>IF(MAX(O169:Q169)=O169, "Murah", IF(MAX(O169:Q169)=P169, "Sedang", "Mahal"))</f>
        <v/>
      </c>
    </row>
    <row r="170">
      <c r="A170" s="6" t="inlineStr">
        <is>
          <t>Lovender Guest House</t>
        </is>
      </c>
      <c r="B170" s="6" t="n">
        <v>0</v>
      </c>
      <c r="C170" s="6" t="n">
        <v>0.4988523351363487</v>
      </c>
      <c r="D170" s="6" t="n">
        <v>0.4351000636854979</v>
      </c>
      <c r="K170" s="6">
        <f>ABS(B170 - $G$2)</f>
        <v/>
      </c>
      <c r="L170" s="6">
        <f>ABS(B170 - $H$2)</f>
        <v/>
      </c>
      <c r="M170" s="6">
        <f>ABS(B170 - $I$2)</f>
        <v/>
      </c>
      <c r="O170">
        <f>(1/K170^2) / ((1/K170^2) + (1/L170^2) + (1/M170^2))</f>
        <v/>
      </c>
      <c r="P170">
        <f>(1/L170^2) / ((1/K170^2) + (1/L170^2) + (1/M170^2))</f>
        <v/>
      </c>
      <c r="Q170">
        <f>(1/M170^2) / ((1/K170^2) + (1/L170^2) + (1/M170^2))</f>
        <v/>
      </c>
      <c r="S170">
        <f>IF(MAX(O170:Q170)=O170, "Murah", IF(MAX(O170:Q170)=P170, "Sedang", "Mahal"))</f>
        <v/>
      </c>
    </row>
    <row r="171">
      <c r="A171" s="6" t="inlineStr">
        <is>
          <t>Cozy Boutique Guesthouse</t>
        </is>
      </c>
      <c r="B171" s="6" t="n">
        <v>0.1540326849370495</v>
      </c>
      <c r="C171" s="6" t="n">
        <v>0.5193079818599134</v>
      </c>
      <c r="D171" s="6" t="n">
        <v>0.4435345859221579</v>
      </c>
      <c r="K171" s="6">
        <f>ABS(B171 - $G$2)</f>
        <v/>
      </c>
      <c r="L171" s="6">
        <f>ABS(B171 - $H$2)</f>
        <v/>
      </c>
      <c r="M171" s="6">
        <f>ABS(B171 - $I$2)</f>
        <v/>
      </c>
      <c r="O171">
        <f>(1/K171^2) / ((1/K171^2) + (1/L171^2) + (1/M171^2))</f>
        <v/>
      </c>
      <c r="P171">
        <f>(1/L171^2) / ((1/K171^2) + (1/L171^2) + (1/M171^2))</f>
        <v/>
      </c>
      <c r="Q171">
        <f>(1/M171^2) / ((1/K171^2) + (1/L171^2) + (1/M171^2))</f>
        <v/>
      </c>
      <c r="S171">
        <f>IF(MAX(O171:Q171)=O171, "Murah", IF(MAX(O171:Q171)=P171, "Sedang", "Mahal"))</f>
        <v/>
      </c>
    </row>
    <row r="172">
      <c r="A172" s="6" t="inlineStr">
        <is>
          <t>Great Star Premium Homestay</t>
        </is>
      </c>
      <c r="B172" s="6" t="n">
        <v>0.04047982618286826</v>
      </c>
      <c r="C172" s="6" t="n">
        <v>0.5272935847102102</v>
      </c>
      <c r="D172" s="6" t="n">
        <v>0.5692541604237996</v>
      </c>
      <c r="K172" s="6">
        <f>ABS(B172 - $G$2)</f>
        <v/>
      </c>
      <c r="L172" s="6">
        <f>ABS(B172 - $H$2)</f>
        <v/>
      </c>
      <c r="M172" s="6">
        <f>ABS(B172 - $I$2)</f>
        <v/>
      </c>
      <c r="O172">
        <f>(1/K172^2) / ((1/K172^2) + (1/L172^2) + (1/M172^2))</f>
        <v/>
      </c>
      <c r="P172">
        <f>(1/L172^2) / ((1/K172^2) + (1/L172^2) + (1/M172^2))</f>
        <v/>
      </c>
      <c r="Q172">
        <f>(1/M172^2) / ((1/K172^2) + (1/L172^2) + (1/M172^2))</f>
        <v/>
      </c>
      <c r="S172">
        <f>IF(MAX(O172:Q172)=O172, "Murah", IF(MAX(O172:Q172)=P172, "Sedang", "Mahal"))</f>
        <v/>
      </c>
    </row>
    <row r="173">
      <c r="A173" s="6" t="inlineStr">
        <is>
          <t>Ratu Boarding House &amp; Homestay</t>
        </is>
      </c>
      <c r="B173" s="6" t="n">
        <v>0.1077084239785611</v>
      </c>
      <c r="C173" s="6" t="n">
        <v>0.5414051248538655</v>
      </c>
      <c r="D173" s="6" t="n">
        <v>0.4323635707958156</v>
      </c>
      <c r="K173" s="6">
        <f>ABS(B173 - $G$2)</f>
        <v/>
      </c>
      <c r="L173" s="6">
        <f>ABS(B173 - $H$2)</f>
        <v/>
      </c>
      <c r="M173" s="6">
        <f>ABS(B173 - $I$2)</f>
        <v/>
      </c>
      <c r="O173">
        <f>(1/K173^2) / ((1/K173^2) + (1/L173^2) + (1/M173^2))</f>
        <v/>
      </c>
      <c r="P173">
        <f>(1/L173^2) / ((1/K173^2) + (1/L173^2) + (1/M173^2))</f>
        <v/>
      </c>
      <c r="Q173">
        <f>(1/M173^2) / ((1/K173^2) + (1/L173^2) + (1/M173^2))</f>
        <v/>
      </c>
      <c r="S173">
        <f>IF(MAX(O173:Q173)=O173, "Murah", IF(MAX(O173:Q173)=P173, "Sedang", "Mahal"))</f>
        <v/>
      </c>
    </row>
    <row r="174">
      <c r="A174" s="6" t="inlineStr">
        <is>
          <t>Hotel Trio Indah 2</t>
        </is>
      </c>
      <c r="B174" s="6" t="n">
        <v>0.1250047805253867</v>
      </c>
      <c r="C174" s="6" t="n">
        <v>0.4861351226586849</v>
      </c>
      <c r="D174" s="6" t="n">
        <v>0.4600858947026817</v>
      </c>
      <c r="K174" s="6">
        <f>ABS(B174 - $G$2)</f>
        <v/>
      </c>
      <c r="L174" s="6">
        <f>ABS(B174 - $H$2)</f>
        <v/>
      </c>
      <c r="M174" s="6">
        <f>ABS(B174 - $I$2)</f>
        <v/>
      </c>
      <c r="O174">
        <f>(1/K174^2) / ((1/K174^2) + (1/L174^2) + (1/M174^2))</f>
        <v/>
      </c>
      <c r="P174">
        <f>(1/L174^2) / ((1/K174^2) + (1/L174^2) + (1/M174^2))</f>
        <v/>
      </c>
      <c r="Q174">
        <f>(1/M174^2) / ((1/K174^2) + (1/L174^2) + (1/M174^2))</f>
        <v/>
      </c>
      <c r="S174">
        <f>IF(MAX(O174:Q174)=O174, "Murah", IF(MAX(O174:Q174)=P174, "Sedang", "Mahal"))</f>
        <v/>
      </c>
    </row>
    <row r="175">
      <c r="A175" s="6" t="inlineStr">
        <is>
          <t>Tlogomas Guest House</t>
        </is>
      </c>
      <c r="B175" s="6" t="n">
        <v>0.1204653598973503</v>
      </c>
      <c r="C175" s="6" t="n">
        <v>0.6252347343038653</v>
      </c>
      <c r="D175" s="6" t="n">
        <v>0.3406232692281943</v>
      </c>
      <c r="K175" s="6">
        <f>ABS(B175 - $G$2)</f>
        <v/>
      </c>
      <c r="L175" s="6">
        <f>ABS(B175 - $H$2)</f>
        <v/>
      </c>
      <c r="M175" s="6">
        <f>ABS(B175 - $I$2)</f>
        <v/>
      </c>
      <c r="O175">
        <f>(1/K175^2) / ((1/K175^2) + (1/L175^2) + (1/M175^2))</f>
        <v/>
      </c>
      <c r="P175">
        <f>(1/L175^2) / ((1/K175^2) + (1/L175^2) + (1/M175^2))</f>
        <v/>
      </c>
      <c r="Q175">
        <f>(1/M175^2) / ((1/K175^2) + (1/L175^2) + (1/M175^2))</f>
        <v/>
      </c>
      <c r="S175">
        <f>IF(MAX(O175:Q175)=O175, "Murah", IF(MAX(O175:Q175)=P175, "Sedang", "Mahal"))</f>
        <v/>
      </c>
    </row>
    <row r="176">
      <c r="A176" s="6" t="inlineStr">
        <is>
          <t>Giri Palma Villa</t>
        </is>
      </c>
      <c r="B176" s="6" t="n">
        <v>0.099549937783887</v>
      </c>
      <c r="C176" s="6" t="n">
        <v>0.5480925024286922</v>
      </c>
      <c r="D176" s="6" t="n">
        <v>0.265594758329511</v>
      </c>
      <c r="K176" s="6">
        <f>ABS(B176 - $G$2)</f>
        <v/>
      </c>
      <c r="L176" s="6">
        <f>ABS(B176 - $H$2)</f>
        <v/>
      </c>
      <c r="M176" s="6">
        <f>ABS(B176 - $I$2)</f>
        <v/>
      </c>
      <c r="O176">
        <f>(1/K176^2) / ((1/K176^2) + (1/L176^2) + (1/M176^2))</f>
        <v/>
      </c>
      <c r="P176">
        <f>(1/L176^2) / ((1/K176^2) + (1/L176^2) + (1/M176^2))</f>
        <v/>
      </c>
      <c r="Q176">
        <f>(1/M176^2) / ((1/K176^2) + (1/L176^2) + (1/M176^2))</f>
        <v/>
      </c>
      <c r="S176">
        <f>IF(MAX(O176:Q176)=O176, "Murah", IF(MAX(O176:Q176)=P176, "Sedang", "Mahal"))</f>
        <v/>
      </c>
    </row>
    <row r="177">
      <c r="A177" s="6" t="inlineStr">
        <is>
          <t>Urbanview Hotel de Kopen Malang by RedDoorz</t>
        </is>
      </c>
      <c r="B177" s="6" t="n">
        <v>0.08131548973364852</v>
      </c>
      <c r="C177" s="6" t="n">
        <v>0.5144799326406535</v>
      </c>
      <c r="D177" s="6" t="n">
        <v>0.5049880814528416</v>
      </c>
      <c r="K177" s="6">
        <f>ABS(B177 - $G$2)</f>
        <v/>
      </c>
      <c r="L177" s="6">
        <f>ABS(B177 - $H$2)</f>
        <v/>
      </c>
      <c r="M177" s="6">
        <f>ABS(B177 - $I$2)</f>
        <v/>
      </c>
      <c r="O177">
        <f>(1/K177^2) / ((1/K177^2) + (1/L177^2) + (1/M177^2))</f>
        <v/>
      </c>
      <c r="P177">
        <f>(1/L177^2) / ((1/K177^2) + (1/L177^2) + (1/M177^2))</f>
        <v/>
      </c>
      <c r="Q177">
        <f>(1/M177^2) / ((1/K177^2) + (1/L177^2) + (1/M177^2))</f>
        <v/>
      </c>
      <c r="S177">
        <f>IF(MAX(O177:Q177)=O177, "Murah", IF(MAX(O177:Q177)=P177, "Sedang", "Mahal"))</f>
        <v/>
      </c>
    </row>
    <row r="178">
      <c r="A178" s="6" t="inlineStr">
        <is>
          <t>Kertanegara Premium Guest House</t>
        </is>
      </c>
      <c r="B178" s="6" t="n">
        <v>0.04406258746975798</v>
      </c>
      <c r="C178" s="6" t="n">
        <v>0.4916308305910433</v>
      </c>
      <c r="D178" s="6" t="n">
        <v>0.4274518104708799</v>
      </c>
      <c r="K178" s="6">
        <f>ABS(B178 - $G$2)</f>
        <v/>
      </c>
      <c r="L178" s="6">
        <f>ABS(B178 - $H$2)</f>
        <v/>
      </c>
      <c r="M178" s="6">
        <f>ABS(B178 - $I$2)</f>
        <v/>
      </c>
      <c r="O178">
        <f>(1/K178^2) / ((1/K178^2) + (1/L178^2) + (1/M178^2))</f>
        <v/>
      </c>
      <c r="P178">
        <f>(1/L178^2) / ((1/K178^2) + (1/L178^2) + (1/M178^2))</f>
        <v/>
      </c>
      <c r="Q178">
        <f>(1/M178^2) / ((1/K178^2) + (1/L178^2) + (1/M178^2))</f>
        <v/>
      </c>
      <c r="S178">
        <f>IF(MAX(O178:Q178)=O178, "Murah", IF(MAX(O178:Q178)=P178, "Sedang", "Mahal"))</f>
        <v/>
      </c>
    </row>
    <row r="179">
      <c r="A179" s="6" t="inlineStr">
        <is>
          <t>RedDoorz Syariah @ Jl Simpang Gajayana (Hasanah Guest House Gajayana)</t>
        </is>
      </c>
      <c r="B179" s="6" t="n">
        <v>0.06458753072700013</v>
      </c>
      <c r="C179" s="6" t="n">
        <v>0.5790550066479263</v>
      </c>
      <c r="D179" s="6" t="n">
        <v>0.3631174805819322</v>
      </c>
      <c r="K179" s="6">
        <f>ABS(B179 - $G$2)</f>
        <v/>
      </c>
      <c r="L179" s="6">
        <f>ABS(B179 - $H$2)</f>
        <v/>
      </c>
      <c r="M179" s="6">
        <f>ABS(B179 - $I$2)</f>
        <v/>
      </c>
      <c r="O179">
        <f>(1/K179^2) / ((1/K179^2) + (1/L179^2) + (1/M179^2))</f>
        <v/>
      </c>
      <c r="P179">
        <f>(1/L179^2) / ((1/K179^2) + (1/L179^2) + (1/M179^2))</f>
        <v/>
      </c>
      <c r="Q179">
        <f>(1/M179^2) / ((1/K179^2) + (1/L179^2) + (1/M179^2))</f>
        <v/>
      </c>
      <c r="S179">
        <f>IF(MAX(O179:Q179)=O179, "Murah", IF(MAX(O179:Q179)=P179, "Sedang", "Mahal"))</f>
        <v/>
      </c>
    </row>
    <row r="180">
      <c r="A180" s="6" t="inlineStr">
        <is>
          <t>D'Fresh Guest House and Resto</t>
        </is>
      </c>
      <c r="B180" s="6" t="n">
        <v>0.08074542940203248</v>
      </c>
      <c r="C180" s="6" t="n">
        <v>0.6036285565050016</v>
      </c>
      <c r="D180" s="6" t="n">
        <v>0.4786773525468867</v>
      </c>
      <c r="K180" s="6">
        <f>ABS(B180 - $G$2)</f>
        <v/>
      </c>
      <c r="L180" s="6">
        <f>ABS(B180 - $H$2)</f>
        <v/>
      </c>
      <c r="M180" s="6">
        <f>ABS(B180 - $I$2)</f>
        <v/>
      </c>
      <c r="O180">
        <f>(1/K180^2) / ((1/K180^2) + (1/L180^2) + (1/M180^2))</f>
        <v/>
      </c>
      <c r="P180">
        <f>(1/L180^2) / ((1/K180^2) + (1/L180^2) + (1/M180^2))</f>
        <v/>
      </c>
      <c r="Q180">
        <f>(1/M180^2) / ((1/K180^2) + (1/L180^2) + (1/M180^2))</f>
        <v/>
      </c>
      <c r="S180">
        <f>IF(MAX(O180:Q180)=O180, "Murah", IF(MAX(O180:Q180)=P180, "Sedang", "Mahal"))</f>
        <v/>
      </c>
    </row>
    <row r="181">
      <c r="A181" s="6" t="inlineStr">
        <is>
          <t>Hotel Santosa</t>
        </is>
      </c>
      <c r="B181" s="6" t="n">
        <v>0.05804832626185085</v>
      </c>
      <c r="C181" s="6" t="n">
        <v>0.4534262525429207</v>
      </c>
      <c r="D181" s="6" t="n">
        <v>0.4739721895955448</v>
      </c>
      <c r="K181" s="6">
        <f>ABS(B181 - $G$2)</f>
        <v/>
      </c>
      <c r="L181" s="6">
        <f>ABS(B181 - $H$2)</f>
        <v/>
      </c>
      <c r="M181" s="6">
        <f>ABS(B181 - $I$2)</f>
        <v/>
      </c>
      <c r="O181">
        <f>(1/K181^2) / ((1/K181^2) + (1/L181^2) + (1/M181^2))</f>
        <v/>
      </c>
      <c r="P181">
        <f>(1/L181^2) / ((1/K181^2) + (1/L181^2) + (1/M181^2))</f>
        <v/>
      </c>
      <c r="Q181">
        <f>(1/M181^2) / ((1/K181^2) + (1/L181^2) + (1/M181^2))</f>
        <v/>
      </c>
      <c r="S181">
        <f>IF(MAX(O181:Q181)=O181, "Murah", IF(MAX(O181:Q181)=P181, "Sedang", "Mahal"))</f>
        <v/>
      </c>
    </row>
    <row r="182">
      <c r="A182" s="6" t="inlineStr">
        <is>
          <t>RedDoorz near Plaza Araya</t>
        </is>
      </c>
      <c r="B182" s="6" t="n">
        <v>0.07082660133743858</v>
      </c>
      <c r="C182" s="6" t="n">
        <v>0.6132064242256254</v>
      </c>
      <c r="D182" s="6" t="n">
        <v>0.5495637705680851</v>
      </c>
      <c r="K182" s="6">
        <f>ABS(B182 - $G$2)</f>
        <v/>
      </c>
      <c r="L182" s="6">
        <f>ABS(B182 - $H$2)</f>
        <v/>
      </c>
      <c r="M182" s="6">
        <f>ABS(B182 - $I$2)</f>
        <v/>
      </c>
      <c r="O182">
        <f>(1/K182^2) / ((1/K182^2) + (1/L182^2) + (1/M182^2))</f>
        <v/>
      </c>
      <c r="P182">
        <f>(1/L182^2) / ((1/K182^2) + (1/L182^2) + (1/M182^2))</f>
        <v/>
      </c>
      <c r="Q182">
        <f>(1/M182^2) / ((1/K182^2) + (1/L182^2) + (1/M182^2))</f>
        <v/>
      </c>
      <c r="S182">
        <f>IF(MAX(O182:Q182)=O182, "Murah", IF(MAX(O182:Q182)=P182, "Sedang", "Mahal"))</f>
        <v/>
      </c>
    </row>
    <row r="183">
      <c r="A183" s="6" t="inlineStr">
        <is>
          <t>Helena Guest House</t>
        </is>
      </c>
      <c r="B183" s="6" t="n">
        <v>0.06080468020363652</v>
      </c>
      <c r="C183" s="6" t="n">
        <v>0.4995351679111091</v>
      </c>
      <c r="D183" s="6" t="n">
        <v>0.4486261966391757</v>
      </c>
      <c r="K183" s="6">
        <f>ABS(B183 - $G$2)</f>
        <v/>
      </c>
      <c r="L183" s="6">
        <f>ABS(B183 - $H$2)</f>
        <v/>
      </c>
      <c r="M183" s="6">
        <f>ABS(B183 - $I$2)</f>
        <v/>
      </c>
      <c r="O183">
        <f>(1/K183^2) / ((1/K183^2) + (1/L183^2) + (1/M183^2))</f>
        <v/>
      </c>
      <c r="P183">
        <f>(1/L183^2) / ((1/K183^2) + (1/L183^2) + (1/M183^2))</f>
        <v/>
      </c>
      <c r="Q183">
        <f>(1/M183^2) / ((1/K183^2) + (1/L183^2) + (1/M183^2))</f>
        <v/>
      </c>
      <c r="S183">
        <f>IF(MAX(O183:Q183)=O183, "Murah", IF(MAX(O183:Q183)=P183, "Sedang", "Mahal"))</f>
        <v/>
      </c>
    </row>
    <row r="184">
      <c r="A184" s="6" t="inlineStr">
        <is>
          <t>Esma Guest House</t>
        </is>
      </c>
      <c r="B184" s="6" t="n">
        <v>0.1227350702113685</v>
      </c>
      <c r="C184" s="6" t="n">
        <v>0.5320724025294161</v>
      </c>
      <c r="D184" s="6" t="n">
        <v>0.4871091078544701</v>
      </c>
      <c r="K184" s="6">
        <f>ABS(B184 - $G$2)</f>
        <v/>
      </c>
      <c r="L184" s="6">
        <f>ABS(B184 - $H$2)</f>
        <v/>
      </c>
      <c r="M184" s="6">
        <f>ABS(B184 - $I$2)</f>
        <v/>
      </c>
      <c r="O184">
        <f>(1/K184^2) / ((1/K184^2) + (1/L184^2) + (1/M184^2))</f>
        <v/>
      </c>
      <c r="P184">
        <f>(1/L184^2) / ((1/K184^2) + (1/L184^2) + (1/M184^2))</f>
        <v/>
      </c>
      <c r="Q184">
        <f>(1/M184^2) / ((1/K184^2) + (1/L184^2) + (1/M184^2))</f>
        <v/>
      </c>
      <c r="S184">
        <f>IF(MAX(O184:Q184)=O184, "Murah", IF(MAX(O184:Q184)=P184, "Sedang", "Mahal"))</f>
        <v/>
      </c>
    </row>
    <row r="185">
      <c r="A185" s="6" t="inlineStr">
        <is>
          <t>Guest House Lily</t>
        </is>
      </c>
      <c r="B185" s="6" t="n">
        <v>0.04601886159755459</v>
      </c>
      <c r="C185" s="6" t="n">
        <v>0.4414886496332754</v>
      </c>
      <c r="D185" s="6" t="n">
        <v>0.4840327438391157</v>
      </c>
      <c r="K185" s="6">
        <f>ABS(B185 - $G$2)</f>
        <v/>
      </c>
      <c r="L185" s="6">
        <f>ABS(B185 - $H$2)</f>
        <v/>
      </c>
      <c r="M185" s="6">
        <f>ABS(B185 - $I$2)</f>
        <v/>
      </c>
      <c r="O185">
        <f>(1/K185^2) / ((1/K185^2) + (1/L185^2) + (1/M185^2))</f>
        <v/>
      </c>
      <c r="P185">
        <f>(1/L185^2) / ((1/K185^2) + (1/L185^2) + (1/M185^2))</f>
        <v/>
      </c>
      <c r="Q185">
        <f>(1/M185^2) / ((1/K185^2) + (1/L185^2) + (1/M185^2))</f>
        <v/>
      </c>
      <c r="S185">
        <f>IF(MAX(O185:Q185)=O185, "Murah", IF(MAX(O185:Q185)=P185, "Sedang", "Mahal"))</f>
        <v/>
      </c>
    </row>
    <row r="186">
      <c r="A186" s="6" t="inlineStr">
        <is>
          <t>Griyo Sultan Agung Guest House (Book our rooms via WhatsApp Chat)</t>
        </is>
      </c>
      <c r="B186" s="6" t="n">
        <v>0.07620600877399616</v>
      </c>
      <c r="C186" s="6" t="n">
        <v>0.4737355538717963</v>
      </c>
      <c r="D186" s="6" t="n">
        <v>0.4887535860554003</v>
      </c>
      <c r="K186" s="6">
        <f>ABS(B186 - $G$2)</f>
        <v/>
      </c>
      <c r="L186" s="6">
        <f>ABS(B186 - $H$2)</f>
        <v/>
      </c>
      <c r="M186" s="6">
        <f>ABS(B186 - $I$2)</f>
        <v/>
      </c>
      <c r="O186">
        <f>(1/K186^2) / ((1/K186^2) + (1/L186^2) + (1/M186^2))</f>
        <v/>
      </c>
      <c r="P186">
        <f>(1/L186^2) / ((1/K186^2) + (1/L186^2) + (1/M186^2))</f>
        <v/>
      </c>
      <c r="Q186">
        <f>(1/M186^2) / ((1/K186^2) + (1/L186^2) + (1/M186^2))</f>
        <v/>
      </c>
      <c r="S186">
        <f>IF(MAX(O186:Q186)=O186, "Murah", IF(MAX(O186:Q186)=P186, "Sedang", "Mahal"))</f>
        <v/>
      </c>
    </row>
    <row r="187">
      <c r="A187" s="6" t="inlineStr">
        <is>
          <t>Merbabu Guest House</t>
        </is>
      </c>
      <c r="B187" s="6" t="n">
        <v>0.09973173631453362</v>
      </c>
      <c r="C187" s="6" t="n">
        <v>0.5117206138278866</v>
      </c>
      <c r="D187" s="6" t="n">
        <v>0.4447114531035565</v>
      </c>
      <c r="K187" s="6">
        <f>ABS(B187 - $G$2)</f>
        <v/>
      </c>
      <c r="L187" s="6">
        <f>ABS(B187 - $H$2)</f>
        <v/>
      </c>
      <c r="M187" s="6">
        <f>ABS(B187 - $I$2)</f>
        <v/>
      </c>
      <c r="O187">
        <f>(1/K187^2) / ((1/K187^2) + (1/L187^2) + (1/M187^2))</f>
        <v/>
      </c>
      <c r="P187">
        <f>(1/L187^2) / ((1/K187^2) + (1/L187^2) + (1/M187^2))</f>
        <v/>
      </c>
      <c r="Q187">
        <f>(1/M187^2) / ((1/K187^2) + (1/L187^2) + (1/M187^2))</f>
        <v/>
      </c>
      <c r="S187">
        <f>IF(MAX(O187:Q187)=O187, "Murah", IF(MAX(O187:Q187)=P187, "Sedang", "Mahal"))</f>
        <v/>
      </c>
    </row>
    <row r="188">
      <c r="A188" s="6" t="inlineStr">
        <is>
          <t>RedDoorz Plus near Politeknik Negeri Malang</t>
        </is>
      </c>
      <c r="B188" s="6" t="n">
        <v>0.1196644486876419</v>
      </c>
      <c r="C188" s="6" t="n">
        <v>0.5921104320999514</v>
      </c>
      <c r="D188" s="6" t="n">
        <v>0.4120266418380704</v>
      </c>
      <c r="K188" s="6">
        <f>ABS(B188 - $G$2)</f>
        <v/>
      </c>
      <c r="L188" s="6">
        <f>ABS(B188 - $H$2)</f>
        <v/>
      </c>
      <c r="M188" s="6">
        <f>ABS(B188 - $I$2)</f>
        <v/>
      </c>
      <c r="O188">
        <f>(1/K188^2) / ((1/K188^2) + (1/L188^2) + (1/M188^2))</f>
        <v/>
      </c>
      <c r="P188">
        <f>(1/L188^2) / ((1/K188^2) + (1/L188^2) + (1/M188^2))</f>
        <v/>
      </c>
      <c r="Q188">
        <f>(1/M188^2) / ((1/K188^2) + (1/L188^2) + (1/M188^2))</f>
        <v/>
      </c>
      <c r="S188">
        <f>IF(MAX(O188:Q188)=O188, "Murah", IF(MAX(O188:Q188)=P188, "Sedang", "Mahal"))</f>
        <v/>
      </c>
    </row>
    <row r="189">
      <c r="A189" s="6" t="inlineStr">
        <is>
          <t>Jardin Smart Residence</t>
        </is>
      </c>
      <c r="B189" s="6" t="n">
        <v>0.05465706312233434</v>
      </c>
      <c r="C189" s="6" t="n">
        <v>0.6112088433082544</v>
      </c>
      <c r="D189" s="6" t="n">
        <v>0.5103439338998949</v>
      </c>
      <c r="K189" s="6">
        <f>ABS(B189 - $G$2)</f>
        <v/>
      </c>
      <c r="L189" s="6">
        <f>ABS(B189 - $H$2)</f>
        <v/>
      </c>
      <c r="M189" s="6">
        <f>ABS(B189 - $I$2)</f>
        <v/>
      </c>
      <c r="O189">
        <f>(1/K189^2) / ((1/K189^2) + (1/L189^2) + (1/M189^2))</f>
        <v/>
      </c>
      <c r="P189">
        <f>(1/L189^2) / ((1/K189^2) + (1/L189^2) + (1/M189^2))</f>
        <v/>
      </c>
      <c r="Q189">
        <f>(1/M189^2) / ((1/K189^2) + (1/L189^2) + (1/M189^2))</f>
        <v/>
      </c>
      <c r="S189">
        <f>IF(MAX(O189:Q189)=O189, "Murah", IF(MAX(O189:Q189)=P189, "Sedang", "Mahal"))</f>
        <v/>
      </c>
    </row>
    <row r="190">
      <c r="A190" s="6" t="inlineStr">
        <is>
          <t>RedDoorz near Cyber Mall</t>
        </is>
      </c>
      <c r="B190" s="6" t="n">
        <v>0.1196644486876419</v>
      </c>
      <c r="C190" s="6" t="n">
        <v>0.5050069345461784</v>
      </c>
      <c r="D190" s="6" t="n">
        <v>0.3599313617119134</v>
      </c>
      <c r="K190" s="6">
        <f>ABS(B190 - $G$2)</f>
        <v/>
      </c>
      <c r="L190" s="6">
        <f>ABS(B190 - $H$2)</f>
        <v/>
      </c>
      <c r="M190" s="6">
        <f>ABS(B190 - $I$2)</f>
        <v/>
      </c>
      <c r="O190">
        <f>(1/K190^2) / ((1/K190^2) + (1/L190^2) + (1/M190^2))</f>
        <v/>
      </c>
      <c r="P190">
        <f>(1/L190^2) / ((1/K190^2) + (1/L190^2) + (1/M190^2))</f>
        <v/>
      </c>
      <c r="Q190">
        <f>(1/M190^2) / ((1/K190^2) + (1/L190^2) + (1/M190^2))</f>
        <v/>
      </c>
      <c r="S190">
        <f>IF(MAX(O190:Q190)=O190, "Murah", IF(MAX(O190:Q190)=P190, "Sedang", "Mahal"))</f>
        <v/>
      </c>
    </row>
    <row r="191">
      <c r="A191" s="6" t="inlineStr">
        <is>
          <t>Penginapan Omah Wetan Homestay Malang</t>
        </is>
      </c>
      <c r="B191" s="6" t="n">
        <v>0.01160683850692414</v>
      </c>
      <c r="C191" s="6" t="n">
        <v>0.4613275550506517</v>
      </c>
      <c r="D191" s="6" t="n">
        <v>0.5683364622690418</v>
      </c>
      <c r="K191" s="6">
        <f>ABS(B191 - $G$2)</f>
        <v/>
      </c>
      <c r="L191" s="6">
        <f>ABS(B191 - $H$2)</f>
        <v/>
      </c>
      <c r="M191" s="6">
        <f>ABS(B191 - $I$2)</f>
        <v/>
      </c>
      <c r="O191">
        <f>(1/K191^2) / ((1/K191^2) + (1/L191^2) + (1/M191^2))</f>
        <v/>
      </c>
      <c r="P191">
        <f>(1/L191^2) / ((1/K191^2) + (1/L191^2) + (1/M191^2))</f>
        <v/>
      </c>
      <c r="Q191">
        <f>(1/M191^2) / ((1/K191^2) + (1/L191^2) + (1/M191^2))</f>
        <v/>
      </c>
      <c r="S191">
        <f>IF(MAX(O191:Q191)=O191, "Murah", IF(MAX(O191:Q191)=P191, "Sedang", "Mahal"))</f>
        <v/>
      </c>
    </row>
    <row r="192">
      <c r="A192" s="6" t="inlineStr">
        <is>
          <t>Hillside Suite Guest House</t>
        </is>
      </c>
      <c r="B192" s="6" t="n">
        <v>0.09413672025473965</v>
      </c>
      <c r="C192" s="6" t="n">
        <v>0.5188079122278328</v>
      </c>
      <c r="D192" s="6" t="n">
        <v>0.349450234243639</v>
      </c>
      <c r="K192" s="6">
        <f>ABS(B192 - $G$2)</f>
        <v/>
      </c>
      <c r="L192" s="6">
        <f>ABS(B192 - $H$2)</f>
        <v/>
      </c>
      <c r="M192" s="6">
        <f>ABS(B192 - $I$2)</f>
        <v/>
      </c>
      <c r="O192">
        <f>(1/K192^2) / ((1/K192^2) + (1/L192^2) + (1/M192^2))</f>
        <v/>
      </c>
      <c r="P192">
        <f>(1/L192^2) / ((1/K192^2) + (1/L192^2) + (1/M192^2))</f>
        <v/>
      </c>
      <c r="Q192">
        <f>(1/M192^2) / ((1/K192^2) + (1/L192^2) + (1/M192^2))</f>
        <v/>
      </c>
      <c r="S192">
        <f>IF(MAX(O192:Q192)=O192, "Murah", IF(MAX(O192:Q192)=P192, "Sedang", "Mahal"))</f>
        <v/>
      </c>
    </row>
    <row r="193">
      <c r="A193" s="6" t="inlineStr">
        <is>
          <t>Jacatra Homestay</t>
        </is>
      </c>
      <c r="B193" s="6" t="n">
        <v>0.08256119765324701</v>
      </c>
      <c r="C193" s="6" t="n">
        <v>0.5163972596319043</v>
      </c>
      <c r="D193" s="6" t="n">
        <v>0.415673454404929</v>
      </c>
      <c r="K193" s="6">
        <f>ABS(B193 - $G$2)</f>
        <v/>
      </c>
      <c r="L193" s="6">
        <f>ABS(B193 - $H$2)</f>
        <v/>
      </c>
      <c r="M193" s="6">
        <f>ABS(B193 - $I$2)</f>
        <v/>
      </c>
      <c r="O193">
        <f>(1/K193^2) / ((1/K193^2) + (1/L193^2) + (1/M193^2))</f>
        <v/>
      </c>
      <c r="P193">
        <f>(1/L193^2) / ((1/K193^2) + (1/L193^2) + (1/M193^2))</f>
        <v/>
      </c>
      <c r="Q193">
        <f>(1/M193^2) / ((1/K193^2) + (1/L193^2) + (1/M193^2))</f>
        <v/>
      </c>
      <c r="S193">
        <f>IF(MAX(O193:Q193)=O193, "Murah", IF(MAX(O193:Q193)=P193, "Sedang", "Mahal"))</f>
        <v/>
      </c>
    </row>
    <row r="194">
      <c r="A194" s="6" t="inlineStr">
        <is>
          <t>Hotel Tosari</t>
        </is>
      </c>
      <c r="B194" s="6" t="n">
        <v>0.05118238327896929</v>
      </c>
      <c r="C194" s="6" t="n">
        <v>0.4517645241903216</v>
      </c>
      <c r="D194" s="6" t="n">
        <v>0.4869555432888786</v>
      </c>
      <c r="K194" s="6">
        <f>ABS(B194 - $G$2)</f>
        <v/>
      </c>
      <c r="L194" s="6">
        <f>ABS(B194 - $H$2)</f>
        <v/>
      </c>
      <c r="M194" s="6">
        <f>ABS(B194 - $I$2)</f>
        <v/>
      </c>
      <c r="O194">
        <f>(1/K194^2) / ((1/K194^2) + (1/L194^2) + (1/M194^2))</f>
        <v/>
      </c>
      <c r="P194">
        <f>(1/L194^2) / ((1/K194^2) + (1/L194^2) + (1/M194^2))</f>
        <v/>
      </c>
      <c r="Q194">
        <f>(1/M194^2) / ((1/K194^2) + (1/L194^2) + (1/M194^2))</f>
        <v/>
      </c>
      <c r="S194">
        <f>IF(MAX(O194:Q194)=O194, "Murah", IF(MAX(O194:Q194)=P194, "Sedang", "Mahal"))</f>
        <v/>
      </c>
    </row>
    <row r="195">
      <c r="A195" s="6" t="inlineStr">
        <is>
          <t>AUGUSTINA HOME</t>
        </is>
      </c>
      <c r="B195" s="6" t="n">
        <v>0.1091168083272595</v>
      </c>
      <c r="C195" s="6" t="n">
        <v>0.5046781632101837</v>
      </c>
      <c r="D195" s="6" t="n">
        <v>0.4416212544426876</v>
      </c>
      <c r="K195" s="6">
        <f>ABS(B195 - $G$2)</f>
        <v/>
      </c>
      <c r="L195" s="6">
        <f>ABS(B195 - $H$2)</f>
        <v/>
      </c>
      <c r="M195" s="6">
        <f>ABS(B195 - $I$2)</f>
        <v/>
      </c>
      <c r="O195">
        <f>(1/K195^2) / ((1/K195^2) + (1/L195^2) + (1/M195^2))</f>
        <v/>
      </c>
      <c r="P195">
        <f>(1/L195^2) / ((1/K195^2) + (1/L195^2) + (1/M195^2))</f>
        <v/>
      </c>
      <c r="Q195">
        <f>(1/M195^2) / ((1/K195^2) + (1/L195^2) + (1/M195^2))</f>
        <v/>
      </c>
      <c r="S195">
        <f>IF(MAX(O195:Q195)=O195, "Murah", IF(MAX(O195:Q195)=P195, "Sedang", "Mahal"))</f>
        <v/>
      </c>
    </row>
    <row r="196">
      <c r="A196" s="6" t="inlineStr">
        <is>
          <t>Nat Nat Homestay</t>
        </is>
      </c>
      <c r="B196" s="6" t="n">
        <v>0.07245142570509286</v>
      </c>
      <c r="C196" s="6" t="n">
        <v>0.5232930276535468</v>
      </c>
      <c r="D196" s="6" t="n">
        <v>0.4420358326542823</v>
      </c>
      <c r="K196" s="6">
        <f>ABS(B196 - $G$2)</f>
        <v/>
      </c>
      <c r="L196" s="6">
        <f>ABS(B196 - $H$2)</f>
        <v/>
      </c>
      <c r="M196" s="6">
        <f>ABS(B196 - $I$2)</f>
        <v/>
      </c>
      <c r="O196">
        <f>(1/K196^2) / ((1/K196^2) + (1/L196^2) + (1/M196^2))</f>
        <v/>
      </c>
      <c r="P196">
        <f>(1/L196^2) / ((1/K196^2) + (1/L196^2) + (1/M196^2))</f>
        <v/>
      </c>
      <c r="Q196">
        <f>(1/M196^2) / ((1/K196^2) + (1/L196^2) + (1/M196^2))</f>
        <v/>
      </c>
      <c r="S196">
        <f>IF(MAX(O196:Q196)=O196, "Murah", IF(MAX(O196:Q196)=P196, "Sedang", "Mahal"))</f>
        <v/>
      </c>
    </row>
    <row r="197">
      <c r="A197" s="6" t="inlineStr">
        <is>
          <t>nDalem Kilen Homestay</t>
        </is>
      </c>
      <c r="B197" s="6" t="n">
        <v>0.04149440609246783</v>
      </c>
      <c r="C197" s="6" t="n">
        <v>0.5541776383562499</v>
      </c>
      <c r="D197" s="6" t="n">
        <v>0.4162692664732753</v>
      </c>
      <c r="K197" s="6">
        <f>ABS(B197 - $G$2)</f>
        <v/>
      </c>
      <c r="L197" s="6">
        <f>ABS(B197 - $H$2)</f>
        <v/>
      </c>
      <c r="M197" s="6">
        <f>ABS(B197 - $I$2)</f>
        <v/>
      </c>
      <c r="O197">
        <f>(1/K197^2) / ((1/K197^2) + (1/L197^2) + (1/M197^2))</f>
        <v/>
      </c>
      <c r="P197">
        <f>(1/L197^2) / ((1/K197^2) + (1/L197^2) + (1/M197^2))</f>
        <v/>
      </c>
      <c r="Q197">
        <f>(1/M197^2) / ((1/K197^2) + (1/L197^2) + (1/M197^2))</f>
        <v/>
      </c>
      <c r="S197">
        <f>IF(MAX(O197:Q197)=O197, "Murah", IF(MAX(O197:Q197)=P197, "Sedang", "Mahal"))</f>
        <v/>
      </c>
    </row>
    <row r="198">
      <c r="A198" s="6" t="inlineStr">
        <is>
          <t>Jakarta 32 Homestay Syariah</t>
        </is>
      </c>
      <c r="B198" s="6" t="n">
        <v>0.1147910841123049</v>
      </c>
      <c r="C198" s="6" t="n">
        <v>0.5245625908125429</v>
      </c>
      <c r="D198" s="6" t="n">
        <v>0.4268500033894903</v>
      </c>
      <c r="K198" s="6">
        <f>ABS(B198 - $G$2)</f>
        <v/>
      </c>
      <c r="L198" s="6">
        <f>ABS(B198 - $H$2)</f>
        <v/>
      </c>
      <c r="M198" s="6">
        <f>ABS(B198 - $I$2)</f>
        <v/>
      </c>
      <c r="O198">
        <f>(1/K198^2) / ((1/K198^2) + (1/L198^2) + (1/M198^2))</f>
        <v/>
      </c>
      <c r="P198">
        <f>(1/L198^2) / ((1/K198^2) + (1/L198^2) + (1/M198^2))</f>
        <v/>
      </c>
      <c r="Q198">
        <f>(1/M198^2) / ((1/K198^2) + (1/L198^2) + (1/M198^2))</f>
        <v/>
      </c>
      <c r="S198">
        <f>IF(MAX(O198:Q198)=O198, "Murah", IF(MAX(O198:Q198)=P198, "Sedang", "Mahal"))</f>
        <v/>
      </c>
    </row>
    <row r="199">
      <c r="A199" s="6" t="inlineStr">
        <is>
          <t>Hotel Aloha Malang</t>
        </is>
      </c>
      <c r="B199" s="6" t="n">
        <v>0</v>
      </c>
      <c r="C199" s="6" t="n">
        <v>0.472049884221908</v>
      </c>
      <c r="D199" s="6" t="n">
        <v>0.4874153146759388</v>
      </c>
      <c r="K199" s="6">
        <f>ABS(B199 - $G$2)</f>
        <v/>
      </c>
      <c r="L199" s="6">
        <f>ABS(B199 - $H$2)</f>
        <v/>
      </c>
      <c r="M199" s="6">
        <f>ABS(B199 - $I$2)</f>
        <v/>
      </c>
      <c r="O199">
        <f>(1/K199^2) / ((1/K199^2) + (1/L199^2) + (1/M199^2))</f>
        <v/>
      </c>
      <c r="P199">
        <f>(1/L199^2) / ((1/K199^2) + (1/L199^2) + (1/M199^2))</f>
        <v/>
      </c>
      <c r="Q199">
        <f>(1/M199^2) / ((1/K199^2) + (1/L199^2) + (1/M199^2))</f>
        <v/>
      </c>
      <c r="S199">
        <f>IF(MAX(O199:Q199)=O199, "Murah", IF(MAX(O199:Q199)=P199, "Sedang", "Mahal"))</f>
        <v/>
      </c>
    </row>
    <row r="200">
      <c r="A200" s="6" t="inlineStr">
        <is>
          <t>Hotel Tidar</t>
        </is>
      </c>
      <c r="B200" s="6" t="n">
        <v>0.1116545051948376</v>
      </c>
      <c r="C200" s="6" t="n">
        <v>0.5307458523388464</v>
      </c>
      <c r="D200" s="6" t="n">
        <v>0.311775727483328</v>
      </c>
      <c r="K200" s="6">
        <f>ABS(B200 - $G$2)</f>
        <v/>
      </c>
      <c r="L200" s="6">
        <f>ABS(B200 - $H$2)</f>
        <v/>
      </c>
      <c r="M200" s="6">
        <f>ABS(B200 - $I$2)</f>
        <v/>
      </c>
      <c r="O200">
        <f>(1/K200^2) / ((1/K200^2) + (1/L200^2) + (1/M200^2))</f>
        <v/>
      </c>
      <c r="P200">
        <f>(1/L200^2) / ((1/K200^2) + (1/L200^2) + (1/M200^2))</f>
        <v/>
      </c>
      <c r="Q200">
        <f>(1/M200^2) / ((1/K200^2) + (1/L200^2) + (1/M200^2))</f>
        <v/>
      </c>
      <c r="S200">
        <f>IF(MAX(O200:Q200)=O200, "Murah", IF(MAX(O200:Q200)=P200, "Sedang", "Mahal"))</f>
        <v/>
      </c>
    </row>
    <row r="201">
      <c r="A201" s="6" t="inlineStr">
        <is>
          <t>Airy Lowokwaru Sutoyo 22 Malang</t>
        </is>
      </c>
      <c r="B201" s="6" t="n">
        <v>0.04442590739914477</v>
      </c>
      <c r="C201" s="6" t="n">
        <v>0.5240500447297608</v>
      </c>
      <c r="D201" s="6" t="n">
        <v>0.4907194891879831</v>
      </c>
      <c r="K201" s="6">
        <f>ABS(B201 - $G$2)</f>
        <v/>
      </c>
      <c r="L201" s="6">
        <f>ABS(B201 - $H$2)</f>
        <v/>
      </c>
      <c r="M201" s="6">
        <f>ABS(B201 - $I$2)</f>
        <v/>
      </c>
      <c r="O201">
        <f>(1/K201^2) / ((1/K201^2) + (1/L201^2) + (1/M201^2))</f>
        <v/>
      </c>
      <c r="P201">
        <f>(1/L201^2) / ((1/K201^2) + (1/L201^2) + (1/M201^2))</f>
        <v/>
      </c>
      <c r="Q201">
        <f>(1/M201^2) / ((1/K201^2) + (1/L201^2) + (1/M201^2))</f>
        <v/>
      </c>
      <c r="S201">
        <f>IF(MAX(O201:Q201)=O201, "Murah", IF(MAX(O201:Q201)=P201, "Sedang", "Mahal"))</f>
        <v/>
      </c>
    </row>
    <row r="202">
      <c r="A202" s="6" t="inlineStr">
        <is>
          <t>Morse Hotel</t>
        </is>
      </c>
      <c r="B202" s="6" t="n">
        <v>0.08414168091586552</v>
      </c>
      <c r="C202" s="6" t="n">
        <v>0.4713431101498615</v>
      </c>
      <c r="D202" s="6" t="n">
        <v>0.4933333148871351</v>
      </c>
      <c r="K202" s="6">
        <f>ABS(B202 - $G$2)</f>
        <v/>
      </c>
      <c r="L202" s="6">
        <f>ABS(B202 - $H$2)</f>
        <v/>
      </c>
      <c r="M202" s="6">
        <f>ABS(B202 - $I$2)</f>
        <v/>
      </c>
      <c r="O202">
        <f>(1/K202^2) / ((1/K202^2) + (1/L202^2) + (1/M202^2))</f>
        <v/>
      </c>
      <c r="P202">
        <f>(1/L202^2) / ((1/K202^2) + (1/L202^2) + (1/M202^2))</f>
        <v/>
      </c>
      <c r="Q202">
        <f>(1/M202^2) / ((1/K202^2) + (1/L202^2) + (1/M202^2))</f>
        <v/>
      </c>
      <c r="S202">
        <f>IF(MAX(O202:Q202)=O202, "Murah", IF(MAX(O202:Q202)=P202, "Sedang", "Mahal"))</f>
        <v/>
      </c>
    </row>
    <row r="203">
      <c r="A203" s="6" t="inlineStr">
        <is>
          <t>RedDoorz near Gajayana Stadium Malang</t>
        </is>
      </c>
      <c r="B203" s="6" t="n">
        <v>0.05923999345968701</v>
      </c>
      <c r="C203" s="6" t="n">
        <v>0.501325369985772</v>
      </c>
      <c r="D203" s="6" t="n">
        <v>0.4513207244373592</v>
      </c>
      <c r="K203" s="6">
        <f>ABS(B203 - $G$2)</f>
        <v/>
      </c>
      <c r="L203" s="6">
        <f>ABS(B203 - $H$2)</f>
        <v/>
      </c>
      <c r="M203" s="6">
        <f>ABS(B203 - $I$2)</f>
        <v/>
      </c>
      <c r="O203">
        <f>(1/K203^2) / ((1/K203^2) + (1/L203^2) + (1/M203^2))</f>
        <v/>
      </c>
      <c r="P203">
        <f>(1/L203^2) / ((1/K203^2) + (1/L203^2) + (1/M203^2))</f>
        <v/>
      </c>
      <c r="Q203">
        <f>(1/M203^2) / ((1/K203^2) + (1/L203^2) + (1/M203^2))</f>
        <v/>
      </c>
      <c r="S203">
        <f>IF(MAX(O203:Q203)=O203, "Murah", IF(MAX(O203:Q203)=P203, "Sedang", "Mahal"))</f>
        <v/>
      </c>
    </row>
    <row r="204">
      <c r="A204" s="6" t="inlineStr">
        <is>
          <t>Armyn Luxury Guest House</t>
        </is>
      </c>
      <c r="B204" s="6" t="n">
        <v>0.0453833981360108</v>
      </c>
      <c r="C204" s="6" t="n">
        <v>0.4916851200116533</v>
      </c>
      <c r="D204" s="6" t="n">
        <v>0.4069889862387034</v>
      </c>
      <c r="K204" s="6">
        <f>ABS(B204 - $G$2)</f>
        <v/>
      </c>
      <c r="L204" s="6">
        <f>ABS(B204 - $H$2)</f>
        <v/>
      </c>
      <c r="M204" s="6">
        <f>ABS(B204 - $I$2)</f>
        <v/>
      </c>
      <c r="O204">
        <f>(1/K204^2) / ((1/K204^2) + (1/L204^2) + (1/M204^2))</f>
        <v/>
      </c>
      <c r="P204">
        <f>(1/L204^2) / ((1/K204^2) + (1/L204^2) + (1/M204^2))</f>
        <v/>
      </c>
      <c r="Q204">
        <f>(1/M204^2) / ((1/K204^2) + (1/L204^2) + (1/M204^2))</f>
        <v/>
      </c>
      <c r="S204">
        <f>IF(MAX(O204:Q204)=O204, "Murah", IF(MAX(O204:Q204)=P204, "Sedang", "Mahal"))</f>
        <v/>
      </c>
    </row>
    <row r="205">
      <c r="A205" s="6" t="inlineStr">
        <is>
          <t>Airy Klojen Lamongan 12 Malang</t>
        </is>
      </c>
      <c r="B205" s="6" t="n">
        <v>0.1077084239785611</v>
      </c>
      <c r="C205" s="6" t="n">
        <v>0.4990020525447409</v>
      </c>
      <c r="D205" s="6" t="n">
        <v>0.4351720038423438</v>
      </c>
      <c r="K205" s="6">
        <f>ABS(B205 - $G$2)</f>
        <v/>
      </c>
      <c r="L205" s="6">
        <f>ABS(B205 - $H$2)</f>
        <v/>
      </c>
      <c r="M205" s="6">
        <f>ABS(B205 - $I$2)</f>
        <v/>
      </c>
      <c r="O205">
        <f>(1/K205^2) / ((1/K205^2) + (1/L205^2) + (1/M205^2))</f>
        <v/>
      </c>
      <c r="P205">
        <f>(1/L205^2) / ((1/K205^2) + (1/L205^2) + (1/M205^2))</f>
        <v/>
      </c>
      <c r="Q205">
        <f>(1/M205^2) / ((1/K205^2) + (1/L205^2) + (1/M205^2))</f>
        <v/>
      </c>
      <c r="S205">
        <f>IF(MAX(O205:Q205)=O205, "Murah", IF(MAX(O205:Q205)=P205, "Sedang", "Mahal"))</f>
        <v/>
      </c>
    </row>
    <row r="206">
      <c r="A206" s="6" t="inlineStr">
        <is>
          <t>ZEN Rooms Basic Lamongan Malang</t>
        </is>
      </c>
      <c r="B206" s="6" t="n">
        <v>0</v>
      </c>
      <c r="C206" s="6" t="n">
        <v>0.4989656347967535</v>
      </c>
      <c r="D206" s="6" t="n">
        <v>0.4351858384879239</v>
      </c>
      <c r="K206" s="6">
        <f>ABS(B206 - $G$2)</f>
        <v/>
      </c>
      <c r="L206" s="6">
        <f>ABS(B206 - $H$2)</f>
        <v/>
      </c>
      <c r="M206" s="6">
        <f>ABS(B206 - $I$2)</f>
        <v/>
      </c>
      <c r="O206">
        <f>(1/K206^2) / ((1/K206^2) + (1/L206^2) + (1/M206^2))</f>
        <v/>
      </c>
      <c r="P206">
        <f>(1/L206^2) / ((1/K206^2) + (1/L206^2) + (1/M206^2))</f>
        <v/>
      </c>
      <c r="Q206">
        <f>(1/M206^2) / ((1/K206^2) + (1/L206^2) + (1/M206^2))</f>
        <v/>
      </c>
      <c r="S206">
        <f>IF(MAX(O206:Q206)=O206, "Murah", IF(MAX(O206:Q206)=P206, "Sedang", "Mahal"))</f>
        <v/>
      </c>
    </row>
    <row r="207">
      <c r="A207" s="6" t="inlineStr">
        <is>
          <t>Airy Alun Alun Malang Zainul Arifin 55</t>
        </is>
      </c>
      <c r="B207" s="6" t="n">
        <v>0.002675154293188929</v>
      </c>
      <c r="C207" s="6" t="n">
        <v>0.4536228409417776</v>
      </c>
      <c r="D207" s="6" t="n">
        <v>0.4813312987181095</v>
      </c>
      <c r="K207" s="6">
        <f>ABS(B207 - $G$2)</f>
        <v/>
      </c>
      <c r="L207" s="6">
        <f>ABS(B207 - $H$2)</f>
        <v/>
      </c>
      <c r="M207" s="6">
        <f>ABS(B207 - $I$2)</f>
        <v/>
      </c>
      <c r="O207">
        <f>(1/K207^2) / ((1/K207^2) + (1/L207^2) + (1/M207^2))</f>
        <v/>
      </c>
      <c r="P207">
        <f>(1/L207^2) / ((1/K207^2) + (1/L207^2) + (1/M207^2))</f>
        <v/>
      </c>
      <c r="Q207">
        <f>(1/M207^2) / ((1/K207^2) + (1/L207^2) + (1/M207^2))</f>
        <v/>
      </c>
      <c r="S207">
        <f>IF(MAX(O207:Q207)=O207, "Murah", IF(MAX(O207:Q207)=P207, "Sedang", "Mahal"))</f>
        <v/>
      </c>
    </row>
    <row r="208">
      <c r="A208" s="6" t="inlineStr">
        <is>
          <t>Guesthouse Syariah Cakalang 5</t>
        </is>
      </c>
      <c r="B208" s="6" t="n">
        <v>0.01767020748865838</v>
      </c>
      <c r="C208" s="6" t="n">
        <v>0.6327118374878223</v>
      </c>
      <c r="D208" s="6" t="n">
        <v>0.5277110256129833</v>
      </c>
      <c r="K208" s="6">
        <f>ABS(B208 - $G$2)</f>
        <v/>
      </c>
      <c r="L208" s="6">
        <f>ABS(B208 - $H$2)</f>
        <v/>
      </c>
      <c r="M208" s="6">
        <f>ABS(B208 - $I$2)</f>
        <v/>
      </c>
      <c r="O208">
        <f>(1/K208^2) / ((1/K208^2) + (1/L208^2) + (1/M208^2))</f>
        <v/>
      </c>
      <c r="P208">
        <f>(1/L208^2) / ((1/K208^2) + (1/L208^2) + (1/M208^2))</f>
        <v/>
      </c>
      <c r="Q208">
        <f>(1/M208^2) / ((1/K208^2) + (1/L208^2) + (1/M208^2))</f>
        <v/>
      </c>
      <c r="S208">
        <f>IF(MAX(O208:Q208)=O208, "Murah", IF(MAX(O208:Q208)=P208, "Sedang", "Mahal"))</f>
        <v/>
      </c>
    </row>
    <row r="209">
      <c r="A209" s="6" t="inlineStr">
        <is>
          <t>mcb Homestay</t>
        </is>
      </c>
      <c r="B209" s="6" t="n">
        <v>0.0573674131676454</v>
      </c>
      <c r="C209" s="6" t="n">
        <v>0.4890367404496987</v>
      </c>
      <c r="D209" s="6" t="n">
        <v>0.3903514415009294</v>
      </c>
      <c r="K209" s="6">
        <f>ABS(B209 - $G$2)</f>
        <v/>
      </c>
      <c r="L209" s="6">
        <f>ABS(B209 - $H$2)</f>
        <v/>
      </c>
      <c r="M209" s="6">
        <f>ABS(B209 - $I$2)</f>
        <v/>
      </c>
      <c r="O209">
        <f>(1/K209^2) / ((1/K209^2) + (1/L209^2) + (1/M209^2))</f>
        <v/>
      </c>
      <c r="P209">
        <f>(1/L209^2) / ((1/K209^2) + (1/L209^2) + (1/M209^2))</f>
        <v/>
      </c>
      <c r="Q209">
        <f>(1/M209^2) / ((1/K209^2) + (1/L209^2) + (1/M209^2))</f>
        <v/>
      </c>
      <c r="S209">
        <f>IF(MAX(O209:Q209)=O209, "Murah", IF(MAX(O209:Q209)=P209, "Sedang", "Mahal"))</f>
        <v/>
      </c>
    </row>
    <row r="210">
      <c r="A210" s="6" t="inlineStr">
        <is>
          <t>Homestay Villa Tidar</t>
        </is>
      </c>
      <c r="B210" s="6" t="n">
        <v>0.2670889233148301</v>
      </c>
      <c r="C210" s="6" t="n">
        <v>0.5433723576479128</v>
      </c>
      <c r="D210" s="6" t="n">
        <v>0.2660199431027193</v>
      </c>
      <c r="K210" s="6">
        <f>ABS(B210 - $G$2)</f>
        <v/>
      </c>
      <c r="L210" s="6">
        <f>ABS(B210 - $H$2)</f>
        <v/>
      </c>
      <c r="M210" s="6">
        <f>ABS(B210 - $I$2)</f>
        <v/>
      </c>
      <c r="O210">
        <f>(1/K210^2) / ((1/K210^2) + (1/L210^2) + (1/M210^2))</f>
        <v/>
      </c>
      <c r="P210">
        <f>(1/L210^2) / ((1/K210^2) + (1/L210^2) + (1/M210^2))</f>
        <v/>
      </c>
      <c r="Q210">
        <f>(1/M210^2) / ((1/K210^2) + (1/L210^2) + (1/M210^2))</f>
        <v/>
      </c>
      <c r="S210">
        <f>IF(MAX(O210:Q210)=O210, "Murah", IF(MAX(O210:Q210)=P210, "Sedang", "Mahal"))</f>
        <v/>
      </c>
    </row>
    <row r="211">
      <c r="A211" s="6" t="inlineStr">
        <is>
          <t>Homestay Borobudur Tbs</t>
        </is>
      </c>
      <c r="B211" s="6" t="n">
        <v>0.01535089056338145</v>
      </c>
      <c r="C211" s="6" t="n">
        <v>0.6119709184050244</v>
      </c>
      <c r="D211" s="6" t="n">
        <v>0.486024471643365</v>
      </c>
      <c r="K211" s="6">
        <f>ABS(B211 - $G$2)</f>
        <v/>
      </c>
      <c r="L211" s="6">
        <f>ABS(B211 - $H$2)</f>
        <v/>
      </c>
      <c r="M211" s="6">
        <f>ABS(B211 - $I$2)</f>
        <v/>
      </c>
      <c r="O211">
        <f>(1/K211^2) / ((1/K211^2) + (1/L211^2) + (1/M211^2))</f>
        <v/>
      </c>
      <c r="P211">
        <f>(1/L211^2) / ((1/K211^2) + (1/L211^2) + (1/M211^2))</f>
        <v/>
      </c>
      <c r="Q211">
        <f>(1/M211^2) / ((1/K211^2) + (1/L211^2) + (1/M211^2))</f>
        <v/>
      </c>
      <c r="S211">
        <f>IF(MAX(O211:Q211)=O211, "Murah", IF(MAX(O211:Q211)=P211, "Sedang", "Mahal"))</f>
        <v/>
      </c>
    </row>
    <row r="212">
      <c r="A212" s="6" t="inlineStr">
        <is>
          <t>de' Clove</t>
        </is>
      </c>
      <c r="B212" s="6" t="n">
        <v>0</v>
      </c>
      <c r="C212" s="6" t="n">
        <v>0.5845874695296404</v>
      </c>
      <c r="D212" s="6" t="n">
        <v>0.4207323231275231</v>
      </c>
      <c r="K212" s="6">
        <f>ABS(B212 - $G$2)</f>
        <v/>
      </c>
      <c r="L212" s="6">
        <f>ABS(B212 - $H$2)</f>
        <v/>
      </c>
      <c r="M212" s="6">
        <f>ABS(B212 - $I$2)</f>
        <v/>
      </c>
      <c r="O212">
        <f>(1/K212^2) / ((1/K212^2) + (1/L212^2) + (1/M212^2))</f>
        <v/>
      </c>
      <c r="P212">
        <f>(1/L212^2) / ((1/K212^2) + (1/L212^2) + (1/M212^2))</f>
        <v/>
      </c>
      <c r="Q212">
        <f>(1/M212^2) / ((1/K212^2) + (1/L212^2) + (1/M212^2))</f>
        <v/>
      </c>
      <c r="S212">
        <f>IF(MAX(O212:Q212)=O212, "Murah", IF(MAX(O212:Q212)=P212, "Sedang", "Mahal"))</f>
        <v/>
      </c>
    </row>
    <row r="213">
      <c r="A213" s="6" t="inlineStr">
        <is>
          <t>Airy Klojen</t>
        </is>
      </c>
      <c r="B213" s="6" t="n">
        <v>0.2670889233148301</v>
      </c>
      <c r="C213" s="6" t="n">
        <v>0.4890367404496987</v>
      </c>
      <c r="D213" s="6" t="n">
        <v>0.3903514415009294</v>
      </c>
      <c r="K213" s="6">
        <f>ABS(B213 - $G$2)</f>
        <v/>
      </c>
      <c r="L213" s="6">
        <f>ABS(B213 - $H$2)</f>
        <v/>
      </c>
      <c r="M213" s="6">
        <f>ABS(B213 - $I$2)</f>
        <v/>
      </c>
      <c r="O213">
        <f>(1/K213^2) / ((1/K213^2) + (1/L213^2) + (1/M213^2))</f>
        <v/>
      </c>
      <c r="P213">
        <f>(1/L213^2) / ((1/K213^2) + (1/L213^2) + (1/M213^2))</f>
        <v/>
      </c>
      <c r="Q213">
        <f>(1/M213^2) / ((1/K213^2) + (1/L213^2) + (1/M213^2))</f>
        <v/>
      </c>
      <c r="S213">
        <f>IF(MAX(O213:Q213)=O213, "Murah", IF(MAX(O213:Q213)=P213, "Sedang", "Mahal"))</f>
        <v/>
      </c>
    </row>
    <row r="214">
      <c r="A214" s="6" t="inlineStr">
        <is>
          <t>ZEN Rooms near Stasiun Kota Baru</t>
        </is>
      </c>
      <c r="B214" s="6" t="n">
        <v>0</v>
      </c>
      <c r="C214" s="6" t="n">
        <v>0.470861923794514</v>
      </c>
      <c r="D214" s="6" t="n">
        <v>0.4952766214320181</v>
      </c>
      <c r="K214" s="6">
        <f>ABS(B214 - $G$2)</f>
        <v/>
      </c>
      <c r="L214" s="6">
        <f>ABS(B214 - $H$2)</f>
        <v/>
      </c>
      <c r="M214" s="6">
        <f>ABS(B214 - $I$2)</f>
        <v/>
      </c>
      <c r="O214">
        <f>(1/K214^2) / ((1/K214^2) + (1/L214^2) + (1/M214^2))</f>
        <v/>
      </c>
      <c r="P214">
        <f>(1/L214^2) / ((1/K214^2) + (1/L214^2) + (1/M214^2))</f>
        <v/>
      </c>
      <c r="Q214">
        <f>(1/M214^2) / ((1/K214^2) + (1/L214^2) + (1/M214^2))</f>
        <v/>
      </c>
      <c r="S214">
        <f>IF(MAX(O214:Q214)=O214, "Murah", IF(MAX(O214:Q214)=P214, "Sedang", "Mahal"))</f>
        <v/>
      </c>
    </row>
    <row r="215">
      <c r="A215" s="6" t="inlineStr">
        <is>
          <t>Airy Lowokwaru Candi Trowulan 12 Malang</t>
        </is>
      </c>
      <c r="B215" s="6" t="n">
        <v>0.04442590739914477</v>
      </c>
      <c r="C215" s="6" t="n">
        <v>0.6036575558228436</v>
      </c>
      <c r="D215" s="6" t="n">
        <v>0.4787769619948273</v>
      </c>
      <c r="K215" s="6">
        <f>ABS(B215 - $G$2)</f>
        <v/>
      </c>
      <c r="L215" s="6">
        <f>ABS(B215 - $H$2)</f>
        <v/>
      </c>
      <c r="M215" s="6">
        <f>ABS(B215 - $I$2)</f>
        <v/>
      </c>
      <c r="O215">
        <f>(1/K215^2) / ((1/K215^2) + (1/L215^2) + (1/M215^2))</f>
        <v/>
      </c>
      <c r="P215">
        <f>(1/L215^2) / ((1/K215^2) + (1/L215^2) + (1/M215^2))</f>
        <v/>
      </c>
      <c r="Q215">
        <f>(1/M215^2) / ((1/K215^2) + (1/L215^2) + (1/M215^2))</f>
        <v/>
      </c>
      <c r="S215">
        <f>IF(MAX(O215:Q215)=O215, "Murah", IF(MAX(O215:Q215)=P215, "Sedang", "Mahal"))</f>
        <v/>
      </c>
    </row>
    <row r="216">
      <c r="A216" s="6" t="inlineStr">
        <is>
          <t>Airy Tunjungtirto Losawi Perusahaan 57 Malang</t>
        </is>
      </c>
      <c r="B216" s="6" t="n">
        <v>0.03673272567543974</v>
      </c>
      <c r="C216" s="6" t="n">
        <v>0.7000415094886773</v>
      </c>
      <c r="D216" s="6" t="n">
        <v>0.4893300296200132</v>
      </c>
      <c r="K216" s="6">
        <f>ABS(B216 - $G$2)</f>
        <v/>
      </c>
      <c r="L216" s="6">
        <f>ABS(B216 - $H$2)</f>
        <v/>
      </c>
      <c r="M216" s="6">
        <f>ABS(B216 - $I$2)</f>
        <v/>
      </c>
      <c r="O216">
        <f>(1/K216^2) / ((1/K216^2) + (1/L216^2) + (1/M216^2))</f>
        <v/>
      </c>
      <c r="P216">
        <f>(1/L216^2) / ((1/K216^2) + (1/L216^2) + (1/M216^2))</f>
        <v/>
      </c>
      <c r="Q216">
        <f>(1/M216^2) / ((1/K216^2) + (1/L216^2) + (1/M216^2))</f>
        <v/>
      </c>
      <c r="S216">
        <f>IF(MAX(O216:Q216)=O216, "Murah", IF(MAX(O216:Q216)=P216, "Sedang", "Mahal"))</f>
        <v/>
      </c>
    </row>
    <row r="217">
      <c r="A217" s="6" t="inlineStr">
        <is>
          <t>RedDoorz Plus @ Riverside Malang</t>
        </is>
      </c>
      <c r="B217" s="6" t="n">
        <v>0.01489888842392314</v>
      </c>
      <c r="C217" s="6" t="n">
        <v>0.6437491127388931</v>
      </c>
      <c r="D217" s="6" t="n">
        <v>0.5525280739545229</v>
      </c>
      <c r="K217" s="6">
        <f>ABS(B217 - $G$2)</f>
        <v/>
      </c>
      <c r="L217" s="6">
        <f>ABS(B217 - $H$2)</f>
        <v/>
      </c>
      <c r="M217" s="6">
        <f>ABS(B217 - $I$2)</f>
        <v/>
      </c>
      <c r="O217">
        <f>(1/K217^2) / ((1/K217^2) + (1/L217^2) + (1/M217^2))</f>
        <v/>
      </c>
      <c r="P217">
        <f>(1/L217^2) / ((1/K217^2) + (1/L217^2) + (1/M217^2))</f>
        <v/>
      </c>
      <c r="Q217">
        <f>(1/M217^2) / ((1/K217^2) + (1/L217^2) + (1/M217^2))</f>
        <v/>
      </c>
      <c r="S217">
        <f>IF(MAX(O217:Q217)=O217, "Murah", IF(MAX(O217:Q217)=P217, "Sedang", "Mahal"))</f>
        <v/>
      </c>
    </row>
    <row r="218">
      <c r="A218" s="6" t="inlineStr">
        <is>
          <t>Emy's Guesthouse</t>
        </is>
      </c>
      <c r="B218" s="6" t="n">
        <v>0.06939687783194166</v>
      </c>
      <c r="C218" s="6" t="n">
        <v>0.609809794823081</v>
      </c>
      <c r="D218" s="6" t="n">
        <v>0.4947485991268371</v>
      </c>
      <c r="K218" s="6">
        <f>ABS(B218 - $G$2)</f>
        <v/>
      </c>
      <c r="L218" s="6">
        <f>ABS(B218 - $H$2)</f>
        <v/>
      </c>
      <c r="M218" s="6">
        <f>ABS(B218 - $I$2)</f>
        <v/>
      </c>
      <c r="O218">
        <f>(1/K218^2) / ((1/K218^2) + (1/L218^2) + (1/M218^2))</f>
        <v/>
      </c>
      <c r="P218">
        <f>(1/L218^2) / ((1/K218^2) + (1/L218^2) + (1/M218^2))</f>
        <v/>
      </c>
      <c r="Q218">
        <f>(1/M218^2) / ((1/K218^2) + (1/L218^2) + (1/M218^2))</f>
        <v/>
      </c>
      <c r="S218">
        <f>IF(MAX(O218:Q218)=O218, "Murah", IF(MAX(O218:Q218)=P218, "Sedang", "Mahal"))</f>
        <v/>
      </c>
    </row>
    <row r="219">
      <c r="A219" s="6" t="inlineStr">
        <is>
          <t>De'Vita Family Homestay</t>
        </is>
      </c>
      <c r="B219" s="6" t="n">
        <v>0</v>
      </c>
      <c r="C219" s="6" t="n">
        <v>0.5943450655806092</v>
      </c>
      <c r="D219" s="6" t="n">
        <v>0.2439808915875368</v>
      </c>
      <c r="K219" s="6">
        <f>ABS(B219 - $G$2)</f>
        <v/>
      </c>
      <c r="L219" s="6">
        <f>ABS(B219 - $H$2)</f>
        <v/>
      </c>
      <c r="M219" s="6">
        <f>ABS(B219 - $I$2)</f>
        <v/>
      </c>
      <c r="O219">
        <f>(1/K219^2) / ((1/K219^2) + (1/L219^2) + (1/M219^2))</f>
        <v/>
      </c>
      <c r="P219">
        <f>(1/L219^2) / ((1/K219^2) + (1/L219^2) + (1/M219^2))</f>
        <v/>
      </c>
      <c r="Q219">
        <f>(1/M219^2) / ((1/K219^2) + (1/L219^2) + (1/M219^2))</f>
        <v/>
      </c>
      <c r="S219">
        <f>IF(MAX(O219:Q219)=O219, "Murah", IF(MAX(O219:Q219)=P219, "Sedang", "Mahal"))</f>
        <v/>
      </c>
    </row>
    <row r="220">
      <c r="A220" s="6" t="inlineStr">
        <is>
          <t>RedDoorz Syariah @ Griya Shanta Malang</t>
        </is>
      </c>
      <c r="B220" s="6" t="n">
        <v>0.03818849958014516</v>
      </c>
      <c r="C220" s="6" t="n">
        <v>0.6171327969808321</v>
      </c>
      <c r="D220" s="6" t="n">
        <v>0.4213843960877728</v>
      </c>
      <c r="K220" s="6">
        <f>ABS(B220 - $G$2)</f>
        <v/>
      </c>
      <c r="L220" s="6">
        <f>ABS(B220 - $H$2)</f>
        <v/>
      </c>
      <c r="M220" s="6">
        <f>ABS(B220 - $I$2)</f>
        <v/>
      </c>
      <c r="O220">
        <f>(1/K220^2) / ((1/K220^2) + (1/L220^2) + (1/M220^2))</f>
        <v/>
      </c>
      <c r="P220">
        <f>(1/L220^2) / ((1/K220^2) + (1/L220^2) + (1/M220^2))</f>
        <v/>
      </c>
      <c r="Q220">
        <f>(1/M220^2) / ((1/K220^2) + (1/L220^2) + (1/M220^2))</f>
        <v/>
      </c>
      <c r="S220">
        <f>IF(MAX(O220:Q220)=O220, "Murah", IF(MAX(O220:Q220)=P220, "Sedang", "Mahal"))</f>
        <v/>
      </c>
    </row>
    <row r="221">
      <c r="A221" s="6" t="inlineStr">
        <is>
          <t>Vintage 58 Penginapan khusus wanita</t>
        </is>
      </c>
      <c r="B221" s="6" t="n">
        <v>0.01038440966746943</v>
      </c>
      <c r="C221" s="6" t="n">
        <v>0.5154477005732758</v>
      </c>
      <c r="D221" s="6" t="n">
        <v>0.4637018098944792</v>
      </c>
      <c r="K221" s="6">
        <f>ABS(B221 - $G$2)</f>
        <v/>
      </c>
      <c r="L221" s="6">
        <f>ABS(B221 - $H$2)</f>
        <v/>
      </c>
      <c r="M221" s="6">
        <f>ABS(B221 - $I$2)</f>
        <v/>
      </c>
      <c r="O221">
        <f>(1/K221^2) / ((1/K221^2) + (1/L221^2) + (1/M221^2))</f>
        <v/>
      </c>
      <c r="P221">
        <f>(1/L221^2) / ((1/K221^2) + (1/L221^2) + (1/M221^2))</f>
        <v/>
      </c>
      <c r="Q221">
        <f>(1/M221^2) / ((1/K221^2) + (1/L221^2) + (1/M221^2))</f>
        <v/>
      </c>
      <c r="S221">
        <f>IF(MAX(O221:Q221)=O221, "Murah", IF(MAX(O221:Q221)=P221, "Sedang", "Mahal"))</f>
        <v/>
      </c>
    </row>
    <row r="222">
      <c r="A222" s="6" t="inlineStr">
        <is>
          <t>Ador 46 Homestay Syariah &amp; Kost Harian Kota Malang</t>
        </is>
      </c>
      <c r="B222" s="6" t="n">
        <v>0.1978059466964491</v>
      </c>
      <c r="C222" s="6" t="n">
        <v>0.4663956916455332</v>
      </c>
      <c r="D222" s="6" t="n">
        <v>0.3210380226787048</v>
      </c>
      <c r="K222" s="6">
        <f>ABS(B222 - $G$2)</f>
        <v/>
      </c>
      <c r="L222" s="6">
        <f>ABS(B222 - $H$2)</f>
        <v/>
      </c>
      <c r="M222" s="6">
        <f>ABS(B222 - $I$2)</f>
        <v/>
      </c>
      <c r="O222">
        <f>(1/K222^2) / ((1/K222^2) + (1/L222^2) + (1/M222^2))</f>
        <v/>
      </c>
      <c r="P222">
        <f>(1/L222^2) / ((1/K222^2) + (1/L222^2) + (1/M222^2))</f>
        <v/>
      </c>
      <c r="Q222">
        <f>(1/M222^2) / ((1/K222^2) + (1/L222^2) + (1/M222^2))</f>
        <v/>
      </c>
      <c r="S222">
        <f>IF(MAX(O222:Q222)=O222, "Murah", IF(MAX(O222:Q222)=P222, "Sedang", "Mahal"))</f>
        <v/>
      </c>
    </row>
    <row r="223">
      <c r="A223" s="6" t="inlineStr">
        <is>
          <t>Griya Backpacker Pak yon</t>
        </is>
      </c>
      <c r="B223" s="6" t="n">
        <v>0</v>
      </c>
      <c r="C223" s="6" t="n">
        <v>0.5238625607679024</v>
      </c>
      <c r="D223" s="6" t="n">
        <v>0.5013684770222533</v>
      </c>
      <c r="K223" s="6">
        <f>ABS(B223 - $G$2)</f>
        <v/>
      </c>
      <c r="L223" s="6">
        <f>ABS(B223 - $H$2)</f>
        <v/>
      </c>
      <c r="M223" s="6">
        <f>ABS(B223 - $I$2)</f>
        <v/>
      </c>
      <c r="O223">
        <f>(1/K223^2) / ((1/K223^2) + (1/L223^2) + (1/M223^2))</f>
        <v/>
      </c>
      <c r="P223">
        <f>(1/L223^2) / ((1/K223^2) + (1/L223^2) + (1/M223^2))</f>
        <v/>
      </c>
      <c r="Q223">
        <f>(1/M223^2) / ((1/K223^2) + (1/L223^2) + (1/M223^2))</f>
        <v/>
      </c>
      <c r="S223">
        <f>IF(MAX(O223:Q223)=O223, "Murah", IF(MAX(O223:Q223)=P223, "Sedang", "Mahal"))</f>
        <v/>
      </c>
    </row>
    <row r="224">
      <c r="A224" s="6" t="inlineStr">
        <is>
          <t>SO! Boutique Hostel</t>
        </is>
      </c>
      <c r="B224" s="6" t="n">
        <v>0.06775764260515077</v>
      </c>
      <c r="C224" s="6" t="n">
        <v>0.4686805681303556</v>
      </c>
      <c r="D224" s="6" t="n">
        <v>0.468068024029863</v>
      </c>
      <c r="K224" s="6">
        <f>ABS(B224 - $G$2)</f>
        <v/>
      </c>
      <c r="L224" s="6">
        <f>ABS(B224 - $H$2)</f>
        <v/>
      </c>
      <c r="M224" s="6">
        <f>ABS(B224 - $I$2)</f>
        <v/>
      </c>
      <c r="O224">
        <f>(1/K224^2) / ((1/K224^2) + (1/L224^2) + (1/M224^2))</f>
        <v/>
      </c>
      <c r="P224">
        <f>(1/L224^2) / ((1/K224^2) + (1/L224^2) + (1/M224^2))</f>
        <v/>
      </c>
      <c r="Q224">
        <f>(1/M224^2) / ((1/K224^2) + (1/L224^2) + (1/M224^2))</f>
        <v/>
      </c>
      <c r="S224">
        <f>IF(MAX(O224:Q224)=O224, "Murah", IF(MAX(O224:Q224)=P224, "Sedang", "Mahal"))</f>
        <v/>
      </c>
    </row>
    <row r="225">
      <c r="A225" s="6" t="inlineStr">
        <is>
          <t>Hotel Setia Budi</t>
        </is>
      </c>
      <c r="B225" s="6" t="n">
        <v>0.03182471961179362</v>
      </c>
      <c r="C225" s="6" t="n">
        <v>0.4905379609500574</v>
      </c>
      <c r="D225" s="6" t="n">
        <v>0.4965092883504301</v>
      </c>
      <c r="K225" s="6">
        <f>ABS(B225 - $G$2)</f>
        <v/>
      </c>
      <c r="L225" s="6">
        <f>ABS(B225 - $H$2)</f>
        <v/>
      </c>
      <c r="M225" s="6">
        <f>ABS(B225 - $I$2)</f>
        <v/>
      </c>
      <c r="O225">
        <f>(1/K225^2) / ((1/K225^2) + (1/L225^2) + (1/M225^2))</f>
        <v/>
      </c>
      <c r="P225">
        <f>(1/L225^2) / ((1/K225^2) + (1/L225^2) + (1/M225^2))</f>
        <v/>
      </c>
      <c r="Q225">
        <f>(1/M225^2) / ((1/K225^2) + (1/L225^2) + (1/M225^2))</f>
        <v/>
      </c>
      <c r="S225">
        <f>IF(MAX(O225:Q225)=O225, "Murah", IF(MAX(O225:Q225)=P225, "Sedang", "Mahal"))</f>
        <v/>
      </c>
    </row>
    <row r="226">
      <c r="A226" s="6" t="inlineStr">
        <is>
          <t>Yutaka Inn Suhat Malang</t>
        </is>
      </c>
      <c r="B226" s="6" t="n">
        <v>0.02875548374759935</v>
      </c>
      <c r="C226" s="6" t="n">
        <v>0.6238771615872324</v>
      </c>
      <c r="D226" s="6" t="n">
        <v>0.4114151505047813</v>
      </c>
      <c r="K226" s="6">
        <f>ABS(B226 - $G$2)</f>
        <v/>
      </c>
      <c r="L226" s="6">
        <f>ABS(B226 - $H$2)</f>
        <v/>
      </c>
      <c r="M226" s="6">
        <f>ABS(B226 - $I$2)</f>
        <v/>
      </c>
      <c r="O226">
        <f>(1/K226^2) / ((1/K226^2) + (1/L226^2) + (1/M226^2))</f>
        <v/>
      </c>
      <c r="P226">
        <f>(1/L226^2) / ((1/K226^2) + (1/L226^2) + (1/M226^2))</f>
        <v/>
      </c>
      <c r="Q226">
        <f>(1/M226^2) / ((1/K226^2) + (1/L226^2) + (1/M226^2))</f>
        <v/>
      </c>
      <c r="S226">
        <f>IF(MAX(O226:Q226)=O226, "Murah", IF(MAX(O226:Q226)=P226, "Sedang", "Mahal"))</f>
        <v/>
      </c>
    </row>
    <row r="227">
      <c r="A227" s="6" t="inlineStr">
        <is>
          <t>KOS Harian/blnan Murah-Linns house</t>
        </is>
      </c>
      <c r="B227" s="6" t="n">
        <v>0.04644730752496266</v>
      </c>
      <c r="C227" s="6" t="n">
        <v>0.6186886441031749</v>
      </c>
      <c r="D227" s="6" t="n">
        <v>0.4867987506392552</v>
      </c>
      <c r="K227" s="6">
        <f>ABS(B227 - $G$2)</f>
        <v/>
      </c>
      <c r="L227" s="6">
        <f>ABS(B227 - $H$2)</f>
        <v/>
      </c>
      <c r="M227" s="6">
        <f>ABS(B227 - $I$2)</f>
        <v/>
      </c>
      <c r="O227">
        <f>(1/K227^2) / ((1/K227^2) + (1/L227^2) + (1/M227^2))</f>
        <v/>
      </c>
      <c r="P227">
        <f>(1/L227^2) / ((1/K227^2) + (1/L227^2) + (1/M227^2))</f>
        <v/>
      </c>
      <c r="Q227">
        <f>(1/M227^2) / ((1/K227^2) + (1/L227^2) + (1/M227^2))</f>
        <v/>
      </c>
      <c r="S227">
        <f>IF(MAX(O227:Q227)=O227, "Murah", IF(MAX(O227:Q227)=P227, "Sedang", "Mahal"))</f>
        <v/>
      </c>
    </row>
    <row r="228">
      <c r="A228" s="6" t="inlineStr">
        <is>
          <t>YUTAKA INN Araya Malang</t>
        </is>
      </c>
      <c r="B228" s="6" t="n">
        <v>0.0267263239284002</v>
      </c>
      <c r="C228" s="6" t="n">
        <v>0.6161684010619128</v>
      </c>
      <c r="D228" s="6" t="n">
        <v>0.552454750333073</v>
      </c>
      <c r="K228" s="6">
        <f>ABS(B228 - $G$2)</f>
        <v/>
      </c>
      <c r="L228" s="6">
        <f>ABS(B228 - $H$2)</f>
        <v/>
      </c>
      <c r="M228" s="6">
        <f>ABS(B228 - $I$2)</f>
        <v/>
      </c>
      <c r="O228">
        <f>(1/K228^2) / ((1/K228^2) + (1/L228^2) + (1/M228^2))</f>
        <v/>
      </c>
      <c r="P228">
        <f>(1/L228^2) / ((1/K228^2) + (1/L228^2) + (1/M228^2))</f>
        <v/>
      </c>
      <c r="Q228">
        <f>(1/M228^2) / ((1/K228^2) + (1/L228^2) + (1/M228^2))</f>
        <v/>
      </c>
      <c r="S228">
        <f>IF(MAX(O228:Q228)=O228, "Murah", IF(MAX(O228:Q228)=P228, "Sedang", "Mahal"))</f>
        <v/>
      </c>
    </row>
    <row r="229">
      <c r="A229" s="6" t="inlineStr">
        <is>
          <t>MADOR Malang Dorm Hostel</t>
        </is>
      </c>
      <c r="B229" s="6" t="n">
        <v>0.04568879749694462</v>
      </c>
      <c r="C229" s="6" t="n">
        <v>0.4400801595097354</v>
      </c>
      <c r="D229" s="6" t="n">
        <v>0.4862859464442582</v>
      </c>
      <c r="K229" s="6">
        <f>ABS(B229 - $G$2)</f>
        <v/>
      </c>
      <c r="L229" s="6">
        <f>ABS(B229 - $H$2)</f>
        <v/>
      </c>
      <c r="M229" s="6">
        <f>ABS(B229 - $I$2)</f>
        <v/>
      </c>
      <c r="O229">
        <f>(1/K229^2) / ((1/K229^2) + (1/L229^2) + (1/M229^2))</f>
        <v/>
      </c>
      <c r="P229">
        <f>(1/L229^2) / ((1/K229^2) + (1/L229^2) + (1/M229^2))</f>
        <v/>
      </c>
      <c r="Q229">
        <f>(1/M229^2) / ((1/K229^2) + (1/L229^2) + (1/M229^2))</f>
        <v/>
      </c>
      <c r="S229">
        <f>IF(MAX(O229:Q229)=O229, "Murah", IF(MAX(O229:Q229)=P229, "Sedang", "Mahal"))</f>
        <v/>
      </c>
    </row>
    <row r="230">
      <c r="A230" s="6" t="inlineStr">
        <is>
          <t>Novon Family Hotel By Tripletree</t>
        </is>
      </c>
      <c r="B230" s="6" t="n">
        <v>0.07337233503030438</v>
      </c>
      <c r="C230" s="6" t="n">
        <v>0.6335059467147662</v>
      </c>
      <c r="D230" s="6" t="n">
        <v>0.5659748882737077</v>
      </c>
      <c r="K230" s="6">
        <f>ABS(B230 - $G$2)</f>
        <v/>
      </c>
      <c r="L230" s="6">
        <f>ABS(B230 - $H$2)</f>
        <v/>
      </c>
      <c r="M230" s="6">
        <f>ABS(B230 - $I$2)</f>
        <v/>
      </c>
      <c r="O230">
        <f>(1/K230^2) / ((1/K230^2) + (1/L230^2) + (1/M230^2))</f>
        <v/>
      </c>
      <c r="P230">
        <f>(1/L230^2) / ((1/K230^2) + (1/L230^2) + (1/M230^2))</f>
        <v/>
      </c>
      <c r="Q230">
        <f>(1/M230^2) / ((1/K230^2) + (1/L230^2) + (1/M230^2))</f>
        <v/>
      </c>
      <c r="S230">
        <f>IF(MAX(O230:Q230)=O230, "Murah", IF(MAX(O230:Q230)=P230, "Sedang", "Mahal"))</f>
        <v/>
      </c>
    </row>
    <row r="231">
      <c r="A231" s="6" t="inlineStr">
        <is>
          <t>Terima Kasih Malang by Zzz (TKM)</t>
        </is>
      </c>
      <c r="B231" s="6" t="n">
        <v>0.06355660003491861</v>
      </c>
      <c r="C231" s="6" t="n">
        <v>0.5151725442551517</v>
      </c>
      <c r="D231" s="6" t="n">
        <v>0.5517427272421294</v>
      </c>
      <c r="K231" s="6">
        <f>ABS(B231 - $G$2)</f>
        <v/>
      </c>
      <c r="L231" s="6">
        <f>ABS(B231 - $H$2)</f>
        <v/>
      </c>
      <c r="M231" s="6">
        <f>ABS(B231 - $I$2)</f>
        <v/>
      </c>
      <c r="O231">
        <f>(1/K231^2) / ((1/K231^2) + (1/L231^2) + (1/M231^2))</f>
        <v/>
      </c>
      <c r="P231">
        <f>(1/L231^2) / ((1/K231^2) + (1/L231^2) + (1/M231^2))</f>
        <v/>
      </c>
      <c r="Q231">
        <f>(1/M231^2) / ((1/K231^2) + (1/L231^2) + (1/M231^2))</f>
        <v/>
      </c>
      <c r="S231">
        <f>IF(MAX(O231:Q231)=O231, "Murah", IF(MAX(O231:Q231)=P231, "Sedang", "Mahal"))</f>
        <v/>
      </c>
    </row>
    <row r="232">
      <c r="A232" s="6" t="inlineStr">
        <is>
          <t>Simple Stay</t>
        </is>
      </c>
      <c r="B232" s="6" t="n">
        <v>0.09568755040336549</v>
      </c>
      <c r="C232" s="6" t="n">
        <v>0.5797236769651323</v>
      </c>
      <c r="D232" s="6" t="n">
        <v>0.4749784294818054</v>
      </c>
      <c r="K232" s="6">
        <f>ABS(B232 - $G$2)</f>
        <v/>
      </c>
      <c r="L232" s="6">
        <f>ABS(B232 - $H$2)</f>
        <v/>
      </c>
      <c r="M232" s="6">
        <f>ABS(B232 - $I$2)</f>
        <v/>
      </c>
      <c r="O232">
        <f>(1/K232^2) / ((1/K232^2) + (1/L232^2) + (1/M232^2))</f>
        <v/>
      </c>
      <c r="P232">
        <f>(1/L232^2) / ((1/K232^2) + (1/L232^2) + (1/M232^2))</f>
        <v/>
      </c>
      <c r="Q232">
        <f>(1/M232^2) / ((1/K232^2) + (1/L232^2) + (1/M232^2))</f>
        <v/>
      </c>
      <c r="S232">
        <f>IF(MAX(O232:Q232)=O232, "Murah", IF(MAX(O232:Q232)=P232, "Sedang", "Mahal"))</f>
        <v/>
      </c>
    </row>
    <row r="233">
      <c r="A233" s="6" t="inlineStr">
        <is>
          <t>Mahveen Family Guest House Syariah</t>
        </is>
      </c>
      <c r="B233" s="6" t="n">
        <v>0</v>
      </c>
      <c r="C233" s="6" t="n">
        <v>0.6237115957144388</v>
      </c>
      <c r="D233" s="6" t="n">
        <v>0.412188507191023</v>
      </c>
      <c r="K233" s="6">
        <f>ABS(B233 - $G$2)</f>
        <v/>
      </c>
      <c r="L233" s="6">
        <f>ABS(B233 - $H$2)</f>
        <v/>
      </c>
      <c r="M233" s="6">
        <f>ABS(B233 - $I$2)</f>
        <v/>
      </c>
      <c r="O233">
        <f>(1/K233^2) / ((1/K233^2) + (1/L233^2) + (1/M233^2))</f>
        <v/>
      </c>
      <c r="P233">
        <f>(1/L233^2) / ((1/K233^2) + (1/L233^2) + (1/M233^2))</f>
        <v/>
      </c>
      <c r="Q233">
        <f>(1/M233^2) / ((1/K233^2) + (1/L233^2) + (1/M233^2))</f>
        <v/>
      </c>
      <c r="S233">
        <f>IF(MAX(O233:Q233)=O233, "Murah", IF(MAX(O233:Q233)=P233, "Sedang", "Mahal"))</f>
        <v/>
      </c>
    </row>
    <row r="234">
      <c r="A234" s="6" t="inlineStr">
        <is>
          <t>RedDoorz @ Simpang Borobudur</t>
        </is>
      </c>
      <c r="B234" s="6" t="n">
        <v>0.1247354083122944</v>
      </c>
      <c r="C234" s="6" t="n">
        <v>0.6133153402682167</v>
      </c>
      <c r="D234" s="6" t="n">
        <v>0.5038656305439837</v>
      </c>
      <c r="K234" s="6">
        <f>ABS(B234 - $G$2)</f>
        <v/>
      </c>
      <c r="L234" s="6">
        <f>ABS(B234 - $H$2)</f>
        <v/>
      </c>
      <c r="M234" s="6">
        <f>ABS(B234 - $I$2)</f>
        <v/>
      </c>
      <c r="O234">
        <f>(1/K234^2) / ((1/K234^2) + (1/L234^2) + (1/M234^2))</f>
        <v/>
      </c>
      <c r="P234">
        <f>(1/L234^2) / ((1/K234^2) + (1/L234^2) + (1/M234^2))</f>
        <v/>
      </c>
      <c r="Q234">
        <f>(1/M234^2) / ((1/K234^2) + (1/L234^2) + (1/M234^2))</f>
        <v/>
      </c>
      <c r="S234">
        <f>IF(MAX(O234:Q234)=O234, "Murah", IF(MAX(O234:Q234)=P234, "Sedang", "Mahal"))</f>
        <v/>
      </c>
    </row>
    <row r="235">
      <c r="A235" s="6" t="inlineStr">
        <is>
          <t>Smart Tlogomas Syariah</t>
        </is>
      </c>
      <c r="B235" s="6" t="n">
        <v>0.0920939809721233</v>
      </c>
      <c r="C235" s="6" t="n">
        <v>0.6215946455120024</v>
      </c>
      <c r="D235" s="6" t="n">
        <v>0.3383926632107517</v>
      </c>
      <c r="K235" s="6">
        <f>ABS(B235 - $G$2)</f>
        <v/>
      </c>
      <c r="L235" s="6">
        <f>ABS(B235 - $H$2)</f>
        <v/>
      </c>
      <c r="M235" s="6">
        <f>ABS(B235 - $I$2)</f>
        <v/>
      </c>
      <c r="O235">
        <f>(1/K235^2) / ((1/K235^2) + (1/L235^2) + (1/M235^2))</f>
        <v/>
      </c>
      <c r="P235">
        <f>(1/L235^2) / ((1/K235^2) + (1/L235^2) + (1/M235^2))</f>
        <v/>
      </c>
      <c r="Q235">
        <f>(1/M235^2) / ((1/K235^2) + (1/L235^2) + (1/M235^2))</f>
        <v/>
      </c>
      <c r="S235">
        <f>IF(MAX(O235:Q235)=O235, "Murah", IF(MAX(O235:Q235)=P235, "Sedang", "Mahal"))</f>
        <v/>
      </c>
    </row>
    <row r="236">
      <c r="A236" s="6" t="inlineStr">
        <is>
          <t>RedDoorz Hostel near Malang Train Station 3</t>
        </is>
      </c>
      <c r="B236" s="6" t="n">
        <v>0.09581336828890447</v>
      </c>
      <c r="C236" s="6" t="n">
        <v>0.480144740316167</v>
      </c>
      <c r="D236" s="6" t="n">
        <v>0.4627688936295374</v>
      </c>
      <c r="K236" s="6">
        <f>ABS(B236 - $G$2)</f>
        <v/>
      </c>
      <c r="L236" s="6">
        <f>ABS(B236 - $H$2)</f>
        <v/>
      </c>
      <c r="M236" s="6">
        <f>ABS(B236 - $I$2)</f>
        <v/>
      </c>
      <c r="O236">
        <f>(1/K236^2) / ((1/K236^2) + (1/L236^2) + (1/M236^2))</f>
        <v/>
      </c>
      <c r="P236">
        <f>(1/L236^2) / ((1/K236^2) + (1/L236^2) + (1/M236^2))</f>
        <v/>
      </c>
      <c r="Q236">
        <f>(1/M236^2) / ((1/K236^2) + (1/L236^2) + (1/M236^2))</f>
        <v/>
      </c>
      <c r="S236">
        <f>IF(MAX(O236:Q236)=O236, "Murah", IF(MAX(O236:Q236)=P236, "Sedang", "Mahal"))</f>
        <v/>
      </c>
    </row>
    <row r="237">
      <c r="A237" s="6" t="inlineStr">
        <is>
          <t>Bobopod Alun-Alun, Malang</t>
        </is>
      </c>
      <c r="B237" s="6" t="n">
        <v>0.07402830625292721</v>
      </c>
      <c r="C237" s="6" t="n">
        <v>0.4557330471168111</v>
      </c>
      <c r="D237" s="6" t="n">
        <v>0.4629413655441035</v>
      </c>
      <c r="K237" s="6">
        <f>ABS(B237 - $G$2)</f>
        <v/>
      </c>
      <c r="L237" s="6">
        <f>ABS(B237 - $H$2)</f>
        <v/>
      </c>
      <c r="M237" s="6">
        <f>ABS(B237 - $I$2)</f>
        <v/>
      </c>
      <c r="O237">
        <f>(1/K237^2) / ((1/K237^2) + (1/L237^2) + (1/M237^2))</f>
        <v/>
      </c>
      <c r="P237">
        <f>(1/L237^2) / ((1/K237^2) + (1/L237^2) + (1/M237^2))</f>
        <v/>
      </c>
      <c r="Q237">
        <f>(1/M237^2) / ((1/K237^2) + (1/L237^2) + (1/M237^2))</f>
        <v/>
      </c>
      <c r="S237">
        <f>IF(MAX(O237:Q237)=O237, "Murah", IF(MAX(O237:Q237)=P237, "Sedang", "Mahal"))</f>
        <v/>
      </c>
    </row>
    <row r="238">
      <c r="A238" s="6" t="inlineStr">
        <is>
          <t>Kedung Ombo Homestay</t>
        </is>
      </c>
      <c r="B238" s="6" t="n">
        <v>0.1133998819418078</v>
      </c>
      <c r="C238" s="6" t="n">
        <v>0.5379862401608849</v>
      </c>
      <c r="D238" s="6" t="n">
        <v>0.3784974560392762</v>
      </c>
      <c r="K238" s="6">
        <f>ABS(B238 - $G$2)</f>
        <v/>
      </c>
      <c r="L238" s="6">
        <f>ABS(B238 - $H$2)</f>
        <v/>
      </c>
      <c r="M238" s="6">
        <f>ABS(B238 - $I$2)</f>
        <v/>
      </c>
      <c r="O238">
        <f>(1/K238^2) / ((1/K238^2) + (1/L238^2) + (1/M238^2))</f>
        <v/>
      </c>
      <c r="P238">
        <f>(1/L238^2) / ((1/K238^2) + (1/L238^2) + (1/M238^2))</f>
        <v/>
      </c>
      <c r="Q238">
        <f>(1/M238^2) / ((1/K238^2) + (1/L238^2) + (1/M238^2))</f>
        <v/>
      </c>
      <c r="S238">
        <f>IF(MAX(O238:Q238)=O238, "Murah", IF(MAX(O238:Q238)=P238, "Sedang", "Mahal"))</f>
        <v/>
      </c>
    </row>
    <row r="239">
      <c r="A239" s="6" t="inlineStr">
        <is>
          <t>RedDoorz Syariah near RRI Malang</t>
        </is>
      </c>
      <c r="B239" s="6" t="n">
        <v>0.06059489135043607</v>
      </c>
      <c r="C239" s="6" t="n">
        <v>0.6184667656015472</v>
      </c>
      <c r="D239" s="6" t="n">
        <v>0.4048201749713831</v>
      </c>
      <c r="K239" s="6">
        <f>ABS(B239 - $G$2)</f>
        <v/>
      </c>
      <c r="L239" s="6">
        <f>ABS(B239 - $H$2)</f>
        <v/>
      </c>
      <c r="M239" s="6">
        <f>ABS(B239 - $I$2)</f>
        <v/>
      </c>
      <c r="O239">
        <f>(1/K239^2) / ((1/K239^2) + (1/L239^2) + (1/M239^2))</f>
        <v/>
      </c>
      <c r="P239">
        <f>(1/L239^2) / ((1/K239^2) + (1/L239^2) + (1/M239^2))</f>
        <v/>
      </c>
      <c r="Q239">
        <f>(1/M239^2) / ((1/K239^2) + (1/L239^2) + (1/M239^2))</f>
        <v/>
      </c>
      <c r="S239">
        <f>IF(MAX(O239:Q239)=O239, "Murah", IF(MAX(O239:Q239)=P239, "Sedang", "Mahal"))</f>
        <v/>
      </c>
    </row>
    <row r="240">
      <c r="A240" s="6" t="inlineStr">
        <is>
          <t>LUMIERE GUEST HOUSE</t>
        </is>
      </c>
      <c r="B240" s="6" t="n">
        <v>0.03081180249363289</v>
      </c>
      <c r="C240" s="6" t="n">
        <v>0.4496620736468017</v>
      </c>
      <c r="D240" s="6" t="n">
        <v>0.4617769495436811</v>
      </c>
      <c r="K240" s="6">
        <f>ABS(B240 - $G$2)</f>
        <v/>
      </c>
      <c r="L240" s="6">
        <f>ABS(B240 - $H$2)</f>
        <v/>
      </c>
      <c r="M240" s="6">
        <f>ABS(B240 - $I$2)</f>
        <v/>
      </c>
      <c r="O240">
        <f>(1/K240^2) / ((1/K240^2) + (1/L240^2) + (1/M240^2))</f>
        <v/>
      </c>
      <c r="P240">
        <f>(1/L240^2) / ((1/K240^2) + (1/L240^2) + (1/M240^2))</f>
        <v/>
      </c>
      <c r="Q240">
        <f>(1/M240^2) / ((1/K240^2) + (1/L240^2) + (1/M240^2))</f>
        <v/>
      </c>
      <c r="S240">
        <f>IF(MAX(O240:Q240)=O240, "Murah", IF(MAX(O240:Q240)=P240, "Sedang", "Mahal"))</f>
        <v/>
      </c>
    </row>
    <row r="241">
      <c r="A241" s="6" t="inlineStr">
        <is>
          <t>YUTAKA INN Dinoyo Malang</t>
        </is>
      </c>
      <c r="B241" s="6" t="n">
        <v>0.02566574012232602</v>
      </c>
      <c r="C241" s="6" t="n">
        <v>0.603008105983739</v>
      </c>
      <c r="D241" s="6" t="n">
        <v>0.3458550710201788</v>
      </c>
      <c r="K241" s="6">
        <f>ABS(B241 - $G$2)</f>
        <v/>
      </c>
      <c r="L241" s="6">
        <f>ABS(B241 - $H$2)</f>
        <v/>
      </c>
      <c r="M241" s="6">
        <f>ABS(B241 - $I$2)</f>
        <v/>
      </c>
      <c r="O241">
        <f>(1/K241^2) / ((1/K241^2) + (1/L241^2) + (1/M241^2))</f>
        <v/>
      </c>
      <c r="P241">
        <f>(1/L241^2) / ((1/K241^2) + (1/L241^2) + (1/M241^2))</f>
        <v/>
      </c>
      <c r="Q241">
        <f>(1/M241^2) / ((1/K241^2) + (1/L241^2) + (1/M241^2))</f>
        <v/>
      </c>
      <c r="S241">
        <f>IF(MAX(O241:Q241)=O241, "Murah", IF(MAX(O241:Q241)=P241, "Sedang", "Mahal"))</f>
        <v/>
      </c>
    </row>
    <row r="242">
      <c r="A242" s="6" t="inlineStr">
        <is>
          <t>Sans Hotel La Vida Malang</t>
        </is>
      </c>
      <c r="B242" s="6" t="n">
        <v>0.100356391631725</v>
      </c>
      <c r="C242" s="6" t="n">
        <v>0.4860285670256861</v>
      </c>
      <c r="D242" s="6" t="n">
        <v>0.5805307800111913</v>
      </c>
      <c r="K242" s="6">
        <f>ABS(B242 - $G$2)</f>
        <v/>
      </c>
      <c r="L242" s="6">
        <f>ABS(B242 - $H$2)</f>
        <v/>
      </c>
      <c r="M242" s="6">
        <f>ABS(B242 - $I$2)</f>
        <v/>
      </c>
      <c r="O242">
        <f>(1/K242^2) / ((1/K242^2) + (1/L242^2) + (1/M242^2))</f>
        <v/>
      </c>
      <c r="P242">
        <f>(1/L242^2) / ((1/K242^2) + (1/L242^2) + (1/M242^2))</f>
        <v/>
      </c>
      <c r="Q242">
        <f>(1/M242^2) / ((1/K242^2) + (1/L242^2) + (1/M242^2))</f>
        <v/>
      </c>
      <c r="S242">
        <f>IF(MAX(O242:Q242)=O242, "Murah", IF(MAX(O242:Q242)=P242, "Sedang", "Mahal"))</f>
        <v/>
      </c>
    </row>
    <row r="243">
      <c r="A243" s="6" t="inlineStr">
        <is>
          <t>Roomy guesthouse</t>
        </is>
      </c>
      <c r="B243" s="6" t="n">
        <v>0.07725356738046608</v>
      </c>
      <c r="C243" s="6" t="n">
        <v>0.6667007240050628</v>
      </c>
      <c r="D243" s="6" t="n">
        <v>0.2995809485862886</v>
      </c>
      <c r="K243" s="6">
        <f>ABS(B243 - $G$2)</f>
        <v/>
      </c>
      <c r="L243" s="6">
        <f>ABS(B243 - $H$2)</f>
        <v/>
      </c>
      <c r="M243" s="6">
        <f>ABS(B243 - $I$2)</f>
        <v/>
      </c>
      <c r="O243">
        <f>(1/K243^2) / ((1/K243^2) + (1/L243^2) + (1/M243^2))</f>
        <v/>
      </c>
      <c r="P243">
        <f>(1/L243^2) / ((1/K243^2) + (1/L243^2) + (1/M243^2))</f>
        <v/>
      </c>
      <c r="Q243">
        <f>(1/M243^2) / ((1/K243^2) + (1/L243^2) + (1/M243^2))</f>
        <v/>
      </c>
      <c r="S243">
        <f>IF(MAX(O243:Q243)=O243, "Murah", IF(MAX(O243:Q243)=P243, "Sedang", "Mahal"))</f>
        <v/>
      </c>
    </row>
    <row r="244">
      <c r="A244" s="6" t="inlineStr">
        <is>
          <t>Riche Heritage Hotel</t>
        </is>
      </c>
      <c r="B244" s="6" t="n">
        <v>0.07166658814595983</v>
      </c>
      <c r="C244" s="6" t="n">
        <v>0.4630280615608308</v>
      </c>
      <c r="D244" s="6" t="n">
        <v>0.4633070613414421</v>
      </c>
      <c r="K244" s="6">
        <f>ABS(B244 - $G$2)</f>
        <v/>
      </c>
      <c r="L244" s="6">
        <f>ABS(B244 - $H$2)</f>
        <v/>
      </c>
      <c r="M244" s="6">
        <f>ABS(B244 - $I$2)</f>
        <v/>
      </c>
      <c r="O244">
        <f>(1/K244^2) / ((1/K244^2) + (1/L244^2) + (1/M244^2))</f>
        <v/>
      </c>
      <c r="P244">
        <f>(1/L244^2) / ((1/K244^2) + (1/L244^2) + (1/M244^2))</f>
        <v/>
      </c>
      <c r="Q244">
        <f>(1/M244^2) / ((1/K244^2) + (1/L244^2) + (1/M244^2))</f>
        <v/>
      </c>
      <c r="S244">
        <f>IF(MAX(O244:Q244)=O244, "Murah", IF(MAX(O244:Q244)=P244, "Sedang", "Mahal"))</f>
        <v/>
      </c>
    </row>
    <row r="245">
      <c r="A245" s="6" t="inlineStr">
        <is>
          <t>Grand Kadaka Syariah</t>
        </is>
      </c>
      <c r="B245" s="6" t="n">
        <v>0.03336529587987995</v>
      </c>
      <c r="C245" s="6" t="n">
        <v>0.5835064019366133</v>
      </c>
      <c r="D245" s="6" t="n">
        <v>0.4152759389228152</v>
      </c>
      <c r="K245" s="6">
        <f>ABS(B245 - $G$2)</f>
        <v/>
      </c>
      <c r="L245" s="6">
        <f>ABS(B245 - $H$2)</f>
        <v/>
      </c>
      <c r="M245" s="6">
        <f>ABS(B245 - $I$2)</f>
        <v/>
      </c>
      <c r="O245">
        <f>(1/K245^2) / ((1/K245^2) + (1/L245^2) + (1/M245^2))</f>
        <v/>
      </c>
      <c r="P245">
        <f>(1/L245^2) / ((1/K245^2) + (1/L245^2) + (1/M245^2))</f>
        <v/>
      </c>
      <c r="Q245">
        <f>(1/M245^2) / ((1/K245^2) + (1/L245^2) + (1/M245^2))</f>
        <v/>
      </c>
      <c r="S245">
        <f>IF(MAX(O245:Q245)=O245, "Murah", IF(MAX(O245:Q245)=P245, "Sedang", "Mahal"))</f>
        <v/>
      </c>
    </row>
    <row r="246">
      <c r="A246" s="6" t="inlineStr">
        <is>
          <t>Kalakoala by Zzz</t>
        </is>
      </c>
      <c r="B246" s="6" t="n">
        <v>0.06355660003491861</v>
      </c>
      <c r="C246" s="6" t="n">
        <v>0.548248289461748</v>
      </c>
      <c r="D246" s="6" t="n">
        <v>0.5509638366976688</v>
      </c>
      <c r="K246" s="6">
        <f>ABS(B246 - $G$2)</f>
        <v/>
      </c>
      <c r="L246" s="6">
        <f>ABS(B246 - $H$2)</f>
        <v/>
      </c>
      <c r="M246" s="6">
        <f>ABS(B246 - $I$2)</f>
        <v/>
      </c>
      <c r="O246">
        <f>(1/K246^2) / ((1/K246^2) + (1/L246^2) + (1/M246^2))</f>
        <v/>
      </c>
      <c r="P246">
        <f>(1/L246^2) / ((1/K246^2) + (1/L246^2) + (1/M246^2))</f>
        <v/>
      </c>
      <c r="Q246">
        <f>(1/M246^2) / ((1/K246^2) + (1/L246^2) + (1/M246^2))</f>
        <v/>
      </c>
      <c r="S246">
        <f>IF(MAX(O246:Q246)=O246, "Murah", IF(MAX(O246:Q246)=P246, "Sedang", "Mahal"))</f>
        <v/>
      </c>
    </row>
    <row r="247">
      <c r="A247" s="6" t="inlineStr">
        <is>
          <t>Condro Wulan Hostel</t>
        </is>
      </c>
      <c r="B247" s="6" t="n">
        <v>0</v>
      </c>
      <c r="C247" s="6" t="n">
        <v>0.4193220431570544</v>
      </c>
      <c r="D247" s="6" t="n">
        <v>0.6932559331030613</v>
      </c>
      <c r="K247" s="6">
        <f>ABS(B247 - $G$2)</f>
        <v/>
      </c>
      <c r="L247" s="6">
        <f>ABS(B247 - $H$2)</f>
        <v/>
      </c>
      <c r="M247" s="6">
        <f>ABS(B247 - $I$2)</f>
        <v/>
      </c>
      <c r="O247">
        <f>(1/K247^2) / ((1/K247^2) + (1/L247^2) + (1/M247^2))</f>
        <v/>
      </c>
      <c r="P247">
        <f>(1/L247^2) / ((1/K247^2) + (1/L247^2) + (1/M247^2))</f>
        <v/>
      </c>
      <c r="Q247">
        <f>(1/M247^2) / ((1/K247^2) + (1/L247^2) + (1/M247^2))</f>
        <v/>
      </c>
      <c r="S247">
        <f>IF(MAX(O247:Q247)=O247, "Murah", IF(MAX(O247:Q247)=P247, "Sedang", "Mahal"))</f>
        <v/>
      </c>
    </row>
    <row r="248">
      <c r="A248" s="6" t="inlineStr">
        <is>
          <t>RedDoorz near Malang Creative Center</t>
        </is>
      </c>
      <c r="B248" s="6" t="n">
        <v>0.09740743101494018</v>
      </c>
      <c r="C248" s="6" t="n">
        <v>0.6186272734537878</v>
      </c>
      <c r="D248" s="6" t="n">
        <v>0.4972729607847723</v>
      </c>
      <c r="K248" s="6">
        <f>ABS(B248 - $G$2)</f>
        <v/>
      </c>
      <c r="L248" s="6">
        <f>ABS(B248 - $H$2)</f>
        <v/>
      </c>
      <c r="M248" s="6">
        <f>ABS(B248 - $I$2)</f>
        <v/>
      </c>
      <c r="O248">
        <f>(1/K248^2) / ((1/K248^2) + (1/L248^2) + (1/M248^2))</f>
        <v/>
      </c>
      <c r="P248">
        <f>(1/L248^2) / ((1/K248^2) + (1/L248^2) + (1/M248^2))</f>
        <v/>
      </c>
      <c r="Q248">
        <f>(1/M248^2) / ((1/K248^2) + (1/L248^2) + (1/M248^2))</f>
        <v/>
      </c>
      <c r="S248">
        <f>IF(MAX(O248:Q248)=O248, "Murah", IF(MAX(O248:Q248)=P248, "Sedang", "Mahal"))</f>
        <v/>
      </c>
    </row>
    <row r="249">
      <c r="A249" s="6" t="inlineStr">
        <is>
          <t>SIMPANG HOMESTAY &amp; KOZZ</t>
        </is>
      </c>
      <c r="B249" s="6" t="n">
        <v>0.04102549890671463</v>
      </c>
      <c r="C249" s="6" t="n">
        <v>0.612494592133023</v>
      </c>
      <c r="D249" s="6" t="n">
        <v>0.4969778216797413</v>
      </c>
      <c r="K249" s="6">
        <f>ABS(B249 - $G$2)</f>
        <v/>
      </c>
      <c r="L249" s="6">
        <f>ABS(B249 - $H$2)</f>
        <v/>
      </c>
      <c r="M249" s="6">
        <f>ABS(B249 - $I$2)</f>
        <v/>
      </c>
      <c r="O249">
        <f>(1/K249^2) / ((1/K249^2) + (1/L249^2) + (1/M249^2))</f>
        <v/>
      </c>
      <c r="P249">
        <f>(1/L249^2) / ((1/K249^2) + (1/L249^2) + (1/M249^2))</f>
        <v/>
      </c>
      <c r="Q249">
        <f>(1/M249^2) / ((1/K249^2) + (1/L249^2) + (1/M249^2))</f>
        <v/>
      </c>
      <c r="S249">
        <f>IF(MAX(O249:Q249)=O249, "Murah", IF(MAX(O249:Q249)=P249, "Sedang", "Mahal"))</f>
        <v/>
      </c>
    </row>
    <row r="250">
      <c r="A250" s="6" t="inlineStr">
        <is>
          <t>Neomi Homestay Malang (CV.Neomi perdana sukse)</t>
        </is>
      </c>
      <c r="B250" s="6" t="n">
        <v>0.06371761367257973</v>
      </c>
      <c r="C250" s="6" t="n">
        <v>0.5959403652632682</v>
      </c>
      <c r="D250" s="6" t="n">
        <v>0.5956017817179243</v>
      </c>
      <c r="K250" s="6">
        <f>ABS(B250 - $G$2)</f>
        <v/>
      </c>
      <c r="L250" s="6">
        <f>ABS(B250 - $H$2)</f>
        <v/>
      </c>
      <c r="M250" s="6">
        <f>ABS(B250 - $I$2)</f>
        <v/>
      </c>
      <c r="O250">
        <f>(1/K250^2) / ((1/K250^2) + (1/L250^2) + (1/M250^2))</f>
        <v/>
      </c>
      <c r="P250">
        <f>(1/L250^2) / ((1/K250^2) + (1/L250^2) + (1/M250^2))</f>
        <v/>
      </c>
      <c r="Q250">
        <f>(1/M250^2) / ((1/K250^2) + (1/L250^2) + (1/M250^2))</f>
        <v/>
      </c>
      <c r="S250">
        <f>IF(MAX(O250:Q250)=O250, "Murah", IF(MAX(O250:Q250)=P250, "Sedang", "Mahal"))</f>
        <v/>
      </c>
    </row>
    <row r="251">
      <c r="A251" s="6" t="inlineStr">
        <is>
          <t>Hotel O Sumpil Syariah</t>
        </is>
      </c>
      <c r="B251" s="6" t="n">
        <v>0.04869900426506004</v>
      </c>
      <c r="C251" s="6" t="n">
        <v>0.6214162659871393</v>
      </c>
      <c r="D251" s="6" t="n">
        <v>0.5331120712355021</v>
      </c>
      <c r="K251" s="6">
        <f>ABS(B251 - $G$2)</f>
        <v/>
      </c>
      <c r="L251" s="6">
        <f>ABS(B251 - $H$2)</f>
        <v/>
      </c>
      <c r="M251" s="6">
        <f>ABS(B251 - $I$2)</f>
        <v/>
      </c>
      <c r="O251">
        <f>(1/K251^2) / ((1/K251^2) + (1/L251^2) + (1/M251^2))</f>
        <v/>
      </c>
      <c r="P251">
        <f>(1/L251^2) / ((1/K251^2) + (1/L251^2) + (1/M251^2))</f>
        <v/>
      </c>
      <c r="Q251">
        <f>(1/M251^2) / ((1/K251^2) + (1/L251^2) + (1/M251^2))</f>
        <v/>
      </c>
      <c r="S251">
        <f>IF(MAX(O251:Q251)=O251, "Murah", IF(MAX(O251:Q251)=P251, "Sedang", "Mahal"))</f>
        <v/>
      </c>
    </row>
    <row r="252">
      <c r="A252" s="6" t="inlineStr">
        <is>
          <t>RedDoorz Syariah near Exit Tol Malang</t>
        </is>
      </c>
      <c r="B252" s="6" t="n">
        <v>0.0974041054320625</v>
      </c>
      <c r="C252" s="6" t="n">
        <v>0.4624733653067659</v>
      </c>
      <c r="D252" s="6" t="n">
        <v>0.7071966442683996</v>
      </c>
      <c r="K252" s="6">
        <f>ABS(B252 - $G$2)</f>
        <v/>
      </c>
      <c r="L252" s="6">
        <f>ABS(B252 - $H$2)</f>
        <v/>
      </c>
      <c r="M252" s="6">
        <f>ABS(B252 - $I$2)</f>
        <v/>
      </c>
      <c r="O252">
        <f>(1/K252^2) / ((1/K252^2) + (1/L252^2) + (1/M252^2))</f>
        <v/>
      </c>
      <c r="P252">
        <f>(1/L252^2) / ((1/K252^2) + (1/L252^2) + (1/M252^2))</f>
        <v/>
      </c>
      <c r="Q252">
        <f>(1/M252^2) / ((1/K252^2) + (1/L252^2) + (1/M252^2))</f>
        <v/>
      </c>
      <c r="S252">
        <f>IF(MAX(O252:Q252)=O252, "Murah", IF(MAX(O252:Q252)=P252, "Sedang", "Mahal"))</f>
        <v/>
      </c>
    </row>
    <row r="253">
      <c r="A253" s="6" t="inlineStr">
        <is>
          <t>Townhouse Oak Malang near ITN Malang</t>
        </is>
      </c>
      <c r="B253" s="6" t="n">
        <v>0.04661691225172445</v>
      </c>
      <c r="C253" s="6" t="n">
        <v>0.7000988337216191</v>
      </c>
      <c r="D253" s="6" t="n">
        <v>0.4891455676792951</v>
      </c>
      <c r="K253" s="6">
        <f>ABS(B253 - $G$2)</f>
        <v/>
      </c>
      <c r="L253" s="6">
        <f>ABS(B253 - $H$2)</f>
        <v/>
      </c>
      <c r="M253" s="6">
        <f>ABS(B253 - $I$2)</f>
        <v/>
      </c>
      <c r="O253">
        <f>(1/K253^2) / ((1/K253^2) + (1/L253^2) + (1/M253^2))</f>
        <v/>
      </c>
      <c r="P253">
        <f>(1/L253^2) / ((1/K253^2) + (1/L253^2) + (1/M253^2))</f>
        <v/>
      </c>
      <c r="Q253">
        <f>(1/M253^2) / ((1/K253^2) + (1/L253^2) + (1/M253^2))</f>
        <v/>
      </c>
      <c r="S253">
        <f>IF(MAX(O253:Q253)=O253, "Murah", IF(MAX(O253:Q253)=P253, "Sedang", "Mahal"))</f>
        <v/>
      </c>
    </row>
    <row r="254">
      <c r="A254" s="6" t="inlineStr">
        <is>
          <t>Linn's House Syariah</t>
        </is>
      </c>
      <c r="B254" s="6" t="n">
        <v>0.04644730752496266</v>
      </c>
      <c r="C254" s="6" t="n">
        <v>0.619034949910421</v>
      </c>
      <c r="D254" s="6" t="n">
        <v>0.4868282645497779</v>
      </c>
      <c r="K254" s="6">
        <f>ABS(B254 - $G$2)</f>
        <v/>
      </c>
      <c r="L254" s="6">
        <f>ABS(B254 - $H$2)</f>
        <v/>
      </c>
      <c r="M254" s="6">
        <f>ABS(B254 - $I$2)</f>
        <v/>
      </c>
      <c r="O254">
        <f>(1/K254^2) / ((1/K254^2) + (1/L254^2) + (1/M254^2))</f>
        <v/>
      </c>
      <c r="P254">
        <f>(1/L254^2) / ((1/K254^2) + (1/L254^2) + (1/M254^2))</f>
        <v/>
      </c>
      <c r="Q254">
        <f>(1/M254^2) / ((1/K254^2) + (1/L254^2) + (1/M254^2))</f>
        <v/>
      </c>
      <c r="S254">
        <f>IF(MAX(O254:Q254)=O254, "Murah", IF(MAX(O254:Q254)=P254, "Sedang", "Mahal"))</f>
        <v/>
      </c>
    </row>
    <row r="255">
      <c r="A255" s="6" t="inlineStr">
        <is>
          <t>Velodrome Family House</t>
        </is>
      </c>
      <c r="B255" s="6" t="n">
        <v>0.002675154293188929</v>
      </c>
      <c r="C255" s="6" t="n">
        <v>0.4933175118450422</v>
      </c>
      <c r="D255" s="6" t="n">
        <v>0.6514379500006616</v>
      </c>
      <c r="K255" s="6">
        <f>ABS(B255 - $G$2)</f>
        <v/>
      </c>
      <c r="L255" s="6">
        <f>ABS(B255 - $H$2)</f>
        <v/>
      </c>
      <c r="M255" s="6">
        <f>ABS(B255 - $I$2)</f>
        <v/>
      </c>
      <c r="O255">
        <f>(1/K255^2) / ((1/K255^2) + (1/L255^2) + (1/M255^2))</f>
        <v/>
      </c>
      <c r="P255">
        <f>(1/L255^2) / ((1/K255^2) + (1/L255^2) + (1/M255^2))</f>
        <v/>
      </c>
      <c r="Q255">
        <f>(1/M255^2) / ((1/K255^2) + (1/L255^2) + (1/M255^2))</f>
        <v/>
      </c>
      <c r="S255">
        <f>IF(MAX(O255:Q255)=O255, "Murah", IF(MAX(O255:Q255)=P255, "Sedang", "Mahal"))</f>
        <v/>
      </c>
    </row>
    <row r="256">
      <c r="A256" s="6" t="inlineStr">
        <is>
          <t>RedDoorz near Sanan Malang</t>
        </is>
      </c>
      <c r="B256" s="6" t="n">
        <v>0.09676947336623813</v>
      </c>
      <c r="C256" s="6" t="n">
        <v>0.5392524313061811</v>
      </c>
      <c r="D256" s="6" t="n">
        <v>0.523153893369014</v>
      </c>
      <c r="K256" s="6">
        <f>ABS(B256 - $G$2)</f>
        <v/>
      </c>
      <c r="L256" s="6">
        <f>ABS(B256 - $H$2)</f>
        <v/>
      </c>
      <c r="M256" s="6">
        <f>ABS(B256 - $I$2)</f>
        <v/>
      </c>
      <c r="O256">
        <f>(1/K256^2) / ((1/K256^2) + (1/L256^2) + (1/M256^2))</f>
        <v/>
      </c>
      <c r="P256">
        <f>(1/L256^2) / ((1/K256^2) + (1/L256^2) + (1/M256^2))</f>
        <v/>
      </c>
      <c r="Q256">
        <f>(1/M256^2) / ((1/K256^2) + (1/L256^2) + (1/M256^2))</f>
        <v/>
      </c>
      <c r="S256">
        <f>IF(MAX(O256:Q256)=O256, "Murah", IF(MAX(O256:Q256)=P256, "Sedang", "Mahal"))</f>
        <v/>
      </c>
    </row>
    <row r="257">
      <c r="A257" s="6" t="inlineStr">
        <is>
          <t>SOWAN Boutique Guest House Syariah</t>
        </is>
      </c>
      <c r="B257" s="6" t="n">
        <v>0.05600558697923451</v>
      </c>
      <c r="C257" s="6" t="n">
        <v>0.5021474669264474</v>
      </c>
      <c r="D257" s="6" t="n">
        <v>0.625915334736177</v>
      </c>
      <c r="K257" s="6">
        <f>ABS(B257 - $G$2)</f>
        <v/>
      </c>
      <c r="L257" s="6">
        <f>ABS(B257 - $H$2)</f>
        <v/>
      </c>
      <c r="M257" s="6">
        <f>ABS(B257 - $I$2)</f>
        <v/>
      </c>
      <c r="O257">
        <f>(1/K257^2) / ((1/K257^2) + (1/L257^2) + (1/M257^2))</f>
        <v/>
      </c>
      <c r="P257">
        <f>(1/L257^2) / ((1/K257^2) + (1/L257^2) + (1/M257^2))</f>
        <v/>
      </c>
      <c r="Q257">
        <f>(1/M257^2) / ((1/K257^2) + (1/L257^2) + (1/M257^2))</f>
        <v/>
      </c>
      <c r="S257">
        <f>IF(MAX(O257:Q257)=O257, "Murah", IF(MAX(O257:Q257)=P257, "Sedang", "Mahal"))</f>
        <v/>
      </c>
    </row>
    <row r="258">
      <c r="A258" s="6" t="inlineStr">
        <is>
          <t>Homestay Kateza</t>
        </is>
      </c>
      <c r="B258" s="6" t="n">
        <v>0.04443006437774187</v>
      </c>
      <c r="C258" s="6" t="n">
        <v>0.5308955697472356</v>
      </c>
      <c r="D258" s="6" t="n">
        <v>0.3805371439481333</v>
      </c>
      <c r="K258" s="6">
        <f>ABS(B258 - $G$2)</f>
        <v/>
      </c>
      <c r="L258" s="6">
        <f>ABS(B258 - $H$2)</f>
        <v/>
      </c>
      <c r="M258" s="6">
        <f>ABS(B258 - $I$2)</f>
        <v/>
      </c>
      <c r="O258">
        <f>(1/K258^2) / ((1/K258^2) + (1/L258^2) + (1/M258^2))</f>
        <v/>
      </c>
      <c r="P258">
        <f>(1/L258^2) / ((1/K258^2) + (1/L258^2) + (1/M258^2))</f>
        <v/>
      </c>
      <c r="Q258">
        <f>(1/M258^2) / ((1/K258^2) + (1/L258^2) + (1/M258^2))</f>
        <v/>
      </c>
      <c r="S258">
        <f>IF(MAX(O258:Q258)=O258, "Murah", IF(MAX(O258:Q258)=P258, "Sedang", "Mahal"))</f>
        <v/>
      </c>
    </row>
    <row r="259">
      <c r="A259" s="6" t="inlineStr">
        <is>
          <t>Nipa Guest House near Universitas Widyagama Mitra</t>
        </is>
      </c>
      <c r="B259" s="6" t="n">
        <v>0.02206274820626374</v>
      </c>
      <c r="C259" s="6" t="n">
        <v>0.6135368815684732</v>
      </c>
      <c r="D259" s="6" t="n">
        <v>0.4812584362515494</v>
      </c>
      <c r="K259" s="6">
        <f>ABS(B259 - $G$2)</f>
        <v/>
      </c>
      <c r="L259" s="6">
        <f>ABS(B259 - $H$2)</f>
        <v/>
      </c>
      <c r="M259" s="6">
        <f>ABS(B259 - $I$2)</f>
        <v/>
      </c>
      <c r="O259">
        <f>(1/K259^2) / ((1/K259^2) + (1/L259^2) + (1/M259^2))</f>
        <v/>
      </c>
      <c r="P259">
        <f>(1/L259^2) / ((1/K259^2) + (1/L259^2) + (1/M259^2))</f>
        <v/>
      </c>
      <c r="Q259">
        <f>(1/M259^2) / ((1/K259^2) + (1/L259^2) + (1/M259^2))</f>
        <v/>
      </c>
      <c r="S259">
        <f>IF(MAX(O259:Q259)=O259, "Murah", IF(MAX(O259:Q259)=P259, "Sedang", "Mahal"))</f>
        <v/>
      </c>
    </row>
    <row r="260">
      <c r="A260" s="6" t="inlineStr">
        <is>
          <t>Rumah Larasati</t>
        </is>
      </c>
      <c r="B260" s="6" t="n">
        <v>0.07344244940264218</v>
      </c>
      <c r="C260" s="6" t="n">
        <v>0.4802833300793397</v>
      </c>
      <c r="D260" s="6" t="n">
        <v>0.401607770274808</v>
      </c>
      <c r="K260" s="6">
        <f>ABS(B260 - $G$2)</f>
        <v/>
      </c>
      <c r="L260" s="6">
        <f>ABS(B260 - $H$2)</f>
        <v/>
      </c>
      <c r="M260" s="6">
        <f>ABS(B260 - $I$2)</f>
        <v/>
      </c>
      <c r="O260">
        <f>(1/K260^2) / ((1/K260^2) + (1/L260^2) + (1/M260^2))</f>
        <v/>
      </c>
      <c r="P260">
        <f>(1/L260^2) / ((1/K260^2) + (1/L260^2) + (1/M260^2))</f>
        <v/>
      </c>
      <c r="Q260">
        <f>(1/M260^2) / ((1/K260^2) + (1/L260^2) + (1/M260^2))</f>
        <v/>
      </c>
      <c r="S260">
        <f>IF(MAX(O260:Q260)=O260, "Murah", IF(MAX(O260:Q260)=P260, "Sedang", "Mahal"))</f>
        <v/>
      </c>
    </row>
    <row r="261">
      <c r="A261" s="6" t="inlineStr">
        <is>
          <t>One &amp; Quin Guest House Syariah</t>
        </is>
      </c>
      <c r="B261" s="6" t="n">
        <v>0.1106923032155615</v>
      </c>
      <c r="C261" s="6" t="n">
        <v>0.5618570623623591</v>
      </c>
      <c r="D261" s="6" t="n">
        <v>0.3397014206797558</v>
      </c>
      <c r="K261" s="6">
        <f>ABS(B261 - $G$2)</f>
        <v/>
      </c>
      <c r="L261" s="6">
        <f>ABS(B261 - $H$2)</f>
        <v/>
      </c>
      <c r="M261" s="6">
        <f>ABS(B261 - $I$2)</f>
        <v/>
      </c>
      <c r="O261">
        <f>(1/K261^2) / ((1/K261^2) + (1/L261^2) + (1/M261^2))</f>
        <v/>
      </c>
      <c r="P261">
        <f>(1/L261^2) / ((1/K261^2) + (1/L261^2) + (1/M261^2))</f>
        <v/>
      </c>
      <c r="Q261">
        <f>(1/M261^2) / ((1/K261^2) + (1/L261^2) + (1/M261^2))</f>
        <v/>
      </c>
      <c r="S261">
        <f>IF(MAX(O261:Q261)=O261, "Murah", IF(MAX(O261:Q261)=P261, "Sedang", "Mahal"))</f>
        <v/>
      </c>
    </row>
    <row r="262">
      <c r="A262" s="6" t="inlineStr">
        <is>
          <t>Fariz Hotel Malang</t>
        </is>
      </c>
      <c r="B262" s="6" t="n">
        <v>0.07505064585590804</v>
      </c>
      <c r="C262" s="6" t="n">
        <v>0.7000661251887058</v>
      </c>
      <c r="D262" s="6" t="n">
        <v>0.4893180395938612</v>
      </c>
      <c r="K262" s="6">
        <f>ABS(B262 - $G$2)</f>
        <v/>
      </c>
      <c r="L262" s="6">
        <f>ABS(B262 - $H$2)</f>
        <v/>
      </c>
      <c r="M262" s="6">
        <f>ABS(B262 - $I$2)</f>
        <v/>
      </c>
      <c r="O262">
        <f>(1/K262^2) / ((1/K262^2) + (1/L262^2) + (1/M262^2))</f>
        <v/>
      </c>
      <c r="P262">
        <f>(1/L262^2) / ((1/K262^2) + (1/L262^2) + (1/M262^2))</f>
        <v/>
      </c>
      <c r="Q262">
        <f>(1/M262^2) / ((1/K262^2) + (1/L262^2) + (1/M262^2))</f>
        <v/>
      </c>
      <c r="S262">
        <f>IF(MAX(O262:Q262)=O262, "Murah", IF(MAX(O262:Q262)=P262, "Sedang", "Mahal"))</f>
        <v/>
      </c>
    </row>
    <row r="263">
      <c r="A263" s="6" t="inlineStr">
        <is>
          <t>RedDoorz raya tidar</t>
        </is>
      </c>
      <c r="B263" s="6" t="n">
        <v>0.1019227411671133</v>
      </c>
      <c r="C263" s="6" t="n">
        <v>0.5115422343030234</v>
      </c>
      <c r="D263" s="6" t="n">
        <v>0.3851892740915384</v>
      </c>
      <c r="K263" s="6">
        <f>ABS(B263 - $G$2)</f>
        <v/>
      </c>
      <c r="L263" s="6">
        <f>ABS(B263 - $H$2)</f>
        <v/>
      </c>
      <c r="M263" s="6">
        <f>ABS(B263 - $I$2)</f>
        <v/>
      </c>
      <c r="O263">
        <f>(1/K263^2) / ((1/K263^2) + (1/L263^2) + (1/M263^2))</f>
        <v/>
      </c>
      <c r="P263">
        <f>(1/L263^2) / ((1/K263^2) + (1/L263^2) + (1/M263^2))</f>
        <v/>
      </c>
      <c r="Q263">
        <f>(1/M263^2) / ((1/K263^2) + (1/L263^2) + (1/M263^2))</f>
        <v/>
      </c>
      <c r="S263">
        <f>IF(MAX(O263:Q263)=O263, "Murah", IF(MAX(O263:Q263)=P263, "Sedang", "Mahal"))</f>
        <v/>
      </c>
    </row>
    <row r="264">
      <c r="A264" s="6" t="inlineStr">
        <is>
          <t>Tya Family Guest House</t>
        </is>
      </c>
      <c r="B264" s="6" t="n">
        <v>0.03535122312166922</v>
      </c>
      <c r="C264" s="6" t="n">
        <v>0.6080668009402509</v>
      </c>
      <c r="D264" s="6" t="n">
        <v>0.2710050270490393</v>
      </c>
      <c r="K264" s="6">
        <f>ABS(B264 - $G$2)</f>
        <v/>
      </c>
      <c r="L264" s="6">
        <f>ABS(B264 - $H$2)</f>
        <v/>
      </c>
      <c r="M264" s="6">
        <f>ABS(B264 - $I$2)</f>
        <v/>
      </c>
      <c r="O264">
        <f>(1/K264^2) / ((1/K264^2) + (1/L264^2) + (1/M264^2))</f>
        <v/>
      </c>
      <c r="P264">
        <f>(1/L264^2) / ((1/K264^2) + (1/L264^2) + (1/M264^2))</f>
        <v/>
      </c>
      <c r="Q264">
        <f>(1/M264^2) / ((1/K264^2) + (1/L264^2) + (1/M264^2))</f>
        <v/>
      </c>
      <c r="S264">
        <f>IF(MAX(O264:Q264)=O264, "Murah", IF(MAX(O264:Q264)=P264, "Sedang", "Mahal"))</f>
        <v/>
      </c>
    </row>
    <row r="265">
      <c r="A265" s="6" t="inlineStr">
        <is>
          <t>OYO Life 92620 Syfa Kost</t>
        </is>
      </c>
      <c r="B265" s="6" t="n">
        <v>0.002675154293188929</v>
      </c>
      <c r="C265" s="6" t="n">
        <v>0.6604321505320859</v>
      </c>
      <c r="D265" s="6" t="n">
        <v>0.3175890455431891</v>
      </c>
      <c r="K265" s="6">
        <f>ABS(B265 - $G$2)</f>
        <v/>
      </c>
      <c r="L265" s="6">
        <f>ABS(B265 - $H$2)</f>
        <v/>
      </c>
      <c r="M265" s="6">
        <f>ABS(B265 - $I$2)</f>
        <v/>
      </c>
      <c r="O265">
        <f>(1/K265^2) / ((1/K265^2) + (1/L265^2) + (1/M265^2))</f>
        <v/>
      </c>
      <c r="P265">
        <f>(1/L265^2) / ((1/K265^2) + (1/L265^2) + (1/M265^2))</f>
        <v/>
      </c>
      <c r="Q265">
        <f>(1/M265^2) / ((1/K265^2) + (1/L265^2) + (1/M265^2))</f>
        <v/>
      </c>
      <c r="S265">
        <f>IF(MAX(O265:Q265)=O265, "Murah", IF(MAX(O265:Q265)=P265, "Sedang", "Mahal"))</f>
        <v/>
      </c>
    </row>
    <row r="266">
      <c r="A266" s="6" t="inlineStr">
        <is>
          <t>Karjo Homestay</t>
        </is>
      </c>
      <c r="B266" s="6" t="n">
        <v>0.04511097747194732</v>
      </c>
      <c r="C266" s="6" t="n">
        <v>0.5304194414124411</v>
      </c>
      <c r="D266" s="6" t="n">
        <v>0.5711942388846506</v>
      </c>
      <c r="K266" s="6">
        <f>ABS(B266 - $G$2)</f>
        <v/>
      </c>
      <c r="L266" s="6">
        <f>ABS(B266 - $H$2)</f>
        <v/>
      </c>
      <c r="M266" s="6">
        <f>ABS(B266 - $I$2)</f>
        <v/>
      </c>
      <c r="O266">
        <f>(1/K266^2) / ((1/K266^2) + (1/L266^2) + (1/M266^2))</f>
        <v/>
      </c>
      <c r="P266">
        <f>(1/L266^2) / ((1/K266^2) + (1/L266^2) + (1/M266^2))</f>
        <v/>
      </c>
      <c r="Q266">
        <f>(1/M266^2) / ((1/K266^2) + (1/L266^2) + (1/M266^2))</f>
        <v/>
      </c>
      <c r="S266">
        <f>IF(MAX(O266:Q266)=O266, "Murah", IF(MAX(O266:Q266)=P266, "Sedang", "Mahal"))</f>
        <v/>
      </c>
    </row>
    <row r="267">
      <c r="A267" s="6" t="inlineStr">
        <is>
          <t>OYO 3825 Lavender Sawojajar</t>
        </is>
      </c>
      <c r="B267" s="6" t="n">
        <v>0</v>
      </c>
      <c r="C267" s="6" t="n">
        <v>0.4932622108203187</v>
      </c>
      <c r="D267" s="6" t="n">
        <v>0.5968155412874272</v>
      </c>
      <c r="K267" s="6">
        <f>ABS(B267 - $G$2)</f>
        <v/>
      </c>
      <c r="L267" s="6">
        <f>ABS(B267 - $H$2)</f>
        <v/>
      </c>
      <c r="M267" s="6">
        <f>ABS(B267 - $I$2)</f>
        <v/>
      </c>
      <c r="O267">
        <f>(1/K267^2) / ((1/K267^2) + (1/L267^2) + (1/M267^2))</f>
        <v/>
      </c>
      <c r="P267">
        <f>(1/L267^2) / ((1/K267^2) + (1/L267^2) + (1/M267^2))</f>
        <v/>
      </c>
      <c r="Q267">
        <f>(1/M267^2) / ((1/K267^2) + (1/L267^2) + (1/M267^2))</f>
        <v/>
      </c>
      <c r="S267">
        <f>IF(MAX(O267:Q267)=O267, "Murah", IF(MAX(O267:Q267)=P267, "Sedang", "Mahal"))</f>
        <v/>
      </c>
    </row>
    <row r="268">
      <c r="A268" s="6" t="inlineStr">
        <is>
          <t>Homestay Gayatri Sawojajar near Univ. Negeri Malang Kampus 2 Mitra RedDoorz</t>
        </is>
      </c>
      <c r="B268" s="6" t="n">
        <v>0.1221251028852203</v>
      </c>
      <c r="C268" s="6" t="n">
        <v>0.4761303580033235</v>
      </c>
      <c r="D268" s="6" t="n">
        <v>0.6348432926641007</v>
      </c>
      <c r="K268" s="6">
        <f>ABS(B268 - $G$2)</f>
        <v/>
      </c>
      <c r="L268" s="6">
        <f>ABS(B268 - $H$2)</f>
        <v/>
      </c>
      <c r="M268" s="6">
        <f>ABS(B268 - $I$2)</f>
        <v/>
      </c>
      <c r="O268">
        <f>(1/K268^2) / ((1/K268^2) + (1/L268^2) + (1/M268^2))</f>
        <v/>
      </c>
      <c r="P268">
        <f>(1/L268^2) / ((1/K268^2) + (1/L268^2) + (1/M268^2))</f>
        <v/>
      </c>
      <c r="Q268">
        <f>(1/M268^2) / ((1/K268^2) + (1/L268^2) + (1/M268^2))</f>
        <v/>
      </c>
      <c r="S268">
        <f>IF(MAX(O268:Q268)=O268, "Murah", IF(MAX(O268:Q268)=P268, "Sedang", "Mahal"))</f>
        <v/>
      </c>
    </row>
    <row r="269">
      <c r="A269" s="6" t="inlineStr">
        <is>
          <t>SM Guest House Malang Mitra RedDoorz</t>
        </is>
      </c>
      <c r="B269" s="6" t="n">
        <v>0.1533564830852541</v>
      </c>
      <c r="C269" s="6" t="n">
        <v>0.6285780858899105</v>
      </c>
      <c r="D269" s="6" t="n">
        <v>0.4596316571737748</v>
      </c>
      <c r="K269" s="6">
        <f>ABS(B269 - $G$2)</f>
        <v/>
      </c>
      <c r="L269" s="6">
        <f>ABS(B269 - $H$2)</f>
        <v/>
      </c>
      <c r="M269" s="6">
        <f>ABS(B269 - $I$2)</f>
        <v/>
      </c>
      <c r="O269">
        <f>(1/K269^2) / ((1/K269^2) + (1/L269^2) + (1/M269^2))</f>
        <v/>
      </c>
      <c r="P269">
        <f>(1/L269^2) / ((1/K269^2) + (1/L269^2) + (1/M269^2))</f>
        <v/>
      </c>
      <c r="Q269">
        <f>(1/M269^2) / ((1/K269^2) + (1/L269^2) + (1/M269^2))</f>
        <v/>
      </c>
      <c r="S269">
        <f>IF(MAX(O269:Q269)=O269, "Murah", IF(MAX(O269:Q269)=P269, "Sedang", "Mahal"))</f>
        <v/>
      </c>
    </row>
    <row r="270">
      <c r="A270" s="6" t="inlineStr">
        <is>
          <t>Safa Guest House</t>
        </is>
      </c>
      <c r="B270" s="6" t="n">
        <v>0.02250532786090195</v>
      </c>
      <c r="C270" s="6" t="n">
        <v>0.4934328347136682</v>
      </c>
      <c r="D270" s="6" t="n">
        <v>0.6134706099095721</v>
      </c>
      <c r="K270" s="6">
        <f>ABS(B270 - $G$2)</f>
        <v/>
      </c>
      <c r="L270" s="6">
        <f>ABS(B270 - $H$2)</f>
        <v/>
      </c>
      <c r="M270" s="6">
        <f>ABS(B270 - $I$2)</f>
        <v/>
      </c>
      <c r="O270">
        <f>(1/K270^2) / ((1/K270^2) + (1/L270^2) + (1/M270^2))</f>
        <v/>
      </c>
      <c r="P270">
        <f>(1/L270^2) / ((1/K270^2) + (1/L270^2) + (1/M270^2))</f>
        <v/>
      </c>
      <c r="Q270">
        <f>(1/M270^2) / ((1/K270^2) + (1/L270^2) + (1/M270^2))</f>
        <v/>
      </c>
      <c r="S270">
        <f>IF(MAX(O270:Q270)=O270, "Murah", IF(MAX(O270:Q270)=P270, "Sedang", "Mahal"))</f>
        <v/>
      </c>
    </row>
    <row r="271">
      <c r="A271" s="6" t="inlineStr">
        <is>
          <t>Urbanview Hotel Gangnam near Mall Olympic Garden</t>
        </is>
      </c>
      <c r="B271" s="6" t="n">
        <v>0.07738936201463811</v>
      </c>
      <c r="C271" s="6" t="n">
        <v>0.4941858053734399</v>
      </c>
      <c r="D271" s="6" t="n">
        <v>0.3862434740824066</v>
      </c>
      <c r="K271" s="6">
        <f>ABS(B271 - $G$2)</f>
        <v/>
      </c>
      <c r="L271" s="6">
        <f>ABS(B271 - $H$2)</f>
        <v/>
      </c>
      <c r="M271" s="6">
        <f>ABS(B271 - $I$2)</f>
        <v/>
      </c>
      <c r="O271">
        <f>(1/K271^2) / ((1/K271^2) + (1/L271^2) + (1/M271^2))</f>
        <v/>
      </c>
      <c r="P271">
        <f>(1/L271^2) / ((1/K271^2) + (1/L271^2) + (1/M271^2))</f>
        <v/>
      </c>
      <c r="Q271">
        <f>(1/M271^2) / ((1/K271^2) + (1/L271^2) + (1/M271^2))</f>
        <v/>
      </c>
      <c r="S271">
        <f>IF(MAX(O271:Q271)=O271, "Murah", IF(MAX(O271:Q271)=P271, "Sedang", "Mahal"))</f>
        <v/>
      </c>
    </row>
    <row r="272">
      <c r="A272" s="6" t="inlineStr">
        <is>
          <t>AMALIA Guest House &amp; Cafe</t>
        </is>
      </c>
      <c r="B272" s="6" t="n">
        <v>0.06785408450860356</v>
      </c>
      <c r="C272" s="6" t="n">
        <v>0.5088092171971349</v>
      </c>
      <c r="D272" s="6" t="n">
        <v>0.4448959150442091</v>
      </c>
      <c r="K272" s="6">
        <f>ABS(B272 - $G$2)</f>
        <v/>
      </c>
      <c r="L272" s="6">
        <f>ABS(B272 - $H$2)</f>
        <v/>
      </c>
      <c r="M272" s="6">
        <f>ABS(B272 - $I$2)</f>
        <v/>
      </c>
      <c r="O272">
        <f>(1/K272^2) / ((1/K272^2) + (1/L272^2) + (1/M272^2))</f>
        <v/>
      </c>
      <c r="P272">
        <f>(1/L272^2) / ((1/K272^2) + (1/L272^2) + (1/M272^2))</f>
        <v/>
      </c>
      <c r="Q272">
        <f>(1/M272^2) / ((1/K272^2) + (1/L272^2) + (1/M272^2))</f>
        <v/>
      </c>
      <c r="S272">
        <f>IF(MAX(O272:Q272)=O272, "Murah", IF(MAX(O272:Q272)=P272, "Sedang", "Mahal"))</f>
        <v/>
      </c>
    </row>
    <row r="273">
      <c r="A273" s="6" t="inlineStr">
        <is>
          <t>Sans Hotel Bobosini Malang</t>
        </is>
      </c>
      <c r="B273" s="6" t="n">
        <v>0.1228944210575908</v>
      </c>
      <c r="C273" s="6" t="n">
        <v>0.6076840773850174</v>
      </c>
      <c r="D273" s="6" t="n">
        <v>0.477742130507758</v>
      </c>
      <c r="K273" s="6">
        <f>ABS(B273 - $G$2)</f>
        <v/>
      </c>
      <c r="L273" s="6">
        <f>ABS(B273 - $H$2)</f>
        <v/>
      </c>
      <c r="M273" s="6">
        <f>ABS(B273 - $I$2)</f>
        <v/>
      </c>
      <c r="O273">
        <f>(1/K273^2) / ((1/K273^2) + (1/L273^2) + (1/M273^2))</f>
        <v/>
      </c>
      <c r="P273">
        <f>(1/L273^2) / ((1/K273^2) + (1/L273^2) + (1/M273^2))</f>
        <v/>
      </c>
      <c r="Q273">
        <f>(1/M273^2) / ((1/K273^2) + (1/L273^2) + (1/M273^2))</f>
        <v/>
      </c>
      <c r="S273">
        <f>IF(MAX(O273:Q273)=O273, "Murah", IF(MAX(O273:Q273)=P273, "Sedang", "Mahal"))</f>
        <v/>
      </c>
    </row>
    <row r="274">
      <c r="A274" s="6" t="inlineStr">
        <is>
          <t>D'MAKTAB homestay &amp; cafe</t>
        </is>
      </c>
      <c r="B274" s="6" t="n">
        <v>0</v>
      </c>
      <c r="C274" s="6" t="n">
        <v>0.5655413245337262</v>
      </c>
      <c r="D274" s="6" t="n">
        <v>0.4468267704080503</v>
      </c>
      <c r="K274" s="6">
        <f>ABS(B274 - $G$2)</f>
        <v/>
      </c>
      <c r="L274" s="6">
        <f>ABS(B274 - $H$2)</f>
        <v/>
      </c>
      <c r="M274" s="6">
        <f>ABS(B274 - $I$2)</f>
        <v/>
      </c>
      <c r="O274">
        <f>(1/K274^2) / ((1/K274^2) + (1/L274^2) + (1/M274^2))</f>
        <v/>
      </c>
      <c r="P274">
        <f>(1/L274^2) / ((1/K274^2) + (1/L274^2) + (1/M274^2))</f>
        <v/>
      </c>
      <c r="Q274">
        <f>(1/M274^2) / ((1/K274^2) + (1/L274^2) + (1/M274^2))</f>
        <v/>
      </c>
      <c r="S274">
        <f>IF(MAX(O274:Q274)=O274, "Murah", IF(MAX(O274:Q274)=P274, "Sedang", "Mahal"))</f>
        <v/>
      </c>
    </row>
    <row r="275">
      <c r="A275" s="6" t="inlineStr">
        <is>
          <t>Plum Dreamscape Inan Malang</t>
        </is>
      </c>
      <c r="B275" s="6" t="n">
        <v>0.1342487923977175</v>
      </c>
      <c r="C275" s="6" t="n">
        <v>0.5002614996626311</v>
      </c>
      <c r="D275" s="6" t="n">
        <v>0.4865381981480761</v>
      </c>
      <c r="K275" s="6">
        <f>ABS(B275 - $G$2)</f>
        <v/>
      </c>
      <c r="L275" s="6">
        <f>ABS(B275 - $H$2)</f>
        <v/>
      </c>
      <c r="M275" s="6">
        <f>ABS(B275 - $I$2)</f>
        <v/>
      </c>
      <c r="O275">
        <f>(1/K275^2) / ((1/K275^2) + (1/L275^2) + (1/M275^2))</f>
        <v/>
      </c>
      <c r="P275">
        <f>(1/L275^2) / ((1/K275^2) + (1/L275^2) + (1/M275^2))</f>
        <v/>
      </c>
      <c r="Q275">
        <f>(1/M275^2) / ((1/K275^2) + (1/L275^2) + (1/M275^2))</f>
        <v/>
      </c>
      <c r="S275">
        <f>IF(MAX(O275:Q275)=O275, "Murah", IF(MAX(O275:Q275)=P275, "Sedang", "Mahal"))</f>
        <v/>
      </c>
    </row>
    <row r="276">
      <c r="A276" s="6" t="inlineStr">
        <is>
          <t>Adisa Homestay</t>
        </is>
      </c>
      <c r="B276" s="6" t="n">
        <v>0.04460410321500725</v>
      </c>
      <c r="C276" s="6" t="n">
        <v>0.5159558630382443</v>
      </c>
      <c r="D276" s="6" t="n">
        <v>0.471243997493158</v>
      </c>
      <c r="K276" s="6">
        <f>ABS(B276 - $G$2)</f>
        <v/>
      </c>
      <c r="L276" s="6">
        <f>ABS(B276 - $H$2)</f>
        <v/>
      </c>
      <c r="M276" s="6">
        <f>ABS(B276 - $I$2)</f>
        <v/>
      </c>
      <c r="O276">
        <f>(1/K276^2) / ((1/K276^2) + (1/L276^2) + (1/M276^2))</f>
        <v/>
      </c>
      <c r="P276">
        <f>(1/L276^2) / ((1/K276^2) + (1/L276^2) + (1/M276^2))</f>
        <v/>
      </c>
      <c r="Q276">
        <f>(1/M276^2) / ((1/K276^2) + (1/L276^2) + (1/M276^2))</f>
        <v/>
      </c>
      <c r="S276">
        <f>IF(MAX(O276:Q276)=O276, "Murah", IF(MAX(O276:Q276)=P276, "Sedang", "Mahal"))</f>
        <v/>
      </c>
    </row>
    <row r="277">
      <c r="A277" s="6" t="inlineStr">
        <is>
          <t>Shelter Hostel Malang</t>
        </is>
      </c>
      <c r="B277" s="6" t="n">
        <v>0.07309658878336321</v>
      </c>
      <c r="C277" s="6" t="n">
        <v>0.4896942831216882</v>
      </c>
      <c r="D277" s="6" t="n">
        <v>0.4834180244218601</v>
      </c>
      <c r="K277" s="6">
        <f>ABS(B277 - $G$2)</f>
        <v/>
      </c>
      <c r="L277" s="6">
        <f>ABS(B277 - $H$2)</f>
        <v/>
      </c>
      <c r="M277" s="6">
        <f>ABS(B277 - $I$2)</f>
        <v/>
      </c>
      <c r="O277">
        <f>(1/K277^2) / ((1/K277^2) + (1/L277^2) + (1/M277^2))</f>
        <v/>
      </c>
      <c r="P277">
        <f>(1/L277^2) / ((1/K277^2) + (1/L277^2) + (1/M277^2))</f>
        <v/>
      </c>
      <c r="Q277">
        <f>(1/M277^2) / ((1/K277^2) + (1/L277^2) + (1/M277^2))</f>
        <v/>
      </c>
      <c r="S277">
        <f>IF(MAX(O277:Q277)=O277, "Murah", IF(MAX(O277:Q277)=P277, "Sedang", "Mahal"))</f>
        <v/>
      </c>
    </row>
    <row r="278">
      <c r="A278" s="6" t="inlineStr">
        <is>
          <t>OYO 90379 Holistay Malang</t>
        </is>
      </c>
      <c r="B278" s="6" t="n">
        <v>0.1215966123395753</v>
      </c>
      <c r="C278" s="6" t="n">
        <v>0.617212376504213</v>
      </c>
      <c r="D278" s="6" t="n">
        <v>0.552405406763927</v>
      </c>
      <c r="K278" s="6">
        <f>ABS(B278 - $G$2)</f>
        <v/>
      </c>
      <c r="L278" s="6">
        <f>ABS(B278 - $H$2)</f>
        <v/>
      </c>
      <c r="M278" s="6">
        <f>ABS(B278 - $I$2)</f>
        <v/>
      </c>
      <c r="O278">
        <f>(1/K278^2) / ((1/K278^2) + (1/L278^2) + (1/M278^2))</f>
        <v/>
      </c>
      <c r="P278">
        <f>(1/L278^2) / ((1/K278^2) + (1/L278^2) + (1/M278^2))</f>
        <v/>
      </c>
      <c r="Q278">
        <f>(1/M278^2) / ((1/K278^2) + (1/L278^2) + (1/M278^2))</f>
        <v/>
      </c>
      <c r="S278">
        <f>IF(MAX(O278:Q278)=O278, "Murah", IF(MAX(O278:Q278)=P278, "Sedang", "Mahal"))</f>
        <v/>
      </c>
    </row>
    <row r="279">
      <c r="A279" s="6" t="inlineStr">
        <is>
          <t>RedDoorz @ Simple Stay Malang</t>
        </is>
      </c>
      <c r="B279" s="6" t="n">
        <v>0.09568755040336549</v>
      </c>
      <c r="C279" s="6" t="n">
        <v>0.5795493438567145</v>
      </c>
      <c r="D279" s="6" t="n">
        <v>0.4747759825019577</v>
      </c>
      <c r="K279" s="6">
        <f>ABS(B279 - $G$2)</f>
        <v/>
      </c>
      <c r="L279" s="6">
        <f>ABS(B279 - $H$2)</f>
        <v/>
      </c>
      <c r="M279" s="6">
        <f>ABS(B279 - $I$2)</f>
        <v/>
      </c>
      <c r="O279">
        <f>(1/K279^2) / ((1/K279^2) + (1/L279^2) + (1/M279^2))</f>
        <v/>
      </c>
      <c r="P279">
        <f>(1/L279^2) / ((1/K279^2) + (1/L279^2) + (1/M279^2))</f>
        <v/>
      </c>
      <c r="Q279">
        <f>(1/M279^2) / ((1/K279^2) + (1/L279^2) + (1/M279^2))</f>
        <v/>
      </c>
      <c r="S279">
        <f>IF(MAX(O279:Q279)=O279, "Murah", IF(MAX(O279:Q279)=P279, "Sedang", "Mahal"))</f>
        <v/>
      </c>
    </row>
    <row r="280">
      <c r="A280" s="6" t="inlineStr">
        <is>
          <t>Reddoorz @ Ciliwung Guest House Syariah</t>
        </is>
      </c>
      <c r="B280" s="6" t="n">
        <v>0.1248892165203872</v>
      </c>
      <c r="C280" s="6" t="n">
        <v>0.5597856343449025</v>
      </c>
      <c r="D280" s="6" t="n">
        <v>0.5123172155101248</v>
      </c>
      <c r="K280" s="6">
        <f>ABS(B280 - $G$2)</f>
        <v/>
      </c>
      <c r="L280" s="6">
        <f>ABS(B280 - $H$2)</f>
        <v/>
      </c>
      <c r="M280" s="6">
        <f>ABS(B280 - $I$2)</f>
        <v/>
      </c>
      <c r="O280">
        <f>(1/K280^2) / ((1/K280^2) + (1/L280^2) + (1/M280^2))</f>
        <v/>
      </c>
      <c r="P280">
        <f>(1/L280^2) / ((1/K280^2) + (1/L280^2) + (1/M280^2))</f>
        <v/>
      </c>
      <c r="Q280">
        <f>(1/M280^2) / ((1/K280^2) + (1/L280^2) + (1/M280^2))</f>
        <v/>
      </c>
      <c r="S280">
        <f>IF(MAX(O280:Q280)=O280, "Murah", IF(MAX(O280:Q280)=P280, "Sedang", "Mahal"))</f>
        <v/>
      </c>
    </row>
    <row r="281">
      <c r="A281" s="6" t="inlineStr">
        <is>
          <t>Yutaka Inn Suhat Raya Malang</t>
        </is>
      </c>
      <c r="B281" s="6" t="n">
        <v>0.02432802440977832</v>
      </c>
      <c r="C281" s="6" t="n">
        <v>0.6050235585737326</v>
      </c>
      <c r="D281" s="6" t="n">
        <v>0.4408811009057594</v>
      </c>
      <c r="K281" s="6">
        <f>ABS(B281 - $G$2)</f>
        <v/>
      </c>
      <c r="L281" s="6">
        <f>ABS(B281 - $H$2)</f>
        <v/>
      </c>
      <c r="M281" s="6">
        <f>ABS(B281 - $I$2)</f>
        <v/>
      </c>
      <c r="O281">
        <f>(1/K281^2) / ((1/K281^2) + (1/L281^2) + (1/M281^2))</f>
        <v/>
      </c>
      <c r="P281">
        <f>(1/L281^2) / ((1/K281^2) + (1/L281^2) + (1/M281^2))</f>
        <v/>
      </c>
      <c r="Q281">
        <f>(1/M281^2) / ((1/K281^2) + (1/L281^2) + (1/M281^2))</f>
        <v/>
      </c>
      <c r="S281">
        <f>IF(MAX(O281:Q281)=O281, "Murah", IF(MAX(O281:Q281)=P281, "Sedang", "Mahal"))</f>
        <v/>
      </c>
    </row>
    <row r="282">
      <c r="A282" s="6" t="inlineStr">
        <is>
          <t>D'Paragon Ijen Nirwana Malang</t>
        </is>
      </c>
      <c r="B282" s="6" t="n">
        <v>0.05440293316409812</v>
      </c>
      <c r="C282" s="6" t="n">
        <v>0.4759125259181411</v>
      </c>
      <c r="D282" s="6" t="n">
        <v>0.4142268116353416</v>
      </c>
      <c r="K282" s="6">
        <f>ABS(B282 - $G$2)</f>
        <v/>
      </c>
      <c r="L282" s="6">
        <f>ABS(B282 - $H$2)</f>
        <v/>
      </c>
      <c r="M282" s="6">
        <f>ABS(B282 - $I$2)</f>
        <v/>
      </c>
      <c r="O282">
        <f>(1/K282^2) / ((1/K282^2) + (1/L282^2) + (1/M282^2))</f>
        <v/>
      </c>
      <c r="P282">
        <f>(1/L282^2) / ((1/K282^2) + (1/L282^2) + (1/M282^2))</f>
        <v/>
      </c>
      <c r="Q282">
        <f>(1/M282^2) / ((1/K282^2) + (1/L282^2) + (1/M282^2))</f>
        <v/>
      </c>
      <c r="S282">
        <f>IF(MAX(O282:Q282)=O282, "Murah", IF(MAX(O282:Q282)=P282, "Sedang", "Mahal"))</f>
        <v/>
      </c>
    </row>
    <row r="283">
      <c r="A283" s="6" t="inlineStr">
        <is>
          <t>Shini Guest House</t>
        </is>
      </c>
      <c r="B283" s="6" t="n">
        <v>0</v>
      </c>
      <c r="C283" s="6" t="n">
        <v>0.6203422796228864</v>
      </c>
      <c r="D283" s="6" t="n">
        <v>0.4027237650157985</v>
      </c>
      <c r="K283" s="6">
        <f>ABS(B283 - $G$2)</f>
        <v/>
      </c>
      <c r="L283" s="6">
        <f>ABS(B283 - $H$2)</f>
        <v/>
      </c>
      <c r="M283" s="6">
        <f>ABS(B283 - $I$2)</f>
        <v/>
      </c>
      <c r="O283">
        <f>(1/K283^2) / ((1/K283^2) + (1/L283^2) + (1/M283^2))</f>
        <v/>
      </c>
      <c r="P283">
        <f>(1/L283^2) / ((1/K283^2) + (1/L283^2) + (1/M283^2))</f>
        <v/>
      </c>
      <c r="Q283">
        <f>(1/M283^2) / ((1/K283^2) + (1/L283^2) + (1/M283^2))</f>
        <v/>
      </c>
      <c r="S283">
        <f>IF(MAX(O283:Q283)=O283, "Murah", IF(MAX(O283:Q283)=P283, "Sedang", "Mahal"))</f>
        <v/>
      </c>
    </row>
    <row r="284">
      <c r="A284" s="6" t="inlineStr">
        <is>
          <t>D'Paragon Songgolangit Malang</t>
        </is>
      </c>
      <c r="B284" s="6" t="n">
        <v>0.1261396356823958</v>
      </c>
      <c r="C284" s="6" t="n">
        <v>0.5814949957630651</v>
      </c>
      <c r="D284" s="6" t="n">
        <v>0.434254305687586</v>
      </c>
      <c r="K284" s="6">
        <f>ABS(B284 - $G$2)</f>
        <v/>
      </c>
      <c r="L284" s="6">
        <f>ABS(B284 - $H$2)</f>
        <v/>
      </c>
      <c r="M284" s="6">
        <f>ABS(B284 - $I$2)</f>
        <v/>
      </c>
      <c r="O284">
        <f>(1/K284^2) / ((1/K284^2) + (1/L284^2) + (1/M284^2))</f>
        <v/>
      </c>
      <c r="P284">
        <f>(1/L284^2) / ((1/K284^2) + (1/L284^2) + (1/M284^2))</f>
        <v/>
      </c>
      <c r="Q284">
        <f>(1/M284^2) / ((1/K284^2) + (1/L284^2) + (1/M284^2))</f>
        <v/>
      </c>
      <c r="S284">
        <f>IF(MAX(O284:Q284)=O284, "Murah", IF(MAX(O284:Q284)=P284, "Sedang", "Mahal"))</f>
        <v/>
      </c>
    </row>
    <row r="285">
      <c r="A285" s="6" t="inlineStr">
        <is>
          <t>Griya Kendedes Guest House &amp; Kos</t>
        </is>
      </c>
      <c r="B285" s="6" t="n">
        <v>0.104767500187064</v>
      </c>
      <c r="C285" s="6" t="n">
        <v>0.5865408770675075</v>
      </c>
      <c r="D285" s="6" t="n">
        <v>0.4179552486108802</v>
      </c>
      <c r="K285" s="6">
        <f>ABS(B285 - $G$2)</f>
        <v/>
      </c>
      <c r="L285" s="6">
        <f>ABS(B285 - $H$2)</f>
        <v/>
      </c>
      <c r="M285" s="6">
        <f>ABS(B285 - $I$2)</f>
        <v/>
      </c>
      <c r="O285">
        <f>(1/K285^2) / ((1/K285^2) + (1/L285^2) + (1/M285^2))</f>
        <v/>
      </c>
      <c r="P285">
        <f>(1/L285^2) / ((1/K285^2) + (1/L285^2) + (1/M285^2))</f>
        <v/>
      </c>
      <c r="Q285">
        <f>(1/M285^2) / ((1/K285^2) + (1/L285^2) + (1/M285^2))</f>
        <v/>
      </c>
      <c r="S285">
        <f>IF(MAX(O285:Q285)=O285, "Murah", IF(MAX(O285:Q285)=P285, "Sedang", "Mahal"))</f>
        <v/>
      </c>
    </row>
    <row r="286">
      <c r="A286" s="6" t="inlineStr">
        <is>
          <t>Fafana Syariah Mitra RedDoorz</t>
        </is>
      </c>
      <c r="B286" s="6" t="n">
        <v>0.03324668342390927</v>
      </c>
      <c r="C286" s="6" t="n">
        <v>0.5444793897464471</v>
      </c>
      <c r="D286" s="6" t="n">
        <v>0.4810827362530823</v>
      </c>
      <c r="K286" s="6">
        <f>ABS(B286 - $G$2)</f>
        <v/>
      </c>
      <c r="L286" s="6">
        <f>ABS(B286 - $H$2)</f>
        <v/>
      </c>
      <c r="M286" s="6">
        <f>ABS(B286 - $I$2)</f>
        <v/>
      </c>
      <c r="O286">
        <f>(1/K286^2) / ((1/K286^2) + (1/L286^2) + (1/M286^2))</f>
        <v/>
      </c>
      <c r="P286">
        <f>(1/L286^2) / ((1/K286^2) + (1/L286^2) + (1/M286^2))</f>
        <v/>
      </c>
      <c r="Q286">
        <f>(1/M286^2) / ((1/K286^2) + (1/L286^2) + (1/M286^2))</f>
        <v/>
      </c>
      <c r="S286">
        <f>IF(MAX(O286:Q286)=O286, "Murah", IF(MAX(O286:Q286)=P286, "Sedang", "Mahal"))</f>
        <v/>
      </c>
    </row>
    <row r="287">
      <c r="A287" s="6" t="inlineStr">
        <is>
          <t>RedDoorz @ Jalan Kedawung</t>
        </is>
      </c>
      <c r="B287" s="6" t="n">
        <v>0.08098431710541266</v>
      </c>
      <c r="C287" s="6" t="n">
        <v>0.5574043182681873</v>
      </c>
      <c r="D287" s="6" t="n">
        <v>0.4948749555562237</v>
      </c>
      <c r="K287" s="6">
        <f>ABS(B287 - $G$2)</f>
        <v/>
      </c>
      <c r="L287" s="6">
        <f>ABS(B287 - $H$2)</f>
        <v/>
      </c>
      <c r="M287" s="6">
        <f>ABS(B287 - $I$2)</f>
        <v/>
      </c>
      <c r="O287">
        <f>(1/K287^2) / ((1/K287^2) + (1/L287^2) + (1/M287^2))</f>
        <v/>
      </c>
      <c r="P287">
        <f>(1/L287^2) / ((1/K287^2) + (1/L287^2) + (1/M287^2))</f>
        <v/>
      </c>
      <c r="Q287">
        <f>(1/M287^2) / ((1/K287^2) + (1/L287^2) + (1/M287^2))</f>
        <v/>
      </c>
      <c r="S287">
        <f>IF(MAX(O287:Q287)=O287, "Murah", IF(MAX(O287:Q287)=P287, "Sedang", "Mahal"))</f>
        <v/>
      </c>
    </row>
    <row r="288">
      <c r="A288" s="6" t="inlineStr">
        <is>
          <t>Damar Boutique Hotel</t>
        </is>
      </c>
      <c r="B288" s="6" t="n">
        <v>0.06031803657586902</v>
      </c>
      <c r="C288" s="6" t="n">
        <v>0.5597269613064789</v>
      </c>
      <c r="D288" s="6" t="n">
        <v>0.4906544663538944</v>
      </c>
      <c r="K288" s="6">
        <f>ABS(B288 - $G$2)</f>
        <v/>
      </c>
      <c r="L288" s="6">
        <f>ABS(B288 - $H$2)</f>
        <v/>
      </c>
      <c r="M288" s="6">
        <f>ABS(B288 - $I$2)</f>
        <v/>
      </c>
      <c r="O288">
        <f>(1/K288^2) / ((1/K288^2) + (1/L288^2) + (1/M288^2))</f>
        <v/>
      </c>
      <c r="P288">
        <f>(1/L288^2) / ((1/K288^2) + (1/L288^2) + (1/M288^2))</f>
        <v/>
      </c>
      <c r="Q288">
        <f>(1/M288^2) / ((1/K288^2) + (1/L288^2) + (1/M288^2))</f>
        <v/>
      </c>
      <c r="S288">
        <f>IF(MAX(O288:Q288)=O288, "Murah", IF(MAX(O288:Q288)=P288, "Sedang", "Mahal"))</f>
        <v/>
      </c>
    </row>
    <row r="289">
      <c r="A289" s="6" t="inlineStr">
        <is>
          <t>Little Malang Hostel</t>
        </is>
      </c>
      <c r="B289" s="6" t="n">
        <v>0.01440531649849379</v>
      </c>
      <c r="C289" s="6" t="n">
        <v>0.4414549294962515</v>
      </c>
      <c r="D289" s="6" t="n">
        <v>0.469472701708017</v>
      </c>
      <c r="K289" s="6">
        <f>ABS(B289 - $G$2)</f>
        <v/>
      </c>
      <c r="L289" s="6">
        <f>ABS(B289 - $H$2)</f>
        <v/>
      </c>
      <c r="M289" s="6">
        <f>ABS(B289 - $I$2)</f>
        <v/>
      </c>
      <c r="O289">
        <f>(1/K289^2) / ((1/K289^2) + (1/L289^2) + (1/M289^2))</f>
        <v/>
      </c>
      <c r="P289">
        <f>(1/L289^2) / ((1/K289^2) + (1/L289^2) + (1/M289^2))</f>
        <v/>
      </c>
      <c r="Q289">
        <f>(1/M289^2) / ((1/K289^2) + (1/L289^2) + (1/M289^2))</f>
        <v/>
      </c>
      <c r="S289">
        <f>IF(MAX(O289:Q289)=O289, "Murah", IF(MAX(O289:Q289)=P289, "Sedang", "Mahal"))</f>
        <v/>
      </c>
    </row>
    <row r="290">
      <c r="A290" s="6" t="inlineStr">
        <is>
          <t>Reddoorz Near Universitas Widyagama Malang</t>
        </is>
      </c>
      <c r="B290" s="6" t="n">
        <v>0.08127087149670628</v>
      </c>
      <c r="C290" s="6" t="n">
        <v>0.6138761061469451</v>
      </c>
      <c r="D290" s="6" t="n">
        <v>0.4891783096737843</v>
      </c>
      <c r="K290" s="6">
        <f>ABS(B290 - $G$2)</f>
        <v/>
      </c>
      <c r="L290" s="6">
        <f>ABS(B290 - $H$2)</f>
        <v/>
      </c>
      <c r="M290" s="6">
        <f>ABS(B290 - $I$2)</f>
        <v/>
      </c>
      <c r="O290">
        <f>(1/K290^2) / ((1/K290^2) + (1/L290^2) + (1/M290^2))</f>
        <v/>
      </c>
      <c r="P290">
        <f>(1/L290^2) / ((1/K290^2) + (1/L290^2) + (1/M290^2))</f>
        <v/>
      </c>
      <c r="Q290">
        <f>(1/M290^2) / ((1/K290^2) + (1/L290^2) + (1/M290^2))</f>
        <v/>
      </c>
      <c r="S290">
        <f>IF(MAX(O290:Q290)=O290, "Murah", IF(MAX(O290:Q290)=P290, "Sedang", "Mahal"))</f>
        <v/>
      </c>
    </row>
    <row r="291">
      <c r="A291" s="6" t="inlineStr">
        <is>
          <t>OYO Life 92621 Zain Kost</t>
        </is>
      </c>
      <c r="B291" s="6" t="n">
        <v>0.06913748236748245</v>
      </c>
      <c r="C291" s="6" t="n">
        <v>0.7035774030571338</v>
      </c>
      <c r="D291" s="6" t="n">
        <v>0.4941324962450432</v>
      </c>
      <c r="K291" s="6">
        <f>ABS(B291 - $G$2)</f>
        <v/>
      </c>
      <c r="L291" s="6">
        <f>ABS(B291 - $H$2)</f>
        <v/>
      </c>
      <c r="M291" s="6">
        <f>ABS(B291 - $I$2)</f>
        <v/>
      </c>
      <c r="O291">
        <f>(1/K291^2) / ((1/K291^2) + (1/L291^2) + (1/M291^2))</f>
        <v/>
      </c>
      <c r="P291">
        <f>(1/L291^2) / ((1/K291^2) + (1/L291^2) + (1/M291^2))</f>
        <v/>
      </c>
      <c r="Q291">
        <f>(1/M291^2) / ((1/K291^2) + (1/L291^2) + (1/M291^2))</f>
        <v/>
      </c>
      <c r="S291">
        <f>IF(MAX(O291:Q291)=O291, "Murah", IF(MAX(O291:Q291)=P291, "Sedang", "Mahal"))</f>
        <v/>
      </c>
    </row>
    <row r="292">
      <c r="A292" s="6" t="inlineStr">
        <is>
          <t>Hotel O 94706 Rumah Kalimosodo</t>
        </is>
      </c>
      <c r="B292" s="6" t="n">
        <v>0.07034827166686528</v>
      </c>
      <c r="C292" s="6" t="n">
        <v>0.4589425297588653</v>
      </c>
      <c r="D292" s="6" t="n">
        <v>0.5512492915508658</v>
      </c>
      <c r="K292" s="6">
        <f>ABS(B292 - $G$2)</f>
        <v/>
      </c>
      <c r="L292" s="6">
        <f>ABS(B292 - $H$2)</f>
        <v/>
      </c>
      <c r="M292" s="6">
        <f>ABS(B292 - $I$2)</f>
        <v/>
      </c>
      <c r="O292">
        <f>(1/K292^2) / ((1/K292^2) + (1/L292^2) + (1/M292^2))</f>
        <v/>
      </c>
      <c r="P292">
        <f>(1/L292^2) / ((1/K292^2) + (1/L292^2) + (1/M292^2))</f>
        <v/>
      </c>
      <c r="Q292">
        <f>(1/M292^2) / ((1/K292^2) + (1/L292^2) + (1/M292^2))</f>
        <v/>
      </c>
      <c r="S292">
        <f>IF(MAX(O292:Q292)=O292, "Murah", IF(MAX(O292:Q292)=P292, "Sedang", "Mahal"))</f>
        <v/>
      </c>
    </row>
    <row r="293">
      <c r="A293" s="6" t="inlineStr">
        <is>
          <t>RedDoorz near Universitas Widyagama Malang 2</t>
        </is>
      </c>
      <c r="B293" s="6" t="n">
        <v>0.1229085547848209</v>
      </c>
      <c r="C293" s="6" t="n">
        <v>0.612309468580757</v>
      </c>
      <c r="D293" s="6" t="n">
        <v>0.4864754810883054</v>
      </c>
      <c r="K293" s="6">
        <f>ABS(B293 - $G$2)</f>
        <v/>
      </c>
      <c r="L293" s="6">
        <f>ABS(B293 - $H$2)</f>
        <v/>
      </c>
      <c r="M293" s="6">
        <f>ABS(B293 - $I$2)</f>
        <v/>
      </c>
      <c r="O293">
        <f>(1/K293^2) / ((1/K293^2) + (1/L293^2) + (1/M293^2))</f>
        <v/>
      </c>
      <c r="P293">
        <f>(1/L293^2) / ((1/K293^2) + (1/L293^2) + (1/M293^2))</f>
        <v/>
      </c>
      <c r="Q293">
        <f>(1/M293^2) / ((1/K293^2) + (1/L293^2) + (1/M293^2))</f>
        <v/>
      </c>
      <c r="S293">
        <f>IF(MAX(O293:Q293)=O293, "Murah", IF(MAX(O293:Q293)=P293, "Sedang", "Mahal"))</f>
        <v/>
      </c>
    </row>
    <row r="294">
      <c r="A294" s="6" t="inlineStr">
        <is>
          <t>Tree Homestay Mitra RedDoorz</t>
        </is>
      </c>
      <c r="B294" s="6" t="n">
        <v>0.1310662095837756</v>
      </c>
      <c r="C294" s="6" t="n">
        <v>0.5321614236911606</v>
      </c>
      <c r="D294" s="6" t="n">
        <v>0.3466132095962365</v>
      </c>
      <c r="K294" s="6">
        <f>ABS(B294 - $G$2)</f>
        <v/>
      </c>
      <c r="L294" s="6">
        <f>ABS(B294 - $H$2)</f>
        <v/>
      </c>
      <c r="M294" s="6">
        <f>ABS(B294 - $I$2)</f>
        <v/>
      </c>
      <c r="O294">
        <f>(1/K294^2) / ((1/K294^2) + (1/L294^2) + (1/M294^2))</f>
        <v/>
      </c>
      <c r="P294">
        <f>(1/L294^2) / ((1/K294^2) + (1/L294^2) + (1/M294^2))</f>
        <v/>
      </c>
      <c r="Q294">
        <f>(1/M294^2) / ((1/K294^2) + (1/L294^2) + (1/M294^2))</f>
        <v/>
      </c>
      <c r="S294">
        <f>IF(MAX(O294:Q294)=O294, "Murah", IF(MAX(O294:Q294)=P294, "Sedang", "Mahal"))</f>
        <v/>
      </c>
    </row>
    <row r="295">
      <c r="A295" s="6" t="inlineStr">
        <is>
          <t>Youkata Stay Hotel Malang</t>
        </is>
      </c>
      <c r="B295" s="6" t="n">
        <v>0</v>
      </c>
      <c r="C295" s="6" t="n">
        <v>0.5152828091032217</v>
      </c>
      <c r="D295" s="6" t="n">
        <v>0.4943815198649602</v>
      </c>
      <c r="K295" s="6">
        <f>ABS(B295 - $G$2)</f>
        <v/>
      </c>
      <c r="L295" s="6">
        <f>ABS(B295 - $H$2)</f>
        <v/>
      </c>
      <c r="M295" s="6">
        <f>ABS(B295 - $I$2)</f>
        <v/>
      </c>
      <c r="O295">
        <f>(1/K295^2) / ((1/K295^2) + (1/L295^2) + (1/M295^2))</f>
        <v/>
      </c>
      <c r="P295">
        <f>(1/L295^2) / ((1/K295^2) + (1/L295^2) + (1/M295^2))</f>
        <v/>
      </c>
      <c r="Q295">
        <f>(1/M295^2) / ((1/K295^2) + (1/L295^2) + (1/M295^2))</f>
        <v/>
      </c>
      <c r="S295">
        <f>IF(MAX(O295:Q295)=O295, "Murah", IF(MAX(O295:Q295)=P295, "Sedang", "Mahal"))</f>
        <v/>
      </c>
    </row>
    <row r="296">
      <c r="A296" s="6" t="inlineStr">
        <is>
          <t>Bromo Breeze by Zzz</t>
        </is>
      </c>
      <c r="B296" s="6" t="n">
        <v>0.06355660003491861</v>
      </c>
      <c r="C296" s="6" t="n">
        <v>0.4795748700004402</v>
      </c>
      <c r="D296" s="6" t="n">
        <v>0.5853226400746734</v>
      </c>
      <c r="K296" s="6">
        <f>ABS(B296 - $G$2)</f>
        <v/>
      </c>
      <c r="L296" s="6">
        <f>ABS(B296 - $H$2)</f>
        <v/>
      </c>
      <c r="M296" s="6">
        <f>ABS(B296 - $I$2)</f>
        <v/>
      </c>
      <c r="O296">
        <f>(1/K296^2) / ((1/K296^2) + (1/L296^2) + (1/M296^2))</f>
        <v/>
      </c>
      <c r="P296">
        <f>(1/L296^2) / ((1/K296^2) + (1/L296^2) + (1/M296^2))</f>
        <v/>
      </c>
      <c r="Q296">
        <f>(1/M296^2) / ((1/K296^2) + (1/L296^2) + (1/M296^2))</f>
        <v/>
      </c>
      <c r="S296">
        <f>IF(MAX(O296:Q296)=O296, "Murah", IF(MAX(O296:Q296)=P296, "Sedang", "Mahal"))</f>
        <v/>
      </c>
    </row>
    <row r="297">
      <c r="A297" s="6" t="inlineStr">
        <is>
          <t>dinoyo homestay syariah</t>
        </is>
      </c>
      <c r="B297" s="6" t="n">
        <v>0.009815734995385754</v>
      </c>
      <c r="C297" s="6" t="n">
        <v>0.6041276145329747</v>
      </c>
      <c r="D297" s="6" t="n">
        <v>0.3632692005280955</v>
      </c>
      <c r="K297" s="6">
        <f>ABS(B297 - $G$2)</f>
        <v/>
      </c>
      <c r="L297" s="6">
        <f>ABS(B297 - $H$2)</f>
        <v/>
      </c>
      <c r="M297" s="6">
        <f>ABS(B297 - $I$2)</f>
        <v/>
      </c>
      <c r="O297">
        <f>(1/K297^2) / ((1/K297^2) + (1/L297^2) + (1/M297^2))</f>
        <v/>
      </c>
      <c r="P297">
        <f>(1/L297^2) / ((1/K297^2) + (1/L297^2) + (1/M297^2))</f>
        <v/>
      </c>
      <c r="Q297">
        <f>(1/M297^2) / ((1/K297^2) + (1/L297^2) + (1/M297^2))</f>
        <v/>
      </c>
      <c r="S297">
        <f>IF(MAX(O297:Q297)=O297, "Murah", IF(MAX(O297:Q297)=P297, "Sedang", "Mahal"))</f>
        <v/>
      </c>
    </row>
    <row r="298">
      <c r="A298" s="6" t="inlineStr">
        <is>
          <t>Griya Borobudur Malang RedPartner</t>
        </is>
      </c>
      <c r="B298" s="6" t="n">
        <v>0.1432882809230709</v>
      </c>
      <c r="C298" s="6" t="n">
        <v>0.6141971218514233</v>
      </c>
      <c r="D298" s="6" t="n">
        <v>0.4930248022914139</v>
      </c>
      <c r="K298" s="6">
        <f>ABS(B298 - $G$2)</f>
        <v/>
      </c>
      <c r="L298" s="6">
        <f>ABS(B298 - $H$2)</f>
        <v/>
      </c>
      <c r="M298" s="6">
        <f>ABS(B298 - $I$2)</f>
        <v/>
      </c>
      <c r="O298">
        <f>(1/K298^2) / ((1/K298^2) + (1/L298^2) + (1/M298^2))</f>
        <v/>
      </c>
      <c r="P298">
        <f>(1/L298^2) / ((1/K298^2) + (1/L298^2) + (1/M298^2))</f>
        <v/>
      </c>
      <c r="Q298">
        <f>(1/M298^2) / ((1/K298^2) + (1/L298^2) + (1/M298^2))</f>
        <v/>
      </c>
      <c r="S298">
        <f>IF(MAX(O298:Q298)=O298, "Murah", IF(MAX(O298:Q298)=P298, "Sedang", "Mahal"))</f>
        <v/>
      </c>
    </row>
    <row r="299">
      <c r="A299" s="6" t="inlineStr">
        <is>
          <t>Dpavilion Guest House &amp; Resto</t>
        </is>
      </c>
      <c r="B299" s="6" t="n">
        <v>0.08188028455904156</v>
      </c>
      <c r="C299" s="6" t="n">
        <v>0.4981799556040685</v>
      </c>
      <c r="D299" s="6" t="n">
        <v>0.4399486457957075</v>
      </c>
      <c r="K299" s="6">
        <f>ABS(B299 - $G$2)</f>
        <v/>
      </c>
      <c r="L299" s="6">
        <f>ABS(B299 - $H$2)</f>
        <v/>
      </c>
      <c r="M299" s="6">
        <f>ABS(B299 - $I$2)</f>
        <v/>
      </c>
      <c r="O299">
        <f>(1/K299^2) / ((1/K299^2) + (1/L299^2) + (1/M299^2))</f>
        <v/>
      </c>
      <c r="P299">
        <f>(1/L299^2) / ((1/K299^2) + (1/L299^2) + (1/M299^2))</f>
        <v/>
      </c>
      <c r="Q299">
        <f>(1/M299^2) / ((1/K299^2) + (1/L299^2) + (1/M299^2))</f>
        <v/>
      </c>
      <c r="S299">
        <f>IF(MAX(O299:Q299)=O299, "Murah", IF(MAX(O299:Q299)=P299, "Sedang", "Mahal"))</f>
        <v/>
      </c>
    </row>
    <row r="300">
      <c r="A300" s="6" t="inlineStr">
        <is>
          <t>Sentral homestay</t>
        </is>
      </c>
      <c r="B300" s="6" t="n">
        <v>0.06939687783194166</v>
      </c>
      <c r="C300" s="6" t="n">
        <v>0.4631919414267743</v>
      </c>
      <c r="D300" s="6" t="n">
        <v>0.4573553968260425</v>
      </c>
      <c r="K300" s="6">
        <f>ABS(B300 - $G$2)</f>
        <v/>
      </c>
      <c r="L300" s="6">
        <f>ABS(B300 - $H$2)</f>
        <v/>
      </c>
      <c r="M300" s="6">
        <f>ABS(B300 - $I$2)</f>
        <v/>
      </c>
      <c r="O300">
        <f>(1/K300^2) / ((1/K300^2) + (1/L300^2) + (1/M300^2))</f>
        <v/>
      </c>
      <c r="P300">
        <f>(1/L300^2) / ((1/K300^2) + (1/L300^2) + (1/M300^2))</f>
        <v/>
      </c>
      <c r="Q300">
        <f>(1/M300^2) / ((1/K300^2) + (1/L300^2) + (1/M300^2))</f>
        <v/>
      </c>
      <c r="S300">
        <f>IF(MAX(O300:Q300)=O300, "Murah", IF(MAX(O300:Q300)=P300, "Sedang", "Mahal"))</f>
        <v/>
      </c>
    </row>
    <row r="301">
      <c r="A301" s="6" t="inlineStr">
        <is>
          <t>D'Paragon Bukit Dieng Malang</t>
        </is>
      </c>
      <c r="B301" s="6" t="n">
        <v>0.04808598848794061</v>
      </c>
      <c r="C301" s="6" t="n">
        <v>0.4922968032972888</v>
      </c>
      <c r="D301" s="6" t="n">
        <v>0.3278949341678206</v>
      </c>
      <c r="K301" s="6">
        <f>ABS(B301 - $G$2)</f>
        <v/>
      </c>
      <c r="L301" s="6">
        <f>ABS(B301 - $H$2)</f>
        <v/>
      </c>
      <c r="M301" s="6">
        <f>ABS(B301 - $I$2)</f>
        <v/>
      </c>
      <c r="O301">
        <f>(1/K301^2) / ((1/K301^2) + (1/L301^2) + (1/M301^2))</f>
        <v/>
      </c>
      <c r="P301">
        <f>(1/L301^2) / ((1/K301^2) + (1/L301^2) + (1/M301^2))</f>
        <v/>
      </c>
      <c r="Q301">
        <f>(1/M301^2) / ((1/K301^2) + (1/L301^2) + (1/M301^2))</f>
        <v/>
      </c>
      <c r="S301">
        <f>IF(MAX(O301:Q301)=O301, "Murah", IF(MAX(O301:Q301)=P301, "Sedang", "Mahal"))</f>
        <v/>
      </c>
    </row>
    <row r="302">
      <c r="A302" s="6" t="inlineStr">
        <is>
          <t>Dei Kost</t>
        </is>
      </c>
      <c r="B302" s="6" t="n">
        <v>0.1374881872524866</v>
      </c>
      <c r="C302" s="6" t="n">
        <v>0.6350253760891186</v>
      </c>
      <c r="D302" s="6" t="n">
        <v>0.5478169159900722</v>
      </c>
      <c r="K302" s="6">
        <f>ABS(B302 - $G$2)</f>
        <v/>
      </c>
      <c r="L302" s="6">
        <f>ABS(B302 - $H$2)</f>
        <v/>
      </c>
      <c r="M302" s="6">
        <f>ABS(B302 - $I$2)</f>
        <v/>
      </c>
      <c r="O302">
        <f>(1/K302^2) / ((1/K302^2) + (1/L302^2) + (1/M302^2))</f>
        <v/>
      </c>
      <c r="P302">
        <f>(1/L302^2) / ((1/K302^2) + (1/L302^2) + (1/M302^2))</f>
        <v/>
      </c>
      <c r="Q302">
        <f>(1/M302^2) / ((1/K302^2) + (1/L302^2) + (1/M302^2))</f>
        <v/>
      </c>
      <c r="S302">
        <f>IF(MAX(O302:Q302)=O302, "Murah", IF(MAX(O302:Q302)=P302, "Sedang", "Mahal"))</f>
        <v/>
      </c>
    </row>
    <row r="303">
      <c r="A303" s="6" t="inlineStr">
        <is>
          <t>RedDoorz Syariah near Gor Ken Arok</t>
        </is>
      </c>
      <c r="B303" s="6" t="n">
        <v>0.06431289300768486</v>
      </c>
      <c r="C303" s="6" t="n">
        <v>0.3519455001657348</v>
      </c>
      <c r="D303" s="6" t="n">
        <v>0.518611979235163</v>
      </c>
      <c r="K303" s="6">
        <f>ABS(B303 - $G$2)</f>
        <v/>
      </c>
      <c r="L303" s="6">
        <f>ABS(B303 - $H$2)</f>
        <v/>
      </c>
      <c r="M303" s="6">
        <f>ABS(B303 - $I$2)</f>
        <v/>
      </c>
      <c r="O303">
        <f>(1/K303^2) / ((1/K303^2) + (1/L303^2) + (1/M303^2))</f>
        <v/>
      </c>
      <c r="P303">
        <f>(1/L303^2) / ((1/K303^2) + (1/L303^2) + (1/M303^2))</f>
        <v/>
      </c>
      <c r="Q303">
        <f>(1/M303^2) / ((1/K303^2) + (1/L303^2) + (1/M303^2))</f>
        <v/>
      </c>
      <c r="S303">
        <f>IF(MAX(O303:Q303)=O303, "Murah", IF(MAX(O303:Q303)=P303, "Sedang", "Mahal"))</f>
        <v/>
      </c>
    </row>
    <row r="304">
      <c r="A304" s="6" t="inlineStr">
        <is>
          <t>Tini’s Guest House</t>
        </is>
      </c>
      <c r="B304" s="6" t="n">
        <v>0.03898109683265944</v>
      </c>
      <c r="C304" s="6" t="n">
        <v>0.4916446558472235</v>
      </c>
      <c r="D304" s="6" t="n">
        <v>0.4109429279367449</v>
      </c>
      <c r="K304" s="6">
        <f>ABS(B304 - $G$2)</f>
        <v/>
      </c>
      <c r="L304" s="6">
        <f>ABS(B304 - $H$2)</f>
        <v/>
      </c>
      <c r="M304" s="6">
        <f>ABS(B304 - $I$2)</f>
        <v/>
      </c>
      <c r="O304">
        <f>(1/K304^2) / ((1/K304^2) + (1/L304^2) + (1/M304^2))</f>
        <v/>
      </c>
      <c r="P304">
        <f>(1/L304^2) / ((1/K304^2) + (1/L304^2) + (1/M304^2))</f>
        <v/>
      </c>
      <c r="Q304">
        <f>(1/M304^2) / ((1/K304^2) + (1/L304^2) + (1/M304^2))</f>
        <v/>
      </c>
      <c r="S304">
        <f>IF(MAX(O304:Q304)=O304, "Murah", IF(MAX(O304:Q304)=P304, "Sedang", "Mahal"))</f>
        <v/>
      </c>
    </row>
    <row r="305">
      <c r="A305" s="6" t="inlineStr">
        <is>
          <t>CUBIC ONE CAPSULE</t>
        </is>
      </c>
      <c r="B305" s="6" t="n">
        <v>0.02979057141827796</v>
      </c>
      <c r="C305" s="6" t="n">
        <v>0.5962671133910418</v>
      </c>
      <c r="D305" s="6" t="n">
        <v>0.4720021360692813</v>
      </c>
      <c r="K305" s="6">
        <f>ABS(B305 - $G$2)</f>
        <v/>
      </c>
      <c r="L305" s="6">
        <f>ABS(B305 - $H$2)</f>
        <v/>
      </c>
      <c r="M305" s="6">
        <f>ABS(B305 - $I$2)</f>
        <v/>
      </c>
      <c r="O305">
        <f>(1/K305^2) / ((1/K305^2) + (1/L305^2) + (1/M305^2))</f>
        <v/>
      </c>
      <c r="P305">
        <f>(1/L305^2) / ((1/K305^2) + (1/L305^2) + (1/M305^2))</f>
        <v/>
      </c>
      <c r="Q305">
        <f>(1/M305^2) / ((1/K305^2) + (1/L305^2) + (1/M305^2))</f>
        <v/>
      </c>
      <c r="S305">
        <f>IF(MAX(O305:Q305)=O305, "Murah", IF(MAX(O305:Q305)=P305, "Sedang", "Mahal"))</f>
        <v/>
      </c>
    </row>
    <row r="306">
      <c r="A306" s="6" t="inlineStr">
        <is>
          <t>Grand Mercure Malang Mirama</t>
        </is>
      </c>
      <c r="B306" s="6" t="n">
        <v>0.2259888759252741</v>
      </c>
      <c r="C306" s="6" t="n">
        <v>0.5959238423961245</v>
      </c>
      <c r="D306" s="6" t="n">
        <v>0.5471035094345247</v>
      </c>
      <c r="K306" s="6">
        <f>ABS(B306 - $G$2)</f>
        <v/>
      </c>
      <c r="L306" s="6">
        <f>ABS(B306 - $H$2)</f>
        <v/>
      </c>
      <c r="M306" s="6">
        <f>ABS(B306 - $I$2)</f>
        <v/>
      </c>
      <c r="O306">
        <f>(1/K306^2) / ((1/K306^2) + (1/L306^2) + (1/M306^2))</f>
        <v/>
      </c>
      <c r="P306">
        <f>(1/L306^2) / ((1/K306^2) + (1/L306^2) + (1/M306^2))</f>
        <v/>
      </c>
      <c r="Q306">
        <f>(1/M306^2) / ((1/K306^2) + (1/L306^2) + (1/M306^2))</f>
        <v/>
      </c>
      <c r="S306">
        <f>IF(MAX(O306:Q306)=O306, "Murah", IF(MAX(O306:Q306)=P306, "Sedang", "Mahal"))</f>
        <v/>
      </c>
    </row>
    <row r="307">
      <c r="A307" s="6" t="inlineStr">
        <is>
          <t>The Singhasari Resort</t>
        </is>
      </c>
      <c r="B307" s="6" t="n">
        <v>0.4597876061068787</v>
      </c>
      <c r="C307" s="6" t="n">
        <v>0.760565783435116</v>
      </c>
      <c r="D307" s="6" t="n">
        <v>0.09444313015310025</v>
      </c>
      <c r="K307" s="6">
        <f>ABS(B307 - $G$2)</f>
        <v/>
      </c>
      <c r="L307" s="6">
        <f>ABS(B307 - $H$2)</f>
        <v/>
      </c>
      <c r="M307" s="6">
        <f>ABS(B307 - $I$2)</f>
        <v/>
      </c>
      <c r="O307">
        <f>(1/K307^2) / ((1/K307^2) + (1/L307^2) + (1/M307^2))</f>
        <v/>
      </c>
      <c r="P307">
        <f>(1/L307^2) / ((1/K307^2) + (1/L307^2) + (1/M307^2))</f>
        <v/>
      </c>
      <c r="Q307">
        <f>(1/M307^2) / ((1/K307^2) + (1/L307^2) + (1/M307^2))</f>
        <v/>
      </c>
      <c r="S307">
        <f>IF(MAX(O307:Q307)=O307, "Murah", IF(MAX(O307:Q307)=P307, "Sedang", "Mahal"))</f>
        <v/>
      </c>
    </row>
    <row r="308">
      <c r="A308" s="6" t="inlineStr">
        <is>
          <t>Hotel Tugu Malang</t>
        </is>
      </c>
      <c r="B308" s="6" t="n">
        <v>0.3160766990264356</v>
      </c>
      <c r="C308" s="6" t="n">
        <v>0.4770421505084828</v>
      </c>
      <c r="D308" s="6" t="n">
        <v>0.4769554003308261</v>
      </c>
      <c r="K308" s="6">
        <f>ABS(B308 - $G$2)</f>
        <v/>
      </c>
      <c r="L308" s="6">
        <f>ABS(B308 - $H$2)</f>
        <v/>
      </c>
      <c r="M308" s="6">
        <f>ABS(B308 - $I$2)</f>
        <v/>
      </c>
      <c r="O308">
        <f>(1/K308^2) / ((1/K308^2) + (1/L308^2) + (1/M308^2))</f>
        <v/>
      </c>
      <c r="P308">
        <f>(1/L308^2) / ((1/K308^2) + (1/L308^2) + (1/M308^2))</f>
        <v/>
      </c>
      <c r="Q308">
        <f>(1/M308^2) / ((1/K308^2) + (1/L308^2) + (1/M308^2))</f>
        <v/>
      </c>
      <c r="S308">
        <f>IF(MAX(O308:Q308)=O308, "Murah", IF(MAX(O308:Q308)=P308, "Sedang", "Mahal"))</f>
        <v/>
      </c>
    </row>
    <row r="309">
      <c r="A309" s="6" t="inlineStr">
        <is>
          <t>The Shalimar Boutique Hotel Malang</t>
        </is>
      </c>
      <c r="B309" s="6" t="n">
        <v>0.231130227054171</v>
      </c>
      <c r="C309" s="6" t="n">
        <v>0.5012791733980497</v>
      </c>
      <c r="D309" s="6" t="n">
        <v>0.440109588838946</v>
      </c>
      <c r="K309" s="6">
        <f>ABS(B309 - $G$2)</f>
        <v/>
      </c>
      <c r="L309" s="6">
        <f>ABS(B309 - $H$2)</f>
        <v/>
      </c>
      <c r="M309" s="6">
        <f>ABS(B309 - $I$2)</f>
        <v/>
      </c>
      <c r="O309">
        <f>(1/K309^2) / ((1/K309^2) + (1/L309^2) + (1/M309^2))</f>
        <v/>
      </c>
      <c r="P309">
        <f>(1/L309^2) / ((1/K309^2) + (1/L309^2) + (1/M309^2))</f>
        <v/>
      </c>
      <c r="Q309">
        <f>(1/M309^2) / ((1/K309^2) + (1/L309^2) + (1/M309^2))</f>
        <v/>
      </c>
      <c r="S309">
        <f>IF(MAX(O309:Q309)=O309, "Murah", IF(MAX(O309:Q309)=P309, "Sedang", "Mahal"))</f>
        <v/>
      </c>
    </row>
    <row r="310">
      <c r="A310" s="6" t="inlineStr">
        <is>
          <t>The Alana Hotel Malang</t>
        </is>
      </c>
      <c r="B310" s="6" t="n">
        <v>0.2940740884438766</v>
      </c>
      <c r="C310" s="6" t="n">
        <v>0.5893052539008303</v>
      </c>
      <c r="D310" s="6" t="n">
        <v>0.516789034106558</v>
      </c>
      <c r="K310" s="6">
        <f>ABS(B310 - $G$2)</f>
        <v/>
      </c>
      <c r="L310" s="6">
        <f>ABS(B310 - $H$2)</f>
        <v/>
      </c>
      <c r="M310" s="6">
        <f>ABS(B310 - $I$2)</f>
        <v/>
      </c>
      <c r="O310">
        <f>(1/K310^2) / ((1/K310^2) + (1/L310^2) + (1/M310^2))</f>
        <v/>
      </c>
      <c r="P310">
        <f>(1/L310^2) / ((1/K310^2) + (1/L310^2) + (1/M310^2))</f>
        <v/>
      </c>
      <c r="Q310">
        <f>(1/M310^2) / ((1/K310^2) + (1/L310^2) + (1/M310^2))</f>
        <v/>
      </c>
      <c r="S310">
        <f>IF(MAX(O310:Q310)=O310, "Murah", IF(MAX(O310:Q310)=P310, "Sedang", "Mahal"))</f>
        <v/>
      </c>
    </row>
    <row r="311">
      <c r="A311" s="6" t="inlineStr">
        <is>
          <t>HARRIS Hotel and Conventions Malang</t>
        </is>
      </c>
      <c r="B311" s="6" t="n">
        <v>0.2092805932839854</v>
      </c>
      <c r="C311" s="6" t="n">
        <v>0.6496147305744185</v>
      </c>
      <c r="D311" s="6" t="n">
        <v>0.5325674473557298</v>
      </c>
      <c r="K311" s="6">
        <f>ABS(B311 - $G$2)</f>
        <v/>
      </c>
      <c r="L311" s="6">
        <f>ABS(B311 - $H$2)</f>
        <v/>
      </c>
      <c r="M311" s="6">
        <f>ABS(B311 - $I$2)</f>
        <v/>
      </c>
      <c r="O311">
        <f>(1/K311^2) / ((1/K311^2) + (1/L311^2) + (1/M311^2))</f>
        <v/>
      </c>
      <c r="P311">
        <f>(1/L311^2) / ((1/K311^2) + (1/L311^2) + (1/M311^2))</f>
        <v/>
      </c>
      <c r="Q311">
        <f>(1/M311^2) / ((1/K311^2) + (1/L311^2) + (1/M311^2))</f>
        <v/>
      </c>
      <c r="S311">
        <f>IF(MAX(O311:Q311)=O311, "Murah", IF(MAX(O311:Q311)=P311, "Sedang", "Mahal"))</f>
        <v/>
      </c>
    </row>
    <row r="312">
      <c r="A312" s="6" t="inlineStr">
        <is>
          <t>Savana Hotel &amp; Convention</t>
        </is>
      </c>
      <c r="B312" s="6" t="n">
        <v>0.3184298260443023</v>
      </c>
      <c r="C312" s="6" t="n">
        <v>0.5270639505770688</v>
      </c>
      <c r="D312" s="6" t="n">
        <v>0.4913687952191561</v>
      </c>
      <c r="K312" s="6">
        <f>ABS(B312 - $G$2)</f>
        <v/>
      </c>
      <c r="L312" s="6">
        <f>ABS(B312 - $H$2)</f>
        <v/>
      </c>
      <c r="M312" s="6">
        <f>ABS(B312 - $I$2)</f>
        <v/>
      </c>
      <c r="O312">
        <f>(1/K312^2) / ((1/K312^2) + (1/L312^2) + (1/M312^2))</f>
        <v/>
      </c>
      <c r="P312">
        <f>(1/L312^2) / ((1/K312^2) + (1/L312^2) + (1/M312^2))</f>
        <v/>
      </c>
      <c r="Q312">
        <f>(1/M312^2) / ((1/K312^2) + (1/L312^2) + (1/M312^2))</f>
        <v/>
      </c>
      <c r="S312">
        <f>IF(MAX(O312:Q312)=O312, "Murah", IF(MAX(O312:Q312)=P312, "Sedang", "Mahal"))</f>
        <v/>
      </c>
    </row>
    <row r="313">
      <c r="A313" s="6" t="inlineStr">
        <is>
          <t>Atria Hotel Malang</t>
        </is>
      </c>
      <c r="B313" s="6" t="n">
        <v>0.2503642898910595</v>
      </c>
      <c r="C313" s="6" t="n">
        <v>0.5707190515739382</v>
      </c>
      <c r="D313" s="6" t="n">
        <v>0.5049096851280627</v>
      </c>
      <c r="K313" s="6">
        <f>ABS(B313 - $G$2)</f>
        <v/>
      </c>
      <c r="L313" s="6">
        <f>ABS(B313 - $H$2)</f>
        <v/>
      </c>
      <c r="M313" s="6">
        <f>ABS(B313 - $I$2)</f>
        <v/>
      </c>
      <c r="O313">
        <f>(1/K313^2) / ((1/K313^2) + (1/L313^2) + (1/M313^2))</f>
        <v/>
      </c>
      <c r="P313">
        <f>(1/L313^2) / ((1/K313^2) + (1/L313^2) + (1/M313^2))</f>
        <v/>
      </c>
      <c r="Q313">
        <f>(1/M313^2) / ((1/K313^2) + (1/L313^2) + (1/M313^2))</f>
        <v/>
      </c>
      <c r="S313">
        <f>IF(MAX(O313:Q313)=O313, "Murah", IF(MAX(O313:Q313)=P313, "Sedang", "Mahal"))</f>
        <v/>
      </c>
    </row>
    <row r="314">
      <c r="A314" s="6" t="inlineStr">
        <is>
          <t>Aria Gajayana Hotel</t>
        </is>
      </c>
      <c r="B314" s="6" t="n">
        <v>0.262322531655392</v>
      </c>
      <c r="C314" s="6" t="n">
        <v>0.4757857382029244</v>
      </c>
      <c r="D314" s="6" t="n">
        <v>0.4347385182817743</v>
      </c>
      <c r="K314" s="6">
        <f>ABS(B314 - $G$2)</f>
        <v/>
      </c>
      <c r="L314" s="6">
        <f>ABS(B314 - $H$2)</f>
        <v/>
      </c>
      <c r="M314" s="6">
        <f>ABS(B314 - $I$2)</f>
        <v/>
      </c>
      <c r="O314">
        <f>(1/K314^2) / ((1/K314^2) + (1/L314^2) + (1/M314^2))</f>
        <v/>
      </c>
      <c r="P314">
        <f>(1/L314^2) / ((1/K314^2) + (1/L314^2) + (1/M314^2))</f>
        <v/>
      </c>
      <c r="Q314">
        <f>(1/M314^2) / ((1/K314^2) + (1/L314^2) + (1/M314^2))</f>
        <v/>
      </c>
      <c r="S314">
        <f>IF(MAX(O314:Q314)=O314, "Murah", IF(MAX(O314:Q314)=P314, "Sedang", "Mahal"))</f>
        <v/>
      </c>
    </row>
    <row r="315">
      <c r="A315" s="6" t="inlineStr">
        <is>
          <t>Ascent Premiere Hotel and Convention</t>
        </is>
      </c>
      <c r="B315" s="6" t="n">
        <v>0.3391432189979465</v>
      </c>
      <c r="C315" s="6" t="n">
        <v>0.4158245905448065</v>
      </c>
      <c r="D315" s="6" t="n">
        <v>0.4759012003399579</v>
      </c>
      <c r="K315" s="6">
        <f>ABS(B315 - $G$2)</f>
        <v/>
      </c>
      <c r="L315" s="6">
        <f>ABS(B315 - $H$2)</f>
        <v/>
      </c>
      <c r="M315" s="6">
        <f>ABS(B315 - $I$2)</f>
        <v/>
      </c>
      <c r="O315">
        <f>(1/K315^2) / ((1/K315^2) + (1/L315^2) + (1/M315^2))</f>
        <v/>
      </c>
      <c r="P315">
        <f>(1/L315^2) / ((1/K315^2) + (1/L315^2) + (1/M315^2))</f>
        <v/>
      </c>
      <c r="Q315">
        <f>(1/M315^2) / ((1/K315^2) + (1/L315^2) + (1/M315^2))</f>
        <v/>
      </c>
      <c r="S315">
        <f>IF(MAX(O315:Q315)=O315, "Murah", IF(MAX(O315:Q315)=P315, "Sedang", "Mahal"))</f>
        <v/>
      </c>
    </row>
    <row r="316">
      <c r="A316" s="6" t="inlineStr">
        <is>
          <t>Hotel Grand Cakra</t>
        </is>
      </c>
      <c r="B316" s="6" t="n">
        <v>0.1638531311748453</v>
      </c>
      <c r="C316" s="6" t="n">
        <v>0.6164887423636546</v>
      </c>
      <c r="D316" s="6" t="n">
        <v>0.5602823927849488</v>
      </c>
      <c r="K316" s="6">
        <f>ABS(B316 - $G$2)</f>
        <v/>
      </c>
      <c r="L316" s="6">
        <f>ABS(B316 - $H$2)</f>
        <v/>
      </c>
      <c r="M316" s="6">
        <f>ABS(B316 - $I$2)</f>
        <v/>
      </c>
      <c r="O316">
        <f>(1/K316^2) / ((1/K316^2) + (1/L316^2) + (1/M316^2))</f>
        <v/>
      </c>
      <c r="P316">
        <f>(1/L316^2) / ((1/K316^2) + (1/L316^2) + (1/M316^2))</f>
        <v/>
      </c>
      <c r="Q316">
        <f>(1/M316^2) / ((1/K316^2) + (1/L316^2) + (1/M316^2))</f>
        <v/>
      </c>
      <c r="S316">
        <f>IF(MAX(O316:Q316)=O316, "Murah", IF(MAX(O316:Q316)=P316, "Sedang", "Mahal"))</f>
        <v/>
      </c>
    </row>
    <row r="317">
      <c r="A317" s="6" t="inlineStr">
        <is>
          <t>Rayz UMM Hotel Malang</t>
        </is>
      </c>
      <c r="B317" s="6" t="n">
        <v>0.137007917658568</v>
      </c>
      <c r="C317" s="6" t="n">
        <v>0.6675905984211541</v>
      </c>
      <c r="D317" s="6" t="n">
        <v>0.2952041278892912</v>
      </c>
      <c r="K317" s="6">
        <f>ABS(B317 - $G$2)</f>
        <v/>
      </c>
      <c r="L317" s="6">
        <f>ABS(B317 - $H$2)</f>
        <v/>
      </c>
      <c r="M317" s="6">
        <f>ABS(B317 - $I$2)</f>
        <v/>
      </c>
      <c r="O317">
        <f>(1/K317^2) / ((1/K317^2) + (1/L317^2) + (1/M317^2))</f>
        <v/>
      </c>
      <c r="P317">
        <f>(1/L317^2) / ((1/K317^2) + (1/L317^2) + (1/M317^2))</f>
        <v/>
      </c>
      <c r="Q317">
        <f>(1/M317^2) / ((1/K317^2) + (1/L317^2) + (1/M317^2))</f>
        <v/>
      </c>
      <c r="S317">
        <f>IF(MAX(O317:Q317)=O317, "Murah", IF(MAX(O317:Q317)=P317, "Sedang", "Mahal"))</f>
        <v/>
      </c>
    </row>
    <row r="318">
      <c r="A318" s="6" t="inlineStr">
        <is>
          <t>Hotel Pelangi Malang, Kayutangan Heritage</t>
        </is>
      </c>
      <c r="B318" s="6" t="n">
        <v>0.09515822846200106</v>
      </c>
      <c r="C318" s="6" t="n">
        <v>0.455495320150782</v>
      </c>
      <c r="D318" s="6" t="n">
        <v>0.4615030235618118</v>
      </c>
      <c r="K318" s="6">
        <f>ABS(B318 - $G$2)</f>
        <v/>
      </c>
      <c r="L318" s="6">
        <f>ABS(B318 - $H$2)</f>
        <v/>
      </c>
      <c r="M318" s="6">
        <f>ABS(B318 - $I$2)</f>
        <v/>
      </c>
      <c r="O318">
        <f>(1/K318^2) / ((1/K318^2) + (1/L318^2) + (1/M318^2))</f>
        <v/>
      </c>
      <c r="P318">
        <f>(1/L318^2) / ((1/K318^2) + (1/L318^2) + (1/M318^2))</f>
        <v/>
      </c>
      <c r="Q318">
        <f>(1/M318^2) / ((1/K318^2) + (1/L318^2) + (1/M318^2))</f>
        <v/>
      </c>
      <c r="S318">
        <f>IF(MAX(O318:Q318)=O318, "Murah", IF(MAX(O318:Q318)=P318, "Sedang", "Mahal"))</f>
        <v/>
      </c>
    </row>
    <row r="319">
      <c r="A319" s="6" t="inlineStr">
        <is>
          <t>THE 1O1 Malang OJ</t>
        </is>
      </c>
      <c r="B319" s="6" t="n">
        <v>0.3529657270971264</v>
      </c>
      <c r="C319" s="6" t="n">
        <v>0.5079530629180674</v>
      </c>
      <c r="D319" s="6" t="n">
        <v>0.4875375207116449</v>
      </c>
      <c r="K319" s="6">
        <f>ABS(B319 - $G$2)</f>
        <v/>
      </c>
      <c r="L319" s="6">
        <f>ABS(B319 - $H$2)</f>
        <v/>
      </c>
      <c r="M319" s="6">
        <f>ABS(B319 - $I$2)</f>
        <v/>
      </c>
      <c r="O319">
        <f>(1/K319^2) / ((1/K319^2) + (1/L319^2) + (1/M319^2))</f>
        <v/>
      </c>
      <c r="P319">
        <f>(1/L319^2) / ((1/K319^2) + (1/L319^2) + (1/M319^2))</f>
        <v/>
      </c>
      <c r="Q319">
        <f>(1/M319^2) / ((1/K319^2) + (1/L319^2) + (1/M319^2))</f>
        <v/>
      </c>
      <c r="S319">
        <f>IF(MAX(O319:Q319)=O319, "Murah", IF(MAX(O319:Q319)=P319, "Sedang", "Mahal"))</f>
        <v/>
      </c>
    </row>
    <row r="320">
      <c r="A320" s="6" t="inlineStr">
        <is>
          <t>Hotel Tychi</t>
        </is>
      </c>
      <c r="B320" s="6" t="n">
        <v>0.1331665923029384</v>
      </c>
      <c r="C320" s="6" t="n">
        <v>0.4915822735937257</v>
      </c>
      <c r="D320" s="6" t="n">
        <v>0.4644336626440461</v>
      </c>
      <c r="K320" s="6">
        <f>ABS(B320 - $G$2)</f>
        <v/>
      </c>
      <c r="L320" s="6">
        <f>ABS(B320 - $H$2)</f>
        <v/>
      </c>
      <c r="M320" s="6">
        <f>ABS(B320 - $I$2)</f>
        <v/>
      </c>
      <c r="O320">
        <f>(1/K320^2) / ((1/K320^2) + (1/L320^2) + (1/M320^2))</f>
        <v/>
      </c>
      <c r="P320">
        <f>(1/L320^2) / ((1/K320^2) + (1/L320^2) + (1/M320^2))</f>
        <v/>
      </c>
      <c r="Q320">
        <f>(1/M320^2) / ((1/K320^2) + (1/L320^2) + (1/M320^2))</f>
        <v/>
      </c>
      <c r="S320">
        <f>IF(MAX(O320:Q320)=O320, "Murah", IF(MAX(O320:Q320)=P320, "Sedang", "Mahal"))</f>
        <v/>
      </c>
    </row>
    <row r="321">
      <c r="A321" s="6" t="inlineStr">
        <is>
          <t>Hotel Santika Premiere Malang</t>
        </is>
      </c>
      <c r="B321" s="6" t="n">
        <v>0.1919099653862249</v>
      </c>
      <c r="C321" s="6" t="n">
        <v>0.5412685582989141</v>
      </c>
      <c r="D321" s="6" t="n">
        <v>0.4945687487346894</v>
      </c>
      <c r="K321" s="6">
        <f>ABS(B321 - $G$2)</f>
        <v/>
      </c>
      <c r="L321" s="6">
        <f>ABS(B321 - $H$2)</f>
        <v/>
      </c>
      <c r="M321" s="6">
        <f>ABS(B321 - $I$2)</f>
        <v/>
      </c>
      <c r="O321">
        <f>(1/K321^2) / ((1/K321^2) + (1/L321^2) + (1/M321^2))</f>
        <v/>
      </c>
      <c r="P321">
        <f>(1/L321^2) / ((1/K321^2) + (1/L321^2) + (1/M321^2))</f>
        <v/>
      </c>
      <c r="Q321">
        <f>(1/M321^2) / ((1/K321^2) + (1/L321^2) + (1/M321^2))</f>
        <v/>
      </c>
      <c r="S321">
        <f>IF(MAX(O321:Q321)=O321, "Murah", IF(MAX(O321:Q321)=P321, "Sedang", "Mahal"))</f>
        <v/>
      </c>
    </row>
    <row r="322">
      <c r="A322" s="6" t="inlineStr">
        <is>
          <t>Hotel Radho Syariah malang</t>
        </is>
      </c>
      <c r="B322" s="6" t="n">
        <v>0.1231316459695321</v>
      </c>
      <c r="C322" s="6" t="n">
        <v>0.6839570041276822</v>
      </c>
      <c r="D322" s="6" t="n">
        <v>0.2638040940405709</v>
      </c>
      <c r="K322" s="6">
        <f>ABS(B322 - $G$2)</f>
        <v/>
      </c>
      <c r="L322" s="6">
        <f>ABS(B322 - $H$2)</f>
        <v/>
      </c>
      <c r="M322" s="6">
        <f>ABS(B322 - $I$2)</f>
        <v/>
      </c>
      <c r="O322">
        <f>(1/K322^2) / ((1/K322^2) + (1/L322^2) + (1/M322^2))</f>
        <v/>
      </c>
      <c r="P322">
        <f>(1/L322^2) / ((1/K322^2) + (1/L322^2) + (1/M322^2))</f>
        <v/>
      </c>
      <c r="Q322">
        <f>(1/M322^2) / ((1/K322^2) + (1/L322^2) + (1/M322^2))</f>
        <v/>
      </c>
      <c r="S322">
        <f>IF(MAX(O322:Q322)=O322, "Murah", IF(MAX(O322:Q322)=P322, "Sedang", "Mahal"))</f>
        <v/>
      </c>
    </row>
    <row r="323">
      <c r="A323" s="6" t="inlineStr">
        <is>
          <t>Djoglo Luxury Bungalow</t>
        </is>
      </c>
      <c r="B323" s="6" t="n">
        <v>0.6392449264076222</v>
      </c>
      <c r="C323" s="6" t="n">
        <v>0.629700629251478</v>
      </c>
      <c r="D323" s="6" t="n">
        <v>0.6200471392489511</v>
      </c>
      <c r="K323" s="6">
        <f>ABS(B323 - $G$2)</f>
        <v/>
      </c>
      <c r="L323" s="6">
        <f>ABS(B323 - $H$2)</f>
        <v/>
      </c>
      <c r="M323" s="6">
        <f>ABS(B323 - $I$2)</f>
        <v/>
      </c>
      <c r="O323">
        <f>(1/K323^2) / ((1/K323^2) + (1/L323^2) + (1/M323^2))</f>
        <v/>
      </c>
      <c r="P323">
        <f>(1/L323^2) / ((1/K323^2) + (1/L323^2) + (1/M323^2))</f>
        <v/>
      </c>
      <c r="Q323">
        <f>(1/M323^2) / ((1/K323^2) + (1/L323^2) + (1/M323^2))</f>
        <v/>
      </c>
      <c r="S323">
        <f>IF(MAX(O323:Q323)=O323, "Murah", IF(MAX(O323:Q323)=P323, "Sedang", "Mahal"))</f>
        <v/>
      </c>
    </row>
    <row r="324">
      <c r="A324" s="6" t="inlineStr">
        <is>
          <t>The Aliante Hotel &amp; Convention Center</t>
        </is>
      </c>
      <c r="B324" s="6" t="n">
        <v>0.1488370159544838</v>
      </c>
      <c r="C324" s="6" t="n">
        <v>0.4625050622355716</v>
      </c>
      <c r="D324" s="6" t="n">
        <v>0.4846276335977479</v>
      </c>
      <c r="K324" s="6">
        <f>ABS(B324 - $G$2)</f>
        <v/>
      </c>
      <c r="L324" s="6">
        <f>ABS(B324 - $H$2)</f>
        <v/>
      </c>
      <c r="M324" s="6">
        <f>ABS(B324 - $I$2)</f>
        <v/>
      </c>
      <c r="O324">
        <f>(1/K324^2) / ((1/K324^2) + (1/L324^2) + (1/M324^2))</f>
        <v/>
      </c>
      <c r="P324">
        <f>(1/L324^2) / ((1/K324^2) + (1/L324^2) + (1/M324^2))</f>
        <v/>
      </c>
      <c r="Q324">
        <f>(1/M324^2) / ((1/K324^2) + (1/L324^2) + (1/M324^2))</f>
        <v/>
      </c>
      <c r="S324">
        <f>IF(MAX(O324:Q324)=O324, "Murah", IF(MAX(O324:Q324)=P324, "Sedang", "Mahal"))</f>
        <v/>
      </c>
    </row>
    <row r="325">
      <c r="A325" s="6" t="inlineStr">
        <is>
          <t>Ijen Suites Resort &amp; Convention Malang</t>
        </is>
      </c>
      <c r="B325" s="6" t="n">
        <v>0.1898614063335726</v>
      </c>
      <c r="C325" s="6" t="n">
        <v>0.4654309585252427</v>
      </c>
      <c r="D325" s="6" t="n">
        <v>0.3952267705925195</v>
      </c>
      <c r="K325" s="6">
        <f>ABS(B325 - $G$2)</f>
        <v/>
      </c>
      <c r="L325" s="6">
        <f>ABS(B325 - $H$2)</f>
        <v/>
      </c>
      <c r="M325" s="6">
        <f>ABS(B325 - $I$2)</f>
        <v/>
      </c>
      <c r="O325">
        <f>(1/K325^2) / ((1/K325^2) + (1/L325^2) + (1/M325^2))</f>
        <v/>
      </c>
      <c r="P325">
        <f>(1/L325^2) / ((1/K325^2) + (1/L325^2) + (1/M325^2))</f>
        <v/>
      </c>
      <c r="Q325">
        <f>(1/M325^2) / ((1/K325^2) + (1/L325^2) + (1/M325^2))</f>
        <v/>
      </c>
      <c r="S325">
        <f>IF(MAX(O325:Q325)=O325, "Murah", IF(MAX(O325:Q325)=P325, "Sedang", "Mahal"))</f>
        <v/>
      </c>
    </row>
    <row r="326">
      <c r="A326" s="6" t="inlineStr">
        <is>
          <t>RedDoorz near Balai Kota Malang</t>
        </is>
      </c>
      <c r="B326" s="6" t="n">
        <v>0.04559706683590188</v>
      </c>
      <c r="C326" s="6" t="n">
        <v>0.475516988710835</v>
      </c>
      <c r="D326" s="6" t="n">
        <v>0.4769632399632974</v>
      </c>
      <c r="K326" s="6">
        <f>ABS(B326 - $G$2)</f>
        <v/>
      </c>
      <c r="L326" s="6">
        <f>ABS(B326 - $H$2)</f>
        <v/>
      </c>
      <c r="M326" s="6">
        <f>ABS(B326 - $I$2)</f>
        <v/>
      </c>
      <c r="O326">
        <f>(1/K326^2) / ((1/K326^2) + (1/L326^2) + (1/M326^2))</f>
        <v/>
      </c>
      <c r="P326">
        <f>(1/L326^2) / ((1/K326^2) + (1/L326^2) + (1/M326^2))</f>
        <v/>
      </c>
      <c r="Q326">
        <f>(1/M326^2) / ((1/K326^2) + (1/L326^2) + (1/M326^2))</f>
        <v/>
      </c>
      <c r="S326">
        <f>IF(MAX(O326:Q326)=O326, "Murah", IF(MAX(O326:Q326)=P326, "Sedang", "Mahal"))</f>
        <v/>
      </c>
    </row>
    <row r="327">
      <c r="A327" s="6" t="inlineStr">
        <is>
          <t>RedDoorz Syariah near Universitas Negeri Malang</t>
        </is>
      </c>
      <c r="B327" s="6" t="n">
        <v>0.1177951939784779</v>
      </c>
      <c r="C327" s="6" t="n">
        <v>0.5201169279471481</v>
      </c>
      <c r="D327" s="6" t="n">
        <v>0.4122627531221214</v>
      </c>
      <c r="K327" s="6">
        <f>ABS(B327 - $G$2)</f>
        <v/>
      </c>
      <c r="L327" s="6">
        <f>ABS(B327 - $H$2)</f>
        <v/>
      </c>
      <c r="M327" s="6">
        <f>ABS(B327 - $I$2)</f>
        <v/>
      </c>
      <c r="O327">
        <f>(1/K327^2) / ((1/K327^2) + (1/L327^2) + (1/M327^2))</f>
        <v/>
      </c>
      <c r="P327">
        <f>(1/L327^2) / ((1/K327^2) + (1/L327^2) + (1/M327^2))</f>
        <v/>
      </c>
      <c r="Q327">
        <f>(1/M327^2) / ((1/K327^2) + (1/L327^2) + (1/M327^2))</f>
        <v/>
      </c>
      <c r="S327">
        <f>IF(MAX(O327:Q327)=O327, "Murah", IF(MAX(O327:Q327)=P327, "Sedang", "Mahal"))</f>
        <v/>
      </c>
    </row>
    <row r="328">
      <c r="A328" s="6" t="inlineStr">
        <is>
          <t>RedDoorz Premium @ Jalan Cengkeh Malang</t>
        </is>
      </c>
      <c r="B328" s="6" t="n">
        <v>0.1051019983981776</v>
      </c>
      <c r="C328" s="6" t="n">
        <v>0.581893567782703</v>
      </c>
      <c r="D328" s="6" t="n">
        <v>0.4242241876641864</v>
      </c>
      <c r="K328" s="6">
        <f>ABS(B328 - $G$2)</f>
        <v/>
      </c>
      <c r="L328" s="6">
        <f>ABS(B328 - $H$2)</f>
        <v/>
      </c>
      <c r="M328" s="6">
        <f>ABS(B328 - $I$2)</f>
        <v/>
      </c>
      <c r="O328">
        <f>(1/K328^2) / ((1/K328^2) + (1/L328^2) + (1/M328^2))</f>
        <v/>
      </c>
      <c r="P328">
        <f>(1/L328^2) / ((1/K328^2) + (1/L328^2) + (1/M328^2))</f>
        <v/>
      </c>
      <c r="Q328">
        <f>(1/M328^2) / ((1/K328^2) + (1/L328^2) + (1/M328^2))</f>
        <v/>
      </c>
      <c r="S328">
        <f>IF(MAX(O328:Q328)=O328, "Murah", IF(MAX(O328:Q328)=P328, "Sedang", "Mahal"))</f>
        <v/>
      </c>
    </row>
    <row r="329">
      <c r="A329" s="6" t="inlineStr">
        <is>
          <t>RedDoorz Plus near Malang Town Square</t>
        </is>
      </c>
      <c r="B329" s="6" t="n">
        <v>0.06203459160456602</v>
      </c>
      <c r="C329" s="6" t="n">
        <v>0.5540441066136302</v>
      </c>
      <c r="D329" s="6" t="n">
        <v>0.4182794404716096</v>
      </c>
      <c r="K329" s="6">
        <f>ABS(B329 - $G$2)</f>
        <v/>
      </c>
      <c r="L329" s="6">
        <f>ABS(B329 - $H$2)</f>
        <v/>
      </c>
      <c r="M329" s="6">
        <f>ABS(B329 - $I$2)</f>
        <v/>
      </c>
      <c r="O329">
        <f>(1/K329^2) / ((1/K329^2) + (1/L329^2) + (1/M329^2))</f>
        <v/>
      </c>
      <c r="P329">
        <f>(1/L329^2) / ((1/K329^2) + (1/L329^2) + (1/M329^2))</f>
        <v/>
      </c>
      <c r="Q329">
        <f>(1/M329^2) / ((1/K329^2) + (1/L329^2) + (1/M329^2))</f>
        <v/>
      </c>
      <c r="S329">
        <f>IF(MAX(O329:Q329)=O329, "Murah", IF(MAX(O329:Q329)=P329, "Sedang", "Mahal"))</f>
        <v/>
      </c>
    </row>
    <row r="330">
      <c r="A330" s="6" t="inlineStr">
        <is>
          <t>RedDoorz @ Daffi Araya</t>
        </is>
      </c>
      <c r="B330" s="6" t="n">
        <v>0.0290123850249003</v>
      </c>
      <c r="C330" s="6" t="n">
        <v>0.5980758615410696</v>
      </c>
      <c r="D330" s="6" t="n">
        <v>0.5874886844128515</v>
      </c>
      <c r="K330" s="6">
        <f>ABS(B330 - $G$2)</f>
        <v/>
      </c>
      <c r="L330" s="6">
        <f>ABS(B330 - $H$2)</f>
        <v/>
      </c>
      <c r="M330" s="6">
        <f>ABS(B330 - $I$2)</f>
        <v/>
      </c>
      <c r="O330">
        <f>(1/K330^2) / ((1/K330^2) + (1/L330^2) + (1/M330^2))</f>
        <v/>
      </c>
      <c r="P330">
        <f>(1/L330^2) / ((1/K330^2) + (1/L330^2) + (1/M330^2))</f>
        <v/>
      </c>
      <c r="Q330">
        <f>(1/M330^2) / ((1/K330^2) + (1/L330^2) + (1/M330^2))</f>
        <v/>
      </c>
      <c r="S330">
        <f>IF(MAX(O330:Q330)=O330, "Murah", IF(MAX(O330:Q330)=P330, "Sedang", "Mahal"))</f>
        <v/>
      </c>
    </row>
    <row r="331">
      <c r="A331" s="6" t="inlineStr">
        <is>
          <t>RedDoorz near Araya Family Club House</t>
        </is>
      </c>
      <c r="B331" s="6" t="n">
        <v>0.04183555546933674</v>
      </c>
      <c r="C331" s="6" t="n">
        <v>0.5979423297984499</v>
      </c>
      <c r="D331" s="6" t="n">
        <v>0.6321307798267222</v>
      </c>
      <c r="K331" s="6">
        <f>ABS(B331 - $G$2)</f>
        <v/>
      </c>
      <c r="L331" s="6">
        <f>ABS(B331 - $H$2)</f>
        <v/>
      </c>
      <c r="M331" s="6">
        <f>ABS(B331 - $I$2)</f>
        <v/>
      </c>
      <c r="O331">
        <f>(1/K331^2) / ((1/K331^2) + (1/L331^2) + (1/M331^2))</f>
        <v/>
      </c>
      <c r="P331">
        <f>(1/L331^2) / ((1/K331^2) + (1/L331^2) + (1/M331^2))</f>
        <v/>
      </c>
      <c r="Q331">
        <f>(1/M331^2) / ((1/K331^2) + (1/L331^2) + (1/M331^2))</f>
        <v/>
      </c>
      <c r="S331">
        <f>IF(MAX(O331:Q331)=O331, "Murah", IF(MAX(O331:Q331)=P331, "Sedang", "Mahal"))</f>
        <v/>
      </c>
    </row>
    <row r="332">
      <c r="A332" s="6" t="inlineStr">
        <is>
          <t>RedDoorz Plus @ Swun Stay Raya Langsep</t>
        </is>
      </c>
      <c r="B332" s="6" t="n">
        <v>0.1121691391451589</v>
      </c>
      <c r="C332" s="6" t="n">
        <v>0.4619861093267548</v>
      </c>
      <c r="D332" s="6" t="n">
        <v>0.3905889362495187</v>
      </c>
      <c r="K332" s="6">
        <f>ABS(B332 - $G$2)</f>
        <v/>
      </c>
      <c r="L332" s="6">
        <f>ABS(B332 - $H$2)</f>
        <v/>
      </c>
      <c r="M332" s="6">
        <f>ABS(B332 - $I$2)</f>
        <v/>
      </c>
      <c r="O332">
        <f>(1/K332^2) / ((1/K332^2) + (1/L332^2) + (1/M332^2))</f>
        <v/>
      </c>
      <c r="P332">
        <f>(1/L332^2) / ((1/K332^2) + (1/L332^2) + (1/M332^2))</f>
        <v/>
      </c>
      <c r="Q332">
        <f>(1/M332^2) / ((1/K332^2) + (1/L332^2) + (1/M332^2))</f>
        <v/>
      </c>
      <c r="S332">
        <f>IF(MAX(O332:Q332)=O332, "Murah", IF(MAX(O332:Q332)=P332, "Sedang", "Mahal"))</f>
        <v/>
      </c>
    </row>
    <row r="333">
      <c r="A333" s="6" t="inlineStr">
        <is>
          <t>RedDoorz @ Jalan Danau Limboto</t>
        </is>
      </c>
      <c r="B333" s="6" t="n">
        <v>0.08559191218244147</v>
      </c>
      <c r="C333" s="6" t="n">
        <v>0.5020210164126019</v>
      </c>
      <c r="D333" s="6" t="n">
        <v>0.6087894270104685</v>
      </c>
      <c r="K333" s="6">
        <f>ABS(B333 - $G$2)</f>
        <v/>
      </c>
      <c r="L333" s="6">
        <f>ABS(B333 - $H$2)</f>
        <v/>
      </c>
      <c r="M333" s="6">
        <f>ABS(B333 - $I$2)</f>
        <v/>
      </c>
      <c r="O333">
        <f>(1/K333^2) / ((1/K333^2) + (1/L333^2) + (1/M333^2))</f>
        <v/>
      </c>
      <c r="P333">
        <f>(1/L333^2) / ((1/K333^2) + (1/L333^2) + (1/M333^2))</f>
        <v/>
      </c>
      <c r="Q333">
        <f>(1/M333^2) / ((1/K333^2) + (1/L333^2) + (1/M333^2))</f>
        <v/>
      </c>
      <c r="S333">
        <f>IF(MAX(O333:Q333)=O333, "Murah", IF(MAX(O333:Q333)=P333, "Sedang", "Mahal"))</f>
        <v/>
      </c>
    </row>
    <row r="334">
      <c r="A334" s="6" t="inlineStr">
        <is>
          <t>RedDoorz @ Soekarno Hatta Indah</t>
        </is>
      </c>
      <c r="B334" s="6" t="n">
        <v>0.08515154958305504</v>
      </c>
      <c r="C334" s="6" t="n">
        <v>0.6046138589088782</v>
      </c>
      <c r="D334" s="6" t="n">
        <v>0.4606332855115961</v>
      </c>
      <c r="K334" s="6">
        <f>ABS(B334 - $G$2)</f>
        <v/>
      </c>
      <c r="L334" s="6">
        <f>ABS(B334 - $H$2)</f>
        <v/>
      </c>
      <c r="M334" s="6">
        <f>ABS(B334 - $I$2)</f>
        <v/>
      </c>
      <c r="O334">
        <f>(1/K334^2) / ((1/K334^2) + (1/L334^2) + (1/M334^2))</f>
        <v/>
      </c>
      <c r="P334">
        <f>(1/L334^2) / ((1/K334^2) + (1/L334^2) + (1/M334^2))</f>
        <v/>
      </c>
      <c r="Q334">
        <f>(1/M334^2) / ((1/K334^2) + (1/L334^2) + (1/M334^2))</f>
        <v/>
      </c>
      <c r="S334">
        <f>IF(MAX(O334:Q334)=O334, "Murah", IF(MAX(O334:Q334)=P334, "Sedang", "Mahal"))</f>
        <v/>
      </c>
    </row>
    <row r="335">
      <c r="A335" s="6" t="inlineStr">
        <is>
          <t>RedDoorz Plus near Brawijaya Museum</t>
        </is>
      </c>
      <c r="B335" s="6" t="n">
        <v>0.1051341456993285</v>
      </c>
      <c r="C335" s="6" t="n">
        <v>0.4916048660855331</v>
      </c>
      <c r="D335" s="6" t="n">
        <v>0.4070387909626737</v>
      </c>
      <c r="K335" s="6">
        <f>ABS(B335 - $G$2)</f>
        <v/>
      </c>
      <c r="L335" s="6">
        <f>ABS(B335 - $H$2)</f>
        <v/>
      </c>
      <c r="M335" s="6">
        <f>ABS(B335 - $I$2)</f>
        <v/>
      </c>
      <c r="O335">
        <f>(1/K335^2) / ((1/K335^2) + (1/L335^2) + (1/M335^2))</f>
        <v/>
      </c>
      <c r="P335">
        <f>(1/L335^2) / ((1/K335^2) + (1/L335^2) + (1/M335^2))</f>
        <v/>
      </c>
      <c r="Q335">
        <f>(1/M335^2) / ((1/K335^2) + (1/L335^2) + (1/M335^2))</f>
        <v/>
      </c>
      <c r="S335">
        <f>IF(MAX(O335:Q335)=O335, "Murah", IF(MAX(O335:Q335)=P335, "Sedang", "Mahal"))</f>
        <v/>
      </c>
    </row>
    <row r="336">
      <c r="A336" s="6" t="inlineStr">
        <is>
          <t>RedDoorz Hostel @ Malang City Center 2</t>
        </is>
      </c>
      <c r="B336" s="6" t="n">
        <v>0.01518488855140381</v>
      </c>
      <c r="C336" s="6" t="n">
        <v>0.5125110138397563</v>
      </c>
      <c r="D336" s="6" t="n">
        <v>0.4803287480706396</v>
      </c>
      <c r="K336" s="6">
        <f>ABS(B336 - $G$2)</f>
        <v/>
      </c>
      <c r="L336" s="6">
        <f>ABS(B336 - $H$2)</f>
        <v/>
      </c>
      <c r="M336" s="6">
        <f>ABS(B336 - $I$2)</f>
        <v/>
      </c>
      <c r="O336">
        <f>(1/K336^2) / ((1/K336^2) + (1/L336^2) + (1/M336^2))</f>
        <v/>
      </c>
      <c r="P336">
        <f>(1/L336^2) / ((1/K336^2) + (1/L336^2) + (1/M336^2))</f>
        <v/>
      </c>
      <c r="Q336">
        <f>(1/M336^2) / ((1/K336^2) + (1/L336^2) + (1/M336^2))</f>
        <v/>
      </c>
      <c r="S336">
        <f>IF(MAX(O336:Q336)=O336, "Murah", IF(MAX(O336:Q336)=P336, "Sedang", "Mahal"))</f>
        <v/>
      </c>
    </row>
    <row r="337">
      <c r="A337" s="6" t="inlineStr">
        <is>
          <t>RedDoorz @ Lowokwaru</t>
        </is>
      </c>
      <c r="B337" s="6" t="n">
        <v>0.02836417349565873</v>
      </c>
      <c r="C337" s="6" t="n">
        <v>0.5317058646399522</v>
      </c>
      <c r="D337" s="6" t="n">
        <v>0.4818118220735725</v>
      </c>
      <c r="K337" s="6">
        <f>ABS(B337 - $G$2)</f>
        <v/>
      </c>
      <c r="L337" s="6">
        <f>ABS(B337 - $H$2)</f>
        <v/>
      </c>
      <c r="M337" s="6">
        <f>ABS(B337 - $I$2)</f>
        <v/>
      </c>
      <c r="O337">
        <f>(1/K337^2) / ((1/K337^2) + (1/L337^2) + (1/M337^2))</f>
        <v/>
      </c>
      <c r="P337">
        <f>(1/L337^2) / ((1/K337^2) + (1/L337^2) + (1/M337^2))</f>
        <v/>
      </c>
      <c r="Q337">
        <f>(1/M337^2) / ((1/K337^2) + (1/L337^2) + (1/M337^2))</f>
        <v/>
      </c>
      <c r="S337">
        <f>IF(MAX(O337:Q337)=O337, "Murah", IF(MAX(O337:Q337)=P337, "Sedang", "Mahal"))</f>
        <v/>
      </c>
    </row>
    <row r="338">
      <c r="A338" s="6" t="inlineStr">
        <is>
          <t>RedDoorz near Batik Tulis Celaket 2</t>
        </is>
      </c>
      <c r="B338" s="6" t="n">
        <v>0.004318823630483401</v>
      </c>
      <c r="C338" s="6" t="n">
        <v>0.5204166999653008</v>
      </c>
      <c r="D338" s="6" t="n">
        <v>0.4632415773525291</v>
      </c>
      <c r="K338" s="6">
        <f>ABS(B338 - $G$2)</f>
        <v/>
      </c>
      <c r="L338" s="6">
        <f>ABS(B338 - $H$2)</f>
        <v/>
      </c>
      <c r="M338" s="6">
        <f>ABS(B338 - $I$2)</f>
        <v/>
      </c>
      <c r="O338">
        <f>(1/K338^2) / ((1/K338^2) + (1/L338^2) + (1/M338^2))</f>
        <v/>
      </c>
      <c r="P338">
        <f>(1/L338^2) / ((1/K338^2) + (1/L338^2) + (1/M338^2))</f>
        <v/>
      </c>
      <c r="Q338">
        <f>(1/M338^2) / ((1/K338^2) + (1/L338^2) + (1/M338^2))</f>
        <v/>
      </c>
      <c r="S338">
        <f>IF(MAX(O338:Q338)=O338, "Murah", IF(MAX(O338:Q338)=P338, "Sedang", "Mahal"))</f>
        <v/>
      </c>
    </row>
    <row r="339">
      <c r="A339" s="6" t="inlineStr">
        <is>
          <t>RedDoorz Syariah @ Klojen Malang</t>
        </is>
      </c>
      <c r="B339" s="6" t="n">
        <v>0.03805741618838319</v>
      </c>
      <c r="C339" s="6" t="n">
        <v>0.43437235191549</v>
      </c>
      <c r="D339" s="6" t="n">
        <v>0.4496126068668787</v>
      </c>
      <c r="K339" s="6">
        <f>ABS(B339 - $G$2)</f>
        <v/>
      </c>
      <c r="L339" s="6">
        <f>ABS(B339 - $H$2)</f>
        <v/>
      </c>
      <c r="M339" s="6">
        <f>ABS(B339 - $I$2)</f>
        <v/>
      </c>
      <c r="O339">
        <f>(1/K339^2) / ((1/K339^2) + (1/L339^2) + (1/M339^2))</f>
        <v/>
      </c>
      <c r="P339">
        <f>(1/L339^2) / ((1/K339^2) + (1/L339^2) + (1/M339^2))</f>
        <v/>
      </c>
      <c r="Q339">
        <f>(1/M339^2) / ((1/K339^2) + (1/L339^2) + (1/M339^2))</f>
        <v/>
      </c>
      <c r="S339">
        <f>IF(MAX(O339:Q339)=O339, "Murah", IF(MAX(O339:Q339)=P339, "Sedang", "Mahal"))</f>
        <v/>
      </c>
    </row>
    <row r="340">
      <c r="A340" s="6" t="inlineStr">
        <is>
          <t>RedDoorz near Jawa Timur Park 3</t>
        </is>
      </c>
      <c r="B340" s="6" t="n">
        <v>0.101481270040101</v>
      </c>
      <c r="C340" s="6" t="n">
        <v>0.7234297965293222</v>
      </c>
      <c r="D340" s="6" t="n">
        <v>0.1659253602426451</v>
      </c>
      <c r="K340" s="6">
        <f>ABS(B340 - $G$2)</f>
        <v/>
      </c>
      <c r="L340" s="6">
        <f>ABS(B340 - $H$2)</f>
        <v/>
      </c>
      <c r="M340" s="6">
        <f>ABS(B340 - $I$2)</f>
        <v/>
      </c>
      <c r="O340">
        <f>(1/K340^2) / ((1/K340^2) + (1/L340^2) + (1/M340^2))</f>
        <v/>
      </c>
      <c r="P340">
        <f>(1/L340^2) / ((1/K340^2) + (1/L340^2) + (1/M340^2))</f>
        <v/>
      </c>
      <c r="Q340">
        <f>(1/M340^2) / ((1/K340^2) + (1/L340^2) + (1/M340^2))</f>
        <v/>
      </c>
      <c r="S340">
        <f>IF(MAX(O340:Q340)=O340, "Murah", IF(MAX(O340:Q340)=P340, "Sedang", "Mahal"))</f>
        <v/>
      </c>
    </row>
    <row r="341">
      <c r="A341" s="6" t="inlineStr">
        <is>
          <t>RedDoorz Plus @ Kalpataru</t>
        </is>
      </c>
      <c r="B341" s="6" t="n">
        <v>0.1333791524752036</v>
      </c>
      <c r="C341" s="6" t="n">
        <v>0.5648763634315913</v>
      </c>
      <c r="D341" s="6" t="n">
        <v>0.4767483418024736</v>
      </c>
      <c r="K341" s="6">
        <f>ABS(B341 - $G$2)</f>
        <v/>
      </c>
      <c r="L341" s="6">
        <f>ABS(B341 - $H$2)</f>
        <v/>
      </c>
      <c r="M341" s="6">
        <f>ABS(B341 - $I$2)</f>
        <v/>
      </c>
      <c r="O341">
        <f>(1/K341^2) / ((1/K341^2) + (1/L341^2) + (1/M341^2))</f>
        <v/>
      </c>
      <c r="P341">
        <f>(1/L341^2) / ((1/K341^2) + (1/L341^2) + (1/M341^2))</f>
        <v/>
      </c>
      <c r="Q341">
        <f>(1/M341^2) / ((1/K341^2) + (1/L341^2) + (1/M341^2))</f>
        <v/>
      </c>
      <c r="S341">
        <f>IF(MAX(O341:Q341)=O341, "Murah", IF(MAX(O341:Q341)=P341, "Sedang", "Mahal"))</f>
        <v/>
      </c>
    </row>
    <row r="342">
      <c r="A342" s="6" t="inlineStr">
        <is>
          <t>RedDoorz Near Stasiun Lawang</t>
        </is>
      </c>
      <c r="B342" s="6" t="n">
        <v>0.1363015084289669</v>
      </c>
      <c r="C342" s="6" t="n">
        <v>0.972849220070089</v>
      </c>
      <c r="D342" s="6" t="n">
        <v>0.7486899743551799</v>
      </c>
      <c r="K342" s="6">
        <f>ABS(B342 - $G$2)</f>
        <v/>
      </c>
      <c r="L342" s="6">
        <f>ABS(B342 - $H$2)</f>
        <v/>
      </c>
      <c r="M342" s="6">
        <f>ABS(B342 - $I$2)</f>
        <v/>
      </c>
      <c r="O342">
        <f>(1/K342^2) / ((1/K342^2) + (1/L342^2) + (1/M342^2))</f>
        <v/>
      </c>
      <c r="P342">
        <f>(1/L342^2) / ((1/K342^2) + (1/L342^2) + (1/M342^2))</f>
        <v/>
      </c>
      <c r="Q342">
        <f>(1/M342^2) / ((1/K342^2) + (1/L342^2) + (1/M342^2))</f>
        <v/>
      </c>
      <c r="S342">
        <f>IF(MAX(O342:Q342)=O342, "Murah", IF(MAX(O342:Q342)=P342, "Sedang", "Mahal"))</f>
        <v/>
      </c>
    </row>
    <row r="343">
      <c r="A343" s="6" t="inlineStr">
        <is>
          <t>RedDoorz @ Blimbing Malang</t>
        </is>
      </c>
      <c r="B343" s="6" t="n">
        <v>0.02415010572582232</v>
      </c>
      <c r="C343" s="6" t="n">
        <v>0.5941329659187192</v>
      </c>
      <c r="D343" s="6" t="n">
        <v>0.5026057554892357</v>
      </c>
      <c r="K343" s="6">
        <f>ABS(B343 - $G$2)</f>
        <v/>
      </c>
      <c r="L343" s="6">
        <f>ABS(B343 - $H$2)</f>
        <v/>
      </c>
      <c r="M343" s="6">
        <f>ABS(B343 - $I$2)</f>
        <v/>
      </c>
      <c r="O343">
        <f>(1/K343^2) / ((1/K343^2) + (1/L343^2) + (1/M343^2))</f>
        <v/>
      </c>
      <c r="P343">
        <f>(1/L343^2) / ((1/K343^2) + (1/L343^2) + (1/M343^2))</f>
        <v/>
      </c>
      <c r="Q343">
        <f>(1/M343^2) / ((1/K343^2) + (1/L343^2) + (1/M343^2))</f>
        <v/>
      </c>
      <c r="S343">
        <f>IF(MAX(O343:Q343)=O343, "Murah", IF(MAX(O343:Q343)=P343, "Sedang", "Mahal"))</f>
        <v/>
      </c>
    </row>
    <row r="344">
      <c r="A344" s="6" t="inlineStr">
        <is>
          <t>RedDoorz Plus @ Idjen Boulevard Malang</t>
        </is>
      </c>
      <c r="B344" s="6" t="n">
        <v>0.01802355066941212</v>
      </c>
      <c r="C344" s="6" t="n">
        <v>0.5029011119889585</v>
      </c>
      <c r="D344" s="6" t="n">
        <v>0.4354606867795073</v>
      </c>
      <c r="K344" s="6">
        <f>ABS(B344 - $G$2)</f>
        <v/>
      </c>
      <c r="L344" s="6">
        <f>ABS(B344 - $H$2)</f>
        <v/>
      </c>
      <c r="M344" s="6">
        <f>ABS(B344 - $I$2)</f>
        <v/>
      </c>
      <c r="O344">
        <f>(1/K344^2) / ((1/K344^2) + (1/L344^2) + (1/M344^2))</f>
        <v/>
      </c>
      <c r="P344">
        <f>(1/L344^2) / ((1/K344^2) + (1/L344^2) + (1/M344^2))</f>
        <v/>
      </c>
      <c r="Q344">
        <f>(1/M344^2) / ((1/K344^2) + (1/L344^2) + (1/M344^2))</f>
        <v/>
      </c>
      <c r="S344">
        <f>IF(MAX(O344:Q344)=O344, "Murah", IF(MAX(O344:Q344)=P344, "Sedang", "Mahal"))</f>
        <v/>
      </c>
    </row>
    <row r="345">
      <c r="A345" s="6" t="inlineStr">
        <is>
          <t>RedDoorz near Brawijaya University</t>
        </is>
      </c>
      <c r="B345" s="6" t="n">
        <v>0.1051341456993285</v>
      </c>
      <c r="C345" s="6" t="n">
        <v>0.5544605503058907</v>
      </c>
      <c r="D345" s="6" t="n">
        <v>0.4160589798608909</v>
      </c>
      <c r="K345" s="6">
        <f>ABS(B345 - $G$2)</f>
        <v/>
      </c>
      <c r="L345" s="6">
        <f>ABS(B345 - $H$2)</f>
        <v/>
      </c>
      <c r="M345" s="6">
        <f>ABS(B345 - $I$2)</f>
        <v/>
      </c>
      <c r="O345">
        <f>(1/K345^2) / ((1/K345^2) + (1/L345^2) + (1/M345^2))</f>
        <v/>
      </c>
      <c r="P345">
        <f>(1/L345^2) / ((1/K345^2) + (1/L345^2) + (1/M345^2))</f>
        <v/>
      </c>
      <c r="Q345">
        <f>(1/M345^2) / ((1/K345^2) + (1/L345^2) + (1/M345^2))</f>
        <v/>
      </c>
      <c r="S345">
        <f>IF(MAX(O345:Q345)=O345, "Murah", IF(MAX(O345:Q345)=P345, "Sedang", "Mahal"))</f>
        <v/>
      </c>
    </row>
    <row r="346">
      <c r="A346" s="6" t="inlineStr">
        <is>
          <t>RedDoorz Syariah @ Danau Kerinci Sawojajar</t>
        </is>
      </c>
      <c r="B346" s="6" t="n">
        <v>0.1211410074853328</v>
      </c>
      <c r="C346" s="6" t="n">
        <v>0.4963374873170138</v>
      </c>
      <c r="D346" s="6" t="n">
        <v>0.6197496943696676</v>
      </c>
      <c r="K346" s="6">
        <f>ABS(B346 - $G$2)</f>
        <v/>
      </c>
      <c r="L346" s="6">
        <f>ABS(B346 - $H$2)</f>
        <v/>
      </c>
      <c r="M346" s="6">
        <f>ABS(B346 - $I$2)</f>
        <v/>
      </c>
      <c r="O346">
        <f>(1/K346^2) / ((1/K346^2) + (1/L346^2) + (1/M346^2))</f>
        <v/>
      </c>
      <c r="P346">
        <f>(1/L346^2) / ((1/K346^2) + (1/L346^2) + (1/M346^2))</f>
        <v/>
      </c>
      <c r="Q346">
        <f>(1/M346^2) / ((1/K346^2) + (1/L346^2) + (1/M346^2))</f>
        <v/>
      </c>
      <c r="S346">
        <f>IF(MAX(O346:Q346)=O346, "Murah", IF(MAX(O346:Q346)=P346, "Sedang", "Mahal"))</f>
        <v/>
      </c>
    </row>
    <row r="347">
      <c r="A347" s="6" t="inlineStr">
        <is>
          <t>RedDoorz Hostel @ Borobudur Street</t>
        </is>
      </c>
      <c r="B347" s="6" t="n">
        <v>0.1247354083122944</v>
      </c>
      <c r="C347" s="6" t="n">
        <v>0.605575894418205</v>
      </c>
      <c r="D347" s="6" t="n">
        <v>0.4776854084610304</v>
      </c>
      <c r="K347" s="6">
        <f>ABS(B347 - $G$2)</f>
        <v/>
      </c>
      <c r="L347" s="6">
        <f>ABS(B347 - $H$2)</f>
        <v/>
      </c>
      <c r="M347" s="6">
        <f>ABS(B347 - $I$2)</f>
        <v/>
      </c>
      <c r="O347">
        <f>(1/K347^2) / ((1/K347^2) + (1/L347^2) + (1/M347^2))</f>
        <v/>
      </c>
      <c r="P347">
        <f>(1/L347^2) / ((1/K347^2) + (1/L347^2) + (1/M347^2))</f>
        <v/>
      </c>
      <c r="Q347">
        <f>(1/M347^2) / ((1/K347^2) + (1/L347^2) + (1/M347^2))</f>
        <v/>
      </c>
      <c r="S347">
        <f>IF(MAX(O347:Q347)=O347, "Murah", IF(MAX(O347:Q347)=P347, "Sedang", "Mahal"))</f>
        <v/>
      </c>
    </row>
    <row r="348">
      <c r="A348" s="6" t="inlineStr">
        <is>
          <t>RedDoorz near Wisata Paribendo Lawang</t>
        </is>
      </c>
      <c r="B348" s="6" t="n">
        <v>0.117166104550783</v>
      </c>
      <c r="C348" s="6" t="n">
        <v>0.9533060402544259</v>
      </c>
      <c r="D348" s="6" t="n">
        <v>0.7152211998419041</v>
      </c>
      <c r="K348" s="6">
        <f>ABS(B348 - $G$2)</f>
        <v/>
      </c>
      <c r="L348" s="6">
        <f>ABS(B348 - $H$2)</f>
        <v/>
      </c>
      <c r="M348" s="6">
        <f>ABS(B348 - $I$2)</f>
        <v/>
      </c>
      <c r="O348">
        <f>(1/K348^2) / ((1/K348^2) + (1/L348^2) + (1/M348^2))</f>
        <v/>
      </c>
      <c r="P348">
        <f>(1/L348^2) / ((1/K348^2) + (1/L348^2) + (1/M348^2))</f>
        <v/>
      </c>
      <c r="Q348">
        <f>(1/M348^2) / ((1/K348^2) + (1/L348^2) + (1/M348^2))</f>
        <v/>
      </c>
      <c r="S348">
        <f>IF(MAX(O348:Q348)=O348, "Murah", IF(MAX(O348:Q348)=P348, "Sedang", "Mahal"))</f>
        <v/>
      </c>
    </row>
    <row r="349">
      <c r="A349" s="6" t="inlineStr">
        <is>
          <t>RedDoorz Syariah @ Jl. Cengger Ayam Dalam</t>
        </is>
      </c>
      <c r="B349" s="6" t="n">
        <v>0.1231527079944241</v>
      </c>
      <c r="C349" s="6" t="n">
        <v>0.5808863472897614</v>
      </c>
      <c r="D349" s="6" t="n">
        <v>0.4598668461481117</v>
      </c>
      <c r="K349" s="6">
        <f>ABS(B349 - $G$2)</f>
        <v/>
      </c>
      <c r="L349" s="6">
        <f>ABS(B349 - $H$2)</f>
        <v/>
      </c>
      <c r="M349" s="6">
        <f>ABS(B349 - $I$2)</f>
        <v/>
      </c>
      <c r="O349">
        <f>(1/K349^2) / ((1/K349^2) + (1/L349^2) + (1/M349^2))</f>
        <v/>
      </c>
      <c r="P349">
        <f>(1/L349^2) / ((1/K349^2) + (1/L349^2) + (1/M349^2))</f>
        <v/>
      </c>
      <c r="Q349">
        <f>(1/M349^2) / ((1/K349^2) + (1/L349^2) + (1/M349^2))</f>
        <v/>
      </c>
      <c r="S349">
        <f>IF(MAX(O349:Q349)=O349, "Murah", IF(MAX(O349:Q349)=P349, "Sedang", "Mahal"))</f>
        <v/>
      </c>
    </row>
    <row r="350">
      <c r="A350" s="6" t="inlineStr">
        <is>
          <t>Griya Gribig Guest House Mitra RedDoorz</t>
        </is>
      </c>
      <c r="B350" s="6" t="n">
        <v>0.08618220314323008</v>
      </c>
      <c r="C350" s="6" t="n">
        <v>0.4664567250935491</v>
      </c>
      <c r="D350" s="6" t="n">
        <v>0.6245355594200409</v>
      </c>
      <c r="K350" s="6">
        <f>ABS(B350 - $G$2)</f>
        <v/>
      </c>
      <c r="L350" s="6">
        <f>ABS(B350 - $H$2)</f>
        <v/>
      </c>
      <c r="M350" s="6">
        <f>ABS(B350 - $I$2)</f>
        <v/>
      </c>
      <c r="O350">
        <f>(1/K350^2) / ((1/K350^2) + (1/L350^2) + (1/M350^2))</f>
        <v/>
      </c>
      <c r="P350">
        <f>(1/L350^2) / ((1/K350^2) + (1/L350^2) + (1/M350^2))</f>
        <v/>
      </c>
      <c r="Q350">
        <f>(1/M350^2) / ((1/K350^2) + (1/L350^2) + (1/M350^2))</f>
        <v/>
      </c>
      <c r="S350">
        <f>IF(MAX(O350:Q350)=O350, "Murah", IF(MAX(O350:Q350)=P350, "Sedang", "Mahal"))</f>
        <v/>
      </c>
    </row>
    <row r="351">
      <c r="A351" s="6" t="inlineStr">
        <is>
          <t>RedDoorz @ Bukit Dieng 2</t>
        </is>
      </c>
      <c r="B351" s="6" t="n">
        <v>0.1170142362660355</v>
      </c>
      <c r="C351" s="6" t="n">
        <v>0.4969029740149241</v>
      </c>
      <c r="D351" s="6" t="n">
        <v>0.3161101219339367</v>
      </c>
      <c r="K351" s="6">
        <f>ABS(B351 - $G$2)</f>
        <v/>
      </c>
      <c r="L351" s="6">
        <f>ABS(B351 - $H$2)</f>
        <v/>
      </c>
      <c r="M351" s="6">
        <f>ABS(B351 - $I$2)</f>
        <v/>
      </c>
      <c r="O351">
        <f>(1/K351^2) / ((1/K351^2) + (1/L351^2) + (1/M351^2))</f>
        <v/>
      </c>
      <c r="P351">
        <f>(1/L351^2) / ((1/K351^2) + (1/L351^2) + (1/M351^2))</f>
        <v/>
      </c>
      <c r="Q351">
        <f>(1/M351^2) / ((1/K351^2) + (1/L351^2) + (1/M351^2))</f>
        <v/>
      </c>
      <c r="S351">
        <f>IF(MAX(O351:Q351)=O351, "Murah", IF(MAX(O351:Q351)=P351, "Sedang", "Mahal"))</f>
        <v/>
      </c>
    </row>
    <row r="352">
      <c r="A352" s="6" t="inlineStr">
        <is>
          <t>RedDoorz near Stasiun Malang Kota Lama 2</t>
        </is>
      </c>
      <c r="B352" s="6" t="n">
        <v>0.004318823630483401</v>
      </c>
      <c r="C352" s="6" t="n">
        <v>0.4231502903135183</v>
      </c>
      <c r="D352" s="6" t="n">
        <v>0.4690087799272106</v>
      </c>
      <c r="K352" s="6">
        <f>ABS(B352 - $G$2)</f>
        <v/>
      </c>
      <c r="L352" s="6">
        <f>ABS(B352 - $H$2)</f>
        <v/>
      </c>
      <c r="M352" s="6">
        <f>ABS(B352 - $I$2)</f>
        <v/>
      </c>
      <c r="O352">
        <f>(1/K352^2) / ((1/K352^2) + (1/L352^2) + (1/M352^2))</f>
        <v/>
      </c>
      <c r="P352">
        <f>(1/L352^2) / ((1/K352^2) + (1/L352^2) + (1/M352^2))</f>
        <v/>
      </c>
      <c r="Q352">
        <f>(1/M352^2) / ((1/K352^2) + (1/L352^2) + (1/M352^2))</f>
        <v/>
      </c>
      <c r="S352">
        <f>IF(MAX(O352:Q352)=O352, "Murah", IF(MAX(O352:Q352)=P352, "Sedang", "Mahal"))</f>
        <v/>
      </c>
    </row>
    <row r="353">
      <c r="A353" s="6" t="inlineStr">
        <is>
          <t>RedDoorz Plus near Malang Airport</t>
        </is>
      </c>
      <c r="B353" s="6" t="n">
        <v>0.1269338957263489</v>
      </c>
      <c r="C353" s="6" t="n">
        <v>0.5253752461148488</v>
      </c>
      <c r="D353" s="6" t="n">
        <v>0.7029212776387708</v>
      </c>
      <c r="K353" s="6">
        <f>ABS(B353 - $G$2)</f>
        <v/>
      </c>
      <c r="L353" s="6">
        <f>ABS(B353 - $H$2)</f>
        <v/>
      </c>
      <c r="M353" s="6">
        <f>ABS(B353 - $I$2)</f>
        <v/>
      </c>
      <c r="O353">
        <f>(1/K353^2) / ((1/K353^2) + (1/L353^2) + (1/M353^2))</f>
        <v/>
      </c>
      <c r="P353">
        <f>(1/L353^2) / ((1/K353^2) + (1/L353^2) + (1/M353^2))</f>
        <v/>
      </c>
      <c r="Q353">
        <f>(1/M353^2) / ((1/K353^2) + (1/L353^2) + (1/M353^2))</f>
        <v/>
      </c>
      <c r="S353">
        <f>IF(MAX(O353:Q353)=O353, "Murah", IF(MAX(O353:Q353)=P353, "Sedang", "Mahal"))</f>
        <v/>
      </c>
    </row>
    <row r="354">
      <c r="A354" s="6" t="inlineStr">
        <is>
          <t>Urbanview Hotel Griya Surya Malang by RedDoorz</t>
        </is>
      </c>
      <c r="B354" s="6" t="n">
        <v>0.0974041054320625</v>
      </c>
      <c r="C354" s="6" t="n">
        <v>0.5012639993363879</v>
      </c>
      <c r="D354" s="6" t="n">
        <v>0.4513903588200182</v>
      </c>
      <c r="K354" s="6">
        <f>ABS(B354 - $G$2)</f>
        <v/>
      </c>
      <c r="L354" s="6">
        <f>ABS(B354 - $H$2)</f>
        <v/>
      </c>
      <c r="M354" s="6">
        <f>ABS(B354 - $I$2)</f>
        <v/>
      </c>
      <c r="O354">
        <f>(1/K354^2) / ((1/K354^2) + (1/L354^2) + (1/M354^2))</f>
        <v/>
      </c>
      <c r="P354">
        <f>(1/L354^2) / ((1/K354^2) + (1/L354^2) + (1/M354^2))</f>
        <v/>
      </c>
      <c r="Q354">
        <f>(1/M354^2) / ((1/K354^2) + (1/L354^2) + (1/M354^2))</f>
        <v/>
      </c>
      <c r="S354">
        <f>IF(MAX(O354:Q354)=O354, "Murah", IF(MAX(O354:Q354)=P354, "Sedang", "Mahal"))</f>
        <v/>
      </c>
    </row>
    <row r="355">
      <c r="A355" s="6" t="inlineStr">
        <is>
          <t>Reddoorz Syariah @ Jl. Candi Kalasan</t>
        </is>
      </c>
      <c r="B355" s="6" t="n">
        <v>0.1136454208109434</v>
      </c>
      <c r="C355" s="6" t="n">
        <v>0.5907987187696724</v>
      </c>
      <c r="D355" s="6" t="n">
        <v>0.5052836817127624</v>
      </c>
      <c r="K355" s="6">
        <f>ABS(B355 - $G$2)</f>
        <v/>
      </c>
      <c r="L355" s="6">
        <f>ABS(B355 - $H$2)</f>
        <v/>
      </c>
      <c r="M355" s="6">
        <f>ABS(B355 - $I$2)</f>
        <v/>
      </c>
      <c r="O355">
        <f>(1/K355^2) / ((1/K355^2) + (1/L355^2) + (1/M355^2))</f>
        <v/>
      </c>
      <c r="P355">
        <f>(1/L355^2) / ((1/K355^2) + (1/L355^2) + (1/M355^2))</f>
        <v/>
      </c>
      <c r="Q355">
        <f>(1/M355^2) / ((1/K355^2) + (1/L355^2) + (1/M355^2))</f>
        <v/>
      </c>
      <c r="S355">
        <f>IF(MAX(O355:Q355)=O355, "Murah", IF(MAX(O355:Q355)=P355, "Sedang", "Mahal"))</f>
        <v/>
      </c>
    </row>
    <row r="356">
      <c r="A356" s="6" t="inlineStr">
        <is>
          <t>RedDoorz near Universitas PGRI Kanjuruhan</t>
        </is>
      </c>
      <c r="B356" s="6" t="n">
        <v>0</v>
      </c>
      <c r="C356" s="6" t="n">
        <v>0.3857189150073823</v>
      </c>
      <c r="D356" s="6" t="n">
        <v>0.3878612053020218</v>
      </c>
      <c r="K356" s="6">
        <f>ABS(B356 - $G$2)</f>
        <v/>
      </c>
      <c r="L356" s="6">
        <f>ABS(B356 - $H$2)</f>
        <v/>
      </c>
      <c r="M356" s="6">
        <f>ABS(B356 - $I$2)</f>
        <v/>
      </c>
      <c r="O356">
        <f>(1/K356^2) / ((1/K356^2) + (1/L356^2) + (1/M356^2))</f>
        <v/>
      </c>
      <c r="P356">
        <f>(1/L356^2) / ((1/K356^2) + (1/L356^2) + (1/M356^2))</f>
        <v/>
      </c>
      <c r="Q356">
        <f>(1/M356^2) / ((1/K356^2) + (1/L356^2) + (1/M356^2))</f>
        <v/>
      </c>
      <c r="S356">
        <f>IF(MAX(O356:Q356)=O356, "Murah", IF(MAX(O356:Q356)=P356, "Sedang", "Mahal"))</f>
        <v/>
      </c>
    </row>
    <row r="357">
      <c r="A357" s="6" t="inlineStr">
        <is>
          <t>RedDoorz @ Dinoyo</t>
        </is>
      </c>
      <c r="B357" s="6" t="n">
        <v>0.004318823630483401</v>
      </c>
      <c r="C357" s="6" t="n">
        <v>0.5848187896696346</v>
      </c>
      <c r="D357" s="6" t="n">
        <v>0.3686273587494011</v>
      </c>
      <c r="K357" s="6">
        <f>ABS(B357 - $G$2)</f>
        <v/>
      </c>
      <c r="L357" s="6">
        <f>ABS(B357 - $H$2)</f>
        <v/>
      </c>
      <c r="M357" s="6">
        <f>ABS(B357 - $I$2)</f>
        <v/>
      </c>
      <c r="O357">
        <f>(1/K357^2) / ((1/K357^2) + (1/L357^2) + (1/M357^2))</f>
        <v/>
      </c>
      <c r="P357">
        <f>(1/L357^2) / ((1/K357^2) + (1/L357^2) + (1/M357^2))</f>
        <v/>
      </c>
      <c r="Q357">
        <f>(1/M357^2) / ((1/K357^2) + (1/L357^2) + (1/M357^2))</f>
        <v/>
      </c>
      <c r="S357">
        <f>IF(MAX(O357:Q357)=O357, "Murah", IF(MAX(O357:Q357)=P357, "Sedang", "Mahal"))</f>
        <v/>
      </c>
    </row>
    <row r="358">
      <c r="A358" s="6" t="inlineStr">
        <is>
          <t>Reddoorz @ Homestay Gayatri</t>
        </is>
      </c>
      <c r="B358" s="6" t="n">
        <v>0.1221251028852203</v>
      </c>
      <c r="C358" s="6" t="n">
        <v>0.3818667265536323</v>
      </c>
      <c r="D358" s="6" t="n">
        <v>0.420011538094394</v>
      </c>
      <c r="K358" s="6">
        <f>ABS(B358 - $G$2)</f>
        <v/>
      </c>
      <c r="L358" s="6">
        <f>ABS(B358 - $H$2)</f>
        <v/>
      </c>
      <c r="M358" s="6">
        <f>ABS(B358 - $I$2)</f>
        <v/>
      </c>
      <c r="O358">
        <f>(1/K358^2) / ((1/K358^2) + (1/L358^2) + (1/M358^2))</f>
        <v/>
      </c>
      <c r="P358">
        <f>(1/L358^2) / ((1/K358^2) + (1/L358^2) + (1/M358^2))</f>
        <v/>
      </c>
      <c r="Q358">
        <f>(1/M358^2) / ((1/K358^2) + (1/L358^2) + (1/M358^2))</f>
        <v/>
      </c>
      <c r="S358">
        <f>IF(MAX(O358:Q358)=O358, "Murah", IF(MAX(O358:Q358)=P358, "Sedang", "Mahal"))</f>
        <v/>
      </c>
    </row>
    <row r="359">
      <c r="A359" s="6" t="inlineStr">
        <is>
          <t>RedDoorz at CBR Residence</t>
        </is>
      </c>
      <c r="B359" s="6" t="n">
        <v>0.02415010572582232</v>
      </c>
      <c r="C359" s="6" t="n">
        <v>0.5869037057418972</v>
      </c>
      <c r="D359" s="6" t="n">
        <v>0.5044328510114559</v>
      </c>
      <c r="K359" s="6">
        <f>ABS(B359 - $G$2)</f>
        <v/>
      </c>
      <c r="L359" s="6">
        <f>ABS(B359 - $H$2)</f>
        <v/>
      </c>
      <c r="M359" s="6">
        <f>ABS(B359 - $I$2)</f>
        <v/>
      </c>
      <c r="O359">
        <f>(1/K359^2) / ((1/K359^2) + (1/L359^2) + (1/M359^2))</f>
        <v/>
      </c>
      <c r="P359">
        <f>(1/L359^2) / ((1/K359^2) + (1/L359^2) + (1/M359^2))</f>
        <v/>
      </c>
      <c r="Q359">
        <f>(1/M359^2) / ((1/K359^2) + (1/L359^2) + (1/M359^2))</f>
        <v/>
      </c>
      <c r="S359">
        <f>IF(MAX(O359:Q359)=O359, "Murah", IF(MAX(O359:Q359)=P359, "Sedang", "Mahal"))</f>
        <v/>
      </c>
    </row>
    <row r="360">
      <c r="A360" s="6" t="inlineStr">
        <is>
          <t>RedDoorz @ Soekarno Hatta 2</t>
        </is>
      </c>
      <c r="B360" s="6" t="n">
        <v>0.1401971516382653</v>
      </c>
      <c r="C360" s="6" t="n">
        <v>0.5927244757951792</v>
      </c>
      <c r="D360" s="6" t="n">
        <v>0.4036391573963039</v>
      </c>
      <c r="K360" s="6">
        <f>ABS(B360 - $G$2)</f>
        <v/>
      </c>
      <c r="L360" s="6">
        <f>ABS(B360 - $H$2)</f>
        <v/>
      </c>
      <c r="M360" s="6">
        <f>ABS(B360 - $I$2)</f>
        <v/>
      </c>
      <c r="O360">
        <f>(1/K360^2) / ((1/K360^2) + (1/L360^2) + (1/M360^2))</f>
        <v/>
      </c>
      <c r="P360">
        <f>(1/L360^2) / ((1/K360^2) + (1/L360^2) + (1/M360^2))</f>
        <v/>
      </c>
      <c r="Q360">
        <f>(1/M360^2) / ((1/K360^2) + (1/L360^2) + (1/M360^2))</f>
        <v/>
      </c>
      <c r="S360">
        <f>IF(MAX(O360:Q360)=O360, "Murah", IF(MAX(O360:Q360)=P360, "Sedang", "Mahal"))</f>
        <v/>
      </c>
    </row>
    <row r="361">
      <c r="A361" s="6" t="inlineStr">
        <is>
          <t>Hotel Bintang</t>
        </is>
      </c>
      <c r="B361" s="6" t="n">
        <v>0.1043820097051594</v>
      </c>
      <c r="C361" s="6" t="n">
        <v>0.5044694355619996</v>
      </c>
      <c r="D361" s="6" t="n">
        <v>0.5207485096628184</v>
      </c>
      <c r="K361" s="6">
        <f>ABS(B361 - $G$2)</f>
        <v/>
      </c>
      <c r="L361" s="6">
        <f>ABS(B361 - $H$2)</f>
        <v/>
      </c>
      <c r="M361" s="6">
        <f>ABS(B361 - $I$2)</f>
        <v/>
      </c>
      <c r="O361">
        <f>(1/K361^2) / ((1/K361^2) + (1/L361^2) + (1/M361^2))</f>
        <v/>
      </c>
      <c r="P361">
        <f>(1/L361^2) / ((1/K361^2) + (1/L361^2) + (1/M361^2))</f>
        <v/>
      </c>
      <c r="Q361">
        <f>(1/M361^2) / ((1/K361^2) + (1/L361^2) + (1/M361^2))</f>
        <v/>
      </c>
      <c r="S361">
        <f>IF(MAX(O361:Q361)=O361, "Murah", IF(MAX(O361:Q361)=P361, "Sedang", "Mahal"))</f>
        <v/>
      </c>
    </row>
    <row r="362">
      <c r="A362" s="6" t="inlineStr">
        <is>
          <t>Amaris Hotel Malang</t>
        </is>
      </c>
      <c r="B362" s="6" t="n">
        <v>0.1060528379692882</v>
      </c>
      <c r="C362" s="6" t="n">
        <v>0.532718817556186</v>
      </c>
      <c r="D362" s="6" t="n">
        <v>0.4921707435061409</v>
      </c>
      <c r="K362" s="6">
        <f>ABS(B362 - $G$2)</f>
        <v/>
      </c>
      <c r="L362" s="6">
        <f>ABS(B362 - $H$2)</f>
        <v/>
      </c>
      <c r="M362" s="6">
        <f>ABS(B362 - $I$2)</f>
        <v/>
      </c>
      <c r="O362">
        <f>(1/K362^2) / ((1/K362^2) + (1/L362^2) + (1/M362^2))</f>
        <v/>
      </c>
      <c r="P362">
        <f>(1/L362^2) / ((1/K362^2) + (1/L362^2) + (1/M362^2))</f>
        <v/>
      </c>
      <c r="Q362">
        <f>(1/M362^2) / ((1/K362^2) + (1/L362^2) + (1/M362^2))</f>
        <v/>
      </c>
      <c r="S362">
        <f>IF(MAX(O362:Q362)=O362, "Murah", IF(MAX(O362:Q362)=P362, "Sedang", "Mahal"))</f>
        <v/>
      </c>
    </row>
    <row r="363">
      <c r="A363" s="6" t="inlineStr">
        <is>
          <t>Urbanview Hotel FiFFa Kauman Malang</t>
        </is>
      </c>
      <c r="B363" s="6" t="n">
        <v>0.1264572288472144</v>
      </c>
      <c r="C363" s="6" t="n">
        <v>0.4565888641945074</v>
      </c>
      <c r="D363" s="6" t="n">
        <v>0.457795338554545</v>
      </c>
      <c r="K363" s="6">
        <f>ABS(B363 - $G$2)</f>
        <v/>
      </c>
      <c r="L363" s="6">
        <f>ABS(B363 - $H$2)</f>
        <v/>
      </c>
      <c r="M363" s="6">
        <f>ABS(B363 - $I$2)</f>
        <v/>
      </c>
      <c r="O363">
        <f>(1/K363^2) / ((1/K363^2) + (1/L363^2) + (1/M363^2))</f>
        <v/>
      </c>
      <c r="P363">
        <f>(1/L363^2) / ((1/K363^2) + (1/L363^2) + (1/M363^2))</f>
        <v/>
      </c>
      <c r="Q363">
        <f>(1/M363^2) / ((1/K363^2) + (1/L363^2) + (1/M363^2))</f>
        <v/>
      </c>
      <c r="S363">
        <f>IF(MAX(O363:Q363)=O363, "Murah", IF(MAX(O363:Q363)=P363, "Sedang", "Mahal"))</f>
        <v/>
      </c>
    </row>
    <row r="364">
      <c r="A364" s="6" t="inlineStr">
        <is>
          <t>My Dormy Hostel UMM</t>
        </is>
      </c>
      <c r="B364" s="6" t="n">
        <v>0.1306862617400004</v>
      </c>
      <c r="C364" s="6" t="n">
        <v>0.6585391020394954</v>
      </c>
      <c r="D364" s="6" t="n">
        <v>0.3313554401745985</v>
      </c>
      <c r="K364" s="6">
        <f>ABS(B364 - $G$2)</f>
        <v/>
      </c>
      <c r="L364" s="6">
        <f>ABS(B364 - $H$2)</f>
        <v/>
      </c>
      <c r="M364" s="6">
        <f>ABS(B364 - $I$2)</f>
        <v/>
      </c>
      <c r="O364">
        <f>(1/K364^2) / ((1/K364^2) + (1/L364^2) + (1/M364^2))</f>
        <v/>
      </c>
      <c r="P364">
        <f>(1/L364^2) / ((1/K364^2) + (1/L364^2) + (1/M364^2))</f>
        <v/>
      </c>
      <c r="Q364">
        <f>(1/M364^2) / ((1/K364^2) + (1/L364^2) + (1/M364^2))</f>
        <v/>
      </c>
      <c r="S364">
        <f>IF(MAX(O364:Q364)=O364, "Murah", IF(MAX(O364:Q364)=P364, "Sedang", "Mahal"))</f>
        <v/>
      </c>
    </row>
  </sheetData>
  <mergeCells count="1">
    <mergeCell ref="F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I4" sqref="I4"/>
    </sheetView>
  </sheetViews>
  <sheetFormatPr baseColWidth="10" defaultRowHeight="16"/>
  <cols>
    <col width="55.83203125" bestFit="1" customWidth="1" style="21" min="1" max="1"/>
    <col width="14.1640625" bestFit="1" customWidth="1" style="21" min="2" max="2"/>
    <col width="12.1640625" bestFit="1" customWidth="1" style="21" min="3" max="4"/>
    <col width="19" bestFit="1" customWidth="1" style="21" min="6" max="6"/>
    <col width="17.83203125" bestFit="1" customWidth="1" style="21" min="7" max="7"/>
    <col width="19" bestFit="1" customWidth="1" style="21" min="8" max="8"/>
    <col width="17.5" bestFit="1" customWidth="1" style="21" min="9" max="9"/>
    <col width="11.5" bestFit="1" customWidth="1" style="21" min="11" max="13"/>
    <col width="10.83203125" customWidth="1" style="21" min="14" max="14"/>
    <col width="13" bestFit="1" customWidth="1" style="21" min="19" max="19"/>
  </cols>
  <sheetData>
    <row r="1">
      <c r="A1" s="30" t="inlineStr">
        <is>
          <t>Nama_Tempat</t>
        </is>
      </c>
      <c r="B1" s="30" t="inlineStr">
        <is>
          <t>Estimasi_Harga</t>
        </is>
      </c>
      <c r="C1" s="30" t="inlineStr">
        <is>
          <t>Latitude</t>
        </is>
      </c>
      <c r="D1" s="30" t="inlineStr">
        <is>
          <t>Longitude</t>
        </is>
      </c>
      <c r="F1" s="63" t="inlineStr">
        <is>
          <t>PUSAT CLUSTER</t>
        </is>
      </c>
      <c r="G1" s="60" t="inlineStr">
        <is>
          <t>Cluster 1 (Murah)</t>
        </is>
      </c>
      <c r="H1" s="60" t="inlineStr">
        <is>
          <t>Cluster 2 (Sedang)</t>
        </is>
      </c>
      <c r="I1" s="60" t="inlineStr">
        <is>
          <t>Cluster 3 (Mahal)</t>
        </is>
      </c>
      <c r="K1" s="23" t="inlineStr">
        <is>
          <t>Jarak_ke_C1</t>
        </is>
      </c>
      <c r="L1" s="23" t="inlineStr">
        <is>
          <t>Jarak_ke_C2</t>
        </is>
      </c>
      <c r="M1" s="23" t="inlineStr">
        <is>
          <t>Jarak_ke_C3</t>
        </is>
      </c>
      <c r="O1" s="24" t="inlineStr">
        <is>
          <t>Mu_Murah</t>
        </is>
      </c>
      <c r="P1" s="24" t="inlineStr">
        <is>
          <t>Mu_Sedang</t>
        </is>
      </c>
      <c r="Q1" s="24" t="inlineStr">
        <is>
          <t>Mu_Mahal</t>
        </is>
      </c>
      <c r="S1" s="23" t="inlineStr">
        <is>
          <t>Kategori Akhir</t>
        </is>
      </c>
    </row>
    <row r="2">
      <c r="A2" s="6" t="inlineStr">
        <is>
          <t>Masjid Tiban Malang (pp.Salafiah Bihaaru Bahri)</t>
        </is>
      </c>
      <c r="B2" s="6" t="n">
        <v>0.003478260869565218</v>
      </c>
      <c r="C2" s="6" t="n">
        <v>0.4057864282720987</v>
      </c>
      <c r="D2" s="6" t="n">
        <v>0.5496404138812655</v>
      </c>
      <c r="F2" s="74" t="n"/>
      <c r="G2" s="17" t="n">
        <v>0.02598534839497694</v>
      </c>
      <c r="H2" s="17" t="n">
        <v>0.2279118440655855</v>
      </c>
      <c r="I2" s="17" t="n">
        <v>0.9733875543655274</v>
      </c>
      <c r="K2" s="6">
        <f>ABS(B2 - $G$2)</f>
        <v/>
      </c>
      <c r="L2" s="6">
        <f>ABS(B2 - $H$2)</f>
        <v/>
      </c>
      <c r="M2" s="51">
        <f>ABS(B2 - $I$2)</f>
        <v/>
      </c>
      <c r="N2" s="52" t="n"/>
      <c r="O2">
        <f>(1/K2^2) / ((1/K2^2) + (1/L2^2) + (1/M2^2))</f>
        <v/>
      </c>
      <c r="P2">
        <f>(1/L2^2) / ((1/K2^2) + (1/L2^2) + (1/M2^2))</f>
        <v/>
      </c>
      <c r="Q2">
        <f>(1/M2^2) / ((1/K2^2) + (1/L2^2) + (1/M2^2))</f>
        <v/>
      </c>
      <c r="S2">
        <f>IF(MAX(O2:Q2)=O2, "Murah", IF(MAX(O2:Q2)=P2, "Sedang", "Mahal"))</f>
        <v/>
      </c>
    </row>
    <row r="3">
      <c r="A3" s="6" t="inlineStr">
        <is>
          <t>Wisata Religi Gunung Mujur ꦒꦸꦤꦸꦁꦩꦸꦗꦸꦂ</t>
        </is>
      </c>
      <c r="B3" s="6" t="n">
        <v>0.01739130434782609</v>
      </c>
      <c r="C3" s="6" t="n">
        <v>0.8771797335564477</v>
      </c>
      <c r="D3" s="6" t="n">
        <v>0.3644733914296133</v>
      </c>
      <c r="F3" s="50" t="n"/>
      <c r="K3" s="6">
        <f>ABS(B3 - $G$2)</f>
        <v/>
      </c>
      <c r="L3" s="6">
        <f>ABS(B3 - $H$2)</f>
        <v/>
      </c>
      <c r="M3" s="51">
        <f>ABS(B3 - $I$2)</f>
        <v/>
      </c>
      <c r="O3">
        <f>(1/K3^2) / ((1/K3^2) + (1/L3^2) + (1/M3^2))</f>
        <v/>
      </c>
      <c r="P3">
        <f>(1/L3^2) / ((1/K3^2) + (1/L3^2) + (1/M3^2))</f>
        <v/>
      </c>
      <c r="Q3">
        <f>(1/M3^2) / ((1/K3^2) + (1/L3^2) + (1/M3^2))</f>
        <v/>
      </c>
      <c r="S3">
        <f>IF(MAX(O3:Q3)=O3, "Murah", IF(MAX(O3:Q3)=P3, "Sedang", "Mahal"))</f>
        <v/>
      </c>
    </row>
    <row r="4">
      <c r="A4" s="6" t="inlineStr">
        <is>
          <t>Masjid Agung Jami' Kota Malang</t>
        </is>
      </c>
      <c r="B4" s="6" t="n">
        <v>0</v>
      </c>
      <c r="C4" s="6" t="n">
        <v>0.6504643479410297</v>
      </c>
      <c r="D4" s="6" t="n">
        <v>0.4209621902981139</v>
      </c>
      <c r="F4" s="50" t="n"/>
      <c r="G4">
        <f>SUMPRODUCT(O2:O189^2, $B$2:$B$189) / SUMSQ(O2:O189)</f>
        <v/>
      </c>
      <c r="H4">
        <f>SUMPRODUCT(P2:P189^2, $B$2:$B$189) / SUMSQ(P2:P189)</f>
        <v/>
      </c>
      <c r="I4">
        <f>SUMPRODUCT(Q2:Q189^2, $B$2:$B$189) / SUMSQ(Q2:Q189)</f>
        <v/>
      </c>
      <c r="K4" s="6">
        <f>ABS(B4 - $G$2)</f>
        <v/>
      </c>
      <c r="L4" s="6">
        <f>ABS(B4 - $H$2)</f>
        <v/>
      </c>
      <c r="M4" s="51">
        <f>ABS(B4 - $I$2)</f>
        <v/>
      </c>
      <c r="N4" s="52" t="n"/>
      <c r="O4">
        <f>(1/K4^2) / ((1/K4^2) + (1/L4^2) + (1/M4^2))</f>
        <v/>
      </c>
      <c r="P4">
        <f>(1/L4^2) / ((1/K4^2) + (1/L4^2) + (1/M4^2))</f>
        <v/>
      </c>
      <c r="Q4">
        <f>(1/M4^2) / ((1/K4^2) + (1/L4^2) + (1/M4^2))</f>
        <v/>
      </c>
      <c r="S4">
        <f>IF(MAX(O4:Q4)=O4, "Murah", IF(MAX(O4:Q4)=P4, "Sedang", "Mahal"))</f>
        <v/>
      </c>
    </row>
    <row r="5">
      <c r="A5" s="6" t="inlineStr">
        <is>
          <t>Makam Mbah Batu</t>
        </is>
      </c>
      <c r="B5" s="6" t="n">
        <v>0.005217391304347826</v>
      </c>
      <c r="C5" s="6" t="n">
        <v>0.8335579721354931</v>
      </c>
      <c r="D5" s="6" t="n">
        <v>0.275160458149408</v>
      </c>
      <c r="K5" s="6">
        <f>ABS(B5 - $G$2)</f>
        <v/>
      </c>
      <c r="L5" s="6">
        <f>ABS(B5 - $H$2)</f>
        <v/>
      </c>
      <c r="M5" s="51">
        <f>ABS(B5 - $I$2)</f>
        <v/>
      </c>
      <c r="O5">
        <f>(1/K5^2) / ((1/K5^2) + (1/L5^2) + (1/M5^2))</f>
        <v/>
      </c>
      <c r="P5">
        <f>(1/L5^2) / ((1/K5^2) + (1/L5^2) + (1/M5^2))</f>
        <v/>
      </c>
      <c r="Q5">
        <f>(1/M5^2) / ((1/K5^2) + (1/L5^2) + (1/M5^2))</f>
        <v/>
      </c>
      <c r="S5">
        <f>IF(MAX(O5:Q5)=O5, "Murah", IF(MAX(O5:Q5)=P5, "Sedang", "Mahal"))</f>
        <v/>
      </c>
    </row>
    <row r="6">
      <c r="A6" s="6" t="inlineStr">
        <is>
          <t>KWJ MALANG</t>
        </is>
      </c>
      <c r="B6" s="6" t="n">
        <v>0.008695652173913044</v>
      </c>
      <c r="C6" s="6" t="n">
        <v>0.6494225700625403</v>
      </c>
      <c r="D6" s="6" t="n">
        <v>0.4329401130096986</v>
      </c>
      <c r="K6" s="6">
        <f>ABS(B6 - $G$2)</f>
        <v/>
      </c>
      <c r="L6" s="6">
        <f>ABS(B6 - $H$2)</f>
        <v/>
      </c>
      <c r="M6" s="51">
        <f>ABS(B6 - $I$2)</f>
        <v/>
      </c>
      <c r="N6" s="52" t="n"/>
      <c r="O6">
        <f>(1/K6^2) / ((1/K6^2) + (1/L6^2) + (1/M6^2))</f>
        <v/>
      </c>
      <c r="P6">
        <f>(1/L6^2) / ((1/K6^2) + (1/L6^2) + (1/M6^2))</f>
        <v/>
      </c>
      <c r="Q6">
        <f>(1/M6^2) / ((1/K6^2) + (1/L6^2) + (1/M6^2))</f>
        <v/>
      </c>
      <c r="S6">
        <f>IF(MAX(O6:Q6)=O6, "Murah", IF(MAX(O6:Q6)=P6, "Sedang", "Mahal"))</f>
        <v/>
      </c>
    </row>
    <row r="7">
      <c r="A7" s="6" t="inlineStr">
        <is>
          <t>Pesarean Gunung Kawi</t>
        </is>
      </c>
      <c r="B7" s="6" t="n">
        <v>0.005217391304347826</v>
      </c>
      <c r="C7" s="6" t="n">
        <v>0.5911739392843389</v>
      </c>
      <c r="D7" s="6" t="n">
        <v>0.2104003915743668</v>
      </c>
      <c r="K7" s="6">
        <f>ABS(B7 - $G$2)</f>
        <v/>
      </c>
      <c r="L7" s="6">
        <f>ABS(B7 - $H$2)</f>
        <v/>
      </c>
      <c r="M7" s="51">
        <f>ABS(B7 - $I$2)</f>
        <v/>
      </c>
      <c r="O7">
        <f>(1/K7^2) / ((1/K7^2) + (1/L7^2) + (1/M7^2))</f>
        <v/>
      </c>
      <c r="P7">
        <f>(1/L7^2) / ((1/K7^2) + (1/L7^2) + (1/M7^2))</f>
        <v/>
      </c>
      <c r="Q7">
        <f>(1/M7^2) / ((1/K7^2) + (1/L7^2) + (1/M7^2))</f>
        <v/>
      </c>
      <c r="S7">
        <f>IF(MAX(O7:Q7)=O7, "Murah", IF(MAX(O7:Q7)=P7, "Sedang", "Mahal"))</f>
        <v/>
      </c>
    </row>
    <row r="8">
      <c r="A8" s="6" t="inlineStr">
        <is>
          <t>Makam Ki Ageng Gribig</t>
        </is>
      </c>
      <c r="B8" s="6" t="n">
        <v>0.08347826086956522</v>
      </c>
      <c r="C8" s="6" t="n">
        <v>0.652603827357128</v>
      </c>
      <c r="D8" s="6" t="n">
        <v>0.4764050831833169</v>
      </c>
      <c r="K8" s="6">
        <f>ABS(B8 - $G$2)</f>
        <v/>
      </c>
      <c r="L8" s="6">
        <f>ABS(B8 - $H$2)</f>
        <v/>
      </c>
      <c r="M8" s="51">
        <f>ABS(B8 - $I$2)</f>
        <v/>
      </c>
      <c r="N8" s="52" t="n"/>
      <c r="O8">
        <f>(1/K8^2) / ((1/K8^2) + (1/L8^2) + (1/M8^2))</f>
        <v/>
      </c>
      <c r="P8">
        <f>(1/L8^2) / ((1/K8^2) + (1/L8^2) + (1/M8^2))</f>
        <v/>
      </c>
      <c r="Q8">
        <f>(1/M8^2) / ((1/K8^2) + (1/L8^2) + (1/M8^2))</f>
        <v/>
      </c>
      <c r="S8">
        <f>IF(MAX(O8:Q8)=O8, "Murah", IF(MAX(O8:Q8)=P8, "Sedang", "Mahal"))</f>
        <v/>
      </c>
    </row>
    <row r="9">
      <c r="A9" s="6" t="inlineStr">
        <is>
          <t>Pura Luhur Giri Arjuno</t>
        </is>
      </c>
      <c r="B9" s="6" t="n">
        <v>0.01913043478260869</v>
      </c>
      <c r="C9" s="6" t="n">
        <v>0.9367700963847906</v>
      </c>
      <c r="D9" s="6" t="n">
        <v>0.2937994347972193</v>
      </c>
      <c r="K9" s="6">
        <f>ABS(B9 - $G$2)</f>
        <v/>
      </c>
      <c r="L9" s="6">
        <f>ABS(B9 - $H$2)</f>
        <v/>
      </c>
      <c r="M9" s="51">
        <f>ABS(B9 - $I$2)</f>
        <v/>
      </c>
      <c r="O9">
        <f>(1/K9^2) / ((1/K9^2) + (1/L9^2) + (1/M9^2))</f>
        <v/>
      </c>
      <c r="P9">
        <f>(1/L9^2) / ((1/K9^2) + (1/L9^2) + (1/M9^2))</f>
        <v/>
      </c>
      <c r="Q9">
        <f>(1/M9^2) / ((1/K9^2) + (1/L9^2) + (1/M9^2))</f>
        <v/>
      </c>
      <c r="S9">
        <f>IF(MAX(O9:Q9)=O9, "Murah", IF(MAX(O9:Q9)=P9, "Sedang", "Mahal"))</f>
        <v/>
      </c>
    </row>
    <row r="10">
      <c r="A10" s="6" t="inlineStr">
        <is>
          <t>Masjid An-Nur</t>
        </is>
      </c>
      <c r="B10" s="6" t="n">
        <v>0.01739130434782609</v>
      </c>
      <c r="C10" s="6" t="n">
        <v>0.6772873684432243</v>
      </c>
      <c r="D10" s="6" t="n">
        <v>0.4206072797402008</v>
      </c>
      <c r="K10" s="6">
        <f>ABS(B10 - $G$2)</f>
        <v/>
      </c>
      <c r="L10" s="6">
        <f>ABS(B10 - $H$2)</f>
        <v/>
      </c>
      <c r="M10" s="51">
        <f>ABS(B10 - $I$2)</f>
        <v/>
      </c>
      <c r="N10" s="52" t="n"/>
      <c r="O10">
        <f>(1/K10^2) / ((1/K10^2) + (1/L10^2) + (1/M10^2))</f>
        <v/>
      </c>
      <c r="P10">
        <f>(1/L10^2) / ((1/K10^2) + (1/L10^2) + (1/M10^2))</f>
        <v/>
      </c>
      <c r="Q10">
        <f>(1/M10^2) / ((1/K10^2) + (1/L10^2) + (1/M10^2))</f>
        <v/>
      </c>
      <c r="S10">
        <f>IF(MAX(O10:Q10)=O10, "Murah", IF(MAX(O10:Q10)=P10, "Sedang", "Mahal"))</f>
        <v/>
      </c>
    </row>
    <row r="11">
      <c r="A11" s="6" t="inlineStr">
        <is>
          <t>MAKAM MBAH JAGOPATI</t>
        </is>
      </c>
      <c r="B11" s="6" t="n">
        <v>0</v>
      </c>
      <c r="C11" s="6" t="n">
        <v>0.5252466269681328</v>
      </c>
      <c r="D11" s="6" t="n">
        <v>0.4669357608804122</v>
      </c>
      <c r="K11" s="6">
        <f>ABS(B11 - $G$2)</f>
        <v/>
      </c>
      <c r="L11" s="6">
        <f>ABS(B11 - $H$2)</f>
        <v/>
      </c>
      <c r="M11" s="51">
        <f>ABS(B11 - $I$2)</f>
        <v/>
      </c>
      <c r="O11">
        <f>(1/K11^2) / ((1/K11^2) + (1/L11^2) + (1/M11^2))</f>
        <v/>
      </c>
      <c r="P11">
        <f>(1/L11^2) / ((1/K11^2) + (1/L11^2) + (1/M11^2))</f>
        <v/>
      </c>
      <c r="Q11">
        <f>(1/M11^2) / ((1/K11^2) + (1/L11^2) + (1/M11^2))</f>
        <v/>
      </c>
      <c r="S11">
        <f>IF(MAX(O11:Q11)=O11, "Murah", IF(MAX(O11:Q11)=P11, "Sedang", "Mahal"))</f>
        <v/>
      </c>
    </row>
    <row r="12">
      <c r="A12" s="6" t="inlineStr">
        <is>
          <t>Wisata Religi Sumber 9</t>
        </is>
      </c>
      <c r="B12" s="6" t="n">
        <v>0.008695652173913044</v>
      </c>
      <c r="C12" s="6" t="n">
        <v>0.374755915016376</v>
      </c>
      <c r="D12" s="6" t="n">
        <v>0.2937495930101723</v>
      </c>
      <c r="K12" s="6">
        <f>ABS(B12 - $G$2)</f>
        <v/>
      </c>
      <c r="L12" s="6">
        <f>ABS(B12 - $H$2)</f>
        <v/>
      </c>
      <c r="M12" s="51">
        <f>ABS(B12 - $I$2)</f>
        <v/>
      </c>
      <c r="N12" s="52" t="n"/>
      <c r="O12">
        <f>(1/K12^2) / ((1/K12^2) + (1/L12^2) + (1/M12^2))</f>
        <v/>
      </c>
      <c r="P12">
        <f>(1/L12^2) / ((1/K12^2) + (1/L12^2) + (1/M12^2))</f>
        <v/>
      </c>
      <c r="Q12">
        <f>(1/M12^2) / ((1/K12^2) + (1/L12^2) + (1/M12^2))</f>
        <v/>
      </c>
      <c r="S12">
        <f>IF(MAX(O12:Q12)=O12, "Murah", IF(MAX(O12:Q12)=P12, "Sedang", "Mahal"))</f>
        <v/>
      </c>
    </row>
    <row r="13">
      <c r="A13" s="6" t="inlineStr">
        <is>
          <t>Parkir mobil gratis Masjid tiban turen</t>
        </is>
      </c>
      <c r="B13" s="6" t="n">
        <v>0.008695652173913044</v>
      </c>
      <c r="C13" s="6" t="n">
        <v>0.4048843869132835</v>
      </c>
      <c r="D13" s="6" t="n">
        <v>0.5484051708308048</v>
      </c>
      <c r="K13" s="6">
        <f>ABS(B13 - $G$2)</f>
        <v/>
      </c>
      <c r="L13" s="6">
        <f>ABS(B13 - $H$2)</f>
        <v/>
      </c>
      <c r="M13" s="51">
        <f>ABS(B13 - $I$2)</f>
        <v/>
      </c>
      <c r="O13">
        <f>(1/K13^2) / ((1/K13^2) + (1/L13^2) + (1/M13^2))</f>
        <v/>
      </c>
      <c r="P13">
        <f>(1/L13^2) / ((1/K13^2) + (1/L13^2) + (1/M13^2))</f>
        <v/>
      </c>
      <c r="Q13">
        <f>(1/M13^2) / ((1/K13^2) + (1/L13^2) + (1/M13^2))</f>
        <v/>
      </c>
      <c r="S13">
        <f>IF(MAX(O13:Q13)=O13, "Murah", IF(MAX(O13:Q13)=P13, "Sedang", "Mahal"))</f>
        <v/>
      </c>
    </row>
    <row r="14">
      <c r="A14" s="6" t="inlineStr">
        <is>
          <t>Punden Mbah Mogok</t>
        </is>
      </c>
      <c r="B14" s="6" t="n">
        <v>0.01739130434782609</v>
      </c>
      <c r="C14" s="6" t="n">
        <v>0.6801532744028701</v>
      </c>
      <c r="D14" s="6" t="n">
        <v>0.3826053089064449</v>
      </c>
      <c r="K14" s="6">
        <f>ABS(B14 - $G$2)</f>
        <v/>
      </c>
      <c r="L14" s="6">
        <f>ABS(B14 - $H$2)</f>
        <v/>
      </c>
      <c r="M14" s="51">
        <f>ABS(B14 - $I$2)</f>
        <v/>
      </c>
      <c r="N14" s="52" t="n"/>
      <c r="O14">
        <f>(1/K14^2) / ((1/K14^2) + (1/L14^2) + (1/M14^2))</f>
        <v/>
      </c>
      <c r="P14">
        <f>(1/L14^2) / ((1/K14^2) + (1/L14^2) + (1/M14^2))</f>
        <v/>
      </c>
      <c r="Q14">
        <f>(1/M14^2) / ((1/K14^2) + (1/L14^2) + (1/M14^2))</f>
        <v/>
      </c>
      <c r="S14">
        <f>IF(MAX(O14:Q14)=O14, "Murah", IF(MAX(O14:Q14)=P14, "Sedang", "Mahal"))</f>
        <v/>
      </c>
    </row>
    <row r="15">
      <c r="A15" s="6" t="inlineStr">
        <is>
          <t>Maqam Al Habib Abdullah Bin Abdul Qadir Bilfaqih</t>
        </is>
      </c>
      <c r="B15" s="6" t="n">
        <v>0.03478260869565217</v>
      </c>
      <c r="C15" s="6" t="n">
        <v>0.6407076303838336</v>
      </c>
      <c r="D15" s="6" t="n">
        <v>0.4119152115590909</v>
      </c>
      <c r="K15" s="6">
        <f>ABS(B15 - $G$2)</f>
        <v/>
      </c>
      <c r="L15" s="6">
        <f>ABS(B15 - $H$2)</f>
        <v/>
      </c>
      <c r="M15" s="51">
        <f>ABS(B15 - $I$2)</f>
        <v/>
      </c>
      <c r="O15">
        <f>(1/K15^2) / ((1/K15^2) + (1/L15^2) + (1/M15^2))</f>
        <v/>
      </c>
      <c r="P15">
        <f>(1/L15^2) / ((1/K15^2) + (1/L15^2) + (1/M15^2))</f>
        <v/>
      </c>
      <c r="Q15">
        <f>(1/M15^2) / ((1/K15^2) + (1/L15^2) + (1/M15^2))</f>
        <v/>
      </c>
      <c r="S15">
        <f>IF(MAX(O15:Q15)=O15, "Murah", IF(MAX(O15:Q15)=P15, "Sedang", "Mahal"))</f>
        <v/>
      </c>
    </row>
    <row r="16">
      <c r="A16" s="6" t="inlineStr">
        <is>
          <t>Pura Luhur Dwijawarsa</t>
        </is>
      </c>
      <c r="B16" s="6" t="n">
        <v>0.1817391304347826</v>
      </c>
      <c r="C16" s="6" t="n">
        <v>0.6315617153892479</v>
      </c>
      <c r="D16" s="6" t="n">
        <v>0.4692909782044835</v>
      </c>
      <c r="K16" s="6">
        <f>ABS(B16 - $G$2)</f>
        <v/>
      </c>
      <c r="L16" s="6">
        <f>ABS(B16 - $H$2)</f>
        <v/>
      </c>
      <c r="M16" s="51">
        <f>ABS(B16 - $I$2)</f>
        <v/>
      </c>
      <c r="N16" s="52" t="n"/>
      <c r="O16">
        <f>(1/K16^2) / ((1/K16^2) + (1/L16^2) + (1/M16^2))</f>
        <v/>
      </c>
      <c r="P16">
        <f>(1/L16^2) / ((1/K16^2) + (1/L16^2) + (1/M16^2))</f>
        <v/>
      </c>
      <c r="Q16">
        <f>(1/M16^2) / ((1/K16^2) + (1/L16^2) + (1/M16^2))</f>
        <v/>
      </c>
      <c r="S16">
        <f>IF(MAX(O16:Q16)=O16, "Murah", IF(MAX(O16:Q16)=P16, "Sedang", "Mahal"))</f>
        <v/>
      </c>
    </row>
    <row r="17">
      <c r="A17" s="6" t="inlineStr">
        <is>
          <t>TPU Kasin</t>
        </is>
      </c>
      <c r="B17" s="6" t="n">
        <v>0.05217391304347826</v>
      </c>
      <c r="C17" s="6" t="n">
        <v>0.6399726337210953</v>
      </c>
      <c r="D17" s="6" t="n">
        <v>0.412065045538112</v>
      </c>
      <c r="K17" s="6">
        <f>ABS(B17 - $G$2)</f>
        <v/>
      </c>
      <c r="L17" s="6">
        <f>ABS(B17 - $H$2)</f>
        <v/>
      </c>
      <c r="M17" s="51">
        <f>ABS(B17 - $I$2)</f>
        <v/>
      </c>
      <c r="O17">
        <f>(1/K17^2) / ((1/K17^2) + (1/L17^2) + (1/M17^2))</f>
        <v/>
      </c>
      <c r="P17">
        <f>(1/L17^2) / ((1/K17^2) + (1/L17^2) + (1/M17^2))</f>
        <v/>
      </c>
      <c r="Q17">
        <f>(1/M17^2) / ((1/K17^2) + (1/L17^2) + (1/M17^2))</f>
        <v/>
      </c>
      <c r="S17">
        <f>IF(MAX(O17:Q17)=O17, "Murah", IF(MAX(O17:Q17)=P17, "Sedang", "Mahal"))</f>
        <v/>
      </c>
    </row>
    <row r="18">
      <c r="A18" s="6" t="inlineStr">
        <is>
          <t>Puncak Gunung Banyak/paralayang</t>
        </is>
      </c>
      <c r="B18" s="6" t="n">
        <v>0.01739130434782609</v>
      </c>
      <c r="C18" s="6" t="n">
        <v>0.8355580055444316</v>
      </c>
      <c r="D18" s="6" t="n">
        <v>0.2152020228050006</v>
      </c>
      <c r="K18" s="6">
        <f>ABS(B18 - $G$2)</f>
        <v/>
      </c>
      <c r="L18" s="6">
        <f>ABS(B18 - $H$2)</f>
        <v/>
      </c>
      <c r="M18" s="51">
        <f>ABS(B18 - $I$2)</f>
        <v/>
      </c>
      <c r="N18" s="52" t="n"/>
      <c r="O18">
        <f>(1/K18^2) / ((1/K18^2) + (1/L18^2) + (1/M18^2))</f>
        <v/>
      </c>
      <c r="P18">
        <f>(1/L18^2) / ((1/K18^2) + (1/L18^2) + (1/M18^2))</f>
        <v/>
      </c>
      <c r="Q18">
        <f>(1/M18^2) / ((1/K18^2) + (1/L18^2) + (1/M18^2))</f>
        <v/>
      </c>
      <c r="S18">
        <f>IF(MAX(O18:Q18)=O18, "Murah", IF(MAX(O18:Q18)=P18, "Sedang", "Mahal"))</f>
        <v/>
      </c>
    </row>
    <row r="19">
      <c r="A19" s="6" t="inlineStr">
        <is>
          <t>Air Terjun Coban Rondo Pujon</t>
        </is>
      </c>
      <c r="B19" s="6" t="n">
        <v>0.06086956521739131</v>
      </c>
      <c r="C19" s="6" t="n">
        <v>0.7924334562927554</v>
      </c>
      <c r="D19" s="6" t="n">
        <v>0.1850258297731629</v>
      </c>
      <c r="K19" s="6">
        <f>ABS(B19 - $G$2)</f>
        <v/>
      </c>
      <c r="L19" s="6">
        <f>ABS(B19 - $H$2)</f>
        <v/>
      </c>
      <c r="M19" s="51">
        <f>ABS(B19 - $I$2)</f>
        <v/>
      </c>
      <c r="O19">
        <f>(1/K19^2) / ((1/K19^2) + (1/L19^2) + (1/M19^2))</f>
        <v/>
      </c>
      <c r="P19">
        <f>(1/L19^2) / ((1/K19^2) + (1/L19^2) + (1/M19^2))</f>
        <v/>
      </c>
      <c r="Q19">
        <f>(1/M19^2) / ((1/K19^2) + (1/L19^2) + (1/M19^2))</f>
        <v/>
      </c>
      <c r="S19">
        <f>IF(MAX(O19:Q19)=O19, "Murah", IF(MAX(O19:Q19)=P19, "Sedang", "Mahal"))</f>
        <v/>
      </c>
    </row>
    <row r="20">
      <c r="A20" s="6" t="inlineStr">
        <is>
          <t>Agrowisata Teh Wonosari</t>
        </is>
      </c>
      <c r="B20" s="6" t="n">
        <v>0.02608695652173913</v>
      </c>
      <c r="C20" s="6" t="n">
        <v>0.8856234798024811</v>
      </c>
      <c r="D20" s="6" t="n">
        <v>0.4416824859046427</v>
      </c>
      <c r="K20" s="6">
        <f>ABS(B20 - $G$2)</f>
        <v/>
      </c>
      <c r="L20" s="6">
        <f>ABS(B20 - $H$2)</f>
        <v/>
      </c>
      <c r="M20" s="51">
        <f>ABS(B20 - $I$2)</f>
        <v/>
      </c>
      <c r="N20" s="52" t="n"/>
      <c r="O20">
        <f>(1/K20^2) / ((1/K20^2) + (1/L20^2) + (1/M20^2))</f>
        <v/>
      </c>
      <c r="P20">
        <f>(1/L20^2) / ((1/K20^2) + (1/L20^2) + (1/M20^2))</f>
        <v/>
      </c>
      <c r="Q20">
        <f>(1/M20^2) / ((1/K20^2) + (1/L20^2) + (1/M20^2))</f>
        <v/>
      </c>
      <c r="S20">
        <f>IF(MAX(O20:Q20)=O20, "Murah", IF(MAX(O20:Q20)=P20, "Sedang", "Mahal"))</f>
        <v/>
      </c>
    </row>
    <row r="21">
      <c r="A21" s="6" t="inlineStr">
        <is>
          <t>Puncak Budug Asu</t>
        </is>
      </c>
      <c r="B21" s="6" t="n">
        <v>0.01739130434782609</v>
      </c>
      <c r="C21" s="6" t="n">
        <v>0.9048019539871766</v>
      </c>
      <c r="D21" s="6" t="n">
        <v>0.4081429752553365</v>
      </c>
      <c r="K21" s="6">
        <f>ABS(B21 - $G$2)</f>
        <v/>
      </c>
      <c r="L21" s="6">
        <f>ABS(B21 - $H$2)</f>
        <v/>
      </c>
      <c r="M21" s="51">
        <f>ABS(B21 - $I$2)</f>
        <v/>
      </c>
      <c r="O21">
        <f>(1/K21^2) / ((1/K21^2) + (1/L21^2) + (1/M21^2))</f>
        <v/>
      </c>
      <c r="P21">
        <f>(1/L21^2) / ((1/K21^2) + (1/L21^2) + (1/M21^2))</f>
        <v/>
      </c>
      <c r="Q21">
        <f>(1/M21^2) / ((1/K21^2) + (1/L21^2) + (1/M21^2))</f>
        <v/>
      </c>
      <c r="S21">
        <f>IF(MAX(O21:Q21)=O21, "Murah", IF(MAX(O21:Q21)=P21, "Sedang", "Mahal"))</f>
        <v/>
      </c>
    </row>
    <row r="22">
      <c r="A22" s="6" t="inlineStr">
        <is>
          <t>Keraton Gunung Kawi</t>
        </is>
      </c>
      <c r="B22" s="6" t="n">
        <v>0.008695652173913044</v>
      </c>
      <c r="C22" s="6" t="n">
        <v>0.6208495021704917</v>
      </c>
      <c r="D22" s="6" t="n">
        <v>0.1991892299767869</v>
      </c>
      <c r="K22" s="6">
        <f>ABS(B22 - $G$2)</f>
        <v/>
      </c>
      <c r="L22" s="6">
        <f>ABS(B22 - $H$2)</f>
        <v/>
      </c>
      <c r="M22" s="51">
        <f>ABS(B22 - $I$2)</f>
        <v/>
      </c>
      <c r="N22" s="52" t="n"/>
      <c r="O22">
        <f>(1/K22^2) / ((1/K22^2) + (1/L22^2) + (1/M22^2))</f>
        <v/>
      </c>
      <c r="P22">
        <f>(1/L22^2) / ((1/K22^2) + (1/L22^2) + (1/M22^2))</f>
        <v/>
      </c>
      <c r="Q22">
        <f>(1/M22^2) / ((1/K22^2) + (1/L22^2) + (1/M22^2))</f>
        <v/>
      </c>
      <c r="S22">
        <f>IF(MAX(O22:Q22)=O22, "Murah", IF(MAX(O22:Q22)=P22, "Sedang", "Mahal"))</f>
        <v/>
      </c>
    </row>
    <row r="23">
      <c r="A23" s="6" t="inlineStr">
        <is>
          <t>Bukit Nirwana</t>
        </is>
      </c>
      <c r="B23" s="6" t="n">
        <v>0.01739130434782609</v>
      </c>
      <c r="C23" s="6" t="n">
        <v>0.8257494315033233</v>
      </c>
      <c r="D23" s="6" t="n">
        <v>0.1590908179083446</v>
      </c>
      <c r="K23" s="6">
        <f>ABS(B23 - $G$2)</f>
        <v/>
      </c>
      <c r="L23" s="6">
        <f>ABS(B23 - $H$2)</f>
        <v/>
      </c>
      <c r="M23" s="51">
        <f>ABS(B23 - $I$2)</f>
        <v/>
      </c>
      <c r="O23">
        <f>(1/K23^2) / ((1/K23^2) + (1/L23^2) + (1/M23^2))</f>
        <v/>
      </c>
      <c r="P23">
        <f>(1/L23^2) / ((1/K23^2) + (1/L23^2) + (1/M23^2))</f>
        <v/>
      </c>
      <c r="Q23">
        <f>(1/M23^2) / ((1/K23^2) + (1/L23^2) + (1/M23^2))</f>
        <v/>
      </c>
      <c r="S23">
        <f>IF(MAX(O23:Q23)=O23, "Murah", IF(MAX(O23:Q23)=P23, "Sedang", "Mahal"))</f>
        <v/>
      </c>
    </row>
    <row r="24">
      <c r="A24" s="6" t="inlineStr">
        <is>
          <t>Gunung Geger</t>
        </is>
      </c>
      <c r="B24" s="6" t="n">
        <v>0.05043478260869565</v>
      </c>
      <c r="C24" s="6" t="n">
        <v>0.2908800132473706</v>
      </c>
      <c r="D24" s="6" t="n">
        <v>0.3020653016909577</v>
      </c>
      <c r="K24" s="6">
        <f>ABS(B24 - $G$2)</f>
        <v/>
      </c>
      <c r="L24" s="6">
        <f>ABS(B24 - $H$2)</f>
        <v/>
      </c>
      <c r="M24" s="51">
        <f>ABS(B24 - $I$2)</f>
        <v/>
      </c>
      <c r="N24" s="52" t="n"/>
      <c r="O24">
        <f>(1/K24^2) / ((1/K24^2) + (1/L24^2) + (1/M24^2))</f>
        <v/>
      </c>
      <c r="P24">
        <f>(1/L24^2) / ((1/K24^2) + (1/L24^2) + (1/M24^2))</f>
        <v/>
      </c>
      <c r="Q24">
        <f>(1/M24^2) / ((1/K24^2) + (1/L24^2) + (1/M24^2))</f>
        <v/>
      </c>
      <c r="S24">
        <f>IF(MAX(O24:Q24)=O24, "Murah", IF(MAX(O24:Q24)=P24, "Sedang", "Mahal"))</f>
        <v/>
      </c>
    </row>
    <row r="25">
      <c r="A25" s="6" t="inlineStr">
        <is>
          <t>Omah Kayu Gunung Banyak</t>
        </is>
      </c>
      <c r="B25" s="6" t="n">
        <v>0.01739130434782609</v>
      </c>
      <c r="C25" s="6" t="n">
        <v>0.8355696260450286</v>
      </c>
      <c r="D25" s="6" t="n">
        <v>0.2174020053372268</v>
      </c>
      <c r="K25" s="6">
        <f>ABS(B25 - $G$2)</f>
        <v/>
      </c>
      <c r="L25" s="6">
        <f>ABS(B25 - $H$2)</f>
        <v/>
      </c>
      <c r="M25" s="51">
        <f>ABS(B25 - $I$2)</f>
        <v/>
      </c>
      <c r="O25">
        <f>(1/K25^2) / ((1/K25^2) + (1/L25^2) + (1/M25^2))</f>
        <v/>
      </c>
      <c r="P25">
        <f>(1/L25^2) / ((1/K25^2) + (1/L25^2) + (1/M25^2))</f>
        <v/>
      </c>
      <c r="Q25">
        <f>(1/M25^2) / ((1/K25^2) + (1/L25^2) + (1/M25^2))</f>
        <v/>
      </c>
      <c r="S25">
        <f>IF(MAX(O25:Q25)=O25, "Murah", IF(MAX(O25:Q25)=P25, "Sedang", "Mahal"))</f>
        <v/>
      </c>
    </row>
    <row r="26">
      <c r="A26" s="6" t="inlineStr">
        <is>
          <t>Wisata paralayang</t>
        </is>
      </c>
      <c r="B26" s="6" t="n">
        <v>0.01739130434782609</v>
      </c>
      <c r="C26" s="6" t="n">
        <v>0.8354137660807764</v>
      </c>
      <c r="D26" s="6" t="n">
        <v>0.2157828416484791</v>
      </c>
      <c r="K26" s="6">
        <f>ABS(B26 - $G$2)</f>
        <v/>
      </c>
      <c r="L26" s="6">
        <f>ABS(B26 - $H$2)</f>
        <v/>
      </c>
      <c r="M26" s="51">
        <f>ABS(B26 - $I$2)</f>
        <v/>
      </c>
      <c r="N26" s="52" t="n"/>
      <c r="O26">
        <f>(1/K26^2) / ((1/K26^2) + (1/L26^2) + (1/M26^2))</f>
        <v/>
      </c>
      <c r="P26">
        <f>(1/L26^2) / ((1/K26^2) + (1/L26^2) + (1/M26^2))</f>
        <v/>
      </c>
      <c r="Q26">
        <f>(1/M26^2) / ((1/K26^2) + (1/L26^2) + (1/M26^2))</f>
        <v/>
      </c>
      <c r="S26">
        <f>IF(MAX(O26:Q26)=O26, "Murah", IF(MAX(O26:Q26)=P26, "Sedang", "Mahal"))</f>
        <v/>
      </c>
    </row>
    <row r="27">
      <c r="A27" s="6" t="inlineStr">
        <is>
          <t>Air Terjun Sumber Pitu Pujon</t>
        </is>
      </c>
      <c r="B27" s="6" t="n">
        <v>0.01739130434782609</v>
      </c>
      <c r="C27" s="6" t="n">
        <v>0.7766391623943179</v>
      </c>
      <c r="D27" s="6" t="n">
        <v>0.1623911774790504</v>
      </c>
      <c r="K27" s="6">
        <f>ABS(B27 - $G$2)</f>
        <v/>
      </c>
      <c r="L27" s="6">
        <f>ABS(B27 - $H$2)</f>
        <v/>
      </c>
      <c r="M27" s="51">
        <f>ABS(B27 - $I$2)</f>
        <v/>
      </c>
      <c r="O27">
        <f>(1/K27^2) / ((1/K27^2) + (1/L27^2) + (1/M27^2))</f>
        <v/>
      </c>
      <c r="P27">
        <f>(1/L27^2) / ((1/K27^2) + (1/L27^2) + (1/M27^2))</f>
        <v/>
      </c>
      <c r="Q27">
        <f>(1/M27^2) / ((1/K27^2) + (1/L27^2) + (1/M27^2))</f>
        <v/>
      </c>
      <c r="S27">
        <f>IF(MAX(O27:Q27)=O27, "Murah", IF(MAX(O27:Q27)=P27, "Sedang", "Mahal"))</f>
        <v/>
      </c>
    </row>
    <row r="28">
      <c r="A28" s="6" t="inlineStr">
        <is>
          <t>Wisata Alam Lembah Gunung Sari Desa Kucur</t>
        </is>
      </c>
      <c r="B28" s="6" t="n">
        <v>0.01739130434782609</v>
      </c>
      <c r="C28" s="6" t="n">
        <v>0.6785816016971754</v>
      </c>
      <c r="D28" s="6" t="n">
        <v>0.3066859285370582</v>
      </c>
      <c r="K28" s="6">
        <f>ABS(B28 - $G$2)</f>
        <v/>
      </c>
      <c r="L28" s="6">
        <f>ABS(B28 - $H$2)</f>
        <v/>
      </c>
      <c r="M28" s="51">
        <f>ABS(B28 - $I$2)</f>
        <v/>
      </c>
      <c r="N28" s="52" t="n"/>
      <c r="O28">
        <f>(1/K28^2) / ((1/K28^2) + (1/L28^2) + (1/M28^2))</f>
        <v/>
      </c>
      <c r="P28">
        <f>(1/L28^2) / ((1/K28^2) + (1/L28^2) + (1/M28^2))</f>
        <v/>
      </c>
      <c r="Q28">
        <f>(1/M28^2) / ((1/K28^2) + (1/L28^2) + (1/M28^2))</f>
        <v/>
      </c>
      <c r="S28">
        <f>IF(MAX(O28:Q28)=O28, "Murah", IF(MAX(O28:Q28)=P28, "Sedang", "Mahal"))</f>
        <v/>
      </c>
    </row>
    <row r="29">
      <c r="A29" s="6" t="inlineStr">
        <is>
          <t>Air Terjun Coban Supit Urang</t>
        </is>
      </c>
      <c r="B29" s="6" t="n">
        <v>0.008695652173913044</v>
      </c>
      <c r="C29" s="6" t="n">
        <v>0.9284534493640321</v>
      </c>
      <c r="D29" s="6" t="n">
        <v>0.1596088330139675</v>
      </c>
      <c r="K29" s="6">
        <f>ABS(B29 - $G$2)</f>
        <v/>
      </c>
      <c r="L29" s="6">
        <f>ABS(B29 - $H$2)</f>
        <v/>
      </c>
      <c r="M29" s="51">
        <f>ABS(B29 - $I$2)</f>
        <v/>
      </c>
      <c r="O29">
        <f>(1/K29^2) / ((1/K29^2) + (1/L29^2) + (1/M29^2))</f>
        <v/>
      </c>
      <c r="P29">
        <f>(1/L29^2) / ((1/K29^2) + (1/L29^2) + (1/M29^2))</f>
        <v/>
      </c>
      <c r="Q29">
        <f>(1/M29^2) / ((1/K29^2) + (1/L29^2) + (1/M29^2))</f>
        <v/>
      </c>
      <c r="S29">
        <f>IF(MAX(O29:Q29)=O29, "Murah", IF(MAX(O29:Q29)=P29, "Sedang", "Mahal"))</f>
        <v/>
      </c>
    </row>
    <row r="30">
      <c r="A30" s="6" t="inlineStr">
        <is>
          <t>Coban Trisula</t>
        </is>
      </c>
      <c r="B30" s="6" t="n">
        <v>0.008695652173913044</v>
      </c>
      <c r="C30" s="6" t="n">
        <v>0.6257211065331185</v>
      </c>
      <c r="D30" s="6" t="n">
        <v>0.7894735380231129</v>
      </c>
      <c r="K30" s="6">
        <f>ABS(B30 - $G$2)</f>
        <v/>
      </c>
      <c r="L30" s="6">
        <f>ABS(B30 - $H$2)</f>
        <v/>
      </c>
      <c r="M30" s="51">
        <f>ABS(B30 - $I$2)</f>
        <v/>
      </c>
      <c r="N30" s="52" t="n"/>
      <c r="O30">
        <f>(1/K30^2) / ((1/K30^2) + (1/L30^2) + (1/M30^2))</f>
        <v/>
      </c>
      <c r="P30">
        <f>(1/L30^2) / ((1/K30^2) + (1/L30^2) + (1/M30^2))</f>
        <v/>
      </c>
      <c r="Q30">
        <f>(1/M30^2) / ((1/K30^2) + (1/L30^2) + (1/M30^2))</f>
        <v/>
      </c>
      <c r="S30">
        <f>IF(MAX(O30:Q30)=O30, "Murah", IF(MAX(O30:Q30)=P30, "Sedang", "Mahal"))</f>
        <v/>
      </c>
    </row>
    <row r="31">
      <c r="A31" s="6" t="inlineStr">
        <is>
          <t>Perhutani Precet Lereng Gunung Kawi</t>
        </is>
      </c>
      <c r="B31" s="6" t="n">
        <v>0.008695652173913044</v>
      </c>
      <c r="C31" s="6" t="n">
        <v>0.6230790404662162</v>
      </c>
      <c r="D31" s="6" t="n">
        <v>0.2326204157514892</v>
      </c>
      <c r="K31" s="6">
        <f>ABS(B31 - $G$2)</f>
        <v/>
      </c>
      <c r="L31" s="6">
        <f>ABS(B31 - $H$2)</f>
        <v/>
      </c>
      <c r="M31" s="51">
        <f>ABS(B31 - $I$2)</f>
        <v/>
      </c>
      <c r="O31">
        <f>(1/K31^2) / ((1/K31^2) + (1/L31^2) + (1/M31^2))</f>
        <v/>
      </c>
      <c r="P31">
        <f>(1/L31^2) / ((1/K31^2) + (1/L31^2) + (1/M31^2))</f>
        <v/>
      </c>
      <c r="Q31">
        <f>(1/M31^2) / ((1/K31^2) + (1/L31^2) + (1/M31^2))</f>
        <v/>
      </c>
      <c r="S31">
        <f>IF(MAX(O31:Q31)=O31, "Murah", IF(MAX(O31:Q31)=P31, "Sedang", "Mahal"))</f>
        <v/>
      </c>
    </row>
    <row r="32">
      <c r="A32" s="6" t="inlineStr">
        <is>
          <t>HUTAN KAWI &amp; BASCAM PUNCAK BATU TULIS</t>
        </is>
      </c>
      <c r="B32" s="6" t="n">
        <v>0.03478260869565217</v>
      </c>
      <c r="C32" s="6" t="n">
        <v>0.6241478360085911</v>
      </c>
      <c r="D32" s="6" t="n">
        <v>0.2336945602704495</v>
      </c>
      <c r="K32" s="6">
        <f>ABS(B32 - $G$2)</f>
        <v/>
      </c>
      <c r="L32" s="6">
        <f>ABS(B32 - $H$2)</f>
        <v/>
      </c>
      <c r="M32" s="51">
        <f>ABS(B32 - $I$2)</f>
        <v/>
      </c>
      <c r="N32" s="52" t="n"/>
      <c r="O32">
        <f>(1/K32^2) / ((1/K32^2) + (1/L32^2) + (1/M32^2))</f>
        <v/>
      </c>
      <c r="P32">
        <f>(1/L32^2) / ((1/K32^2) + (1/L32^2) + (1/M32^2))</f>
        <v/>
      </c>
      <c r="Q32">
        <f>(1/M32^2) / ((1/K32^2) + (1/L32^2) + (1/M32^2))</f>
        <v/>
      </c>
      <c r="S32">
        <f>IF(MAX(O32:Q32)=O32, "Murah", IF(MAX(O32:Q32)=P32, "Sedang", "Mahal"))</f>
        <v/>
      </c>
    </row>
    <row r="33">
      <c r="A33" s="6" t="inlineStr">
        <is>
          <t>Wisata Gunung Kombang</t>
        </is>
      </c>
      <c r="B33" s="6" t="n">
        <v>0.02608695652173913</v>
      </c>
      <c r="C33" s="6" t="n">
        <v>0.06343180981307714</v>
      </c>
      <c r="D33" s="6" t="n">
        <v>0.1061991146987642</v>
      </c>
      <c r="K33" s="6">
        <f>ABS(B33 - $G$2)</f>
        <v/>
      </c>
      <c r="L33" s="6">
        <f>ABS(B33 - $H$2)</f>
        <v/>
      </c>
      <c r="M33" s="51">
        <f>ABS(B33 - $I$2)</f>
        <v/>
      </c>
      <c r="O33">
        <f>(1/K33^2) / ((1/K33^2) + (1/L33^2) + (1/M33^2))</f>
        <v/>
      </c>
      <c r="P33">
        <f>(1/L33^2) / ((1/K33^2) + (1/L33^2) + (1/M33^2))</f>
        <v/>
      </c>
      <c r="Q33">
        <f>(1/M33^2) / ((1/K33^2) + (1/L33^2) + (1/M33^2))</f>
        <v/>
      </c>
      <c r="S33">
        <f>IF(MAX(O33:Q33)=O33, "Murah", IF(MAX(O33:Q33)=P33, "Sedang", "Mahal"))</f>
        <v/>
      </c>
    </row>
    <row r="34">
      <c r="A34" s="6" t="inlineStr">
        <is>
          <t>Bromo Transit Park Tumpang</t>
        </is>
      </c>
      <c r="B34" s="6" t="n">
        <v>0.03478260869565217</v>
      </c>
      <c r="C34" s="6" t="n">
        <v>0.5959152487840242</v>
      </c>
      <c r="D34" s="6" t="n">
        <v>0.6503310081033752</v>
      </c>
      <c r="K34" s="6">
        <f>ABS(B34 - $G$2)</f>
        <v/>
      </c>
      <c r="L34" s="6">
        <f>ABS(B34 - $H$2)</f>
        <v/>
      </c>
      <c r="M34" s="51">
        <f>ABS(B34 - $I$2)</f>
        <v/>
      </c>
      <c r="N34" s="52" t="n"/>
      <c r="O34">
        <f>(1/K34^2) / ((1/K34^2) + (1/L34^2) + (1/M34^2))</f>
        <v/>
      </c>
      <c r="P34">
        <f>(1/L34^2) / ((1/K34^2) + (1/L34^2) + (1/M34^2))</f>
        <v/>
      </c>
      <c r="Q34">
        <f>(1/M34^2) / ((1/K34^2) + (1/L34^2) + (1/M34^2))</f>
        <v/>
      </c>
      <c r="S34">
        <f>IF(MAX(O34:Q34)=O34, "Murah", IF(MAX(O34:Q34)=P34, "Sedang", "Mahal"))</f>
        <v/>
      </c>
    </row>
    <row r="35">
      <c r="A35" s="6" t="inlineStr">
        <is>
          <t>Sumber Maron</t>
        </is>
      </c>
      <c r="B35" s="6" t="n">
        <v>0.01739130434782609</v>
      </c>
      <c r="C35" s="6" t="n">
        <v>0.3843159556009734</v>
      </c>
      <c r="D35" s="6" t="n">
        <v>0.3628045402627477</v>
      </c>
      <c r="K35" s="6">
        <f>ABS(B35 - $G$2)</f>
        <v/>
      </c>
      <c r="L35" s="6">
        <f>ABS(B35 - $H$2)</f>
        <v/>
      </c>
      <c r="M35" s="51">
        <f>ABS(B35 - $I$2)</f>
        <v/>
      </c>
      <c r="O35">
        <f>(1/K35^2) / ((1/K35^2) + (1/L35^2) + (1/M35^2))</f>
        <v/>
      </c>
      <c r="P35">
        <f>(1/L35^2) / ((1/K35^2) + (1/L35^2) + (1/M35^2))</f>
        <v/>
      </c>
      <c r="Q35">
        <f>(1/M35^2) / ((1/K35^2) + (1/L35^2) + (1/M35^2))</f>
        <v/>
      </c>
      <c r="S35">
        <f>IF(MAX(O35:Q35)=O35, "Murah", IF(MAX(O35:Q35)=P35, "Sedang", "Mahal"))</f>
        <v/>
      </c>
    </row>
    <row r="36">
      <c r="A36" s="6" t="inlineStr">
        <is>
          <t>Wisata Rekreasi Kolam renang Lembah gunung sari</t>
        </is>
      </c>
      <c r="B36" s="6" t="n">
        <v>0.01739130434782609</v>
      </c>
      <c r="C36" s="6" t="n">
        <v>0.6758786732583966</v>
      </c>
      <c r="D36" s="6" t="n">
        <v>0.3054090220732732</v>
      </c>
      <c r="K36" s="6">
        <f>ABS(B36 - $G$2)</f>
        <v/>
      </c>
      <c r="L36" s="6">
        <f>ABS(B36 - $H$2)</f>
        <v/>
      </c>
      <c r="M36" s="51">
        <f>ABS(B36 - $I$2)</f>
        <v/>
      </c>
      <c r="N36" s="52" t="n"/>
      <c r="O36">
        <f>(1/K36^2) / ((1/K36^2) + (1/L36^2) + (1/M36^2))</f>
        <v/>
      </c>
      <c r="P36">
        <f>(1/L36^2) / ((1/K36^2) + (1/L36^2) + (1/M36^2))</f>
        <v/>
      </c>
      <c r="Q36">
        <f>(1/M36^2) / ((1/K36^2) + (1/L36^2) + (1/M36^2))</f>
        <v/>
      </c>
      <c r="S36">
        <f>IF(MAX(O36:Q36)=O36, "Murah", IF(MAX(O36:Q36)=P36, "Sedang", "Mahal"))</f>
        <v/>
      </c>
    </row>
    <row r="37">
      <c r="A37" s="6" t="inlineStr">
        <is>
          <t>Air Terjun Coban Pelangi, Malang</t>
        </is>
      </c>
      <c r="B37" s="6" t="n">
        <v>0.01739130434782609</v>
      </c>
      <c r="C37" s="6" t="n">
        <v>0.6083034287013307</v>
      </c>
      <c r="D37" s="6" t="n">
        <v>0.7769141792323115</v>
      </c>
      <c r="K37" s="6">
        <f>ABS(B37 - $G$2)</f>
        <v/>
      </c>
      <c r="L37" s="6">
        <f>ABS(B37 - $H$2)</f>
        <v/>
      </c>
      <c r="M37" s="51">
        <f>ABS(B37 - $I$2)</f>
        <v/>
      </c>
      <c r="O37">
        <f>(1/K37^2) / ((1/K37^2) + (1/L37^2) + (1/M37^2))</f>
        <v/>
      </c>
      <c r="P37">
        <f>(1/L37^2) / ((1/K37^2) + (1/L37^2) + (1/M37^2))</f>
        <v/>
      </c>
      <c r="Q37">
        <f>(1/M37^2) / ((1/K37^2) + (1/L37^2) + (1/M37^2))</f>
        <v/>
      </c>
      <c r="S37">
        <f>IF(MAX(O37:Q37)=O37, "Murah", IF(MAX(O37:Q37)=P37, "Sedang", "Mahal"))</f>
        <v/>
      </c>
    </row>
    <row r="38">
      <c r="A38" s="6" t="inlineStr">
        <is>
          <t>GUNUNG KITIRAN</t>
        </is>
      </c>
      <c r="B38" s="6" t="n">
        <v>0.01739130434782609</v>
      </c>
      <c r="C38" s="6" t="n">
        <v>0.1610608645507193</v>
      </c>
      <c r="D38" s="6" t="n">
        <v>0.515505270730414</v>
      </c>
      <c r="K38" s="6">
        <f>ABS(B38 - $G$2)</f>
        <v/>
      </c>
      <c r="L38" s="6">
        <f>ABS(B38 - $H$2)</f>
        <v/>
      </c>
      <c r="M38" s="51">
        <f>ABS(B38 - $I$2)</f>
        <v/>
      </c>
      <c r="N38" s="52" t="n"/>
      <c r="O38">
        <f>(1/K38^2) / ((1/K38^2) + (1/L38^2) + (1/M38^2))</f>
        <v/>
      </c>
      <c r="P38">
        <f>(1/L38^2) / ((1/K38^2) + (1/L38^2) + (1/M38^2))</f>
        <v/>
      </c>
      <c r="Q38">
        <f>(1/M38^2) / ((1/K38^2) + (1/L38^2) + (1/M38^2))</f>
        <v/>
      </c>
      <c r="S38">
        <f>IF(MAX(O38:Q38)=O38, "Murah", IF(MAX(O38:Q38)=P38, "Sedang", "Mahal"))</f>
        <v/>
      </c>
    </row>
    <row r="39">
      <c r="A39" s="6" t="inlineStr">
        <is>
          <t>Geopark Gunung Cilik</t>
        </is>
      </c>
      <c r="B39" s="6" t="n">
        <v>0.08869565217391304</v>
      </c>
      <c r="C39" s="6" t="n">
        <v>0.8774982805290524</v>
      </c>
      <c r="D39" s="6" t="n">
        <v>0.1595376965934382</v>
      </c>
      <c r="K39" s="6">
        <f>ABS(B39 - $G$2)</f>
        <v/>
      </c>
      <c r="L39" s="6">
        <f>ABS(B39 - $H$2)</f>
        <v/>
      </c>
      <c r="M39" s="51">
        <f>ABS(B39 - $I$2)</f>
        <v/>
      </c>
      <c r="O39">
        <f>(1/K39^2) / ((1/K39^2) + (1/L39^2) + (1/M39^2))</f>
        <v/>
      </c>
      <c r="P39">
        <f>(1/L39^2) / ((1/K39^2) + (1/L39^2) + (1/M39^2))</f>
        <v/>
      </c>
      <c r="Q39">
        <f>(1/M39^2) / ((1/K39^2) + (1/L39^2) + (1/M39^2))</f>
        <v/>
      </c>
      <c r="S39">
        <f>IF(MAX(O39:Q39)=O39, "Murah", IF(MAX(O39:Q39)=P39, "Sedang", "Mahal"))</f>
        <v/>
      </c>
    </row>
    <row r="40">
      <c r="A40" s="6" t="inlineStr">
        <is>
          <t>Bukit Mendek Wetan</t>
        </is>
      </c>
      <c r="B40" s="6" t="n">
        <v>0.01739130434782609</v>
      </c>
      <c r="C40" s="6" t="n">
        <v>0.835405050705329</v>
      </c>
      <c r="D40" s="6" t="n">
        <v>0.5910339408681964</v>
      </c>
      <c r="K40" s="6">
        <f>ABS(B40 - $G$2)</f>
        <v/>
      </c>
      <c r="L40" s="6">
        <f>ABS(B40 - $H$2)</f>
        <v/>
      </c>
      <c r="M40" s="51">
        <f>ABS(B40 - $I$2)</f>
        <v/>
      </c>
      <c r="N40" s="52" t="n"/>
      <c r="O40">
        <f>(1/K40^2) / ((1/K40^2) + (1/L40^2) + (1/M40^2))</f>
        <v/>
      </c>
      <c r="P40">
        <f>(1/L40^2) / ((1/K40^2) + (1/L40^2) + (1/M40^2))</f>
        <v/>
      </c>
      <c r="Q40">
        <f>(1/M40^2) / ((1/K40^2) + (1/L40^2) + (1/M40^2))</f>
        <v/>
      </c>
      <c r="S40">
        <f>IF(MAX(O40:Q40)=O40, "Murah", IF(MAX(O40:Q40)=P40, "Sedang", "Mahal"))</f>
        <v/>
      </c>
    </row>
    <row r="41">
      <c r="A41" s="6" t="inlineStr">
        <is>
          <t>Arjuna Geopark</t>
        </is>
      </c>
      <c r="B41" s="6" t="n">
        <v>0.01739130434782609</v>
      </c>
      <c r="C41" s="6" t="n">
        <v>0.8885213421387682</v>
      </c>
      <c r="D41" s="6" t="n">
        <v>0.4465828748557523</v>
      </c>
      <c r="K41" s="6">
        <f>ABS(B41 - $G$2)</f>
        <v/>
      </c>
      <c r="L41" s="6">
        <f>ABS(B41 - $H$2)</f>
        <v/>
      </c>
      <c r="M41" s="51">
        <f>ABS(B41 - $I$2)</f>
        <v/>
      </c>
      <c r="O41">
        <f>(1/K41^2) / ((1/K41^2) + (1/L41^2) + (1/M41^2))</f>
        <v/>
      </c>
      <c r="P41">
        <f>(1/L41^2) / ((1/K41^2) + (1/L41^2) + (1/M41^2))</f>
        <v/>
      </c>
      <c r="Q41">
        <f>(1/M41^2) / ((1/K41^2) + (1/L41^2) + (1/M41^2))</f>
        <v/>
      </c>
      <c r="S41">
        <f>IF(MAX(O41:Q41)=O41, "Murah", IF(MAX(O41:Q41)=P41, "Sedang", "Mahal"))</f>
        <v/>
      </c>
    </row>
    <row r="42">
      <c r="A42" s="6" t="inlineStr">
        <is>
          <t>Air Terjun Sumber Pitu Tumpang</t>
        </is>
      </c>
      <c r="B42" s="6" t="n">
        <v>0.008695652173913044</v>
      </c>
      <c r="C42" s="6" t="n">
        <v>0.6051438145891044</v>
      </c>
      <c r="D42" s="6" t="n">
        <v>0.7172418326593776</v>
      </c>
      <c r="K42" s="6">
        <f>ABS(B42 - $G$2)</f>
        <v/>
      </c>
      <c r="L42" s="6">
        <f>ABS(B42 - $H$2)</f>
        <v/>
      </c>
      <c r="M42" s="51">
        <f>ABS(B42 - $I$2)</f>
        <v/>
      </c>
      <c r="N42" s="52" t="n"/>
      <c r="O42">
        <f>(1/K42^2) / ((1/K42^2) + (1/L42^2) + (1/M42^2))</f>
        <v/>
      </c>
      <c r="P42">
        <f>(1/L42^2) / ((1/K42^2) + (1/L42^2) + (1/M42^2))</f>
        <v/>
      </c>
      <c r="Q42">
        <f>(1/M42^2) / ((1/K42^2) + (1/L42^2) + (1/M42^2))</f>
        <v/>
      </c>
      <c r="S42">
        <f>IF(MAX(O42:Q42)=O42, "Murah", IF(MAX(O42:Q42)=P42, "Sedang", "Mahal"))</f>
        <v/>
      </c>
    </row>
    <row r="43">
      <c r="A43" s="6" t="inlineStr">
        <is>
          <t>Hutan Kota Malabar Malang</t>
        </is>
      </c>
      <c r="B43" s="6" t="n">
        <v>0.003478260869565218</v>
      </c>
      <c r="C43" s="6" t="n">
        <v>0.6706299836514094</v>
      </c>
      <c r="D43" s="6" t="n">
        <v>0.4160113423241973</v>
      </c>
      <c r="K43" s="6">
        <f>ABS(B43 - $G$2)</f>
        <v/>
      </c>
      <c r="L43" s="6">
        <f>ABS(B43 - $H$2)</f>
        <v/>
      </c>
      <c r="M43" s="51">
        <f>ABS(B43 - $I$2)</f>
        <v/>
      </c>
      <c r="O43">
        <f>(1/K43^2) / ((1/K43^2) + (1/L43^2) + (1/M43^2))</f>
        <v/>
      </c>
      <c r="P43">
        <f>(1/L43^2) / ((1/K43^2) + (1/L43^2) + (1/M43^2))</f>
        <v/>
      </c>
      <c r="Q43">
        <f>(1/M43^2) / ((1/K43^2) + (1/L43^2) + (1/M43^2))</f>
        <v/>
      </c>
      <c r="S43">
        <f>IF(MAX(O43:Q43)=O43, "Murah", IF(MAX(O43:Q43)=P43, "Sedang", "Mahal"))</f>
        <v/>
      </c>
    </row>
    <row r="44">
      <c r="A44" s="6" t="inlineStr">
        <is>
          <t>Wisata Alam Sumber Jenon</t>
        </is>
      </c>
      <c r="B44" s="6" t="n">
        <v>0.01739130434782609</v>
      </c>
      <c r="C44" s="6" t="n">
        <v>0.5527256247290077</v>
      </c>
      <c r="D44" s="6" t="n">
        <v>0.554814855506658</v>
      </c>
      <c r="K44" s="6">
        <f>ABS(B44 - $G$2)</f>
        <v/>
      </c>
      <c r="L44" s="6">
        <f>ABS(B44 - $H$2)</f>
        <v/>
      </c>
      <c r="M44" s="51">
        <f>ABS(B44 - $I$2)</f>
        <v/>
      </c>
      <c r="N44" s="52" t="n"/>
      <c r="O44">
        <f>(1/K44^2) / ((1/K44^2) + (1/L44^2) + (1/M44^2))</f>
        <v/>
      </c>
      <c r="P44">
        <f>(1/L44^2) / ((1/K44^2) + (1/L44^2) + (1/M44^2))</f>
        <v/>
      </c>
      <c r="Q44">
        <f>(1/M44^2) / ((1/K44^2) + (1/L44^2) + (1/M44^2))</f>
        <v/>
      </c>
      <c r="S44">
        <f>IF(MAX(O44:Q44)=O44, "Murah", IF(MAX(O44:Q44)=P44, "Sedang", "Mahal"))</f>
        <v/>
      </c>
    </row>
    <row r="45">
      <c r="A45" s="6" t="inlineStr">
        <is>
          <t>Coban Bidadari</t>
        </is>
      </c>
      <c r="B45" s="6" t="n">
        <v>0.01739130434782609</v>
      </c>
      <c r="C45" s="6" t="n">
        <v>0.6159497180939179</v>
      </c>
      <c r="D45" s="6" t="n">
        <v>0.7882662248904788</v>
      </c>
      <c r="K45" s="6">
        <f>ABS(B45 - $G$2)</f>
        <v/>
      </c>
      <c r="L45" s="6">
        <f>ABS(B45 - $H$2)</f>
        <v/>
      </c>
      <c r="M45" s="51">
        <f>ABS(B45 - $I$2)</f>
        <v/>
      </c>
      <c r="O45">
        <f>(1/K45^2) / ((1/K45^2) + (1/L45^2) + (1/M45^2))</f>
        <v/>
      </c>
      <c r="P45">
        <f>(1/L45^2) / ((1/K45^2) + (1/L45^2) + (1/M45^2))</f>
        <v/>
      </c>
      <c r="Q45">
        <f>(1/M45^2) / ((1/K45^2) + (1/L45^2) + (1/M45^2))</f>
        <v/>
      </c>
      <c r="S45">
        <f>IF(MAX(O45:Q45)=O45, "Murah", IF(MAX(O45:Q45)=P45, "Sedang", "Mahal"))</f>
        <v/>
      </c>
    </row>
    <row r="46">
      <c r="A46" s="6" t="inlineStr">
        <is>
          <t>Budug Asu 1422 Mdpl</t>
        </is>
      </c>
      <c r="B46" s="6" t="n">
        <v>0.01739130434782609</v>
      </c>
      <c r="C46" s="6" t="n">
        <v>0.9057963783257333</v>
      </c>
      <c r="D46" s="6" t="n">
        <v>0.4047815093451045</v>
      </c>
      <c r="K46" s="6">
        <f>ABS(B46 - $G$2)</f>
        <v/>
      </c>
      <c r="L46" s="6">
        <f>ABS(B46 - $H$2)</f>
        <v/>
      </c>
      <c r="M46" s="51">
        <f>ABS(B46 - $I$2)</f>
        <v/>
      </c>
      <c r="N46" s="52" t="n"/>
      <c r="O46">
        <f>(1/K46^2) / ((1/K46^2) + (1/L46^2) + (1/M46^2))</f>
        <v/>
      </c>
      <c r="P46">
        <f>(1/L46^2) / ((1/K46^2) + (1/L46^2) + (1/M46^2))</f>
        <v/>
      </c>
      <c r="Q46">
        <f>(1/M46^2) / ((1/K46^2) + (1/L46^2) + (1/M46^2))</f>
        <v/>
      </c>
      <c r="S46">
        <f>IF(MAX(O46:Q46)=O46, "Murah", IF(MAX(O46:Q46)=P46, "Sedang", "Mahal"))</f>
        <v/>
      </c>
    </row>
    <row r="47">
      <c r="A47" s="6" t="inlineStr">
        <is>
          <t>Florawisata Santerra De Laponte</t>
        </is>
      </c>
      <c r="B47" s="6" t="n">
        <v>0.05217391304347826</v>
      </c>
      <c r="C47" s="6" t="n">
        <v>0.8371381031130605</v>
      </c>
      <c r="D47" s="6" t="n">
        <v>0.1978512171734755</v>
      </c>
      <c r="K47" s="6">
        <f>ABS(B47 - $G$2)</f>
        <v/>
      </c>
      <c r="L47" s="6">
        <f>ABS(B47 - $H$2)</f>
        <v/>
      </c>
      <c r="M47" s="51">
        <f>ABS(B47 - $I$2)</f>
        <v/>
      </c>
      <c r="O47">
        <f>(1/K47^2) / ((1/K47^2) + (1/L47^2) + (1/M47^2))</f>
        <v/>
      </c>
      <c r="P47">
        <f>(1/L47^2) / ((1/K47^2) + (1/L47^2) + (1/M47^2))</f>
        <v/>
      </c>
      <c r="Q47">
        <f>(1/M47^2) / ((1/K47^2) + (1/L47^2) + (1/M47^2))</f>
        <v/>
      </c>
      <c r="S47">
        <f>IF(MAX(O47:Q47)=O47, "Murah", IF(MAX(O47:Q47)=P47, "Sedang", "Mahal"))</f>
        <v/>
      </c>
    </row>
    <row r="48">
      <c r="A48" s="6" t="inlineStr">
        <is>
          <t>Bukit Teletubbies Batu</t>
        </is>
      </c>
      <c r="B48" s="6" t="n">
        <v>0.01739130434782609</v>
      </c>
      <c r="C48" s="6" t="n">
        <v>0.8372970134587188</v>
      </c>
      <c r="D48" s="6" t="n">
        <v>0.2817766081846026</v>
      </c>
      <c r="K48" s="6">
        <f>ABS(B48 - $G$2)</f>
        <v/>
      </c>
      <c r="L48" s="6">
        <f>ABS(B48 - $H$2)</f>
        <v/>
      </c>
      <c r="M48" s="51">
        <f>ABS(B48 - $I$2)</f>
        <v/>
      </c>
      <c r="N48" s="52" t="n"/>
      <c r="O48">
        <f>(1/K48^2) / ((1/K48^2) + (1/L48^2) + (1/M48^2))</f>
        <v/>
      </c>
      <c r="P48">
        <f>(1/L48^2) / ((1/K48^2) + (1/L48^2) + (1/M48^2))</f>
        <v/>
      </c>
      <c r="Q48">
        <f>(1/M48^2) / ((1/K48^2) + (1/L48^2) + (1/M48^2))</f>
        <v/>
      </c>
      <c r="S48">
        <f>IF(MAX(O48:Q48)=O48, "Murah", IF(MAX(O48:Q48)=P48, "Sedang", "Mahal"))</f>
        <v/>
      </c>
    </row>
    <row r="49">
      <c r="A49" s="6" t="inlineStr">
        <is>
          <t>Air Terjun Coban Glotak</t>
        </is>
      </c>
      <c r="B49" s="6" t="n">
        <v>0.006956521739130435</v>
      </c>
      <c r="C49" s="6" t="n">
        <v>0.6508588639362851</v>
      </c>
      <c r="D49" s="6" t="n">
        <v>0.253451042248853</v>
      </c>
      <c r="K49" s="6">
        <f>ABS(B49 - $G$2)</f>
        <v/>
      </c>
      <c r="L49" s="6">
        <f>ABS(B49 - $H$2)</f>
        <v/>
      </c>
      <c r="M49" s="51">
        <f>ABS(B49 - $I$2)</f>
        <v/>
      </c>
      <c r="O49">
        <f>(1/K49^2) / ((1/K49^2) + (1/L49^2) + (1/M49^2))</f>
        <v/>
      </c>
      <c r="P49">
        <f>(1/L49^2) / ((1/K49^2) + (1/L49^2) + (1/M49^2))</f>
        <v/>
      </c>
      <c r="Q49">
        <f>(1/M49^2) / ((1/K49^2) + (1/L49^2) + (1/M49^2))</f>
        <v/>
      </c>
      <c r="S49">
        <f>IF(MAX(O49:Q49)=O49, "Murah", IF(MAX(O49:Q49)=P49, "Sedang", "Mahal"))</f>
        <v/>
      </c>
    </row>
    <row r="50">
      <c r="A50" s="6" t="inlineStr">
        <is>
          <t>Air Terjun Coban Tengah</t>
        </is>
      </c>
      <c r="B50" s="6" t="n">
        <v>0.06086956521739131</v>
      </c>
      <c r="C50" s="6" t="n">
        <v>0.7816637215960472</v>
      </c>
      <c r="D50" s="6" t="n">
        <v>0.1824536540819382</v>
      </c>
      <c r="K50" s="6">
        <f>ABS(B50 - $G$2)</f>
        <v/>
      </c>
      <c r="L50" s="6">
        <f>ABS(B50 - $H$2)</f>
        <v/>
      </c>
      <c r="M50" s="51">
        <f>ABS(B50 - $I$2)</f>
        <v/>
      </c>
      <c r="N50" s="52" t="n"/>
      <c r="O50">
        <f>(1/K50^2) / ((1/K50^2) + (1/L50^2) + (1/M50^2))</f>
        <v/>
      </c>
      <c r="P50">
        <f>(1/L50^2) / ((1/K50^2) + (1/L50^2) + (1/M50^2))</f>
        <v/>
      </c>
      <c r="Q50">
        <f>(1/M50^2) / ((1/K50^2) + (1/L50^2) + (1/M50^2))</f>
        <v/>
      </c>
      <c r="S50">
        <f>IF(MAX(O50:Q50)=O50, "Murah", IF(MAX(O50:Q50)=P50, "Sedang", "Mahal"))</f>
        <v/>
      </c>
    </row>
    <row r="51">
      <c r="A51" s="6" t="inlineStr">
        <is>
          <t>Air Terjun Coban Jahe</t>
        </is>
      </c>
      <c r="B51" s="6" t="n">
        <v>0.008695652173913044</v>
      </c>
      <c r="C51" s="6" t="n">
        <v>0.6676271010409798</v>
      </c>
      <c r="D51" s="6" t="n">
        <v>0.6872674757187244</v>
      </c>
      <c r="K51" s="6">
        <f>ABS(B51 - $G$2)</f>
        <v/>
      </c>
      <c r="L51" s="6">
        <f>ABS(B51 - $H$2)</f>
        <v/>
      </c>
      <c r="M51" s="51">
        <f>ABS(B51 - $I$2)</f>
        <v/>
      </c>
      <c r="O51">
        <f>(1/K51^2) / ((1/K51^2) + (1/L51^2) + (1/M51^2))</f>
        <v/>
      </c>
      <c r="P51">
        <f>(1/L51^2) / ((1/K51^2) + (1/L51^2) + (1/M51^2))</f>
        <v/>
      </c>
      <c r="Q51">
        <f>(1/M51^2) / ((1/K51^2) + (1/L51^2) + (1/M51^2))</f>
        <v/>
      </c>
      <c r="S51">
        <f>IF(MAX(O51:Q51)=O51, "Murah", IF(MAX(O51:Q51)=P51, "Sedang", "Mahal"))</f>
        <v/>
      </c>
    </row>
    <row r="52">
      <c r="A52" s="6" t="inlineStr">
        <is>
          <t>Desa Wisata Pujonkidul</t>
        </is>
      </c>
      <c r="B52" s="6" t="n">
        <v>0.02173913043478261</v>
      </c>
      <c r="C52" s="6" t="n">
        <v>0.8344704719448436</v>
      </c>
      <c r="D52" s="6" t="n">
        <v>0.1526774298179747</v>
      </c>
      <c r="K52" s="6">
        <f>ABS(B52 - $G$2)</f>
        <v/>
      </c>
      <c r="L52" s="6">
        <f>ABS(B52 - $H$2)</f>
        <v/>
      </c>
      <c r="M52" s="51">
        <f>ABS(B52 - $I$2)</f>
        <v/>
      </c>
      <c r="N52" s="52" t="n"/>
      <c r="O52">
        <f>(1/K52^2) / ((1/K52^2) + (1/L52^2) + (1/M52^2))</f>
        <v/>
      </c>
      <c r="P52">
        <f>(1/L52^2) / ((1/K52^2) + (1/L52^2) + (1/M52^2))</f>
        <v/>
      </c>
      <c r="Q52">
        <f>(1/M52^2) / ((1/K52^2) + (1/L52^2) + (1/M52^2))</f>
        <v/>
      </c>
      <c r="S52">
        <f>IF(MAX(O52:Q52)=O52, "Murah", IF(MAX(O52:Q52)=P52, "Sedang", "Mahal"))</f>
        <v/>
      </c>
    </row>
    <row r="53">
      <c r="A53" s="6" t="inlineStr">
        <is>
          <t>Gussari Goa Pinus Batu</t>
        </is>
      </c>
      <c r="B53" s="6" t="n">
        <v>0.01739130434782609</v>
      </c>
      <c r="C53" s="6" t="n">
        <v>0.8456225211111826</v>
      </c>
      <c r="D53" s="6" t="n">
        <v>0.2115348708881643</v>
      </c>
      <c r="K53" s="6">
        <f>ABS(B53 - $G$2)</f>
        <v/>
      </c>
      <c r="L53" s="6">
        <f>ABS(B53 - $H$2)</f>
        <v/>
      </c>
      <c r="M53" s="51">
        <f>ABS(B53 - $I$2)</f>
        <v/>
      </c>
      <c r="O53">
        <f>(1/K53^2) / ((1/K53^2) + (1/L53^2) + (1/M53^2))</f>
        <v/>
      </c>
      <c r="P53">
        <f>(1/L53^2) / ((1/K53^2) + (1/L53^2) + (1/M53^2))</f>
        <v/>
      </c>
      <c r="Q53">
        <f>(1/M53^2) / ((1/K53^2) + (1/L53^2) + (1/M53^2))</f>
        <v/>
      </c>
      <c r="S53">
        <f>IF(MAX(O53:Q53)=O53, "Murah", IF(MAX(O53:Q53)=P53, "Sedang", "Mahal"))</f>
        <v/>
      </c>
    </row>
    <row r="54">
      <c r="A54" s="6" t="inlineStr">
        <is>
          <t>Pemandian Sumber Nyolo</t>
        </is>
      </c>
      <c r="B54" s="6" t="n">
        <v>0.008695652173913044</v>
      </c>
      <c r="C54" s="6" t="n">
        <v>0.7989274277949312</v>
      </c>
      <c r="D54" s="6" t="n">
        <v>0.4071961356103947</v>
      </c>
      <c r="K54" s="6">
        <f>ABS(B54 - $G$2)</f>
        <v/>
      </c>
      <c r="L54" s="6">
        <f>ABS(B54 - $H$2)</f>
        <v/>
      </c>
      <c r="M54" s="51">
        <f>ABS(B54 - $I$2)</f>
        <v/>
      </c>
      <c r="N54" s="52" t="n"/>
      <c r="O54">
        <f>(1/K54^2) / ((1/K54^2) + (1/L54^2) + (1/M54^2))</f>
        <v/>
      </c>
      <c r="P54">
        <f>(1/L54^2) / ((1/K54^2) + (1/L54^2) + (1/M54^2))</f>
        <v/>
      </c>
      <c r="Q54">
        <f>(1/M54^2) / ((1/K54^2) + (1/L54^2) + (1/M54^2))</f>
        <v/>
      </c>
      <c r="S54">
        <f>IF(MAX(O54:Q54)=O54, "Murah", IF(MAX(O54:Q54)=P54, "Sedang", "Mahal"))</f>
        <v/>
      </c>
    </row>
    <row r="55">
      <c r="A55" s="6" t="inlineStr">
        <is>
          <t>Agrowisata Telaga Madiredo</t>
        </is>
      </c>
      <c r="B55" s="6" t="n">
        <v>0.01739130434782609</v>
      </c>
      <c r="C55" s="6" t="n">
        <v>0.8791130943432131</v>
      </c>
      <c r="D55" s="6" t="n">
        <v>0.1587778793816359</v>
      </c>
      <c r="K55" s="6">
        <f>ABS(B55 - $G$2)</f>
        <v/>
      </c>
      <c r="L55" s="6">
        <f>ABS(B55 - $H$2)</f>
        <v/>
      </c>
      <c r="M55" s="51">
        <f>ABS(B55 - $I$2)</f>
        <v/>
      </c>
      <c r="O55">
        <f>(1/K55^2) / ((1/K55^2) + (1/L55^2) + (1/M55^2))</f>
        <v/>
      </c>
      <c r="P55">
        <f>(1/L55^2) / ((1/K55^2) + (1/L55^2) + (1/M55^2))</f>
        <v/>
      </c>
      <c r="Q55">
        <f>(1/M55^2) / ((1/K55^2) + (1/L55^2) + (1/M55^2))</f>
        <v/>
      </c>
      <c r="S55">
        <f>IF(MAX(O55:Q55)=O55, "Murah", IF(MAX(O55:Q55)=P55, "Sedang", "Mahal"))</f>
        <v/>
      </c>
    </row>
    <row r="56">
      <c r="A56" s="6" t="inlineStr">
        <is>
          <t>Sumber Sira Putukrejo</t>
        </is>
      </c>
      <c r="B56" s="6" t="n">
        <v>0.008695652173913044</v>
      </c>
      <c r="C56" s="6" t="n">
        <v>0.4464570183102792</v>
      </c>
      <c r="D56" s="6" t="n">
        <v>0.4068956961076854</v>
      </c>
      <c r="K56" s="6">
        <f>ABS(B56 - $G$2)</f>
        <v/>
      </c>
      <c r="L56" s="6">
        <f>ABS(B56 - $H$2)</f>
        <v/>
      </c>
      <c r="M56" s="51">
        <f>ABS(B56 - $I$2)</f>
        <v/>
      </c>
      <c r="N56" s="52" t="n"/>
      <c r="O56">
        <f>(1/K56^2) / ((1/K56^2) + (1/L56^2) + (1/M56^2))</f>
        <v/>
      </c>
      <c r="P56">
        <f>(1/L56^2) / ((1/K56^2) + (1/L56^2) + (1/M56^2))</f>
        <v/>
      </c>
      <c r="Q56">
        <f>(1/M56^2) / ((1/K56^2) + (1/L56^2) + (1/M56^2))</f>
        <v/>
      </c>
      <c r="S56">
        <f>IF(MAX(O56:Q56)=O56, "Murah", IF(MAX(O56:Q56)=P56, "Sedang", "Mahal"))</f>
        <v/>
      </c>
    </row>
    <row r="57">
      <c r="A57" s="6" t="inlineStr">
        <is>
          <t>Bukit Jengkoang</t>
        </is>
      </c>
      <c r="B57" s="6" t="n">
        <v>0.2608695652173913</v>
      </c>
      <c r="C57" s="6" t="n">
        <v>0.8770654168818277</v>
      </c>
      <c r="D57" s="6" t="n">
        <v>0.3099359833938859</v>
      </c>
      <c r="K57" s="6">
        <f>ABS(B57 - $G$2)</f>
        <v/>
      </c>
      <c r="L57" s="6">
        <f>ABS(B57 - $H$2)</f>
        <v/>
      </c>
      <c r="M57" s="51">
        <f>ABS(B57 - $I$2)</f>
        <v/>
      </c>
      <c r="O57">
        <f>(1/K57^2) / ((1/K57^2) + (1/L57^2) + (1/M57^2))</f>
        <v/>
      </c>
      <c r="P57">
        <f>(1/L57^2) / ((1/K57^2) + (1/L57^2) + (1/M57^2))</f>
        <v/>
      </c>
      <c r="Q57">
        <f>(1/M57^2) / ((1/K57^2) + (1/L57^2) + (1/M57^2))</f>
        <v/>
      </c>
      <c r="S57">
        <f>IF(MAX(O57:Q57)=O57, "Murah", IF(MAX(O57:Q57)=P57, "Sedang", "Mahal"))</f>
        <v/>
      </c>
    </row>
    <row r="58">
      <c r="A58" s="6" t="inlineStr">
        <is>
          <t>Desa Wisata Gubugklakah ꦒꦸꦧꦸꦏ꧀ꦏ꧀ꦭꦏꦃ</t>
        </is>
      </c>
      <c r="B58" s="6" t="n">
        <v>1</v>
      </c>
      <c r="C58" s="6" t="n">
        <v>0.5830144595341494</v>
      </c>
      <c r="D58" s="6" t="n">
        <v>0.7199280426559322</v>
      </c>
      <c r="K58" s="6">
        <f>ABS(B58 - $G$2)</f>
        <v/>
      </c>
      <c r="L58" s="6">
        <f>ABS(B58 - $H$2)</f>
        <v/>
      </c>
      <c r="M58" s="51">
        <f>ABS(B58 - $I$2)</f>
        <v/>
      </c>
      <c r="N58" s="52" t="n"/>
      <c r="O58">
        <f>(1/K58^2) / ((1/K58^2) + (1/L58^2) + (1/M58^2))</f>
        <v/>
      </c>
      <c r="P58">
        <f>(1/L58^2) / ((1/K58^2) + (1/L58^2) + (1/M58^2))</f>
        <v/>
      </c>
      <c r="Q58">
        <f>(1/M58^2) / ((1/K58^2) + (1/L58^2) + (1/M58^2))</f>
        <v/>
      </c>
      <c r="S58">
        <f>IF(MAX(O58:Q58)=O58, "Murah", IF(MAX(O58:Q58)=P58, "Sedang", "Mahal"))</f>
        <v/>
      </c>
    </row>
    <row r="59">
      <c r="A59" s="6" t="inlineStr">
        <is>
          <t>LEMBAH BROMO</t>
        </is>
      </c>
      <c r="B59" s="6" t="n">
        <v>0.09391304347826086</v>
      </c>
      <c r="C59" s="6" t="n">
        <v>0.5782150475314806</v>
      </c>
      <c r="D59" s="6" t="n">
        <v>0.7258656962897638</v>
      </c>
      <c r="K59" s="6">
        <f>ABS(B59 - $G$2)</f>
        <v/>
      </c>
      <c r="L59" s="6">
        <f>ABS(B59 - $H$2)</f>
        <v/>
      </c>
      <c r="M59" s="51">
        <f>ABS(B59 - $I$2)</f>
        <v/>
      </c>
      <c r="O59">
        <f>(1/K59^2) / ((1/K59^2) + (1/L59^2) + (1/M59^2))</f>
        <v/>
      </c>
      <c r="P59">
        <f>(1/L59^2) / ((1/K59^2) + (1/L59^2) + (1/M59^2))</f>
        <v/>
      </c>
      <c r="Q59">
        <f>(1/M59^2) / ((1/K59^2) + (1/L59^2) + (1/M59^2))</f>
        <v/>
      </c>
      <c r="S59">
        <f>IF(MAX(O59:Q59)=O59, "Murah", IF(MAX(O59:Q59)=P59, "Sedang", "Mahal"))</f>
        <v/>
      </c>
    </row>
    <row r="60">
      <c r="A60" s="6" t="inlineStr">
        <is>
          <t>Wonosari Tea Plantation</t>
        </is>
      </c>
      <c r="B60" s="6" t="n">
        <v>0.02608695652173913</v>
      </c>
      <c r="C60" s="6" t="n">
        <v>0.8857581323531443</v>
      </c>
      <c r="D60" s="6" t="n">
        <v>0.4440518996510427</v>
      </c>
      <c r="K60" s="6">
        <f>ABS(B60 - $G$2)</f>
        <v/>
      </c>
      <c r="L60" s="6">
        <f>ABS(B60 - $H$2)</f>
        <v/>
      </c>
      <c r="M60" s="51">
        <f>ABS(B60 - $I$2)</f>
        <v/>
      </c>
      <c r="N60" s="52" t="n"/>
      <c r="O60">
        <f>(1/K60^2) / ((1/K60^2) + (1/L60^2) + (1/M60^2))</f>
        <v/>
      </c>
      <c r="P60">
        <f>(1/L60^2) / ((1/K60^2) + (1/L60^2) + (1/M60^2))</f>
        <v/>
      </c>
      <c r="Q60">
        <f>(1/M60^2) / ((1/K60^2) + (1/L60^2) + (1/M60^2))</f>
        <v/>
      </c>
      <c r="S60">
        <f>IF(MAX(O60:Q60)=O60, "Murah", IF(MAX(O60:Q60)=P60, "Sedang", "Mahal"))</f>
        <v/>
      </c>
    </row>
    <row r="61">
      <c r="A61" s="6" t="inlineStr">
        <is>
          <t>Wisata Agro Selo Tumpeng (ꦮꦶꦱꦠꦱꦺꦭꦠꦸꦩ꧀ꦥꦁ)</t>
        </is>
      </c>
      <c r="B61" s="6" t="n">
        <v>0.04347826086956522</v>
      </c>
      <c r="C61" s="6" t="n">
        <v>0.5837147399513534</v>
      </c>
      <c r="D61" s="6" t="n">
        <v>0.2013956934844283</v>
      </c>
      <c r="K61" s="6">
        <f>ABS(B61 - $G$2)</f>
        <v/>
      </c>
      <c r="L61" s="6">
        <f>ABS(B61 - $H$2)</f>
        <v/>
      </c>
      <c r="M61" s="51">
        <f>ABS(B61 - $I$2)</f>
        <v/>
      </c>
      <c r="O61">
        <f>(1/K61^2) / ((1/K61^2) + (1/L61^2) + (1/M61^2))</f>
        <v/>
      </c>
      <c r="P61">
        <f>(1/L61^2) / ((1/K61^2) + (1/L61^2) + (1/M61^2))</f>
        <v/>
      </c>
      <c r="Q61">
        <f>(1/M61^2) / ((1/K61^2) + (1/L61^2) + (1/M61^2))</f>
        <v/>
      </c>
      <c r="S61">
        <f>IF(MAX(O61:Q61)=O61, "Murah", IF(MAX(O61:Q61)=P61, "Sedang", "Mahal"))</f>
        <v/>
      </c>
    </row>
    <row r="62">
      <c r="A62" s="6" t="inlineStr">
        <is>
          <t>Wisata Malang Dreamland</t>
        </is>
      </c>
      <c r="B62" s="6" t="n">
        <v>0.008695652173913044</v>
      </c>
      <c r="C62" s="6" t="n">
        <v>0.5041105342016771</v>
      </c>
      <c r="D62" s="6" t="n">
        <v>0.6620131205804075</v>
      </c>
      <c r="K62" s="6">
        <f>ABS(B62 - $G$2)</f>
        <v/>
      </c>
      <c r="L62" s="6">
        <f>ABS(B62 - $H$2)</f>
        <v/>
      </c>
      <c r="M62" s="51">
        <f>ABS(B62 - $I$2)</f>
        <v/>
      </c>
      <c r="N62" s="52" t="n"/>
      <c r="O62">
        <f>(1/K62^2) / ((1/K62^2) + (1/L62^2) + (1/M62^2))</f>
        <v/>
      </c>
      <c r="P62">
        <f>(1/L62^2) / ((1/K62^2) + (1/L62^2) + (1/M62^2))</f>
        <v/>
      </c>
      <c r="Q62">
        <f>(1/M62^2) / ((1/K62^2) + (1/L62^2) + (1/M62^2))</f>
        <v/>
      </c>
      <c r="S62">
        <f>IF(MAX(O62:Q62)=O62, "Murah", IF(MAX(O62:Q62)=P62, "Sedang", "Mahal"))</f>
        <v/>
      </c>
    </row>
    <row r="63">
      <c r="A63" s="6" t="inlineStr">
        <is>
          <t>Air Terjun Coban Siuk</t>
        </is>
      </c>
      <c r="B63" s="6" t="n">
        <v>0.008695652173913044</v>
      </c>
      <c r="C63" s="6" t="n">
        <v>0.6872021248085342</v>
      </c>
      <c r="D63" s="6" t="n">
        <v>0.7159200222945605</v>
      </c>
      <c r="K63" s="6">
        <f>ABS(B63 - $G$2)</f>
        <v/>
      </c>
      <c r="L63" s="6">
        <f>ABS(B63 - $H$2)</f>
        <v/>
      </c>
      <c r="M63" s="51">
        <f>ABS(B63 - $I$2)</f>
        <v/>
      </c>
      <c r="O63">
        <f>(1/K63^2) / ((1/K63^2) + (1/L63^2) + (1/M63^2))</f>
        <v/>
      </c>
      <c r="P63">
        <f>(1/L63^2) / ((1/K63^2) + (1/L63^2) + (1/M63^2))</f>
        <v/>
      </c>
      <c r="Q63">
        <f>(1/M63^2) / ((1/K63^2) + (1/L63^2) + (1/M63^2))</f>
        <v/>
      </c>
      <c r="S63">
        <f>IF(MAX(O63:Q63)=O63, "Murah", IF(MAX(O63:Q63)=P63, "Sedang", "Mahal"))</f>
        <v/>
      </c>
    </row>
    <row r="64">
      <c r="A64" s="6" t="inlineStr">
        <is>
          <t>Pantai Batu Bengkung</t>
        </is>
      </c>
      <c r="B64" s="6" t="n">
        <v>0.01739130434782609</v>
      </c>
      <c r="C64" s="6" t="n">
        <v>0</v>
      </c>
      <c r="D64" s="6" t="n">
        <v>0.3985335404365117</v>
      </c>
      <c r="K64" s="6">
        <f>ABS(B64 - $G$2)</f>
        <v/>
      </c>
      <c r="L64" s="6">
        <f>ABS(B64 - $H$2)</f>
        <v/>
      </c>
      <c r="M64" s="51">
        <f>ABS(B64 - $I$2)</f>
        <v/>
      </c>
      <c r="N64" s="52" t="n"/>
      <c r="O64">
        <f>(1/K64^2) / ((1/K64^2) + (1/L64^2) + (1/M64^2))</f>
        <v/>
      </c>
      <c r="P64">
        <f>(1/L64^2) / ((1/K64^2) + (1/L64^2) + (1/M64^2))</f>
        <v/>
      </c>
      <c r="Q64">
        <f>(1/M64^2) / ((1/K64^2) + (1/L64^2) + (1/M64^2))</f>
        <v/>
      </c>
      <c r="S64">
        <f>IF(MAX(O64:Q64)=O64, "Murah", IF(MAX(O64:Q64)=P64, "Sedang", "Mahal"))</f>
        <v/>
      </c>
    </row>
    <row r="65">
      <c r="A65" s="6" t="inlineStr">
        <is>
          <t>Coban Srengenge</t>
        </is>
      </c>
      <c r="B65" s="6" t="n">
        <v>0.01739130434782609</v>
      </c>
      <c r="C65" s="6" t="n">
        <v>0.2606640970834733</v>
      </c>
      <c r="D65" s="6" t="n">
        <v>0.8134512953155247</v>
      </c>
      <c r="K65" s="6">
        <f>ABS(B65 - $G$2)</f>
        <v/>
      </c>
      <c r="L65" s="6">
        <f>ABS(B65 - $H$2)</f>
        <v/>
      </c>
      <c r="M65" s="51">
        <f>ABS(B65 - $I$2)</f>
        <v/>
      </c>
      <c r="O65">
        <f>(1/K65^2) / ((1/K65^2) + (1/L65^2) + (1/M65^2))</f>
        <v/>
      </c>
      <c r="P65">
        <f>(1/L65^2) / ((1/K65^2) + (1/L65^2) + (1/M65^2))</f>
        <v/>
      </c>
      <c r="Q65">
        <f>(1/M65^2) / ((1/K65^2) + (1/L65^2) + (1/M65^2))</f>
        <v/>
      </c>
      <c r="S65">
        <f>IF(MAX(O65:Q65)=O65, "Murah", IF(MAX(O65:Q65)=P65, "Sedang", "Mahal"))</f>
        <v/>
      </c>
    </row>
    <row r="66">
      <c r="A66" s="6" t="inlineStr">
        <is>
          <t>Wisata Alam "SUMBER GENTONG"</t>
        </is>
      </c>
      <c r="B66" s="6" t="n">
        <v>0.008695652173913044</v>
      </c>
      <c r="C66" s="6" t="n">
        <v>0.705813518564114</v>
      </c>
      <c r="D66" s="6" t="n">
        <v>0.4884635551606737</v>
      </c>
      <c r="K66" s="6">
        <f>ABS(B66 - $G$2)</f>
        <v/>
      </c>
      <c r="L66" s="6">
        <f>ABS(B66 - $H$2)</f>
        <v/>
      </c>
      <c r="M66" s="51">
        <f>ABS(B66 - $I$2)</f>
        <v/>
      </c>
      <c r="N66" s="52" t="n"/>
      <c r="O66">
        <f>(1/K66^2) / ((1/K66^2) + (1/L66^2) + (1/M66^2))</f>
        <v/>
      </c>
      <c r="P66">
        <f>(1/L66^2) / ((1/K66^2) + (1/L66^2) + (1/M66^2))</f>
        <v/>
      </c>
      <c r="Q66">
        <f>(1/M66^2) / ((1/K66^2) + (1/L66^2) + (1/M66^2))</f>
        <v/>
      </c>
      <c r="S66">
        <f>IF(MAX(O66:Q66)=O66, "Murah", IF(MAX(O66:Q66)=P66, "Sedang", "Mahal"))</f>
        <v/>
      </c>
    </row>
    <row r="67">
      <c r="A67" s="6" t="inlineStr">
        <is>
          <t>Wisata Payung Batu</t>
        </is>
      </c>
      <c r="B67" s="6" t="n">
        <v>0.01739130434782609</v>
      </c>
      <c r="C67" s="6" t="n">
        <v>0.8200760125995286</v>
      </c>
      <c r="D67" s="6" t="n">
        <v>0.2035165155313535</v>
      </c>
      <c r="K67" s="6">
        <f>ABS(B67 - $G$2)</f>
        <v/>
      </c>
      <c r="L67" s="6">
        <f>ABS(B67 - $H$2)</f>
        <v/>
      </c>
      <c r="M67" s="51">
        <f>ABS(B67 - $I$2)</f>
        <v/>
      </c>
      <c r="O67">
        <f>(1/K67^2) / ((1/K67^2) + (1/L67^2) + (1/M67^2))</f>
        <v/>
      </c>
      <c r="P67">
        <f>(1/L67^2) / ((1/K67^2) + (1/L67^2) + (1/M67^2))</f>
        <v/>
      </c>
      <c r="Q67">
        <f>(1/M67^2) / ((1/K67^2) + (1/L67^2) + (1/M67^2))</f>
        <v/>
      </c>
      <c r="S67">
        <f>IF(MAX(O67:Q67)=O67, "Murah", IF(MAX(O67:Q67)=P67, "Sedang", "Mahal"))</f>
        <v/>
      </c>
    </row>
    <row r="68">
      <c r="A68" s="6" t="inlineStr">
        <is>
          <t>Coban Tundo</t>
        </is>
      </c>
      <c r="B68" s="6" t="n">
        <v>0.008695652173913044</v>
      </c>
      <c r="C68" s="6" t="n">
        <v>0.1292878013068713</v>
      </c>
      <c r="D68" s="6" t="n">
        <v>0.6756501729957569</v>
      </c>
      <c r="K68" s="6">
        <f>ABS(B68 - $G$2)</f>
        <v/>
      </c>
      <c r="L68" s="6">
        <f>ABS(B68 - $H$2)</f>
        <v/>
      </c>
      <c r="M68" s="51">
        <f>ABS(B68 - $I$2)</f>
        <v/>
      </c>
      <c r="N68" s="52" t="n"/>
      <c r="O68">
        <f>(1/K68^2) / ((1/K68^2) + (1/L68^2) + (1/M68^2))</f>
        <v/>
      </c>
      <c r="P68">
        <f>(1/L68^2) / ((1/K68^2) + (1/L68^2) + (1/M68^2))</f>
        <v/>
      </c>
      <c r="Q68">
        <f>(1/M68^2) / ((1/K68^2) + (1/L68^2) + (1/M68^2))</f>
        <v/>
      </c>
      <c r="S68">
        <f>IF(MAX(O68:Q68)=O68, "Murah", IF(MAX(O68:Q68)=P68, "Sedang", "Mahal"))</f>
        <v/>
      </c>
    </row>
    <row r="69">
      <c r="A69" s="6" t="inlineStr">
        <is>
          <t>Bukit Waung</t>
        </is>
      </c>
      <c r="B69" s="6" t="n">
        <v>0.008695652173913044</v>
      </c>
      <c r="C69" s="6" t="n">
        <v>0.1180866555255119</v>
      </c>
      <c r="D69" s="6" t="n">
        <v>0.016767054918241</v>
      </c>
      <c r="K69" s="6">
        <f>ABS(B69 - $G$2)</f>
        <v/>
      </c>
      <c r="L69" s="6">
        <f>ABS(B69 - $H$2)</f>
        <v/>
      </c>
      <c r="M69" s="51">
        <f>ABS(B69 - $I$2)</f>
        <v/>
      </c>
      <c r="O69">
        <f>(1/K69^2) / ((1/K69^2) + (1/L69^2) + (1/M69^2))</f>
        <v/>
      </c>
      <c r="P69">
        <f>(1/L69^2) / ((1/K69^2) + (1/L69^2) + (1/M69^2))</f>
        <v/>
      </c>
      <c r="Q69">
        <f>(1/M69^2) / ((1/K69^2) + (1/L69^2) + (1/M69^2))</f>
        <v/>
      </c>
      <c r="S69">
        <f>IF(MAX(O69:Q69)=O69, "Murah", IF(MAX(O69:Q69)=P69, "Sedang", "Mahal"))</f>
        <v/>
      </c>
    </row>
    <row r="70">
      <c r="A70" s="6" t="inlineStr">
        <is>
          <t>Malang Skyland</t>
        </is>
      </c>
      <c r="B70" s="6" t="n">
        <v>0.06086956521739131</v>
      </c>
      <c r="C70" s="6" t="n">
        <v>0.8174826073788731</v>
      </c>
      <c r="D70" s="6" t="n">
        <v>0.3380749898233271</v>
      </c>
      <c r="K70" s="6">
        <f>ABS(B70 - $G$2)</f>
        <v/>
      </c>
      <c r="L70" s="6">
        <f>ABS(B70 - $H$2)</f>
        <v/>
      </c>
      <c r="M70" s="51">
        <f>ABS(B70 - $I$2)</f>
        <v/>
      </c>
      <c r="N70" s="52" t="n"/>
      <c r="O70">
        <f>(1/K70^2) / ((1/K70^2) + (1/L70^2) + (1/M70^2))</f>
        <v/>
      </c>
      <c r="P70">
        <f>(1/L70^2) / ((1/K70^2) + (1/L70^2) + (1/M70^2))</f>
        <v/>
      </c>
      <c r="Q70">
        <f>(1/M70^2) / ((1/K70^2) + (1/L70^2) + (1/M70^2))</f>
        <v/>
      </c>
      <c r="S70">
        <f>IF(MAX(O70:Q70)=O70, "Murah", IF(MAX(O70:Q70)=P70, "Sedang", "Mahal"))</f>
        <v/>
      </c>
    </row>
    <row r="71">
      <c r="A71" s="6" t="inlineStr">
        <is>
          <t>Boonpring</t>
        </is>
      </c>
      <c r="B71" s="6" t="n">
        <v>0.01739130434782609</v>
      </c>
      <c r="C71" s="6" t="n">
        <v>0.3986078640285246</v>
      </c>
      <c r="D71" s="6" t="n">
        <v>0.6250177069506705</v>
      </c>
      <c r="K71" s="6">
        <f>ABS(B71 - $G$2)</f>
        <v/>
      </c>
      <c r="L71" s="6">
        <f>ABS(B71 - $H$2)</f>
        <v/>
      </c>
      <c r="M71" s="51">
        <f>ABS(B71 - $I$2)</f>
        <v/>
      </c>
      <c r="O71">
        <f>(1/K71^2) / ((1/K71^2) + (1/L71^2) + (1/M71^2))</f>
        <v/>
      </c>
      <c r="P71">
        <f>(1/L71^2) / ((1/K71^2) + (1/L71^2) + (1/M71^2))</f>
        <v/>
      </c>
      <c r="Q71">
        <f>(1/M71^2) / ((1/K71^2) + (1/L71^2) + (1/M71^2))</f>
        <v/>
      </c>
      <c r="S71">
        <f>IF(MAX(O71:Q71)=O71, "Murah", IF(MAX(O71:Q71)=P71, "Sedang", "Mahal"))</f>
        <v/>
      </c>
    </row>
    <row r="72">
      <c r="A72" s="6" t="inlineStr">
        <is>
          <t>PUNCAK BINGLIS</t>
        </is>
      </c>
      <c r="B72" s="6" t="n">
        <v>0.01739130434782609</v>
      </c>
      <c r="C72" s="6" t="n">
        <v>0.1593998592466877</v>
      </c>
      <c r="D72" s="6" t="n">
        <v>0.7029270553873542</v>
      </c>
      <c r="K72" s="6">
        <f>ABS(B72 - $G$2)</f>
        <v/>
      </c>
      <c r="L72" s="6">
        <f>ABS(B72 - $H$2)</f>
        <v/>
      </c>
      <c r="M72" s="51">
        <f>ABS(B72 - $I$2)</f>
        <v/>
      </c>
      <c r="N72" s="52" t="n"/>
      <c r="O72">
        <f>(1/K72^2) / ((1/K72^2) + (1/L72^2) + (1/M72^2))</f>
        <v/>
      </c>
      <c r="P72">
        <f>(1/L72^2) / ((1/K72^2) + (1/L72^2) + (1/M72^2))</f>
        <v/>
      </c>
      <c r="Q72">
        <f>(1/M72^2) / ((1/K72^2) + (1/L72^2) + (1/M72^2))</f>
        <v/>
      </c>
      <c r="S72">
        <f>IF(MAX(O72:Q72)=O72, "Murah", IF(MAX(O72:Q72)=P72, "Sedang", "Mahal"))</f>
        <v/>
      </c>
    </row>
    <row r="73">
      <c r="A73" s="6" t="inlineStr">
        <is>
          <t>Wisata Umbulan Tanaka</t>
        </is>
      </c>
      <c r="B73" s="6" t="n">
        <v>0.008695652173913044</v>
      </c>
      <c r="C73" s="6" t="n">
        <v>0.5014036838439462</v>
      </c>
      <c r="D73" s="6" t="n">
        <v>0.2178498098759605</v>
      </c>
      <c r="K73" s="6">
        <f>ABS(B73 - $G$2)</f>
        <v/>
      </c>
      <c r="L73" s="6">
        <f>ABS(B73 - $H$2)</f>
        <v/>
      </c>
      <c r="M73" s="51">
        <f>ABS(B73 - $I$2)</f>
        <v/>
      </c>
      <c r="O73">
        <f>(1/K73^2) / ((1/K73^2) + (1/L73^2) + (1/M73^2))</f>
        <v/>
      </c>
      <c r="P73">
        <f>(1/L73^2) / ((1/K73^2) + (1/L73^2) + (1/M73^2))</f>
        <v/>
      </c>
      <c r="Q73">
        <f>(1/M73^2) / ((1/K73^2) + (1/L73^2) + (1/M73^2))</f>
        <v/>
      </c>
      <c r="S73">
        <f>IF(MAX(O73:Q73)=O73, "Murah", IF(MAX(O73:Q73)=P73, "Sedang", "Mahal"))</f>
        <v/>
      </c>
    </row>
    <row r="74">
      <c r="A74" s="6" t="inlineStr">
        <is>
          <t>Bumi Perkemahan Gunung Katu ꦨꦸꦩꦶꦥꦼꦂꦏꦺꦩꦲꦤ꧀</t>
        </is>
      </c>
      <c r="B74" s="6" t="n">
        <v>0.01739130434782609</v>
      </c>
      <c r="C74" s="6" t="n">
        <v>0.5815167222634993</v>
      </c>
      <c r="D74" s="6" t="n">
        <v>0.3188696993722462</v>
      </c>
      <c r="K74" s="6">
        <f>ABS(B74 - $G$2)</f>
        <v/>
      </c>
      <c r="L74" s="6">
        <f>ABS(B74 - $H$2)</f>
        <v/>
      </c>
      <c r="M74" s="51">
        <f>ABS(B74 - $I$2)</f>
        <v/>
      </c>
      <c r="N74" s="52" t="n"/>
      <c r="O74">
        <f>(1/K74^2) / ((1/K74^2) + (1/L74^2) + (1/M74^2))</f>
        <v/>
      </c>
      <c r="P74">
        <f>(1/L74^2) / ((1/K74^2) + (1/L74^2) + (1/M74^2))</f>
        <v/>
      </c>
      <c r="Q74">
        <f>(1/M74^2) / ((1/K74^2) + (1/L74^2) + (1/M74^2))</f>
        <v/>
      </c>
      <c r="S74">
        <f>IF(MAX(O74:Q74)=O74, "Murah", IF(MAX(O74:Q74)=P74, "Sedang", "Mahal"))</f>
        <v/>
      </c>
    </row>
    <row r="75">
      <c r="A75" s="6" t="inlineStr">
        <is>
          <t>Wisata Goa Pandawa</t>
        </is>
      </c>
      <c r="B75" s="6" t="n">
        <v>0.02608695652173913</v>
      </c>
      <c r="C75" s="6" t="n">
        <v>0.8394732427079551</v>
      </c>
      <c r="D75" s="6" t="n">
        <v>0.2232614243393976</v>
      </c>
      <c r="K75" s="6">
        <f>ABS(B75 - $G$2)</f>
        <v/>
      </c>
      <c r="L75" s="6">
        <f>ABS(B75 - $H$2)</f>
        <v/>
      </c>
      <c r="M75" s="51">
        <f>ABS(B75 - $I$2)</f>
        <v/>
      </c>
      <c r="O75">
        <f>(1/K75^2) / ((1/K75^2) + (1/L75^2) + (1/M75^2))</f>
        <v/>
      </c>
      <c r="P75">
        <f>(1/L75^2) / ((1/K75^2) + (1/L75^2) + (1/M75^2))</f>
        <v/>
      </c>
      <c r="Q75">
        <f>(1/M75^2) / ((1/K75^2) + (1/L75^2) + (1/M75^2))</f>
        <v/>
      </c>
      <c r="S75">
        <f>IF(MAX(O75:Q75)=O75, "Murah", IF(MAX(O75:Q75)=P75, "Sedang", "Mahal"))</f>
        <v/>
      </c>
    </row>
    <row r="76">
      <c r="A76" s="6" t="inlineStr">
        <is>
          <t>Sumber Nagan</t>
        </is>
      </c>
      <c r="B76" s="6" t="n">
        <v>0.008695652173913044</v>
      </c>
      <c r="C76" s="6" t="n">
        <v>0.8055469007035491</v>
      </c>
      <c r="D76" s="6" t="n">
        <v>0.4577071605211178</v>
      </c>
      <c r="K76" s="6">
        <f>ABS(B76 - $G$2)</f>
        <v/>
      </c>
      <c r="L76" s="6">
        <f>ABS(B76 - $H$2)</f>
        <v/>
      </c>
      <c r="M76" s="51">
        <f>ABS(B76 - $I$2)</f>
        <v/>
      </c>
      <c r="N76" s="52" t="n"/>
      <c r="O76">
        <f>(1/K76^2) / ((1/K76^2) + (1/L76^2) + (1/M76^2))</f>
        <v/>
      </c>
      <c r="P76">
        <f>(1/L76^2) / ((1/K76^2) + (1/L76^2) + (1/M76^2))</f>
        <v/>
      </c>
      <c r="Q76">
        <f>(1/M76^2) / ((1/K76^2) + (1/L76^2) + (1/M76^2))</f>
        <v/>
      </c>
      <c r="S76">
        <f>IF(MAX(O76:Q76)=O76, "Murah", IF(MAX(O76:Q76)=P76, "Sedang", "Mahal"))</f>
        <v/>
      </c>
    </row>
    <row r="77">
      <c r="A77" s="6" t="inlineStr">
        <is>
          <t>Air Terjun Coban Kethak</t>
        </is>
      </c>
      <c r="B77" s="6" t="n">
        <v>0.01739130434782609</v>
      </c>
      <c r="C77" s="6" t="n">
        <v>0.9113046408647983</v>
      </c>
      <c r="D77" s="6" t="n">
        <v>0</v>
      </c>
      <c r="K77" s="6">
        <f>ABS(B77 - $G$2)</f>
        <v/>
      </c>
      <c r="L77" s="6">
        <f>ABS(B77 - $H$2)</f>
        <v/>
      </c>
      <c r="M77" s="51">
        <f>ABS(B77 - $I$2)</f>
        <v/>
      </c>
      <c r="O77">
        <f>(1/K77^2) / ((1/K77^2) + (1/L77^2) + (1/M77^2))</f>
        <v/>
      </c>
      <c r="P77">
        <f>(1/L77^2) / ((1/K77^2) + (1/L77^2) + (1/M77^2))</f>
        <v/>
      </c>
      <c r="Q77">
        <f>(1/M77^2) / ((1/K77^2) + (1/L77^2) + (1/M77^2))</f>
        <v/>
      </c>
      <c r="S77">
        <f>IF(MAX(O77:Q77)=O77, "Murah", IF(MAX(O77:Q77)=P77, "Sedang", "Mahal"))</f>
        <v/>
      </c>
    </row>
    <row r="78">
      <c r="A78" s="6" t="inlineStr">
        <is>
          <t>Air Terjun Grojogan Sewu Pujon</t>
        </is>
      </c>
      <c r="B78" s="6" t="n">
        <v>0.03826086956521739</v>
      </c>
      <c r="C78" s="6" t="n">
        <v>0.8189180297150733</v>
      </c>
      <c r="D78" s="6" t="n">
        <v>0.04650809674429544</v>
      </c>
      <c r="K78" s="6">
        <f>ABS(B78 - $G$2)</f>
        <v/>
      </c>
      <c r="L78" s="6">
        <f>ABS(B78 - $H$2)</f>
        <v/>
      </c>
      <c r="M78" s="51">
        <f>ABS(B78 - $I$2)</f>
        <v/>
      </c>
      <c r="N78" s="52" t="n"/>
      <c r="O78">
        <f>(1/K78^2) / ((1/K78^2) + (1/L78^2) + (1/M78^2))</f>
        <v/>
      </c>
      <c r="P78">
        <f>(1/L78^2) / ((1/K78^2) + (1/L78^2) + (1/M78^2))</f>
        <v/>
      </c>
      <c r="Q78">
        <f>(1/M78^2) / ((1/K78^2) + (1/L78^2) + (1/M78^2))</f>
        <v/>
      </c>
      <c r="S78">
        <f>IF(MAX(O78:Q78)=O78, "Murah", IF(MAX(O78:Q78)=P78, "Sedang", "Mahal"))</f>
        <v/>
      </c>
    </row>
    <row r="79">
      <c r="A79" s="6" t="inlineStr">
        <is>
          <t>Pari Bendo</t>
        </is>
      </c>
      <c r="B79" s="6" t="n">
        <v>0.03478260869565217</v>
      </c>
      <c r="C79" s="6" t="n">
        <v>0.8639130437940358</v>
      </c>
      <c r="D79" s="6" t="n">
        <v>0.4484933738198903</v>
      </c>
      <c r="K79" s="6">
        <f>ABS(B79 - $G$2)</f>
        <v/>
      </c>
      <c r="L79" s="6">
        <f>ABS(B79 - $H$2)</f>
        <v/>
      </c>
      <c r="M79" s="51">
        <f>ABS(B79 - $I$2)</f>
        <v/>
      </c>
      <c r="O79">
        <f>(1/K79^2) / ((1/K79^2) + (1/L79^2) + (1/M79^2))</f>
        <v/>
      </c>
      <c r="P79">
        <f>(1/L79^2) / ((1/K79^2) + (1/L79^2) + (1/M79^2))</f>
        <v/>
      </c>
      <c r="Q79">
        <f>(1/M79^2) / ((1/K79^2) + (1/L79^2) + (1/M79^2))</f>
        <v/>
      </c>
      <c r="S79">
        <f>IF(MAX(O79:Q79)=O79, "Murah", IF(MAX(O79:Q79)=P79, "Sedang", "Mahal"))</f>
        <v/>
      </c>
    </row>
    <row r="80">
      <c r="A80" s="6" t="inlineStr">
        <is>
          <t>Coban Nirwana</t>
        </is>
      </c>
      <c r="B80" s="6" t="n">
        <v>0.008695652173913044</v>
      </c>
      <c r="C80" s="6" t="n">
        <v>0.1744533462320891</v>
      </c>
      <c r="D80" s="6" t="n">
        <v>0.4232598503882247</v>
      </c>
      <c r="K80" s="6">
        <f>ABS(B80 - $G$2)</f>
        <v/>
      </c>
      <c r="L80" s="6">
        <f>ABS(B80 - $H$2)</f>
        <v/>
      </c>
      <c r="M80" s="51">
        <f>ABS(B80 - $I$2)</f>
        <v/>
      </c>
      <c r="N80" s="52" t="n"/>
      <c r="O80">
        <f>(1/K80^2) / ((1/K80^2) + (1/L80^2) + (1/M80^2))</f>
        <v/>
      </c>
      <c r="P80">
        <f>(1/L80^2) / ((1/K80^2) + (1/L80^2) + (1/M80^2))</f>
        <v/>
      </c>
      <c r="Q80">
        <f>(1/M80^2) / ((1/K80^2) + (1/L80^2) + (1/M80^2))</f>
        <v/>
      </c>
      <c r="S80">
        <f>IF(MAX(O80:Q80)=O80, "Murah", IF(MAX(O80:Q80)=P80, "Sedang", "Mahal"))</f>
        <v/>
      </c>
    </row>
    <row r="81">
      <c r="A81" s="6" t="inlineStr">
        <is>
          <t>Air Terjun Ciblungan</t>
        </is>
      </c>
      <c r="B81" s="6" t="n">
        <v>0.008695652173913044</v>
      </c>
      <c r="C81" s="6" t="n">
        <v>0.2736192121736375</v>
      </c>
      <c r="D81" s="6" t="n">
        <v>0.7920886115991602</v>
      </c>
      <c r="K81" s="6">
        <f>ABS(B81 - $G$2)</f>
        <v/>
      </c>
      <c r="L81" s="6">
        <f>ABS(B81 - $H$2)</f>
        <v/>
      </c>
      <c r="M81" s="51">
        <f>ABS(B81 - $I$2)</f>
        <v/>
      </c>
      <c r="O81">
        <f>(1/K81^2) / ((1/K81^2) + (1/L81^2) + (1/M81^2))</f>
        <v/>
      </c>
      <c r="P81">
        <f>(1/L81^2) / ((1/K81^2) + (1/L81^2) + (1/M81^2))</f>
        <v/>
      </c>
      <c r="Q81">
        <f>(1/M81^2) / ((1/K81^2) + (1/L81^2) + (1/M81^2))</f>
        <v/>
      </c>
      <c r="S81">
        <f>IF(MAX(O81:Q81)=O81, "Murah", IF(MAX(O81:Q81)=P81, "Sedang", "Mahal"))</f>
        <v/>
      </c>
    </row>
    <row r="82">
      <c r="A82" s="6" t="inlineStr">
        <is>
          <t>Air Terjun Jidor</t>
        </is>
      </c>
      <c r="B82" s="6" t="n">
        <v>0.008695652173913044</v>
      </c>
      <c r="C82" s="6" t="n">
        <v>0.6244197557225514</v>
      </c>
      <c r="D82" s="6" t="n">
        <v>0.6394391116990121</v>
      </c>
      <c r="K82" s="6">
        <f>ABS(B82 - $G$2)</f>
        <v/>
      </c>
      <c r="L82" s="6">
        <f>ABS(B82 - $H$2)</f>
        <v/>
      </c>
      <c r="M82" s="51">
        <f>ABS(B82 - $I$2)</f>
        <v/>
      </c>
      <c r="N82" s="52" t="n"/>
      <c r="O82">
        <f>(1/K82^2) / ((1/K82^2) + (1/L82^2) + (1/M82^2))</f>
        <v/>
      </c>
      <c r="P82">
        <f>(1/L82^2) / ((1/K82^2) + (1/L82^2) + (1/M82^2))</f>
        <v/>
      </c>
      <c r="Q82">
        <f>(1/M82^2) / ((1/K82^2) + (1/L82^2) + (1/M82^2))</f>
        <v/>
      </c>
      <c r="S82">
        <f>IF(MAX(O82:Q82)=O82, "Murah", IF(MAX(O82:Q82)=P82, "Sedang", "Mahal"))</f>
        <v/>
      </c>
    </row>
    <row r="83">
      <c r="A83" s="6" t="inlineStr">
        <is>
          <t>Wiken Wisata Kampung Enem</t>
        </is>
      </c>
      <c r="B83" s="6" t="n">
        <v>0.008695652173913044</v>
      </c>
      <c r="C83" s="6" t="n">
        <v>0.4501643937693792</v>
      </c>
      <c r="D83" s="6" t="n">
        <v>0.5972848416466388</v>
      </c>
      <c r="K83" s="6">
        <f>ABS(B83 - $G$2)</f>
        <v/>
      </c>
      <c r="L83" s="6">
        <f>ABS(B83 - $H$2)</f>
        <v/>
      </c>
      <c r="M83" s="51">
        <f>ABS(B83 - $I$2)</f>
        <v/>
      </c>
      <c r="O83">
        <f>(1/K83^2) / ((1/K83^2) + (1/L83^2) + (1/M83^2))</f>
        <v/>
      </c>
      <c r="P83">
        <f>(1/L83^2) / ((1/K83^2) + (1/L83^2) + (1/M83^2))</f>
        <v/>
      </c>
      <c r="Q83">
        <f>(1/M83^2) / ((1/K83^2) + (1/L83^2) + (1/M83^2))</f>
        <v/>
      </c>
      <c r="S83">
        <f>IF(MAX(O83:Q83)=O83, "Murah", IF(MAX(O83:Q83)=P83, "Sedang", "Mahal"))</f>
        <v/>
      </c>
    </row>
    <row r="84">
      <c r="A84" s="6" t="inlineStr">
        <is>
          <t>Gunung Sari Sunset</t>
        </is>
      </c>
      <c r="B84" s="6" t="n">
        <v>0.008695652173913044</v>
      </c>
      <c r="C84" s="6" t="n">
        <v>0.6052120850301076</v>
      </c>
      <c r="D84" s="6" t="n">
        <v>0.7101243328838854</v>
      </c>
      <c r="K84" s="6">
        <f>ABS(B84 - $G$2)</f>
        <v/>
      </c>
      <c r="L84" s="6">
        <f>ABS(B84 - $H$2)</f>
        <v/>
      </c>
      <c r="M84" s="51">
        <f>ABS(B84 - $I$2)</f>
        <v/>
      </c>
      <c r="N84" s="52" t="n"/>
      <c r="O84">
        <f>(1/K84^2) / ((1/K84^2) + (1/L84^2) + (1/M84^2))</f>
        <v/>
      </c>
      <c r="P84">
        <f>(1/L84^2) / ((1/K84^2) + (1/L84^2) + (1/M84^2))</f>
        <v/>
      </c>
      <c r="Q84">
        <f>(1/M84^2) / ((1/K84^2) + (1/L84^2) + (1/M84^2))</f>
        <v/>
      </c>
      <c r="S84">
        <f>IF(MAX(O84:Q84)=O84, "Murah", IF(MAX(O84:Q84)=P84, "Sedang", "Mahal"))</f>
        <v/>
      </c>
    </row>
    <row r="85">
      <c r="A85" s="6" t="inlineStr">
        <is>
          <t>WISATA GUNUNG MALANG</t>
        </is>
      </c>
      <c r="B85" s="6" t="n">
        <v>0.09391304347826086</v>
      </c>
      <c r="C85" s="6" t="n">
        <v>0.1746623699865729</v>
      </c>
      <c r="D85" s="6" t="n">
        <v>0</v>
      </c>
      <c r="K85" s="6">
        <f>ABS(B85 - $G$2)</f>
        <v/>
      </c>
      <c r="L85" s="6">
        <f>ABS(B85 - $H$2)</f>
        <v/>
      </c>
      <c r="M85" s="51">
        <f>ABS(B85 - $I$2)</f>
        <v/>
      </c>
      <c r="O85">
        <f>(1/K85^2) / ((1/K85^2) + (1/L85^2) + (1/M85^2))</f>
        <v/>
      </c>
      <c r="P85">
        <f>(1/L85^2) / ((1/K85^2) + (1/L85^2) + (1/M85^2))</f>
        <v/>
      </c>
      <c r="Q85">
        <f>(1/M85^2) / ((1/K85^2) + (1/L85^2) + (1/M85^2))</f>
        <v/>
      </c>
      <c r="S85">
        <f>IF(MAX(O85:Q85)=O85, "Murah", IF(MAX(O85:Q85)=P85, "Sedang", "Mahal"))</f>
        <v/>
      </c>
    </row>
    <row r="86">
      <c r="A86" s="6" t="inlineStr">
        <is>
          <t>Labirin Coban Rondo</t>
        </is>
      </c>
      <c r="B86" s="6" t="n">
        <v>0.06086956521739131</v>
      </c>
      <c r="C86" s="6" t="n">
        <v>0.8162941206803513</v>
      </c>
      <c r="D86" s="6" t="n">
        <v>0.05449713340285234</v>
      </c>
      <c r="K86" s="6">
        <f>ABS(B86 - $G$2)</f>
        <v/>
      </c>
      <c r="L86" s="6">
        <f>ABS(B86 - $H$2)</f>
        <v/>
      </c>
      <c r="M86" s="51">
        <f>ABS(B86 - $I$2)</f>
        <v/>
      </c>
      <c r="N86" s="52" t="n"/>
      <c r="O86">
        <f>(1/K86^2) / ((1/K86^2) + (1/L86^2) + (1/M86^2))</f>
        <v/>
      </c>
      <c r="P86">
        <f>(1/L86^2) / ((1/K86^2) + (1/L86^2) + (1/M86^2))</f>
        <v/>
      </c>
      <c r="Q86">
        <f>(1/M86^2) / ((1/K86^2) + (1/L86^2) + (1/M86^2))</f>
        <v/>
      </c>
      <c r="S86">
        <f>IF(MAX(O86:Q86)=O86, "Murah", IF(MAX(O86:Q86)=P86, "Sedang", "Mahal"))</f>
        <v/>
      </c>
    </row>
    <row r="87">
      <c r="A87" s="6" t="inlineStr">
        <is>
          <t>Meeting Point Pujon Rafting</t>
        </is>
      </c>
      <c r="B87" s="6" t="n">
        <v>0.2608695652173913</v>
      </c>
      <c r="C87" s="6" t="n">
        <v>0.8577504018151233</v>
      </c>
      <c r="D87" s="6" t="n">
        <v>0</v>
      </c>
      <c r="K87" s="6">
        <f>ABS(B87 - $G$2)</f>
        <v/>
      </c>
      <c r="L87" s="6">
        <f>ABS(B87 - $H$2)</f>
        <v/>
      </c>
      <c r="M87" s="51">
        <f>ABS(B87 - $I$2)</f>
        <v/>
      </c>
      <c r="O87">
        <f>(1/K87^2) / ((1/K87^2) + (1/L87^2) + (1/M87^2))</f>
        <v/>
      </c>
      <c r="P87">
        <f>(1/L87^2) / ((1/K87^2) + (1/L87^2) + (1/M87^2))</f>
        <v/>
      </c>
      <c r="Q87">
        <f>(1/M87^2) / ((1/K87^2) + (1/L87^2) + (1/M87^2))</f>
        <v/>
      </c>
      <c r="S87">
        <f>IF(MAX(O87:Q87)=O87, "Murah", IF(MAX(O87:Q87)=P87, "Sedang", "Mahal"))</f>
        <v/>
      </c>
    </row>
    <row r="88">
      <c r="A88" s="6" t="inlineStr">
        <is>
          <t>Petilasan Mbah Wali Besi, Mbah Endang Sari - Gunung Tanggung</t>
        </is>
      </c>
      <c r="B88" s="6" t="n">
        <v>0.05217391304347826</v>
      </c>
      <c r="C88" s="6" t="n">
        <v>0.7336212312356156</v>
      </c>
      <c r="D88" s="6" t="n">
        <v>0.5429434059624406</v>
      </c>
      <c r="K88" s="6">
        <f>ABS(B88 - $G$2)</f>
        <v/>
      </c>
      <c r="L88" s="6">
        <f>ABS(B88 - $H$2)</f>
        <v/>
      </c>
      <c r="M88" s="51">
        <f>ABS(B88 - $I$2)</f>
        <v/>
      </c>
      <c r="N88" s="52" t="n"/>
      <c r="O88">
        <f>(1/K88^2) / ((1/K88^2) + (1/L88^2) + (1/M88^2))</f>
        <v/>
      </c>
      <c r="P88">
        <f>(1/L88^2) / ((1/K88^2) + (1/L88^2) + (1/M88^2))</f>
        <v/>
      </c>
      <c r="Q88">
        <f>(1/M88^2) / ((1/K88^2) + (1/L88^2) + (1/M88^2))</f>
        <v/>
      </c>
      <c r="S88">
        <f>IF(MAX(O88:Q88)=O88, "Murah", IF(MAX(O88:Q88)=P88, "Sedang", "Mahal"))</f>
        <v/>
      </c>
    </row>
    <row r="89">
      <c r="A89" s="6" t="inlineStr">
        <is>
          <t>Desa Wisata Sidorejo Indah ( Dewi Sri )</t>
        </is>
      </c>
      <c r="B89" s="6" t="n">
        <v>0.008695652173913044</v>
      </c>
      <c r="C89" s="6" t="n">
        <v>0.6644295750455564</v>
      </c>
      <c r="D89" s="6" t="n">
        <v>0.4634520822911057</v>
      </c>
      <c r="K89" s="6">
        <f>ABS(B89 - $G$2)</f>
        <v/>
      </c>
      <c r="L89" s="6">
        <f>ABS(B89 - $H$2)</f>
        <v/>
      </c>
      <c r="M89" s="51">
        <f>ABS(B89 - $I$2)</f>
        <v/>
      </c>
      <c r="O89">
        <f>(1/K89^2) / ((1/K89^2) + (1/L89^2) + (1/M89^2))</f>
        <v/>
      </c>
      <c r="P89">
        <f>(1/L89^2) / ((1/K89^2) + (1/L89^2) + (1/M89^2))</f>
        <v/>
      </c>
      <c r="Q89">
        <f>(1/M89^2) / ((1/K89^2) + (1/L89^2) + (1/M89^2))</f>
        <v/>
      </c>
      <c r="S89">
        <f>IF(MAX(O89:Q89)=O89, "Murah", IF(MAX(O89:Q89)=P89, "Sedang", "Mahal"))</f>
        <v/>
      </c>
    </row>
    <row r="90">
      <c r="A90" s="6" t="inlineStr">
        <is>
          <t>Alun Alun Tugu Malang</t>
        </is>
      </c>
      <c r="B90" s="6" t="n">
        <v>0.003478260869565218</v>
      </c>
      <c r="C90" s="6" t="n">
        <v>0.6580754853193141</v>
      </c>
      <c r="D90" s="6" t="n">
        <v>0.2780861556180966</v>
      </c>
      <c r="K90" s="6">
        <f>ABS(B90 - $G$2)</f>
        <v/>
      </c>
      <c r="L90" s="6">
        <f>ABS(B90 - $H$2)</f>
        <v/>
      </c>
      <c r="M90" s="51">
        <f>ABS(B90 - $I$2)</f>
        <v/>
      </c>
      <c r="N90" s="52" t="n"/>
      <c r="O90">
        <f>(1/K90^2) / ((1/K90^2) + (1/L90^2) + (1/M90^2))</f>
        <v/>
      </c>
      <c r="P90">
        <f>(1/L90^2) / ((1/K90^2) + (1/L90^2) + (1/M90^2))</f>
        <v/>
      </c>
      <c r="Q90">
        <f>(1/M90^2) / ((1/K90^2) + (1/L90^2) + (1/M90^2))</f>
        <v/>
      </c>
      <c r="S90">
        <f>IF(MAX(O90:Q90)=O90, "Murah", IF(MAX(O90:Q90)=P90, "Sedang", "Mahal"))</f>
        <v/>
      </c>
    </row>
    <row r="91">
      <c r="A91" s="6" t="inlineStr">
        <is>
          <t>Pentungan Sari Waterpark</t>
        </is>
      </c>
      <c r="B91" s="6" t="n">
        <v>0.01391304347826087</v>
      </c>
      <c r="C91" s="6" t="n">
        <v>0.839523356116778</v>
      </c>
      <c r="D91" s="6" t="n">
        <v>0.3155461934608218</v>
      </c>
      <c r="K91" s="6">
        <f>ABS(B91 - $G$2)</f>
        <v/>
      </c>
      <c r="L91" s="6">
        <f>ABS(B91 - $H$2)</f>
        <v/>
      </c>
      <c r="M91" s="51">
        <f>ABS(B91 - $I$2)</f>
        <v/>
      </c>
      <c r="O91">
        <f>(1/K91^2) / ((1/K91^2) + (1/L91^2) + (1/M91^2))</f>
        <v/>
      </c>
      <c r="P91">
        <f>(1/L91^2) / ((1/K91^2) + (1/L91^2) + (1/M91^2))</f>
        <v/>
      </c>
      <c r="Q91">
        <f>(1/M91^2) / ((1/K91^2) + (1/L91^2) + (1/M91^2))</f>
        <v/>
      </c>
      <c r="S91">
        <f>IF(MAX(O91:Q91)=O91, "Murah", IF(MAX(O91:Q91)=P91, "Sedang", "Mahal"))</f>
        <v/>
      </c>
    </row>
    <row r="92">
      <c r="A92" s="6" t="inlineStr">
        <is>
          <t>Pondok Wisata Latar Ombo "L.O."</t>
        </is>
      </c>
      <c r="B92" s="6" t="n">
        <v>0.008695652173913044</v>
      </c>
      <c r="C92" s="6" t="n">
        <v>0.6567490051762073</v>
      </c>
      <c r="D92" s="6" t="n">
        <v>0.1665900779969853</v>
      </c>
      <c r="K92" s="6">
        <f>ABS(B92 - $G$2)</f>
        <v/>
      </c>
      <c r="L92" s="6">
        <f>ABS(B92 - $H$2)</f>
        <v/>
      </c>
      <c r="M92" s="51">
        <f>ABS(B92 - $I$2)</f>
        <v/>
      </c>
      <c r="N92" s="52" t="n"/>
      <c r="O92">
        <f>(1/K92^2) / ((1/K92^2) + (1/L92^2) + (1/M92^2))</f>
        <v/>
      </c>
      <c r="P92">
        <f>(1/L92^2) / ((1/K92^2) + (1/L92^2) + (1/M92^2))</f>
        <v/>
      </c>
      <c r="Q92">
        <f>(1/M92^2) / ((1/K92^2) + (1/L92^2) + (1/M92^2))</f>
        <v/>
      </c>
      <c r="S92">
        <f>IF(MAX(O92:Q92)=O92, "Murah", IF(MAX(O92:Q92)=P92, "Sedang", "Mahal"))</f>
        <v/>
      </c>
    </row>
    <row r="93">
      <c r="A93" s="6" t="inlineStr">
        <is>
          <t>Tlogo Land</t>
        </is>
      </c>
      <c r="B93" s="6" t="n">
        <v>0.008695652173913044</v>
      </c>
      <c r="C93" s="6" t="n">
        <v>0.8757482331391984</v>
      </c>
      <c r="D93" s="6" t="n">
        <v>0.3506578035727491</v>
      </c>
      <c r="K93" s="6">
        <f>ABS(B93 - $G$2)</f>
        <v/>
      </c>
      <c r="L93" s="6">
        <f>ABS(B93 - $H$2)</f>
        <v/>
      </c>
      <c r="M93" s="51">
        <f>ABS(B93 - $I$2)</f>
        <v/>
      </c>
      <c r="O93">
        <f>(1/K93^2) / ((1/K93^2) + (1/L93^2) + (1/M93^2))</f>
        <v/>
      </c>
      <c r="P93">
        <f>(1/L93^2) / ((1/K93^2) + (1/L93^2) + (1/M93^2))</f>
        <v/>
      </c>
      <c r="Q93">
        <f>(1/M93^2) / ((1/K93^2) + (1/L93^2) + (1/M93^2))</f>
        <v/>
      </c>
      <c r="S93">
        <f>IF(MAX(O93:Q93)=O93, "Murah", IF(MAX(O93:Q93)=P93, "Sedang", "Mahal"))</f>
        <v/>
      </c>
    </row>
    <row r="94">
      <c r="A94" s="6" t="inlineStr">
        <is>
          <t>COBAN PANDAWA</t>
        </is>
      </c>
      <c r="B94" s="6" t="n">
        <v>0.003478260869565218</v>
      </c>
      <c r="C94" s="6" t="n">
        <v>0.1735977868756619</v>
      </c>
      <c r="D94" s="6" t="n">
        <v>0.5098887339970137</v>
      </c>
      <c r="K94" s="6">
        <f>ABS(B94 - $G$2)</f>
        <v/>
      </c>
      <c r="L94" s="6">
        <f>ABS(B94 - $H$2)</f>
        <v/>
      </c>
      <c r="M94" s="51">
        <f>ABS(B94 - $I$2)</f>
        <v/>
      </c>
      <c r="N94" s="52" t="n"/>
      <c r="O94">
        <f>(1/K94^2) / ((1/K94^2) + (1/L94^2) + (1/M94^2))</f>
        <v/>
      </c>
      <c r="P94">
        <f>(1/L94^2) / ((1/K94^2) + (1/L94^2) + (1/M94^2))</f>
        <v/>
      </c>
      <c r="Q94">
        <f>(1/M94^2) / ((1/K94^2) + (1/L94^2) + (1/M94^2))</f>
        <v/>
      </c>
      <c r="S94">
        <f>IF(MAX(O94:Q94)=O94, "Murah", IF(MAX(O94:Q94)=P94, "Sedang", "Mahal"))</f>
        <v/>
      </c>
    </row>
    <row r="95">
      <c r="A95" s="6" t="inlineStr">
        <is>
          <t>Wisata Petik Jeruk Dau</t>
        </is>
      </c>
      <c r="B95" s="6" t="n">
        <v>0.02608695652173913</v>
      </c>
      <c r="C95" s="6" t="n">
        <v>0.7138902022475512</v>
      </c>
      <c r="D95" s="6" t="n">
        <v>0.1320501825011737</v>
      </c>
      <c r="K95" s="6">
        <f>ABS(B95 - $G$2)</f>
        <v/>
      </c>
      <c r="L95" s="6">
        <f>ABS(B95 - $H$2)</f>
        <v/>
      </c>
      <c r="M95" s="51">
        <f>ABS(B95 - $I$2)</f>
        <v/>
      </c>
      <c r="O95">
        <f>(1/K95^2) / ((1/K95^2) + (1/L95^2) + (1/M95^2))</f>
        <v/>
      </c>
      <c r="P95">
        <f>(1/L95^2) / ((1/K95^2) + (1/L95^2) + (1/M95^2))</f>
        <v/>
      </c>
      <c r="Q95">
        <f>(1/M95^2) / ((1/K95^2) + (1/L95^2) + (1/M95^2))</f>
        <v/>
      </c>
      <c r="S95">
        <f>IF(MAX(O95:Q95)=O95, "Murah", IF(MAX(O95:Q95)=P95, "Sedang", "Mahal"))</f>
        <v/>
      </c>
    </row>
    <row r="96">
      <c r="A96" s="6" t="inlineStr">
        <is>
          <t>Pasir Berbisik</t>
        </is>
      </c>
      <c r="B96" s="6" t="n">
        <v>0.05043478260869565</v>
      </c>
      <c r="C96" s="6" t="n">
        <v>0.7150490566695511</v>
      </c>
      <c r="D96" s="6" t="n">
        <v>0.7971730911135598</v>
      </c>
      <c r="K96" s="6">
        <f>ABS(B96 - $G$2)</f>
        <v/>
      </c>
      <c r="L96" s="6">
        <f>ABS(B96 - $H$2)</f>
        <v/>
      </c>
      <c r="M96" s="51">
        <f>ABS(B96 - $I$2)</f>
        <v/>
      </c>
      <c r="N96" s="52" t="n"/>
      <c r="O96">
        <f>(1/K96^2) / ((1/K96^2) + (1/L96^2) + (1/M96^2))</f>
        <v/>
      </c>
      <c r="P96">
        <f>(1/L96^2) / ((1/K96^2) + (1/L96^2) + (1/M96^2))</f>
        <v/>
      </c>
      <c r="Q96">
        <f>(1/M96^2) / ((1/K96^2) + (1/L96^2) + (1/M96^2))</f>
        <v/>
      </c>
      <c r="S96">
        <f>IF(MAX(O96:Q96)=O96, "Murah", IF(MAX(O96:Q96)=P96, "Sedang", "Mahal"))</f>
        <v/>
      </c>
    </row>
    <row r="97">
      <c r="A97" s="6" t="inlineStr">
        <is>
          <t>Songgoriti Hot Springs</t>
        </is>
      </c>
      <c r="B97" s="6" t="n">
        <v>0.06956521739130435</v>
      </c>
      <c r="C97" s="6" t="n">
        <v>0.8185437043396044</v>
      </c>
      <c r="D97" s="6" t="n">
        <v>0.06241333624257262</v>
      </c>
      <c r="K97" s="6">
        <f>ABS(B97 - $G$2)</f>
        <v/>
      </c>
      <c r="L97" s="6">
        <f>ABS(B97 - $H$2)</f>
        <v/>
      </c>
      <c r="M97" s="51">
        <f>ABS(B97 - $I$2)</f>
        <v/>
      </c>
      <c r="O97">
        <f>(1/K97^2) / ((1/K97^2) + (1/L97^2) + (1/M97^2))</f>
        <v/>
      </c>
      <c r="P97">
        <f>(1/L97^2) / ((1/K97^2) + (1/L97^2) + (1/M97^2))</f>
        <v/>
      </c>
      <c r="Q97">
        <f>(1/M97^2) / ((1/K97^2) + (1/L97^2) + (1/M97^2))</f>
        <v/>
      </c>
      <c r="S97">
        <f>IF(MAX(O97:Q97)=O97, "Murah", IF(MAX(O97:Q97)=P97, "Sedang", "Mahal"))</f>
        <v/>
      </c>
    </row>
    <row r="98">
      <c r="A98" s="6" t="inlineStr">
        <is>
          <t>Petik Apel Green Garden</t>
        </is>
      </c>
      <c r="B98" s="6" t="n">
        <v>0.04347826086956522</v>
      </c>
      <c r="C98" s="6" t="n">
        <v>0.8818519010775839</v>
      </c>
      <c r="D98" s="6" t="n">
        <v>0.1160214958523237</v>
      </c>
      <c r="K98" s="6">
        <f>ABS(B98 - $G$2)</f>
        <v/>
      </c>
      <c r="L98" s="6">
        <f>ABS(B98 - $H$2)</f>
        <v/>
      </c>
      <c r="M98" s="51">
        <f>ABS(B98 - $I$2)</f>
        <v/>
      </c>
      <c r="N98" s="52" t="n"/>
      <c r="O98">
        <f>(1/K98^2) / ((1/K98^2) + (1/L98^2) + (1/M98^2))</f>
        <v/>
      </c>
      <c r="P98">
        <f>(1/L98^2) / ((1/K98^2) + (1/L98^2) + (1/M98^2))</f>
        <v/>
      </c>
      <c r="Q98">
        <f>(1/M98^2) / ((1/K98^2) + (1/L98^2) + (1/M98^2))</f>
        <v/>
      </c>
      <c r="S98">
        <f>IF(MAX(O98:Q98)=O98, "Murah", IF(MAX(O98:Q98)=P98, "Sedang", "Mahal"))</f>
        <v/>
      </c>
    </row>
    <row r="99">
      <c r="A99" s="6" t="inlineStr">
        <is>
          <t>Target Terjun Payung</t>
        </is>
      </c>
      <c r="B99" s="6" t="n">
        <v>0.01739130434782609</v>
      </c>
      <c r="C99" s="6" t="n">
        <v>0.7868766781637002</v>
      </c>
      <c r="D99" s="6" t="n">
        <v>0.4480929421251851</v>
      </c>
      <c r="K99" s="6">
        <f>ABS(B99 - $G$2)</f>
        <v/>
      </c>
      <c r="L99" s="6">
        <f>ABS(B99 - $H$2)</f>
        <v/>
      </c>
      <c r="M99" s="51">
        <f>ABS(B99 - $I$2)</f>
        <v/>
      </c>
      <c r="O99">
        <f>(1/K99^2) / ((1/K99^2) + (1/L99^2) + (1/M99^2))</f>
        <v/>
      </c>
      <c r="P99">
        <f>(1/L99^2) / ((1/K99^2) + (1/L99^2) + (1/M99^2))</f>
        <v/>
      </c>
      <c r="Q99">
        <f>(1/M99^2) / ((1/K99^2) + (1/L99^2) + (1/M99^2))</f>
        <v/>
      </c>
      <c r="S99">
        <f>IF(MAX(O99:Q99)=O99, "Murah", IF(MAX(O99:Q99)=P99, "Sedang", "Mahal"))</f>
        <v/>
      </c>
    </row>
    <row r="100">
      <c r="A100" s="6" t="inlineStr">
        <is>
          <t>Wisata Desa BONPI / de' Asmorondono</t>
        </is>
      </c>
      <c r="B100" s="6" t="n">
        <v>0.01739130434782609</v>
      </c>
      <c r="C100" s="6" t="n">
        <v>0.8592642625303502</v>
      </c>
      <c r="D100" s="6" t="n">
        <v>0.0003558364115313758</v>
      </c>
      <c r="K100" s="6">
        <f>ABS(B100 - $G$2)</f>
        <v/>
      </c>
      <c r="L100" s="6">
        <f>ABS(B100 - $H$2)</f>
        <v/>
      </c>
      <c r="M100" s="51">
        <f>ABS(B100 - $I$2)</f>
        <v/>
      </c>
      <c r="N100" s="52" t="n"/>
      <c r="O100">
        <f>(1/K100^2) / ((1/K100^2) + (1/L100^2) + (1/M100^2))</f>
        <v/>
      </c>
      <c r="P100">
        <f>(1/L100^2) / ((1/K100^2) + (1/L100^2) + (1/M100^2))</f>
        <v/>
      </c>
      <c r="Q100">
        <f>(1/M100^2) / ((1/K100^2) + (1/L100^2) + (1/M100^2))</f>
        <v/>
      </c>
      <c r="S100">
        <f>IF(MAX(O100:Q100)=O100, "Murah", IF(MAX(O100:Q100)=P100, "Sedang", "Mahal"))</f>
        <v/>
      </c>
    </row>
    <row r="101">
      <c r="A101" s="6" t="inlineStr">
        <is>
          <t>Wisata Coban Rondo</t>
        </is>
      </c>
      <c r="B101" s="6" t="n">
        <v>0.06086956521739131</v>
      </c>
      <c r="C101" s="6" t="n">
        <v>0.8132601532308263</v>
      </c>
      <c r="D101" s="6" t="n">
        <v>0.04279696678004536</v>
      </c>
      <c r="K101" s="6">
        <f>ABS(B101 - $G$2)</f>
        <v/>
      </c>
      <c r="L101" s="6">
        <f>ABS(B101 - $H$2)</f>
        <v/>
      </c>
      <c r="M101" s="51">
        <f>ABS(B101 - $I$2)</f>
        <v/>
      </c>
      <c r="O101">
        <f>(1/K101^2) / ((1/K101^2) + (1/L101^2) + (1/M101^2))</f>
        <v/>
      </c>
      <c r="P101">
        <f>(1/L101^2) / ((1/K101^2) + (1/L101^2) + (1/M101^2))</f>
        <v/>
      </c>
      <c r="Q101">
        <f>(1/M101^2) / ((1/K101^2) + (1/L101^2) + (1/M101^2))</f>
        <v/>
      </c>
      <c r="S101">
        <f>IF(MAX(O101:Q101)=O101, "Murah", IF(MAX(O101:Q101)=P101, "Sedang", "Mahal"))</f>
        <v/>
      </c>
    </row>
    <row r="102">
      <c r="A102" s="6" t="inlineStr">
        <is>
          <t>Rafting Kasembon</t>
        </is>
      </c>
      <c r="B102" s="6" t="n">
        <v>0.3043478260869565</v>
      </c>
      <c r="C102" s="6" t="n">
        <v>0.6964492834145682</v>
      </c>
      <c r="D102" s="6" t="n">
        <v>0.255301206418132</v>
      </c>
      <c r="K102" s="6">
        <f>ABS(B102 - $G$2)</f>
        <v/>
      </c>
      <c r="L102" s="6">
        <f>ABS(B102 - $H$2)</f>
        <v/>
      </c>
      <c r="M102" s="51">
        <f>ABS(B102 - $I$2)</f>
        <v/>
      </c>
      <c r="N102" s="52" t="n"/>
      <c r="O102">
        <f>(1/K102^2) / ((1/K102^2) + (1/L102^2) + (1/M102^2))</f>
        <v/>
      </c>
      <c r="P102">
        <f>(1/L102^2) / ((1/K102^2) + (1/L102^2) + (1/M102^2))</f>
        <v/>
      </c>
      <c r="Q102">
        <f>(1/M102^2) / ((1/K102^2) + (1/L102^2) + (1/M102^2))</f>
        <v/>
      </c>
      <c r="S102">
        <f>IF(MAX(O102:Q102)=O102, "Murah", IF(MAX(O102:Q102)=P102, "Sedang", "Mahal"))</f>
        <v/>
      </c>
    </row>
    <row r="103">
      <c r="A103" s="6" t="inlineStr">
        <is>
          <t>Coban Sumber Papat ꦕꦺꦴꦧꦤ꧀ꦱꦸꦩ꧀ꦧꦼꦂꦥꦥꦠ꧀</t>
        </is>
      </c>
      <c r="B103" s="6" t="n">
        <v>0.01739130434782609</v>
      </c>
      <c r="C103" s="6" t="n">
        <v>0.7755755960772106</v>
      </c>
      <c r="D103" s="6" t="n">
        <v>0.01312397519576352</v>
      </c>
      <c r="K103" s="6">
        <f>ABS(B103 - $G$2)</f>
        <v/>
      </c>
      <c r="L103" s="6">
        <f>ABS(B103 - $H$2)</f>
        <v/>
      </c>
      <c r="M103" s="51">
        <f>ABS(B103 - $I$2)</f>
        <v/>
      </c>
      <c r="O103">
        <f>(1/K103^2) / ((1/K103^2) + (1/L103^2) + (1/M103^2))</f>
        <v/>
      </c>
      <c r="P103">
        <f>(1/L103^2) / ((1/K103^2) + (1/L103^2) + (1/M103^2))</f>
        <v/>
      </c>
      <c r="Q103">
        <f>(1/M103^2) / ((1/K103^2) + (1/L103^2) + (1/M103^2))</f>
        <v/>
      </c>
      <c r="S103">
        <f>IF(MAX(O103:Q103)=O103, "Murah", IF(MAX(O103:Q103)=P103, "Sedang", "Mahal"))</f>
        <v/>
      </c>
    </row>
    <row r="104">
      <c r="A104" s="6" t="inlineStr">
        <is>
          <t>Gunung Ringgit</t>
        </is>
      </c>
      <c r="B104" s="6" t="n">
        <v>0.03478260869565217</v>
      </c>
      <c r="C104" s="6" t="n">
        <v>0.7510281601043522</v>
      </c>
      <c r="D104" s="6" t="n">
        <v>0.8504494865061384</v>
      </c>
      <c r="K104" s="6">
        <f>ABS(B104 - $G$2)</f>
        <v/>
      </c>
      <c r="L104" s="6">
        <f>ABS(B104 - $H$2)</f>
        <v/>
      </c>
      <c r="M104" s="51">
        <f>ABS(B104 - $I$2)</f>
        <v/>
      </c>
      <c r="N104" s="52" t="n"/>
      <c r="O104">
        <f>(1/K104^2) / ((1/K104^2) + (1/L104^2) + (1/M104^2))</f>
        <v/>
      </c>
      <c r="P104">
        <f>(1/L104^2) / ((1/K104^2) + (1/L104^2) + (1/M104^2))</f>
        <v/>
      </c>
      <c r="Q104">
        <f>(1/M104^2) / ((1/K104^2) + (1/L104^2) + (1/M104^2))</f>
        <v/>
      </c>
      <c r="S104">
        <f>IF(MAX(O104:Q104)=O104, "Murah", IF(MAX(O104:Q104)=P104, "Sedang", "Mahal"))</f>
        <v/>
      </c>
    </row>
    <row r="105">
      <c r="A105" s="6" t="inlineStr">
        <is>
          <t>Penanjakan Bromo</t>
        </is>
      </c>
      <c r="B105" s="6" t="n">
        <v>0.09391304347826086</v>
      </c>
      <c r="C105" s="6" t="n">
        <v>0.7634613694614706</v>
      </c>
      <c r="D105" s="6" t="n">
        <v>0.7673047444134867</v>
      </c>
      <c r="K105" s="6">
        <f>ABS(B105 - $G$2)</f>
        <v/>
      </c>
      <c r="L105" s="6">
        <f>ABS(B105 - $H$2)</f>
        <v/>
      </c>
      <c r="M105" s="51">
        <f>ABS(B105 - $I$2)</f>
        <v/>
      </c>
      <c r="O105">
        <f>(1/K105^2) / ((1/K105^2) + (1/L105^2) + (1/M105^2))</f>
        <v/>
      </c>
      <c r="P105">
        <f>(1/L105^2) / ((1/K105^2) + (1/L105^2) + (1/M105^2))</f>
        <v/>
      </c>
      <c r="Q105">
        <f>(1/M105^2) / ((1/K105^2) + (1/L105^2) + (1/M105^2))</f>
        <v/>
      </c>
      <c r="S105">
        <f>IF(MAX(O105:Q105)=O105, "Murah", IF(MAX(O105:Q105)=P105, "Sedang", "Mahal"))</f>
        <v/>
      </c>
    </row>
    <row r="106">
      <c r="A106" s="6" t="inlineStr">
        <is>
          <t>Cafe Sawah Pujonkidul</t>
        </is>
      </c>
      <c r="B106" s="6" t="n">
        <v>0.02173913043478261</v>
      </c>
      <c r="C106" s="6" t="n">
        <v>0.8361176779044179</v>
      </c>
      <c r="D106" s="6" t="n">
        <v>0</v>
      </c>
      <c r="K106" s="6">
        <f>ABS(B106 - $G$2)</f>
        <v/>
      </c>
      <c r="L106" s="6">
        <f>ABS(B106 - $H$2)</f>
        <v/>
      </c>
      <c r="M106" s="51">
        <f>ABS(B106 - $I$2)</f>
        <v/>
      </c>
      <c r="N106" s="52" t="n"/>
      <c r="O106">
        <f>(1/K106^2) / ((1/K106^2) + (1/L106^2) + (1/M106^2))</f>
        <v/>
      </c>
      <c r="P106">
        <f>(1/L106^2) / ((1/K106^2) + (1/L106^2) + (1/M106^2))</f>
        <v/>
      </c>
      <c r="Q106">
        <f>(1/M106^2) / ((1/K106^2) + (1/L106^2) + (1/M106^2))</f>
        <v/>
      </c>
      <c r="S106">
        <f>IF(MAX(O106:Q106)=O106, "Murah", IF(MAX(O106:Q106)=P106, "Sedang", "Mahal"))</f>
        <v/>
      </c>
    </row>
    <row r="107">
      <c r="A107" s="6" t="inlineStr">
        <is>
          <t>Kebun Rojo Camp</t>
        </is>
      </c>
      <c r="B107" s="6" t="n">
        <v>0.02608695652173913</v>
      </c>
      <c r="C107" s="6" t="n">
        <v>0.7281035270398165</v>
      </c>
      <c r="D107" s="6" t="n">
        <v>0.06779948973120162</v>
      </c>
      <c r="K107" s="6">
        <f>ABS(B107 - $G$2)</f>
        <v/>
      </c>
      <c r="L107" s="6">
        <f>ABS(B107 - $H$2)</f>
        <v/>
      </c>
      <c r="M107" s="51">
        <f>ABS(B107 - $I$2)</f>
        <v/>
      </c>
      <c r="O107">
        <f>(1/K107^2) / ((1/K107^2) + (1/L107^2) + (1/M107^2))</f>
        <v/>
      </c>
      <c r="P107">
        <f>(1/L107^2) / ((1/K107^2) + (1/L107^2) + (1/M107^2))</f>
        <v/>
      </c>
      <c r="Q107">
        <f>(1/M107^2) / ((1/K107^2) + (1/L107^2) + (1/M107^2))</f>
        <v/>
      </c>
      <c r="S107">
        <f>IF(MAX(O107:Q107)=O107, "Murah", IF(MAX(O107:Q107)=P107, "Sedang", "Mahal"))</f>
        <v/>
      </c>
    </row>
    <row r="108">
      <c r="A108" s="6" t="inlineStr">
        <is>
          <t>Batu Night Spectacular</t>
        </is>
      </c>
      <c r="B108" s="6" t="n">
        <v>0.06086956521739131</v>
      </c>
      <c r="C108" s="6" t="n">
        <v>0.7751068541343938</v>
      </c>
      <c r="D108" s="6" t="n">
        <v>0.09312760454199519</v>
      </c>
      <c r="K108" s="6">
        <f>ABS(B108 - $G$2)</f>
        <v/>
      </c>
      <c r="L108" s="6">
        <f>ABS(B108 - $H$2)</f>
        <v/>
      </c>
      <c r="M108" s="51">
        <f>ABS(B108 - $I$2)</f>
        <v/>
      </c>
      <c r="N108" s="52" t="n"/>
      <c r="O108">
        <f>(1/K108^2) / ((1/K108^2) + (1/L108^2) + (1/M108^2))</f>
        <v/>
      </c>
      <c r="P108">
        <f>(1/L108^2) / ((1/K108^2) + (1/L108^2) + (1/M108^2))</f>
        <v/>
      </c>
      <c r="Q108">
        <f>(1/M108^2) / ((1/K108^2) + (1/L108^2) + (1/M108^2))</f>
        <v/>
      </c>
      <c r="S108">
        <f>IF(MAX(O108:Q108)=O108, "Murah", IF(MAX(O108:Q108)=P108, "Sedang", "Mahal"))</f>
        <v/>
      </c>
    </row>
    <row r="109">
      <c r="A109" s="6" t="inlineStr">
        <is>
          <t>Museum Angkut</t>
        </is>
      </c>
      <c r="B109" s="6" t="n">
        <v>0.1739130434782609</v>
      </c>
      <c r="C109" s="6" t="n">
        <v>0.8005396269964566</v>
      </c>
      <c r="D109" s="6" t="n">
        <v>0.06871438742592006</v>
      </c>
      <c r="K109" s="6">
        <f>ABS(B109 - $G$2)</f>
        <v/>
      </c>
      <c r="L109" s="6">
        <f>ABS(B109 - $H$2)</f>
        <v/>
      </c>
      <c r="M109" s="51">
        <f>ABS(B109 - $I$2)</f>
        <v/>
      </c>
      <c r="O109">
        <f>(1/K109^2) / ((1/K109^2) + (1/L109^2) + (1/M109^2))</f>
        <v/>
      </c>
      <c r="P109">
        <f>(1/L109^2) / ((1/K109^2) + (1/L109^2) + (1/M109^2))</f>
        <v/>
      </c>
      <c r="Q109">
        <f>(1/M109^2) / ((1/K109^2) + (1/L109^2) + (1/M109^2))</f>
        <v/>
      </c>
      <c r="S109">
        <f>IF(MAX(O109:Q109)=O109, "Murah", IF(MAX(O109:Q109)=P109, "Sedang", "Mahal"))</f>
        <v/>
      </c>
    </row>
    <row r="110">
      <c r="A110" s="6" t="inlineStr">
        <is>
          <t>Kampung Budaya Polowijen</t>
        </is>
      </c>
      <c r="B110" s="6" t="n">
        <v>0.02608695652173913</v>
      </c>
      <c r="C110" s="6" t="n">
        <v>0.7275422568609987</v>
      </c>
      <c r="D110" s="6" t="n">
        <v>0.2610914950159829</v>
      </c>
      <c r="K110" s="6">
        <f>ABS(B110 - $G$2)</f>
        <v/>
      </c>
      <c r="L110" s="6">
        <f>ABS(B110 - $H$2)</f>
        <v/>
      </c>
      <c r="M110" s="51">
        <f>ABS(B110 - $I$2)</f>
        <v/>
      </c>
      <c r="N110" s="52" t="n"/>
      <c r="O110">
        <f>(1/K110^2) / ((1/K110^2) + (1/L110^2) + (1/M110^2))</f>
        <v/>
      </c>
      <c r="P110">
        <f>(1/L110^2) / ((1/K110^2) + (1/L110^2) + (1/M110^2))</f>
        <v/>
      </c>
      <c r="Q110">
        <f>(1/M110^2) / ((1/K110^2) + (1/L110^2) + (1/M110^2))</f>
        <v/>
      </c>
      <c r="S110">
        <f>IF(MAX(O110:Q110)=O110, "Murah", IF(MAX(O110:Q110)=P110, "Sedang", "Mahal"))</f>
        <v/>
      </c>
    </row>
    <row r="111">
      <c r="A111" s="6" t="inlineStr">
        <is>
          <t>Sumber Air Wendit Lanang</t>
        </is>
      </c>
      <c r="B111" s="6" t="n">
        <v>0.06956521739130435</v>
      </c>
      <c r="C111" s="6" t="n">
        <v>0.7008740795292538</v>
      </c>
      <c r="D111" s="6" t="n">
        <v>0.3147937830780529</v>
      </c>
      <c r="K111" s="6">
        <f>ABS(B111 - $G$2)</f>
        <v/>
      </c>
      <c r="L111" s="6">
        <f>ABS(B111 - $H$2)</f>
        <v/>
      </c>
      <c r="M111" s="51">
        <f>ABS(B111 - $I$2)</f>
        <v/>
      </c>
      <c r="O111">
        <f>(1/K111^2) / ((1/K111^2) + (1/L111^2) + (1/M111^2))</f>
        <v/>
      </c>
      <c r="P111">
        <f>(1/L111^2) / ((1/K111^2) + (1/L111^2) + (1/M111^2))</f>
        <v/>
      </c>
      <c r="Q111">
        <f>(1/M111^2) / ((1/K111^2) + (1/L111^2) + (1/M111^2))</f>
        <v/>
      </c>
      <c r="S111">
        <f>IF(MAX(O111:Q111)=O111, "Murah", IF(MAX(O111:Q111)=P111, "Sedang", "Mahal"))</f>
        <v/>
      </c>
    </row>
    <row r="112">
      <c r="A112" s="6" t="inlineStr">
        <is>
          <t>Kampung Tridi</t>
        </is>
      </c>
      <c r="B112" s="6" t="n">
        <v>0.008695652173913044</v>
      </c>
      <c r="C112" s="6" t="n">
        <v>0.6507181106228084</v>
      </c>
      <c r="D112" s="6" t="n">
        <v>0.252912812672361</v>
      </c>
      <c r="K112" s="6">
        <f>ABS(B112 - $G$2)</f>
        <v/>
      </c>
      <c r="L112" s="6">
        <f>ABS(B112 - $H$2)</f>
        <v/>
      </c>
      <c r="M112" s="51">
        <f>ABS(B112 - $I$2)</f>
        <v/>
      </c>
      <c r="N112" s="52" t="n"/>
      <c r="O112">
        <f>(1/K112^2) / ((1/K112^2) + (1/L112^2) + (1/M112^2))</f>
        <v/>
      </c>
      <c r="P112">
        <f>(1/L112^2) / ((1/K112^2) + (1/L112^2) + (1/M112^2))</f>
        <v/>
      </c>
      <c r="Q112">
        <f>(1/M112^2) / ((1/K112^2) + (1/L112^2) + (1/M112^2))</f>
        <v/>
      </c>
      <c r="S112">
        <f>IF(MAX(O112:Q112)=O112, "Murah", IF(MAX(O112:Q112)=P112, "Sedang", "Mahal"))</f>
        <v/>
      </c>
    </row>
    <row r="113">
      <c r="A113" s="6" t="inlineStr">
        <is>
          <t>Wisata Kampung Putih Malang</t>
        </is>
      </c>
      <c r="B113" s="6" t="n">
        <v>0.008695652173913044</v>
      </c>
      <c r="C113" s="6" t="n">
        <v>0.6644422123399558</v>
      </c>
      <c r="D113" s="6" t="n">
        <v>0.2418622866794723</v>
      </c>
      <c r="K113" s="6">
        <f>ABS(B113 - $G$2)</f>
        <v/>
      </c>
      <c r="L113" s="6">
        <f>ABS(B113 - $H$2)</f>
        <v/>
      </c>
      <c r="M113" s="51">
        <f>ABS(B113 - $I$2)</f>
        <v/>
      </c>
      <c r="O113">
        <f>(1/K113^2) / ((1/K113^2) + (1/L113^2) + (1/M113^2))</f>
        <v/>
      </c>
      <c r="P113">
        <f>(1/L113^2) / ((1/K113^2) + (1/L113^2) + (1/M113^2))</f>
        <v/>
      </c>
      <c r="Q113">
        <f>(1/M113^2) / ((1/K113^2) + (1/L113^2) + (1/M113^2))</f>
        <v/>
      </c>
      <c r="S113">
        <f>IF(MAX(O113:Q113)=O113, "Murah", IF(MAX(O113:Q113)=P113, "Sedang", "Mahal"))</f>
        <v/>
      </c>
    </row>
    <row r="114">
      <c r="A114" s="6" t="inlineStr">
        <is>
          <t>Alun-Alun Malang</t>
        </is>
      </c>
      <c r="B114" s="6" t="n">
        <v>0.003478260869565218</v>
      </c>
      <c r="C114" s="6" t="n">
        <v>0.6501277891924988</v>
      </c>
      <c r="D114" s="6" t="n">
        <v>0.2416888434329235</v>
      </c>
      <c r="K114" s="6">
        <f>ABS(B114 - $G$2)</f>
        <v/>
      </c>
      <c r="L114" s="6">
        <f>ABS(B114 - $H$2)</f>
        <v/>
      </c>
      <c r="M114" s="51">
        <f>ABS(B114 - $I$2)</f>
        <v/>
      </c>
      <c r="N114" s="52" t="n"/>
      <c r="O114">
        <f>(1/K114^2) / ((1/K114^2) + (1/L114^2) + (1/M114^2))</f>
        <v/>
      </c>
      <c r="P114">
        <f>(1/L114^2) / ((1/K114^2) + (1/L114^2) + (1/M114^2))</f>
        <v/>
      </c>
      <c r="Q114">
        <f>(1/M114^2) / ((1/K114^2) + (1/L114^2) + (1/M114^2))</f>
        <v/>
      </c>
      <c r="S114">
        <f>IF(MAX(O114:Q114)=O114, "Murah", IF(MAX(O114:Q114)=P114, "Sedang", "Mahal"))</f>
        <v/>
      </c>
    </row>
    <row r="115">
      <c r="A115" s="6" t="inlineStr">
        <is>
          <t>Monumen Juang</t>
        </is>
      </c>
      <c r="B115" s="6" t="n">
        <v>0.003478260869565218</v>
      </c>
      <c r="C115" s="6" t="n">
        <v>0.6574797894074791</v>
      </c>
      <c r="D115" s="6" t="n">
        <v>0.2502031477171857</v>
      </c>
      <c r="K115" s="6">
        <f>ABS(B115 - $G$2)</f>
        <v/>
      </c>
      <c r="L115" s="6">
        <f>ABS(B115 - $H$2)</f>
        <v/>
      </c>
      <c r="M115" s="51">
        <f>ABS(B115 - $I$2)</f>
        <v/>
      </c>
      <c r="O115">
        <f>(1/K115^2) / ((1/K115^2) + (1/L115^2) + (1/M115^2))</f>
        <v/>
      </c>
      <c r="P115">
        <f>(1/L115^2) / ((1/K115^2) + (1/L115^2) + (1/M115^2))</f>
        <v/>
      </c>
      <c r="Q115">
        <f>(1/M115^2) / ((1/K115^2) + (1/L115^2) + (1/M115^2))</f>
        <v/>
      </c>
      <c r="S115">
        <f>IF(MAX(O115:Q115)=O115, "Murah", IF(MAX(O115:Q115)=P115, "Sedang", "Mahal"))</f>
        <v/>
      </c>
    </row>
    <row r="116">
      <c r="A116" s="6" t="inlineStr">
        <is>
          <t>Graha Tumapel</t>
        </is>
      </c>
      <c r="B116" s="6" t="n">
        <v>0.008695652173913044</v>
      </c>
      <c r="C116" s="6" t="n">
        <v>0.6565131090140958</v>
      </c>
      <c r="D116" s="6" t="n">
        <v>0.2447157675650844</v>
      </c>
      <c r="K116" s="6">
        <f>ABS(B116 - $G$2)</f>
        <v/>
      </c>
      <c r="L116" s="6">
        <f>ABS(B116 - $H$2)</f>
        <v/>
      </c>
      <c r="M116" s="51">
        <f>ABS(B116 - $I$2)</f>
        <v/>
      </c>
      <c r="N116" s="52" t="n"/>
      <c r="O116">
        <f>(1/K116^2) / ((1/K116^2) + (1/L116^2) + (1/M116^2))</f>
        <v/>
      </c>
      <c r="P116">
        <f>(1/L116^2) / ((1/K116^2) + (1/L116^2) + (1/M116^2))</f>
        <v/>
      </c>
      <c r="Q116">
        <f>(1/M116^2) / ((1/K116^2) + (1/L116^2) + (1/M116^2))</f>
        <v/>
      </c>
      <c r="S116">
        <f>IF(MAX(O116:Q116)=O116, "Murah", IF(MAX(O116:Q116)=P116, "Sedang", "Mahal"))</f>
        <v/>
      </c>
    </row>
    <row r="117">
      <c r="A117" s="6" t="inlineStr">
        <is>
          <t>Kampoeng Heritage Kajoetangan</t>
        </is>
      </c>
      <c r="B117" s="6" t="n">
        <v>0.008695652173913044</v>
      </c>
      <c r="C117" s="6" t="n">
        <v>0.6554303688710031</v>
      </c>
      <c r="D117" s="6" t="n">
        <v>0.2393513716367248</v>
      </c>
      <c r="K117" s="6">
        <f>ABS(B117 - $G$2)</f>
        <v/>
      </c>
      <c r="L117" s="6">
        <f>ABS(B117 - $H$2)</f>
        <v/>
      </c>
      <c r="M117" s="51">
        <f>ABS(B117 - $I$2)</f>
        <v/>
      </c>
      <c r="O117">
        <f>(1/K117^2) / ((1/K117^2) + (1/L117^2) + (1/M117^2))</f>
        <v/>
      </c>
      <c r="P117">
        <f>(1/L117^2) / ((1/K117^2) + (1/L117^2) + (1/M117^2))</f>
        <v/>
      </c>
      <c r="Q117">
        <f>(1/M117^2) / ((1/K117^2) + (1/L117^2) + (1/M117^2))</f>
        <v/>
      </c>
      <c r="S117">
        <f>IF(MAX(O117:Q117)=O117, "Murah", IF(MAX(O117:Q117)=P117, "Sedang", "Mahal"))</f>
        <v/>
      </c>
    </row>
    <row r="118">
      <c r="A118" s="6" t="inlineStr">
        <is>
          <t>Air Terjun Parang Tejo</t>
        </is>
      </c>
      <c r="B118" s="6" t="n">
        <v>0.02608695652173913</v>
      </c>
      <c r="C118" s="6" t="n">
        <v>0.7236517132612428</v>
      </c>
      <c r="D118" s="6" t="n">
        <v>0.0596652483617806</v>
      </c>
      <c r="K118" s="6">
        <f>ABS(B118 - $G$2)</f>
        <v/>
      </c>
      <c r="L118" s="6">
        <f>ABS(B118 - $H$2)</f>
        <v/>
      </c>
      <c r="M118" s="51">
        <f>ABS(B118 - $I$2)</f>
        <v/>
      </c>
      <c r="N118" s="52" t="n"/>
      <c r="O118">
        <f>(1/K118^2) / ((1/K118^2) + (1/L118^2) + (1/M118^2))</f>
        <v/>
      </c>
      <c r="P118">
        <f>(1/L118^2) / ((1/K118^2) + (1/L118^2) + (1/M118^2))</f>
        <v/>
      </c>
      <c r="Q118">
        <f>(1/M118^2) / ((1/K118^2) + (1/L118^2) + (1/M118^2))</f>
        <v/>
      </c>
      <c r="S118">
        <f>IF(MAX(O118:Q118)=O118, "Murah", IF(MAX(O118:Q118)=P118, "Sedang", "Mahal"))</f>
        <v/>
      </c>
    </row>
    <row r="119">
      <c r="A119" s="6" t="inlineStr">
        <is>
          <t>"BAMBOO MEWEK PARK"</t>
        </is>
      </c>
      <c r="B119" s="6" t="n">
        <v>0.005217391304347826</v>
      </c>
      <c r="C119" s="6" t="n">
        <v>0.7367191114384221</v>
      </c>
      <c r="D119" s="6" t="n">
        <v>0.2499707584562271</v>
      </c>
      <c r="K119" s="6">
        <f>ABS(B119 - $G$2)</f>
        <v/>
      </c>
      <c r="L119" s="6">
        <f>ABS(B119 - $H$2)</f>
        <v/>
      </c>
      <c r="M119" s="51">
        <f>ABS(B119 - $I$2)</f>
        <v/>
      </c>
      <c r="O119">
        <f>(1/K119^2) / ((1/K119^2) + (1/L119^2) + (1/M119^2))</f>
        <v/>
      </c>
      <c r="P119">
        <f>(1/L119^2) / ((1/K119^2) + (1/L119^2) + (1/M119^2))</f>
        <v/>
      </c>
      <c r="Q119">
        <f>(1/M119^2) / ((1/K119^2) + (1/L119^2) + (1/M119^2))</f>
        <v/>
      </c>
      <c r="S119">
        <f>IF(MAX(O119:Q119)=O119, "Murah", IF(MAX(O119:Q119)=P119, "Sedang", "Mahal"))</f>
        <v/>
      </c>
    </row>
    <row r="120">
      <c r="A120" s="6" t="inlineStr">
        <is>
          <t>Sevenfield Sport Wisata Air</t>
        </is>
      </c>
      <c r="B120" s="6" t="n">
        <v>0.03478260869565217</v>
      </c>
      <c r="C120" s="6" t="n">
        <v>0.7562948614872644</v>
      </c>
      <c r="D120" s="6" t="n">
        <v>0.2361209140150501</v>
      </c>
      <c r="K120" s="6">
        <f>ABS(B120 - $G$2)</f>
        <v/>
      </c>
      <c r="L120" s="6">
        <f>ABS(B120 - $H$2)</f>
        <v/>
      </c>
      <c r="M120" s="51">
        <f>ABS(B120 - $I$2)</f>
        <v/>
      </c>
      <c r="N120" s="52" t="n"/>
      <c r="O120">
        <f>(1/K120^2) / ((1/K120^2) + (1/L120^2) + (1/M120^2))</f>
        <v/>
      </c>
      <c r="P120">
        <f>(1/L120^2) / ((1/K120^2) + (1/L120^2) + (1/M120^2))</f>
        <v/>
      </c>
      <c r="Q120">
        <f>(1/M120^2) / ((1/K120^2) + (1/L120^2) + (1/M120^2))</f>
        <v/>
      </c>
      <c r="S120">
        <f>IF(MAX(O120:Q120)=O120, "Murah", IF(MAX(O120:Q120)=P120, "Sedang", "Mahal"))</f>
        <v/>
      </c>
    </row>
    <row r="121">
      <c r="A121" s="6" t="inlineStr">
        <is>
          <t>Brakseng</t>
        </is>
      </c>
      <c r="B121" s="6" t="n">
        <v>0.008695652173913044</v>
      </c>
      <c r="C121" s="6" t="n">
        <v>0.9803388392717727</v>
      </c>
      <c r="D121" s="6" t="n">
        <v>0.1023994114039923</v>
      </c>
      <c r="K121" s="6">
        <f>ABS(B121 - $G$2)</f>
        <v/>
      </c>
      <c r="L121" s="6">
        <f>ABS(B121 - $H$2)</f>
        <v/>
      </c>
      <c r="M121" s="51">
        <f>ABS(B121 - $I$2)</f>
        <v/>
      </c>
      <c r="O121">
        <f>(1/K121^2) / ((1/K121^2) + (1/L121^2) + (1/M121^2))</f>
        <v/>
      </c>
      <c r="P121">
        <f>(1/L121^2) / ((1/K121^2) + (1/L121^2) + (1/M121^2))</f>
        <v/>
      </c>
      <c r="Q121">
        <f>(1/M121^2) / ((1/K121^2) + (1/L121^2) + (1/M121^2))</f>
        <v/>
      </c>
      <c r="S121">
        <f>IF(MAX(O121:Q121)=O121, "Murah", IF(MAX(O121:Q121)=P121, "Sedang", "Mahal"))</f>
        <v/>
      </c>
    </row>
    <row r="122">
      <c r="A122" s="6" t="inlineStr">
        <is>
          <t>Sumber Umbulan Singosari</t>
        </is>
      </c>
      <c r="B122" s="6" t="n">
        <v>0.003478260869565218</v>
      </c>
      <c r="C122" s="6" t="n">
        <v>0.776978771524255</v>
      </c>
      <c r="D122" s="6" t="n">
        <v>0.2390841085557372</v>
      </c>
      <c r="K122" s="6">
        <f>ABS(B122 - $G$2)</f>
        <v/>
      </c>
      <c r="L122" s="6">
        <f>ABS(B122 - $H$2)</f>
        <v/>
      </c>
      <c r="M122" s="51">
        <f>ABS(B122 - $I$2)</f>
        <v/>
      </c>
      <c r="N122" s="52" t="n"/>
      <c r="O122">
        <f>(1/K122^2) / ((1/K122^2) + (1/L122^2) + (1/M122^2))</f>
        <v/>
      </c>
      <c r="P122">
        <f>(1/L122^2) / ((1/K122^2) + (1/L122^2) + (1/M122^2))</f>
        <v/>
      </c>
      <c r="Q122">
        <f>(1/M122^2) / ((1/K122^2) + (1/L122^2) + (1/M122^2))</f>
        <v/>
      </c>
      <c r="S122">
        <f>IF(MAX(O122:Q122)=O122, "Murah", IF(MAX(O122:Q122)=P122, "Sedang", "Mahal"))</f>
        <v/>
      </c>
    </row>
    <row r="123">
      <c r="A123" s="6" t="inlineStr">
        <is>
          <t>Eco Active Park</t>
        </is>
      </c>
      <c r="B123" s="6" t="n">
        <v>0.1130434782608696</v>
      </c>
      <c r="C123" s="6" t="n">
        <v>0.7878878069718651</v>
      </c>
      <c r="D123" s="6" t="n">
        <v>0.08089723240746786</v>
      </c>
      <c r="K123" s="6">
        <f>ABS(B123 - $G$2)</f>
        <v/>
      </c>
      <c r="L123" s="6">
        <f>ABS(B123 - $H$2)</f>
        <v/>
      </c>
      <c r="M123" s="51">
        <f>ABS(B123 - $I$2)</f>
        <v/>
      </c>
      <c r="O123">
        <f>(1/K123^2) / ((1/K123^2) + (1/L123^2) + (1/M123^2))</f>
        <v/>
      </c>
      <c r="P123">
        <f>(1/L123^2) / ((1/K123^2) + (1/L123^2) + (1/M123^2))</f>
        <v/>
      </c>
      <c r="Q123">
        <f>(1/M123^2) / ((1/K123^2) + (1/L123^2) + (1/M123^2))</f>
        <v/>
      </c>
      <c r="S123">
        <f>IF(MAX(O123:Q123)=O123, "Murah", IF(MAX(O123:Q123)=P123, "Sedang", "Mahal"))</f>
        <v/>
      </c>
    </row>
    <row r="124">
      <c r="A124" s="6" t="inlineStr">
        <is>
          <t>Kampung Biru Arema</t>
        </is>
      </c>
      <c r="B124" s="6" t="n">
        <v>0.005217391304347826</v>
      </c>
      <c r="C124" s="6" t="n">
        <v>0.6520297746276542</v>
      </c>
      <c r="D124" s="6" t="n">
        <v>0.2523071500898346</v>
      </c>
      <c r="K124" s="6">
        <f>ABS(B124 - $G$2)</f>
        <v/>
      </c>
      <c r="L124" s="6">
        <f>ABS(B124 - $H$2)</f>
        <v/>
      </c>
      <c r="M124" s="51">
        <f>ABS(B124 - $I$2)</f>
        <v/>
      </c>
      <c r="N124" s="52" t="n"/>
      <c r="O124">
        <f>(1/K124^2) / ((1/K124^2) + (1/L124^2) + (1/M124^2))</f>
        <v/>
      </c>
      <c r="P124">
        <f>(1/L124^2) / ((1/K124^2) + (1/L124^2) + (1/M124^2))</f>
        <v/>
      </c>
      <c r="Q124">
        <f>(1/M124^2) / ((1/K124^2) + (1/L124^2) + (1/M124^2))</f>
        <v/>
      </c>
      <c r="S124">
        <f>IF(MAX(O124:Q124)=O124, "Murah", IF(MAX(O124:Q124)=P124, "Sedang", "Mahal"))</f>
        <v/>
      </c>
    </row>
    <row r="125">
      <c r="A125" s="6" t="inlineStr">
        <is>
          <t>Kampung Warna Warni Jodipan</t>
        </is>
      </c>
      <c r="B125" s="6" t="n">
        <v>0.003478260869565218</v>
      </c>
      <c r="C125" s="6" t="n">
        <v>0.649742569597721</v>
      </c>
      <c r="D125" s="6" t="n">
        <v>0.2516317398672282</v>
      </c>
      <c r="K125" s="6">
        <f>ABS(B125 - $G$2)</f>
        <v/>
      </c>
      <c r="L125" s="6">
        <f>ABS(B125 - $H$2)</f>
        <v/>
      </c>
      <c r="M125" s="51">
        <f>ABS(B125 - $I$2)</f>
        <v/>
      </c>
      <c r="O125">
        <f>(1/K125^2) / ((1/K125^2) + (1/L125^2) + (1/M125^2))</f>
        <v/>
      </c>
      <c r="P125">
        <f>(1/L125^2) / ((1/K125^2) + (1/L125^2) + (1/M125^2))</f>
        <v/>
      </c>
      <c r="Q125">
        <f>(1/M125^2) / ((1/K125^2) + (1/L125^2) + (1/M125^2))</f>
        <v/>
      </c>
      <c r="S125">
        <f>IF(MAX(O125:Q125)=O125, "Murah", IF(MAX(O125:Q125)=P125, "Sedang", "Mahal"))</f>
        <v/>
      </c>
    </row>
    <row r="126">
      <c r="A126" s="6" t="inlineStr">
        <is>
          <t>Idjen Boulevard</t>
        </is>
      </c>
      <c r="B126" s="6" t="n">
        <v>0.003478260869565218</v>
      </c>
      <c r="C126" s="6" t="n">
        <v>0.6649902641993439</v>
      </c>
      <c r="D126" s="6" t="n">
        <v>0.2278261913498888</v>
      </c>
      <c r="K126" s="6">
        <f>ABS(B126 - $G$2)</f>
        <v/>
      </c>
      <c r="L126" s="6">
        <f>ABS(B126 - $H$2)</f>
        <v/>
      </c>
      <c r="M126" s="51">
        <f>ABS(B126 - $I$2)</f>
        <v/>
      </c>
      <c r="N126" s="52" t="n"/>
      <c r="O126">
        <f>(1/K126^2) / ((1/K126^2) + (1/L126^2) + (1/M126^2))</f>
        <v/>
      </c>
      <c r="P126">
        <f>(1/L126^2) / ((1/K126^2) + (1/L126^2) + (1/M126^2))</f>
        <v/>
      </c>
      <c r="Q126">
        <f>(1/M126^2) / ((1/K126^2) + (1/L126^2) + (1/M126^2))</f>
        <v/>
      </c>
      <c r="S126">
        <f>IF(MAX(O126:Q126)=O126, "Murah", IF(MAX(O126:Q126)=P126, "Sedang", "Mahal"))</f>
        <v/>
      </c>
    </row>
    <row r="127">
      <c r="A127" s="6" t="inlineStr">
        <is>
          <t>Wisata Kali Cemplong</t>
        </is>
      </c>
      <c r="B127" s="6" t="n">
        <v>0.05217391304347826</v>
      </c>
      <c r="C127" s="6" t="n">
        <v>0.6817085331514736</v>
      </c>
      <c r="D127" s="6" t="n">
        <v>0.2885986063434005</v>
      </c>
      <c r="K127" s="6">
        <f>ABS(B127 - $G$2)</f>
        <v/>
      </c>
      <c r="L127" s="6">
        <f>ABS(B127 - $H$2)</f>
        <v/>
      </c>
      <c r="M127" s="51">
        <f>ABS(B127 - $I$2)</f>
        <v/>
      </c>
      <c r="O127">
        <f>(1/K127^2) / ((1/K127^2) + (1/L127^2) + (1/M127^2))</f>
        <v/>
      </c>
      <c r="P127">
        <f>(1/L127^2) / ((1/K127^2) + (1/L127^2) + (1/M127^2))</f>
        <v/>
      </c>
      <c r="Q127">
        <f>(1/M127^2) / ((1/K127^2) + (1/L127^2) + (1/M127^2))</f>
        <v/>
      </c>
      <c r="S127">
        <f>IF(MAX(O127:Q127)=O127, "Murah", IF(MAX(O127:Q127)=P127, "Sedang", "Mahal"))</f>
        <v/>
      </c>
    </row>
    <row r="128">
      <c r="A128" s="6" t="inlineStr">
        <is>
          <t>Pemandian Kalireco</t>
        </is>
      </c>
      <c r="B128" s="6" t="n">
        <v>0.008695652173913044</v>
      </c>
      <c r="C128" s="6" t="n">
        <v>0.8533623555335744</v>
      </c>
      <c r="D128" s="6" t="n">
        <v>0.3490750567934087</v>
      </c>
      <c r="K128" s="6">
        <f>ABS(B128 - $G$2)</f>
        <v/>
      </c>
      <c r="L128" s="6">
        <f>ABS(B128 - $H$2)</f>
        <v/>
      </c>
      <c r="M128" s="51">
        <f>ABS(B128 - $I$2)</f>
        <v/>
      </c>
      <c r="N128" s="52" t="n"/>
      <c r="O128">
        <f>(1/K128^2) / ((1/K128^2) + (1/L128^2) + (1/M128^2))</f>
        <v/>
      </c>
      <c r="P128">
        <f>(1/L128^2) / ((1/K128^2) + (1/L128^2) + (1/M128^2))</f>
        <v/>
      </c>
      <c r="Q128">
        <f>(1/M128^2) / ((1/K128^2) + (1/L128^2) + (1/M128^2))</f>
        <v/>
      </c>
      <c r="S128">
        <f>IF(MAX(O128:Q128)=O128, "Murah", IF(MAX(O128:Q128)=P128, "Sedang", "Mahal"))</f>
        <v/>
      </c>
    </row>
    <row r="129">
      <c r="A129" s="6" t="inlineStr">
        <is>
          <t>Jawa Timur Park 3</t>
        </is>
      </c>
      <c r="B129" s="6" t="n">
        <v>0.05217391304347826</v>
      </c>
      <c r="C129" s="6" t="n">
        <v>0.7742938548614011</v>
      </c>
      <c r="D129" s="6" t="n">
        <v>0.1217775278658838</v>
      </c>
      <c r="K129" s="6">
        <f>ABS(B129 - $G$2)</f>
        <v/>
      </c>
      <c r="L129" s="6">
        <f>ABS(B129 - $H$2)</f>
        <v/>
      </c>
      <c r="M129" s="51">
        <f>ABS(B129 - $I$2)</f>
        <v/>
      </c>
      <c r="O129">
        <f>(1/K129^2) / ((1/K129^2) + (1/L129^2) + (1/M129^2))</f>
        <v/>
      </c>
      <c r="P129">
        <f>(1/L129^2) / ((1/K129^2) + (1/L129^2) + (1/M129^2))</f>
        <v/>
      </c>
      <c r="Q129">
        <f>(1/M129^2) / ((1/K129^2) + (1/L129^2) + (1/M129^2))</f>
        <v/>
      </c>
      <c r="S129">
        <f>IF(MAX(O129:Q129)=O129, "Murah", IF(MAX(O129:Q129)=P129, "Sedang", "Mahal"))</f>
        <v/>
      </c>
    </row>
    <row r="130">
      <c r="A130" s="6" t="inlineStr">
        <is>
          <t>Jembatan Kaca Ngalam Indonesia</t>
        </is>
      </c>
      <c r="B130" s="6" t="n">
        <v>0.06956521739130435</v>
      </c>
      <c r="C130" s="6" t="n">
        <v>0.6492866102055602</v>
      </c>
      <c r="D130" s="6" t="n">
        <v>0.2524313687850965</v>
      </c>
      <c r="K130" s="6">
        <f>ABS(B130 - $G$2)</f>
        <v/>
      </c>
      <c r="L130" s="6">
        <f>ABS(B130 - $H$2)</f>
        <v/>
      </c>
      <c r="M130" s="51">
        <f>ABS(B130 - $I$2)</f>
        <v/>
      </c>
      <c r="N130" s="52" t="n"/>
      <c r="O130">
        <f>(1/K130^2) / ((1/K130^2) + (1/L130^2) + (1/M130^2))</f>
        <v/>
      </c>
      <c r="P130">
        <f>(1/L130^2) / ((1/K130^2) + (1/L130^2) + (1/M130^2))</f>
        <v/>
      </c>
      <c r="Q130">
        <f>(1/M130^2) / ((1/K130^2) + (1/L130^2) + (1/M130^2))</f>
        <v/>
      </c>
      <c r="S130">
        <f>IF(MAX(O130:Q130)=O130, "Murah", IF(MAX(O130:Q130)=P130, "Sedang", "Mahal"))</f>
        <v/>
      </c>
    </row>
    <row r="131">
      <c r="A131" s="6" t="inlineStr">
        <is>
          <t>Coban Manten</t>
        </is>
      </c>
      <c r="B131" s="6" t="n">
        <v>0.01739130434782609</v>
      </c>
      <c r="C131" s="6" t="n">
        <v>0.7706291847419923</v>
      </c>
      <c r="D131" s="6" t="n">
        <v>0</v>
      </c>
      <c r="K131" s="6">
        <f>ABS(B131 - $G$2)</f>
        <v/>
      </c>
      <c r="L131" s="6">
        <f>ABS(B131 - $H$2)</f>
        <v/>
      </c>
      <c r="M131" s="51">
        <f>ABS(B131 - $I$2)</f>
        <v/>
      </c>
      <c r="O131">
        <f>(1/K131^2) / ((1/K131^2) + (1/L131^2) + (1/M131^2))</f>
        <v/>
      </c>
      <c r="P131">
        <f>(1/L131^2) / ((1/K131^2) + (1/L131^2) + (1/M131^2))</f>
        <v/>
      </c>
      <c r="Q131">
        <f>(1/M131^2) / ((1/K131^2) + (1/L131^2) + (1/M131^2))</f>
        <v/>
      </c>
      <c r="S131">
        <f>IF(MAX(O131:Q131)=O131, "Murah", IF(MAX(O131:Q131)=P131, "Sedang", "Mahal"))</f>
        <v/>
      </c>
    </row>
    <row r="132">
      <c r="A132" s="6" t="inlineStr">
        <is>
          <t>Patung Singo Edan Arema</t>
        </is>
      </c>
      <c r="B132" s="6" t="n">
        <v>0.003478260869565218</v>
      </c>
      <c r="C132" s="6" t="n">
        <v>0.6578270971190611</v>
      </c>
      <c r="D132" s="6" t="n">
        <v>0.2458596597241247</v>
      </c>
      <c r="K132" s="6">
        <f>ABS(B132 - $G$2)</f>
        <v/>
      </c>
      <c r="L132" s="6">
        <f>ABS(B132 - $H$2)</f>
        <v/>
      </c>
      <c r="M132" s="51">
        <f>ABS(B132 - $I$2)</f>
        <v/>
      </c>
      <c r="N132" s="52" t="n"/>
      <c r="O132">
        <f>(1/K132^2) / ((1/K132^2) + (1/L132^2) + (1/M132^2))</f>
        <v/>
      </c>
      <c r="P132">
        <f>(1/L132^2) / ((1/K132^2) + (1/L132^2) + (1/M132^2))</f>
        <v/>
      </c>
      <c r="Q132">
        <f>(1/M132^2) / ((1/K132^2) + (1/L132^2) + (1/M132^2))</f>
        <v/>
      </c>
      <c r="S132">
        <f>IF(MAX(O132:Q132)=O132, "Murah", IF(MAX(O132:Q132)=P132, "Sedang", "Mahal"))</f>
        <v/>
      </c>
    </row>
    <row r="133">
      <c r="A133" s="6" t="inlineStr">
        <is>
          <t>Wisata Kampung Topeng</t>
        </is>
      </c>
      <c r="B133" s="6" t="n">
        <v>0.008695652173913044</v>
      </c>
      <c r="C133" s="6" t="n">
        <v>0.5853161901898278</v>
      </c>
      <c r="D133" s="6" t="n">
        <v>0.3048859147727282</v>
      </c>
      <c r="K133" s="6">
        <f>ABS(B133 - $G$2)</f>
        <v/>
      </c>
      <c r="L133" s="6">
        <f>ABS(B133 - $H$2)</f>
        <v/>
      </c>
      <c r="M133" s="51">
        <f>ABS(B133 - $I$2)</f>
        <v/>
      </c>
      <c r="O133">
        <f>(1/K133^2) / ((1/K133^2) + (1/L133^2) + (1/M133^2))</f>
        <v/>
      </c>
      <c r="P133">
        <f>(1/L133^2) / ((1/K133^2) + (1/L133^2) + (1/M133^2))</f>
        <v/>
      </c>
      <c r="Q133">
        <f>(1/M133^2) / ((1/K133^2) + (1/L133^2) + (1/M133^2))</f>
        <v/>
      </c>
      <c r="S133">
        <f>IF(MAX(O133:Q133)=O133, "Murah", IF(MAX(O133:Q133)=P133, "Sedang", "Mahal"))</f>
        <v/>
      </c>
    </row>
    <row r="134">
      <c r="A134" s="6" t="inlineStr">
        <is>
          <t>Lapangan Rampal</t>
        </is>
      </c>
      <c r="B134" s="6" t="n">
        <v>0.01739130434782609</v>
      </c>
      <c r="C134" s="6" t="n">
        <v>0.6629649562016079</v>
      </c>
      <c r="D134" s="6" t="n">
        <v>0.2516789584023276</v>
      </c>
      <c r="K134" s="6">
        <f>ABS(B134 - $G$2)</f>
        <v/>
      </c>
      <c r="L134" s="6">
        <f>ABS(B134 - $H$2)</f>
        <v/>
      </c>
      <c r="M134" s="51">
        <f>ABS(B134 - $I$2)</f>
        <v/>
      </c>
      <c r="N134" s="52" t="n"/>
      <c r="O134">
        <f>(1/K134^2) / ((1/K134^2) + (1/L134^2) + (1/M134^2))</f>
        <v/>
      </c>
      <c r="P134">
        <f>(1/L134^2) / ((1/K134^2) + (1/L134^2) + (1/M134^2))</f>
        <v/>
      </c>
      <c r="Q134">
        <f>(1/M134^2) / ((1/K134^2) + (1/L134^2) + (1/M134^2))</f>
        <v/>
      </c>
      <c r="S134">
        <f>IF(MAX(O134:Q134)=O134, "Murah", IF(MAX(O134:Q134)=P134, "Sedang", "Mahal"))</f>
        <v/>
      </c>
    </row>
    <row r="135">
      <c r="A135" s="6" t="inlineStr">
        <is>
          <t>Brawijaya Edupark</t>
        </is>
      </c>
      <c r="B135" s="6" t="n">
        <v>0.03478260869565217</v>
      </c>
      <c r="C135" s="6" t="n">
        <v>0.6600742114219356</v>
      </c>
      <c r="D135" s="6" t="n">
        <v>0.2382946640278009</v>
      </c>
      <c r="K135" s="6">
        <f>ABS(B135 - $G$2)</f>
        <v/>
      </c>
      <c r="L135" s="6">
        <f>ABS(B135 - $H$2)</f>
        <v/>
      </c>
      <c r="M135" s="51">
        <f>ABS(B135 - $I$2)</f>
        <v/>
      </c>
      <c r="O135">
        <f>(1/K135^2) / ((1/K135^2) + (1/L135^2) + (1/M135^2))</f>
        <v/>
      </c>
      <c r="P135">
        <f>(1/L135^2) / ((1/K135^2) + (1/L135^2) + (1/M135^2))</f>
        <v/>
      </c>
      <c r="Q135">
        <f>(1/M135^2) / ((1/K135^2) + (1/L135^2) + (1/M135^2))</f>
        <v/>
      </c>
      <c r="S135">
        <f>IF(MAX(O135:Q135)=O135, "Murah", IF(MAX(O135:Q135)=P135, "Sedang", "Mahal"))</f>
        <v/>
      </c>
    </row>
    <row r="136">
      <c r="A136" s="6" t="inlineStr">
        <is>
          <t>Malang Night Paradise</t>
        </is>
      </c>
      <c r="B136" s="6" t="n">
        <v>0.1304347826086956</v>
      </c>
      <c r="C136" s="6" t="n">
        <v>0.735980919138021</v>
      </c>
      <c r="D136" s="6" t="n">
        <v>0.2788259126679369</v>
      </c>
      <c r="K136" s="6">
        <f>ABS(B136 - $G$2)</f>
        <v/>
      </c>
      <c r="L136" s="6">
        <f>ABS(B136 - $H$2)</f>
        <v/>
      </c>
      <c r="M136" s="51">
        <f>ABS(B136 - $I$2)</f>
        <v/>
      </c>
      <c r="N136" s="52" t="n"/>
      <c r="O136">
        <f>(1/K136^2) / ((1/K136^2) + (1/L136^2) + (1/M136^2))</f>
        <v/>
      </c>
      <c r="P136">
        <f>(1/L136^2) / ((1/K136^2) + (1/L136^2) + (1/M136^2))</f>
        <v/>
      </c>
      <c r="Q136">
        <f>(1/M136^2) / ((1/K136^2) + (1/L136^2) + (1/M136^2))</f>
        <v/>
      </c>
      <c r="S136">
        <f>IF(MAX(O136:Q136)=O136, "Murah", IF(MAX(O136:Q136)=P136, "Sedang", "Mahal"))</f>
        <v/>
      </c>
    </row>
    <row r="137">
      <c r="A137" s="6" t="inlineStr">
        <is>
          <t>Wisata Kayutangan Kota Malang</t>
        </is>
      </c>
      <c r="B137" s="6" t="n">
        <v>0.008695652173913044</v>
      </c>
      <c r="C137" s="6" t="n">
        <v>0.6573679420892362</v>
      </c>
      <c r="D137" s="6" t="n">
        <v>0.2346091493473099</v>
      </c>
      <c r="K137" s="6">
        <f>ABS(B137 - $G$2)</f>
        <v/>
      </c>
      <c r="L137" s="6">
        <f>ABS(B137 - $H$2)</f>
        <v/>
      </c>
      <c r="M137" s="51">
        <f>ABS(B137 - $I$2)</f>
        <v/>
      </c>
      <c r="O137">
        <f>(1/K137^2) / ((1/K137^2) + (1/L137^2) + (1/M137^2))</f>
        <v/>
      </c>
      <c r="P137">
        <f>(1/L137^2) / ((1/K137^2) + (1/L137^2) + (1/M137^2))</f>
        <v/>
      </c>
      <c r="Q137">
        <f>(1/M137^2) / ((1/K137^2) + (1/L137^2) + (1/M137^2))</f>
        <v/>
      </c>
      <c r="S137">
        <f>IF(MAX(O137:Q137)=O137, "Murah", IF(MAX(O137:Q137)=P137, "Sedang", "Mahal"))</f>
        <v/>
      </c>
    </row>
    <row r="138">
      <c r="A138" s="6" t="inlineStr">
        <is>
          <t>Candi Badut</t>
        </is>
      </c>
      <c r="B138" s="6" t="n">
        <v>0.01739130434782609</v>
      </c>
      <c r="C138" s="6" t="n">
        <v>0.6862071194449472</v>
      </c>
      <c r="D138" s="6" t="n">
        <v>0.1871599223887987</v>
      </c>
      <c r="K138" s="6">
        <f>ABS(B138 - $G$2)</f>
        <v/>
      </c>
      <c r="L138" s="6">
        <f>ABS(B138 - $H$2)</f>
        <v/>
      </c>
      <c r="M138" s="51">
        <f>ABS(B138 - $I$2)</f>
        <v/>
      </c>
      <c r="N138" s="52" t="n"/>
      <c r="O138">
        <f>(1/K138^2) / ((1/K138^2) + (1/L138^2) + (1/M138^2))</f>
        <v/>
      </c>
      <c r="P138">
        <f>(1/L138^2) / ((1/K138^2) + (1/L138^2) + (1/M138^2))</f>
        <v/>
      </c>
      <c r="Q138">
        <f>(1/M138^2) / ((1/K138^2) + (1/L138^2) + (1/M138^2))</f>
        <v/>
      </c>
      <c r="S138">
        <f>IF(MAX(O138:Q138)=O138, "Murah", IF(MAX(O138:Q138)=P138, "Sedang", "Mahal"))</f>
        <v/>
      </c>
    </row>
    <row r="139">
      <c r="A139" s="6" t="inlineStr">
        <is>
          <t>Wana Wisata Perhutani Malang</t>
        </is>
      </c>
      <c r="B139" s="6" t="n">
        <v>0.06086956521739131</v>
      </c>
      <c r="C139" s="6" t="n">
        <v>0.6703380185739179</v>
      </c>
      <c r="D139" s="6" t="n">
        <v>0.2435474945938051</v>
      </c>
      <c r="K139" s="6">
        <f>ABS(B139 - $G$2)</f>
        <v/>
      </c>
      <c r="L139" s="6">
        <f>ABS(B139 - $H$2)</f>
        <v/>
      </c>
      <c r="M139" s="51">
        <f>ABS(B139 - $I$2)</f>
        <v/>
      </c>
      <c r="O139">
        <f>(1/K139^2) / ((1/K139^2) + (1/L139^2) + (1/M139^2))</f>
        <v/>
      </c>
      <c r="P139">
        <f>(1/L139^2) / ((1/K139^2) + (1/L139^2) + (1/M139^2))</f>
        <v/>
      </c>
      <c r="Q139">
        <f>(1/M139^2) / ((1/K139^2) + (1/L139^2) + (1/M139^2))</f>
        <v/>
      </c>
      <c r="S139">
        <f>IF(MAX(O139:Q139)=O139, "Murah", IF(MAX(O139:Q139)=P139, "Sedang", "Mahal"))</f>
        <v/>
      </c>
    </row>
    <row r="140">
      <c r="A140" s="6" t="inlineStr">
        <is>
          <t>Wisata Agro Petik Jeruk</t>
        </is>
      </c>
      <c r="B140" s="6" t="n">
        <v>0.02608695652173913</v>
      </c>
      <c r="C140" s="6" t="n">
        <v>0.7133386642379833</v>
      </c>
      <c r="D140" s="6" t="n">
        <v>0.1181540453785593</v>
      </c>
      <c r="K140" s="6">
        <f>ABS(B140 - $G$2)</f>
        <v/>
      </c>
      <c r="L140" s="6">
        <f>ABS(B140 - $H$2)</f>
        <v/>
      </c>
      <c r="M140" s="51">
        <f>ABS(B140 - $I$2)</f>
        <v/>
      </c>
      <c r="N140" s="52" t="n"/>
      <c r="O140">
        <f>(1/K140^2) / ((1/K140^2) + (1/L140^2) + (1/M140^2))</f>
        <v/>
      </c>
      <c r="P140">
        <f>(1/L140^2) / ((1/K140^2) + (1/L140^2) + (1/M140^2))</f>
        <v/>
      </c>
      <c r="Q140">
        <f>(1/M140^2) / ((1/K140^2) + (1/L140^2) + (1/M140^2))</f>
        <v/>
      </c>
      <c r="S140">
        <f>IF(MAX(O140:Q140)=O140, "Murah", IF(MAX(O140:Q140)=P140, "Sedang", "Mahal"))</f>
        <v/>
      </c>
    </row>
    <row r="141">
      <c r="A141" s="6" t="inlineStr">
        <is>
          <t>Wisata alam Lembah Ken Arok</t>
        </is>
      </c>
      <c r="B141" s="6" t="n">
        <v>0.03478260869565217</v>
      </c>
      <c r="C141" s="6" t="n">
        <v>0.5806592745757263</v>
      </c>
      <c r="D141" s="6" t="n">
        <v>0.1345493700646327</v>
      </c>
      <c r="K141" s="6">
        <f>ABS(B141 - $G$2)</f>
        <v/>
      </c>
      <c r="L141" s="6">
        <f>ABS(B141 - $H$2)</f>
        <v/>
      </c>
      <c r="M141" s="51">
        <f>ABS(B141 - $I$2)</f>
        <v/>
      </c>
      <c r="O141">
        <f>(1/K141^2) / ((1/K141^2) + (1/L141^2) + (1/M141^2))</f>
        <v/>
      </c>
      <c r="P141">
        <f>(1/L141^2) / ((1/K141^2) + (1/L141^2) + (1/M141^2))</f>
        <v/>
      </c>
      <c r="Q141">
        <f>(1/M141^2) / ((1/K141^2) + (1/L141^2) + (1/M141^2))</f>
        <v/>
      </c>
      <c r="S141">
        <f>IF(MAX(O141:Q141)=O141, "Murah", IF(MAX(O141:Q141)=P141, "Sedang", "Mahal"))</f>
        <v/>
      </c>
    </row>
    <row r="142">
      <c r="A142" s="6" t="inlineStr">
        <is>
          <t>Air Terjun Coban Rais</t>
        </is>
      </c>
      <c r="B142" s="6" t="n">
        <v>0.01739130434782609</v>
      </c>
      <c r="C142" s="6" t="n">
        <v>0.753169382595541</v>
      </c>
      <c r="D142" s="6" t="n">
        <v>0.06344442856778133</v>
      </c>
      <c r="K142" s="6">
        <f>ABS(B142 - $G$2)</f>
        <v/>
      </c>
      <c r="L142" s="6">
        <f>ABS(B142 - $H$2)</f>
        <v/>
      </c>
      <c r="M142" s="51">
        <f>ABS(B142 - $I$2)</f>
        <v/>
      </c>
      <c r="N142" s="52" t="n"/>
      <c r="O142">
        <f>(1/K142^2) / ((1/K142^2) + (1/L142^2) + (1/M142^2))</f>
        <v/>
      </c>
      <c r="P142">
        <f>(1/L142^2) / ((1/K142^2) + (1/L142^2) + (1/M142^2))</f>
        <v/>
      </c>
      <c r="Q142">
        <f>(1/M142^2) / ((1/K142^2) + (1/L142^2) + (1/M142^2))</f>
        <v/>
      </c>
      <c r="S142">
        <f>IF(MAX(O142:Q142)=O142, "Murah", IF(MAX(O142:Q142)=P142, "Sedang", "Mahal"))</f>
        <v/>
      </c>
    </row>
    <row r="143">
      <c r="A143" s="6" t="inlineStr">
        <is>
          <t>Tomboan Ngawonggo</t>
        </is>
      </c>
      <c r="B143" s="6" t="n">
        <v>0.008695652173913044</v>
      </c>
      <c r="C143" s="6" t="n">
        <v>0.5092052521757592</v>
      </c>
      <c r="D143" s="6" t="n">
        <v>0.3507426734887761</v>
      </c>
      <c r="K143" s="6">
        <f>ABS(B143 - $G$2)</f>
        <v/>
      </c>
      <c r="L143" s="6">
        <f>ABS(B143 - $H$2)</f>
        <v/>
      </c>
      <c r="M143" s="51">
        <f>ABS(B143 - $I$2)</f>
        <v/>
      </c>
      <c r="O143">
        <f>(1/K143^2) / ((1/K143^2) + (1/L143^2) + (1/M143^2))</f>
        <v/>
      </c>
      <c r="P143">
        <f>(1/L143^2) / ((1/K143^2) + (1/L143^2) + (1/M143^2))</f>
        <v/>
      </c>
      <c r="Q143">
        <f>(1/M143^2) / ((1/K143^2) + (1/L143^2) + (1/M143^2))</f>
        <v/>
      </c>
      <c r="S143">
        <f>IF(MAX(O143:Q143)=O143, "Murah", IF(MAX(O143:Q143)=P143, "Sedang", "Mahal"))</f>
        <v/>
      </c>
    </row>
    <row r="144">
      <c r="A144" s="6" t="inlineStr">
        <is>
          <t>Hawai Waterpark</t>
        </is>
      </c>
      <c r="B144" s="6" t="n">
        <v>0.1478260869565217</v>
      </c>
      <c r="C144" s="6" t="n">
        <v>0.7361258848829643</v>
      </c>
      <c r="D144" s="6" t="n">
        <v>0.2785939863337874</v>
      </c>
      <c r="K144" s="6">
        <f>ABS(B144 - $G$2)</f>
        <v/>
      </c>
      <c r="L144" s="6">
        <f>ABS(B144 - $H$2)</f>
        <v/>
      </c>
      <c r="M144" s="51">
        <f>ABS(B144 - $I$2)</f>
        <v/>
      </c>
      <c r="N144" s="52" t="n"/>
      <c r="O144">
        <f>(1/K144^2) / ((1/K144^2) + (1/L144^2) + (1/M144^2))</f>
        <v/>
      </c>
      <c r="P144">
        <f>(1/L144^2) / ((1/K144^2) + (1/L144^2) + (1/M144^2))</f>
        <v/>
      </c>
      <c r="Q144">
        <f>(1/M144^2) / ((1/K144^2) + (1/L144^2) + (1/M144^2))</f>
        <v/>
      </c>
      <c r="S144">
        <f>IF(MAX(O144:Q144)=O144, "Murah", IF(MAX(O144:Q144)=P144, "Sedang", "Mahal"))</f>
        <v/>
      </c>
    </row>
    <row r="145">
      <c r="A145" s="6" t="inlineStr">
        <is>
          <t>Lembah Tumpang Resort</t>
        </is>
      </c>
      <c r="B145" s="6" t="n">
        <v>0.1043478260869565</v>
      </c>
      <c r="C145" s="6" t="n">
        <v>0.6332388441378574</v>
      </c>
      <c r="D145" s="6" t="n">
        <v>0.402045766179383</v>
      </c>
      <c r="K145" s="6">
        <f>ABS(B145 - $G$2)</f>
        <v/>
      </c>
      <c r="L145" s="6">
        <f>ABS(B145 - $H$2)</f>
        <v/>
      </c>
      <c r="M145" s="51">
        <f>ABS(B145 - $I$2)</f>
        <v/>
      </c>
      <c r="O145">
        <f>(1/K145^2) / ((1/K145^2) + (1/L145^2) + (1/M145^2))</f>
        <v/>
      </c>
      <c r="P145">
        <f>(1/L145^2) / ((1/K145^2) + (1/L145^2) + (1/M145^2))</f>
        <v/>
      </c>
      <c r="Q145">
        <f>(1/M145^2) / ((1/K145^2) + (1/L145^2) + (1/M145^2))</f>
        <v/>
      </c>
      <c r="S145">
        <f>IF(MAX(O145:Q145)=O145, "Murah", IF(MAX(O145:Q145)=P145, "Sedang", "Mahal"))</f>
        <v/>
      </c>
    </row>
    <row r="146">
      <c r="A146" s="6" t="inlineStr">
        <is>
          <t>Alun-Alun Kota Wisata Batu</t>
        </is>
      </c>
      <c r="B146" s="6" t="n">
        <v>0.008695652173913044</v>
      </c>
      <c r="C146" s="6" t="n">
        <v>0.8120058654476773</v>
      </c>
      <c r="D146" s="6" t="n">
        <v>0.07654541173175522</v>
      </c>
      <c r="K146" s="6">
        <f>ABS(B146 - $G$2)</f>
        <v/>
      </c>
      <c r="L146" s="6">
        <f>ABS(B146 - $H$2)</f>
        <v/>
      </c>
      <c r="M146" s="51">
        <f>ABS(B146 - $I$2)</f>
        <v/>
      </c>
      <c r="N146" s="52" t="n"/>
      <c r="O146">
        <f>(1/K146^2) / ((1/K146^2) + (1/L146^2) + (1/M146^2))</f>
        <v/>
      </c>
      <c r="P146">
        <f>(1/L146^2) / ((1/K146^2) + (1/L146^2) + (1/M146^2))</f>
        <v/>
      </c>
      <c r="Q146">
        <f>(1/M146^2) / ((1/K146^2) + (1/L146^2) + (1/M146^2))</f>
        <v/>
      </c>
      <c r="S146">
        <f>IF(MAX(O146:Q146)=O146, "Murah", IF(MAX(O146:Q146)=P146, "Sedang", "Mahal"))</f>
        <v/>
      </c>
    </row>
    <row r="147">
      <c r="A147" s="6" t="inlineStr">
        <is>
          <t>Sweetmemoriesselfie</t>
        </is>
      </c>
      <c r="B147" s="6" t="n">
        <v>0.05217391304347826</v>
      </c>
      <c r="C147" s="6" t="n">
        <v>0.648212585437915</v>
      </c>
      <c r="D147" s="6" t="n">
        <v>0.2388566571807936</v>
      </c>
      <c r="K147" s="6">
        <f>ABS(B147 - $G$2)</f>
        <v/>
      </c>
      <c r="L147" s="6">
        <f>ABS(B147 - $H$2)</f>
        <v/>
      </c>
      <c r="M147" s="51">
        <f>ABS(B147 - $I$2)</f>
        <v/>
      </c>
      <c r="O147">
        <f>(1/K147^2) / ((1/K147^2) + (1/L147^2) + (1/M147^2))</f>
        <v/>
      </c>
      <c r="P147">
        <f>(1/L147^2) / ((1/K147^2) + (1/L147^2) + (1/M147^2))</f>
        <v/>
      </c>
      <c r="Q147">
        <f>(1/M147^2) / ((1/K147^2) + (1/L147^2) + (1/M147^2))</f>
        <v/>
      </c>
      <c r="S147">
        <f>IF(MAX(O147:Q147)=O147, "Murah", IF(MAX(O147:Q147)=P147, "Sedang", "Mahal"))</f>
        <v/>
      </c>
    </row>
    <row r="148">
      <c r="A148" s="6" t="inlineStr">
        <is>
          <t>Pecinan Malang</t>
        </is>
      </c>
      <c r="B148" s="6" t="n">
        <v>0.05217391304347826</v>
      </c>
      <c r="C148" s="6" t="n">
        <v>0.6452054903960204</v>
      </c>
      <c r="D148" s="6" t="n">
        <v>0.2409489320741541</v>
      </c>
      <c r="K148" s="6">
        <f>ABS(B148 - $G$2)</f>
        <v/>
      </c>
      <c r="L148" s="6">
        <f>ABS(B148 - $H$2)</f>
        <v/>
      </c>
      <c r="M148" s="51">
        <f>ABS(B148 - $I$2)</f>
        <v/>
      </c>
      <c r="N148" s="52" t="n"/>
      <c r="O148">
        <f>(1/K148^2) / ((1/K148^2) + (1/L148^2) + (1/M148^2))</f>
        <v/>
      </c>
      <c r="P148">
        <f>(1/L148^2) / ((1/K148^2) + (1/L148^2) + (1/M148^2))</f>
        <v/>
      </c>
      <c r="Q148">
        <f>(1/M148^2) / ((1/K148^2) + (1/L148^2) + (1/M148^2))</f>
        <v/>
      </c>
      <c r="S148">
        <f>IF(MAX(O148:Q148)=O148, "Murah", IF(MAX(O148:Q148)=P148, "Sedang", "Mahal"))</f>
        <v/>
      </c>
    </row>
    <row r="149">
      <c r="A149" s="6" t="inlineStr">
        <is>
          <t>SANGGAR SEMAR</t>
        </is>
      </c>
      <c r="B149" s="6" t="n">
        <v>0.05217391304347826</v>
      </c>
      <c r="C149" s="6" t="n">
        <v>0.7299048498885524</v>
      </c>
      <c r="D149" s="6" t="n">
        <v>0.2748401127936657</v>
      </c>
      <c r="K149" s="6">
        <f>ABS(B149 - $G$2)</f>
        <v/>
      </c>
      <c r="L149" s="6">
        <f>ABS(B149 - $H$2)</f>
        <v/>
      </c>
      <c r="M149" s="51">
        <f>ABS(B149 - $I$2)</f>
        <v/>
      </c>
      <c r="O149">
        <f>(1/K149^2) / ((1/K149^2) + (1/L149^2) + (1/M149^2))</f>
        <v/>
      </c>
      <c r="P149">
        <f>(1/L149^2) / ((1/K149^2) + (1/L149^2) + (1/M149^2))</f>
        <v/>
      </c>
      <c r="Q149">
        <f>(1/M149^2) / ((1/K149^2) + (1/L149^2) + (1/M149^2))</f>
        <v/>
      </c>
      <c r="S149">
        <f>IF(MAX(O149:Q149)=O149, "Murah", IF(MAX(O149:Q149)=P149, "Sedang", "Mahal"))</f>
        <v/>
      </c>
    </row>
    <row r="150">
      <c r="A150" s="6" t="inlineStr">
        <is>
          <t>Unimaz Rajut</t>
        </is>
      </c>
      <c r="B150" s="6" t="n">
        <v>0.06302434782608696</v>
      </c>
      <c r="C150" s="6" t="n">
        <v>0.6758366941999909</v>
      </c>
      <c r="D150" s="6" t="n">
        <v>0.183425800392759</v>
      </c>
      <c r="K150" s="6">
        <f>ABS(B150 - $G$2)</f>
        <v/>
      </c>
      <c r="L150" s="6">
        <f>ABS(B150 - $H$2)</f>
        <v/>
      </c>
      <c r="M150" s="51">
        <f>ABS(B150 - $I$2)</f>
        <v/>
      </c>
      <c r="N150" s="52" t="n"/>
      <c r="O150">
        <f>(1/K150^2) / ((1/K150^2) + (1/L150^2) + (1/M150^2))</f>
        <v/>
      </c>
      <c r="P150">
        <f>(1/L150^2) / ((1/K150^2) + (1/L150^2) + (1/M150^2))</f>
        <v/>
      </c>
      <c r="Q150">
        <f>(1/M150^2) / ((1/K150^2) + (1/L150^2) + (1/M150^2))</f>
        <v/>
      </c>
      <c r="S150">
        <f>IF(MAX(O150:Q150)=O150, "Murah", IF(MAX(O150:Q150)=P150, "Sedang", "Mahal"))</f>
        <v/>
      </c>
    </row>
    <row r="151">
      <c r="A151" s="6" t="inlineStr">
        <is>
          <t>Coban Amprong</t>
        </is>
      </c>
      <c r="B151" s="6" t="n">
        <v>0.01739130434782609</v>
      </c>
      <c r="C151" s="6" t="n">
        <v>0.6353036618376231</v>
      </c>
      <c r="D151" s="6" t="n">
        <v>0.2657474586089655</v>
      </c>
      <c r="K151" s="6">
        <f>ABS(B151 - $G$2)</f>
        <v/>
      </c>
      <c r="L151" s="6">
        <f>ABS(B151 - $H$2)</f>
        <v/>
      </c>
      <c r="M151" s="51">
        <f>ABS(B151 - $I$2)</f>
        <v/>
      </c>
      <c r="O151">
        <f>(1/K151^2) / ((1/K151^2) + (1/L151^2) + (1/M151^2))</f>
        <v/>
      </c>
      <c r="P151">
        <f>(1/L151^2) / ((1/K151^2) + (1/L151^2) + (1/M151^2))</f>
        <v/>
      </c>
      <c r="Q151">
        <f>(1/M151^2) / ((1/K151^2) + (1/L151^2) + (1/M151^2))</f>
        <v/>
      </c>
      <c r="S151">
        <f>IF(MAX(O151:Q151)=O151, "Murah", IF(MAX(O151:Q151)=P151, "Sedang", "Mahal"))</f>
        <v/>
      </c>
    </row>
    <row r="152">
      <c r="A152" s="6" t="inlineStr">
        <is>
          <t>Pintu Masuk Kampoeng Heritage Kajoetangan</t>
        </is>
      </c>
      <c r="B152" s="6" t="n">
        <v>0.008695652173913044</v>
      </c>
      <c r="C152" s="6" t="n">
        <v>0.6554020439007994</v>
      </c>
      <c r="D152" s="6" t="n">
        <v>0.2319897551209857</v>
      </c>
      <c r="K152" s="6">
        <f>ABS(B152 - $G$2)</f>
        <v/>
      </c>
      <c r="L152" s="6">
        <f>ABS(B152 - $H$2)</f>
        <v/>
      </c>
      <c r="M152" s="51">
        <f>ABS(B152 - $I$2)</f>
        <v/>
      </c>
      <c r="N152" s="52" t="n"/>
      <c r="O152">
        <f>(1/K152^2) / ((1/K152^2) + (1/L152^2) + (1/M152^2))</f>
        <v/>
      </c>
      <c r="P152">
        <f>(1/L152^2) / ((1/K152^2) + (1/L152^2) + (1/M152^2))</f>
        <v/>
      </c>
      <c r="Q152">
        <f>(1/M152^2) / ((1/K152^2) + (1/L152^2) + (1/M152^2))</f>
        <v/>
      </c>
      <c r="S152">
        <f>IF(MAX(O152:Q152)=O152, "Murah", IF(MAX(O152:Q152)=P152, "Sedang", "Mahal"))</f>
        <v/>
      </c>
    </row>
    <row r="153">
      <c r="A153" s="6" t="inlineStr">
        <is>
          <t>bromoindonesia.id</t>
        </is>
      </c>
      <c r="B153" s="6" t="n">
        <v>0.09391304347826086</v>
      </c>
      <c r="C153" s="6" t="n">
        <v>0.6718585610769885</v>
      </c>
      <c r="D153" s="6" t="n">
        <v>0.2141831208859333</v>
      </c>
      <c r="K153" s="6">
        <f>ABS(B153 - $G$2)</f>
        <v/>
      </c>
      <c r="L153" s="6">
        <f>ABS(B153 - $H$2)</f>
        <v/>
      </c>
      <c r="M153" s="51">
        <f>ABS(B153 - $I$2)</f>
        <v/>
      </c>
      <c r="O153">
        <f>(1/K153^2) / ((1/K153^2) + (1/L153^2) + (1/M153^2))</f>
        <v/>
      </c>
      <c r="P153">
        <f>(1/L153^2) / ((1/K153^2) + (1/L153^2) + (1/M153^2))</f>
        <v/>
      </c>
      <c r="Q153">
        <f>(1/M153^2) / ((1/K153^2) + (1/L153^2) + (1/M153^2))</f>
        <v/>
      </c>
      <c r="S153">
        <f>IF(MAX(O153:Q153)=O153, "Murah", IF(MAX(O153:Q153)=P153, "Sedang", "Mahal"))</f>
        <v/>
      </c>
    </row>
    <row r="154">
      <c r="A154" s="6" t="inlineStr">
        <is>
          <t>Wisata kali djaeng</t>
        </is>
      </c>
      <c r="B154" s="6" t="n">
        <v>0.06086956521739131</v>
      </c>
      <c r="C154" s="6" t="n">
        <v>0.7548070016421233</v>
      </c>
      <c r="D154" s="6" t="n">
        <v>0.2483403302149781</v>
      </c>
      <c r="K154" s="6">
        <f>ABS(B154 - $G$2)</f>
        <v/>
      </c>
      <c r="L154" s="6">
        <f>ABS(B154 - $H$2)</f>
        <v/>
      </c>
      <c r="M154" s="51">
        <f>ABS(B154 - $I$2)</f>
        <v/>
      </c>
      <c r="N154" s="52" t="n"/>
      <c r="O154">
        <f>(1/K154^2) / ((1/K154^2) + (1/L154^2) + (1/M154^2))</f>
        <v/>
      </c>
      <c r="P154">
        <f>(1/L154^2) / ((1/K154^2) + (1/L154^2) + (1/M154^2))</f>
        <v/>
      </c>
      <c r="Q154">
        <f>(1/M154^2) / ((1/K154^2) + (1/L154^2) + (1/M154^2))</f>
        <v/>
      </c>
      <c r="S154">
        <f>IF(MAX(O154:Q154)=O154, "Murah", IF(MAX(O154:Q154)=P154, "Sedang", "Mahal"))</f>
        <v/>
      </c>
    </row>
    <row r="155">
      <c r="A155" s="6" t="inlineStr">
        <is>
          <t>Bromo Midnight Tour</t>
        </is>
      </c>
      <c r="B155" s="6" t="n">
        <v>0.5217391304347826</v>
      </c>
      <c r="C155" s="6" t="n">
        <v>0.6937983567159607</v>
      </c>
      <c r="D155" s="6" t="n">
        <v>0.3116910932572278</v>
      </c>
      <c r="K155" s="6">
        <f>ABS(B155 - $G$2)</f>
        <v/>
      </c>
      <c r="L155" s="6">
        <f>ABS(B155 - $H$2)</f>
        <v/>
      </c>
      <c r="M155" s="51">
        <f>ABS(B155 - $I$2)</f>
        <v/>
      </c>
      <c r="O155">
        <f>(1/K155^2) / ((1/K155^2) + (1/L155^2) + (1/M155^2))</f>
        <v/>
      </c>
      <c r="P155">
        <f>(1/L155^2) / ((1/K155^2) + (1/L155^2) + (1/M155^2))</f>
        <v/>
      </c>
      <c r="Q155">
        <f>(1/M155^2) / ((1/K155^2) + (1/L155^2) + (1/M155^2))</f>
        <v/>
      </c>
      <c r="S155">
        <f>IF(MAX(O155:Q155)=O155, "Murah", IF(MAX(O155:Q155)=P155, "Sedang", "Mahal"))</f>
        <v/>
      </c>
    </row>
    <row r="156">
      <c r="A156" s="6" t="inlineStr">
        <is>
          <t>Kolam Pemancingan &amp; Lesehan Beran Sundeng</t>
        </is>
      </c>
      <c r="B156" s="6" t="n">
        <v>0.08347826086956522</v>
      </c>
      <c r="C156" s="6" t="n">
        <v>0.6674848951649283</v>
      </c>
      <c r="D156" s="6" t="n">
        <v>0.2757187478879059</v>
      </c>
      <c r="K156" s="6">
        <f>ABS(B156 - $G$2)</f>
        <v/>
      </c>
      <c r="L156" s="6">
        <f>ABS(B156 - $H$2)</f>
        <v/>
      </c>
      <c r="M156" s="51">
        <f>ABS(B156 - $I$2)</f>
        <v/>
      </c>
      <c r="N156" s="52" t="n"/>
      <c r="O156">
        <f>(1/K156^2) / ((1/K156^2) + (1/L156^2) + (1/M156^2))</f>
        <v/>
      </c>
      <c r="P156">
        <f>(1/L156^2) / ((1/K156^2) + (1/L156^2) + (1/M156^2))</f>
        <v/>
      </c>
      <c r="Q156">
        <f>(1/M156^2) / ((1/K156^2) + (1/L156^2) + (1/M156^2))</f>
        <v/>
      </c>
      <c r="S156">
        <f>IF(MAX(O156:Q156)=O156, "Murah", IF(MAX(O156:Q156)=P156, "Sedang", "Mahal"))</f>
        <v/>
      </c>
    </row>
    <row r="157">
      <c r="A157" s="6" t="inlineStr">
        <is>
          <t>Bis Wisata Malang (Macito)</t>
        </is>
      </c>
      <c r="B157" s="6" t="n">
        <v>0.05217391304347826</v>
      </c>
      <c r="C157" s="6" t="n">
        <v>0.6587535415291279</v>
      </c>
      <c r="D157" s="6" t="n">
        <v>0.2277191009467614</v>
      </c>
      <c r="K157" s="6">
        <f>ABS(B157 - $G$2)</f>
        <v/>
      </c>
      <c r="L157" s="6">
        <f>ABS(B157 - $H$2)</f>
        <v/>
      </c>
      <c r="M157" s="51">
        <f>ABS(B157 - $I$2)</f>
        <v/>
      </c>
      <c r="O157">
        <f>(1/K157^2) / ((1/K157^2) + (1/L157^2) + (1/M157^2))</f>
        <v/>
      </c>
      <c r="P157">
        <f>(1/L157^2) / ((1/K157^2) + (1/L157^2) + (1/M157^2))</f>
        <v/>
      </c>
      <c r="Q157">
        <f>(1/M157^2) / ((1/K157^2) + (1/L157^2) + (1/M157^2))</f>
        <v/>
      </c>
      <c r="S157">
        <f>IF(MAX(O157:Q157)=O157, "Murah", IF(MAX(O157:Q157)=P157, "Sedang", "Mahal"))</f>
        <v/>
      </c>
    </row>
    <row r="158">
      <c r="A158" s="6" t="inlineStr">
        <is>
          <t>Monumen Melati Kadet Suropati</t>
        </is>
      </c>
      <c r="B158" s="6" t="n">
        <v>0.02608695652173913</v>
      </c>
      <c r="C158" s="6" t="n">
        <v>0.6651179444496502</v>
      </c>
      <c r="D158" s="6" t="n">
        <v>0.2226482006189086</v>
      </c>
      <c r="K158" s="6">
        <f>ABS(B158 - $G$2)</f>
        <v/>
      </c>
      <c r="L158" s="6">
        <f>ABS(B158 - $H$2)</f>
        <v/>
      </c>
      <c r="M158" s="51">
        <f>ABS(B158 - $I$2)</f>
        <v/>
      </c>
      <c r="N158" s="52" t="n"/>
      <c r="O158">
        <f>(1/K158^2) / ((1/K158^2) + (1/L158^2) + (1/M158^2))</f>
        <v/>
      </c>
      <c r="P158">
        <f>(1/L158^2) / ((1/K158^2) + (1/L158^2) + (1/M158^2))</f>
        <v/>
      </c>
      <c r="Q158">
        <f>(1/M158^2) / ((1/K158^2) + (1/L158^2) + (1/M158^2))</f>
        <v/>
      </c>
      <c r="S158">
        <f>IF(MAX(O158:Q158)=O158, "Murah", IF(MAX(O158:Q158)=P158, "Sedang", "Mahal"))</f>
        <v/>
      </c>
    </row>
    <row r="159">
      <c r="A159" s="6" t="inlineStr">
        <is>
          <t>Candi Sumberawan</t>
        </is>
      </c>
      <c r="B159" s="6" t="n">
        <v>0.008695652173913044</v>
      </c>
      <c r="C159" s="6" t="n">
        <v>0.8349435715753848</v>
      </c>
      <c r="D159" s="6" t="n">
        <v>0.2584356838802514</v>
      </c>
      <c r="K159" s="6">
        <f>ABS(B159 - $G$2)</f>
        <v/>
      </c>
      <c r="L159" s="6">
        <f>ABS(B159 - $H$2)</f>
        <v/>
      </c>
      <c r="M159" s="51">
        <f>ABS(B159 - $I$2)</f>
        <v/>
      </c>
      <c r="O159">
        <f>(1/K159^2) / ((1/K159^2) + (1/L159^2) + (1/M159^2))</f>
        <v/>
      </c>
      <c r="P159">
        <f>(1/L159^2) / ((1/K159^2) + (1/L159^2) + (1/M159^2))</f>
        <v/>
      </c>
      <c r="Q159">
        <f>(1/M159^2) / ((1/K159^2) + (1/L159^2) + (1/M159^2))</f>
        <v/>
      </c>
      <c r="S159">
        <f>IF(MAX(O159:Q159)=O159, "Murah", IF(MAX(O159:Q159)=P159, "Sedang", "Mahal"))</f>
        <v/>
      </c>
    </row>
    <row r="160">
      <c r="A160" s="6" t="inlineStr">
        <is>
          <t>Candi Kidal</t>
        </is>
      </c>
      <c r="B160" s="6" t="n">
        <v>0.02608695652173913</v>
      </c>
      <c r="C160" s="6" t="n">
        <v>0.5874074445284516</v>
      </c>
      <c r="D160" s="6" t="n">
        <v>0.3574822706745654</v>
      </c>
      <c r="K160" s="6">
        <f>ABS(B160 - $G$2)</f>
        <v/>
      </c>
      <c r="L160" s="6">
        <f>ABS(B160 - $H$2)</f>
        <v/>
      </c>
      <c r="M160" s="51">
        <f>ABS(B160 - $I$2)</f>
        <v/>
      </c>
      <c r="N160" s="52" t="n"/>
      <c r="O160">
        <f>(1/K160^2) / ((1/K160^2) + (1/L160^2) + (1/M160^2))</f>
        <v/>
      </c>
      <c r="P160">
        <f>(1/L160^2) / ((1/K160^2) + (1/L160^2) + (1/M160^2))</f>
        <v/>
      </c>
      <c r="Q160">
        <f>(1/M160^2) / ((1/K160^2) + (1/L160^2) + (1/M160^2))</f>
        <v/>
      </c>
      <c r="S160">
        <f>IF(MAX(O160:Q160)=O160, "Murah", IF(MAX(O160:Q160)=P160, "Sedang", "Mahal"))</f>
        <v/>
      </c>
    </row>
    <row r="161">
      <c r="A161" s="6" t="inlineStr">
        <is>
          <t>Pantai Banyu Anjlok</t>
        </is>
      </c>
      <c r="B161" s="6" t="n">
        <v>0.008695652173913044</v>
      </c>
      <c r="C161" s="6" t="n">
        <v>0.08442192004078986</v>
      </c>
      <c r="D161" s="6" t="n">
        <v>0.5303467044085918</v>
      </c>
      <c r="K161" s="6">
        <f>ABS(B161 - $G$2)</f>
        <v/>
      </c>
      <c r="L161" s="6">
        <f>ABS(B161 - $H$2)</f>
        <v/>
      </c>
      <c r="M161" s="51">
        <f>ABS(B161 - $I$2)</f>
        <v/>
      </c>
      <c r="O161">
        <f>(1/K161^2) / ((1/K161^2) + (1/L161^2) + (1/M161^2))</f>
        <v/>
      </c>
      <c r="P161">
        <f>(1/L161^2) / ((1/K161^2) + (1/L161^2) + (1/M161^2))</f>
        <v/>
      </c>
      <c r="Q161">
        <f>(1/M161^2) / ((1/K161^2) + (1/L161^2) + (1/M161^2))</f>
        <v/>
      </c>
      <c r="S161">
        <f>IF(MAX(O161:Q161)=O161, "Murah", IF(MAX(O161:Q161)=P161, "Sedang", "Mahal"))</f>
        <v/>
      </c>
    </row>
    <row r="162">
      <c r="A162" s="6" t="inlineStr">
        <is>
          <t>Kampung Semar Malang</t>
        </is>
      </c>
      <c r="B162" s="6" t="n">
        <v>0.1304347826086956</v>
      </c>
      <c r="C162" s="6" t="n">
        <v>0.7282429730469763</v>
      </c>
      <c r="D162" s="6" t="n">
        <v>0.2738506838818033</v>
      </c>
      <c r="K162" s="6">
        <f>ABS(B162 - $G$2)</f>
        <v/>
      </c>
      <c r="L162" s="6">
        <f>ABS(B162 - $H$2)</f>
        <v/>
      </c>
      <c r="M162" s="51">
        <f>ABS(B162 - $I$2)</f>
        <v/>
      </c>
      <c r="N162" s="52" t="n"/>
      <c r="O162">
        <f>(1/K162^2) / ((1/K162^2) + (1/L162^2) + (1/M162^2))</f>
        <v/>
      </c>
      <c r="P162">
        <f>(1/L162^2) / ((1/K162^2) + (1/L162^2) + (1/M162^2))</f>
        <v/>
      </c>
      <c r="Q162">
        <f>(1/M162^2) / ((1/K162^2) + (1/L162^2) + (1/M162^2))</f>
        <v/>
      </c>
      <c r="S162">
        <f>IF(MAX(O162:Q162)=O162, "Murah", IF(MAX(O162:Q162)=P162, "Sedang", "Mahal"))</f>
        <v/>
      </c>
    </row>
    <row r="163">
      <c r="A163" s="6" t="inlineStr">
        <is>
          <t>Coban Putri</t>
        </is>
      </c>
      <c r="B163" s="6" t="n">
        <v>0.01739130434782609</v>
      </c>
      <c r="C163" s="6" t="n">
        <v>0.752706450903022</v>
      </c>
      <c r="D163" s="6" t="n">
        <v>0.08168297352090936</v>
      </c>
      <c r="K163" s="6">
        <f>ABS(B163 - $G$2)</f>
        <v/>
      </c>
      <c r="L163" s="6">
        <f>ABS(B163 - $H$2)</f>
        <v/>
      </c>
      <c r="M163" s="51">
        <f>ABS(B163 - $I$2)</f>
        <v/>
      </c>
      <c r="O163">
        <f>(1/K163^2) / ((1/K163^2) + (1/L163^2) + (1/M163^2))</f>
        <v/>
      </c>
      <c r="P163">
        <f>(1/L163^2) / ((1/K163^2) + (1/L163^2) + (1/M163^2))</f>
        <v/>
      </c>
      <c r="Q163">
        <f>(1/M163^2) / ((1/K163^2) + (1/L163^2) + (1/M163^2))</f>
        <v/>
      </c>
      <c r="S163">
        <f>IF(MAX(O163:Q163)=O163, "Murah", IF(MAX(O163:Q163)=P163, "Sedang", "Mahal"))</f>
        <v/>
      </c>
    </row>
    <row r="164">
      <c r="A164" s="6" t="inlineStr">
        <is>
          <t>Healing Tour Malang</t>
        </is>
      </c>
      <c r="B164" s="6" t="n">
        <v>0.03130434782608696</v>
      </c>
      <c r="C164" s="6" t="n">
        <v>0.7142383814966777</v>
      </c>
      <c r="D164" s="6" t="n">
        <v>0.2376704843726907</v>
      </c>
      <c r="K164" s="6">
        <f>ABS(B164 - $G$2)</f>
        <v/>
      </c>
      <c r="L164" s="6">
        <f>ABS(B164 - $H$2)</f>
        <v/>
      </c>
      <c r="M164" s="51">
        <f>ABS(B164 - $I$2)</f>
        <v/>
      </c>
      <c r="N164" s="52" t="n"/>
      <c r="O164">
        <f>(1/K164^2) / ((1/K164^2) + (1/L164^2) + (1/M164^2))</f>
        <v/>
      </c>
      <c r="P164">
        <f>(1/L164^2) / ((1/K164^2) + (1/L164^2) + (1/M164^2))</f>
        <v/>
      </c>
      <c r="Q164">
        <f>(1/M164^2) / ((1/K164^2) + (1/L164^2) + (1/M164^2))</f>
        <v/>
      </c>
      <c r="S164">
        <f>IF(MAX(O164:Q164)=O164, "Murah", IF(MAX(O164:Q164)=P164, "Sedang", "Mahal"))</f>
        <v/>
      </c>
    </row>
    <row r="165">
      <c r="A165" s="6" t="inlineStr">
        <is>
          <t>Museum Brawijaya</t>
        </is>
      </c>
      <c r="B165" s="6" t="n">
        <v>0.008695652173913044</v>
      </c>
      <c r="C165" s="6" t="n">
        <v>0.6653535500992472</v>
      </c>
      <c r="D165" s="6" t="n">
        <v>0.2220351312073487</v>
      </c>
      <c r="K165" s="6">
        <f>ABS(B165 - $G$2)</f>
        <v/>
      </c>
      <c r="L165" s="6">
        <f>ABS(B165 - $H$2)</f>
        <v/>
      </c>
      <c r="M165" s="51">
        <f>ABS(B165 - $I$2)</f>
        <v/>
      </c>
      <c r="O165">
        <f>(1/K165^2) / ((1/K165^2) + (1/L165^2) + (1/M165^2))</f>
        <v/>
      </c>
      <c r="P165">
        <f>(1/L165^2) / ((1/K165^2) + (1/L165^2) + (1/M165^2))</f>
        <v/>
      </c>
      <c r="Q165">
        <f>(1/M165^2) / ((1/K165^2) + (1/L165^2) + (1/M165^2))</f>
        <v/>
      </c>
      <c r="S165">
        <f>IF(MAX(O165:Q165)=O165, "Murah", IF(MAX(O165:Q165)=P165, "Sedang", "Mahal"))</f>
        <v/>
      </c>
    </row>
    <row r="166">
      <c r="A166" s="6" t="inlineStr">
        <is>
          <t>Khayangan Reflexology Malang</t>
        </is>
      </c>
      <c r="B166" s="6" t="n">
        <v>0.2695652173913043</v>
      </c>
      <c r="C166" s="6" t="n">
        <v>0.6618197558678087</v>
      </c>
      <c r="D166" s="6" t="n">
        <v>0.225847179217191</v>
      </c>
      <c r="K166" s="6">
        <f>ABS(B166 - $G$2)</f>
        <v/>
      </c>
      <c r="L166" s="6">
        <f>ABS(B166 - $H$2)</f>
        <v/>
      </c>
      <c r="M166" s="51">
        <f>ABS(B166 - $I$2)</f>
        <v/>
      </c>
      <c r="N166" s="52" t="n"/>
      <c r="O166">
        <f>(1/K166^2) / ((1/K166^2) + (1/L166^2) + (1/M166^2))</f>
        <v/>
      </c>
      <c r="P166">
        <f>(1/L166^2) / ((1/K166^2) + (1/L166^2) + (1/M166^2))</f>
        <v/>
      </c>
      <c r="Q166">
        <f>(1/M166^2) / ((1/K166^2) + (1/L166^2) + (1/M166^2))</f>
        <v/>
      </c>
      <c r="S166">
        <f>IF(MAX(O166:Q166)=O166, "Murah", IF(MAX(O166:Q166)=P166, "Sedang", "Mahal"))</f>
        <v/>
      </c>
    </row>
    <row r="167">
      <c r="A167" s="6" t="inlineStr">
        <is>
          <t>Havanna Reflexology Malang</t>
        </is>
      </c>
      <c r="B167" s="6" t="n">
        <v>0.3139130434782609</v>
      </c>
      <c r="C167" s="6" t="n">
        <v>0.6626918744375861</v>
      </c>
      <c r="D167" s="6" t="n">
        <v>0.1914927630651186</v>
      </c>
      <c r="K167" s="6">
        <f>ABS(B167 - $G$2)</f>
        <v/>
      </c>
      <c r="L167" s="6">
        <f>ABS(B167 - $H$2)</f>
        <v/>
      </c>
      <c r="M167" s="51">
        <f>ABS(B167 - $I$2)</f>
        <v/>
      </c>
      <c r="O167">
        <f>(1/K167^2) / ((1/K167^2) + (1/L167^2) + (1/M167^2))</f>
        <v/>
      </c>
      <c r="P167">
        <f>(1/L167^2) / ((1/K167^2) + (1/L167^2) + (1/M167^2))</f>
        <v/>
      </c>
      <c r="Q167">
        <f>(1/M167^2) / ((1/K167^2) + (1/L167^2) + (1/M167^2))</f>
        <v/>
      </c>
      <c r="S167">
        <f>IF(MAX(O167:Q167)=O167, "Murah", IF(MAX(O167:Q167)=P167, "Sedang", "Mahal"))</f>
        <v/>
      </c>
    </row>
    <row r="168">
      <c r="A168" s="6" t="inlineStr">
        <is>
          <t>RELAXING Reflexology Massage Shiatsu</t>
        </is>
      </c>
      <c r="B168" s="6" t="n">
        <v>0.09565217391304348</v>
      </c>
      <c r="C168" s="6" t="n">
        <v>0.6586826564754883</v>
      </c>
      <c r="D168" s="6" t="n">
        <v>0.2360679860492464</v>
      </c>
      <c r="K168" s="6">
        <f>ABS(B168 - $G$2)</f>
        <v/>
      </c>
      <c r="L168" s="6">
        <f>ABS(B168 - $H$2)</f>
        <v/>
      </c>
      <c r="M168" s="51">
        <f>ABS(B168 - $I$2)</f>
        <v/>
      </c>
      <c r="N168" s="52" t="n"/>
      <c r="O168">
        <f>(1/K168^2) / ((1/K168^2) + (1/L168^2) + (1/M168^2))</f>
        <v/>
      </c>
      <c r="P168">
        <f>(1/L168^2) / ((1/K168^2) + (1/L168^2) + (1/M168^2))</f>
        <v/>
      </c>
      <c r="Q168">
        <f>(1/M168^2) / ((1/K168^2) + (1/L168^2) + (1/M168^2))</f>
        <v/>
      </c>
      <c r="S168">
        <f>IF(MAX(O168:Q168)=O168, "Murah", IF(MAX(O168:Q168)=P168, "Sedang", "Mahal"))</f>
        <v/>
      </c>
    </row>
    <row r="169">
      <c r="A169" s="6" t="inlineStr">
        <is>
          <t>Queen's Family Reflexology</t>
        </is>
      </c>
      <c r="B169" s="6" t="n">
        <v>0.1304347826086956</v>
      </c>
      <c r="C169" s="6" t="n">
        <v>0.6571099669759911</v>
      </c>
      <c r="D169" s="6" t="n">
        <v>0.2262448333509977</v>
      </c>
      <c r="K169" s="6">
        <f>ABS(B169 - $G$2)</f>
        <v/>
      </c>
      <c r="L169" s="6">
        <f>ABS(B169 - $H$2)</f>
        <v/>
      </c>
      <c r="M169" s="51">
        <f>ABS(B169 - $I$2)</f>
        <v/>
      </c>
      <c r="O169">
        <f>(1/K169^2) / ((1/K169^2) + (1/L169^2) + (1/M169^2))</f>
        <v/>
      </c>
      <c r="P169">
        <f>(1/L169^2) / ((1/K169^2) + (1/L169^2) + (1/M169^2))</f>
        <v/>
      </c>
      <c r="Q169">
        <f>(1/M169^2) / ((1/K169^2) + (1/L169^2) + (1/M169^2))</f>
        <v/>
      </c>
      <c r="S169">
        <f>IF(MAX(O169:Q169)=O169, "Murah", IF(MAX(O169:Q169)=P169, "Sedang", "Mahal"))</f>
        <v/>
      </c>
    </row>
    <row r="170">
      <c r="A170" s="6" t="inlineStr">
        <is>
          <t>De WAVE Family Massage, Reflexology &amp; Beauty Bar Malang</t>
        </is>
      </c>
      <c r="B170" s="6" t="n">
        <v>0.1043478260869565</v>
      </c>
      <c r="C170" s="6" t="n">
        <v>0.6751147706004244</v>
      </c>
      <c r="D170" s="6" t="n">
        <v>0.1791840019899795</v>
      </c>
      <c r="K170" s="6">
        <f>ABS(B170 - $G$2)</f>
        <v/>
      </c>
      <c r="L170" s="6">
        <f>ABS(B170 - $H$2)</f>
        <v/>
      </c>
      <c r="M170" s="51">
        <f>ABS(B170 - $I$2)</f>
        <v/>
      </c>
      <c r="N170" s="52" t="n"/>
      <c r="O170">
        <f>(1/K170^2) / ((1/K170^2) + (1/L170^2) + (1/M170^2))</f>
        <v/>
      </c>
      <c r="P170">
        <f>(1/L170^2) / ((1/K170^2) + (1/L170^2) + (1/M170^2))</f>
        <v/>
      </c>
      <c r="Q170">
        <f>(1/M170^2) / ((1/K170^2) + (1/L170^2) + (1/M170^2))</f>
        <v/>
      </c>
      <c r="S170">
        <f>IF(MAX(O170:Q170)=O170, "Murah", IF(MAX(O170:Q170)=P170, "Sedang", "Mahal"))</f>
        <v/>
      </c>
    </row>
    <row r="171">
      <c r="A171" s="6" t="inlineStr">
        <is>
          <t>Akira Reflexology - Pijat Malang dan Home Service Massage</t>
        </is>
      </c>
      <c r="B171" s="6" t="n">
        <v>0.1304347826086956</v>
      </c>
      <c r="C171" s="6" t="n">
        <v>0.7107673379684616</v>
      </c>
      <c r="D171" s="6" t="n">
        <v>0.2826180548247463</v>
      </c>
      <c r="K171" s="6">
        <f>ABS(B171 - $G$2)</f>
        <v/>
      </c>
      <c r="L171" s="6">
        <f>ABS(B171 - $H$2)</f>
        <v/>
      </c>
      <c r="M171" s="51">
        <f>ABS(B171 - $I$2)</f>
        <v/>
      </c>
      <c r="O171">
        <f>(1/K171^2) / ((1/K171^2) + (1/L171^2) + (1/M171^2))</f>
        <v/>
      </c>
      <c r="P171">
        <f>(1/L171^2) / ((1/K171^2) + (1/L171^2) + (1/M171^2))</f>
        <v/>
      </c>
      <c r="Q171">
        <f>(1/M171^2) / ((1/K171^2) + (1/L171^2) + (1/M171^2))</f>
        <v/>
      </c>
      <c r="S171">
        <f>IF(MAX(O171:Q171)=O171, "Murah", IF(MAX(O171:Q171)=P171, "Sedang", "Mahal"))</f>
        <v/>
      </c>
    </row>
    <row r="172">
      <c r="A172" s="6" t="inlineStr">
        <is>
          <t>Wisata Sumber Air " DAM COKRO " Lowoksari</t>
        </is>
      </c>
      <c r="B172" s="6" t="n">
        <v>0.005217391304347826</v>
      </c>
      <c r="C172" s="6" t="n">
        <v>0.7700270975548292</v>
      </c>
      <c r="D172" s="6" t="n">
        <v>0.2262749235939408</v>
      </c>
      <c r="K172" s="6">
        <f>ABS(B172 - $G$2)</f>
        <v/>
      </c>
      <c r="L172" s="6">
        <f>ABS(B172 - $H$2)</f>
        <v/>
      </c>
      <c r="M172" s="51">
        <f>ABS(B172 - $I$2)</f>
        <v/>
      </c>
      <c r="N172" s="52" t="n"/>
      <c r="O172">
        <f>(1/K172^2) / ((1/K172^2) + (1/L172^2) + (1/M172^2))</f>
        <v/>
      </c>
      <c r="P172">
        <f>(1/L172^2) / ((1/K172^2) + (1/L172^2) + (1/M172^2))</f>
        <v/>
      </c>
      <c r="Q172">
        <f>(1/M172^2) / ((1/K172^2) + (1/L172^2) + (1/M172^2))</f>
        <v/>
      </c>
      <c r="S172">
        <f>IF(MAX(O172:Q172)=O172, "Murah", IF(MAX(O172:Q172)=P172, "Sedang", "Mahal"))</f>
        <v/>
      </c>
    </row>
    <row r="173">
      <c r="A173" s="6" t="inlineStr">
        <is>
          <t>New Wisata Wendit by Nicole’s</t>
        </is>
      </c>
      <c r="B173" s="6" t="n">
        <v>0.1217391304347826</v>
      </c>
      <c r="C173" s="6" t="n">
        <v>0.6936429325204796</v>
      </c>
      <c r="D173" s="6" t="n">
        <v>0.3042123562573802</v>
      </c>
      <c r="K173" s="6">
        <f>ABS(B173 - $G$2)</f>
        <v/>
      </c>
      <c r="L173" s="6">
        <f>ABS(B173 - $H$2)</f>
        <v/>
      </c>
      <c r="M173" s="51">
        <f>ABS(B173 - $I$2)</f>
        <v/>
      </c>
      <c r="O173">
        <f>(1/K173^2) / ((1/K173^2) + (1/L173^2) + (1/M173^2))</f>
        <v/>
      </c>
      <c r="P173">
        <f>(1/L173^2) / ((1/K173^2) + (1/L173^2) + (1/M173^2))</f>
        <v/>
      </c>
      <c r="Q173">
        <f>(1/M173^2) / ((1/K173^2) + (1/L173^2) + (1/M173^2))</f>
        <v/>
      </c>
      <c r="S173">
        <f>IF(MAX(O173:Q173)=O173, "Murah", IF(MAX(O173:Q173)=P173, "Sedang", "Mahal"))</f>
        <v/>
      </c>
    </row>
    <row r="174">
      <c r="A174" s="6" t="inlineStr">
        <is>
          <t>Tirta Nirwana Songgoriti</t>
        </is>
      </c>
      <c r="B174" s="6" t="n">
        <v>0.02608695652173913</v>
      </c>
      <c r="C174" s="6" t="n">
        <v>0.8198749779392067</v>
      </c>
      <c r="D174" s="6" t="n">
        <v>0.02458573450900572</v>
      </c>
      <c r="K174" s="6">
        <f>ABS(B174 - $G$2)</f>
        <v/>
      </c>
      <c r="L174" s="6">
        <f>ABS(B174 - $H$2)</f>
        <v/>
      </c>
      <c r="M174" s="51">
        <f>ABS(B174 - $I$2)</f>
        <v/>
      </c>
      <c r="N174" s="52" t="n"/>
      <c r="O174">
        <f>(1/K174^2) / ((1/K174^2) + (1/L174^2) + (1/M174^2))</f>
        <v/>
      </c>
      <c r="P174">
        <f>(1/L174^2) / ((1/K174^2) + (1/L174^2) + (1/M174^2))</f>
        <v/>
      </c>
      <c r="Q174">
        <f>(1/M174^2) / ((1/K174^2) + (1/L174^2) + (1/M174^2))</f>
        <v/>
      </c>
      <c r="S174">
        <f>IF(MAX(O174:Q174)=O174, "Murah", IF(MAX(O174:Q174)=P174, "Sedang", "Mahal"))</f>
        <v/>
      </c>
    </row>
    <row r="175">
      <c r="A175" s="6" t="inlineStr">
        <is>
          <t>Pemandian Belakang Wendit Wakaf</t>
        </is>
      </c>
      <c r="B175" s="6" t="n">
        <v>0.06086956521739131</v>
      </c>
      <c r="C175" s="6" t="n">
        <v>0.6897252260005802</v>
      </c>
      <c r="D175" s="6" t="n">
        <v>0.3037847661895595</v>
      </c>
      <c r="K175" s="6">
        <f>ABS(B175 - $G$2)</f>
        <v/>
      </c>
      <c r="L175" s="6">
        <f>ABS(B175 - $H$2)</f>
        <v/>
      </c>
      <c r="M175" s="51">
        <f>ABS(B175 - $I$2)</f>
        <v/>
      </c>
      <c r="O175">
        <f>(1/K175^2) / ((1/K175^2) + (1/L175^2) + (1/M175^2))</f>
        <v/>
      </c>
      <c r="P175">
        <f>(1/L175^2) / ((1/K175^2) + (1/L175^2) + (1/M175^2))</f>
        <v/>
      </c>
      <c r="Q175">
        <f>(1/M175^2) / ((1/K175^2) + (1/L175^2) + (1/M175^2))</f>
        <v/>
      </c>
      <c r="S175">
        <f>IF(MAX(O175:Q175)=O175, "Murah", IF(MAX(O175:Q175)=P175, "Sedang", "Mahal"))</f>
        <v/>
      </c>
    </row>
    <row r="176">
      <c r="A176" s="6" t="inlineStr">
        <is>
          <t>Sumber Air Ngembul</t>
        </is>
      </c>
      <c r="B176" s="6" t="n">
        <v>0.01739130434782609</v>
      </c>
      <c r="C176" s="6" t="n">
        <v>0.5400955931430327</v>
      </c>
      <c r="D176" s="6" t="n">
        <v>0.3062517031849151</v>
      </c>
      <c r="K176" s="6">
        <f>ABS(B176 - $G$2)</f>
        <v/>
      </c>
      <c r="L176" s="6">
        <f>ABS(B176 - $H$2)</f>
        <v/>
      </c>
      <c r="M176" s="51">
        <f>ABS(B176 - $I$2)</f>
        <v/>
      </c>
      <c r="N176" s="52" t="n"/>
      <c r="O176">
        <f>(1/K176^2) / ((1/K176^2) + (1/L176^2) + (1/M176^2))</f>
        <v/>
      </c>
      <c r="P176">
        <f>(1/L176^2) / ((1/K176^2) + (1/L176^2) + (1/M176^2))</f>
        <v/>
      </c>
      <c r="Q176">
        <f>(1/M176^2) / ((1/K176^2) + (1/L176^2) + (1/M176^2))</f>
        <v/>
      </c>
      <c r="S176">
        <f>IF(MAX(O176:Q176)=O176, "Murah", IF(MAX(O176:Q176)=P176, "Sedang", "Mahal"))</f>
        <v/>
      </c>
    </row>
    <row r="177">
      <c r="A177" s="6" t="inlineStr">
        <is>
          <t>Coban rondo malang jawa timur</t>
        </is>
      </c>
      <c r="B177" s="6" t="n">
        <v>0.06086956521739131</v>
      </c>
      <c r="C177" s="6" t="n">
        <v>0.7919276740042874</v>
      </c>
      <c r="D177" s="6" t="n">
        <v>0</v>
      </c>
      <c r="K177" s="6">
        <f>ABS(B177 - $G$2)</f>
        <v/>
      </c>
      <c r="L177" s="6">
        <f>ABS(B177 - $H$2)</f>
        <v/>
      </c>
      <c r="M177" s="51">
        <f>ABS(B177 - $I$2)</f>
        <v/>
      </c>
      <c r="O177">
        <f>(1/K177^2) / ((1/K177^2) + (1/L177^2) + (1/M177^2))</f>
        <v/>
      </c>
      <c r="P177">
        <f>(1/L177^2) / ((1/K177^2) + (1/L177^2) + (1/M177^2))</f>
        <v/>
      </c>
      <c r="Q177">
        <f>(1/M177^2) / ((1/K177^2) + (1/L177^2) + (1/M177^2))</f>
        <v/>
      </c>
      <c r="S177">
        <f>IF(MAX(O177:Q177)=O177, "Murah", IF(MAX(O177:Q177)=P177, "Sedang", "Mahal"))</f>
        <v/>
      </c>
    </row>
    <row r="178">
      <c r="A178" s="6" t="inlineStr">
        <is>
          <t>Bonderland Waterpark</t>
        </is>
      </c>
      <c r="B178" s="6" t="n">
        <v>0.05217391304347826</v>
      </c>
      <c r="C178" s="6" t="n">
        <v>0.5531404766003073</v>
      </c>
      <c r="D178" s="6" t="n">
        <v>0.1670954397696796</v>
      </c>
      <c r="K178" s="6">
        <f>ABS(B178 - $G$2)</f>
        <v/>
      </c>
      <c r="L178" s="6">
        <f>ABS(B178 - $H$2)</f>
        <v/>
      </c>
      <c r="M178" s="51">
        <f>ABS(B178 - $I$2)</f>
        <v/>
      </c>
      <c r="N178" s="52" t="n"/>
      <c r="O178">
        <f>(1/K178^2) / ((1/K178^2) + (1/L178^2) + (1/M178^2))</f>
        <v/>
      </c>
      <c r="P178">
        <f>(1/L178^2) / ((1/K178^2) + (1/L178^2) + (1/M178^2))</f>
        <v/>
      </c>
      <c r="Q178">
        <f>(1/M178^2) / ((1/K178^2) + (1/L178^2) + (1/M178^2))</f>
        <v/>
      </c>
      <c r="S178">
        <f>IF(MAX(O178:Q178)=O178, "Murah", IF(MAX(O178:Q178)=P178, "Sedang", "Mahal"))</f>
        <v/>
      </c>
    </row>
    <row r="179">
      <c r="A179" s="6" t="inlineStr">
        <is>
          <t>Kusuma Waterpark</t>
        </is>
      </c>
      <c r="B179" s="6" t="n">
        <v>0.04347826086956522</v>
      </c>
      <c r="C179" s="6" t="n">
        <v>0.7968075579735893</v>
      </c>
      <c r="D179" s="6" t="n">
        <v>0.02277754237093113</v>
      </c>
      <c r="K179" s="6">
        <f>ABS(B179 - $G$2)</f>
        <v/>
      </c>
      <c r="L179" s="6">
        <f>ABS(B179 - $H$2)</f>
        <v/>
      </c>
      <c r="M179" s="51">
        <f>ABS(B179 - $I$2)</f>
        <v/>
      </c>
      <c r="O179">
        <f>(1/K179^2) / ((1/K179^2) + (1/L179^2) + (1/M179^2))</f>
        <v/>
      </c>
      <c r="P179">
        <f>(1/L179^2) / ((1/K179^2) + (1/L179^2) + (1/M179^2))</f>
        <v/>
      </c>
      <c r="Q179">
        <f>(1/M179^2) / ((1/K179^2) + (1/L179^2) + (1/M179^2))</f>
        <v/>
      </c>
      <c r="S179">
        <f>IF(MAX(O179:Q179)=O179, "Murah", IF(MAX(O179:Q179)=P179, "Sedang", "Mahal"))</f>
        <v/>
      </c>
    </row>
    <row r="180">
      <c r="A180" s="6" t="inlineStr">
        <is>
          <t>WISATA AIR MADYOPURO</t>
        </is>
      </c>
      <c r="B180" s="6" t="n">
        <v>0.03478260869565217</v>
      </c>
      <c r="C180" s="6" t="n">
        <v>0.658587223114339</v>
      </c>
      <c r="D180" s="6" t="n">
        <v>0.2742497267960373</v>
      </c>
      <c r="K180" s="6">
        <f>ABS(B180 - $G$2)</f>
        <v/>
      </c>
      <c r="L180" s="6">
        <f>ABS(B180 - $H$2)</f>
        <v/>
      </c>
      <c r="M180" s="51">
        <f>ABS(B180 - $I$2)</f>
        <v/>
      </c>
      <c r="N180" s="52" t="n"/>
      <c r="O180">
        <f>(1/K180^2) / ((1/K180^2) + (1/L180^2) + (1/M180^2))</f>
        <v/>
      </c>
      <c r="P180">
        <f>(1/L180^2) / ((1/K180^2) + (1/L180^2) + (1/M180^2))</f>
        <v/>
      </c>
      <c r="Q180">
        <f>(1/M180^2) / ((1/K180^2) + (1/L180^2) + (1/M180^2))</f>
        <v/>
      </c>
      <c r="S180">
        <f>IF(MAX(O180:Q180)=O180, "Murah", IF(MAX(O180:Q180)=P180, "Sedang", "Mahal"))</f>
        <v/>
      </c>
    </row>
    <row r="181">
      <c r="A181" s="6" t="inlineStr">
        <is>
          <t>Pemandian Air Panas Cangar</t>
        </is>
      </c>
      <c r="B181" s="6" t="n">
        <v>0.02608695652173913</v>
      </c>
      <c r="C181" s="6" t="n">
        <v>1</v>
      </c>
      <c r="D181" s="6" t="n">
        <v>0.05285652077169332</v>
      </c>
      <c r="K181" s="6">
        <f>ABS(B181 - $G$2)</f>
        <v/>
      </c>
      <c r="L181" s="6">
        <f>ABS(B181 - $H$2)</f>
        <v/>
      </c>
      <c r="M181" s="51">
        <f>ABS(B181 - $I$2)</f>
        <v/>
      </c>
      <c r="O181">
        <f>(1/K181^2) / ((1/K181^2) + (1/L181^2) + (1/M181^2))</f>
        <v/>
      </c>
      <c r="P181">
        <f>(1/L181^2) / ((1/K181^2) + (1/L181^2) + (1/M181^2))</f>
        <v/>
      </c>
      <c r="Q181">
        <f>(1/M181^2) / ((1/K181^2) + (1/L181^2) + (1/M181^2))</f>
        <v/>
      </c>
      <c r="S181">
        <f>IF(MAX(O181:Q181)=O181, "Murah", IF(MAX(O181:Q181)=P181, "Sedang", "Mahal"))</f>
        <v/>
      </c>
    </row>
    <row r="182">
      <c r="A182" s="6" t="inlineStr">
        <is>
          <t>Kolam Renang Pentungan Sari</t>
        </is>
      </c>
      <c r="B182" s="6" t="n">
        <v>0.01391304347826087</v>
      </c>
      <c r="C182" s="6" t="n">
        <v>0.8400892744958345</v>
      </c>
      <c r="D182" s="6" t="n">
        <v>0.2444451096874381</v>
      </c>
      <c r="K182" s="6">
        <f>ABS(B182 - $G$2)</f>
        <v/>
      </c>
      <c r="L182" s="6">
        <f>ABS(B182 - $H$2)</f>
        <v/>
      </c>
      <c r="M182" s="51">
        <f>ABS(B182 - $I$2)</f>
        <v/>
      </c>
      <c r="N182" s="52" t="n"/>
      <c r="O182">
        <f>(1/K182^2) / ((1/K182^2) + (1/L182^2) + (1/M182^2))</f>
        <v/>
      </c>
      <c r="P182">
        <f>(1/L182^2) / ((1/K182^2) + (1/L182^2) + (1/M182^2))</f>
        <v/>
      </c>
      <c r="Q182">
        <f>(1/M182^2) / ((1/K182^2) + (1/L182^2) + (1/M182^2))</f>
        <v/>
      </c>
      <c r="S182">
        <f>IF(MAX(O182:Q182)=O182, "Murah", IF(MAX(O182:Q182)=P182, "Sedang", "Mahal"))</f>
        <v/>
      </c>
    </row>
    <row r="183">
      <c r="A183" s="6" t="inlineStr">
        <is>
          <t>Coban Baung ꦕꦺꦴꦧꦤ꧀ꦧꦈꦁ</t>
        </is>
      </c>
      <c r="B183" s="6" t="n">
        <v>0.008695652173913044</v>
      </c>
      <c r="C183" s="6" t="n">
        <v>0.5781292010833209</v>
      </c>
      <c r="D183" s="6" t="n">
        <v>0</v>
      </c>
      <c r="K183" s="6">
        <f>ABS(B183 - $G$2)</f>
        <v/>
      </c>
      <c r="L183" s="6">
        <f>ABS(B183 - $H$2)</f>
        <v/>
      </c>
      <c r="M183" s="51">
        <f>ABS(B183 - $I$2)</f>
        <v/>
      </c>
      <c r="O183">
        <f>(1/K183^2) / ((1/K183^2) + (1/L183^2) + (1/M183^2))</f>
        <v/>
      </c>
      <c r="P183">
        <f>(1/L183^2) / ((1/K183^2) + (1/L183^2) + (1/M183^2))</f>
        <v/>
      </c>
      <c r="Q183">
        <f>(1/M183^2) / ((1/K183^2) + (1/L183^2) + (1/M183^2))</f>
        <v/>
      </c>
      <c r="S183">
        <f>IF(MAX(O183:Q183)=O183, "Murah", IF(MAX(O183:Q183)=P183, "Sedang", "Mahal"))</f>
        <v/>
      </c>
    </row>
    <row r="184">
      <c r="A184" s="6" t="inlineStr">
        <is>
          <t>Sumber Mata Air Tambakrejo</t>
        </is>
      </c>
      <c r="B184" s="6" t="n">
        <v>0.008695652173913044</v>
      </c>
      <c r="C184" s="6" t="n">
        <v>0.5416101801395488</v>
      </c>
      <c r="D184" s="6" t="n">
        <v>0.1575375441362092</v>
      </c>
      <c r="K184" s="6">
        <f>ABS(B184 - $G$2)</f>
        <v/>
      </c>
      <c r="L184" s="6">
        <f>ABS(B184 - $H$2)</f>
        <v/>
      </c>
      <c r="M184" s="51">
        <f>ABS(B184 - $I$2)</f>
        <v/>
      </c>
      <c r="N184" s="52" t="n"/>
      <c r="O184">
        <f>(1/K184^2) / ((1/K184^2) + (1/L184^2) + (1/M184^2))</f>
        <v/>
      </c>
      <c r="P184">
        <f>(1/L184^2) / ((1/K184^2) + (1/L184^2) + (1/M184^2))</f>
        <v/>
      </c>
      <c r="Q184">
        <f>(1/M184^2) / ((1/K184^2) + (1/L184^2) + (1/M184^2))</f>
        <v/>
      </c>
      <c r="S184">
        <f>IF(MAX(O184:Q184)=O184, "Murah", IF(MAX(O184:Q184)=P184, "Sedang", "Mahal"))</f>
        <v/>
      </c>
    </row>
    <row r="185">
      <c r="A185" s="6" t="inlineStr">
        <is>
          <t>Wisata Air PLPBK Sukun</t>
        </is>
      </c>
      <c r="B185" s="6" t="n">
        <v>0.03478260869565217</v>
      </c>
      <c r="C185" s="6" t="n">
        <v>0.6294014643283317</v>
      </c>
      <c r="D185" s="6" t="n">
        <v>0.1374153499742224</v>
      </c>
      <c r="K185" s="6">
        <f>ABS(B185 - $G$2)</f>
        <v/>
      </c>
      <c r="L185" s="6">
        <f>ABS(B185 - $H$2)</f>
        <v/>
      </c>
      <c r="M185" s="51">
        <f>ABS(B185 - $I$2)</f>
        <v/>
      </c>
      <c r="O185">
        <f>(1/K185^2) / ((1/K185^2) + (1/L185^2) + (1/M185^2))</f>
        <v/>
      </c>
      <c r="P185">
        <f>(1/L185^2) / ((1/K185^2) + (1/L185^2) + (1/M185^2))</f>
        <v/>
      </c>
      <c r="Q185">
        <f>(1/M185^2) / ((1/K185^2) + (1/L185^2) + (1/M185^2))</f>
        <v/>
      </c>
      <c r="S185">
        <f>IF(MAX(O185:Q185)=O185, "Murah", IF(MAX(O185:Q185)=P185, "Sedang", "Mahal"))</f>
        <v/>
      </c>
    </row>
    <row r="186">
      <c r="A186" s="6" t="inlineStr">
        <is>
          <t>Jalan ke Wisata Air Terjun Coban Jahe Malang</t>
        </is>
      </c>
      <c r="B186" s="6" t="n">
        <v>0.02086956521739131</v>
      </c>
      <c r="C186" s="6" t="n">
        <v>0.659261938430231</v>
      </c>
      <c r="D186" s="6" t="n">
        <v>0.3371978978184653</v>
      </c>
      <c r="K186" s="6">
        <f>ABS(B186 - $G$2)</f>
        <v/>
      </c>
      <c r="L186" s="6">
        <f>ABS(B186 - $H$2)</f>
        <v/>
      </c>
      <c r="M186" s="51">
        <f>ABS(B186 - $I$2)</f>
        <v/>
      </c>
      <c r="N186" s="52" t="n"/>
      <c r="O186">
        <f>(1/K186^2) / ((1/K186^2) + (1/L186^2) + (1/M186^2))</f>
        <v/>
      </c>
      <c r="P186">
        <f>(1/L186^2) / ((1/K186^2) + (1/L186^2) + (1/M186^2))</f>
        <v/>
      </c>
      <c r="Q186">
        <f>(1/M186^2) / ((1/K186^2) + (1/L186^2) + (1/M186^2))</f>
        <v/>
      </c>
      <c r="S186">
        <f>IF(MAX(O186:Q186)=O186, "Murah", IF(MAX(O186:Q186)=P186, "Sedang", "Mahal"))</f>
        <v/>
      </c>
    </row>
    <row r="187">
      <c r="A187" s="6" t="inlineStr">
        <is>
          <t>SUMBER MATA AIR PUNDEN BELIK KURUNG</t>
        </is>
      </c>
      <c r="B187" s="6" t="n">
        <v>0.008695652173913044</v>
      </c>
      <c r="C187" s="6" t="n">
        <v>0.5220522966103734</v>
      </c>
      <c r="D187" s="6" t="n">
        <v>0.09461097636512163</v>
      </c>
      <c r="K187" s="6">
        <f>ABS(B187 - $G$2)</f>
        <v/>
      </c>
      <c r="L187" s="6">
        <f>ABS(B187 - $H$2)</f>
        <v/>
      </c>
      <c r="M187" s="51">
        <f>ABS(B187 - $I$2)</f>
        <v/>
      </c>
      <c r="O187">
        <f>(1/K187^2) / ((1/K187^2) + (1/L187^2) + (1/M187^2))</f>
        <v/>
      </c>
      <c r="P187">
        <f>(1/L187^2) / ((1/K187^2) + (1/L187^2) + (1/M187^2))</f>
        <v/>
      </c>
      <c r="Q187">
        <f>(1/M187^2) / ((1/K187^2) + (1/L187^2) + (1/M187^2))</f>
        <v/>
      </c>
      <c r="S187">
        <f>IF(MAX(O187:Q187)=O187, "Murah", IF(MAX(O187:Q187)=P187, "Sedang", "Mahal"))</f>
        <v/>
      </c>
    </row>
    <row r="188">
      <c r="A188" s="6" t="inlineStr">
        <is>
          <t>WISATA AIR SUMBER UMBULAN</t>
        </is>
      </c>
      <c r="B188" s="6" t="n">
        <v>0.008695652173913044</v>
      </c>
      <c r="C188" s="6" t="n">
        <v>0.5548742552893269</v>
      </c>
      <c r="D188" s="6" t="n">
        <v>0</v>
      </c>
      <c r="K188" s="6">
        <f>ABS(B188 - $G$2)</f>
        <v/>
      </c>
      <c r="L188" s="6">
        <f>ABS(B188 - $H$2)</f>
        <v/>
      </c>
      <c r="M188" s="51">
        <f>ABS(B188 - $I$2)</f>
        <v/>
      </c>
      <c r="N188" s="52" t="n"/>
      <c r="O188">
        <f>(1/K188^2) / ((1/K188^2) + (1/L188^2) + (1/M188^2))</f>
        <v/>
      </c>
      <c r="P188">
        <f>(1/L188^2) / ((1/K188^2) + (1/L188^2) + (1/M188^2))</f>
        <v/>
      </c>
      <c r="Q188">
        <f>(1/M188^2) / ((1/K188^2) + (1/L188^2) + (1/M188^2))</f>
        <v/>
      </c>
      <c r="S188">
        <f>IF(MAX(O188:Q188)=O188, "Murah", IF(MAX(O188:Q188)=P188, "Sedang", "Mahal"))</f>
        <v/>
      </c>
    </row>
    <row r="189">
      <c r="A189" s="6" t="inlineStr">
        <is>
          <t>Wisata Air Sumber Jenon</t>
        </is>
      </c>
      <c r="B189" s="6" t="n">
        <v>0.01739130434782609</v>
      </c>
      <c r="C189" s="6" t="n">
        <v>0.5515205788171343</v>
      </c>
      <c r="D189" s="6" t="n">
        <v>0</v>
      </c>
      <c r="K189" s="6">
        <f>ABS(B189 - $G$2)</f>
        <v/>
      </c>
      <c r="L189" s="6">
        <f>ABS(B189 - $H$2)</f>
        <v/>
      </c>
      <c r="M189" s="51">
        <f>ABS(B189 - $I$2)</f>
        <v/>
      </c>
      <c r="O189">
        <f>(1/K189^2) / ((1/K189^2) + (1/L189^2) + (1/M189^2))</f>
        <v/>
      </c>
      <c r="P189">
        <f>(1/L189^2) / ((1/K189^2) + (1/L189^2) + (1/M189^2))</f>
        <v/>
      </c>
      <c r="Q189">
        <f>(1/M189^2) / ((1/K189^2) + (1/L189^2) + (1/M189^2))</f>
        <v/>
      </c>
      <c r="S189">
        <f>IF(MAX(O189:Q189)=O189, "Murah", IF(MAX(O189:Q189)=P189, "Sedang", "Mahal"))</f>
        <v/>
      </c>
    </row>
  </sheetData>
  <mergeCells count="1"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06"/>
  <sheetViews>
    <sheetView tabSelected="1" workbookViewId="0">
      <selection activeCell="A19" sqref="A19"/>
    </sheetView>
  </sheetViews>
  <sheetFormatPr baseColWidth="10" defaultRowHeight="16"/>
  <cols>
    <col width="105" bestFit="1" customWidth="1" style="21" min="1" max="1"/>
    <col width="14.1640625" bestFit="1" customWidth="1" style="21" min="2" max="2"/>
    <col width="12.1640625" bestFit="1" customWidth="1" style="21" min="3" max="4"/>
    <col width="19" bestFit="1" customWidth="1" style="21" min="6" max="6"/>
    <col width="17.5" bestFit="1" customWidth="1" style="21" min="9" max="9"/>
  </cols>
  <sheetData>
    <row r="1">
      <c r="A1" s="31" t="inlineStr">
        <is>
          <t>Nama_Tempat</t>
        </is>
      </c>
      <c r="B1" s="31" t="inlineStr">
        <is>
          <t>Estimasi_Harga</t>
        </is>
      </c>
      <c r="C1" s="31" t="inlineStr">
        <is>
          <t>Latitude</t>
        </is>
      </c>
      <c r="D1" s="31" t="inlineStr">
        <is>
          <t>Longitude</t>
        </is>
      </c>
      <c r="F1" s="63" t="inlineStr">
        <is>
          <t>PUSAT CLUSTER</t>
        </is>
      </c>
      <c r="G1" s="60" t="inlineStr">
        <is>
          <t>Cluster 1 (Murah)</t>
        </is>
      </c>
      <c r="H1" s="60" t="inlineStr">
        <is>
          <t>Cluster 2 (Sedang)</t>
        </is>
      </c>
      <c r="I1" s="60" t="inlineStr">
        <is>
          <t>Cluster 3 (Mahal)</t>
        </is>
      </c>
      <c r="K1" s="23" t="inlineStr">
        <is>
          <t>Jarak_ke_C1</t>
        </is>
      </c>
      <c r="L1" s="23" t="inlineStr">
        <is>
          <t>Jarak_ke_C2</t>
        </is>
      </c>
      <c r="M1" s="23" t="inlineStr">
        <is>
          <t>Jarak_ke_C3</t>
        </is>
      </c>
      <c r="O1" s="24" t="inlineStr">
        <is>
          <t>Mu_Murah</t>
        </is>
      </c>
      <c r="P1" s="24" t="inlineStr">
        <is>
          <t>Mu_Sedang</t>
        </is>
      </c>
      <c r="Q1" s="24" t="inlineStr">
        <is>
          <t>Mu_Mahal</t>
        </is>
      </c>
      <c r="S1" s="23" t="inlineStr">
        <is>
          <t>Kategori Akhir</t>
        </is>
      </c>
    </row>
    <row r="2">
      <c r="A2" s="6" t="inlineStr">
        <is>
          <t>Depot Cwimie Malang</t>
        </is>
      </c>
      <c r="B2" s="6" t="n">
        <v>0.02249488752556237</v>
      </c>
      <c r="C2" s="6" t="n">
        <v>0.9661352227108964</v>
      </c>
      <c r="D2" s="6" t="n">
        <v>0.9307014189304496</v>
      </c>
      <c r="E2" s="54" t="n"/>
      <c r="F2" s="74" t="n"/>
      <c r="G2" t="n">
        <v>0.042383</v>
      </c>
      <c r="H2" t="n">
        <v>0.225442</v>
      </c>
      <c r="I2" t="n">
        <v>0.858021</v>
      </c>
      <c r="K2">
        <f>ABS(B2 - $G$2)</f>
        <v/>
      </c>
      <c r="L2">
        <f>ABS(B2 - $H$2)</f>
        <v/>
      </c>
      <c r="M2">
        <f>ABS(B2 - $I$2)</f>
        <v/>
      </c>
      <c r="O2">
        <f>(1/K2^2) / ((1/K2^2) + (1/L2^2) + (1/M2^2))</f>
        <v/>
      </c>
      <c r="P2">
        <f>(1/L2^2) / ((1/K2^2) + (1/L2^2) + (1/M2^2))</f>
        <v/>
      </c>
      <c r="Q2">
        <f>(1/M2^2) / ((1/K2^2) + (1/L2^2) + (1/M2^2))</f>
        <v/>
      </c>
      <c r="S2">
        <f>IF(MAX(O2:Q2)=O2, "Murah", IF(MAX(O2:Q2)=P2, "Sedang", "Mahal"))</f>
        <v/>
      </c>
    </row>
    <row r="3">
      <c r="A3" s="6" t="inlineStr">
        <is>
          <t>Depot Rawon Malang "MM"</t>
        </is>
      </c>
      <c r="B3" s="6" t="n">
        <v>0.196319018404908</v>
      </c>
      <c r="C3" s="6" t="n">
        <v>0.9853167857781258</v>
      </c>
      <c r="D3" s="6" t="n">
        <v>0.7588846176801441</v>
      </c>
      <c r="E3" s="55" t="n"/>
      <c r="F3" s="50" t="n"/>
      <c r="K3">
        <f>ABS(B3 - $G$2)</f>
        <v/>
      </c>
      <c r="L3">
        <f>ABS(B3 - $H$2)</f>
        <v/>
      </c>
      <c r="M3">
        <f>ABS(B3 - $I$2)</f>
        <v/>
      </c>
      <c r="O3">
        <f>(1/K3^2) / ((1/K3^2) + (1/L3^2) + (1/M3^2))</f>
        <v/>
      </c>
      <c r="P3">
        <f>(1/L3^2) / ((1/K3^2) + (1/L3^2) + (1/M3^2))</f>
        <v/>
      </c>
      <c r="Q3">
        <f>(1/M3^2) / ((1/K3^2) + (1/L3^2) + (1/M3^2))</f>
        <v/>
      </c>
      <c r="S3">
        <f>IF(MAX(O3:Q3)=O3, "Murah", IF(MAX(O3:Q3)=P3, "Sedang", "Mahal"))</f>
        <v/>
      </c>
    </row>
    <row r="4">
      <c r="A4" s="6" t="inlineStr">
        <is>
          <t>Depot J-One</t>
        </is>
      </c>
      <c r="B4" s="6" t="n">
        <v>0.1615541922290389</v>
      </c>
      <c r="C4" s="6" t="n">
        <v>0.9744903025849279</v>
      </c>
      <c r="D4" s="6" t="n">
        <v>0.989414942648146</v>
      </c>
      <c r="E4" s="55" t="n"/>
      <c r="F4" s="50" t="n"/>
      <c r="G4">
        <f>SUMPRODUCT(O2:O492^2, $B$2:$B$492) / SUMSQ(O2:O492)</f>
        <v/>
      </c>
      <c r="H4">
        <f>SUMPRODUCT(P2:P492^2, $B$2:$B$492) / SUMSQ(P2:P492)</f>
        <v/>
      </c>
      <c r="I4">
        <f>SUMPRODUCT(Q2:Q492^2, $B$2:$B$492) / SUMSQ(Q2:Q492)</f>
        <v/>
      </c>
      <c r="K4">
        <f>ABS(B4 - $G$2)</f>
        <v/>
      </c>
      <c r="L4">
        <f>ABS(B4 - $H$2)</f>
        <v/>
      </c>
      <c r="M4">
        <f>ABS(B4 - $I$2)</f>
        <v/>
      </c>
      <c r="O4">
        <f>(1/K4^2) / ((1/K4^2) + (1/L4^2) + (1/M4^2))</f>
        <v/>
      </c>
      <c r="P4">
        <f>(1/L4^2) / ((1/K4^2) + (1/L4^2) + (1/M4^2))</f>
        <v/>
      </c>
      <c r="Q4">
        <f>(1/M4^2) / ((1/K4^2) + (1/L4^2) + (1/M4^2))</f>
        <v/>
      </c>
      <c r="S4">
        <f>IF(MAX(O4:Q4)=O4, "Murah", IF(MAX(O4:Q4)=P4, "Sedang", "Mahal"))</f>
        <v/>
      </c>
    </row>
    <row r="5">
      <c r="A5" s="6" t="inlineStr">
        <is>
          <t>Depot Gang Djangkrik Manyar Kertoarjo Surabaya</t>
        </is>
      </c>
      <c r="B5" s="6" t="n">
        <v>0.4826175869120655</v>
      </c>
      <c r="C5" s="6" t="n">
        <v>0.9827141039173802</v>
      </c>
      <c r="D5" s="6" t="n">
        <v>0.9009169221655344</v>
      </c>
      <c r="E5" s="55" t="n"/>
      <c r="K5">
        <f>ABS(B5 - $G$2)</f>
        <v/>
      </c>
      <c r="L5">
        <f>ABS(B5 - $H$2)</f>
        <v/>
      </c>
      <c r="M5">
        <f>ABS(B5 - $I$2)</f>
        <v/>
      </c>
      <c r="O5">
        <f>(1/K5^2) / ((1/K5^2) + (1/L5^2) + (1/M5^2))</f>
        <v/>
      </c>
      <c r="P5">
        <f>(1/L5^2) / ((1/K5^2) + (1/L5^2) + (1/M5^2))</f>
        <v/>
      </c>
      <c r="Q5">
        <f>(1/M5^2) / ((1/K5^2) + (1/L5^2) + (1/M5^2))</f>
        <v/>
      </c>
      <c r="S5">
        <f>IF(MAX(O5:Q5)=O5, "Murah", IF(MAX(O5:Q5)=P5, "Sedang", "Mahal"))</f>
        <v/>
      </c>
    </row>
    <row r="6">
      <c r="A6" s="6" t="inlineStr">
        <is>
          <t>Depot Gang Djangkrik Kawi Atas Malang</t>
        </is>
      </c>
      <c r="B6" s="6" t="n">
        <v>0.2351738241308793</v>
      </c>
      <c r="C6" s="6" t="n">
        <v>0.1414113315180411</v>
      </c>
      <c r="D6" s="6" t="n">
        <v>0.343684444375661</v>
      </c>
      <c r="E6" s="55" t="n"/>
      <c r="K6">
        <f>ABS(B6 - $G$2)</f>
        <v/>
      </c>
      <c r="L6">
        <f>ABS(B6 - $H$2)</f>
        <v/>
      </c>
      <c r="M6">
        <f>ABS(B6 - $I$2)</f>
        <v/>
      </c>
      <c r="O6">
        <f>(1/K6^2) / ((1/K6^2) + (1/L6^2) + (1/M6^2))</f>
        <v/>
      </c>
      <c r="P6">
        <f>(1/L6^2) / ((1/K6^2) + (1/L6^2) + (1/M6^2))</f>
        <v/>
      </c>
      <c r="Q6">
        <f>(1/M6^2) / ((1/K6^2) + (1/L6^2) + (1/M6^2))</f>
        <v/>
      </c>
      <c r="S6">
        <f>IF(MAX(O6:Q6)=O6, "Murah", IF(MAX(O6:Q6)=P6, "Sedang", "Mahal"))</f>
        <v/>
      </c>
    </row>
    <row r="7">
      <c r="A7" s="6" t="inlineStr">
        <is>
          <t>Depot Pak Bas</t>
        </is>
      </c>
      <c r="B7" s="6" t="n">
        <v>0.09202453987730061</v>
      </c>
      <c r="C7" s="6" t="n">
        <v>0.9816263328284029</v>
      </c>
      <c r="D7" s="6" t="n">
        <v>0.9066156332134735</v>
      </c>
      <c r="E7" s="55" t="n"/>
      <c r="K7">
        <f>ABS(B7 - $G$2)</f>
        <v/>
      </c>
      <c r="L7">
        <f>ABS(B7 - $H$2)</f>
        <v/>
      </c>
      <c r="M7">
        <f>ABS(B7 - $I$2)</f>
        <v/>
      </c>
      <c r="O7">
        <f>(1/K7^2) / ((1/K7^2) + (1/L7^2) + (1/M7^2))</f>
        <v/>
      </c>
      <c r="P7">
        <f>(1/L7^2) / ((1/K7^2) + (1/L7^2) + (1/M7^2))</f>
        <v/>
      </c>
      <c r="Q7">
        <f>(1/M7^2) / ((1/K7^2) + (1/L7^2) + (1/M7^2))</f>
        <v/>
      </c>
      <c r="S7">
        <f>IF(MAX(O7:Q7)=O7, "Murah", IF(MAX(O7:Q7)=P7, "Sedang", "Mahal"))</f>
        <v/>
      </c>
    </row>
    <row r="8">
      <c r="A8" s="6" t="inlineStr">
        <is>
          <t>Depot Ny Kim</t>
        </is>
      </c>
      <c r="B8" s="6" t="n">
        <v>0.1104294478527607</v>
      </c>
      <c r="C8" s="6" t="n">
        <v>0.9620923522740981</v>
      </c>
      <c r="D8" s="6" t="n">
        <v>0.9158228020652148</v>
      </c>
      <c r="E8" s="55" t="n"/>
      <c r="K8">
        <f>ABS(B8 - $G$2)</f>
        <v/>
      </c>
      <c r="L8">
        <f>ABS(B8 - $H$2)</f>
        <v/>
      </c>
      <c r="M8">
        <f>ABS(B8 - $I$2)</f>
        <v/>
      </c>
      <c r="O8">
        <f>(1/K8^2) / ((1/K8^2) + (1/L8^2) + (1/M8^2))</f>
        <v/>
      </c>
      <c r="P8">
        <f>(1/L8^2) / ((1/K8^2) + (1/L8^2) + (1/M8^2))</f>
        <v/>
      </c>
      <c r="Q8">
        <f>(1/M8^2) / ((1/K8^2) + (1/L8^2) + (1/M8^2))</f>
        <v/>
      </c>
      <c r="S8">
        <f>IF(MAX(O8:Q8)=O8, "Murah", IF(MAX(O8:Q8)=P8, "Sedang", "Mahal"))</f>
        <v/>
      </c>
    </row>
    <row r="9">
      <c r="A9" s="6" t="inlineStr">
        <is>
          <t>Depot Gang Djangkrik</t>
        </is>
      </c>
      <c r="B9" s="6" t="n">
        <v>0.2351738241308793</v>
      </c>
      <c r="C9" s="6" t="n">
        <v>0.1638724360114003</v>
      </c>
      <c r="D9" s="6" t="n">
        <v>0.4143365982659409</v>
      </c>
      <c r="E9" s="55" t="n"/>
      <c r="K9">
        <f>ABS(B9 - $G$2)</f>
        <v/>
      </c>
      <c r="L9">
        <f>ABS(B9 - $H$2)</f>
        <v/>
      </c>
      <c r="M9">
        <f>ABS(B9 - $I$2)</f>
        <v/>
      </c>
      <c r="O9">
        <f>(1/K9^2) / ((1/K9^2) + (1/L9^2) + (1/M9^2))</f>
        <v/>
      </c>
      <c r="P9">
        <f>(1/L9^2) / ((1/K9^2) + (1/L9^2) + (1/M9^2))</f>
        <v/>
      </c>
      <c r="Q9">
        <f>(1/M9^2) / ((1/K9^2) + (1/L9^2) + (1/M9^2))</f>
        <v/>
      </c>
      <c r="S9">
        <f>IF(MAX(O9:Q9)=O9, "Murah", IF(MAX(O9:Q9)=P9, "Sedang", "Mahal"))</f>
        <v/>
      </c>
    </row>
    <row r="10">
      <c r="A10" s="6" t="inlineStr">
        <is>
          <t>Depot Tanjung Api Malang</t>
        </is>
      </c>
      <c r="B10" s="6" t="n">
        <v>0.1116687116564417</v>
      </c>
      <c r="C10" s="6" t="n">
        <v>0.1539421347441016</v>
      </c>
      <c r="D10" s="6" t="n">
        <v>0.3689045933791873</v>
      </c>
      <c r="E10" s="55" t="n"/>
      <c r="K10">
        <f>ABS(B10 - $G$2)</f>
        <v/>
      </c>
      <c r="L10">
        <f>ABS(B10 - $H$2)</f>
        <v/>
      </c>
      <c r="M10">
        <f>ABS(B10 - $I$2)</f>
        <v/>
      </c>
      <c r="O10">
        <f>(1/K10^2) / ((1/K10^2) + (1/L10^2) + (1/M10^2))</f>
        <v/>
      </c>
      <c r="P10">
        <f>(1/L10^2) / ((1/K10^2) + (1/L10^2) + (1/M10^2))</f>
        <v/>
      </c>
      <c r="Q10">
        <f>(1/M10^2) / ((1/K10^2) + (1/L10^2) + (1/M10^2))</f>
        <v/>
      </c>
      <c r="S10">
        <f>IF(MAX(O10:Q10)=O10, "Murah", IF(MAX(O10:Q10)=P10, "Sedang", "Mahal"))</f>
        <v/>
      </c>
    </row>
    <row r="11">
      <c r="A11" s="6" t="inlineStr">
        <is>
          <t>Depot Sari Rasa</t>
        </is>
      </c>
      <c r="B11" s="6" t="n">
        <v>0.130879345603272</v>
      </c>
      <c r="C11" s="6" t="n">
        <v>0.1534831442712424</v>
      </c>
      <c r="D11" s="6" t="n">
        <v>0.3983228812753771</v>
      </c>
      <c r="E11" s="55" t="n"/>
      <c r="K11">
        <f>ABS(B11 - $G$2)</f>
        <v/>
      </c>
      <c r="L11">
        <f>ABS(B11 - $H$2)</f>
        <v/>
      </c>
      <c r="M11">
        <f>ABS(B11 - $I$2)</f>
        <v/>
      </c>
      <c r="O11">
        <f>(1/K11^2) / ((1/K11^2) + (1/L11^2) + (1/M11^2))</f>
        <v/>
      </c>
      <c r="P11">
        <f>(1/L11^2) / ((1/K11^2) + (1/L11^2) + (1/M11^2))</f>
        <v/>
      </c>
      <c r="Q11">
        <f>(1/M11^2) / ((1/K11^2) + (1/L11^2) + (1/M11^2))</f>
        <v/>
      </c>
      <c r="S11">
        <f>IF(MAX(O11:Q11)=O11, "Murah", IF(MAX(O11:Q11)=P11, "Sedang", "Mahal"))</f>
        <v/>
      </c>
    </row>
    <row r="12">
      <c r="A12" s="6" t="inlineStr">
        <is>
          <t>Depot Kayutangan</t>
        </is>
      </c>
      <c r="B12" s="6" t="n">
        <v>0.07975460122699386</v>
      </c>
      <c r="C12" s="6" t="n">
        <v>0.1402005170727502</v>
      </c>
      <c r="D12" s="6" t="n">
        <v>0.3843929443266571</v>
      </c>
      <c r="E12" s="55" t="n"/>
      <c r="K12">
        <f>ABS(B12 - $G$2)</f>
        <v/>
      </c>
      <c r="L12">
        <f>ABS(B12 - $H$2)</f>
        <v/>
      </c>
      <c r="M12">
        <f>ABS(B12 - $I$2)</f>
        <v/>
      </c>
      <c r="O12">
        <f>(1/K12^2) / ((1/K12^2) + (1/L12^2) + (1/M12^2))</f>
        <v/>
      </c>
      <c r="P12">
        <f>(1/L12^2) / ((1/K12^2) + (1/L12^2) + (1/M12^2))</f>
        <v/>
      </c>
      <c r="Q12">
        <f>(1/M12^2) / ((1/K12^2) + (1/L12^2) + (1/M12^2))</f>
        <v/>
      </c>
      <c r="S12">
        <f>IF(MAX(O12:Q12)=O12, "Murah", IF(MAX(O12:Q12)=P12, "Sedang", "Mahal"))</f>
        <v/>
      </c>
    </row>
    <row r="13">
      <c r="A13" s="6" t="inlineStr">
        <is>
          <t>Depot Malang Kuliner</t>
        </is>
      </c>
      <c r="B13" s="6" t="n">
        <v>0.1384458077709611</v>
      </c>
      <c r="C13" s="6" t="n">
        <v>0.1548572091538443</v>
      </c>
      <c r="D13" s="6" t="n">
        <v>0.4202121506186758</v>
      </c>
      <c r="E13" s="55" t="n"/>
      <c r="K13">
        <f>ABS(B13 - $G$2)</f>
        <v/>
      </c>
      <c r="L13">
        <f>ABS(B13 - $H$2)</f>
        <v/>
      </c>
      <c r="M13">
        <f>ABS(B13 - $I$2)</f>
        <v/>
      </c>
      <c r="O13">
        <f>(1/K13^2) / ((1/K13^2) + (1/L13^2) + (1/M13^2))</f>
        <v/>
      </c>
      <c r="P13">
        <f>(1/L13^2) / ((1/K13^2) + (1/L13^2) + (1/M13^2))</f>
        <v/>
      </c>
      <c r="Q13">
        <f>(1/M13^2) / ((1/K13^2) + (1/L13^2) + (1/M13^2))</f>
        <v/>
      </c>
      <c r="S13">
        <f>IF(MAX(O13:Q13)=O13, "Murah", IF(MAX(O13:Q13)=P13, "Sedang", "Mahal"))</f>
        <v/>
      </c>
    </row>
    <row r="14">
      <c r="A14" s="6" t="inlineStr">
        <is>
          <t>Depot Djempolan</t>
        </is>
      </c>
      <c r="B14" s="6" t="n">
        <v>0.04294478527607362</v>
      </c>
      <c r="C14" s="6" t="n">
        <v>0.1265576005189139</v>
      </c>
      <c r="D14" s="6" t="n">
        <v>0.3999015583403058</v>
      </c>
      <c r="E14" s="55" t="n"/>
      <c r="K14">
        <f>ABS(B14 - $G$2)</f>
        <v/>
      </c>
      <c r="L14">
        <f>ABS(B14 - $H$2)</f>
        <v/>
      </c>
      <c r="M14">
        <f>ABS(B14 - $I$2)</f>
        <v/>
      </c>
      <c r="O14">
        <f>(1/K14^2) / ((1/K14^2) + (1/L14^2) + (1/M14^2))</f>
        <v/>
      </c>
      <c r="P14">
        <f>(1/L14^2) / ((1/K14^2) + (1/L14^2) + (1/M14^2))</f>
        <v/>
      </c>
      <c r="Q14">
        <f>(1/M14^2) / ((1/K14^2) + (1/L14^2) + (1/M14^2))</f>
        <v/>
      </c>
      <c r="S14">
        <f>IF(MAX(O14:Q14)=O14, "Murah", IF(MAX(O14:Q14)=P14, "Sedang", "Mahal"))</f>
        <v/>
      </c>
    </row>
    <row r="15">
      <c r="A15" s="6" t="inlineStr">
        <is>
          <t>Depot 200</t>
        </is>
      </c>
      <c r="B15" s="6" t="n">
        <v>0.032719836400818</v>
      </c>
      <c r="C15" s="6" t="n">
        <v>0.1875846831367148</v>
      </c>
      <c r="D15" s="6" t="n">
        <v>0.2950475592584255</v>
      </c>
      <c r="E15" s="55" t="n"/>
      <c r="K15">
        <f>ABS(B15 - $G$2)</f>
        <v/>
      </c>
      <c r="L15">
        <f>ABS(B15 - $H$2)</f>
        <v/>
      </c>
      <c r="M15">
        <f>ABS(B15 - $I$2)</f>
        <v/>
      </c>
      <c r="O15">
        <f>(1/K15^2) / ((1/K15^2) + (1/L15^2) + (1/M15^2))</f>
        <v/>
      </c>
      <c r="P15">
        <f>(1/L15^2) / ((1/K15^2) + (1/L15^2) + (1/M15^2))</f>
        <v/>
      </c>
      <c r="Q15">
        <f>(1/M15^2) / ((1/K15^2) + (1/L15^2) + (1/M15^2))</f>
        <v/>
      </c>
      <c r="S15">
        <f>IF(MAX(O15:Q15)=O15, "Murah", IF(MAX(O15:Q15)=P15, "Sedang", "Mahal"))</f>
        <v/>
      </c>
    </row>
    <row r="16">
      <c r="A16" s="6" t="inlineStr">
        <is>
          <t>Gudeg Bu Toegijo</t>
        </is>
      </c>
      <c r="B16" s="6" t="n">
        <v>0.1165644171779141</v>
      </c>
      <c r="C16" s="6" t="n">
        <v>0.9732845745775951</v>
      </c>
      <c r="D16" s="6" t="n">
        <v>0.9249083925199352</v>
      </c>
      <c r="E16" s="55" t="n"/>
      <c r="K16">
        <f>ABS(B16 - $G$2)</f>
        <v/>
      </c>
      <c r="L16">
        <f>ABS(B16 - $H$2)</f>
        <v/>
      </c>
      <c r="M16">
        <f>ABS(B16 - $I$2)</f>
        <v/>
      </c>
      <c r="O16">
        <f>(1/K16^2) / ((1/K16^2) + (1/L16^2) + (1/M16^2))</f>
        <v/>
      </c>
      <c r="P16">
        <f>(1/L16^2) / ((1/K16^2) + (1/L16^2) + (1/M16^2))</f>
        <v/>
      </c>
      <c r="Q16">
        <f>(1/M16^2) / ((1/K16^2) + (1/L16^2) + (1/M16^2))</f>
        <v/>
      </c>
      <c r="S16">
        <f>IF(MAX(O16:Q16)=O16, "Murah", IF(MAX(O16:Q16)=P16, "Sedang", "Mahal"))</f>
        <v/>
      </c>
    </row>
    <row r="17">
      <c r="A17" s="6" t="inlineStr">
        <is>
          <t>Depot Arema</t>
        </is>
      </c>
      <c r="B17" s="6" t="n">
        <v>0.04498977505112475</v>
      </c>
      <c r="C17" s="6" t="n">
        <v>0.1352118113871297</v>
      </c>
      <c r="D17" s="6" t="n">
        <v>0.4806679296082896</v>
      </c>
      <c r="E17" s="55" t="n"/>
      <c r="K17">
        <f>ABS(B17 - $G$2)</f>
        <v/>
      </c>
      <c r="L17">
        <f>ABS(B17 - $H$2)</f>
        <v/>
      </c>
      <c r="M17">
        <f>ABS(B17 - $I$2)</f>
        <v/>
      </c>
      <c r="O17">
        <f>(1/K17^2) / ((1/K17^2) + (1/L17^2) + (1/M17^2))</f>
        <v/>
      </c>
      <c r="P17">
        <f>(1/L17^2) / ((1/K17^2) + (1/L17^2) + (1/M17^2))</f>
        <v/>
      </c>
      <c r="Q17">
        <f>(1/M17^2) / ((1/K17^2) + (1/L17^2) + (1/M17^2))</f>
        <v/>
      </c>
      <c r="S17">
        <f>IF(MAX(O17:Q17)=O17, "Murah", IF(MAX(O17:Q17)=P17, "Sedang", "Mahal"))</f>
        <v/>
      </c>
    </row>
    <row r="18">
      <c r="A18" s="6" t="inlineStr">
        <is>
          <t>Depot Cak Win</t>
        </is>
      </c>
      <c r="B18" s="6" t="n">
        <v>0.02862985685071575</v>
      </c>
      <c r="C18" s="6" t="n">
        <v>0.986995431409868</v>
      </c>
      <c r="D18" s="6" t="n">
        <v>0.8671269698463632</v>
      </c>
      <c r="E18" s="55" t="n"/>
      <c r="K18">
        <f>ABS(B18 - $G$2)</f>
        <v/>
      </c>
      <c r="L18">
        <f>ABS(B18 - $H$2)</f>
        <v/>
      </c>
      <c r="M18">
        <f>ABS(B18 - $I$2)</f>
        <v/>
      </c>
      <c r="O18">
        <f>(1/K18^2) / ((1/K18^2) + (1/L18^2) + (1/M18^2))</f>
        <v/>
      </c>
      <c r="P18">
        <f>(1/L18^2) / ((1/K18^2) + (1/L18^2) + (1/M18^2))</f>
        <v/>
      </c>
      <c r="Q18">
        <f>(1/M18^2) / ((1/K18^2) + (1/L18^2) + (1/M18^2))</f>
        <v/>
      </c>
      <c r="S18">
        <f>IF(MAX(O18:Q18)=O18, "Murah", IF(MAX(O18:Q18)=P18, "Sedang", "Mahal"))</f>
        <v/>
      </c>
    </row>
    <row r="19">
      <c r="A19" s="6" t="inlineStr">
        <is>
          <t>Depot Widari</t>
        </is>
      </c>
      <c r="B19" s="6" t="n">
        <v>0.1384458077709611</v>
      </c>
      <c r="C19" s="6" t="n">
        <v>0.1413670068444081</v>
      </c>
      <c r="D19" s="6" t="n">
        <v>0.34455207202746</v>
      </c>
      <c r="E19" s="55" t="n"/>
      <c r="K19">
        <f>ABS(B19 - $G$2)</f>
        <v/>
      </c>
      <c r="L19">
        <f>ABS(B19 - $H$2)</f>
        <v/>
      </c>
      <c r="M19">
        <f>ABS(B19 - $I$2)</f>
        <v/>
      </c>
      <c r="O19">
        <f>(1/K19^2) / ((1/K19^2) + (1/L19^2) + (1/M19^2))</f>
        <v/>
      </c>
      <c r="P19">
        <f>(1/L19^2) / ((1/K19^2) + (1/L19^2) + (1/M19^2))</f>
        <v/>
      </c>
      <c r="Q19">
        <f>(1/M19^2) / ((1/K19^2) + (1/L19^2) + (1/M19^2))</f>
        <v/>
      </c>
      <c r="S19">
        <f>IF(MAX(O19:Q19)=O19, "Murah", IF(MAX(O19:Q19)=P19, "Sedang", "Mahal"))</f>
        <v/>
      </c>
    </row>
    <row r="20">
      <c r="A20" s="6" t="inlineStr">
        <is>
          <t>Depot 2 Legenda</t>
        </is>
      </c>
      <c r="B20" s="6" t="n">
        <v>0.07267484662576687</v>
      </c>
      <c r="C20" s="6" t="n">
        <v>0.1843099859372101</v>
      </c>
      <c r="D20" s="6" t="n">
        <v>0.4040086976448197</v>
      </c>
      <c r="E20" s="55" t="n"/>
      <c r="K20">
        <f>ABS(B20 - $G$2)</f>
        <v/>
      </c>
      <c r="L20">
        <f>ABS(B20 - $H$2)</f>
        <v/>
      </c>
      <c r="M20">
        <f>ABS(B20 - $I$2)</f>
        <v/>
      </c>
      <c r="O20">
        <f>(1/K20^2) / ((1/K20^2) + (1/L20^2) + (1/M20^2))</f>
        <v/>
      </c>
      <c r="P20">
        <f>(1/L20^2) / ((1/K20^2) + (1/L20^2) + (1/M20^2))</f>
        <v/>
      </c>
      <c r="Q20">
        <f>(1/M20^2) / ((1/K20^2) + (1/L20^2) + (1/M20^2))</f>
        <v/>
      </c>
      <c r="S20">
        <f>IF(MAX(O20:Q20)=O20, "Murah", IF(MAX(O20:Q20)=P20, "Sedang", "Mahal"))</f>
        <v/>
      </c>
    </row>
    <row r="21">
      <c r="A21" s="6" t="inlineStr">
        <is>
          <t>Depot Asri Bu Saeroen</t>
        </is>
      </c>
      <c r="B21" s="6" t="n">
        <v>0.03885480572597137</v>
      </c>
      <c r="C21" s="6" t="n">
        <v>0.1510664807129539</v>
      </c>
      <c r="D21" s="6" t="n">
        <v>0.3973204121286451</v>
      </c>
      <c r="E21" s="55" t="n"/>
      <c r="K21">
        <f>ABS(B21 - $G$2)</f>
        <v/>
      </c>
      <c r="L21">
        <f>ABS(B21 - $H$2)</f>
        <v/>
      </c>
      <c r="M21">
        <f>ABS(B21 - $I$2)</f>
        <v/>
      </c>
      <c r="O21">
        <f>(1/K21^2) / ((1/K21^2) + (1/L21^2) + (1/M21^2))</f>
        <v/>
      </c>
      <c r="P21">
        <f>(1/L21^2) / ((1/K21^2) + (1/L21^2) + (1/M21^2))</f>
        <v/>
      </c>
      <c r="Q21">
        <f>(1/M21^2) / ((1/K21^2) + (1/L21^2) + (1/M21^2))</f>
        <v/>
      </c>
      <c r="S21">
        <f>IF(MAX(O21:Q21)=O21, "Murah", IF(MAX(O21:Q21)=P21, "Sedang", "Mahal"))</f>
        <v/>
      </c>
    </row>
    <row r="22">
      <c r="A22" s="6" t="inlineStr">
        <is>
          <t>Rumah Makan Gloria l Since 1970</t>
        </is>
      </c>
      <c r="B22" s="6" t="n">
        <v>0.3274028629856851</v>
      </c>
      <c r="C22" s="6" t="n">
        <v>0.1307604515400531</v>
      </c>
      <c r="D22" s="6" t="n">
        <v>0.3964133636026825</v>
      </c>
      <c r="E22" s="55" t="n"/>
      <c r="K22">
        <f>ABS(B22 - $G$2)</f>
        <v/>
      </c>
      <c r="L22">
        <f>ABS(B22 - $H$2)</f>
        <v/>
      </c>
      <c r="M22">
        <f>ABS(B22 - $I$2)</f>
        <v/>
      </c>
      <c r="O22">
        <f>(1/K22^2) / ((1/K22^2) + (1/L22^2) + (1/M22^2))</f>
        <v/>
      </c>
      <c r="P22">
        <f>(1/L22^2) / ((1/K22^2) + (1/L22^2) + (1/M22^2))</f>
        <v/>
      </c>
      <c r="Q22">
        <f>(1/M22^2) / ((1/K22^2) + (1/L22^2) + (1/M22^2))</f>
        <v/>
      </c>
      <c r="S22">
        <f>IF(MAX(O22:Q22)=O22, "Murah", IF(MAX(O22:Q22)=P22, "Sedang", "Mahal"))</f>
        <v/>
      </c>
    </row>
    <row r="23">
      <c r="A23" s="6" t="inlineStr">
        <is>
          <t>Depot Kawanua 1 Malang</t>
        </is>
      </c>
      <c r="B23" s="6" t="n">
        <v>0.06952965235173825</v>
      </c>
      <c r="C23" s="6" t="n">
        <v>0.1352069671605036</v>
      </c>
      <c r="D23" s="6" t="n">
        <v>0.4222185625896451</v>
      </c>
      <c r="E23" s="55" t="n"/>
      <c r="K23">
        <f>ABS(B23 - $G$2)</f>
        <v/>
      </c>
      <c r="L23">
        <f>ABS(B23 - $H$2)</f>
        <v/>
      </c>
      <c r="M23">
        <f>ABS(B23 - $I$2)</f>
        <v/>
      </c>
      <c r="O23">
        <f>(1/K23^2) / ((1/K23^2) + (1/L23^2) + (1/M23^2))</f>
        <v/>
      </c>
      <c r="P23">
        <f>(1/L23^2) / ((1/K23^2) + (1/L23^2) + (1/M23^2))</f>
        <v/>
      </c>
      <c r="Q23">
        <f>(1/M23^2) / ((1/K23^2) + (1/L23^2) + (1/M23^2))</f>
        <v/>
      </c>
      <c r="S23">
        <f>IF(MAX(O23:Q23)=O23, "Murah", IF(MAX(O23:Q23)=P23, "Sedang", "Mahal"))</f>
        <v/>
      </c>
    </row>
    <row r="24">
      <c r="A24" s="6" t="inlineStr">
        <is>
          <t>Rumah Makan Hok Lay</t>
        </is>
      </c>
      <c r="B24" s="6" t="n">
        <v>0.3711656441717792</v>
      </c>
      <c r="C24" s="6" t="n">
        <v>0.1302938314102563</v>
      </c>
      <c r="D24" s="6" t="n">
        <v>0.3989569310370479</v>
      </c>
      <c r="E24" s="55" t="n"/>
      <c r="K24">
        <f>ABS(B24 - $G$2)</f>
        <v/>
      </c>
      <c r="L24">
        <f>ABS(B24 - $H$2)</f>
        <v/>
      </c>
      <c r="M24">
        <f>ABS(B24 - $I$2)</f>
        <v/>
      </c>
      <c r="O24">
        <f>(1/K24^2) / ((1/K24^2) + (1/L24^2) + (1/M24^2))</f>
        <v/>
      </c>
      <c r="P24">
        <f>(1/L24^2) / ((1/K24^2) + (1/L24^2) + (1/M24^2))</f>
        <v/>
      </c>
      <c r="Q24">
        <f>(1/M24^2) / ((1/K24^2) + (1/L24^2) + (1/M24^2))</f>
        <v/>
      </c>
      <c r="S24">
        <f>IF(MAX(O24:Q24)=O24, "Murah", IF(MAX(O24:Q24)=P24, "Sedang", "Mahal"))</f>
        <v/>
      </c>
    </row>
    <row r="25">
      <c r="A25" s="6" t="inlineStr">
        <is>
          <t>Depot Dua Satu</t>
        </is>
      </c>
      <c r="B25" s="6" t="n">
        <v>0.1513292433537832</v>
      </c>
      <c r="C25" s="6" t="n">
        <v>0.1509322956354005</v>
      </c>
      <c r="D25" s="6" t="n">
        <v>0.3794708613424198</v>
      </c>
      <c r="E25" s="55" t="n"/>
      <c r="K25">
        <f>ABS(B25 - $G$2)</f>
        <v/>
      </c>
      <c r="L25">
        <f>ABS(B25 - $H$2)</f>
        <v/>
      </c>
      <c r="M25">
        <f>ABS(B25 - $I$2)</f>
        <v/>
      </c>
      <c r="O25">
        <f>(1/K25^2) / ((1/K25^2) + (1/L25^2) + (1/M25^2))</f>
        <v/>
      </c>
      <c r="P25">
        <f>(1/L25^2) / ((1/K25^2) + (1/L25^2) + (1/M25^2))</f>
        <v/>
      </c>
      <c r="Q25">
        <f>(1/M25^2) / ((1/K25^2) + (1/L25^2) + (1/M25^2))</f>
        <v/>
      </c>
      <c r="S25">
        <f>IF(MAX(O25:Q25)=O25, "Murah", IF(MAX(O25:Q25)=P25, "Sedang", "Mahal"))</f>
        <v/>
      </c>
    </row>
    <row r="26">
      <c r="A26" s="6" t="inlineStr">
        <is>
          <t>Depot Kanton</t>
        </is>
      </c>
      <c r="B26" s="6" t="n">
        <v>0.4734151329243354</v>
      </c>
      <c r="C26" s="6" t="n">
        <v>0.1503655211201021</v>
      </c>
      <c r="D26" s="6" t="n">
        <v>0.3709898470985885</v>
      </c>
      <c r="E26" s="55" t="n"/>
      <c r="K26">
        <f>ABS(B26 - $G$2)</f>
        <v/>
      </c>
      <c r="L26">
        <f>ABS(B26 - $H$2)</f>
        <v/>
      </c>
      <c r="M26">
        <f>ABS(B26 - $I$2)</f>
        <v/>
      </c>
      <c r="O26">
        <f>(1/K26^2) / ((1/K26^2) + (1/L26^2) + (1/M26^2))</f>
        <v/>
      </c>
      <c r="P26">
        <f>(1/L26^2) / ((1/K26^2) + (1/L26^2) + (1/M26^2))</f>
        <v/>
      </c>
      <c r="Q26">
        <f>(1/M26^2) / ((1/K26^2) + (1/L26^2) + (1/M26^2))</f>
        <v/>
      </c>
      <c r="S26">
        <f>IF(MAX(O26:Q26)=O26, "Murah", IF(MAX(O26:Q26)=P26, "Sedang", "Mahal"))</f>
        <v/>
      </c>
    </row>
    <row r="27">
      <c r="A27" s="6" t="inlineStr">
        <is>
          <t>Depot Mie Gadjah Mada 1</t>
        </is>
      </c>
      <c r="B27" s="6" t="n">
        <v>0.1206543967280164</v>
      </c>
      <c r="C27" s="6" t="n">
        <v>0.1294483927582687</v>
      </c>
      <c r="D27" s="6" t="n">
        <v>0.3889945024459256</v>
      </c>
      <c r="E27" s="55" t="n"/>
      <c r="K27">
        <f>ABS(B27 - $G$2)</f>
        <v/>
      </c>
      <c r="L27">
        <f>ABS(B27 - $H$2)</f>
        <v/>
      </c>
      <c r="M27">
        <f>ABS(B27 - $I$2)</f>
        <v/>
      </c>
      <c r="O27">
        <f>(1/K27^2) / ((1/K27^2) + (1/L27^2) + (1/M27^2))</f>
        <v/>
      </c>
      <c r="P27">
        <f>(1/L27^2) / ((1/K27^2) + (1/L27^2) + (1/M27^2))</f>
        <v/>
      </c>
      <c r="Q27">
        <f>(1/M27^2) / ((1/K27^2) + (1/L27^2) + (1/M27^2))</f>
        <v/>
      </c>
      <c r="S27">
        <f>IF(MAX(O27:Q27)=O27, "Murah", IF(MAX(O27:Q27)=P27, "Sedang", "Mahal"))</f>
        <v/>
      </c>
    </row>
    <row r="28">
      <c r="A28" s="6" t="inlineStr">
        <is>
          <t>Depot 29</t>
        </is>
      </c>
      <c r="B28" s="6" t="n">
        <v>0.08997955010224949</v>
      </c>
      <c r="C28" s="6" t="n">
        <v>0.2738753764569618</v>
      </c>
      <c r="D28" s="6" t="n">
        <v>0.5752725013981699</v>
      </c>
      <c r="E28" s="55" t="n"/>
      <c r="K28">
        <f>ABS(B28 - $G$2)</f>
        <v/>
      </c>
      <c r="L28">
        <f>ABS(B28 - $H$2)</f>
        <v/>
      </c>
      <c r="M28">
        <f>ABS(B28 - $I$2)</f>
        <v/>
      </c>
      <c r="O28">
        <f>(1/K28^2) / ((1/K28^2) + (1/L28^2) + (1/M28^2))</f>
        <v/>
      </c>
      <c r="P28">
        <f>(1/L28^2) / ((1/K28^2) + (1/L28^2) + (1/M28^2))</f>
        <v/>
      </c>
      <c r="Q28">
        <f>(1/M28^2) / ((1/K28^2) + (1/L28^2) + (1/M28^2))</f>
        <v/>
      </c>
      <c r="S28">
        <f>IF(MAX(O28:Q28)=O28, "Murah", IF(MAX(O28:Q28)=P28, "Sedang", "Mahal"))</f>
        <v/>
      </c>
    </row>
    <row r="29">
      <c r="A29" s="6" t="inlineStr">
        <is>
          <t>Depot Rawon Malang MM</t>
        </is>
      </c>
      <c r="B29" s="6" t="n">
        <v>0.196319018404908</v>
      </c>
      <c r="C29" s="6" t="n">
        <v>0.1895168029266888</v>
      </c>
      <c r="D29" s="6" t="n">
        <v>0.4719393375377439</v>
      </c>
      <c r="E29" s="55" t="n"/>
      <c r="K29">
        <f>ABS(B29 - $G$2)</f>
        <v/>
      </c>
      <c r="L29">
        <f>ABS(B29 - $H$2)</f>
        <v/>
      </c>
      <c r="M29">
        <f>ABS(B29 - $I$2)</f>
        <v/>
      </c>
      <c r="O29">
        <f>(1/K29^2) / ((1/K29^2) + (1/L29^2) + (1/M29^2))</f>
        <v/>
      </c>
      <c r="P29">
        <f>(1/L29^2) / ((1/K29^2) + (1/L29^2) + (1/M29^2))</f>
        <v/>
      </c>
      <c r="Q29">
        <f>(1/M29^2) / ((1/K29^2) + (1/L29^2) + (1/M29^2))</f>
        <v/>
      </c>
      <c r="S29">
        <f>IF(MAX(O29:Q29)=O29, "Murah", IF(MAX(O29:Q29)=P29, "Sedang", "Mahal"))</f>
        <v/>
      </c>
    </row>
    <row r="30">
      <c r="A30" s="6" t="inlineStr">
        <is>
          <t>Depot 88 - Araya</t>
        </is>
      </c>
      <c r="B30" s="6" t="n">
        <v>0.3941717791411043</v>
      </c>
      <c r="C30" s="6" t="n">
        <v>0.1824775361100769</v>
      </c>
      <c r="D30" s="6" t="n">
        <v>0.495443020626346</v>
      </c>
      <c r="E30" s="55" t="n"/>
      <c r="K30">
        <f>ABS(B30 - $G$2)</f>
        <v/>
      </c>
      <c r="L30">
        <f>ABS(B30 - $H$2)</f>
        <v/>
      </c>
      <c r="M30">
        <f>ABS(B30 - $I$2)</f>
        <v/>
      </c>
      <c r="O30">
        <f>(1/K30^2) / ((1/K30^2) + (1/L30^2) + (1/M30^2))</f>
        <v/>
      </c>
      <c r="P30">
        <f>(1/L30^2) / ((1/K30^2) + (1/L30^2) + (1/M30^2))</f>
        <v/>
      </c>
      <c r="Q30">
        <f>(1/M30^2) / ((1/K30^2) + (1/L30^2) + (1/M30^2))</f>
        <v/>
      </c>
      <c r="S30">
        <f>IF(MAX(O30:Q30)=O30, "Murah", IF(MAX(O30:Q30)=P30, "Sedang", "Mahal"))</f>
        <v/>
      </c>
    </row>
    <row r="31">
      <c r="A31" s="6" t="inlineStr">
        <is>
          <t>Depot "Janur Kuning"</t>
        </is>
      </c>
      <c r="B31" s="6" t="n">
        <v>0.09488752556237219</v>
      </c>
      <c r="C31" s="6" t="n">
        <v>0.1715093592880539</v>
      </c>
      <c r="D31" s="6" t="n">
        <v>0.4184920005098581</v>
      </c>
      <c r="E31" s="55" t="n"/>
      <c r="K31">
        <f>ABS(B31 - $G$2)</f>
        <v/>
      </c>
      <c r="L31">
        <f>ABS(B31 - $H$2)</f>
        <v/>
      </c>
      <c r="M31">
        <f>ABS(B31 - $I$2)</f>
        <v/>
      </c>
      <c r="O31">
        <f>(1/K31^2) / ((1/K31^2) + (1/L31^2) + (1/M31^2))</f>
        <v/>
      </c>
      <c r="P31">
        <f>(1/L31^2) / ((1/K31^2) + (1/L31^2) + (1/M31^2))</f>
        <v/>
      </c>
      <c r="Q31">
        <f>(1/M31^2) / ((1/K31^2) + (1/L31^2) + (1/M31^2))</f>
        <v/>
      </c>
      <c r="S31">
        <f>IF(MAX(O31:Q31)=O31, "Murah", IF(MAX(O31:Q31)=P31, "Sedang", "Mahal"))</f>
        <v/>
      </c>
    </row>
    <row r="32">
      <c r="A32" s="6" t="inlineStr">
        <is>
          <t>Rawon Rampal</t>
        </is>
      </c>
      <c r="B32" s="6" t="n">
        <v>0.07975460122699386</v>
      </c>
      <c r="C32" s="6" t="n">
        <v>0.1428160361340554</v>
      </c>
      <c r="D32" s="6" t="n">
        <v>0.4141457570244542</v>
      </c>
      <c r="E32" s="55" t="n"/>
      <c r="K32">
        <f>ABS(B32 - $G$2)</f>
        <v/>
      </c>
      <c r="L32">
        <f>ABS(B32 - $H$2)</f>
        <v/>
      </c>
      <c r="M32">
        <f>ABS(B32 - $I$2)</f>
        <v/>
      </c>
      <c r="O32">
        <f>(1/K32^2) / ((1/K32^2) + (1/L32^2) + (1/M32^2))</f>
        <v/>
      </c>
      <c r="P32">
        <f>(1/L32^2) / ((1/K32^2) + (1/L32^2) + (1/M32^2))</f>
        <v/>
      </c>
      <c r="Q32">
        <f>(1/M32^2) / ((1/K32^2) + (1/L32^2) + (1/M32^2))</f>
        <v/>
      </c>
      <c r="S32">
        <f>IF(MAX(O32:Q32)=O32, "Murah", IF(MAX(O32:Q32)=P32, "Sedang", "Mahal"))</f>
        <v/>
      </c>
    </row>
    <row r="33">
      <c r="A33" s="6" t="inlineStr">
        <is>
          <t>Depot Semeru</t>
        </is>
      </c>
      <c r="B33" s="6" t="n">
        <v>0.02249488752556237</v>
      </c>
      <c r="C33" s="6" t="n">
        <v>0.1426553289157217</v>
      </c>
      <c r="D33" s="6" t="n">
        <v>0.3662272897080306</v>
      </c>
      <c r="E33" s="55" t="n"/>
      <c r="K33">
        <f>ABS(B33 - $G$2)</f>
        <v/>
      </c>
      <c r="L33">
        <f>ABS(B33 - $H$2)</f>
        <v/>
      </c>
      <c r="M33">
        <f>ABS(B33 - $I$2)</f>
        <v/>
      </c>
      <c r="O33">
        <f>(1/K33^2) / ((1/K33^2) + (1/L33^2) + (1/M33^2))</f>
        <v/>
      </c>
      <c r="P33">
        <f>(1/L33^2) / ((1/K33^2) + (1/L33^2) + (1/M33^2))</f>
        <v/>
      </c>
      <c r="Q33">
        <f>(1/M33^2) / ((1/K33^2) + (1/L33^2) + (1/M33^2))</f>
        <v/>
      </c>
      <c r="S33">
        <f>IF(MAX(O33:Q33)=O33, "Murah", IF(MAX(O33:Q33)=P33, "Sedang", "Mahal"))</f>
        <v/>
      </c>
    </row>
    <row r="34">
      <c r="A34" s="6" t="inlineStr">
        <is>
          <t>Depot Chinesefood B2 Malang</t>
        </is>
      </c>
      <c r="B34" s="6" t="n">
        <v>0.1758691206543967</v>
      </c>
      <c r="C34" s="6" t="n">
        <v>0.1901643549209835</v>
      </c>
      <c r="D34" s="6" t="n">
        <v>0.3975108849507162</v>
      </c>
      <c r="E34" s="55" t="n"/>
      <c r="K34">
        <f>ABS(B34 - $G$2)</f>
        <v/>
      </c>
      <c r="L34">
        <f>ABS(B34 - $H$2)</f>
        <v/>
      </c>
      <c r="M34">
        <f>ABS(B34 - $I$2)</f>
        <v/>
      </c>
      <c r="O34">
        <f>(1/K34^2) / ((1/K34^2) + (1/L34^2) + (1/M34^2))</f>
        <v/>
      </c>
      <c r="P34">
        <f>(1/L34^2) / ((1/K34^2) + (1/L34^2) + (1/M34^2))</f>
        <v/>
      </c>
      <c r="Q34">
        <f>(1/M34^2) / ((1/K34^2) + (1/L34^2) + (1/M34^2))</f>
        <v/>
      </c>
      <c r="S34">
        <f>IF(MAX(O34:Q34)=O34, "Murah", IF(MAX(O34:Q34)=P34, "Sedang", "Mahal"))</f>
        <v/>
      </c>
    </row>
    <row r="35">
      <c r="A35" s="6" t="inlineStr">
        <is>
          <t>Harmoni Cafe &amp; Resto l Since 2010</t>
        </is>
      </c>
      <c r="B35" s="6" t="n">
        <v>0.2004089979550102</v>
      </c>
      <c r="C35" s="6" t="n">
        <v>0.1424947428030541</v>
      </c>
      <c r="D35" s="6" t="n">
        <v>0.3741026224828313</v>
      </c>
      <c r="E35" s="55" t="n"/>
      <c r="K35">
        <f>ABS(B35 - $G$2)</f>
        <v/>
      </c>
      <c r="L35">
        <f>ABS(B35 - $H$2)</f>
        <v/>
      </c>
      <c r="M35">
        <f>ABS(B35 - $I$2)</f>
        <v/>
      </c>
      <c r="O35">
        <f>(1/K35^2) / ((1/K35^2) + (1/L35^2) + (1/M35^2))</f>
        <v/>
      </c>
      <c r="P35">
        <f>(1/L35^2) / ((1/K35^2) + (1/L35^2) + (1/M35^2))</f>
        <v/>
      </c>
      <c r="Q35">
        <f>(1/M35^2) / ((1/K35^2) + (1/L35^2) + (1/M35^2))</f>
        <v/>
      </c>
      <c r="S35">
        <f>IF(MAX(O35:Q35)=O35, "Murah", IF(MAX(O35:Q35)=P35, "Sedang", "Mahal"))</f>
        <v/>
      </c>
    </row>
    <row r="36">
      <c r="A36" s="6" t="inlineStr">
        <is>
          <t>Depot Samsin</t>
        </is>
      </c>
      <c r="B36" s="6" t="n">
        <v>0.1615541922290389</v>
      </c>
      <c r="C36" s="6" t="n">
        <v>0.1464228050688054</v>
      </c>
      <c r="D36" s="6" t="n">
        <v>0.3776457117088663</v>
      </c>
      <c r="E36" s="55" t="n"/>
      <c r="K36">
        <f>ABS(B36 - $G$2)</f>
        <v/>
      </c>
      <c r="L36">
        <f>ABS(B36 - $H$2)</f>
        <v/>
      </c>
      <c r="M36">
        <f>ABS(B36 - $I$2)</f>
        <v/>
      </c>
      <c r="O36">
        <f>(1/K36^2) / ((1/K36^2) + (1/L36^2) + (1/M36^2))</f>
        <v/>
      </c>
      <c r="P36">
        <f>(1/L36^2) / ((1/K36^2) + (1/L36^2) + (1/M36^2))</f>
        <v/>
      </c>
      <c r="Q36">
        <f>(1/M36^2) / ((1/K36^2) + (1/L36^2) + (1/M36^2))</f>
        <v/>
      </c>
      <c r="S36">
        <f>IF(MAX(O36:Q36)=O36, "Murah", IF(MAX(O36:Q36)=P36, "Sedang", "Mahal"))</f>
        <v/>
      </c>
    </row>
    <row r="37">
      <c r="A37" s="6" t="inlineStr">
        <is>
          <t>Depot Idola</t>
        </is>
      </c>
      <c r="B37" s="6" t="n">
        <v>0.04498977505112475</v>
      </c>
      <c r="C37" s="6" t="n">
        <v>0.175498822126296</v>
      </c>
      <c r="D37" s="6" t="n">
        <v>0.3658927649064234</v>
      </c>
      <c r="E37" s="55" t="n"/>
      <c r="K37">
        <f>ABS(B37 - $G$2)</f>
        <v/>
      </c>
      <c r="L37">
        <f>ABS(B37 - $H$2)</f>
        <v/>
      </c>
      <c r="M37">
        <f>ABS(B37 - $I$2)</f>
        <v/>
      </c>
      <c r="O37">
        <f>(1/K37^2) / ((1/K37^2) + (1/L37^2) + (1/M37^2))</f>
        <v/>
      </c>
      <c r="P37">
        <f>(1/L37^2) / ((1/K37^2) + (1/L37^2) + (1/M37^2))</f>
        <v/>
      </c>
      <c r="Q37">
        <f>(1/M37^2) / ((1/K37^2) + (1/L37^2) + (1/M37^2))</f>
        <v/>
      </c>
      <c r="S37">
        <f>IF(MAX(O37:Q37)=O37, "Murah", IF(MAX(O37:Q37)=P37, "Sedang", "Mahal"))</f>
        <v/>
      </c>
    </row>
    <row r="38">
      <c r="A38" s="6" t="inlineStr">
        <is>
          <t>Depot Melati</t>
        </is>
      </c>
      <c r="B38" s="6" t="n">
        <v>0.1104294478527607</v>
      </c>
      <c r="C38" s="6" t="n">
        <v>0.1238821341531058</v>
      </c>
      <c r="D38" s="6" t="n">
        <v>0.4199649412113247</v>
      </c>
      <c r="E38" s="55" t="n"/>
      <c r="K38">
        <f>ABS(B38 - $G$2)</f>
        <v/>
      </c>
      <c r="L38">
        <f>ABS(B38 - $H$2)</f>
        <v/>
      </c>
      <c r="M38">
        <f>ABS(B38 - $I$2)</f>
        <v/>
      </c>
      <c r="O38">
        <f>(1/K38^2) / ((1/K38^2) + (1/L38^2) + (1/M38^2))</f>
        <v/>
      </c>
      <c r="P38">
        <f>(1/L38^2) / ((1/K38^2) + (1/L38^2) + (1/M38^2))</f>
        <v/>
      </c>
      <c r="Q38">
        <f>(1/M38^2) / ((1/K38^2) + (1/L38^2) + (1/M38^2))</f>
        <v/>
      </c>
      <c r="S38">
        <f>IF(MAX(O38:Q38)=O38, "Murah", IF(MAX(O38:Q38)=P38, "Sedang", "Mahal"))</f>
        <v/>
      </c>
    </row>
    <row r="39">
      <c r="A39" s="6" t="inlineStr">
        <is>
          <t>Depot Mie Sahadja Sigura-gura</t>
        </is>
      </c>
      <c r="B39" s="6" t="n">
        <v>0.1260736196319018</v>
      </c>
      <c r="C39" s="6" t="n">
        <v>0.163911674247074</v>
      </c>
      <c r="D39" s="6" t="n">
        <v>0.3047450943116647</v>
      </c>
      <c r="E39" s="55" t="n"/>
      <c r="K39">
        <f>ABS(B39 - $G$2)</f>
        <v/>
      </c>
      <c r="L39">
        <f>ABS(B39 - $H$2)</f>
        <v/>
      </c>
      <c r="M39">
        <f>ABS(B39 - $I$2)</f>
        <v/>
      </c>
      <c r="O39">
        <f>(1/K39^2) / ((1/K39^2) + (1/L39^2) + (1/M39^2))</f>
        <v/>
      </c>
      <c r="P39">
        <f>(1/L39^2) / ((1/K39^2) + (1/L39^2) + (1/M39^2))</f>
        <v/>
      </c>
      <c r="Q39">
        <f>(1/M39^2) / ((1/K39^2) + (1/L39^2) + (1/M39^2))</f>
        <v/>
      </c>
      <c r="S39">
        <f>IF(MAX(O39:Q39)=O39, "Murah", IF(MAX(O39:Q39)=P39, "Sedang", "Mahal"))</f>
        <v/>
      </c>
    </row>
    <row r="40">
      <c r="A40" s="6" t="inlineStr">
        <is>
          <t>Resto 52</t>
        </is>
      </c>
      <c r="B40" s="6" t="n">
        <v>0.6257668711656442</v>
      </c>
      <c r="C40" s="6" t="n">
        <v>0.1310022995543798</v>
      </c>
      <c r="D40" s="6" t="n">
        <v>0.3945510036112492</v>
      </c>
      <c r="E40" s="55" t="n"/>
      <c r="K40">
        <f>ABS(B40 - $G$2)</f>
        <v/>
      </c>
      <c r="L40">
        <f>ABS(B40 - $H$2)</f>
        <v/>
      </c>
      <c r="M40">
        <f>ABS(B40 - $I$2)</f>
        <v/>
      </c>
      <c r="O40">
        <f>(1/K40^2) / ((1/K40^2) + (1/L40^2) + (1/M40^2))</f>
        <v/>
      </c>
      <c r="P40">
        <f>(1/L40^2) / ((1/K40^2) + (1/L40^2) + (1/M40^2))</f>
        <v/>
      </c>
      <c r="Q40">
        <f>(1/M40^2) / ((1/K40^2) + (1/L40^2) + (1/M40^2))</f>
        <v/>
      </c>
      <c r="S40">
        <f>IF(MAX(O40:Q40)=O40, "Murah", IF(MAX(O40:Q40)=P40, "Sedang", "Mahal"))</f>
        <v/>
      </c>
    </row>
    <row r="41">
      <c r="A41" s="6" t="inlineStr">
        <is>
          <t>Javanine Resto</t>
        </is>
      </c>
      <c r="B41" s="6" t="n">
        <v>0.1226993865030675</v>
      </c>
      <c r="C41" s="6" t="n">
        <v>0.1512916161454198</v>
      </c>
      <c r="D41" s="6" t="n">
        <v>0.3496653646725472</v>
      </c>
      <c r="E41" s="55" t="n"/>
      <c r="K41">
        <f>ABS(B41 - $G$2)</f>
        <v/>
      </c>
      <c r="L41">
        <f>ABS(B41 - $H$2)</f>
        <v/>
      </c>
      <c r="M41">
        <f>ABS(B41 - $I$2)</f>
        <v/>
      </c>
      <c r="O41">
        <f>(1/K41^2) / ((1/K41^2) + (1/L41^2) + (1/M41^2))</f>
        <v/>
      </c>
      <c r="P41">
        <f>(1/L41^2) / ((1/K41^2) + (1/L41^2) + (1/M41^2))</f>
        <v/>
      </c>
      <c r="Q41">
        <f>(1/M41^2) / ((1/K41^2) + (1/L41^2) + (1/M41^2))</f>
        <v/>
      </c>
      <c r="S41">
        <f>IF(MAX(O41:Q41)=O41, "Murah", IF(MAX(O41:Q41)=P41, "Sedang", "Mahal"))</f>
        <v/>
      </c>
    </row>
    <row r="42">
      <c r="A42" s="6" t="inlineStr">
        <is>
          <t>Depot Guntur</t>
        </is>
      </c>
      <c r="B42" s="6" t="n">
        <v>0.2137014314928425</v>
      </c>
      <c r="C42" s="6" t="n">
        <v>0.1499211844327872</v>
      </c>
      <c r="D42" s="6" t="n">
        <v>0.3649864532191872</v>
      </c>
      <c r="E42" s="55" t="n"/>
      <c r="K42">
        <f>ABS(B42 - $G$2)</f>
        <v/>
      </c>
      <c r="L42">
        <f>ABS(B42 - $H$2)</f>
        <v/>
      </c>
      <c r="M42">
        <f>ABS(B42 - $I$2)</f>
        <v/>
      </c>
      <c r="O42">
        <f>(1/K42^2) / ((1/K42^2) + (1/L42^2) + (1/M42^2))</f>
        <v/>
      </c>
      <c r="P42">
        <f>(1/L42^2) / ((1/K42^2) + (1/L42^2) + (1/M42^2))</f>
        <v/>
      </c>
      <c r="Q42">
        <f>(1/M42^2) / ((1/K42^2) + (1/L42^2) + (1/M42^2))</f>
        <v/>
      </c>
      <c r="S42">
        <f>IF(MAX(O42:Q42)=O42, "Murah", IF(MAX(O42:Q42)=P42, "Sedang", "Mahal"))</f>
        <v/>
      </c>
    </row>
    <row r="43">
      <c r="A43" s="6" t="inlineStr">
        <is>
          <t>Depot Es Talun sejak 1950</t>
        </is>
      </c>
      <c r="B43" s="6" t="n">
        <v>0.049079754601227</v>
      </c>
      <c r="C43" s="6" t="n">
        <v>0.1347845505986738</v>
      </c>
      <c r="D43" s="6" t="n">
        <v>0.3742230956217628</v>
      </c>
      <c r="E43" s="55" t="n"/>
      <c r="K43">
        <f>ABS(B43 - $G$2)</f>
        <v/>
      </c>
      <c r="L43">
        <f>ABS(B43 - $H$2)</f>
        <v/>
      </c>
      <c r="M43">
        <f>ABS(B43 - $I$2)</f>
        <v/>
      </c>
      <c r="O43">
        <f>(1/K43^2) / ((1/K43^2) + (1/L43^2) + (1/M43^2))</f>
        <v/>
      </c>
      <c r="P43">
        <f>(1/L43^2) / ((1/K43^2) + (1/L43^2) + (1/M43^2))</f>
        <v/>
      </c>
      <c r="Q43">
        <f>(1/M43^2) / ((1/K43^2) + (1/L43^2) + (1/M43^2))</f>
        <v/>
      </c>
      <c r="S43">
        <f>IF(MAX(O43:Q43)=O43, "Murah", IF(MAX(O43:Q43)=P43, "Sedang", "Mahal"))</f>
        <v/>
      </c>
    </row>
    <row r="44">
      <c r="A44" s="6" t="inlineStr">
        <is>
          <t>Depot WS 7</t>
        </is>
      </c>
      <c r="B44" s="6" t="n">
        <v>0.03067484662576687</v>
      </c>
      <c r="C44" s="6" t="n">
        <v>0.1728453969916388</v>
      </c>
      <c r="D44" s="6" t="n">
        <v>0.4279548524148795</v>
      </c>
      <c r="E44" s="55" t="n"/>
      <c r="K44">
        <f>ABS(B44 - $G$2)</f>
        <v/>
      </c>
      <c r="L44">
        <f>ABS(B44 - $H$2)</f>
        <v/>
      </c>
      <c r="M44">
        <f>ABS(B44 - $I$2)</f>
        <v/>
      </c>
      <c r="O44">
        <f>(1/K44^2) / ((1/K44^2) + (1/L44^2) + (1/M44^2))</f>
        <v/>
      </c>
      <c r="P44">
        <f>(1/L44^2) / ((1/K44^2) + (1/L44^2) + (1/M44^2))</f>
        <v/>
      </c>
      <c r="Q44">
        <f>(1/M44^2) / ((1/K44^2) + (1/L44^2) + (1/M44^2))</f>
        <v/>
      </c>
      <c r="S44">
        <f>IF(MAX(O44:Q44)=O44, "Murah", IF(MAX(O44:Q44)=P44, "Sedang", "Mahal"))</f>
        <v/>
      </c>
    </row>
    <row r="45">
      <c r="A45" s="6" t="inlineStr">
        <is>
          <t>Resto Sambat Luwe</t>
        </is>
      </c>
      <c r="B45" s="6" t="n">
        <v>0.2816973415132925</v>
      </c>
      <c r="C45" s="6" t="n">
        <v>0.08477590365414686</v>
      </c>
      <c r="D45" s="6" t="n">
        <v>0.4240470279976766</v>
      </c>
      <c r="E45" s="55" t="n"/>
      <c r="K45">
        <f>ABS(B45 - $G$2)</f>
        <v/>
      </c>
      <c r="L45">
        <f>ABS(B45 - $H$2)</f>
        <v/>
      </c>
      <c r="M45">
        <f>ABS(B45 - $I$2)</f>
        <v/>
      </c>
      <c r="O45">
        <f>(1/K45^2) / ((1/K45^2) + (1/L45^2) + (1/M45^2))</f>
        <v/>
      </c>
      <c r="P45">
        <f>(1/L45^2) / ((1/K45^2) + (1/L45^2) + (1/M45^2))</f>
        <v/>
      </c>
      <c r="Q45">
        <f>(1/M45^2) / ((1/K45^2) + (1/L45^2) + (1/M45^2))</f>
        <v/>
      </c>
      <c r="S45">
        <f>IF(MAX(O45:Q45)=O45, "Murah", IF(MAX(O45:Q45)=P45, "Sedang", "Mahal"))</f>
        <v/>
      </c>
    </row>
    <row r="46">
      <c r="A46" s="6" t="inlineStr">
        <is>
          <t>Depot 59</t>
        </is>
      </c>
      <c r="B46" s="6" t="n">
        <v>0.2167689161554192</v>
      </c>
      <c r="C46" s="6" t="n">
        <v>0.1309046883878567</v>
      </c>
      <c r="D46" s="6" t="n">
        <v>0.4086688344463411</v>
      </c>
      <c r="E46" s="55" t="n"/>
      <c r="K46">
        <f>ABS(B46 - $G$2)</f>
        <v/>
      </c>
      <c r="L46">
        <f>ABS(B46 - $H$2)</f>
        <v/>
      </c>
      <c r="M46">
        <f>ABS(B46 - $I$2)</f>
        <v/>
      </c>
      <c r="O46">
        <f>(1/K46^2) / ((1/K46^2) + (1/L46^2) + (1/M46^2))</f>
        <v/>
      </c>
      <c r="P46">
        <f>(1/L46^2) / ((1/K46^2) + (1/L46^2) + (1/M46^2))</f>
        <v/>
      </c>
      <c r="Q46">
        <f>(1/M46^2) / ((1/K46^2) + (1/L46^2) + (1/M46^2))</f>
        <v/>
      </c>
      <c r="S46">
        <f>IF(MAX(O46:Q46)=O46, "Murah", IF(MAX(O46:Q46)=P46, "Sedang", "Mahal"))</f>
        <v/>
      </c>
    </row>
    <row r="47">
      <c r="A47" s="6" t="inlineStr">
        <is>
          <t>Depot Semangkok</t>
        </is>
      </c>
      <c r="B47" s="6" t="n">
        <v>0.05930470347648262</v>
      </c>
      <c r="C47" s="6" t="n">
        <v>0.1859944446409054</v>
      </c>
      <c r="D47" s="6" t="n">
        <v>0.4100095125885216</v>
      </c>
      <c r="E47" s="55" t="n"/>
      <c r="K47">
        <f>ABS(B47 - $G$2)</f>
        <v/>
      </c>
      <c r="L47">
        <f>ABS(B47 - $H$2)</f>
        <v/>
      </c>
      <c r="M47">
        <f>ABS(B47 - $I$2)</f>
        <v/>
      </c>
      <c r="O47">
        <f>(1/K47^2) / ((1/K47^2) + (1/L47^2) + (1/M47^2))</f>
        <v/>
      </c>
      <c r="P47">
        <f>(1/L47^2) / ((1/K47^2) + (1/L47^2) + (1/M47^2))</f>
        <v/>
      </c>
      <c r="Q47">
        <f>(1/M47^2) / ((1/K47^2) + (1/L47^2) + (1/M47^2))</f>
        <v/>
      </c>
      <c r="S47">
        <f>IF(MAX(O47:Q47)=O47, "Murah", IF(MAX(O47:Q47)=P47, "Sedang", "Mahal"))</f>
        <v/>
      </c>
    </row>
    <row r="48">
      <c r="A48" s="6" t="inlineStr">
        <is>
          <t>Depot Wiejen</t>
        </is>
      </c>
      <c r="B48" s="6" t="n">
        <v>0.05930470347648262</v>
      </c>
      <c r="C48" s="6" t="n">
        <v>0.1398615423145622</v>
      </c>
      <c r="D48" s="6" t="n">
        <v>0.4089296753709151</v>
      </c>
      <c r="E48" s="55" t="n"/>
      <c r="K48">
        <f>ABS(B48 - $G$2)</f>
        <v/>
      </c>
      <c r="L48">
        <f>ABS(B48 - $H$2)</f>
        <v/>
      </c>
      <c r="M48">
        <f>ABS(B48 - $I$2)</f>
        <v/>
      </c>
      <c r="O48">
        <f>(1/K48^2) / ((1/K48^2) + (1/L48^2) + (1/M48^2))</f>
        <v/>
      </c>
      <c r="P48">
        <f>(1/L48^2) / ((1/K48^2) + (1/L48^2) + (1/M48^2))</f>
        <v/>
      </c>
      <c r="Q48">
        <f>(1/M48^2) / ((1/K48^2) + (1/L48^2) + (1/M48^2))</f>
        <v/>
      </c>
      <c r="S48">
        <f>IF(MAX(O48:Q48)=O48, "Murah", IF(MAX(O48:Q48)=P48, "Sedang", "Mahal"))</f>
        <v/>
      </c>
    </row>
    <row r="49">
      <c r="A49" s="6" t="inlineStr">
        <is>
          <t>Depot New Purnama</t>
        </is>
      </c>
      <c r="B49" s="6" t="n">
        <v>0.0736196319018405</v>
      </c>
      <c r="C49" s="6" t="n">
        <v>0.1416763107145096</v>
      </c>
      <c r="D49" s="6" t="n">
        <v>0.3422697139370841</v>
      </c>
      <c r="E49" s="55" t="n"/>
      <c r="K49">
        <f>ABS(B49 - $G$2)</f>
        <v/>
      </c>
      <c r="L49">
        <f>ABS(B49 - $H$2)</f>
        <v/>
      </c>
      <c r="M49">
        <f>ABS(B49 - $I$2)</f>
        <v/>
      </c>
      <c r="O49">
        <f>(1/K49^2) / ((1/K49^2) + (1/L49^2) + (1/M49^2))</f>
        <v/>
      </c>
      <c r="P49">
        <f>(1/L49^2) / ((1/K49^2) + (1/L49^2) + (1/M49^2))</f>
        <v/>
      </c>
      <c r="Q49">
        <f>(1/M49^2) / ((1/K49^2) + (1/L49^2) + (1/M49^2))</f>
        <v/>
      </c>
      <c r="S49">
        <f>IF(MAX(O49:Q49)=O49, "Murah", IF(MAX(O49:Q49)=P49, "Sedang", "Mahal"))</f>
        <v/>
      </c>
    </row>
    <row r="50">
      <c r="A50" s="6" t="inlineStr">
        <is>
          <t>Depot 77 Sawojajar Halalan Toyiban</t>
        </is>
      </c>
      <c r="B50" s="6" t="n">
        <v>0.09815950920245399</v>
      </c>
      <c r="C50" s="6" t="n">
        <v>0.1378509460532396</v>
      </c>
      <c r="D50" s="6" t="n">
        <v>0.5197623842333979</v>
      </c>
      <c r="E50" s="55" t="n"/>
      <c r="K50">
        <f>ABS(B50 - $G$2)</f>
        <v/>
      </c>
      <c r="L50">
        <f>ABS(B50 - $H$2)</f>
        <v/>
      </c>
      <c r="M50">
        <f>ABS(B50 - $I$2)</f>
        <v/>
      </c>
      <c r="O50">
        <f>(1/K50^2) / ((1/K50^2) + (1/L50^2) + (1/M50^2))</f>
        <v/>
      </c>
      <c r="P50">
        <f>(1/L50^2) / ((1/K50^2) + (1/L50^2) + (1/M50^2))</f>
        <v/>
      </c>
      <c r="Q50">
        <f>(1/M50^2) / ((1/K50^2) + (1/L50^2) + (1/M50^2))</f>
        <v/>
      </c>
      <c r="S50">
        <f>IF(MAX(O50:Q50)=O50, "Murah", IF(MAX(O50:Q50)=P50, "Sedang", "Mahal"))</f>
        <v/>
      </c>
    </row>
    <row r="51">
      <c r="A51" s="6" t="inlineStr">
        <is>
          <t>Rawon Nguling</t>
        </is>
      </c>
      <c r="B51" s="6" t="n">
        <v>0.2893660531697341</v>
      </c>
      <c r="C51" s="6" t="n">
        <v>0.1311040283135363</v>
      </c>
      <c r="D51" s="6" t="n">
        <v>0.3978332519126579</v>
      </c>
      <c r="E51" s="55" t="n"/>
      <c r="K51">
        <f>ABS(B51 - $G$2)</f>
        <v/>
      </c>
      <c r="L51">
        <f>ABS(B51 - $H$2)</f>
        <v/>
      </c>
      <c r="M51">
        <f>ABS(B51 - $I$2)</f>
        <v/>
      </c>
      <c r="O51">
        <f>(1/K51^2) / ((1/K51^2) + (1/L51^2) + (1/M51^2))</f>
        <v/>
      </c>
      <c r="P51">
        <f>(1/L51^2) / ((1/K51^2) + (1/L51^2) + (1/M51^2))</f>
        <v/>
      </c>
      <c r="Q51">
        <f>(1/M51^2) / ((1/K51^2) + (1/L51^2) + (1/M51^2))</f>
        <v/>
      </c>
      <c r="S51">
        <f>IF(MAX(O51:Q51)=O51, "Murah", IF(MAX(O51:Q51)=P51, "Sedang", "Mahal"))</f>
        <v/>
      </c>
    </row>
    <row r="52">
      <c r="A52" s="6" t="inlineStr">
        <is>
          <t>Depot 88 Tidar</t>
        </is>
      </c>
      <c r="B52" s="6" t="n">
        <v>0.3941717791411043</v>
      </c>
      <c r="C52" s="6" t="n">
        <v>0.1520283019096433</v>
      </c>
      <c r="D52" s="6" t="n">
        <v>0.3117008523013693</v>
      </c>
      <c r="E52" s="55" t="n"/>
      <c r="K52">
        <f>ABS(B52 - $G$2)</f>
        <v/>
      </c>
      <c r="L52">
        <f>ABS(B52 - $H$2)</f>
        <v/>
      </c>
      <c r="M52">
        <f>ABS(B52 - $I$2)</f>
        <v/>
      </c>
      <c r="O52">
        <f>(1/K52^2) / ((1/K52^2) + (1/L52^2) + (1/M52^2))</f>
        <v/>
      </c>
      <c r="P52">
        <f>(1/L52^2) / ((1/K52^2) + (1/L52^2) + (1/M52^2))</f>
        <v/>
      </c>
      <c r="Q52">
        <f>(1/M52^2) / ((1/K52^2) + (1/L52^2) + (1/M52^2))</f>
        <v/>
      </c>
      <c r="S52">
        <f>IF(MAX(O52:Q52)=O52, "Murah", IF(MAX(O52:Q52)=P52, "Sedang", "Mahal"))</f>
        <v/>
      </c>
    </row>
    <row r="53">
      <c r="A53" s="6" t="inlineStr">
        <is>
          <t>Depot Goyang Lidah 1987</t>
        </is>
      </c>
      <c r="B53" s="6" t="n">
        <v>0.05930470347648262</v>
      </c>
      <c r="C53" s="6" t="n">
        <v>0.1549938163447114</v>
      </c>
      <c r="D53" s="6" t="n">
        <v>0.4162295370662978</v>
      </c>
      <c r="E53" s="55" t="n"/>
      <c r="K53">
        <f>ABS(B53 - $G$2)</f>
        <v/>
      </c>
      <c r="L53">
        <f>ABS(B53 - $H$2)</f>
        <v/>
      </c>
      <c r="M53">
        <f>ABS(B53 - $I$2)</f>
        <v/>
      </c>
      <c r="O53">
        <f>(1/K53^2) / ((1/K53^2) + (1/L53^2) + (1/M53^2))</f>
        <v/>
      </c>
      <c r="P53">
        <f>(1/L53^2) / ((1/K53^2) + (1/L53^2) + (1/M53^2))</f>
        <v/>
      </c>
      <c r="Q53">
        <f>(1/M53^2) / ((1/K53^2) + (1/L53^2) + (1/M53^2))</f>
        <v/>
      </c>
      <c r="S53">
        <f>IF(MAX(O53:Q53)=O53, "Murah", IF(MAX(O53:Q53)=P53, "Sedang", "Mahal"))</f>
        <v/>
      </c>
    </row>
    <row r="54">
      <c r="A54" s="6" t="inlineStr">
        <is>
          <t>Rumah Makan Cairo</t>
        </is>
      </c>
      <c r="B54" s="6" t="n">
        <v>0.08997955010224949</v>
      </c>
      <c r="C54" s="6" t="n">
        <v>0.1276636585634058</v>
      </c>
      <c r="D54" s="6" t="n">
        <v>0.3776357643854847</v>
      </c>
      <c r="E54" s="55" t="n"/>
      <c r="K54">
        <f>ABS(B54 - $G$2)</f>
        <v/>
      </c>
      <c r="L54">
        <f>ABS(B54 - $H$2)</f>
        <v/>
      </c>
      <c r="M54">
        <f>ABS(B54 - $I$2)</f>
        <v/>
      </c>
      <c r="O54">
        <f>(1/K54^2) / ((1/K54^2) + (1/L54^2) + (1/M54^2))</f>
        <v/>
      </c>
      <c r="P54">
        <f>(1/L54^2) / ((1/K54^2) + (1/L54^2) + (1/M54^2))</f>
        <v/>
      </c>
      <c r="Q54">
        <f>(1/M54^2) / ((1/K54^2) + (1/L54^2) + (1/M54^2))</f>
        <v/>
      </c>
      <c r="S54">
        <f>IF(MAX(O54:Q54)=O54, "Murah", IF(MAX(O54:Q54)=P54, "Sedang", "Mahal"))</f>
        <v/>
      </c>
    </row>
    <row r="55">
      <c r="A55" s="6" t="inlineStr">
        <is>
          <t>Depot Santo Yusup</t>
        </is>
      </c>
      <c r="B55" s="6" t="n">
        <v>0.3341513292433538</v>
      </c>
      <c r="C55" s="6" t="n">
        <v>0.1842786195698038</v>
      </c>
      <c r="D55" s="6" t="n">
        <v>0.4145716498335742</v>
      </c>
      <c r="E55" s="55" t="n"/>
      <c r="K55">
        <f>ABS(B55 - $G$2)</f>
        <v/>
      </c>
      <c r="L55">
        <f>ABS(B55 - $H$2)</f>
        <v/>
      </c>
      <c r="M55">
        <f>ABS(B55 - $I$2)</f>
        <v/>
      </c>
      <c r="O55">
        <f>(1/K55^2) / ((1/K55^2) + (1/L55^2) + (1/M55^2))</f>
        <v/>
      </c>
      <c r="P55">
        <f>(1/L55^2) / ((1/K55^2) + (1/L55^2) + (1/M55^2))</f>
        <v/>
      </c>
      <c r="Q55">
        <f>(1/M55^2) / ((1/K55^2) + (1/L55^2) + (1/M55^2))</f>
        <v/>
      </c>
      <c r="S55">
        <f>IF(MAX(O55:Q55)=O55, "Murah", IF(MAX(O55:Q55)=P55, "Sedang", "Mahal"))</f>
        <v/>
      </c>
    </row>
    <row r="56">
      <c r="A56" s="6" t="inlineStr">
        <is>
          <t>Green Leaf Hall and Restaurant Malang</t>
        </is>
      </c>
      <c r="B56" s="6" t="n">
        <v>0.7300613496932515</v>
      </c>
      <c r="C56" s="6" t="n">
        <v>0.1508368643708589</v>
      </c>
      <c r="D56" s="6" t="n">
        <v>0.3507452018901537</v>
      </c>
      <c r="E56" s="55" t="n"/>
      <c r="K56">
        <f>ABS(B56 - $G$2)</f>
        <v/>
      </c>
      <c r="L56">
        <f>ABS(B56 - $H$2)</f>
        <v/>
      </c>
      <c r="M56">
        <f>ABS(B56 - $I$2)</f>
        <v/>
      </c>
      <c r="O56">
        <f>(1/K56^2) / ((1/K56^2) + (1/L56^2) + (1/M56^2))</f>
        <v/>
      </c>
      <c r="P56">
        <f>(1/L56^2) / ((1/K56^2) + (1/L56^2) + (1/M56^2))</f>
        <v/>
      </c>
      <c r="Q56">
        <f>(1/M56^2) / ((1/K56^2) + (1/L56^2) + (1/M56^2))</f>
        <v/>
      </c>
      <c r="S56">
        <f>IF(MAX(O56:Q56)=O56, "Murah", IF(MAX(O56:Q56)=P56, "Sedang", "Mahal"))</f>
        <v/>
      </c>
    </row>
    <row r="57">
      <c r="A57" s="6" t="inlineStr">
        <is>
          <t>Dapur 93</t>
        </is>
      </c>
      <c r="B57" s="6" t="n">
        <v>0.6666666666666666</v>
      </c>
      <c r="C57" s="6" t="n">
        <v>0.1633561625586826</v>
      </c>
      <c r="D57" s="6" t="n">
        <v>0.3744651471577676</v>
      </c>
      <c r="E57" s="55" t="n"/>
      <c r="K57">
        <f>ABS(B57 - $G$2)</f>
        <v/>
      </c>
      <c r="L57">
        <f>ABS(B57 - $H$2)</f>
        <v/>
      </c>
      <c r="M57">
        <f>ABS(B57 - $I$2)</f>
        <v/>
      </c>
      <c r="O57">
        <f>(1/K57^2) / ((1/K57^2) + (1/L57^2) + (1/M57^2))</f>
        <v/>
      </c>
      <c r="P57">
        <f>(1/L57^2) / ((1/K57^2) + (1/L57^2) + (1/M57^2))</f>
        <v/>
      </c>
      <c r="Q57">
        <f>(1/M57^2) / ((1/K57^2) + (1/L57^2) + (1/M57^2))</f>
        <v/>
      </c>
      <c r="S57">
        <f>IF(MAX(O57:Q57)=O57, "Murah", IF(MAX(O57:Q57)=P57, "Sedang", "Mahal"))</f>
        <v/>
      </c>
    </row>
    <row r="58">
      <c r="A58" s="6" t="inlineStr">
        <is>
          <t>Depot Ikana</t>
        </is>
      </c>
      <c r="B58" s="6" t="n">
        <v>0.1513292433537832</v>
      </c>
      <c r="C58" s="6" t="n">
        <v>0.1473690036346235</v>
      </c>
      <c r="D58" s="6" t="n">
        <v>0.3218139644209838</v>
      </c>
      <c r="E58" s="55" t="n"/>
      <c r="K58">
        <f>ABS(B58 - $G$2)</f>
        <v/>
      </c>
      <c r="L58">
        <f>ABS(B58 - $H$2)</f>
        <v/>
      </c>
      <c r="M58">
        <f>ABS(B58 - $I$2)</f>
        <v/>
      </c>
      <c r="O58">
        <f>(1/K58^2) / ((1/K58^2) + (1/L58^2) + (1/M58^2))</f>
        <v/>
      </c>
      <c r="P58">
        <f>(1/L58^2) / ((1/K58^2) + (1/L58^2) + (1/M58^2))</f>
        <v/>
      </c>
      <c r="Q58">
        <f>(1/M58^2) / ((1/K58^2) + (1/L58^2) + (1/M58^2))</f>
        <v/>
      </c>
      <c r="S58">
        <f>IF(MAX(O58:Q58)=O58, "Murah", IF(MAX(O58:Q58)=P58, "Sedang", "Mahal"))</f>
        <v/>
      </c>
    </row>
    <row r="59">
      <c r="A59" s="6" t="inlineStr">
        <is>
          <t>Depot Juang 45 Malang</t>
        </is>
      </c>
      <c r="B59" s="6" t="n">
        <v>0.1165644171779141</v>
      </c>
      <c r="C59" s="6" t="n">
        <v>0.1373206243433044</v>
      </c>
      <c r="D59" s="6" t="n">
        <v>0.3817970613396316</v>
      </c>
      <c r="E59" s="55" t="n"/>
      <c r="K59">
        <f>ABS(B59 - $G$2)</f>
        <v/>
      </c>
      <c r="L59">
        <f>ABS(B59 - $H$2)</f>
        <v/>
      </c>
      <c r="M59">
        <f>ABS(B59 - $I$2)</f>
        <v/>
      </c>
      <c r="O59">
        <f>(1/K59^2) / ((1/K59^2) + (1/L59^2) + (1/M59^2))</f>
        <v/>
      </c>
      <c r="P59">
        <f>(1/L59^2) / ((1/K59^2) + (1/L59^2) + (1/M59^2))</f>
        <v/>
      </c>
      <c r="Q59">
        <f>(1/M59^2) / ((1/K59^2) + (1/L59^2) + (1/M59^2))</f>
        <v/>
      </c>
      <c r="S59">
        <f>IF(MAX(O59:Q59)=O59, "Murah", IF(MAX(O59:Q59)=P59, "Sedang", "Mahal"))</f>
        <v/>
      </c>
    </row>
    <row r="60">
      <c r="A60" s="6" t="inlineStr">
        <is>
          <t>Rumah Makan Kertanegara</t>
        </is>
      </c>
      <c r="B60" s="6" t="n">
        <v>0.1615541922290389</v>
      </c>
      <c r="C60" s="6" t="n">
        <v>0.1394166000989195</v>
      </c>
      <c r="D60" s="6" t="n">
        <v>0.4045252216226738</v>
      </c>
      <c r="E60" s="55" t="n"/>
      <c r="K60">
        <f>ABS(B60 - $G$2)</f>
        <v/>
      </c>
      <c r="L60">
        <f>ABS(B60 - $H$2)</f>
        <v/>
      </c>
      <c r="M60">
        <f>ABS(B60 - $I$2)</f>
        <v/>
      </c>
      <c r="O60">
        <f>(1/K60^2) / ((1/K60^2) + (1/L60^2) + (1/M60^2))</f>
        <v/>
      </c>
      <c r="P60">
        <f>(1/L60^2) / ((1/K60^2) + (1/L60^2) + (1/M60^2))</f>
        <v/>
      </c>
      <c r="Q60">
        <f>(1/M60^2) / ((1/K60^2) + (1/L60^2) + (1/M60^2))</f>
        <v/>
      </c>
      <c r="S60">
        <f>IF(MAX(O60:Q60)=O60, "Murah", IF(MAX(O60:Q60)=P60, "Sedang", "Mahal"))</f>
        <v/>
      </c>
    </row>
    <row r="61">
      <c r="A61" s="6" t="inlineStr">
        <is>
          <t>Ayam Goreng Tenes</t>
        </is>
      </c>
      <c r="B61" s="6" t="n">
        <v>0.2269938650306748</v>
      </c>
      <c r="C61" s="6" t="n">
        <v>0.1422589500720102</v>
      </c>
      <c r="D61" s="6" t="n">
        <v>0.3597725820819843</v>
      </c>
      <c r="E61" s="55" t="n"/>
      <c r="K61">
        <f>ABS(B61 - $G$2)</f>
        <v/>
      </c>
      <c r="L61">
        <f>ABS(B61 - $H$2)</f>
        <v/>
      </c>
      <c r="M61">
        <f>ABS(B61 - $I$2)</f>
        <v/>
      </c>
      <c r="O61">
        <f>(1/K61^2) / ((1/K61^2) + (1/L61^2) + (1/M61^2))</f>
        <v/>
      </c>
      <c r="P61">
        <f>(1/L61^2) / ((1/K61^2) + (1/L61^2) + (1/M61^2))</f>
        <v/>
      </c>
      <c r="Q61">
        <f>(1/M61^2) / ((1/K61^2) + (1/L61^2) + (1/M61^2))</f>
        <v/>
      </c>
      <c r="S61">
        <f>IF(MAX(O61:Q61)=O61, "Murah", IF(MAX(O61:Q61)=P61, "Sedang", "Mahal"))</f>
        <v/>
      </c>
    </row>
    <row r="62">
      <c r="A62" s="6" t="inlineStr">
        <is>
          <t>Resto Mie Gang Jangkrik (halal)</t>
        </is>
      </c>
      <c r="B62" s="6" t="n">
        <v>0.2433537832310838</v>
      </c>
      <c r="C62" s="6" t="n">
        <v>0.1806206229384792</v>
      </c>
      <c r="D62" s="6" t="n">
        <v>0.3480306878610649</v>
      </c>
      <c r="E62" s="55" t="n"/>
      <c r="K62">
        <f>ABS(B62 - $G$2)</f>
        <v/>
      </c>
      <c r="L62">
        <f>ABS(B62 - $H$2)</f>
        <v/>
      </c>
      <c r="M62">
        <f>ABS(B62 - $I$2)</f>
        <v/>
      </c>
      <c r="O62">
        <f>(1/K62^2) / ((1/K62^2) + (1/L62^2) + (1/M62^2))</f>
        <v/>
      </c>
      <c r="P62">
        <f>(1/L62^2) / ((1/K62^2) + (1/L62^2) + (1/M62^2))</f>
        <v/>
      </c>
      <c r="Q62">
        <f>(1/M62^2) / ((1/K62^2) + (1/L62^2) + (1/M62^2))</f>
        <v/>
      </c>
      <c r="S62">
        <f>IF(MAX(O62:Q62)=O62, "Murah", IF(MAX(O62:Q62)=P62, "Sedang", "Mahal"))</f>
        <v/>
      </c>
    </row>
    <row r="63">
      <c r="A63" s="6" t="inlineStr">
        <is>
          <t>Depot Cahyen Enak</t>
        </is>
      </c>
      <c r="B63" s="6" t="n">
        <v>0.09815950920245399</v>
      </c>
      <c r="C63" s="6" t="n">
        <v>0.1824827436537</v>
      </c>
      <c r="D63" s="6" t="n">
        <v>0.4965313314897768</v>
      </c>
      <c r="E63" s="55" t="n"/>
      <c r="K63">
        <f>ABS(B63 - $G$2)</f>
        <v/>
      </c>
      <c r="L63">
        <f>ABS(B63 - $H$2)</f>
        <v/>
      </c>
      <c r="M63">
        <f>ABS(B63 - $I$2)</f>
        <v/>
      </c>
      <c r="O63">
        <f>(1/K63^2) / ((1/K63^2) + (1/L63^2) + (1/M63^2))</f>
        <v/>
      </c>
      <c r="P63">
        <f>(1/L63^2) / ((1/K63^2) + (1/L63^2) + (1/M63^2))</f>
        <v/>
      </c>
      <c r="Q63">
        <f>(1/M63^2) / ((1/K63^2) + (1/L63^2) + (1/M63^2))</f>
        <v/>
      </c>
      <c r="S63">
        <f>IF(MAX(O63:Q63)=O63, "Murah", IF(MAX(O63:Q63)=P63, "Sedang", "Mahal"))</f>
        <v/>
      </c>
    </row>
    <row r="64">
      <c r="A64" s="6" t="inlineStr">
        <is>
          <t>Depot Mie Sawahan</t>
        </is>
      </c>
      <c r="B64" s="6" t="n">
        <v>0.05930470347648262</v>
      </c>
      <c r="C64" s="6" t="n">
        <v>0.1281330641235131</v>
      </c>
      <c r="D64" s="6" t="n">
        <v>0.3734173624266423</v>
      </c>
      <c r="E64" s="55" t="n"/>
      <c r="K64">
        <f>ABS(B64 - $G$2)</f>
        <v/>
      </c>
      <c r="L64">
        <f>ABS(B64 - $H$2)</f>
        <v/>
      </c>
      <c r="M64">
        <f>ABS(B64 - $I$2)</f>
        <v/>
      </c>
      <c r="O64">
        <f>(1/K64^2) / ((1/K64^2) + (1/L64^2) + (1/M64^2))</f>
        <v/>
      </c>
      <c r="P64">
        <f>(1/L64^2) / ((1/K64^2) + (1/L64^2) + (1/M64^2))</f>
        <v/>
      </c>
      <c r="Q64">
        <f>(1/M64^2) / ((1/K64^2) + (1/L64^2) + (1/M64^2))</f>
        <v/>
      </c>
      <c r="S64">
        <f>IF(MAX(O64:Q64)=O64, "Murah", IF(MAX(O64:Q64)=P64, "Sedang", "Mahal"))</f>
        <v/>
      </c>
    </row>
    <row r="65">
      <c r="A65" s="6" t="inlineStr">
        <is>
          <t>Depot Lo &amp; Mie</t>
        </is>
      </c>
      <c r="B65" s="6" t="n">
        <v>0.07975460122699386</v>
      </c>
      <c r="C65" s="6" t="n">
        <v>0.1911005017165525</v>
      </c>
      <c r="D65" s="6" t="n">
        <v>0.4105322996959162</v>
      </c>
      <c r="E65" s="55" t="n"/>
      <c r="K65">
        <f>ABS(B65 - $G$2)</f>
        <v/>
      </c>
      <c r="L65">
        <f>ABS(B65 - $H$2)</f>
        <v/>
      </c>
      <c r="M65">
        <f>ABS(B65 - $I$2)</f>
        <v/>
      </c>
      <c r="O65">
        <f>(1/K65^2) / ((1/K65^2) + (1/L65^2) + (1/M65^2))</f>
        <v/>
      </c>
      <c r="P65">
        <f>(1/L65^2) / ((1/K65^2) + (1/L65^2) + (1/M65^2))</f>
        <v/>
      </c>
      <c r="Q65">
        <f>(1/M65^2) / ((1/K65^2) + (1/L65^2) + (1/M65^2))</f>
        <v/>
      </c>
      <c r="S65">
        <f>IF(MAX(O65:Q65)=O65, "Murah", IF(MAX(O65:Q65)=P65, "Sedang", "Mahal"))</f>
        <v/>
      </c>
    </row>
    <row r="66">
      <c r="A66" s="6" t="inlineStr">
        <is>
          <t>Depot Mie Atom</t>
        </is>
      </c>
      <c r="B66" s="6" t="n">
        <v>0.1288343558282209</v>
      </c>
      <c r="C66" s="6" t="n">
        <v>0.1311871068001801</v>
      </c>
      <c r="D66" s="6" t="n">
        <v>0.388812503269731</v>
      </c>
      <c r="E66" s="55" t="n"/>
      <c r="K66">
        <f>ABS(B66 - $G$2)</f>
        <v/>
      </c>
      <c r="L66">
        <f>ABS(B66 - $H$2)</f>
        <v/>
      </c>
      <c r="M66">
        <f>ABS(B66 - $I$2)</f>
        <v/>
      </c>
      <c r="O66">
        <f>(1/K66^2) / ((1/K66^2) + (1/L66^2) + (1/M66^2))</f>
        <v/>
      </c>
      <c r="P66">
        <f>(1/L66^2) / ((1/K66^2) + (1/L66^2) + (1/M66^2))</f>
        <v/>
      </c>
      <c r="Q66">
        <f>(1/M66^2) / ((1/K66^2) + (1/L66^2) + (1/M66^2))</f>
        <v/>
      </c>
      <c r="S66">
        <f>IF(MAX(O66:Q66)=O66, "Murah", IF(MAX(O66:Q66)=P66, "Sedang", "Mahal"))</f>
        <v/>
      </c>
    </row>
    <row r="67">
      <c r="A67" s="6" t="inlineStr">
        <is>
          <t>Depot Panjang Umur</t>
        </is>
      </c>
      <c r="B67" s="6" t="n">
        <v>0.2004089979550102</v>
      </c>
      <c r="C67" s="6" t="n">
        <v>0.1428871251597994</v>
      </c>
      <c r="D67" s="6" t="n">
        <v>0.3273516761976858</v>
      </c>
      <c r="E67" s="55" t="n"/>
      <c r="K67">
        <f>ABS(B67 - $G$2)</f>
        <v/>
      </c>
      <c r="L67">
        <f>ABS(B67 - $H$2)</f>
        <v/>
      </c>
      <c r="M67">
        <f>ABS(B67 - $I$2)</f>
        <v/>
      </c>
      <c r="O67">
        <f>(1/K67^2) / ((1/K67^2) + (1/L67^2) + (1/M67^2))</f>
        <v/>
      </c>
      <c r="P67">
        <f>(1/L67^2) / ((1/K67^2) + (1/L67^2) + (1/M67^2))</f>
        <v/>
      </c>
      <c r="Q67">
        <f>(1/M67^2) / ((1/K67^2) + (1/L67^2) + (1/M67^2))</f>
        <v/>
      </c>
      <c r="S67">
        <f>IF(MAX(O67:Q67)=O67, "Murah", IF(MAX(O67:Q67)=P67, "Sedang", "Mahal"))</f>
        <v/>
      </c>
    </row>
    <row r="68">
      <c r="A68" s="6" t="inlineStr">
        <is>
          <t>Depot Barokah Cab. Mbah Riman Kediri</t>
        </is>
      </c>
      <c r="B68" s="6" t="n">
        <v>0.03680981595092025</v>
      </c>
      <c r="C68" s="6" t="n">
        <v>0.1826599212425636</v>
      </c>
      <c r="D68" s="6" t="n">
        <v>0.4117053470179038</v>
      </c>
      <c r="E68" s="55" t="n"/>
      <c r="K68">
        <f>ABS(B68 - $G$2)</f>
        <v/>
      </c>
      <c r="L68">
        <f>ABS(B68 - $H$2)</f>
        <v/>
      </c>
      <c r="M68">
        <f>ABS(B68 - $I$2)</f>
        <v/>
      </c>
      <c r="O68">
        <f>(1/K68^2) / ((1/K68^2) + (1/L68^2) + (1/M68^2))</f>
        <v/>
      </c>
      <c r="P68">
        <f>(1/L68^2) / ((1/K68^2) + (1/L68^2) + (1/M68^2))</f>
        <v/>
      </c>
      <c r="Q68">
        <f>(1/M68^2) / ((1/K68^2) + (1/L68^2) + (1/M68^2))</f>
        <v/>
      </c>
      <c r="S68">
        <f>IF(MAX(O68:Q68)=O68, "Murah", IF(MAX(O68:Q68)=P68, "Sedang", "Mahal"))</f>
        <v/>
      </c>
    </row>
    <row r="69">
      <c r="A69" s="6" t="inlineStr">
        <is>
          <t>Baegopa? House Of Hungry Kandang Malang</t>
        </is>
      </c>
      <c r="B69" s="6" t="n">
        <v>0.1970347648261759</v>
      </c>
      <c r="C69" s="6" t="n">
        <v>0.1830709538718215</v>
      </c>
      <c r="D69" s="6" t="n">
        <v>0.3782683404695981</v>
      </c>
      <c r="E69" s="55" t="n"/>
      <c r="K69">
        <f>ABS(B69 - $G$2)</f>
        <v/>
      </c>
      <c r="L69">
        <f>ABS(B69 - $H$2)</f>
        <v/>
      </c>
      <c r="M69">
        <f>ABS(B69 - $I$2)</f>
        <v/>
      </c>
      <c r="O69">
        <f>(1/K69^2) / ((1/K69^2) + (1/L69^2) + (1/M69^2))</f>
        <v/>
      </c>
      <c r="P69">
        <f>(1/L69^2) / ((1/K69^2) + (1/L69^2) + (1/M69^2))</f>
        <v/>
      </c>
      <c r="Q69">
        <f>(1/M69^2) / ((1/K69^2) + (1/L69^2) + (1/M69^2))</f>
        <v/>
      </c>
      <c r="S69">
        <f>IF(MAX(O69:Q69)=O69, "Murah", IF(MAX(O69:Q69)=P69, "Sedang", "Mahal"))</f>
        <v/>
      </c>
    </row>
    <row r="70">
      <c r="A70" s="6" t="inlineStr">
        <is>
          <t>Rumah Makan Pecel Kawi Hj Musilah Asli 1975</t>
        </is>
      </c>
      <c r="B70" s="6" t="n">
        <v>0.1078732106339468</v>
      </c>
      <c r="C70" s="6" t="n">
        <v>0.1409843129409161</v>
      </c>
      <c r="D70" s="6" t="n">
        <v>0.3464409582146126</v>
      </c>
      <c r="E70" s="55" t="n"/>
      <c r="K70">
        <f>ABS(B70 - $G$2)</f>
        <v/>
      </c>
      <c r="L70">
        <f>ABS(B70 - $H$2)</f>
        <v/>
      </c>
      <c r="M70">
        <f>ABS(B70 - $I$2)</f>
        <v/>
      </c>
      <c r="O70">
        <f>(1/K70^2) / ((1/K70^2) + (1/L70^2) + (1/M70^2))</f>
        <v/>
      </c>
      <c r="P70">
        <f>(1/L70^2) / ((1/K70^2) + (1/L70^2) + (1/M70^2))</f>
        <v/>
      </c>
      <c r="Q70">
        <f>(1/M70^2) / ((1/K70^2) + (1/L70^2) + (1/M70^2))</f>
        <v/>
      </c>
      <c r="S70">
        <f>IF(MAX(O70:Q70)=O70, "Murah", IF(MAX(O70:Q70)=P70, "Sedang", "Mahal"))</f>
        <v/>
      </c>
    </row>
    <row r="71">
      <c r="A71" s="6" t="inlineStr">
        <is>
          <t>Depot Bang Leo</t>
        </is>
      </c>
      <c r="B71" s="6" t="n">
        <v>0.03885480572597137</v>
      </c>
      <c r="C71" s="6" t="n">
        <v>0.1403862931638763</v>
      </c>
      <c r="D71" s="6" t="n">
        <v>0.4090648852852637</v>
      </c>
      <c r="E71" s="55" t="n"/>
      <c r="K71">
        <f>ABS(B71 - $G$2)</f>
        <v/>
      </c>
      <c r="L71">
        <f>ABS(B71 - $H$2)</f>
        <v/>
      </c>
      <c r="M71">
        <f>ABS(B71 - $I$2)</f>
        <v/>
      </c>
      <c r="O71">
        <f>(1/K71^2) / ((1/K71^2) + (1/L71^2) + (1/M71^2))</f>
        <v/>
      </c>
      <c r="P71">
        <f>(1/L71^2) / ((1/K71^2) + (1/L71^2) + (1/M71^2))</f>
        <v/>
      </c>
      <c r="Q71">
        <f>(1/M71^2) / ((1/K71^2) + (1/L71^2) + (1/M71^2))</f>
        <v/>
      </c>
      <c r="S71">
        <f>IF(MAX(O71:Q71)=O71, "Murah", IF(MAX(O71:Q71)=P71, "Sedang", "Mahal"))</f>
        <v/>
      </c>
    </row>
    <row r="72">
      <c r="A72" s="6" t="inlineStr">
        <is>
          <t>Depot Asem Djawa</t>
        </is>
      </c>
      <c r="B72" s="6" t="n">
        <v>0.05316973415132924</v>
      </c>
      <c r="C72" s="6" t="n">
        <v>0.1874915528798209</v>
      </c>
      <c r="D72" s="6" t="n">
        <v>0.1974436852548623</v>
      </c>
      <c r="E72" s="55" t="n"/>
      <c r="K72">
        <f>ABS(B72 - $G$2)</f>
        <v/>
      </c>
      <c r="L72">
        <f>ABS(B72 - $H$2)</f>
        <v/>
      </c>
      <c r="M72">
        <f>ABS(B72 - $I$2)</f>
        <v/>
      </c>
      <c r="O72">
        <f>(1/K72^2) / ((1/K72^2) + (1/L72^2) + (1/M72^2))</f>
        <v/>
      </c>
      <c r="P72">
        <f>(1/L72^2) / ((1/K72^2) + (1/L72^2) + (1/M72^2))</f>
        <v/>
      </c>
      <c r="Q72">
        <f>(1/M72^2) / ((1/K72^2) + (1/L72^2) + (1/M72^2))</f>
        <v/>
      </c>
      <c r="S72">
        <f>IF(MAX(O72:Q72)=O72, "Murah", IF(MAX(O72:Q72)=P72, "Sedang", "Mahal"))</f>
        <v/>
      </c>
    </row>
    <row r="73">
      <c r="A73" s="6" t="inlineStr">
        <is>
          <t>Depot Soto banjar Achmad Jais</t>
        </is>
      </c>
      <c r="B73" s="6" t="n">
        <v>0.1180981595092025</v>
      </c>
      <c r="C73" s="6" t="n">
        <v>0.1410540698043373</v>
      </c>
      <c r="D73" s="6" t="n">
        <v>0.3203001291678485</v>
      </c>
      <c r="E73" s="55" t="n"/>
      <c r="K73">
        <f>ABS(B73 - $G$2)</f>
        <v/>
      </c>
      <c r="L73">
        <f>ABS(B73 - $H$2)</f>
        <v/>
      </c>
      <c r="M73">
        <f>ABS(B73 - $I$2)</f>
        <v/>
      </c>
      <c r="O73">
        <f>(1/K73^2) / ((1/K73^2) + (1/L73^2) + (1/M73^2))</f>
        <v/>
      </c>
      <c r="P73">
        <f>(1/L73^2) / ((1/K73^2) + (1/L73^2) + (1/M73^2))</f>
        <v/>
      </c>
      <c r="Q73">
        <f>(1/M73^2) / ((1/K73^2) + (1/L73^2) + (1/M73^2))</f>
        <v/>
      </c>
      <c r="S73">
        <f>IF(MAX(O73:Q73)=O73, "Murah", IF(MAX(O73:Q73)=P73, "Sedang", "Mahal"))</f>
        <v/>
      </c>
    </row>
    <row r="74">
      <c r="A74" s="6" t="inlineStr">
        <is>
          <t>Depot Rahayu</t>
        </is>
      </c>
      <c r="B74" s="6" t="n">
        <v>0.03885480572597137</v>
      </c>
      <c r="C74" s="6" t="n">
        <v>0.1201231353966196</v>
      </c>
      <c r="D74" s="6" t="n">
        <v>0.3913752285121336</v>
      </c>
      <c r="E74" s="55" t="n"/>
      <c r="K74">
        <f>ABS(B74 - $G$2)</f>
        <v/>
      </c>
      <c r="L74">
        <f>ABS(B74 - $H$2)</f>
        <v/>
      </c>
      <c r="M74">
        <f>ABS(B74 - $I$2)</f>
        <v/>
      </c>
      <c r="O74">
        <f>(1/K74^2) / ((1/K74^2) + (1/L74^2) + (1/M74^2))</f>
        <v/>
      </c>
      <c r="P74">
        <f>(1/L74^2) / ((1/K74^2) + (1/L74^2) + (1/M74^2))</f>
        <v/>
      </c>
      <c r="Q74">
        <f>(1/M74^2) / ((1/K74^2) + (1/L74^2) + (1/M74^2))</f>
        <v/>
      </c>
      <c r="S74">
        <f>IF(MAX(O74:Q74)=O74, "Murah", IF(MAX(O74:Q74)=P74, "Sedang", "Mahal"))</f>
        <v/>
      </c>
    </row>
    <row r="75">
      <c r="A75" s="6" t="inlineStr">
        <is>
          <t>Ikan Bakar Cianjur - Malang</t>
        </is>
      </c>
      <c r="B75" s="6" t="n">
        <v>0.4314928425357873</v>
      </c>
      <c r="C75" s="6" t="n">
        <v>0.1536867228952202</v>
      </c>
      <c r="D75" s="6" t="n">
        <v>0.366491446407135</v>
      </c>
      <c r="E75" s="55" t="n"/>
      <c r="K75">
        <f>ABS(B75 - $G$2)</f>
        <v/>
      </c>
      <c r="L75">
        <f>ABS(B75 - $H$2)</f>
        <v/>
      </c>
      <c r="M75">
        <f>ABS(B75 - $I$2)</f>
        <v/>
      </c>
      <c r="O75">
        <f>(1/K75^2) / ((1/K75^2) + (1/L75^2) + (1/M75^2))</f>
        <v/>
      </c>
      <c r="P75">
        <f>(1/L75^2) / ((1/K75^2) + (1/L75^2) + (1/M75^2))</f>
        <v/>
      </c>
      <c r="Q75">
        <f>(1/M75^2) / ((1/K75^2) + (1/L75^2) + (1/M75^2))</f>
        <v/>
      </c>
      <c r="S75">
        <f>IF(MAX(O75:Q75)=O75, "Murah", IF(MAX(O75:Q75)=P75, "Sedang", "Mahal"))</f>
        <v/>
      </c>
    </row>
    <row r="76">
      <c r="A76" s="6" t="inlineStr">
        <is>
          <t>Depot Podo Seneng</t>
        </is>
      </c>
      <c r="B76" s="6" t="n">
        <v>0.016359918200409</v>
      </c>
      <c r="C76" s="6" t="n">
        <v>0.1245398590233176</v>
      </c>
      <c r="D76" s="6" t="n">
        <v>0.4006435549817748</v>
      </c>
      <c r="E76" s="55" t="n"/>
      <c r="K76">
        <f>ABS(B76 - $G$2)</f>
        <v/>
      </c>
      <c r="L76">
        <f>ABS(B76 - $H$2)</f>
        <v/>
      </c>
      <c r="M76">
        <f>ABS(B76 - $I$2)</f>
        <v/>
      </c>
      <c r="O76">
        <f>(1/K76^2) / ((1/K76^2) + (1/L76^2) + (1/M76^2))</f>
        <v/>
      </c>
      <c r="P76">
        <f>(1/L76^2) / ((1/K76^2) + (1/L76^2) + (1/M76^2))</f>
        <v/>
      </c>
      <c r="Q76">
        <f>(1/M76^2) / ((1/K76^2) + (1/L76^2) + (1/M76^2))</f>
        <v/>
      </c>
      <c r="S76">
        <f>IF(MAX(O76:Q76)=O76, "Murah", IF(MAX(O76:Q76)=P76, "Sedang", "Mahal"))</f>
        <v/>
      </c>
    </row>
    <row r="77">
      <c r="A77" s="6" t="inlineStr">
        <is>
          <t>DEPOT ESELON SAWOJAJAR</t>
        </is>
      </c>
      <c r="B77" s="6" t="n">
        <v>0.0245398773006135</v>
      </c>
      <c r="C77" s="6" t="n">
        <v>0.1368779831353104</v>
      </c>
      <c r="D77" s="6" t="n">
        <v>0.4798179860870225</v>
      </c>
      <c r="E77" s="55" t="n"/>
      <c r="K77">
        <f>ABS(B77 - $G$2)</f>
        <v/>
      </c>
      <c r="L77">
        <f>ABS(B77 - $H$2)</f>
        <v/>
      </c>
      <c r="M77">
        <f>ABS(B77 - $I$2)</f>
        <v/>
      </c>
      <c r="O77">
        <f>(1/K77^2) / ((1/K77^2) + (1/L77^2) + (1/M77^2))</f>
        <v/>
      </c>
      <c r="P77">
        <f>(1/L77^2) / ((1/K77^2) + (1/L77^2) + (1/M77^2))</f>
        <v/>
      </c>
      <c r="Q77">
        <f>(1/M77^2) / ((1/K77^2) + (1/L77^2) + (1/M77^2))</f>
        <v/>
      </c>
      <c r="S77">
        <f>IF(MAX(O77:Q77)=O77, "Murah", IF(MAX(O77:Q77)=P77, "Sedang", "Mahal"))</f>
        <v/>
      </c>
    </row>
    <row r="78">
      <c r="A78" s="6" t="inlineStr">
        <is>
          <t>Depot Flamboyant</t>
        </is>
      </c>
      <c r="B78" s="6" t="n">
        <v>0.8824130879345603</v>
      </c>
      <c r="C78" s="6" t="n">
        <v>0.1469743202702306</v>
      </c>
      <c r="D78" s="6" t="n">
        <v>0.3582565363125129</v>
      </c>
      <c r="E78" s="55" t="n"/>
      <c r="K78">
        <f>ABS(B78 - $G$2)</f>
        <v/>
      </c>
      <c r="L78">
        <f>ABS(B78 - $H$2)</f>
        <v/>
      </c>
      <c r="M78">
        <f>ABS(B78 - $I$2)</f>
        <v/>
      </c>
      <c r="O78">
        <f>(1/K78^2) / ((1/K78^2) + (1/L78^2) + (1/M78^2))</f>
        <v/>
      </c>
      <c r="P78">
        <f>(1/L78^2) / ((1/K78^2) + (1/L78^2) + (1/M78^2))</f>
        <v/>
      </c>
      <c r="Q78">
        <f>(1/M78^2) / ((1/K78^2) + (1/L78^2) + (1/M78^2))</f>
        <v/>
      </c>
      <c r="S78">
        <f>IF(MAX(O78:Q78)=O78, "Murah", IF(MAX(O78:Q78)=P78, "Sedang", "Mahal"))</f>
        <v/>
      </c>
    </row>
    <row r="79">
      <c r="A79" s="6" t="inlineStr">
        <is>
          <t>Depot Pangsit Mie Bromo Pojok</t>
        </is>
      </c>
      <c r="B79" s="6" t="n">
        <v>0.06697341513292433</v>
      </c>
      <c r="C79" s="6" t="n">
        <v>0.1436791562132297</v>
      </c>
      <c r="D79" s="6" t="n">
        <v>0.4047219575742855</v>
      </c>
      <c r="E79" s="55" t="n"/>
      <c r="K79">
        <f>ABS(B79 - $G$2)</f>
        <v/>
      </c>
      <c r="L79">
        <f>ABS(B79 - $H$2)</f>
        <v/>
      </c>
      <c r="M79">
        <f>ABS(B79 - $I$2)</f>
        <v/>
      </c>
      <c r="O79">
        <f>(1/K79^2) / ((1/K79^2) + (1/L79^2) + (1/M79^2))</f>
        <v/>
      </c>
      <c r="P79">
        <f>(1/L79^2) / ((1/K79^2) + (1/L79^2) + (1/M79^2))</f>
        <v/>
      </c>
      <c r="Q79">
        <f>(1/M79^2) / ((1/K79^2) + (1/L79^2) + (1/M79^2))</f>
        <v/>
      </c>
      <c r="S79">
        <f>IF(MAX(O79:Q79)=O79, "Murah", IF(MAX(O79:Q79)=P79, "Sedang", "Mahal"))</f>
        <v/>
      </c>
    </row>
    <row r="80">
      <c r="A80" s="6" t="inlineStr">
        <is>
          <t>Depot Indah Jaya</t>
        </is>
      </c>
      <c r="B80" s="6" t="n">
        <v>0.07566462167689161</v>
      </c>
      <c r="C80" s="6" t="n">
        <v>0.1374474219752533</v>
      </c>
      <c r="D80" s="6" t="n">
        <v>0.409511777999289</v>
      </c>
      <c r="E80" s="55" t="n"/>
      <c r="K80">
        <f>ABS(B80 - $G$2)</f>
        <v/>
      </c>
      <c r="L80">
        <f>ABS(B80 - $H$2)</f>
        <v/>
      </c>
      <c r="M80">
        <f>ABS(B80 - $I$2)</f>
        <v/>
      </c>
      <c r="O80">
        <f>(1/K80^2) / ((1/K80^2) + (1/L80^2) + (1/M80^2))</f>
        <v/>
      </c>
      <c r="P80">
        <f>(1/L80^2) / ((1/K80^2) + (1/L80^2) + (1/M80^2))</f>
        <v/>
      </c>
      <c r="Q80">
        <f>(1/M80^2) / ((1/K80^2) + (1/L80^2) + (1/M80^2))</f>
        <v/>
      </c>
      <c r="S80">
        <f>IF(MAX(O80:Q80)=O80, "Murah", IF(MAX(O80:Q80)=P80, "Sedang", "Mahal"))</f>
        <v/>
      </c>
    </row>
    <row r="81">
      <c r="A81" s="6" t="inlineStr">
        <is>
          <t>Rumah Makan Kaliurang</t>
        </is>
      </c>
      <c r="B81" s="6" t="n">
        <v>0.212678936605317</v>
      </c>
      <c r="C81" s="6" t="n">
        <v>0.1565411834348767</v>
      </c>
      <c r="D81" s="6" t="n">
        <v>0.3912304396937664</v>
      </c>
      <c r="E81" s="55" t="n"/>
      <c r="K81">
        <f>ABS(B81 - $G$2)</f>
        <v/>
      </c>
      <c r="L81">
        <f>ABS(B81 - $H$2)</f>
        <v/>
      </c>
      <c r="M81">
        <f>ABS(B81 - $I$2)</f>
        <v/>
      </c>
      <c r="O81">
        <f>(1/K81^2) / ((1/K81^2) + (1/L81^2) + (1/M81^2))</f>
        <v/>
      </c>
      <c r="P81">
        <f>(1/L81^2) / ((1/K81^2) + (1/L81^2) + (1/M81^2))</f>
        <v/>
      </c>
      <c r="Q81">
        <f>(1/M81^2) / ((1/K81^2) + (1/L81^2) + (1/M81^2))</f>
        <v/>
      </c>
      <c r="S81">
        <f>IF(MAX(O81:Q81)=O81, "Murah", IF(MAX(O81:Q81)=P81, "Sedang", "Mahal"))</f>
        <v/>
      </c>
    </row>
    <row r="82">
      <c r="A82" s="6" t="inlineStr">
        <is>
          <t>Depot Santai</t>
        </is>
      </c>
      <c r="B82" s="6" t="n">
        <v>0.1022494887525562</v>
      </c>
      <c r="C82" s="6" t="n">
        <v>0.1518115227681079</v>
      </c>
      <c r="D82" s="6" t="n">
        <v>0.3794568614057814</v>
      </c>
      <c r="E82" s="55" t="n"/>
      <c r="K82">
        <f>ABS(B82 - $G$2)</f>
        <v/>
      </c>
      <c r="L82">
        <f>ABS(B82 - $H$2)</f>
        <v/>
      </c>
      <c r="M82">
        <f>ABS(B82 - $I$2)</f>
        <v/>
      </c>
      <c r="O82">
        <f>(1/K82^2) / ((1/K82^2) + (1/L82^2) + (1/M82^2))</f>
        <v/>
      </c>
      <c r="P82">
        <f>(1/L82^2) / ((1/K82^2) + (1/L82^2) + (1/M82^2))</f>
        <v/>
      </c>
      <c r="Q82">
        <f>(1/M82^2) / ((1/K82^2) + (1/L82^2) + (1/M82^2))</f>
        <v/>
      </c>
      <c r="S82">
        <f>IF(MAX(O82:Q82)=O82, "Murah", IF(MAX(O82:Q82)=P82, "Sedang", "Mahal"))</f>
        <v/>
      </c>
    </row>
    <row r="83">
      <c r="A83" s="6" t="inlineStr">
        <is>
          <t>Depot Es Selon</t>
        </is>
      </c>
      <c r="B83" s="6" t="n">
        <v>0.0245398773006135</v>
      </c>
      <c r="C83" s="6" t="n">
        <v>0.1189648808102262</v>
      </c>
      <c r="D83" s="6" t="n">
        <v>0.3973738329394993</v>
      </c>
      <c r="E83" s="55" t="n"/>
      <c r="K83">
        <f>ABS(B83 - $G$2)</f>
        <v/>
      </c>
      <c r="L83">
        <f>ABS(B83 - $H$2)</f>
        <v/>
      </c>
      <c r="M83">
        <f>ABS(B83 - $I$2)</f>
        <v/>
      </c>
      <c r="O83">
        <f>(1/K83^2) / ((1/K83^2) + (1/L83^2) + (1/M83^2))</f>
        <v/>
      </c>
      <c r="P83">
        <f>(1/L83^2) / ((1/K83^2) + (1/L83^2) + (1/M83^2))</f>
        <v/>
      </c>
      <c r="Q83">
        <f>(1/M83^2) / ((1/K83^2) + (1/L83^2) + (1/M83^2))</f>
        <v/>
      </c>
      <c r="S83">
        <f>IF(MAX(O83:Q83)=O83, "Murah", IF(MAX(O83:Q83)=P83, "Sedang", "Mahal"))</f>
        <v/>
      </c>
    </row>
    <row r="84">
      <c r="A84" s="6" t="inlineStr">
        <is>
          <t>Depot Kee Tjie</t>
        </is>
      </c>
      <c r="B84" s="6" t="n">
        <v>0.2709611451942741</v>
      </c>
      <c r="C84" s="6" t="n">
        <v>0.1338603932640067</v>
      </c>
      <c r="D84" s="6" t="n">
        <v>0.3974305695247793</v>
      </c>
      <c r="E84" s="55" t="n"/>
      <c r="K84">
        <f>ABS(B84 - $G$2)</f>
        <v/>
      </c>
      <c r="L84">
        <f>ABS(B84 - $H$2)</f>
        <v/>
      </c>
      <c r="M84">
        <f>ABS(B84 - $I$2)</f>
        <v/>
      </c>
      <c r="O84">
        <f>(1/K84^2) / ((1/K84^2) + (1/L84^2) + (1/M84^2))</f>
        <v/>
      </c>
      <c r="P84">
        <f>(1/L84^2) / ((1/K84^2) + (1/L84^2) + (1/M84^2))</f>
        <v/>
      </c>
      <c r="Q84">
        <f>(1/M84^2) / ((1/K84^2) + (1/L84^2) + (1/M84^2))</f>
        <v/>
      </c>
      <c r="S84">
        <f>IF(MAX(O84:Q84)=O84, "Murah", IF(MAX(O84:Q84)=P84, "Sedang", "Mahal"))</f>
        <v/>
      </c>
    </row>
    <row r="85">
      <c r="A85" s="6" t="inlineStr">
        <is>
          <t>Depot Jepun</t>
        </is>
      </c>
      <c r="B85" s="6" t="n">
        <v>0.1513292433537832</v>
      </c>
      <c r="C85" s="6" t="n">
        <v>0.1371280663349027</v>
      </c>
      <c r="D85" s="6" t="n">
        <v>0.3251396862098128</v>
      </c>
      <c r="E85" s="55" t="n"/>
      <c r="K85">
        <f>ABS(B85 - $G$2)</f>
        <v/>
      </c>
      <c r="L85">
        <f>ABS(B85 - $H$2)</f>
        <v/>
      </c>
      <c r="M85">
        <f>ABS(B85 - $I$2)</f>
        <v/>
      </c>
      <c r="O85">
        <f>(1/K85^2) / ((1/K85^2) + (1/L85^2) + (1/M85^2))</f>
        <v/>
      </c>
      <c r="P85">
        <f>(1/L85^2) / ((1/K85^2) + (1/L85^2) + (1/M85^2))</f>
        <v/>
      </c>
      <c r="Q85">
        <f>(1/M85^2) / ((1/K85^2) + (1/L85^2) + (1/M85^2))</f>
        <v/>
      </c>
      <c r="S85">
        <f>IF(MAX(O85:Q85)=O85, "Murah", IF(MAX(O85:Q85)=P85, "Sedang", "Mahal"))</f>
        <v/>
      </c>
    </row>
    <row r="86">
      <c r="A86" s="6" t="inlineStr">
        <is>
          <t>Depot Maninjau</t>
        </is>
      </c>
      <c r="B86" s="6" t="n">
        <v>0.05521472392638037</v>
      </c>
      <c r="C86" s="6" t="n">
        <v>0.14270340786499</v>
      </c>
      <c r="D86" s="6" t="n">
        <v>0.4858482745815064</v>
      </c>
      <c r="E86" s="55" t="n"/>
      <c r="K86">
        <f>ABS(B86 - $G$2)</f>
        <v/>
      </c>
      <c r="L86">
        <f>ABS(B86 - $H$2)</f>
        <v/>
      </c>
      <c r="M86">
        <f>ABS(B86 - $I$2)</f>
        <v/>
      </c>
      <c r="O86">
        <f>(1/K86^2) / ((1/K86^2) + (1/L86^2) + (1/M86^2))</f>
        <v/>
      </c>
      <c r="P86">
        <f>(1/L86^2) / ((1/K86^2) + (1/L86^2) + (1/M86^2))</f>
        <v/>
      </c>
      <c r="Q86">
        <f>(1/M86^2) / ((1/K86^2) + (1/L86^2) + (1/M86^2))</f>
        <v/>
      </c>
      <c r="S86">
        <f>IF(MAX(O86:Q86)=O86, "Murah", IF(MAX(O86:Q86)=P86, "Sedang", "Mahal"))</f>
        <v/>
      </c>
    </row>
    <row r="87">
      <c r="A87" s="6" t="inlineStr">
        <is>
          <t>Warung Es dan Kue Mungil Malang</t>
        </is>
      </c>
      <c r="B87" s="6" t="n">
        <v>0.1717791411042945</v>
      </c>
      <c r="C87" s="6" t="n">
        <v>0.15294325521372</v>
      </c>
      <c r="D87" s="6" t="n">
        <v>0.3996362963830596</v>
      </c>
      <c r="E87" s="55" t="n"/>
      <c r="K87">
        <f>ABS(B87 - $G$2)</f>
        <v/>
      </c>
      <c r="L87">
        <f>ABS(B87 - $H$2)</f>
        <v/>
      </c>
      <c r="M87">
        <f>ABS(B87 - $I$2)</f>
        <v/>
      </c>
      <c r="O87">
        <f>(1/K87^2) / ((1/K87^2) + (1/L87^2) + (1/M87^2))</f>
        <v/>
      </c>
      <c r="P87">
        <f>(1/L87^2) / ((1/K87^2) + (1/L87^2) + (1/M87^2))</f>
        <v/>
      </c>
      <c r="Q87">
        <f>(1/M87^2) / ((1/K87^2) + (1/L87^2) + (1/M87^2))</f>
        <v/>
      </c>
      <c r="S87">
        <f>IF(MAX(O87:Q87)=O87, "Murah", IF(MAX(O87:Q87)=P87, "Sedang", "Mahal"))</f>
        <v/>
      </c>
    </row>
    <row r="88">
      <c r="A88" s="6" t="inlineStr">
        <is>
          <t>Depot Tahu Lontong Lonceng</t>
        </is>
      </c>
      <c r="B88" s="6" t="n">
        <v>0.016359918200409</v>
      </c>
      <c r="C88" s="6" t="n">
        <v>0.1241686701580624</v>
      </c>
      <c r="D88" s="6" t="n">
        <v>0.4003466089574629</v>
      </c>
      <c r="E88" s="55" t="n"/>
      <c r="K88">
        <f>ABS(B88 - $G$2)</f>
        <v/>
      </c>
      <c r="L88">
        <f>ABS(B88 - $H$2)</f>
        <v/>
      </c>
      <c r="M88">
        <f>ABS(B88 - $I$2)</f>
        <v/>
      </c>
      <c r="O88">
        <f>(1/K88^2) / ((1/K88^2) + (1/L88^2) + (1/M88^2))</f>
        <v/>
      </c>
      <c r="P88">
        <f>(1/L88^2) / ((1/K88^2) + (1/L88^2) + (1/M88^2))</f>
        <v/>
      </c>
      <c r="Q88">
        <f>(1/M88^2) / ((1/K88^2) + (1/L88^2) + (1/M88^2))</f>
        <v/>
      </c>
      <c r="S88">
        <f>IF(MAX(O88:Q88)=O88, "Murah", IF(MAX(O88:Q88)=P88, "Sedang", "Mahal"))</f>
        <v/>
      </c>
    </row>
    <row r="89">
      <c r="A89" s="6" t="inlineStr">
        <is>
          <t>Depot Bu Rudy - Dharmahusada</t>
        </is>
      </c>
      <c r="B89" s="6" t="n">
        <v>1</v>
      </c>
      <c r="C89" s="6" t="n">
        <v>0.9987420754507668</v>
      </c>
      <c r="D89" s="6" t="n">
        <v>0.8991194039858423</v>
      </c>
      <c r="E89" s="55" t="n"/>
      <c r="K89">
        <f>ABS(B89 - $G$2)</f>
        <v/>
      </c>
      <c r="L89">
        <f>ABS(B89 - $H$2)</f>
        <v/>
      </c>
      <c r="M89">
        <f>ABS(B89 - $I$2)</f>
        <v/>
      </c>
      <c r="O89">
        <f>(1/K89^2) / ((1/K89^2) + (1/L89^2) + (1/M89^2))</f>
        <v/>
      </c>
      <c r="P89">
        <f>(1/L89^2) / ((1/K89^2) + (1/L89^2) + (1/M89^2))</f>
        <v/>
      </c>
      <c r="Q89">
        <f>(1/M89^2) / ((1/K89^2) + (1/L89^2) + (1/M89^2))</f>
        <v/>
      </c>
      <c r="S89">
        <f>IF(MAX(O89:Q89)=O89, "Murah", IF(MAX(O89:Q89)=P89, "Sedang", "Mahal"))</f>
        <v/>
      </c>
    </row>
    <row r="90">
      <c r="A90" s="6" t="inlineStr">
        <is>
          <t>Depot Jakarta</t>
        </is>
      </c>
      <c r="B90" s="6" t="n">
        <v>0.04294478527607362</v>
      </c>
      <c r="C90" s="6" t="n">
        <v>0.1616428807065595</v>
      </c>
      <c r="D90" s="6" t="n">
        <v>0.4522694265699483</v>
      </c>
      <c r="E90" s="55" t="n"/>
      <c r="K90">
        <f>ABS(B90 - $G$2)</f>
        <v/>
      </c>
      <c r="L90">
        <f>ABS(B90 - $H$2)</f>
        <v/>
      </c>
      <c r="M90">
        <f>ABS(B90 - $I$2)</f>
        <v/>
      </c>
      <c r="O90">
        <f>(1/K90^2) / ((1/K90^2) + (1/L90^2) + (1/M90^2))</f>
        <v/>
      </c>
      <c r="P90">
        <f>(1/L90^2) / ((1/K90^2) + (1/L90^2) + (1/M90^2))</f>
        <v/>
      </c>
      <c r="Q90">
        <f>(1/M90^2) / ((1/K90^2) + (1/L90^2) + (1/M90^2))</f>
        <v/>
      </c>
      <c r="S90">
        <f>IF(MAX(O90:Q90)=O90, "Murah", IF(MAX(O90:Q90)=P90, "Sedang", "Mahal"))</f>
        <v/>
      </c>
    </row>
    <row r="91">
      <c r="A91" s="6" t="inlineStr">
        <is>
          <t>Depot Asri Vegetarian</t>
        </is>
      </c>
      <c r="B91" s="6" t="n">
        <v>0.06441717791411043</v>
      </c>
      <c r="C91" s="6" t="n">
        <v>0.189909790811762</v>
      </c>
      <c r="D91" s="6" t="n">
        <v>0.4273966970465257</v>
      </c>
      <c r="E91" s="55" t="n"/>
      <c r="K91">
        <f>ABS(B91 - $G$2)</f>
        <v/>
      </c>
      <c r="L91">
        <f>ABS(B91 - $H$2)</f>
        <v/>
      </c>
      <c r="M91">
        <f>ABS(B91 - $I$2)</f>
        <v/>
      </c>
      <c r="O91">
        <f>(1/K91^2) / ((1/K91^2) + (1/L91^2) + (1/M91^2))</f>
        <v/>
      </c>
      <c r="P91">
        <f>(1/L91^2) / ((1/K91^2) + (1/L91^2) + (1/M91^2))</f>
        <v/>
      </c>
      <c r="Q91">
        <f>(1/M91^2) / ((1/K91^2) + (1/L91^2) + (1/M91^2))</f>
        <v/>
      </c>
      <c r="S91">
        <f>IF(MAX(O91:Q91)=O91, "Murah", IF(MAX(O91:Q91)=P91, "Sedang", "Mahal"))</f>
        <v/>
      </c>
    </row>
    <row r="92">
      <c r="A92" s="6" t="inlineStr">
        <is>
          <t>Ayam Tulang Lunak MBOK SURIP, SP Sudarmo, Blimbing, Kota Malang</t>
        </is>
      </c>
      <c r="B92" s="6" t="n">
        <v>0.08793456032719836</v>
      </c>
      <c r="C92" s="6" t="n">
        <v>0.1658804890537433</v>
      </c>
      <c r="D92" s="6" t="n">
        <v>0.4371288635219978</v>
      </c>
      <c r="E92" s="55" t="n"/>
      <c r="K92">
        <f>ABS(B92 - $G$2)</f>
        <v/>
      </c>
      <c r="L92">
        <f>ABS(B92 - $H$2)</f>
        <v/>
      </c>
      <c r="M92">
        <f>ABS(B92 - $I$2)</f>
        <v/>
      </c>
      <c r="O92">
        <f>(1/K92^2) / ((1/K92^2) + (1/L92^2) + (1/M92^2))</f>
        <v/>
      </c>
      <c r="P92">
        <f>(1/L92^2) / ((1/K92^2) + (1/L92^2) + (1/M92^2))</f>
        <v/>
      </c>
      <c r="Q92">
        <f>(1/M92^2) / ((1/K92^2) + (1/L92^2) + (1/M92^2))</f>
        <v/>
      </c>
      <c r="S92">
        <f>IF(MAX(O92:Q92)=O92, "Murah", IF(MAX(O92:Q92)=P92, "Sedang", "Mahal"))</f>
        <v/>
      </c>
    </row>
    <row r="93">
      <c r="A93" s="6" t="inlineStr">
        <is>
          <t>Cita Rasa</t>
        </is>
      </c>
      <c r="B93" s="6" t="n">
        <v>0.1032719836400818</v>
      </c>
      <c r="C93" s="6" t="n">
        <v>0.1719441286277815</v>
      </c>
      <c r="D93" s="6" t="n">
        <v>0.3825368474647644</v>
      </c>
      <c r="E93" s="55" t="n"/>
      <c r="K93">
        <f>ABS(B93 - $G$2)</f>
        <v/>
      </c>
      <c r="L93">
        <f>ABS(B93 - $H$2)</f>
        <v/>
      </c>
      <c r="M93">
        <f>ABS(B93 - $I$2)</f>
        <v/>
      </c>
      <c r="O93">
        <f>(1/K93^2) / ((1/K93^2) + (1/L93^2) + (1/M93^2))</f>
        <v/>
      </c>
      <c r="P93">
        <f>(1/L93^2) / ((1/K93^2) + (1/L93^2) + (1/M93^2))</f>
        <v/>
      </c>
      <c r="Q93">
        <f>(1/M93^2) / ((1/K93^2) + (1/L93^2) + (1/M93^2))</f>
        <v/>
      </c>
      <c r="S93">
        <f>IF(MAX(O93:Q93)=O93, "Murah", IF(MAX(O93:Q93)=P93, "Sedang", "Mahal"))</f>
        <v/>
      </c>
    </row>
    <row r="94">
      <c r="A94" s="6" t="inlineStr">
        <is>
          <t>Soto Basket Stasiun</t>
        </is>
      </c>
      <c r="B94" s="6" t="n">
        <v>0.02862985685071575</v>
      </c>
      <c r="C94" s="6" t="n">
        <v>0.1380243693664679</v>
      </c>
      <c r="D94" s="6" t="n">
        <v>0.4092955158202771</v>
      </c>
      <c r="E94" s="55" t="n"/>
      <c r="K94">
        <f>ABS(B94 - $G$2)</f>
        <v/>
      </c>
      <c r="L94">
        <f>ABS(B94 - $H$2)</f>
        <v/>
      </c>
      <c r="M94">
        <f>ABS(B94 - $I$2)</f>
        <v/>
      </c>
      <c r="O94">
        <f>(1/K94^2) / ((1/K94^2) + (1/L94^2) + (1/M94^2))</f>
        <v/>
      </c>
      <c r="P94">
        <f>(1/L94^2) / ((1/K94^2) + (1/L94^2) + (1/M94^2))</f>
        <v/>
      </c>
      <c r="Q94">
        <f>(1/M94^2) / ((1/K94^2) + (1/L94^2) + (1/M94^2))</f>
        <v/>
      </c>
      <c r="S94">
        <f>IF(MAX(O94:Q94)=O94, "Murah", IF(MAX(O94:Q94)=P94, "Sedang", "Mahal"))</f>
        <v/>
      </c>
    </row>
    <row r="95">
      <c r="A95" s="6" t="inlineStr">
        <is>
          <t>Depot Agung 1952</t>
        </is>
      </c>
      <c r="B95" s="6" t="n">
        <v>0.1339468302658487</v>
      </c>
      <c r="C95" s="6" t="n">
        <v>0.1411593106277981</v>
      </c>
      <c r="D95" s="6" t="n">
        <v>0.3819411133191676</v>
      </c>
      <c r="E95" s="55" t="n"/>
      <c r="K95">
        <f>ABS(B95 - $G$2)</f>
        <v/>
      </c>
      <c r="L95">
        <f>ABS(B95 - $H$2)</f>
        <v/>
      </c>
      <c r="M95">
        <f>ABS(B95 - $I$2)</f>
        <v/>
      </c>
      <c r="O95">
        <f>(1/K95^2) / ((1/K95^2) + (1/L95^2) + (1/M95^2))</f>
        <v/>
      </c>
      <c r="P95">
        <f>(1/L95^2) / ((1/K95^2) + (1/L95^2) + (1/M95^2))</f>
        <v/>
      </c>
      <c r="Q95">
        <f>(1/M95^2) / ((1/K95^2) + (1/L95^2) + (1/M95^2))</f>
        <v/>
      </c>
      <c r="S95">
        <f>IF(MAX(O95:Q95)=O95, "Murah", IF(MAX(O95:Q95)=P95, "Sedang", "Mahal"))</f>
        <v/>
      </c>
    </row>
    <row r="96">
      <c r="A96" s="6" t="inlineStr">
        <is>
          <t>Depot Goyang Lidah</t>
        </is>
      </c>
      <c r="B96" s="6" t="n">
        <v>0.1349693251533742</v>
      </c>
      <c r="C96" s="6" t="n">
        <v>0.1831023202392278</v>
      </c>
      <c r="D96" s="6" t="n">
        <v>0.4196495742177022</v>
      </c>
      <c r="E96" s="55" t="n"/>
      <c r="K96">
        <f>ABS(B96 - $G$2)</f>
        <v/>
      </c>
      <c r="L96">
        <f>ABS(B96 - $H$2)</f>
        <v/>
      </c>
      <c r="M96">
        <f>ABS(B96 - $I$2)</f>
        <v/>
      </c>
      <c r="O96">
        <f>(1/K96^2) / ((1/K96^2) + (1/L96^2) + (1/M96^2))</f>
        <v/>
      </c>
      <c r="P96">
        <f>(1/L96^2) / ((1/K96^2) + (1/L96^2) + (1/M96^2))</f>
        <v/>
      </c>
      <c r="Q96">
        <f>(1/M96^2) / ((1/K96^2) + (1/L96^2) + (1/M96^2))</f>
        <v/>
      </c>
      <c r="S96">
        <f>IF(MAX(O96:Q96)=O96, "Murah", IF(MAX(O96:Q96)=P96, "Sedang", "Mahal"))</f>
        <v/>
      </c>
    </row>
    <row r="97">
      <c r="A97" s="6" t="inlineStr">
        <is>
          <t>Pondok Desa</t>
        </is>
      </c>
      <c r="B97" s="6" t="n">
        <v>0.1615541922290389</v>
      </c>
      <c r="C97" s="6" t="n">
        <v>0.1393911679091301</v>
      </c>
      <c r="D97" s="6" t="n">
        <v>0.3603425268706403</v>
      </c>
      <c r="E97" s="55" t="n"/>
      <c r="K97">
        <f>ABS(B97 - $G$2)</f>
        <v/>
      </c>
      <c r="L97">
        <f>ABS(B97 - $H$2)</f>
        <v/>
      </c>
      <c r="M97">
        <f>ABS(B97 - $I$2)</f>
        <v/>
      </c>
      <c r="O97">
        <f>(1/K97^2) / ((1/K97^2) + (1/L97^2) + (1/M97^2))</f>
        <v/>
      </c>
      <c r="P97">
        <f>(1/L97^2) / ((1/K97^2) + (1/L97^2) + (1/M97^2))</f>
        <v/>
      </c>
      <c r="Q97">
        <f>(1/M97^2) / ((1/K97^2) + (1/L97^2) + (1/M97^2))</f>
        <v/>
      </c>
      <c r="S97">
        <f>IF(MAX(O97:Q97)=O97, "Murah", IF(MAX(O97:Q97)=P97, "Sedang", "Mahal"))</f>
        <v/>
      </c>
    </row>
    <row r="98">
      <c r="A98" s="6" t="inlineStr">
        <is>
          <t>Melati Restaurant</t>
        </is>
      </c>
      <c r="B98" s="6" t="n">
        <v>0.1042944785276074</v>
      </c>
      <c r="C98" s="6" t="n">
        <v>0.1393716698969587</v>
      </c>
      <c r="D98" s="6" t="n">
        <v>0.3937445335773501</v>
      </c>
      <c r="E98" s="55" t="n"/>
      <c r="K98">
        <f>ABS(B98 - $G$2)</f>
        <v/>
      </c>
      <c r="L98">
        <f>ABS(B98 - $H$2)</f>
        <v/>
      </c>
      <c r="M98">
        <f>ABS(B98 - $I$2)</f>
        <v/>
      </c>
      <c r="O98">
        <f>(1/K98^2) / ((1/K98^2) + (1/L98^2) + (1/M98^2))</f>
        <v/>
      </c>
      <c r="P98">
        <f>(1/L98^2) / ((1/K98^2) + (1/L98^2) + (1/M98^2))</f>
        <v/>
      </c>
      <c r="Q98">
        <f>(1/M98^2) / ((1/K98^2) + (1/L98^2) + (1/M98^2))</f>
        <v/>
      </c>
      <c r="S98">
        <f>IF(MAX(O98:Q98)=O98, "Murah", IF(MAX(O98:Q98)=P98, "Sedang", "Mahal"))</f>
        <v/>
      </c>
    </row>
    <row r="99">
      <c r="A99" s="6" t="inlineStr">
        <is>
          <t>Depot Mamujung</t>
        </is>
      </c>
      <c r="B99" s="6" t="n">
        <v>0.06952965235173825</v>
      </c>
      <c r="C99" s="6" t="n">
        <v>0.1963141006233069</v>
      </c>
      <c r="D99" s="6" t="n">
        <v>0.3804707515534527</v>
      </c>
      <c r="E99" s="55" t="n"/>
      <c r="K99">
        <f>ABS(B99 - $G$2)</f>
        <v/>
      </c>
      <c r="L99">
        <f>ABS(B99 - $H$2)</f>
        <v/>
      </c>
      <c r="M99">
        <f>ABS(B99 - $I$2)</f>
        <v/>
      </c>
      <c r="O99">
        <f>(1/K99^2) / ((1/K99^2) + (1/L99^2) + (1/M99^2))</f>
        <v/>
      </c>
      <c r="P99">
        <f>(1/L99^2) / ((1/K99^2) + (1/L99^2) + (1/M99^2))</f>
        <v/>
      </c>
      <c r="Q99">
        <f>(1/M99^2) / ((1/K99^2) + (1/L99^2) + (1/M99^2))</f>
        <v/>
      </c>
      <c r="S99">
        <f>IF(MAX(O99:Q99)=O99, "Murah", IF(MAX(O99:Q99)=P99, "Sedang", "Mahal"))</f>
        <v/>
      </c>
    </row>
    <row r="100">
      <c r="A100" s="6" t="inlineStr">
        <is>
          <t>Soto Ayam Lombok Sejak 1955</t>
        </is>
      </c>
      <c r="B100" s="6" t="n">
        <v>0.07975460122699386</v>
      </c>
      <c r="C100" s="6" t="n">
        <v>0.1278445904279058</v>
      </c>
      <c r="D100" s="6" t="n">
        <v>0.3692214340503673</v>
      </c>
      <c r="E100" s="55" t="n"/>
      <c r="K100">
        <f>ABS(B100 - $G$2)</f>
        <v/>
      </c>
      <c r="L100">
        <f>ABS(B100 - $H$2)</f>
        <v/>
      </c>
      <c r="M100">
        <f>ABS(B100 - $I$2)</f>
        <v/>
      </c>
      <c r="O100">
        <f>(1/K100^2) / ((1/K100^2) + (1/L100^2) + (1/M100^2))</f>
        <v/>
      </c>
      <c r="P100">
        <f>(1/L100^2) / ((1/K100^2) + (1/L100^2) + (1/M100^2))</f>
        <v/>
      </c>
      <c r="Q100">
        <f>(1/M100^2) / ((1/K100^2) + (1/L100^2) + (1/M100^2))</f>
        <v/>
      </c>
      <c r="S100">
        <f>IF(MAX(O100:Q100)=O100, "Murah", IF(MAX(O100:Q100)=P100, "Sedang", "Mahal"))</f>
        <v/>
      </c>
    </row>
    <row r="101">
      <c r="A101" s="6" t="inlineStr">
        <is>
          <t>Pecel Berkah Malang</t>
        </is>
      </c>
      <c r="B101" s="6" t="n">
        <v>0.2331288343558282</v>
      </c>
      <c r="C101" s="6" t="n">
        <v>0.1883908835530275</v>
      </c>
      <c r="D101" s="6" t="n">
        <v>0.3666730771639664</v>
      </c>
      <c r="E101" s="55" t="n"/>
      <c r="K101">
        <f>ABS(B101 - $G$2)</f>
        <v/>
      </c>
      <c r="L101">
        <f>ABS(B101 - $H$2)</f>
        <v/>
      </c>
      <c r="M101">
        <f>ABS(B101 - $I$2)</f>
        <v/>
      </c>
      <c r="O101">
        <f>(1/K101^2) / ((1/K101^2) + (1/L101^2) + (1/M101^2))</f>
        <v/>
      </c>
      <c r="P101">
        <f>(1/L101^2) / ((1/K101^2) + (1/L101^2) + (1/M101^2))</f>
        <v/>
      </c>
      <c r="Q101">
        <f>(1/M101^2) / ((1/K101^2) + (1/L101^2) + (1/M101^2))</f>
        <v/>
      </c>
      <c r="S101">
        <f>IF(MAX(O101:Q101)=O101, "Murah", IF(MAX(O101:Q101)=P101, "Sedang", "Mahal"))</f>
        <v/>
      </c>
    </row>
    <row r="102">
      <c r="A102" s="6" t="inlineStr">
        <is>
          <t>Ayam Goreng Remaja</t>
        </is>
      </c>
      <c r="B102" s="6" t="n">
        <v>0.2188139059304703</v>
      </c>
      <c r="C102" s="6" t="n">
        <v>0.1671510085922052</v>
      </c>
      <c r="D102" s="6" t="n">
        <v>0.4158382756793583</v>
      </c>
      <c r="E102" s="55" t="n"/>
      <c r="K102">
        <f>ABS(B102 - $G$2)</f>
        <v/>
      </c>
      <c r="L102">
        <f>ABS(B102 - $H$2)</f>
        <v/>
      </c>
      <c r="M102">
        <f>ABS(B102 - $I$2)</f>
        <v/>
      </c>
      <c r="O102">
        <f>(1/K102^2) / ((1/K102^2) + (1/L102^2) + (1/M102^2))</f>
        <v/>
      </c>
      <c r="P102">
        <f>(1/L102^2) / ((1/K102^2) + (1/L102^2) + (1/M102^2))</f>
        <v/>
      </c>
      <c r="Q102">
        <f>(1/M102^2) / ((1/K102^2) + (1/L102^2) + (1/M102^2))</f>
        <v/>
      </c>
      <c r="S102">
        <f>IF(MAX(O102:Q102)=O102, "Murah", IF(MAX(O102:Q102)=P102, "Sedang", "Mahal"))</f>
        <v/>
      </c>
    </row>
    <row r="103">
      <c r="A103" s="6" t="inlineStr">
        <is>
          <t>Depot Rujak Pojok</t>
        </is>
      </c>
      <c r="B103" s="6" t="n">
        <v>0.07208588957055215</v>
      </c>
      <c r="C103" s="6" t="n">
        <v>0.1410127727723469</v>
      </c>
      <c r="D103" s="6" t="n">
        <v>0.4073060511410087</v>
      </c>
      <c r="E103" s="55" t="n"/>
      <c r="K103">
        <f>ABS(B103 - $G$2)</f>
        <v/>
      </c>
      <c r="L103">
        <f>ABS(B103 - $H$2)</f>
        <v/>
      </c>
      <c r="M103">
        <f>ABS(B103 - $I$2)</f>
        <v/>
      </c>
      <c r="O103">
        <f>(1/K103^2) / ((1/K103^2) + (1/L103^2) + (1/M103^2))</f>
        <v/>
      </c>
      <c r="P103">
        <f>(1/L103^2) / ((1/K103^2) + (1/L103^2) + (1/M103^2))</f>
        <v/>
      </c>
      <c r="Q103">
        <f>(1/M103^2) / ((1/K103^2) + (1/L103^2) + (1/M103^2))</f>
        <v/>
      </c>
      <c r="S103">
        <f>IF(MAX(O103:Q103)=O103, "Murah", IF(MAX(O103:Q103)=P103, "Sedang", "Mahal"))</f>
        <v/>
      </c>
    </row>
    <row r="104">
      <c r="A104" s="6" t="inlineStr">
        <is>
          <t>Waroeng Sampah</t>
        </is>
      </c>
      <c r="B104" s="6" t="n">
        <v>0.0245398773006135</v>
      </c>
      <c r="C104" s="6" t="n">
        <v>0.1623553453376504</v>
      </c>
      <c r="D104" s="6" t="n">
        <v>0.3472393230219984</v>
      </c>
      <c r="E104" s="55" t="n"/>
      <c r="K104">
        <f>ABS(B104 - $G$2)</f>
        <v/>
      </c>
      <c r="L104">
        <f>ABS(B104 - $H$2)</f>
        <v/>
      </c>
      <c r="M104">
        <f>ABS(B104 - $I$2)</f>
        <v/>
      </c>
      <c r="O104">
        <f>(1/K104^2) / ((1/K104^2) + (1/L104^2) + (1/M104^2))</f>
        <v/>
      </c>
      <c r="P104">
        <f>(1/L104^2) / ((1/K104^2) + (1/L104^2) + (1/M104^2))</f>
        <v/>
      </c>
      <c r="Q104">
        <f>(1/M104^2) / ((1/K104^2) + (1/L104^2) + (1/M104^2))</f>
        <v/>
      </c>
      <c r="S104">
        <f>IF(MAX(O104:Q104)=O104, "Murah", IF(MAX(O104:Q104)=P104, "Sedang", "Mahal"))</f>
        <v/>
      </c>
    </row>
    <row r="105">
      <c r="A105" s="6" t="inlineStr">
        <is>
          <t>Depot 51</t>
        </is>
      </c>
      <c r="B105" s="6" t="n">
        <v>0.1155419222903886</v>
      </c>
      <c r="C105" s="6" t="n">
        <v>0.1688308652806043</v>
      </c>
      <c r="D105" s="6" t="n">
        <v>0.4135330755871042</v>
      </c>
      <c r="E105" s="55" t="n"/>
      <c r="K105">
        <f>ABS(B105 - $G$2)</f>
        <v/>
      </c>
      <c r="L105">
        <f>ABS(B105 - $H$2)</f>
        <v/>
      </c>
      <c r="M105">
        <f>ABS(B105 - $I$2)</f>
        <v/>
      </c>
      <c r="O105">
        <f>(1/K105^2) / ((1/K105^2) + (1/L105^2) + (1/M105^2))</f>
        <v/>
      </c>
      <c r="P105">
        <f>(1/L105^2) / ((1/K105^2) + (1/L105^2) + (1/M105^2))</f>
        <v/>
      </c>
      <c r="Q105">
        <f>(1/M105^2) / ((1/K105^2) + (1/L105^2) + (1/M105^2))</f>
        <v/>
      </c>
      <c r="S105">
        <f>IF(MAX(O105:Q105)=O105, "Murah", IF(MAX(O105:Q105)=P105, "Sedang", "Mahal"))</f>
        <v/>
      </c>
    </row>
    <row r="106">
      <c r="A106" s="6" t="inlineStr">
        <is>
          <t>Taman Indie Resto</t>
        </is>
      </c>
      <c r="B106" s="6" t="n">
        <v>0.1871165644171779</v>
      </c>
      <c r="C106" s="6" t="n">
        <v>0.1846253450905945</v>
      </c>
      <c r="D106" s="6" t="n">
        <v>0.5093018526337322</v>
      </c>
      <c r="E106" s="55" t="n"/>
      <c r="K106">
        <f>ABS(B106 - $G$2)</f>
        <v/>
      </c>
      <c r="L106">
        <f>ABS(B106 - $H$2)</f>
        <v/>
      </c>
      <c r="M106">
        <f>ABS(B106 - $I$2)</f>
        <v/>
      </c>
      <c r="O106">
        <f>(1/K106^2) / ((1/K106^2) + (1/L106^2) + (1/M106^2))</f>
        <v/>
      </c>
      <c r="P106">
        <f>(1/L106^2) / ((1/K106^2) + (1/L106^2) + (1/M106^2))</f>
        <v/>
      </c>
      <c r="Q106">
        <f>(1/M106^2) / ((1/K106^2) + (1/L106^2) + (1/M106^2))</f>
        <v/>
      </c>
      <c r="S106">
        <f>IF(MAX(O106:Q106)=O106, "Murah", IF(MAX(O106:Q106)=P106, "Sedang", "Mahal"))</f>
        <v/>
      </c>
    </row>
    <row r="107">
      <c r="A107" s="6" t="inlineStr">
        <is>
          <t>Depot Lumayan</t>
        </is>
      </c>
      <c r="B107" s="6" t="n">
        <v>0.1513292433537832</v>
      </c>
      <c r="C107" s="6" t="n">
        <v>0.1640666894991217</v>
      </c>
      <c r="D107" s="6" t="n">
        <v>0.3856853595294343</v>
      </c>
      <c r="E107" s="55" t="n"/>
      <c r="K107">
        <f>ABS(B107 - $G$2)</f>
        <v/>
      </c>
      <c r="L107">
        <f>ABS(B107 - $H$2)</f>
        <v/>
      </c>
      <c r="M107">
        <f>ABS(B107 - $I$2)</f>
        <v/>
      </c>
      <c r="O107">
        <f>(1/K107^2) / ((1/K107^2) + (1/L107^2) + (1/M107^2))</f>
        <v/>
      </c>
      <c r="P107">
        <f>(1/L107^2) / ((1/K107^2) + (1/L107^2) + (1/M107^2))</f>
        <v/>
      </c>
      <c r="Q107">
        <f>(1/M107^2) / ((1/K107^2) + (1/L107^2) + (1/M107^2))</f>
        <v/>
      </c>
      <c r="S107">
        <f>IF(MAX(O107:Q107)=O107, "Murah", IF(MAX(O107:Q107)=P107, "Sedang", "Mahal"))</f>
        <v/>
      </c>
    </row>
    <row r="108">
      <c r="A108" s="6" t="inlineStr">
        <is>
          <t>Warung Manteb Bu Lanny</t>
        </is>
      </c>
      <c r="B108" s="6" t="n">
        <v>0.07770961145194274</v>
      </c>
      <c r="C108" s="6" t="n">
        <v>0.1743672107863487</v>
      </c>
      <c r="D108" s="6" t="n">
        <v>0.4192380497645837</v>
      </c>
      <c r="E108" s="55" t="n"/>
      <c r="K108">
        <f>ABS(B108 - $G$2)</f>
        <v/>
      </c>
      <c r="L108">
        <f>ABS(B108 - $H$2)</f>
        <v/>
      </c>
      <c r="M108">
        <f>ABS(B108 - $I$2)</f>
        <v/>
      </c>
      <c r="O108">
        <f>(1/K108^2) / ((1/K108^2) + (1/L108^2) + (1/M108^2))</f>
        <v/>
      </c>
      <c r="P108">
        <f>(1/L108^2) / ((1/K108^2) + (1/L108^2) + (1/M108^2))</f>
        <v/>
      </c>
      <c r="Q108">
        <f>(1/M108^2) / ((1/K108^2) + (1/L108^2) + (1/M108^2))</f>
        <v/>
      </c>
      <c r="S108">
        <f>IF(MAX(O108:Q108)=O108, "Murah", IF(MAX(O108:Q108)=P108, "Sedang", "Mahal"))</f>
        <v/>
      </c>
    </row>
    <row r="109">
      <c r="A109" s="6" t="inlineStr">
        <is>
          <t>Depot Nasi Goreng Cak Koes</t>
        </is>
      </c>
      <c r="B109" s="6" t="n">
        <v>0.1104294478527607</v>
      </c>
      <c r="C109" s="6" t="n">
        <v>0.1470749590783963</v>
      </c>
      <c r="D109" s="6" t="n">
        <v>0.4969391717490017</v>
      </c>
      <c r="E109" s="55" t="n"/>
      <c r="K109">
        <f>ABS(B109 - $G$2)</f>
        <v/>
      </c>
      <c r="L109">
        <f>ABS(B109 - $H$2)</f>
        <v/>
      </c>
      <c r="M109">
        <f>ABS(B109 - $I$2)</f>
        <v/>
      </c>
      <c r="O109">
        <f>(1/K109^2) / ((1/K109^2) + (1/L109^2) + (1/M109^2))</f>
        <v/>
      </c>
      <c r="P109">
        <f>(1/L109^2) / ((1/K109^2) + (1/L109^2) + (1/M109^2))</f>
        <v/>
      </c>
      <c r="Q109">
        <f>(1/M109^2) / ((1/K109^2) + (1/L109^2) + (1/M109^2))</f>
        <v/>
      </c>
      <c r="S109">
        <f>IF(MAX(O109:Q109)=O109, "Murah", IF(MAX(O109:Q109)=P109, "Sedang", "Mahal"))</f>
        <v/>
      </c>
    </row>
    <row r="110">
      <c r="A110" s="6" t="inlineStr">
        <is>
          <t>Hot Cui Mie KAWI l Since 2000</t>
        </is>
      </c>
      <c r="B110" s="6" t="n">
        <v>0.1196319018404908</v>
      </c>
      <c r="C110" s="6" t="n">
        <v>0.1419854934789452</v>
      </c>
      <c r="D110" s="6" t="n">
        <v>0.3378788917060657</v>
      </c>
      <c r="E110" s="55" t="n"/>
      <c r="K110">
        <f>ABS(B110 - $G$2)</f>
        <v/>
      </c>
      <c r="L110">
        <f>ABS(B110 - $H$2)</f>
        <v/>
      </c>
      <c r="M110">
        <f>ABS(B110 - $I$2)</f>
        <v/>
      </c>
      <c r="O110">
        <f>(1/K110^2) / ((1/K110^2) + (1/L110^2) + (1/M110^2))</f>
        <v/>
      </c>
      <c r="P110">
        <f>(1/L110^2) / ((1/K110^2) + (1/L110^2) + (1/M110^2))</f>
        <v/>
      </c>
      <c r="Q110">
        <f>(1/M110^2) / ((1/K110^2) + (1/L110^2) + (1/M110^2))</f>
        <v/>
      </c>
      <c r="S110">
        <f>IF(MAX(O110:Q110)=O110, "Murah", IF(MAX(O110:Q110)=P110, "Sedang", "Mahal"))</f>
        <v/>
      </c>
    </row>
    <row r="111">
      <c r="A111" s="6" t="inlineStr">
        <is>
          <t>Potre Koneng Warisan Rasa Nusantara</t>
        </is>
      </c>
      <c r="B111" s="6" t="n">
        <v>0.3394683026584867</v>
      </c>
      <c r="C111" s="6" t="n">
        <v>0.1489348998916355</v>
      </c>
      <c r="D111" s="6" t="n">
        <v>0.3696955897988907</v>
      </c>
      <c r="E111" s="55" t="n"/>
      <c r="K111">
        <f>ABS(B111 - $G$2)</f>
        <v/>
      </c>
      <c r="L111">
        <f>ABS(B111 - $H$2)</f>
        <v/>
      </c>
      <c r="M111">
        <f>ABS(B111 - $I$2)</f>
        <v/>
      </c>
      <c r="O111">
        <f>(1/K111^2) / ((1/K111^2) + (1/L111^2) + (1/M111^2))</f>
        <v/>
      </c>
      <c r="P111">
        <f>(1/L111^2) / ((1/K111^2) + (1/L111^2) + (1/M111^2))</f>
        <v/>
      </c>
      <c r="Q111">
        <f>(1/M111^2) / ((1/K111^2) + (1/L111^2) + (1/M111^2))</f>
        <v/>
      </c>
      <c r="S111">
        <f>IF(MAX(O111:Q111)=O111, "Murah", IF(MAX(O111:Q111)=P111, "Sedang", "Mahal"))</f>
        <v/>
      </c>
    </row>
    <row r="112">
      <c r="A112" s="6" t="inlineStr">
        <is>
          <t>Depot Nasi Goreng Cak Mien</t>
        </is>
      </c>
      <c r="B112" s="6" t="n">
        <v>0.07975460122699386</v>
      </c>
      <c r="C112" s="6" t="n">
        <v>0.1395610791580541</v>
      </c>
      <c r="D112" s="6" t="n">
        <v>0.4343583497464077</v>
      </c>
      <c r="E112" s="55" t="n"/>
      <c r="K112">
        <f>ABS(B112 - $G$2)</f>
        <v/>
      </c>
      <c r="L112">
        <f>ABS(B112 - $H$2)</f>
        <v/>
      </c>
      <c r="M112">
        <f>ABS(B112 - $I$2)</f>
        <v/>
      </c>
      <c r="O112">
        <f>(1/K112^2) / ((1/K112^2) + (1/L112^2) + (1/M112^2))</f>
        <v/>
      </c>
      <c r="P112">
        <f>(1/L112^2) / ((1/K112^2) + (1/L112^2) + (1/M112^2))</f>
        <v/>
      </c>
      <c r="Q112">
        <f>(1/M112^2) / ((1/K112^2) + (1/L112^2) + (1/M112^2))</f>
        <v/>
      </c>
      <c r="S112">
        <f>IF(MAX(O112:Q112)=O112, "Murah", IF(MAX(O112:Q112)=P112, "Sedang", "Mahal"))</f>
        <v/>
      </c>
    </row>
    <row r="113">
      <c r="A113" s="6" t="inlineStr">
        <is>
          <t>Depot Kurnia Ria Ning Sul</t>
        </is>
      </c>
      <c r="B113" s="6" t="n">
        <v>0.2689161554192229</v>
      </c>
      <c r="C113" s="6" t="n">
        <v>0.1415879035785758</v>
      </c>
      <c r="D113" s="6" t="n">
        <v>0.4086994132552649</v>
      </c>
      <c r="E113" s="55" t="n"/>
      <c r="K113">
        <f>ABS(B113 - $G$2)</f>
        <v/>
      </c>
      <c r="L113">
        <f>ABS(B113 - $H$2)</f>
        <v/>
      </c>
      <c r="M113">
        <f>ABS(B113 - $I$2)</f>
        <v/>
      </c>
      <c r="O113">
        <f>(1/K113^2) / ((1/K113^2) + (1/L113^2) + (1/M113^2))</f>
        <v/>
      </c>
      <c r="P113">
        <f>(1/L113^2) / ((1/K113^2) + (1/L113^2) + (1/M113^2))</f>
        <v/>
      </c>
      <c r="Q113">
        <f>(1/M113^2) / ((1/K113^2) + (1/L113^2) + (1/M113^2))</f>
        <v/>
      </c>
      <c r="S113">
        <f>IF(MAX(O113:Q113)=O113, "Murah", IF(MAX(O113:Q113)=P113, "Sedang", "Mahal"))</f>
        <v/>
      </c>
    </row>
    <row r="114">
      <c r="A114" s="6" t="inlineStr">
        <is>
          <t>Rumah Makan Inggil</t>
        </is>
      </c>
      <c r="B114" s="6" t="n">
        <v>0.1411042944785276</v>
      </c>
      <c r="C114" s="6" t="n">
        <v>0.1308991175272357</v>
      </c>
      <c r="D114" s="6" t="n">
        <v>0.3985863011357028</v>
      </c>
      <c r="E114" s="55" t="n"/>
      <c r="K114">
        <f>ABS(B114 - $G$2)</f>
        <v/>
      </c>
      <c r="L114">
        <f>ABS(B114 - $H$2)</f>
        <v/>
      </c>
      <c r="M114">
        <f>ABS(B114 - $I$2)</f>
        <v/>
      </c>
      <c r="O114">
        <f>(1/K114^2) / ((1/K114^2) + (1/L114^2) + (1/M114^2))</f>
        <v/>
      </c>
      <c r="P114">
        <f>(1/L114^2) / ((1/K114^2) + (1/L114^2) + (1/M114^2))</f>
        <v/>
      </c>
      <c r="Q114">
        <f>(1/M114^2) / ((1/K114^2) + (1/L114^2) + (1/M114^2))</f>
        <v/>
      </c>
      <c r="S114">
        <f>IF(MAX(O114:Q114)=O114, "Murah", IF(MAX(O114:Q114)=P114, "Sedang", "Mahal"))</f>
        <v/>
      </c>
    </row>
    <row r="115">
      <c r="A115" s="6" t="inlineStr">
        <is>
          <t>Ronde Titoni</t>
        </is>
      </c>
      <c r="B115" s="6" t="n">
        <v>0.1697341513292434</v>
      </c>
      <c r="C115" s="6" t="n">
        <v>0.132966027923091</v>
      </c>
      <c r="D115" s="6" t="n">
        <v>0.4005532922324562</v>
      </c>
      <c r="E115" s="55" t="n"/>
      <c r="K115">
        <f>ABS(B115 - $G$2)</f>
        <v/>
      </c>
      <c r="L115">
        <f>ABS(B115 - $H$2)</f>
        <v/>
      </c>
      <c r="M115">
        <f>ABS(B115 - $I$2)</f>
        <v/>
      </c>
      <c r="O115">
        <f>(1/K115^2) / ((1/K115^2) + (1/L115^2) + (1/M115^2))</f>
        <v/>
      </c>
      <c r="P115">
        <f>(1/L115^2) / ((1/K115^2) + (1/L115^2) + (1/M115^2))</f>
        <v/>
      </c>
      <c r="Q115">
        <f>(1/M115^2) / ((1/K115^2) + (1/L115^2) + (1/M115^2))</f>
        <v/>
      </c>
      <c r="S115">
        <f>IF(MAX(O115:Q115)=O115, "Murah", IF(MAX(O115:Q115)=P115, "Sedang", "Mahal"))</f>
        <v/>
      </c>
    </row>
    <row r="116">
      <c r="A116" s="6" t="inlineStr">
        <is>
          <t>Soto Ayam Lamongan CAK HAR</t>
        </is>
      </c>
      <c r="B116" s="6" t="n">
        <v>0.03680981595092025</v>
      </c>
      <c r="C116" s="6" t="n">
        <v>0.9645093791493824</v>
      </c>
      <c r="D116" s="6" t="n">
        <v>0.9408101100173917</v>
      </c>
      <c r="E116" s="55" t="n"/>
      <c r="K116">
        <f>ABS(B116 - $G$2)</f>
        <v/>
      </c>
      <c r="L116">
        <f>ABS(B116 - $H$2)</f>
        <v/>
      </c>
      <c r="M116">
        <f>ABS(B116 - $I$2)</f>
        <v/>
      </c>
      <c r="O116">
        <f>(1/K116^2) / ((1/K116^2) + (1/L116^2) + (1/M116^2))</f>
        <v/>
      </c>
      <c r="P116">
        <f>(1/L116^2) / ((1/K116^2) + (1/L116^2) + (1/M116^2))</f>
        <v/>
      </c>
      <c r="Q116">
        <f>(1/M116^2) / ((1/K116^2) + (1/L116^2) + (1/M116^2))</f>
        <v/>
      </c>
      <c r="S116">
        <f>IF(MAX(O116:Q116)=O116, "Murah", IF(MAX(O116:Q116)=P116, "Sedang", "Mahal"))</f>
        <v/>
      </c>
    </row>
    <row r="117">
      <c r="A117" s="6" t="inlineStr">
        <is>
          <t>Sentra Kuliner Sriwijaya</t>
        </is>
      </c>
      <c r="B117" s="6" t="n">
        <v>0.05521472392638037</v>
      </c>
      <c r="C117" s="6" t="n">
        <v>0.1376014683819751</v>
      </c>
      <c r="D117" s="6" t="n">
        <v>0.4068274743598655</v>
      </c>
      <c r="E117" s="55" t="n"/>
      <c r="K117">
        <f>ABS(B117 - $G$2)</f>
        <v/>
      </c>
      <c r="L117">
        <f>ABS(B117 - $H$2)</f>
        <v/>
      </c>
      <c r="M117">
        <f>ABS(B117 - $I$2)</f>
        <v/>
      </c>
      <c r="O117">
        <f>(1/K117^2) / ((1/K117^2) + (1/L117^2) + (1/M117^2))</f>
        <v/>
      </c>
      <c r="P117">
        <f>(1/L117^2) / ((1/K117^2) + (1/L117^2) + (1/M117^2))</f>
        <v/>
      </c>
      <c r="Q117">
        <f>(1/M117^2) / ((1/K117^2) + (1/L117^2) + (1/M117^2))</f>
        <v/>
      </c>
      <c r="S117">
        <f>IF(MAX(O117:Q117)=O117, "Murah", IF(MAX(O117:Q117)=P117, "Sedang", "Mahal"))</f>
        <v/>
      </c>
    </row>
    <row r="118">
      <c r="A118" s="6" t="inlineStr">
        <is>
          <t>Pos Ketan Legenda 1967 Suhat</t>
        </is>
      </c>
      <c r="B118" s="6" t="n">
        <v>0.03885480572597137</v>
      </c>
      <c r="C118" s="6" t="n">
        <v>0.1818322851234288</v>
      </c>
      <c r="D118" s="6" t="n">
        <v>0.3521433534563929</v>
      </c>
      <c r="E118" s="55" t="n"/>
      <c r="K118">
        <f>ABS(B118 - $G$2)</f>
        <v/>
      </c>
      <c r="L118">
        <f>ABS(B118 - $H$2)</f>
        <v/>
      </c>
      <c r="M118">
        <f>ABS(B118 - $I$2)</f>
        <v/>
      </c>
      <c r="O118">
        <f>(1/K118^2) / ((1/K118^2) + (1/L118^2) + (1/M118^2))</f>
        <v/>
      </c>
      <c r="P118">
        <f>(1/L118^2) / ((1/K118^2) + (1/L118^2) + (1/M118^2))</f>
        <v/>
      </c>
      <c r="Q118">
        <f>(1/M118^2) / ((1/K118^2) + (1/L118^2) + (1/M118^2))</f>
        <v/>
      </c>
      <c r="S118">
        <f>IF(MAX(O118:Q118)=O118, "Murah", IF(MAX(O118:Q118)=P118, "Sedang", "Mahal"))</f>
        <v/>
      </c>
    </row>
    <row r="119">
      <c r="A119" s="6" t="inlineStr">
        <is>
          <t>Taman Jajan Al Fatih</t>
        </is>
      </c>
      <c r="B119" s="6" t="n">
        <v>0.05398773006134969</v>
      </c>
      <c r="C119" s="6" t="n">
        <v>0.1467272647122798</v>
      </c>
      <c r="D119" s="6" t="n">
        <v>0.4957650191688723</v>
      </c>
      <c r="E119" s="55" t="n"/>
      <c r="K119">
        <f>ABS(B119 - $G$2)</f>
        <v/>
      </c>
      <c r="L119">
        <f>ABS(B119 - $H$2)</f>
        <v/>
      </c>
      <c r="M119">
        <f>ABS(B119 - $I$2)</f>
        <v/>
      </c>
      <c r="O119">
        <f>(1/K119^2) / ((1/K119^2) + (1/L119^2) + (1/M119^2))</f>
        <v/>
      </c>
      <c r="P119">
        <f>(1/L119^2) / ((1/K119^2) + (1/L119^2) + (1/M119^2))</f>
        <v/>
      </c>
      <c r="Q119">
        <f>(1/M119^2) / ((1/K119^2) + (1/L119^2) + (1/M119^2))</f>
        <v/>
      </c>
      <c r="S119">
        <f>IF(MAX(O119:Q119)=O119, "Murah", IF(MAX(O119:Q119)=P119, "Sedang", "Mahal"))</f>
        <v/>
      </c>
    </row>
    <row r="120">
      <c r="A120" s="6" t="inlineStr">
        <is>
          <t>Puthu Lanang</t>
        </is>
      </c>
      <c r="B120" s="6" t="n">
        <v>0.02862985685071575</v>
      </c>
      <c r="C120" s="6" t="n">
        <v>0.1522171056424108</v>
      </c>
      <c r="D120" s="6" t="n">
        <v>0.3965902049074784</v>
      </c>
      <c r="E120" s="55" t="n"/>
      <c r="K120">
        <f>ABS(B120 - $G$2)</f>
        <v/>
      </c>
      <c r="L120">
        <f>ABS(B120 - $H$2)</f>
        <v/>
      </c>
      <c r="M120">
        <f>ABS(B120 - $I$2)</f>
        <v/>
      </c>
      <c r="O120">
        <f>(1/K120^2) / ((1/K120^2) + (1/L120^2) + (1/M120^2))</f>
        <v/>
      </c>
      <c r="P120">
        <f>(1/L120^2) / ((1/K120^2) + (1/L120^2) + (1/M120^2))</f>
        <v/>
      </c>
      <c r="Q120">
        <f>(1/M120^2) / ((1/K120^2) + (1/L120^2) + (1/M120^2))</f>
        <v/>
      </c>
      <c r="S120">
        <f>IF(MAX(O120:Q120)=O120, "Murah", IF(MAX(O120:Q120)=P120, "Sedang", "Mahal"))</f>
        <v/>
      </c>
    </row>
    <row r="121">
      <c r="A121" s="6" t="inlineStr">
        <is>
          <t>Sego Goreng Resek (Pak Man)</t>
        </is>
      </c>
      <c r="B121" s="6" t="n">
        <v>0.0081799591002045</v>
      </c>
      <c r="C121" s="6" t="n">
        <v>0.1309217642867146</v>
      </c>
      <c r="D121" s="6" t="n">
        <v>0.3668230238536798</v>
      </c>
      <c r="E121" s="55" t="n"/>
      <c r="K121">
        <f>ABS(B121 - $G$2)</f>
        <v/>
      </c>
      <c r="L121">
        <f>ABS(B121 - $H$2)</f>
        <v/>
      </c>
      <c r="M121">
        <f>ABS(B121 - $I$2)</f>
        <v/>
      </c>
      <c r="O121">
        <f>(1/K121^2) / ((1/K121^2) + (1/L121^2) + (1/M121^2))</f>
        <v/>
      </c>
      <c r="P121">
        <f>(1/L121^2) / ((1/K121^2) + (1/L121^2) + (1/M121^2))</f>
        <v/>
      </c>
      <c r="Q121">
        <f>(1/M121^2) / ((1/K121^2) + (1/L121^2) + (1/M121^2))</f>
        <v/>
      </c>
      <c r="S121">
        <f>IF(MAX(O121:Q121)=O121, "Murah", IF(MAX(O121:Q121)=P121, "Sedang", "Mahal"))</f>
        <v/>
      </c>
    </row>
    <row r="122">
      <c r="A122" s="6" t="inlineStr">
        <is>
          <t>Surabi Imut</t>
        </is>
      </c>
      <c r="B122" s="6" t="n">
        <v>0.02862985685071575</v>
      </c>
      <c r="C122" s="6" t="n">
        <v>0.1447297478628488</v>
      </c>
      <c r="D122" s="6" t="n">
        <v>0.4070581048948789</v>
      </c>
      <c r="E122" s="55" t="n"/>
      <c r="K122">
        <f>ABS(B122 - $G$2)</f>
        <v/>
      </c>
      <c r="L122">
        <f>ABS(B122 - $H$2)</f>
        <v/>
      </c>
      <c r="M122">
        <f>ABS(B122 - $I$2)</f>
        <v/>
      </c>
      <c r="O122">
        <f>(1/K122^2) / ((1/K122^2) + (1/L122^2) + (1/M122^2))</f>
        <v/>
      </c>
      <c r="P122">
        <f>(1/L122^2) / ((1/K122^2) + (1/L122^2) + (1/M122^2))</f>
        <v/>
      </c>
      <c r="Q122">
        <f>(1/M122^2) / ((1/K122^2) + (1/L122^2) + (1/M122^2))</f>
        <v/>
      </c>
      <c r="S122">
        <f>IF(MAX(O122:Q122)=O122, "Murah", IF(MAX(O122:Q122)=P122, "Sedang", "Mahal"))</f>
        <v/>
      </c>
    </row>
    <row r="123">
      <c r="A123" s="6" t="inlineStr">
        <is>
          <t>Sego Ceker Glintung Malang</t>
        </is>
      </c>
      <c r="B123" s="6" t="n">
        <v>0.02760736196319018</v>
      </c>
      <c r="C123" s="6" t="n">
        <v>0.1803242773746044</v>
      </c>
      <c r="D123" s="6" t="n">
        <v>0.4263971752549084</v>
      </c>
      <c r="E123" s="55" t="n"/>
      <c r="K123">
        <f>ABS(B123 - $G$2)</f>
        <v/>
      </c>
      <c r="L123">
        <f>ABS(B123 - $H$2)</f>
        <v/>
      </c>
      <c r="M123">
        <f>ABS(B123 - $I$2)</f>
        <v/>
      </c>
      <c r="O123">
        <f>(1/K123^2) / ((1/K123^2) + (1/L123^2) + (1/M123^2))</f>
        <v/>
      </c>
      <c r="P123">
        <f>(1/L123^2) / ((1/K123^2) + (1/L123^2) + (1/M123^2))</f>
        <v/>
      </c>
      <c r="Q123">
        <f>(1/M123^2) / ((1/K123^2) + (1/L123^2) + (1/M123^2))</f>
        <v/>
      </c>
      <c r="S123">
        <f>IF(MAX(O123:Q123)=O123, "Murah", IF(MAX(O123:Q123)=P123, "Sedang", "Mahal"))</f>
        <v/>
      </c>
    </row>
    <row r="124">
      <c r="A124" s="6" t="inlineStr">
        <is>
          <t>Warung Lama H. Ridwan</t>
        </is>
      </c>
      <c r="B124" s="6" t="n">
        <v>0.007157464212678937</v>
      </c>
      <c r="C124" s="6" t="n">
        <v>0.1268570948300962</v>
      </c>
      <c r="D124" s="6" t="n">
        <v>0.3945288984481497</v>
      </c>
      <c r="E124" s="55" t="n"/>
      <c r="K124">
        <f>ABS(B124 - $G$2)</f>
        <v/>
      </c>
      <c r="L124">
        <f>ABS(B124 - $H$2)</f>
        <v/>
      </c>
      <c r="M124">
        <f>ABS(B124 - $I$2)</f>
        <v/>
      </c>
      <c r="O124">
        <f>(1/K124^2) / ((1/K124^2) + (1/L124^2) + (1/M124^2))</f>
        <v/>
      </c>
      <c r="P124">
        <f>(1/L124^2) / ((1/K124^2) + (1/L124^2) + (1/M124^2))</f>
        <v/>
      </c>
      <c r="Q124">
        <f>(1/M124^2) / ((1/K124^2) + (1/L124^2) + (1/M124^2))</f>
        <v/>
      </c>
      <c r="S124">
        <f>IF(MAX(O124:Q124)=O124, "Murah", IF(MAX(O124:Q124)=P124, "Sedang", "Mahal"))</f>
        <v/>
      </c>
    </row>
    <row r="125">
      <c r="A125" s="6" t="inlineStr">
        <is>
          <t>Kampoeng Kuliner</t>
        </is>
      </c>
      <c r="B125" s="6" t="n">
        <v>0.08588957055214724</v>
      </c>
      <c r="C125" s="6" t="n">
        <v>0.187988328320366</v>
      </c>
      <c r="D125" s="6" t="n">
        <v>0.4113232961156196</v>
      </c>
      <c r="E125" s="55" t="n"/>
      <c r="K125">
        <f>ABS(B125 - $G$2)</f>
        <v/>
      </c>
      <c r="L125">
        <f>ABS(B125 - $H$2)</f>
        <v/>
      </c>
      <c r="M125">
        <f>ABS(B125 - $I$2)</f>
        <v/>
      </c>
      <c r="O125">
        <f>(1/K125^2) / ((1/K125^2) + (1/L125^2) + (1/M125^2))</f>
        <v/>
      </c>
      <c r="P125">
        <f>(1/L125^2) / ((1/K125^2) + (1/L125^2) + (1/M125^2))</f>
        <v/>
      </c>
      <c r="Q125">
        <f>(1/M125^2) / ((1/K125^2) + (1/L125^2) + (1/M125^2))</f>
        <v/>
      </c>
      <c r="S125">
        <f>IF(MAX(O125:Q125)=O125, "Murah", IF(MAX(O125:Q125)=P125, "Sedang", "Mahal"))</f>
        <v/>
      </c>
    </row>
    <row r="126">
      <c r="A126" s="6" t="inlineStr">
        <is>
          <t>Warung Mekar Jaya</t>
        </is>
      </c>
      <c r="B126" s="6" t="n">
        <v>0.02862985685071575</v>
      </c>
      <c r="C126" s="6" t="n">
        <v>0.1776325828495971</v>
      </c>
      <c r="D126" s="6" t="n">
        <v>0.3424060291095222</v>
      </c>
      <c r="E126" s="55" t="n"/>
      <c r="K126">
        <f>ABS(B126 - $G$2)</f>
        <v/>
      </c>
      <c r="L126">
        <f>ABS(B126 - $H$2)</f>
        <v/>
      </c>
      <c r="M126">
        <f>ABS(B126 - $I$2)</f>
        <v/>
      </c>
      <c r="O126">
        <f>(1/K126^2) / ((1/K126^2) + (1/L126^2) + (1/M126^2))</f>
        <v/>
      </c>
      <c r="P126">
        <f>(1/L126^2) / ((1/K126^2) + (1/L126^2) + (1/M126^2))</f>
        <v/>
      </c>
      <c r="Q126">
        <f>(1/M126^2) / ((1/K126^2) + (1/L126^2) + (1/M126^2))</f>
        <v/>
      </c>
      <c r="S126">
        <f>IF(MAX(O126:Q126)=O126, "Murah", IF(MAX(O126:Q126)=P126, "Sedang", "Mahal"))</f>
        <v/>
      </c>
    </row>
    <row r="127">
      <c r="A127" s="6" t="inlineStr">
        <is>
          <t>Toko Oen Malang</t>
        </is>
      </c>
      <c r="B127" s="6" t="n">
        <v>0.1615541922290389</v>
      </c>
      <c r="C127" s="6" t="n">
        <v>0.1349514342059563</v>
      </c>
      <c r="D127" s="6" t="n">
        <v>0.3843966285204983</v>
      </c>
      <c r="E127" s="55" t="n"/>
      <c r="K127">
        <f>ABS(B127 - $G$2)</f>
        <v/>
      </c>
      <c r="L127">
        <f>ABS(B127 - $H$2)</f>
        <v/>
      </c>
      <c r="M127">
        <f>ABS(B127 - $I$2)</f>
        <v/>
      </c>
      <c r="O127">
        <f>(1/K127^2) / ((1/K127^2) + (1/L127^2) + (1/M127^2))</f>
        <v/>
      </c>
      <c r="P127">
        <f>(1/L127^2) / ((1/K127^2) + (1/L127^2) + (1/M127^2))</f>
        <v/>
      </c>
      <c r="Q127">
        <f>(1/M127^2) / ((1/K127^2) + (1/L127^2) + (1/M127^2))</f>
        <v/>
      </c>
      <c r="S127">
        <f>IF(MAX(O127:Q127)=O127, "Murah", IF(MAX(O127:Q127)=P127, "Sedang", "Mahal"))</f>
        <v/>
      </c>
    </row>
    <row r="128">
      <c r="A128" s="6" t="inlineStr">
        <is>
          <t>Mbok Mesem Makanan Khas Kediri</t>
        </is>
      </c>
      <c r="B128" s="6" t="n">
        <v>0.04703476482617587</v>
      </c>
      <c r="C128" s="6" t="n">
        <v>0.1764688785082497</v>
      </c>
      <c r="D128" s="6" t="n">
        <v>0.3546430789839226</v>
      </c>
      <c r="E128" s="55" t="n"/>
      <c r="K128">
        <f>ABS(B128 - $G$2)</f>
        <v/>
      </c>
      <c r="L128">
        <f>ABS(B128 - $H$2)</f>
        <v/>
      </c>
      <c r="M128">
        <f>ABS(B128 - $I$2)</f>
        <v/>
      </c>
      <c r="O128">
        <f>(1/K128^2) / ((1/K128^2) + (1/L128^2) + (1/M128^2))</f>
        <v/>
      </c>
      <c r="P128">
        <f>(1/L128^2) / ((1/K128^2) + (1/L128^2) + (1/M128^2))</f>
        <v/>
      </c>
      <c r="Q128">
        <f>(1/M128^2) / ((1/K128^2) + (1/L128^2) + (1/M128^2))</f>
        <v/>
      </c>
      <c r="S128">
        <f>IF(MAX(O128:Q128)=O128, "Murah", IF(MAX(O128:Q128)=P128, "Sedang", "Mahal"))</f>
        <v/>
      </c>
    </row>
    <row r="129">
      <c r="A129" s="6" t="inlineStr">
        <is>
          <t>Rawon Tessy</t>
        </is>
      </c>
      <c r="B129" s="6" t="n">
        <v>0.1002044989775051</v>
      </c>
      <c r="C129" s="6" t="n">
        <v>0.1358290869650099</v>
      </c>
      <c r="D129" s="6" t="n">
        <v>0.4097114613060155</v>
      </c>
      <c r="E129" s="55" t="n"/>
      <c r="K129">
        <f>ABS(B129 - $G$2)</f>
        <v/>
      </c>
      <c r="L129">
        <f>ABS(B129 - $H$2)</f>
        <v/>
      </c>
      <c r="M129">
        <f>ABS(B129 - $I$2)</f>
        <v/>
      </c>
      <c r="O129">
        <f>(1/K129^2) / ((1/K129^2) + (1/L129^2) + (1/M129^2))</f>
        <v/>
      </c>
      <c r="P129">
        <f>(1/L129^2) / ((1/K129^2) + (1/L129^2) + (1/M129^2))</f>
        <v/>
      </c>
      <c r="Q129">
        <f>(1/M129^2) / ((1/K129^2) + (1/L129^2) + (1/M129^2))</f>
        <v/>
      </c>
      <c r="S129">
        <f>IF(MAX(O129:Q129)=O129, "Murah", IF(MAX(O129:Q129)=P129, "Sedang", "Mahal"))</f>
        <v/>
      </c>
    </row>
    <row r="130">
      <c r="A130" s="6" t="inlineStr">
        <is>
          <t>Warung Subuh</t>
        </is>
      </c>
      <c r="B130" s="6" t="n">
        <v>0.1983640081799591</v>
      </c>
      <c r="C130" s="6" t="n">
        <v>0.1405174505997884</v>
      </c>
      <c r="D130" s="6" t="n">
        <v>0.3199718674957294</v>
      </c>
      <c r="E130" s="55" t="n"/>
      <c r="K130">
        <f>ABS(B130 - $G$2)</f>
        <v/>
      </c>
      <c r="L130">
        <f>ABS(B130 - $H$2)</f>
        <v/>
      </c>
      <c r="M130">
        <f>ABS(B130 - $I$2)</f>
        <v/>
      </c>
      <c r="O130">
        <f>(1/K130^2) / ((1/K130^2) + (1/L130^2) + (1/M130^2))</f>
        <v/>
      </c>
      <c r="P130">
        <f>(1/L130^2) / ((1/K130^2) + (1/L130^2) + (1/M130^2))</f>
        <v/>
      </c>
      <c r="Q130">
        <f>(1/M130^2) / ((1/K130^2) + (1/L130^2) + (1/M130^2))</f>
        <v/>
      </c>
      <c r="S130">
        <f>IF(MAX(O130:Q130)=O130, "Murah", IF(MAX(O130:Q130)=P130, "Sedang", "Mahal"))</f>
        <v/>
      </c>
    </row>
    <row r="131">
      <c r="A131" s="6" t="inlineStr">
        <is>
          <t>Warung Malam Pak Gatot</t>
        </is>
      </c>
      <c r="B131" s="6" t="n">
        <v>0.02862985685071575</v>
      </c>
      <c r="C131" s="6" t="n">
        <v>0.1266395890545669</v>
      </c>
      <c r="D131" s="6" t="n">
        <v>0.3558076526600858</v>
      </c>
      <c r="E131" s="55" t="n"/>
      <c r="K131">
        <f>ABS(B131 - $G$2)</f>
        <v/>
      </c>
      <c r="L131">
        <f>ABS(B131 - $H$2)</f>
        <v/>
      </c>
      <c r="M131">
        <f>ABS(B131 - $I$2)</f>
        <v/>
      </c>
      <c r="O131">
        <f>(1/K131^2) / ((1/K131^2) + (1/L131^2) + (1/M131^2))</f>
        <v/>
      </c>
      <c r="P131">
        <f>(1/L131^2) / ((1/K131^2) + (1/L131^2) + (1/M131^2))</f>
        <v/>
      </c>
      <c r="Q131">
        <f>(1/M131^2) / ((1/K131^2) + (1/L131^2) + (1/M131^2))</f>
        <v/>
      </c>
      <c r="S131">
        <f>IF(MAX(O131:Q131)=O131, "Murah", IF(MAX(O131:Q131)=P131, "Sedang", "Mahal"))</f>
        <v/>
      </c>
    </row>
    <row r="132">
      <c r="A132" s="6" t="inlineStr">
        <is>
          <t>Bakso President Malang</t>
        </is>
      </c>
      <c r="B132" s="6" t="n">
        <v>0.591002044989775</v>
      </c>
      <c r="C132" s="6" t="n">
        <v>0.157152524835139</v>
      </c>
      <c r="D132" s="6" t="n">
        <v>0.4084842563343949</v>
      </c>
      <c r="E132" s="55" t="n"/>
      <c r="K132">
        <f>ABS(B132 - $G$2)</f>
        <v/>
      </c>
      <c r="L132">
        <f>ABS(B132 - $H$2)</f>
        <v/>
      </c>
      <c r="M132">
        <f>ABS(B132 - $I$2)</f>
        <v/>
      </c>
      <c r="O132">
        <f>(1/K132^2) / ((1/K132^2) + (1/L132^2) + (1/M132^2))</f>
        <v/>
      </c>
      <c r="P132">
        <f>(1/L132^2) / ((1/K132^2) + (1/L132^2) + (1/M132^2))</f>
        <v/>
      </c>
      <c r="Q132">
        <f>(1/M132^2) / ((1/K132^2) + (1/L132^2) + (1/M132^2))</f>
        <v/>
      </c>
      <c r="S132">
        <f>IF(MAX(O132:Q132)=O132, "Murah", IF(MAX(O132:Q132)=P132, "Sedang", "Mahal"))</f>
        <v/>
      </c>
    </row>
    <row r="133">
      <c r="A133" s="6" t="inlineStr">
        <is>
          <t>Kawasan Wisata Kuliner Merjosari</t>
        </is>
      </c>
      <c r="B133" s="6" t="n">
        <v>0.06032719836400818</v>
      </c>
      <c r="C133" s="6" t="n">
        <v>0.1787709761068211</v>
      </c>
      <c r="D133" s="6" t="n">
        <v>0.2869677537249153</v>
      </c>
      <c r="E133" s="55" t="n"/>
      <c r="K133">
        <f>ABS(B133 - $G$2)</f>
        <v/>
      </c>
      <c r="L133">
        <f>ABS(B133 - $H$2)</f>
        <v/>
      </c>
      <c r="M133">
        <f>ABS(B133 - $I$2)</f>
        <v/>
      </c>
      <c r="O133">
        <f>(1/K133^2) / ((1/K133^2) + (1/L133^2) + (1/M133^2))</f>
        <v/>
      </c>
      <c r="P133">
        <f>(1/L133^2) / ((1/K133^2) + (1/L133^2) + (1/M133^2))</f>
        <v/>
      </c>
      <c r="Q133">
        <f>(1/M133^2) / ((1/K133^2) + (1/L133^2) + (1/M133^2))</f>
        <v/>
      </c>
      <c r="S133">
        <f>IF(MAX(O133:Q133)=O133, "Murah", IF(MAX(O133:Q133)=P133, "Sedang", "Mahal"))</f>
        <v/>
      </c>
    </row>
    <row r="134">
      <c r="A134" s="6" t="inlineStr">
        <is>
          <t>Pos Ketan Legenda - 1967 Batu</t>
        </is>
      </c>
      <c r="B134" s="6" t="n">
        <v>0.04294478527607362</v>
      </c>
      <c r="C134" s="6" t="n">
        <v>0.2678665977494696</v>
      </c>
      <c r="D134" s="6" t="n">
        <v>0</v>
      </c>
      <c r="E134" s="55" t="n"/>
      <c r="K134">
        <f>ABS(B134 - $G$2)</f>
        <v/>
      </c>
      <c r="L134">
        <f>ABS(B134 - $H$2)</f>
        <v/>
      </c>
      <c r="M134">
        <f>ABS(B134 - $I$2)</f>
        <v/>
      </c>
      <c r="O134">
        <f>(1/K134^2) / ((1/K134^2) + (1/L134^2) + (1/M134^2))</f>
        <v/>
      </c>
      <c r="P134">
        <f>(1/L134^2) / ((1/K134^2) + (1/L134^2) + (1/M134^2))</f>
        <v/>
      </c>
      <c r="Q134">
        <f>(1/M134^2) / ((1/K134^2) + (1/L134^2) + (1/M134^2))</f>
        <v/>
      </c>
      <c r="S134">
        <f>IF(MAX(O134:Q134)=O134, "Murah", IF(MAX(O134:Q134)=P134, "Sedang", "Mahal"))</f>
        <v/>
      </c>
    </row>
    <row r="135">
      <c r="A135" s="6" t="inlineStr">
        <is>
          <t>SAMBAL GAMI BU'SUM</t>
        </is>
      </c>
      <c r="B135" s="6" t="n">
        <v>0.08098159509202454</v>
      </c>
      <c r="C135" s="6" t="n">
        <v>0.1413868681735765</v>
      </c>
      <c r="D135" s="6" t="n">
        <v>0.4087937286178401</v>
      </c>
      <c r="E135" s="55" t="n"/>
      <c r="K135">
        <f>ABS(B135 - $G$2)</f>
        <v/>
      </c>
      <c r="L135">
        <f>ABS(B135 - $H$2)</f>
        <v/>
      </c>
      <c r="M135">
        <f>ABS(B135 - $I$2)</f>
        <v/>
      </c>
      <c r="O135">
        <f>(1/K135^2) / ((1/K135^2) + (1/L135^2) + (1/M135^2))</f>
        <v/>
      </c>
      <c r="P135">
        <f>(1/L135^2) / ((1/K135^2) + (1/L135^2) + (1/M135^2))</f>
        <v/>
      </c>
      <c r="Q135">
        <f>(1/M135^2) / ((1/K135^2) + (1/L135^2) + (1/M135^2))</f>
        <v/>
      </c>
      <c r="S135">
        <f>IF(MAX(O135:Q135)=O135, "Murah", IF(MAX(O135:Q135)=P135, "Sedang", "Mahal"))</f>
        <v/>
      </c>
    </row>
    <row r="136">
      <c r="A136" s="6" t="inlineStr">
        <is>
          <t>Pusat Kuliner Araya</t>
        </is>
      </c>
      <c r="B136" s="6" t="n">
        <v>0.016359918200409</v>
      </c>
      <c r="C136" s="6" t="n">
        <v>0.1910950519615975</v>
      </c>
      <c r="D136" s="6" t="n">
        <v>0.4608473351120543</v>
      </c>
      <c r="E136" s="55" t="n"/>
      <c r="K136">
        <f>ABS(B136 - $G$2)</f>
        <v/>
      </c>
      <c r="L136">
        <f>ABS(B136 - $H$2)</f>
        <v/>
      </c>
      <c r="M136">
        <f>ABS(B136 - $I$2)</f>
        <v/>
      </c>
      <c r="O136">
        <f>(1/K136^2) / ((1/K136^2) + (1/L136^2) + (1/M136^2))</f>
        <v/>
      </c>
      <c r="P136">
        <f>(1/L136^2) / ((1/K136^2) + (1/L136^2) + (1/M136^2))</f>
        <v/>
      </c>
      <c r="Q136">
        <f>(1/M136^2) / ((1/K136^2) + (1/L136^2) + (1/M136^2))</f>
        <v/>
      </c>
      <c r="S136">
        <f>IF(MAX(O136:Q136)=O136, "Murah", IF(MAX(O136:Q136)=P136, "Sedang", "Mahal"))</f>
        <v/>
      </c>
    </row>
    <row r="137">
      <c r="A137" s="6" t="inlineStr">
        <is>
          <t>Kampung Kuliner</t>
        </is>
      </c>
      <c r="B137" s="6" t="n">
        <v>0.07975460122699386</v>
      </c>
      <c r="C137" s="6" t="n">
        <v>0.1788638641523842</v>
      </c>
      <c r="D137" s="6" t="n">
        <v>0.3094895991523273</v>
      </c>
      <c r="E137" s="55" t="n"/>
      <c r="K137">
        <f>ABS(B137 - $G$2)</f>
        <v/>
      </c>
      <c r="L137">
        <f>ABS(B137 - $H$2)</f>
        <v/>
      </c>
      <c r="M137">
        <f>ABS(B137 - $I$2)</f>
        <v/>
      </c>
      <c r="O137">
        <f>(1/K137^2) / ((1/K137^2) + (1/L137^2) + (1/M137^2))</f>
        <v/>
      </c>
      <c r="P137">
        <f>(1/L137^2) / ((1/K137^2) + (1/L137^2) + (1/M137^2))</f>
        <v/>
      </c>
      <c r="Q137">
        <f>(1/M137^2) / ((1/K137^2) + (1/L137^2) + (1/M137^2))</f>
        <v/>
      </c>
      <c r="S137">
        <f>IF(MAX(O137:Q137)=O137, "Murah", IF(MAX(O137:Q137)=P137, "Sedang", "Mahal"))</f>
        <v/>
      </c>
    </row>
    <row r="138">
      <c r="A138" s="6" t="inlineStr">
        <is>
          <t>Es Tawon Kidul Dalem</t>
        </is>
      </c>
      <c r="B138" s="6" t="n">
        <v>0.00408997955010225</v>
      </c>
      <c r="C138" s="6" t="n">
        <v>0.1326706512045421</v>
      </c>
      <c r="D138" s="6" t="n">
        <v>0.4001565045547549</v>
      </c>
      <c r="E138" s="55" t="n"/>
      <c r="K138">
        <f>ABS(B138 - $G$2)</f>
        <v/>
      </c>
      <c r="L138">
        <f>ABS(B138 - $H$2)</f>
        <v/>
      </c>
      <c r="M138">
        <f>ABS(B138 - $I$2)</f>
        <v/>
      </c>
      <c r="O138">
        <f>(1/K138^2) / ((1/K138^2) + (1/L138^2) + (1/M138^2))</f>
        <v/>
      </c>
      <c r="P138">
        <f>(1/L138^2) / ((1/K138^2) + (1/L138^2) + (1/M138^2))</f>
        <v/>
      </c>
      <c r="Q138">
        <f>(1/M138^2) / ((1/K138^2) + (1/L138^2) + (1/M138^2))</f>
        <v/>
      </c>
      <c r="S138">
        <f>IF(MAX(O138:Q138)=O138, "Murah", IF(MAX(O138:Q138)=P138, "Sedang", "Mahal"))</f>
        <v/>
      </c>
    </row>
    <row r="139">
      <c r="A139" s="6" t="inlineStr">
        <is>
          <t>Warung Sate Gebug 1920</t>
        </is>
      </c>
      <c r="B139" s="6" t="n">
        <v>0.06339468302658487</v>
      </c>
      <c r="C139" s="6" t="n">
        <v>0.1419853723732792</v>
      </c>
      <c r="D139" s="6" t="n">
        <v>0.3810226437922136</v>
      </c>
      <c r="E139" s="55" t="n"/>
      <c r="K139">
        <f>ABS(B139 - $G$2)</f>
        <v/>
      </c>
      <c r="L139">
        <f>ABS(B139 - $H$2)</f>
        <v/>
      </c>
      <c r="M139">
        <f>ABS(B139 - $I$2)</f>
        <v/>
      </c>
      <c r="O139">
        <f>(1/K139^2) / ((1/K139^2) + (1/L139^2) + (1/M139^2))</f>
        <v/>
      </c>
      <c r="P139">
        <f>(1/L139^2) / ((1/K139^2) + (1/L139^2) + (1/M139^2))</f>
        <v/>
      </c>
      <c r="Q139">
        <f>(1/M139^2) / ((1/K139^2) + (1/L139^2) + (1/M139^2))</f>
        <v/>
      </c>
      <c r="S139">
        <f>IF(MAX(O139:Q139)=O139, "Murah", IF(MAX(O139:Q139)=P139, "Sedang", "Mahal"))</f>
        <v/>
      </c>
    </row>
    <row r="140">
      <c r="A140" s="6" t="inlineStr">
        <is>
          <t>Sengkaling Kuliner</t>
        </is>
      </c>
      <c r="B140" s="6" t="n">
        <v>0.1063394683026585</v>
      </c>
      <c r="C140" s="6" t="n">
        <v>0.214407650390227</v>
      </c>
      <c r="D140" s="6" t="n">
        <v>0.2265753428694851</v>
      </c>
      <c r="E140" s="55" t="n"/>
      <c r="K140">
        <f>ABS(B140 - $G$2)</f>
        <v/>
      </c>
      <c r="L140">
        <f>ABS(B140 - $H$2)</f>
        <v/>
      </c>
      <c r="M140">
        <f>ABS(B140 - $I$2)</f>
        <v/>
      </c>
      <c r="O140">
        <f>(1/K140^2) / ((1/K140^2) + (1/L140^2) + (1/M140^2))</f>
        <v/>
      </c>
      <c r="P140">
        <f>(1/L140^2) / ((1/K140^2) + (1/L140^2) + (1/M140^2))</f>
        <v/>
      </c>
      <c r="Q140">
        <f>(1/M140^2) / ((1/K140^2) + (1/L140^2) + (1/M140^2))</f>
        <v/>
      </c>
      <c r="S140">
        <f>IF(MAX(O140:Q140)=O140, "Murah", IF(MAX(O140:Q140)=P140, "Sedang", "Mahal"))</f>
        <v/>
      </c>
    </row>
    <row r="141">
      <c r="A141" s="6" t="inlineStr">
        <is>
          <t>Tahwa Mas Agus</t>
        </is>
      </c>
      <c r="B141" s="6" t="n">
        <v>0.016359918200409</v>
      </c>
      <c r="C141" s="6" t="n">
        <v>0.1337566057085336</v>
      </c>
      <c r="D141" s="6" t="n">
        <v>0.3969538348405043</v>
      </c>
      <c r="E141" s="55" t="n"/>
      <c r="K141">
        <f>ABS(B141 - $G$2)</f>
        <v/>
      </c>
      <c r="L141">
        <f>ABS(B141 - $H$2)</f>
        <v/>
      </c>
      <c r="M141">
        <f>ABS(B141 - $I$2)</f>
        <v/>
      </c>
      <c r="O141">
        <f>(1/K141^2) / ((1/K141^2) + (1/L141^2) + (1/M141^2))</f>
        <v/>
      </c>
      <c r="P141">
        <f>(1/L141^2) / ((1/K141^2) + (1/L141^2) + (1/M141^2))</f>
        <v/>
      </c>
      <c r="Q141">
        <f>(1/M141^2) / ((1/K141^2) + (1/L141^2) + (1/M141^2))</f>
        <v/>
      </c>
      <c r="S141">
        <f>IF(MAX(O141:Q141)=O141, "Murah", IF(MAX(O141:Q141)=P141, "Sedang", "Mahal"))</f>
        <v/>
      </c>
    </row>
    <row r="142">
      <c r="A142" s="6" t="inlineStr">
        <is>
          <t>Sambal Bawang Mbok Jayus</t>
        </is>
      </c>
      <c r="B142" s="6" t="n">
        <v>0.04013292433537832</v>
      </c>
      <c r="C142" s="6" t="n">
        <v>0.1849347700663609</v>
      </c>
      <c r="D142" s="6" t="n">
        <v>0.402404968061729</v>
      </c>
      <c r="E142" s="55" t="n"/>
      <c r="K142">
        <f>ABS(B142 - $G$2)</f>
        <v/>
      </c>
      <c r="L142">
        <f>ABS(B142 - $H$2)</f>
        <v/>
      </c>
      <c r="M142">
        <f>ABS(B142 - $I$2)</f>
        <v/>
      </c>
      <c r="O142">
        <f>(1/K142^2) / ((1/K142^2) + (1/L142^2) + (1/M142^2))</f>
        <v/>
      </c>
      <c r="P142">
        <f>(1/L142^2) / ((1/K142^2) + (1/L142^2) + (1/M142^2))</f>
        <v/>
      </c>
      <c r="Q142">
        <f>(1/M142^2) / ((1/K142^2) + (1/L142^2) + (1/M142^2))</f>
        <v/>
      </c>
      <c r="S142">
        <f>IF(MAX(O142:Q142)=O142, "Murah", IF(MAX(O142:Q142)=P142, "Sedang", "Mahal"))</f>
        <v/>
      </c>
    </row>
    <row r="143">
      <c r="A143" s="6" t="inlineStr">
        <is>
          <t>Niki Kopitiam Malang</t>
        </is>
      </c>
      <c r="B143" s="6" t="n">
        <v>0.2085889570552147</v>
      </c>
      <c r="C143" s="6" t="n">
        <v>0.1503747251506924</v>
      </c>
      <c r="D143" s="6" t="n">
        <v>0.335456534249358</v>
      </c>
      <c r="E143" s="55" t="n"/>
      <c r="K143">
        <f>ABS(B143 - $G$2)</f>
        <v/>
      </c>
      <c r="L143">
        <f>ABS(B143 - $H$2)</f>
        <v/>
      </c>
      <c r="M143">
        <f>ABS(B143 - $I$2)</f>
        <v/>
      </c>
      <c r="O143">
        <f>(1/K143^2) / ((1/K143^2) + (1/L143^2) + (1/M143^2))</f>
        <v/>
      </c>
      <c r="P143">
        <f>(1/L143^2) / ((1/K143^2) + (1/L143^2) + (1/M143^2))</f>
        <v/>
      </c>
      <c r="Q143">
        <f>(1/M143^2) / ((1/K143^2) + (1/L143^2) + (1/M143^2))</f>
        <v/>
      </c>
      <c r="S143">
        <f>IF(MAX(O143:Q143)=O143, "Murah", IF(MAX(O143:Q143)=P143, "Sedang", "Mahal"))</f>
        <v/>
      </c>
    </row>
    <row r="144">
      <c r="A144" s="6" t="inlineStr">
        <is>
          <t>Tahu Campur Pak Iwan</t>
        </is>
      </c>
      <c r="B144" s="6" t="n">
        <v>0.03885480572597137</v>
      </c>
      <c r="C144" s="6" t="n">
        <v>0.12699491307762</v>
      </c>
      <c r="D144" s="6" t="n">
        <v>0.3842474186695636</v>
      </c>
      <c r="E144" s="55" t="n"/>
      <c r="K144">
        <f>ABS(B144 - $G$2)</f>
        <v/>
      </c>
      <c r="L144">
        <f>ABS(B144 - $H$2)</f>
        <v/>
      </c>
      <c r="M144">
        <f>ABS(B144 - $I$2)</f>
        <v/>
      </c>
      <c r="O144">
        <f>(1/K144^2) / ((1/K144^2) + (1/L144^2) + (1/M144^2))</f>
        <v/>
      </c>
      <c r="P144">
        <f>(1/L144^2) / ((1/K144^2) + (1/L144^2) + (1/M144^2))</f>
        <v/>
      </c>
      <c r="Q144">
        <f>(1/M144^2) / ((1/K144^2) + (1/L144^2) + (1/M144^2))</f>
        <v/>
      </c>
      <c r="S144">
        <f>IF(MAX(O144:Q144)=O144, "Murah", IF(MAX(O144:Q144)=P144, "Sedang", "Mahal"))</f>
        <v/>
      </c>
    </row>
    <row r="145">
      <c r="A145" s="6" t="inlineStr">
        <is>
          <t>Hot Cui Mie</t>
        </is>
      </c>
      <c r="B145" s="6" t="n">
        <v>0.1196319018404908</v>
      </c>
      <c r="C145" s="6" t="n">
        <v>0.1705168983579533</v>
      </c>
      <c r="D145" s="6" t="n">
        <v>0.4183118434305841</v>
      </c>
      <c r="E145" s="55" t="n"/>
      <c r="K145">
        <f>ABS(B145 - $G$2)</f>
        <v/>
      </c>
      <c r="L145">
        <f>ABS(B145 - $H$2)</f>
        <v/>
      </c>
      <c r="M145">
        <f>ABS(B145 - $I$2)</f>
        <v/>
      </c>
      <c r="O145">
        <f>(1/K145^2) / ((1/K145^2) + (1/L145^2) + (1/M145^2))</f>
        <v/>
      </c>
      <c r="P145">
        <f>(1/L145^2) / ((1/K145^2) + (1/L145^2) + (1/M145^2))</f>
        <v/>
      </c>
      <c r="Q145">
        <f>(1/M145^2) / ((1/K145^2) + (1/L145^2) + (1/M145^2))</f>
        <v/>
      </c>
      <c r="S145">
        <f>IF(MAX(O145:Q145)=O145, "Murah", IF(MAX(O145:Q145)=P145, "Sedang", "Mahal"))</f>
        <v/>
      </c>
    </row>
    <row r="146">
      <c r="A146" s="6" t="inlineStr">
        <is>
          <t>Ocean Garden Stasiun</t>
        </is>
      </c>
      <c r="B146" s="6" t="n">
        <v>0.3880368098159509</v>
      </c>
      <c r="C146" s="6" t="n">
        <v>0.1367054075617408</v>
      </c>
      <c r="D146" s="6" t="n">
        <v>0.4084278881684781</v>
      </c>
      <c r="E146" s="55" t="n"/>
      <c r="K146">
        <f>ABS(B146 - $G$2)</f>
        <v/>
      </c>
      <c r="L146">
        <f>ABS(B146 - $H$2)</f>
        <v/>
      </c>
      <c r="M146">
        <f>ABS(B146 - $I$2)</f>
        <v/>
      </c>
      <c r="O146">
        <f>(1/K146^2) / ((1/K146^2) + (1/L146^2) + (1/M146^2))</f>
        <v/>
      </c>
      <c r="P146">
        <f>(1/L146^2) / ((1/K146^2) + (1/L146^2) + (1/M146^2))</f>
        <v/>
      </c>
      <c r="Q146">
        <f>(1/M146^2) / ((1/K146^2) + (1/L146^2) + (1/M146^2))</f>
        <v/>
      </c>
      <c r="S146">
        <f>IF(MAX(O146:Q146)=O146, "Murah", IF(MAX(O146:Q146)=P146, "Sedang", "Mahal"))</f>
        <v/>
      </c>
    </row>
    <row r="147">
      <c r="A147" s="6" t="inlineStr">
        <is>
          <t>Kupang Kraton Hj. Qomariyah</t>
        </is>
      </c>
      <c r="B147" s="6" t="n">
        <v>0.049079754601227</v>
      </c>
      <c r="C147" s="6" t="n">
        <v>0.1508202728946629</v>
      </c>
      <c r="D147" s="6" t="n">
        <v>0.3974338852992573</v>
      </c>
      <c r="E147" s="55" t="n"/>
      <c r="K147">
        <f>ABS(B147 - $G$2)</f>
        <v/>
      </c>
      <c r="L147">
        <f>ABS(B147 - $H$2)</f>
        <v/>
      </c>
      <c r="M147">
        <f>ABS(B147 - $I$2)</f>
        <v/>
      </c>
      <c r="O147">
        <f>(1/K147^2) / ((1/K147^2) + (1/L147^2) + (1/M147^2))</f>
        <v/>
      </c>
      <c r="P147">
        <f>(1/L147^2) / ((1/K147^2) + (1/L147^2) + (1/M147^2))</f>
        <v/>
      </c>
      <c r="Q147">
        <f>(1/M147^2) / ((1/K147^2) + (1/L147^2) + (1/M147^2))</f>
        <v/>
      </c>
      <c r="S147">
        <f>IF(MAX(O147:Q147)=O147, "Murah", IF(MAX(O147:Q147)=P147, "Sedang", "Mahal"))</f>
        <v/>
      </c>
    </row>
    <row r="148">
      <c r="A148" s="6" t="inlineStr">
        <is>
          <t>Sego Sambel Cak UUT</t>
        </is>
      </c>
      <c r="B148" s="6" t="n">
        <v>0.6339468302658486</v>
      </c>
      <c r="C148" s="6" t="n">
        <v>0.137071388883372</v>
      </c>
      <c r="D148" s="6" t="n">
        <v>0.3142952616108898</v>
      </c>
      <c r="E148" s="55" t="n"/>
      <c r="K148">
        <f>ABS(B148 - $G$2)</f>
        <v/>
      </c>
      <c r="L148">
        <f>ABS(B148 - $H$2)</f>
        <v/>
      </c>
      <c r="M148">
        <f>ABS(B148 - $I$2)</f>
        <v/>
      </c>
      <c r="O148">
        <f>(1/K148^2) / ((1/K148^2) + (1/L148^2) + (1/M148^2))</f>
        <v/>
      </c>
      <c r="P148">
        <f>(1/L148^2) / ((1/K148^2) + (1/L148^2) + (1/M148^2))</f>
        <v/>
      </c>
      <c r="Q148">
        <f>(1/M148^2) / ((1/K148^2) + (1/L148^2) + (1/M148^2))</f>
        <v/>
      </c>
      <c r="S148">
        <f>IF(MAX(O148:Q148)=O148, "Murah", IF(MAX(O148:Q148)=P148, "Sedang", "Mahal"))</f>
        <v/>
      </c>
    </row>
    <row r="149">
      <c r="A149" s="6" t="inlineStr">
        <is>
          <t>Rawon Djenggot</t>
        </is>
      </c>
      <c r="B149" s="6" t="n">
        <v>0.1077034764826176</v>
      </c>
      <c r="C149" s="6" t="n">
        <v>0.1415998930394766</v>
      </c>
      <c r="D149" s="6" t="n">
        <v>0.3388161506216412</v>
      </c>
      <c r="E149" s="55" t="n"/>
      <c r="K149">
        <f>ABS(B149 - $G$2)</f>
        <v/>
      </c>
      <c r="L149">
        <f>ABS(B149 - $H$2)</f>
        <v/>
      </c>
      <c r="M149">
        <f>ABS(B149 - $I$2)</f>
        <v/>
      </c>
      <c r="O149">
        <f>(1/K149^2) / ((1/K149^2) + (1/L149^2) + (1/M149^2))</f>
        <v/>
      </c>
      <c r="P149">
        <f>(1/L149^2) / ((1/K149^2) + (1/L149^2) + (1/M149^2))</f>
        <v/>
      </c>
      <c r="Q149">
        <f>(1/M149^2) / ((1/K149^2) + (1/L149^2) + (1/M149^2))</f>
        <v/>
      </c>
      <c r="S149">
        <f>IF(MAX(O149:Q149)=O149, "Murah", IF(MAX(O149:Q149)=P149, "Sedang", "Mahal"))</f>
        <v/>
      </c>
    </row>
    <row r="150">
      <c r="A150" s="6" t="inlineStr">
        <is>
          <t>Madame Wang Secret Garden</t>
        </is>
      </c>
      <c r="B150" s="6" t="n">
        <v>0.1114519427402863</v>
      </c>
      <c r="C150" s="6" t="n">
        <v>0.1444753048592922</v>
      </c>
      <c r="D150" s="6" t="n">
        <v>0.3426311333538262</v>
      </c>
      <c r="E150" s="55" t="n"/>
      <c r="K150">
        <f>ABS(B150 - $G$2)</f>
        <v/>
      </c>
      <c r="L150">
        <f>ABS(B150 - $H$2)</f>
        <v/>
      </c>
      <c r="M150">
        <f>ABS(B150 - $I$2)</f>
        <v/>
      </c>
      <c r="O150">
        <f>(1/K150^2) / ((1/K150^2) + (1/L150^2) + (1/M150^2))</f>
        <v/>
      </c>
      <c r="P150">
        <f>(1/L150^2) / ((1/K150^2) + (1/L150^2) + (1/M150^2))</f>
        <v/>
      </c>
      <c r="Q150">
        <f>(1/M150^2) / ((1/K150^2) + (1/L150^2) + (1/M150^2))</f>
        <v/>
      </c>
      <c r="S150">
        <f>IF(MAX(O150:Q150)=O150, "Murah", IF(MAX(O150:Q150)=P150, "Sedang", "Mahal"))</f>
        <v/>
      </c>
    </row>
    <row r="151">
      <c r="A151" s="6" t="inlineStr">
        <is>
          <t>Burger Buto Sarangan</t>
        </is>
      </c>
      <c r="B151" s="6" t="n">
        <v>0.05879345603271983</v>
      </c>
      <c r="C151" s="6" t="n">
        <v>0.1602080207797947</v>
      </c>
      <c r="D151" s="6" t="n">
        <v>0.3910698088418927</v>
      </c>
      <c r="E151" s="55" t="n"/>
      <c r="K151">
        <f>ABS(B151 - $G$2)</f>
        <v/>
      </c>
      <c r="L151">
        <f>ABS(B151 - $H$2)</f>
        <v/>
      </c>
      <c r="M151">
        <f>ABS(B151 - $I$2)</f>
        <v/>
      </c>
      <c r="O151">
        <f>(1/K151^2) / ((1/K151^2) + (1/L151^2) + (1/M151^2))</f>
        <v/>
      </c>
      <c r="P151">
        <f>(1/L151^2) / ((1/K151^2) + (1/L151^2) + (1/M151^2))</f>
        <v/>
      </c>
      <c r="Q151">
        <f>(1/M151^2) / ((1/K151^2) + (1/L151^2) + (1/M151^2))</f>
        <v/>
      </c>
      <c r="S151">
        <f>IF(MAX(O151:Q151)=O151, "Murah", IF(MAX(O151:Q151)=P151, "Sedang", "Mahal"))</f>
        <v/>
      </c>
    </row>
    <row r="152">
      <c r="A152" s="6" t="inlineStr">
        <is>
          <t>Bakso Bakar Pak Man</t>
        </is>
      </c>
      <c r="B152" s="6" t="n">
        <v>0.0081799591002045</v>
      </c>
      <c r="C152" s="6" t="n">
        <v>0.1494006722817713</v>
      </c>
      <c r="D152" s="6" t="n">
        <v>0.3978089362332223</v>
      </c>
      <c r="E152" s="55" t="n"/>
      <c r="K152">
        <f>ABS(B152 - $G$2)</f>
        <v/>
      </c>
      <c r="L152">
        <f>ABS(B152 - $H$2)</f>
        <v/>
      </c>
      <c r="M152">
        <f>ABS(B152 - $I$2)</f>
        <v/>
      </c>
      <c r="O152">
        <f>(1/K152^2) / ((1/K152^2) + (1/L152^2) + (1/M152^2))</f>
        <v/>
      </c>
      <c r="P152">
        <f>(1/L152^2) / ((1/K152^2) + (1/L152^2) + (1/M152^2))</f>
        <v/>
      </c>
      <c r="Q152">
        <f>(1/M152^2) / ((1/K152^2) + (1/L152^2) + (1/M152^2))</f>
        <v/>
      </c>
      <c r="S152">
        <f>IF(MAX(O152:Q152)=O152, "Murah", IF(MAX(O152:Q152)=P152, "Sedang", "Mahal"))</f>
        <v/>
      </c>
    </row>
    <row r="153">
      <c r="A153" s="6" t="inlineStr">
        <is>
          <t>Nasi Bhug Matirah</t>
        </is>
      </c>
      <c r="B153" s="6" t="n">
        <v>0.1226993865030675</v>
      </c>
      <c r="C153" s="6" t="n">
        <v>0.1397191220517432</v>
      </c>
      <c r="D153" s="6" t="n">
        <v>0.4085089404331937</v>
      </c>
      <c r="E153" s="55" t="n"/>
      <c r="K153">
        <f>ABS(B153 - $G$2)</f>
        <v/>
      </c>
      <c r="L153">
        <f>ABS(B153 - $H$2)</f>
        <v/>
      </c>
      <c r="M153">
        <f>ABS(B153 - $I$2)</f>
        <v/>
      </c>
      <c r="O153">
        <f>(1/K153^2) / ((1/K153^2) + (1/L153^2) + (1/M153^2))</f>
        <v/>
      </c>
      <c r="P153">
        <f>(1/L153^2) / ((1/K153^2) + (1/L153^2) + (1/M153^2))</f>
        <v/>
      </c>
      <c r="Q153">
        <f>(1/M153^2) / ((1/K153^2) + (1/L153^2) + (1/M153^2))</f>
        <v/>
      </c>
      <c r="S153">
        <f>IF(MAX(O153:Q153)=O153, "Murah", IF(MAX(O153:Q153)=P153, "Sedang", "Mahal"))</f>
        <v/>
      </c>
    </row>
    <row r="154">
      <c r="A154" s="6" t="inlineStr">
        <is>
          <t>orem-orem AREMA</t>
        </is>
      </c>
      <c r="B154" s="6" t="n">
        <v>0.04294478527607362</v>
      </c>
      <c r="C154" s="6" t="n">
        <v>0.1502244330196058</v>
      </c>
      <c r="D154" s="6" t="n">
        <v>0.3229774328389528</v>
      </c>
      <c r="E154" s="55" t="n"/>
      <c r="K154">
        <f>ABS(B154 - $G$2)</f>
        <v/>
      </c>
      <c r="L154">
        <f>ABS(B154 - $H$2)</f>
        <v/>
      </c>
      <c r="M154">
        <f>ABS(B154 - $I$2)</f>
        <v/>
      </c>
      <c r="O154">
        <f>(1/K154^2) / ((1/K154^2) + (1/L154^2) + (1/M154^2))</f>
        <v/>
      </c>
      <c r="P154">
        <f>(1/L154^2) / ((1/K154^2) + (1/L154^2) + (1/M154^2))</f>
        <v/>
      </c>
      <c r="Q154">
        <f>(1/M154^2) / ((1/K154^2) + (1/L154^2) + (1/M154^2))</f>
        <v/>
      </c>
      <c r="S154">
        <f>IF(MAX(O154:Q154)=O154, "Murah", IF(MAX(O154:Q154)=P154, "Sedang", "Mahal"))</f>
        <v/>
      </c>
    </row>
    <row r="155">
      <c r="A155" s="6" t="inlineStr">
        <is>
          <t>Foodcourt MOG</t>
        </is>
      </c>
      <c r="B155" s="6" t="n">
        <v>0.1063394683026585</v>
      </c>
      <c r="C155" s="6" t="n">
        <v>0.1395116680464641</v>
      </c>
      <c r="D155" s="6" t="n">
        <v>0.3612952594004117</v>
      </c>
      <c r="E155" s="55" t="n"/>
      <c r="K155">
        <f>ABS(B155 - $G$2)</f>
        <v/>
      </c>
      <c r="L155">
        <f>ABS(B155 - $H$2)</f>
        <v/>
      </c>
      <c r="M155">
        <f>ABS(B155 - $I$2)</f>
        <v/>
      </c>
      <c r="O155">
        <f>(1/K155^2) / ((1/K155^2) + (1/L155^2) + (1/M155^2))</f>
        <v/>
      </c>
      <c r="P155">
        <f>(1/L155^2) / ((1/K155^2) + (1/L155^2) + (1/M155^2))</f>
        <v/>
      </c>
      <c r="Q155">
        <f>(1/M155^2) / ((1/K155^2) + (1/L155^2) + (1/M155^2))</f>
        <v/>
      </c>
      <c r="S155">
        <f>IF(MAX(O155:Q155)=O155, "Murah", IF(MAX(O155:Q155)=P155, "Sedang", "Mahal"))</f>
        <v/>
      </c>
    </row>
    <row r="156">
      <c r="A156" s="6" t="inlineStr">
        <is>
          <t>Toko Kue Sara</t>
        </is>
      </c>
      <c r="B156" s="6" t="n">
        <v>0.7750511247443763</v>
      </c>
      <c r="C156" s="6" t="n">
        <v>0.1494967090746418</v>
      </c>
      <c r="D156" s="6" t="n">
        <v>0.4015738139290311</v>
      </c>
      <c r="E156" s="55" t="n"/>
      <c r="K156">
        <f>ABS(B156 - $G$2)</f>
        <v/>
      </c>
      <c r="L156">
        <f>ABS(B156 - $H$2)</f>
        <v/>
      </c>
      <c r="M156">
        <f>ABS(B156 - $I$2)</f>
        <v/>
      </c>
      <c r="O156">
        <f>(1/K156^2) / ((1/K156^2) + (1/L156^2) + (1/M156^2))</f>
        <v/>
      </c>
      <c r="P156">
        <f>(1/L156^2) / ((1/K156^2) + (1/L156^2) + (1/M156^2))</f>
        <v/>
      </c>
      <c r="Q156">
        <f>(1/M156^2) / ((1/K156^2) + (1/L156^2) + (1/M156^2))</f>
        <v/>
      </c>
      <c r="S156">
        <f>IF(MAX(O156:Q156)=O156, "Murah", IF(MAX(O156:Q156)=P156, "Sedang", "Mahal"))</f>
        <v/>
      </c>
    </row>
    <row r="157">
      <c r="A157" s="6" t="inlineStr">
        <is>
          <t>BIJI CABE eatery</t>
        </is>
      </c>
      <c r="B157" s="6" t="n">
        <v>0.08282208588957055</v>
      </c>
      <c r="C157" s="6" t="n">
        <v>0.1829791557772493</v>
      </c>
      <c r="D157" s="6" t="n">
        <v>0.3567110169922073</v>
      </c>
      <c r="E157" s="55" t="n"/>
      <c r="K157">
        <f>ABS(B157 - $G$2)</f>
        <v/>
      </c>
      <c r="L157">
        <f>ABS(B157 - $H$2)</f>
        <v/>
      </c>
      <c r="M157">
        <f>ABS(B157 - $I$2)</f>
        <v/>
      </c>
      <c r="O157">
        <f>(1/K157^2) / ((1/K157^2) + (1/L157^2) + (1/M157^2))</f>
        <v/>
      </c>
      <c r="P157">
        <f>(1/L157^2) / ((1/K157^2) + (1/L157^2) + (1/M157^2))</f>
        <v/>
      </c>
      <c r="Q157">
        <f>(1/M157^2) / ((1/K157^2) + (1/L157^2) + (1/M157^2))</f>
        <v/>
      </c>
      <c r="S157">
        <f>IF(MAX(O157:Q157)=O157, "Murah", IF(MAX(O157:Q157)=P157, "Sedang", "Mahal"))</f>
        <v/>
      </c>
    </row>
    <row r="158">
      <c r="A158" s="6" t="inlineStr">
        <is>
          <t>Dapur Cecebuncit (Gyoza - Gohyong - Sambel Tempong - Ceker Pedas - Sayap Pedas - Makanan Serba Pedas - Kota Malang)</t>
        </is>
      </c>
      <c r="B158" s="6" t="n">
        <v>0.1820040899795501</v>
      </c>
      <c r="C158" s="6" t="n">
        <v>0.1691017786546908</v>
      </c>
      <c r="D158" s="6" t="n">
        <v>0.2972820228287089</v>
      </c>
      <c r="E158" s="55" t="n"/>
      <c r="K158">
        <f>ABS(B158 - $G$2)</f>
        <v/>
      </c>
      <c r="L158">
        <f>ABS(B158 - $H$2)</f>
        <v/>
      </c>
      <c r="M158">
        <f>ABS(B158 - $I$2)</f>
        <v/>
      </c>
      <c r="O158">
        <f>(1/K158^2) / ((1/K158^2) + (1/L158^2) + (1/M158^2))</f>
        <v/>
      </c>
      <c r="P158">
        <f>(1/L158^2) / ((1/K158^2) + (1/L158^2) + (1/M158^2))</f>
        <v/>
      </c>
      <c r="Q158">
        <f>(1/M158^2) / ((1/K158^2) + (1/L158^2) + (1/M158^2))</f>
        <v/>
      </c>
      <c r="S158">
        <f>IF(MAX(O158:Q158)=O158, "Murah", IF(MAX(O158:Q158)=P158, "Sedang", "Mahal"))</f>
        <v/>
      </c>
    </row>
    <row r="159">
      <c r="A159" s="6" t="inlineStr">
        <is>
          <t>Jajanan Pedas Malang</t>
        </is>
      </c>
      <c r="B159" s="6" t="n">
        <v>0.01840490797546012</v>
      </c>
      <c r="C159" s="6" t="n">
        <v>0.09595989077237839</v>
      </c>
      <c r="D159" s="6" t="n">
        <v>0.3814883258949127</v>
      </c>
      <c r="E159" s="55" t="n"/>
      <c r="K159">
        <f>ABS(B159 - $G$2)</f>
        <v/>
      </c>
      <c r="L159">
        <f>ABS(B159 - $H$2)</f>
        <v/>
      </c>
      <c r="M159">
        <f>ABS(B159 - $I$2)</f>
        <v/>
      </c>
      <c r="O159">
        <f>(1/K159^2) / ((1/K159^2) + (1/L159^2) + (1/M159^2))</f>
        <v/>
      </c>
      <c r="P159">
        <f>(1/L159^2) / ((1/K159^2) + (1/L159^2) + (1/M159^2))</f>
        <v/>
      </c>
      <c r="Q159">
        <f>(1/M159^2) / ((1/K159^2) + (1/L159^2) + (1/M159^2))</f>
        <v/>
      </c>
      <c r="S159">
        <f>IF(MAX(O159:Q159)=O159, "Murah", IF(MAX(O159:Q159)=P159, "Sedang", "Mahal"))</f>
        <v/>
      </c>
    </row>
    <row r="160">
      <c r="A160" s="6" t="inlineStr">
        <is>
          <t>Kajoetangan Food Court</t>
        </is>
      </c>
      <c r="B160" s="6" t="n">
        <v>0.06952965235173825</v>
      </c>
      <c r="C160" s="6" t="n">
        <v>0.1387979923587175</v>
      </c>
      <c r="D160" s="6" t="n">
        <v>0.3813284318818176</v>
      </c>
      <c r="E160" s="55" t="n"/>
      <c r="K160">
        <f>ABS(B160 - $G$2)</f>
        <v/>
      </c>
      <c r="L160">
        <f>ABS(B160 - $H$2)</f>
        <v/>
      </c>
      <c r="M160">
        <f>ABS(B160 - $I$2)</f>
        <v/>
      </c>
      <c r="O160">
        <f>(1/K160^2) / ((1/K160^2) + (1/L160^2) + (1/M160^2))</f>
        <v/>
      </c>
      <c r="P160">
        <f>(1/L160^2) / ((1/K160^2) + (1/L160^2) + (1/M160^2))</f>
        <v/>
      </c>
      <c r="Q160">
        <f>(1/M160^2) / ((1/K160^2) + (1/L160^2) + (1/M160^2))</f>
        <v/>
      </c>
      <c r="S160">
        <f>IF(MAX(O160:Q160)=O160, "Murah", IF(MAX(O160:Q160)=P160, "Sedang", "Mahal"))</f>
        <v/>
      </c>
    </row>
    <row r="161">
      <c r="A161" s="6" t="inlineStr">
        <is>
          <t>Pojok Kuliner Mas Gendoet</t>
        </is>
      </c>
      <c r="B161" s="6" t="n">
        <v>0.03067484662576687</v>
      </c>
      <c r="C161" s="6" t="n">
        <v>0.1921600551854298</v>
      </c>
      <c r="D161" s="6" t="n">
        <v>0.4985532170748896</v>
      </c>
      <c r="E161" s="55" t="n"/>
      <c r="K161">
        <f>ABS(B161 - $G$2)</f>
        <v/>
      </c>
      <c r="L161">
        <f>ABS(B161 - $H$2)</f>
        <v/>
      </c>
      <c r="M161">
        <f>ABS(B161 - $I$2)</f>
        <v/>
      </c>
      <c r="O161">
        <f>(1/K161^2) / ((1/K161^2) + (1/L161^2) + (1/M161^2))</f>
        <v/>
      </c>
      <c r="P161">
        <f>(1/L161^2) / ((1/K161^2) + (1/L161^2) + (1/M161^2))</f>
        <v/>
      </c>
      <c r="Q161">
        <f>(1/M161^2) / ((1/K161^2) + (1/L161^2) + (1/M161^2))</f>
        <v/>
      </c>
      <c r="S161">
        <f>IF(MAX(O161:Q161)=O161, "Murah", IF(MAX(O161:Q161)=P161, "Sedang", "Mahal"))</f>
        <v/>
      </c>
    </row>
    <row r="162">
      <c r="A162" s="6" t="inlineStr">
        <is>
          <t>Sentra Jajanan Pasar Soekarno Hatta Malang</t>
        </is>
      </c>
      <c r="B162" s="6" t="n">
        <v>0.1032719836400818</v>
      </c>
      <c r="C162" s="6" t="n">
        <v>0.1834635784398977</v>
      </c>
      <c r="D162" s="6" t="n">
        <v>0.3585715348867199</v>
      </c>
      <c r="E162" s="55" t="n"/>
      <c r="K162">
        <f>ABS(B162 - $G$2)</f>
        <v/>
      </c>
      <c r="L162">
        <f>ABS(B162 - $H$2)</f>
        <v/>
      </c>
      <c r="M162">
        <f>ABS(B162 - $I$2)</f>
        <v/>
      </c>
      <c r="O162">
        <f>(1/K162^2) / ((1/K162^2) + (1/L162^2) + (1/M162^2))</f>
        <v/>
      </c>
      <c r="P162">
        <f>(1/L162^2) / ((1/K162^2) + (1/L162^2) + (1/M162^2))</f>
        <v/>
      </c>
      <c r="Q162">
        <f>(1/M162^2) / ((1/K162^2) + (1/L162^2) + (1/M162^2))</f>
        <v/>
      </c>
      <c r="S162">
        <f>IF(MAX(O162:Q162)=O162, "Murah", IF(MAX(O162:Q162)=P162, "Sedang", "Mahal"))</f>
        <v/>
      </c>
    </row>
    <row r="163">
      <c r="A163" s="6" t="inlineStr">
        <is>
          <t>CHAIYOO Eatery &amp; Playground</t>
        </is>
      </c>
      <c r="B163" s="6" t="n">
        <v>0.05214723926380368</v>
      </c>
      <c r="C163" s="6" t="n">
        <v>0.1651721420152857</v>
      </c>
      <c r="D163" s="6" t="n">
        <v>0.3894557635160048</v>
      </c>
      <c r="E163" s="55" t="n"/>
      <c r="K163">
        <f>ABS(B163 - $G$2)</f>
        <v/>
      </c>
      <c r="L163">
        <f>ABS(B163 - $H$2)</f>
        <v/>
      </c>
      <c r="M163">
        <f>ABS(B163 - $I$2)</f>
        <v/>
      </c>
      <c r="O163">
        <f>(1/K163^2) / ((1/K163^2) + (1/L163^2) + (1/M163^2))</f>
        <v/>
      </c>
      <c r="P163">
        <f>(1/L163^2) / ((1/K163^2) + (1/L163^2) + (1/M163^2))</f>
        <v/>
      </c>
      <c r="Q163">
        <f>(1/M163^2) / ((1/K163^2) + (1/L163^2) + (1/M163^2))</f>
        <v/>
      </c>
      <c r="S163">
        <f>IF(MAX(O163:Q163)=O163, "Murah", IF(MAX(O163:Q163)=P163, "Sedang", "Mahal"))</f>
        <v/>
      </c>
    </row>
    <row r="164">
      <c r="A164" s="6" t="inlineStr">
        <is>
          <t>Rawon Cak Wot</t>
        </is>
      </c>
      <c r="B164" s="6" t="n">
        <v>0.049079754601227</v>
      </c>
      <c r="C164" s="6" t="n">
        <v>0.1790663528253712</v>
      </c>
      <c r="D164" s="6" t="n">
        <v>0.3442764943274165</v>
      </c>
      <c r="E164" s="55" t="n"/>
      <c r="K164">
        <f>ABS(B164 - $G$2)</f>
        <v/>
      </c>
      <c r="L164">
        <f>ABS(B164 - $H$2)</f>
        <v/>
      </c>
      <c r="M164">
        <f>ABS(B164 - $I$2)</f>
        <v/>
      </c>
      <c r="O164">
        <f>(1/K164^2) / ((1/K164^2) + (1/L164^2) + (1/M164^2))</f>
        <v/>
      </c>
      <c r="P164">
        <f>(1/L164^2) / ((1/K164^2) + (1/L164^2) + (1/M164^2))</f>
        <v/>
      </c>
      <c r="Q164">
        <f>(1/M164^2) / ((1/K164^2) + (1/L164^2) + (1/M164^2))</f>
        <v/>
      </c>
      <c r="S164">
        <f>IF(MAX(O164:Q164)=O164, "Murah", IF(MAX(O164:Q164)=P164, "Sedang", "Mahal"))</f>
        <v/>
      </c>
    </row>
    <row r="165">
      <c r="A165" s="6" t="inlineStr">
        <is>
          <t>Loopi Hoopi Dessert &amp; Bakery</t>
        </is>
      </c>
      <c r="B165" s="6" t="n">
        <v>0.2433537832310838</v>
      </c>
      <c r="C165" s="6" t="n">
        <v>0.1630066516075814</v>
      </c>
      <c r="D165" s="6" t="n">
        <v>0.3552937076179311</v>
      </c>
      <c r="E165" s="55" t="n"/>
      <c r="K165">
        <f>ABS(B165 - $G$2)</f>
        <v/>
      </c>
      <c r="L165">
        <f>ABS(B165 - $H$2)</f>
        <v/>
      </c>
      <c r="M165">
        <f>ABS(B165 - $I$2)</f>
        <v/>
      </c>
      <c r="O165">
        <f>(1/K165^2) / ((1/K165^2) + (1/L165^2) + (1/M165^2))</f>
        <v/>
      </c>
      <c r="P165">
        <f>(1/L165^2) / ((1/K165^2) + (1/L165^2) + (1/M165^2))</f>
        <v/>
      </c>
      <c r="Q165">
        <f>(1/M165^2) / ((1/K165^2) + (1/L165^2) + (1/M165^2))</f>
        <v/>
      </c>
      <c r="S165">
        <f>IF(MAX(O165:Q165)=O165, "Murah", IF(MAX(O165:Q165)=P165, "Sedang", "Mahal"))</f>
        <v/>
      </c>
    </row>
    <row r="166">
      <c r="A166" s="6" t="inlineStr">
        <is>
          <t>Pasar Oro Oro Dowo</t>
        </is>
      </c>
      <c r="B166" s="6" t="n">
        <v>0.049079754601227</v>
      </c>
      <c r="C166" s="6" t="n">
        <v>0.1493966757948051</v>
      </c>
      <c r="D166" s="6" t="n">
        <v>0.376990662042238</v>
      </c>
      <c r="E166" s="55" t="n"/>
      <c r="K166">
        <f>ABS(B166 - $G$2)</f>
        <v/>
      </c>
      <c r="L166">
        <f>ABS(B166 - $H$2)</f>
        <v/>
      </c>
      <c r="M166">
        <f>ABS(B166 - $I$2)</f>
        <v/>
      </c>
      <c r="O166">
        <f>(1/K166^2) / ((1/K166^2) + (1/L166^2) + (1/M166^2))</f>
        <v/>
      </c>
      <c r="P166">
        <f>(1/L166^2) / ((1/K166^2) + (1/L166^2) + (1/M166^2))</f>
        <v/>
      </c>
      <c r="Q166">
        <f>(1/M166^2) / ((1/K166^2) + (1/L166^2) + (1/M166^2))</f>
        <v/>
      </c>
      <c r="S166">
        <f>IF(MAX(O166:Q166)=O166, "Murah", IF(MAX(O166:Q166)=P166, "Sedang", "Mahal"))</f>
        <v/>
      </c>
    </row>
    <row r="167">
      <c r="A167" s="6" t="inlineStr">
        <is>
          <t>Mie ‎Setan Noodle N Dimsum - Malang</t>
        </is>
      </c>
      <c r="B167" s="6" t="n">
        <v>0.0460122699386503</v>
      </c>
      <c r="C167" s="6" t="n">
        <v>0.1370544340901791</v>
      </c>
      <c r="D167" s="6" t="n">
        <v>0.3659093437787612</v>
      </c>
      <c r="E167" s="55" t="n"/>
      <c r="K167">
        <f>ABS(B167 - $G$2)</f>
        <v/>
      </c>
      <c r="L167">
        <f>ABS(B167 - $H$2)</f>
        <v/>
      </c>
      <c r="M167">
        <f>ABS(B167 - $I$2)</f>
        <v/>
      </c>
      <c r="O167">
        <f>(1/K167^2) / ((1/K167^2) + (1/L167^2) + (1/M167^2))</f>
        <v/>
      </c>
      <c r="P167">
        <f>(1/L167^2) / ((1/K167^2) + (1/L167^2) + (1/M167^2))</f>
        <v/>
      </c>
      <c r="Q167">
        <f>(1/M167^2) / ((1/K167^2) + (1/L167^2) + (1/M167^2))</f>
        <v/>
      </c>
      <c r="S167">
        <f>IF(MAX(O167:Q167)=O167, "Murah", IF(MAX(O167:Q167)=P167, "Sedang", "Mahal"))</f>
        <v/>
      </c>
    </row>
    <row r="168">
      <c r="A168" s="6" t="inlineStr">
        <is>
          <t>Oleh Oleh Khas Malang</t>
        </is>
      </c>
      <c r="B168" s="6" t="n">
        <v>0.1155419222903886</v>
      </c>
      <c r="C168" s="6" t="n">
        <v>0.1811491280634286</v>
      </c>
      <c r="D168" s="6" t="n">
        <v>0.3862553043180904</v>
      </c>
      <c r="E168" s="55" t="n"/>
      <c r="K168">
        <f>ABS(B168 - $G$2)</f>
        <v/>
      </c>
      <c r="L168">
        <f>ABS(B168 - $H$2)</f>
        <v/>
      </c>
      <c r="M168">
        <f>ABS(B168 - $I$2)</f>
        <v/>
      </c>
      <c r="O168">
        <f>(1/K168^2) / ((1/K168^2) + (1/L168^2) + (1/M168^2))</f>
        <v/>
      </c>
      <c r="P168">
        <f>(1/L168^2) / ((1/K168^2) + (1/L168^2) + (1/M168^2))</f>
        <v/>
      </c>
      <c r="Q168">
        <f>(1/M168^2) / ((1/K168^2) + (1/L168^2) + (1/M168^2))</f>
        <v/>
      </c>
      <c r="S168">
        <f>IF(MAX(O168:Q168)=O168, "Murah", IF(MAX(O168:Q168)=P168, "Sedang", "Mahal"))</f>
        <v/>
      </c>
    </row>
    <row r="169">
      <c r="A169" s="6" t="inlineStr">
        <is>
          <t>Putu Pojok Lawas Jl. Gajayana</t>
        </is>
      </c>
      <c r="B169" s="6" t="n">
        <v>0.02862985685071575</v>
      </c>
      <c r="C169" s="6" t="n">
        <v>0.1776637070056724</v>
      </c>
      <c r="D169" s="6" t="n">
        <v>0.3073453983313625</v>
      </c>
      <c r="E169" s="55" t="n"/>
      <c r="K169">
        <f>ABS(B169 - $G$2)</f>
        <v/>
      </c>
      <c r="L169">
        <f>ABS(B169 - $H$2)</f>
        <v/>
      </c>
      <c r="M169">
        <f>ABS(B169 - $I$2)</f>
        <v/>
      </c>
      <c r="O169">
        <f>(1/K169^2) / ((1/K169^2) + (1/L169^2) + (1/M169^2))</f>
        <v/>
      </c>
      <c r="P169">
        <f>(1/L169^2) / ((1/K169^2) + (1/L169^2) + (1/M169^2))</f>
        <v/>
      </c>
      <c r="Q169">
        <f>(1/M169^2) / ((1/K169^2) + (1/L169^2) + (1/M169^2))</f>
        <v/>
      </c>
      <c r="S169">
        <f>IF(MAX(O169:Q169)=O169, "Murah", IF(MAX(O169:Q169)=P169, "Sedang", "Mahal"))</f>
        <v/>
      </c>
    </row>
    <row r="170">
      <c r="A170" s="6" t="inlineStr">
        <is>
          <t>Lumpia Ciliwung</t>
        </is>
      </c>
      <c r="B170" s="6" t="n">
        <v>0.2760736196319019</v>
      </c>
      <c r="C170" s="6" t="n">
        <v>0.1669854571472455</v>
      </c>
      <c r="D170" s="6" t="n">
        <v>0.4344091916215627</v>
      </c>
      <c r="E170" s="55" t="n"/>
      <c r="K170">
        <f>ABS(B170 - $G$2)</f>
        <v/>
      </c>
      <c r="L170">
        <f>ABS(B170 - $H$2)</f>
        <v/>
      </c>
      <c r="M170">
        <f>ABS(B170 - $I$2)</f>
        <v/>
      </c>
      <c r="O170">
        <f>(1/K170^2) / ((1/K170^2) + (1/L170^2) + (1/M170^2))</f>
        <v/>
      </c>
      <c r="P170">
        <f>(1/L170^2) / ((1/K170^2) + (1/L170^2) + (1/M170^2))</f>
        <v/>
      </c>
      <c r="Q170">
        <f>(1/M170^2) / ((1/K170^2) + (1/L170^2) + (1/M170^2))</f>
        <v/>
      </c>
      <c r="S170">
        <f>IF(MAX(O170:Q170)=O170, "Murah", IF(MAX(O170:Q170)=P170, "Sedang", "Mahal"))</f>
        <v/>
      </c>
    </row>
    <row r="171">
      <c r="A171" s="6" t="inlineStr">
        <is>
          <t>Bagortalik</t>
        </is>
      </c>
      <c r="B171" s="6" t="n">
        <v>0.01226993865030675</v>
      </c>
      <c r="C171" s="6" t="n">
        <v>0.148942892865569</v>
      </c>
      <c r="D171" s="6" t="n">
        <v>0.3396119364933276</v>
      </c>
      <c r="E171" s="55" t="n"/>
      <c r="K171">
        <f>ABS(B171 - $G$2)</f>
        <v/>
      </c>
      <c r="L171">
        <f>ABS(B171 - $H$2)</f>
        <v/>
      </c>
      <c r="M171">
        <f>ABS(B171 - $I$2)</f>
        <v/>
      </c>
      <c r="O171">
        <f>(1/K171^2) / ((1/K171^2) + (1/L171^2) + (1/M171^2))</f>
        <v/>
      </c>
      <c r="P171">
        <f>(1/L171^2) / ((1/K171^2) + (1/L171^2) + (1/M171^2))</f>
        <v/>
      </c>
      <c r="Q171">
        <f>(1/M171^2) / ((1/K171^2) + (1/L171^2) + (1/M171^2))</f>
        <v/>
      </c>
      <c r="S171">
        <f>IF(MAX(O171:Q171)=O171, "Murah", IF(MAX(O171:Q171)=P171, "Sedang", "Mahal"))</f>
        <v/>
      </c>
    </row>
    <row r="172">
      <c r="A172" s="6" t="inlineStr">
        <is>
          <t>Nasi Goreng Pak Dji porsi Jumbo</t>
        </is>
      </c>
      <c r="B172" s="6" t="n">
        <v>0.02658486707566462</v>
      </c>
      <c r="C172" s="6" t="n">
        <v>0.1400270937595219</v>
      </c>
      <c r="D172" s="6" t="n">
        <v>0.4137972322862086</v>
      </c>
      <c r="E172" s="55" t="n"/>
      <c r="K172">
        <f>ABS(B172 - $G$2)</f>
        <v/>
      </c>
      <c r="L172">
        <f>ABS(B172 - $H$2)</f>
        <v/>
      </c>
      <c r="M172">
        <f>ABS(B172 - $I$2)</f>
        <v/>
      </c>
      <c r="O172">
        <f>(1/K172^2) / ((1/K172^2) + (1/L172^2) + (1/M172^2))</f>
        <v/>
      </c>
      <c r="P172">
        <f>(1/L172^2) / ((1/K172^2) + (1/L172^2) + (1/M172^2))</f>
        <v/>
      </c>
      <c r="Q172">
        <f>(1/M172^2) / ((1/K172^2) + (1/L172^2) + (1/M172^2))</f>
        <v/>
      </c>
      <c r="S172">
        <f>IF(MAX(O172:Q172)=O172, "Murah", IF(MAX(O172:Q172)=P172, "Sedang", "Mahal"))</f>
        <v/>
      </c>
    </row>
    <row r="173">
      <c r="A173" s="6" t="inlineStr">
        <is>
          <t>TimTong</t>
        </is>
      </c>
      <c r="B173" s="6" t="n">
        <v>0.1032719836400818</v>
      </c>
      <c r="C173" s="6" t="n">
        <v>0.1415285618024016</v>
      </c>
      <c r="D173" s="6" t="n">
        <v>0.3431281311042278</v>
      </c>
      <c r="E173" s="55" t="n"/>
      <c r="K173">
        <f>ABS(B173 - $G$2)</f>
        <v/>
      </c>
      <c r="L173">
        <f>ABS(B173 - $H$2)</f>
        <v/>
      </c>
      <c r="M173">
        <f>ABS(B173 - $I$2)</f>
        <v/>
      </c>
      <c r="O173">
        <f>(1/K173^2) / ((1/K173^2) + (1/L173^2) + (1/M173^2))</f>
        <v/>
      </c>
      <c r="P173">
        <f>(1/L173^2) / ((1/K173^2) + (1/L173^2) + (1/M173^2))</f>
        <v/>
      </c>
      <c r="Q173">
        <f>(1/M173^2) / ((1/K173^2) + (1/L173^2) + (1/M173^2))</f>
        <v/>
      </c>
      <c r="S173">
        <f>IF(MAX(O173:Q173)=O173, "Murah", IF(MAX(O173:Q173)=P173, "Sedang", "Mahal"))</f>
        <v/>
      </c>
    </row>
    <row r="174">
      <c r="A174" s="6" t="inlineStr">
        <is>
          <t>Molly Molen</t>
        </is>
      </c>
      <c r="B174" s="6" t="n">
        <v>0.130879345603272</v>
      </c>
      <c r="C174" s="6" t="n">
        <v>0.1585571083454884</v>
      </c>
      <c r="D174" s="6" t="n">
        <v>0.3116430104579475</v>
      </c>
      <c r="E174" s="55" t="n"/>
      <c r="K174">
        <f>ABS(B174 - $G$2)</f>
        <v/>
      </c>
      <c r="L174">
        <f>ABS(B174 - $H$2)</f>
        <v/>
      </c>
      <c r="M174">
        <f>ABS(B174 - $I$2)</f>
        <v/>
      </c>
      <c r="O174">
        <f>(1/K174^2) / ((1/K174^2) + (1/L174^2) + (1/M174^2))</f>
        <v/>
      </c>
      <c r="P174">
        <f>(1/L174^2) / ((1/K174^2) + (1/L174^2) + (1/M174^2))</f>
        <v/>
      </c>
      <c r="Q174">
        <f>(1/M174^2) / ((1/K174^2) + (1/L174^2) + (1/M174^2))</f>
        <v/>
      </c>
      <c r="S174">
        <f>IF(MAX(O174:Q174)=O174, "Murah", IF(MAX(O174:Q174)=P174, "Sedang", "Mahal"))</f>
        <v/>
      </c>
    </row>
    <row r="175">
      <c r="A175" s="6" t="inlineStr">
        <is>
          <t>Coto Makassar Sop Konro Daeng Rudi</t>
        </is>
      </c>
      <c r="B175" s="6" t="n">
        <v>0.1206543967280164</v>
      </c>
      <c r="C175" s="6" t="n">
        <v>0.1511941260845627</v>
      </c>
      <c r="D175" s="6" t="n">
        <v>0.3219974372747357</v>
      </c>
      <c r="E175" s="55" t="n"/>
      <c r="K175">
        <f>ABS(B175 - $G$2)</f>
        <v/>
      </c>
      <c r="L175">
        <f>ABS(B175 - $H$2)</f>
        <v/>
      </c>
      <c r="M175">
        <f>ABS(B175 - $I$2)</f>
        <v/>
      </c>
      <c r="O175">
        <f>(1/K175^2) / ((1/K175^2) + (1/L175^2) + (1/M175^2))</f>
        <v/>
      </c>
      <c r="P175">
        <f>(1/L175^2) / ((1/K175^2) + (1/L175^2) + (1/M175^2))</f>
        <v/>
      </c>
      <c r="Q175">
        <f>(1/M175^2) / ((1/K175^2) + (1/L175^2) + (1/M175^2))</f>
        <v/>
      </c>
      <c r="S175">
        <f>IF(MAX(O175:Q175)=O175, "Murah", IF(MAX(O175:Q175)=P175, "Sedang", "Mahal"))</f>
        <v/>
      </c>
    </row>
    <row r="176">
      <c r="A176" s="6" t="inlineStr">
        <is>
          <t>Soto Ayam Ambengan Bu Keni</t>
        </is>
      </c>
      <c r="B176" s="6" t="n">
        <v>0.06134969325153374</v>
      </c>
      <c r="C176" s="6" t="n">
        <v>0.1453531998296779</v>
      </c>
      <c r="D176" s="6" t="n">
        <v>0.3945988981312894</v>
      </c>
      <c r="E176" s="55" t="n"/>
      <c r="K176">
        <f>ABS(B176 - $G$2)</f>
        <v/>
      </c>
      <c r="L176">
        <f>ABS(B176 - $H$2)</f>
        <v/>
      </c>
      <c r="M176">
        <f>ABS(B176 - $I$2)</f>
        <v/>
      </c>
      <c r="O176">
        <f>(1/K176^2) / ((1/K176^2) + (1/L176^2) + (1/M176^2))</f>
        <v/>
      </c>
      <c r="P176">
        <f>(1/L176^2) / ((1/K176^2) + (1/L176^2) + (1/M176^2))</f>
        <v/>
      </c>
      <c r="Q176">
        <f>(1/M176^2) / ((1/K176^2) + (1/L176^2) + (1/M176^2))</f>
        <v/>
      </c>
      <c r="S176">
        <f>IF(MAX(O176:Q176)=O176, "Murah", IF(MAX(O176:Q176)=P176, "Sedang", "Mahal"))</f>
        <v/>
      </c>
    </row>
    <row r="177">
      <c r="A177" s="6" t="inlineStr">
        <is>
          <t>CAK TOMO CABANG SANAN</t>
        </is>
      </c>
      <c r="B177" s="6" t="n">
        <v>0.1717791411042945</v>
      </c>
      <c r="C177" s="6" t="n">
        <v>0.1620846741748959</v>
      </c>
      <c r="D177" s="6" t="n">
        <v>0.4338819834815482</v>
      </c>
      <c r="E177" s="55" t="n"/>
      <c r="K177">
        <f>ABS(B177 - $G$2)</f>
        <v/>
      </c>
      <c r="L177">
        <f>ABS(B177 - $H$2)</f>
        <v/>
      </c>
      <c r="M177">
        <f>ABS(B177 - $I$2)</f>
        <v/>
      </c>
      <c r="O177">
        <f>(1/K177^2) / ((1/K177^2) + (1/L177^2) + (1/M177^2))</f>
        <v/>
      </c>
      <c r="P177">
        <f>(1/L177^2) / ((1/K177^2) + (1/L177^2) + (1/M177^2))</f>
        <v/>
      </c>
      <c r="Q177">
        <f>(1/M177^2) / ((1/K177^2) + (1/L177^2) + (1/M177^2))</f>
        <v/>
      </c>
      <c r="S177">
        <f>IF(MAX(O177:Q177)=O177, "Murah", IF(MAX(O177:Q177)=P177, "Sedang", "Mahal"))</f>
        <v/>
      </c>
    </row>
    <row r="178">
      <c r="A178" s="6" t="inlineStr">
        <is>
          <t>Soehat Street Food</t>
        </is>
      </c>
      <c r="B178" s="6" t="n">
        <v>0.2719836400817996</v>
      </c>
      <c r="C178" s="6" t="n">
        <v>0.1819983209910515</v>
      </c>
      <c r="D178" s="6" t="n">
        <v>0.3550778138582824</v>
      </c>
      <c r="E178" s="55" t="n"/>
      <c r="K178">
        <f>ABS(B178 - $G$2)</f>
        <v/>
      </c>
      <c r="L178">
        <f>ABS(B178 - $H$2)</f>
        <v/>
      </c>
      <c r="M178">
        <f>ABS(B178 - $I$2)</f>
        <v/>
      </c>
      <c r="O178">
        <f>(1/K178^2) / ((1/K178^2) + (1/L178^2) + (1/M178^2))</f>
        <v/>
      </c>
      <c r="P178">
        <f>(1/L178^2) / ((1/K178^2) + (1/L178^2) + (1/M178^2))</f>
        <v/>
      </c>
      <c r="Q178">
        <f>(1/M178^2) / ((1/K178^2) + (1/L178^2) + (1/M178^2))</f>
        <v/>
      </c>
      <c r="S178">
        <f>IF(MAX(O178:Q178)=O178, "Murah", IF(MAX(O178:Q178)=P178, "Sedang", "Mahal"))</f>
        <v/>
      </c>
    </row>
    <row r="179">
      <c r="A179" s="6" t="inlineStr">
        <is>
          <t>Soto Daging Pak Markeso (Sejak 1987)</t>
        </is>
      </c>
      <c r="B179" s="6" t="n">
        <v>0.03885480572597137</v>
      </c>
      <c r="C179" s="6" t="n">
        <v>0.1419251828574452</v>
      </c>
      <c r="D179" s="6" t="n">
        <v>0.3550030247231596</v>
      </c>
      <c r="E179" s="55" t="n"/>
      <c r="K179">
        <f>ABS(B179 - $G$2)</f>
        <v/>
      </c>
      <c r="L179">
        <f>ABS(B179 - $H$2)</f>
        <v/>
      </c>
      <c r="M179">
        <f>ABS(B179 - $I$2)</f>
        <v/>
      </c>
      <c r="O179">
        <f>(1/K179^2) / ((1/K179^2) + (1/L179^2) + (1/M179^2))</f>
        <v/>
      </c>
      <c r="P179">
        <f>(1/L179^2) / ((1/K179^2) + (1/L179^2) + (1/M179^2))</f>
        <v/>
      </c>
      <c r="Q179">
        <f>(1/M179^2) / ((1/K179^2) + (1/L179^2) + (1/M179^2))</f>
        <v/>
      </c>
      <c r="S179">
        <f>IF(MAX(O179:Q179)=O179, "Murah", IF(MAX(O179:Q179)=P179, "Sedang", "Mahal"))</f>
        <v/>
      </c>
    </row>
    <row r="180">
      <c r="A180" s="6" t="inlineStr">
        <is>
          <t>Lalapan dan Sea Food Bang Husein</t>
        </is>
      </c>
      <c r="B180" s="6" t="n">
        <v>0.114519427402863</v>
      </c>
      <c r="C180" s="6" t="n">
        <v>0.1464665242141094</v>
      </c>
      <c r="D180" s="6" t="n">
        <v>0.3778019215281203</v>
      </c>
      <c r="E180" s="55" t="n"/>
      <c r="K180">
        <f>ABS(B180 - $G$2)</f>
        <v/>
      </c>
      <c r="L180">
        <f>ABS(B180 - $H$2)</f>
        <v/>
      </c>
      <c r="M180">
        <f>ABS(B180 - $I$2)</f>
        <v/>
      </c>
      <c r="O180">
        <f>(1/K180^2) / ((1/K180^2) + (1/L180^2) + (1/M180^2))</f>
        <v/>
      </c>
      <c r="P180">
        <f>(1/L180^2) / ((1/K180^2) + (1/L180^2) + (1/M180^2))</f>
        <v/>
      </c>
      <c r="Q180">
        <f>(1/M180^2) / ((1/K180^2) + (1/L180^2) + (1/M180^2))</f>
        <v/>
      </c>
      <c r="S180">
        <f>IF(MAX(O180:Q180)=O180, "Murah", IF(MAX(O180:Q180)=P180, "Sedang", "Mahal"))</f>
        <v/>
      </c>
    </row>
    <row r="181">
      <c r="A181" s="6" t="inlineStr">
        <is>
          <t>Tahwa "ING" MALANG</t>
        </is>
      </c>
      <c r="B181" s="6" t="n">
        <v>0.016359918200409</v>
      </c>
      <c r="C181" s="6" t="n">
        <v>0.1737037939498519</v>
      </c>
      <c r="D181" s="6" t="n">
        <v>0.3893511324106323</v>
      </c>
      <c r="E181" s="55" t="n"/>
      <c r="K181">
        <f>ABS(B181 - $G$2)</f>
        <v/>
      </c>
      <c r="L181">
        <f>ABS(B181 - $H$2)</f>
        <v/>
      </c>
      <c r="M181">
        <f>ABS(B181 - $I$2)</f>
        <v/>
      </c>
      <c r="O181">
        <f>(1/K181^2) / ((1/K181^2) + (1/L181^2) + (1/M181^2))</f>
        <v/>
      </c>
      <c r="P181">
        <f>(1/L181^2) / ((1/K181^2) + (1/L181^2) + (1/M181^2))</f>
        <v/>
      </c>
      <c r="Q181">
        <f>(1/M181^2) / ((1/K181^2) + (1/L181^2) + (1/M181^2))</f>
        <v/>
      </c>
      <c r="S181">
        <f>IF(MAX(O181:Q181)=O181, "Murah", IF(MAX(O181:Q181)=P181, "Sedang", "Mahal"))</f>
        <v/>
      </c>
    </row>
    <row r="182">
      <c r="A182" s="6" t="inlineStr">
        <is>
          <t>Bubur Ayam AGUS</t>
        </is>
      </c>
      <c r="B182" s="6" t="n">
        <v>0.130879345603272</v>
      </c>
      <c r="C182" s="6" t="n">
        <v>0.1471590064103659</v>
      </c>
      <c r="D182" s="6" t="n">
        <v>0.3328330198084188</v>
      </c>
      <c r="E182" s="55" t="n"/>
      <c r="K182">
        <f>ABS(B182 - $G$2)</f>
        <v/>
      </c>
      <c r="L182">
        <f>ABS(B182 - $H$2)</f>
        <v/>
      </c>
      <c r="M182">
        <f>ABS(B182 - $I$2)</f>
        <v/>
      </c>
      <c r="O182">
        <f>(1/K182^2) / ((1/K182^2) + (1/L182^2) + (1/M182^2))</f>
        <v/>
      </c>
      <c r="P182">
        <f>(1/L182^2) / ((1/K182^2) + (1/L182^2) + (1/M182^2))</f>
        <v/>
      </c>
      <c r="Q182">
        <f>(1/M182^2) / ((1/K182^2) + (1/L182^2) + (1/M182^2))</f>
        <v/>
      </c>
      <c r="S182">
        <f>IF(MAX(O182:Q182)=O182, "Murah", IF(MAX(O182:Q182)=P182, "Sedang", "Mahal"))</f>
        <v/>
      </c>
    </row>
    <row r="183">
      <c r="A183" s="6" t="inlineStr">
        <is>
          <t>Mie Gacoan Stasiun Kota Malang</t>
        </is>
      </c>
      <c r="B183" s="6" t="n">
        <v>0.01738241308793456</v>
      </c>
      <c r="C183" s="6" t="n">
        <v>0.1408868228800579</v>
      </c>
      <c r="D183" s="6" t="n">
        <v>0.4067733167102324</v>
      </c>
      <c r="E183" s="55" t="n"/>
      <c r="K183">
        <f>ABS(B183 - $G$2)</f>
        <v/>
      </c>
      <c r="L183">
        <f>ABS(B183 - $H$2)</f>
        <v/>
      </c>
      <c r="M183">
        <f>ABS(B183 - $I$2)</f>
        <v/>
      </c>
      <c r="O183">
        <f>(1/K183^2) / ((1/K183^2) + (1/L183^2) + (1/M183^2))</f>
        <v/>
      </c>
      <c r="P183">
        <f>(1/L183^2) / ((1/K183^2) + (1/L183^2) + (1/M183^2))</f>
        <v/>
      </c>
      <c r="Q183">
        <f>(1/M183^2) / ((1/K183^2) + (1/L183^2) + (1/M183^2))</f>
        <v/>
      </c>
      <c r="S183">
        <f>IF(MAX(O183:Q183)=O183, "Murah", IF(MAX(O183:Q183)=P183, "Sedang", "Mahal"))</f>
        <v/>
      </c>
    </row>
    <row r="184">
      <c r="A184" s="6" t="inlineStr">
        <is>
          <t>Nasi Gendut Malang</t>
        </is>
      </c>
      <c r="B184" s="6" t="n">
        <v>0.03885480572597137</v>
      </c>
      <c r="C184" s="6" t="n">
        <v>0.1749097641685156</v>
      </c>
      <c r="D184" s="6" t="n">
        <v>0.3640178786559092</v>
      </c>
      <c r="E184" s="55" t="n"/>
      <c r="K184">
        <f>ABS(B184 - $G$2)</f>
        <v/>
      </c>
      <c r="L184">
        <f>ABS(B184 - $H$2)</f>
        <v/>
      </c>
      <c r="M184">
        <f>ABS(B184 - $I$2)</f>
        <v/>
      </c>
      <c r="O184">
        <f>(1/K184^2) / ((1/K184^2) + (1/L184^2) + (1/M184^2))</f>
        <v/>
      </c>
      <c r="P184">
        <f>(1/L184^2) / ((1/K184^2) + (1/L184^2) + (1/M184^2))</f>
        <v/>
      </c>
      <c r="Q184">
        <f>(1/M184^2) / ((1/K184^2) + (1/L184^2) + (1/M184^2))</f>
        <v/>
      </c>
      <c r="S184">
        <f>IF(MAX(O184:Q184)=O184, "Murah", IF(MAX(O184:Q184)=P184, "Sedang", "Mahal"))</f>
        <v/>
      </c>
    </row>
    <row r="185">
      <c r="A185" s="6" t="inlineStr">
        <is>
          <t>Hot Cui Mie MOG l Since 2000</t>
        </is>
      </c>
      <c r="B185" s="6" t="n">
        <v>0.1196319018404908</v>
      </c>
      <c r="C185" s="6" t="n">
        <v>0.1390404459013732</v>
      </c>
      <c r="D185" s="6" t="n">
        <v>0.3611195233537053</v>
      </c>
      <c r="E185" s="55" t="n"/>
      <c r="K185">
        <f>ABS(B185 - $G$2)</f>
        <v/>
      </c>
      <c r="L185">
        <f>ABS(B185 - $H$2)</f>
        <v/>
      </c>
      <c r="M185">
        <f>ABS(B185 - $I$2)</f>
        <v/>
      </c>
      <c r="O185">
        <f>(1/K185^2) / ((1/K185^2) + (1/L185^2) + (1/M185^2))</f>
        <v/>
      </c>
      <c r="P185">
        <f>(1/L185^2) / ((1/K185^2) + (1/L185^2) + (1/M185^2))</f>
        <v/>
      </c>
      <c r="Q185">
        <f>(1/M185^2) / ((1/K185^2) + (1/L185^2) + (1/M185^2))</f>
        <v/>
      </c>
      <c r="S185">
        <f>IF(MAX(O185:Q185)=O185, "Murah", IF(MAX(O185:Q185)=P185, "Sedang", "Mahal"))</f>
        <v/>
      </c>
    </row>
    <row r="186">
      <c r="A186" s="6" t="inlineStr">
        <is>
          <t>Bakmi Jawa Mbah Sri</t>
        </is>
      </c>
      <c r="B186" s="6" t="n">
        <v>0.06339468302658487</v>
      </c>
      <c r="C186" s="6" t="n">
        <v>0.1703752047291281</v>
      </c>
      <c r="D186" s="6" t="n">
        <v>0.3562913873126801</v>
      </c>
      <c r="E186" s="55" t="n"/>
      <c r="K186">
        <f>ABS(B186 - $G$2)</f>
        <v/>
      </c>
      <c r="L186">
        <f>ABS(B186 - $H$2)</f>
        <v/>
      </c>
      <c r="M186">
        <f>ABS(B186 - $I$2)</f>
        <v/>
      </c>
      <c r="O186">
        <f>(1/K186^2) / ((1/K186^2) + (1/L186^2) + (1/M186^2))</f>
        <v/>
      </c>
      <c r="P186">
        <f>(1/L186^2) / ((1/K186^2) + (1/L186^2) + (1/M186^2))</f>
        <v/>
      </c>
      <c r="Q186">
        <f>(1/M186^2) / ((1/K186^2) + (1/L186^2) + (1/M186^2))</f>
        <v/>
      </c>
      <c r="S186">
        <f>IF(MAX(O186:Q186)=O186, "Murah", IF(MAX(O186:Q186)=P186, "Sedang", "Mahal"))</f>
        <v/>
      </c>
    </row>
    <row r="187">
      <c r="A187" s="6" t="inlineStr">
        <is>
          <t>Warung Makan Dan Jajanan Poharin</t>
        </is>
      </c>
      <c r="B187" s="6" t="n">
        <v>0.03476482617586912</v>
      </c>
      <c r="C187" s="6" t="n">
        <v>0.1591156476755223</v>
      </c>
      <c r="D187" s="6" t="n">
        <v>0.2953235053778321</v>
      </c>
      <c r="E187" s="55" t="n"/>
      <c r="K187">
        <f>ABS(B187 - $G$2)</f>
        <v/>
      </c>
      <c r="L187">
        <f>ABS(B187 - $H$2)</f>
        <v/>
      </c>
      <c r="M187">
        <f>ABS(B187 - $I$2)</f>
        <v/>
      </c>
      <c r="O187">
        <f>(1/K187^2) / ((1/K187^2) + (1/L187^2) + (1/M187^2))</f>
        <v/>
      </c>
      <c r="P187">
        <f>(1/L187^2) / ((1/K187^2) + (1/L187^2) + (1/M187^2))</f>
        <v/>
      </c>
      <c r="Q187">
        <f>(1/M187^2) / ((1/K187^2) + (1/L187^2) + (1/M187^2))</f>
        <v/>
      </c>
      <c r="S187">
        <f>IF(MAX(O187:Q187)=O187, "Murah", IF(MAX(O187:Q187)=P187, "Sedang", "Mahal"))</f>
        <v/>
      </c>
    </row>
    <row r="188">
      <c r="A188" s="6" t="inlineStr">
        <is>
          <t>Bikang Mekar Sari Sawojajar</t>
        </is>
      </c>
      <c r="B188" s="6" t="n">
        <v>0.01942740286298569</v>
      </c>
      <c r="C188" s="6" t="n">
        <v>0.1411304874793704</v>
      </c>
      <c r="D188" s="6" t="n">
        <v>0.501366099079758</v>
      </c>
      <c r="E188" s="55" t="n"/>
      <c r="K188">
        <f>ABS(B188 - $G$2)</f>
        <v/>
      </c>
      <c r="L188">
        <f>ABS(B188 - $H$2)</f>
        <v/>
      </c>
      <c r="M188">
        <f>ABS(B188 - $I$2)</f>
        <v/>
      </c>
      <c r="O188">
        <f>(1/K188^2) / ((1/K188^2) + (1/L188^2) + (1/M188^2))</f>
        <v/>
      </c>
      <c r="P188">
        <f>(1/L188^2) / ((1/K188^2) + (1/L188^2) + (1/M188^2))</f>
        <v/>
      </c>
      <c r="Q188">
        <f>(1/M188^2) / ((1/K188^2) + (1/L188^2) + (1/M188^2))</f>
        <v/>
      </c>
      <c r="S188">
        <f>IF(MAX(O188:Q188)=O188, "Murah", IF(MAX(O188:Q188)=P188, "Sedang", "Mahal"))</f>
        <v/>
      </c>
    </row>
    <row r="189">
      <c r="A189" s="6" t="inlineStr">
        <is>
          <t>Jajan Sunda</t>
        </is>
      </c>
      <c r="B189" s="6" t="n">
        <v>0.03476482617586912</v>
      </c>
      <c r="C189" s="6" t="n">
        <v>0.1388188225332118</v>
      </c>
      <c r="D189" s="6" t="n">
        <v>0.4903606752095458</v>
      </c>
      <c r="E189" s="55" t="n"/>
      <c r="K189">
        <f>ABS(B189 - $G$2)</f>
        <v/>
      </c>
      <c r="L189">
        <f>ABS(B189 - $H$2)</f>
        <v/>
      </c>
      <c r="M189">
        <f>ABS(B189 - $I$2)</f>
        <v/>
      </c>
      <c r="O189">
        <f>(1/K189^2) / ((1/K189^2) + (1/L189^2) + (1/M189^2))</f>
        <v/>
      </c>
      <c r="P189">
        <f>(1/L189^2) / ((1/K189^2) + (1/L189^2) + (1/M189^2))</f>
        <v/>
      </c>
      <c r="Q189">
        <f>(1/M189^2) / ((1/K189^2) + (1/L189^2) + (1/M189^2))</f>
        <v/>
      </c>
      <c r="S189">
        <f>IF(MAX(O189:Q189)=O189, "Murah", IF(MAX(O189:Q189)=P189, "Sedang", "Mahal"))</f>
        <v/>
      </c>
    </row>
    <row r="190">
      <c r="A190" s="6" t="inlineStr">
        <is>
          <t>Primasari Terang Bulan</t>
        </is>
      </c>
      <c r="B190" s="6" t="n">
        <v>0.1042944785276074</v>
      </c>
      <c r="C190" s="6" t="n">
        <v>0.2023451627732809</v>
      </c>
      <c r="D190" s="6" t="n">
        <v>0.4098418817683286</v>
      </c>
      <c r="E190" s="55" t="n"/>
      <c r="K190">
        <f>ABS(B190 - $G$2)</f>
        <v/>
      </c>
      <c r="L190">
        <f>ABS(B190 - $H$2)</f>
        <v/>
      </c>
      <c r="M190">
        <f>ABS(B190 - $I$2)</f>
        <v/>
      </c>
      <c r="O190">
        <f>(1/K190^2) / ((1/K190^2) + (1/L190^2) + (1/M190^2))</f>
        <v/>
      </c>
      <c r="P190">
        <f>(1/L190^2) / ((1/K190^2) + (1/L190^2) + (1/M190^2))</f>
        <v/>
      </c>
      <c r="Q190">
        <f>(1/M190^2) / ((1/K190^2) + (1/L190^2) + (1/M190^2))</f>
        <v/>
      </c>
      <c r="S190">
        <f>IF(MAX(O190:Q190)=O190, "Murah", IF(MAX(O190:Q190)=P190, "Sedang", "Mahal"))</f>
        <v/>
      </c>
    </row>
    <row r="191">
      <c r="A191" s="6" t="inlineStr">
        <is>
          <t>Cwi Mie Isor Uwit</t>
        </is>
      </c>
      <c r="B191" s="6" t="n">
        <v>0.1922290388548057</v>
      </c>
      <c r="C191" s="6" t="n">
        <v>0.1502686365875717</v>
      </c>
      <c r="D191" s="6" t="n">
        <v>0.3706346908113868</v>
      </c>
      <c r="E191" s="55" t="n"/>
      <c r="K191">
        <f>ABS(B191 - $G$2)</f>
        <v/>
      </c>
      <c r="L191">
        <f>ABS(B191 - $H$2)</f>
        <v/>
      </c>
      <c r="M191">
        <f>ABS(B191 - $I$2)</f>
        <v/>
      </c>
      <c r="O191">
        <f>(1/K191^2) / ((1/K191^2) + (1/L191^2) + (1/M191^2))</f>
        <v/>
      </c>
      <c r="P191">
        <f>(1/L191^2) / ((1/K191^2) + (1/L191^2) + (1/M191^2))</f>
        <v/>
      </c>
      <c r="Q191">
        <f>(1/M191^2) / ((1/K191^2) + (1/L191^2) + (1/M191^2))</f>
        <v/>
      </c>
      <c r="S191">
        <f>IF(MAX(O191:Q191)=O191, "Murah", IF(MAX(O191:Q191)=P191, "Sedang", "Mahal"))</f>
        <v/>
      </c>
    </row>
    <row r="192">
      <c r="A192" s="6" t="inlineStr">
        <is>
          <t>Bakso Priangan Mang Yayat</t>
        </is>
      </c>
      <c r="B192" s="6" t="n">
        <v>0.06216768916155419</v>
      </c>
      <c r="C192" s="6" t="n">
        <v>0.1430036288101661</v>
      </c>
      <c r="D192" s="6" t="n">
        <v>0.407249682975092</v>
      </c>
      <c r="E192" s="55" t="n"/>
      <c r="K192">
        <f>ABS(B192 - $G$2)</f>
        <v/>
      </c>
      <c r="L192">
        <f>ABS(B192 - $H$2)</f>
        <v/>
      </c>
      <c r="M192">
        <f>ABS(B192 - $I$2)</f>
        <v/>
      </c>
      <c r="O192">
        <f>(1/K192^2) / ((1/K192^2) + (1/L192^2) + (1/M192^2))</f>
        <v/>
      </c>
      <c r="P192">
        <f>(1/L192^2) / ((1/K192^2) + (1/L192^2) + (1/M192^2))</f>
        <v/>
      </c>
      <c r="Q192">
        <f>(1/M192^2) / ((1/K192^2) + (1/L192^2) + (1/M192^2))</f>
        <v/>
      </c>
      <c r="S192">
        <f>IF(MAX(O192:Q192)=O192, "Murah", IF(MAX(O192:Q192)=P192, "Sedang", "Mahal"))</f>
        <v/>
      </c>
    </row>
    <row r="193">
      <c r="A193" s="6" t="inlineStr">
        <is>
          <t>Warung Legendaris</t>
        </is>
      </c>
      <c r="B193" s="6" t="n">
        <v>0.0541922290388548</v>
      </c>
      <c r="C193" s="6" t="n">
        <v>0.09914496977929244</v>
      </c>
      <c r="D193" s="6" t="n">
        <v>0.3860412526553623</v>
      </c>
      <c r="E193" s="55" t="n"/>
      <c r="K193">
        <f>ABS(B193 - $G$2)</f>
        <v/>
      </c>
      <c r="L193">
        <f>ABS(B193 - $H$2)</f>
        <v/>
      </c>
      <c r="M193">
        <f>ABS(B193 - $I$2)</f>
        <v/>
      </c>
      <c r="O193">
        <f>(1/K193^2) / ((1/K193^2) + (1/L193^2) + (1/M193^2))</f>
        <v/>
      </c>
      <c r="P193">
        <f>(1/L193^2) / ((1/K193^2) + (1/L193^2) + (1/M193^2))</f>
        <v/>
      </c>
      <c r="Q193">
        <f>(1/M193^2) / ((1/K193^2) + (1/L193^2) + (1/M193^2))</f>
        <v/>
      </c>
      <c r="S193">
        <f>IF(MAX(O193:Q193)=O193, "Murah", IF(MAX(O193:Q193)=P193, "Sedang", "Mahal"))</f>
        <v/>
      </c>
    </row>
    <row r="194">
      <c r="A194" s="6" t="inlineStr">
        <is>
          <t>Warung Tressel</t>
        </is>
      </c>
      <c r="B194" s="6" t="n">
        <v>0.02658486707566462</v>
      </c>
      <c r="C194" s="6" t="n">
        <v>0.1549352012025311</v>
      </c>
      <c r="D194" s="6" t="n">
        <v>0.3907315998464443</v>
      </c>
      <c r="E194" s="55" t="n"/>
      <c r="K194">
        <f>ABS(B194 - $G$2)</f>
        <v/>
      </c>
      <c r="L194">
        <f>ABS(B194 - $H$2)</f>
        <v/>
      </c>
      <c r="M194">
        <f>ABS(B194 - $I$2)</f>
        <v/>
      </c>
      <c r="O194">
        <f>(1/K194^2) / ((1/K194^2) + (1/L194^2) + (1/M194^2))</f>
        <v/>
      </c>
      <c r="P194">
        <f>(1/L194^2) / ((1/K194^2) + (1/L194^2) + (1/M194^2))</f>
        <v/>
      </c>
      <c r="Q194">
        <f>(1/M194^2) / ((1/K194^2) + (1/L194^2) + (1/M194^2))</f>
        <v/>
      </c>
      <c r="S194">
        <f>IF(MAX(O194:Q194)=O194, "Murah", IF(MAX(O194:Q194)=P194, "Sedang", "Mahal"))</f>
        <v/>
      </c>
    </row>
    <row r="195">
      <c r="A195" s="6" t="inlineStr">
        <is>
          <t>Dialoogi Signature Restaurant Malang</t>
        </is>
      </c>
      <c r="B195" s="6" t="n">
        <v>0.4989775051124745</v>
      </c>
      <c r="C195" s="6" t="n">
        <v>0.159828960046272</v>
      </c>
      <c r="D195" s="6" t="n">
        <v>0.3549341302981618</v>
      </c>
      <c r="E195" s="55" t="n"/>
      <c r="K195">
        <f>ABS(B195 - $G$2)</f>
        <v/>
      </c>
      <c r="L195">
        <f>ABS(B195 - $H$2)</f>
        <v/>
      </c>
      <c r="M195">
        <f>ABS(B195 - $I$2)</f>
        <v/>
      </c>
      <c r="O195">
        <f>(1/K195^2) / ((1/K195^2) + (1/L195^2) + (1/M195^2))</f>
        <v/>
      </c>
      <c r="P195">
        <f>(1/L195^2) / ((1/K195^2) + (1/L195^2) + (1/M195^2))</f>
        <v/>
      </c>
      <c r="Q195">
        <f>(1/M195^2) / ((1/K195^2) + (1/L195^2) + (1/M195^2))</f>
        <v/>
      </c>
      <c r="S195">
        <f>IF(MAX(O195:Q195)=O195, "Murah", IF(MAX(O195:Q195)=P195, "Sedang", "Mahal"))</f>
        <v/>
      </c>
    </row>
    <row r="196">
      <c r="A196" s="6" t="inlineStr">
        <is>
          <t>Rujak manis semeru</t>
        </is>
      </c>
      <c r="B196" s="6" t="n">
        <v>0.06339468302658487</v>
      </c>
      <c r="C196" s="6" t="n">
        <v>0.1429582141855434</v>
      </c>
      <c r="D196" s="6" t="n">
        <v>0.3356492175877653</v>
      </c>
      <c r="E196" s="55" t="n"/>
      <c r="K196">
        <f>ABS(B196 - $G$2)</f>
        <v/>
      </c>
      <c r="L196">
        <f>ABS(B196 - $H$2)</f>
        <v/>
      </c>
      <c r="M196">
        <f>ABS(B196 - $I$2)</f>
        <v/>
      </c>
      <c r="O196">
        <f>(1/K196^2) / ((1/K196^2) + (1/L196^2) + (1/M196^2))</f>
        <v/>
      </c>
      <c r="P196">
        <f>(1/L196^2) / ((1/K196^2) + (1/L196^2) + (1/M196^2))</f>
        <v/>
      </c>
      <c r="Q196">
        <f>(1/M196^2) / ((1/K196^2) + (1/L196^2) + (1/M196^2))</f>
        <v/>
      </c>
      <c r="S196">
        <f>IF(MAX(O196:Q196)=O196, "Murah", IF(MAX(O196:Q196)=P196, "Sedang", "Mahal"))</f>
        <v/>
      </c>
    </row>
    <row r="197">
      <c r="A197" s="6" t="inlineStr">
        <is>
          <t>Bakso Bakar Pahlawan Trip (BABATRIP)</t>
        </is>
      </c>
      <c r="B197" s="6" t="n">
        <v>0.08997955010224949</v>
      </c>
      <c r="C197" s="6" t="n">
        <v>0.1499523085888625</v>
      </c>
      <c r="D197" s="6" t="n">
        <v>0.3544006590286068</v>
      </c>
      <c r="E197" s="55" t="n"/>
      <c r="K197">
        <f>ABS(B197 - $G$2)</f>
        <v/>
      </c>
      <c r="L197">
        <f>ABS(B197 - $H$2)</f>
        <v/>
      </c>
      <c r="M197">
        <f>ABS(B197 - $I$2)</f>
        <v/>
      </c>
      <c r="O197">
        <f>(1/K197^2) / ((1/K197^2) + (1/L197^2) + (1/M197^2))</f>
        <v/>
      </c>
      <c r="P197">
        <f>(1/L197^2) / ((1/K197^2) + (1/L197^2) + (1/M197^2))</f>
        <v/>
      </c>
      <c r="Q197">
        <f>(1/M197^2) / ((1/K197^2) + (1/L197^2) + (1/M197^2))</f>
        <v/>
      </c>
      <c r="S197">
        <f>IF(MAX(O197:Q197)=O197, "Murah", IF(MAX(O197:Q197)=P197, "Sedang", "Mahal"))</f>
        <v/>
      </c>
    </row>
    <row r="198">
      <c r="A198" s="6" t="inlineStr">
        <is>
          <t>Elinor Coffee and Eatery</t>
        </is>
      </c>
      <c r="B198" s="6" t="n">
        <v>0.0687116564417178</v>
      </c>
      <c r="C198" s="6" t="n">
        <v>0.2267089583798585</v>
      </c>
      <c r="D198" s="6" t="n">
        <v>0.1670737700871477</v>
      </c>
      <c r="E198" s="55" t="n"/>
      <c r="K198">
        <f>ABS(B198 - $G$2)</f>
        <v/>
      </c>
      <c r="L198">
        <f>ABS(B198 - $H$2)</f>
        <v/>
      </c>
      <c r="M198">
        <f>ABS(B198 - $I$2)</f>
        <v/>
      </c>
      <c r="O198">
        <f>(1/K198^2) / ((1/K198^2) + (1/L198^2) + (1/M198^2))</f>
        <v/>
      </c>
      <c r="P198">
        <f>(1/L198^2) / ((1/K198^2) + (1/L198^2) + (1/M198^2))</f>
        <v/>
      </c>
      <c r="Q198">
        <f>(1/M198^2) / ((1/K198^2) + (1/L198^2) + (1/M198^2))</f>
        <v/>
      </c>
      <c r="S198">
        <f>IF(MAX(O198:Q198)=O198, "Murah", IF(MAX(O198:Q198)=P198, "Sedang", "Mahal"))</f>
        <v/>
      </c>
    </row>
    <row r="199">
      <c r="A199" s="6" t="inlineStr">
        <is>
          <t>Amstirdam Coffee &amp; Roastery</t>
        </is>
      </c>
      <c r="B199" s="6" t="n">
        <v>0.4989775051124745</v>
      </c>
      <c r="C199" s="6" t="n">
        <v>0.184031564011853</v>
      </c>
      <c r="D199" s="6" t="n">
        <v>0.3912282291774827</v>
      </c>
      <c r="E199" s="55" t="n"/>
      <c r="K199">
        <f>ABS(B199 - $G$2)</f>
        <v/>
      </c>
      <c r="L199">
        <f>ABS(B199 - $H$2)</f>
        <v/>
      </c>
      <c r="M199">
        <f>ABS(B199 - $I$2)</f>
        <v/>
      </c>
      <c r="O199">
        <f>(1/K199^2) / ((1/K199^2) + (1/L199^2) + (1/M199^2))</f>
        <v/>
      </c>
      <c r="P199">
        <f>(1/L199^2) / ((1/K199^2) + (1/L199^2) + (1/M199^2))</f>
        <v/>
      </c>
      <c r="Q199">
        <f>(1/M199^2) / ((1/K199^2) + (1/L199^2) + (1/M199^2))</f>
        <v/>
      </c>
      <c r="S199">
        <f>IF(MAX(O199:Q199)=O199, "Murah", IF(MAX(O199:Q199)=P199, "Sedang", "Mahal"))</f>
        <v/>
      </c>
    </row>
    <row r="200">
      <c r="A200" s="6" t="inlineStr">
        <is>
          <t>Hindia Koffie En Eaten</t>
        </is>
      </c>
      <c r="B200" s="6" t="n">
        <v>0.1370143149284254</v>
      </c>
      <c r="C200" s="6" t="n">
        <v>0.1552906463312491</v>
      </c>
      <c r="D200" s="6" t="n">
        <v>0.3539202401504906</v>
      </c>
      <c r="E200" s="55" t="n"/>
      <c r="K200">
        <f>ABS(B200 - $G$2)</f>
        <v/>
      </c>
      <c r="L200">
        <f>ABS(B200 - $H$2)</f>
        <v/>
      </c>
      <c r="M200">
        <f>ABS(B200 - $I$2)</f>
        <v/>
      </c>
      <c r="O200">
        <f>(1/K200^2) / ((1/K200^2) + (1/L200^2) + (1/M200^2))</f>
        <v/>
      </c>
      <c r="P200">
        <f>(1/L200^2) / ((1/K200^2) + (1/L200^2) + (1/M200^2))</f>
        <v/>
      </c>
      <c r="Q200">
        <f>(1/M200^2) / ((1/K200^2) + (1/L200^2) + (1/M200^2))</f>
        <v/>
      </c>
      <c r="S200">
        <f>IF(MAX(O200:Q200)=O200, "Murah", IF(MAX(O200:Q200)=P200, "Sedang", "Mahal"))</f>
        <v/>
      </c>
    </row>
    <row r="201">
      <c r="A201" s="6" t="inlineStr">
        <is>
          <t>Malbourne Coffee Co</t>
        </is>
      </c>
      <c r="B201" s="6" t="n">
        <v>0.1226993865030675</v>
      </c>
      <c r="C201" s="6" t="n">
        <v>0.1723535868833846</v>
      </c>
      <c r="D201" s="6" t="n">
        <v>0.4156161187901692</v>
      </c>
      <c r="E201" s="55" t="n"/>
      <c r="K201">
        <f>ABS(B201 - $G$2)</f>
        <v/>
      </c>
      <c r="L201">
        <f>ABS(B201 - $H$2)</f>
        <v/>
      </c>
      <c r="M201">
        <f>ABS(B201 - $I$2)</f>
        <v/>
      </c>
      <c r="O201">
        <f>(1/K201^2) / ((1/K201^2) + (1/L201^2) + (1/M201^2))</f>
        <v/>
      </c>
      <c r="P201">
        <f>(1/L201^2) / ((1/K201^2) + (1/L201^2) + (1/M201^2))</f>
        <v/>
      </c>
      <c r="Q201">
        <f>(1/M201^2) / ((1/K201^2) + (1/L201^2) + (1/M201^2))</f>
        <v/>
      </c>
      <c r="S201">
        <f>IF(MAX(O201:Q201)=O201, "Murah", IF(MAX(O201:Q201)=P201, "Sedang", "Mahal"))</f>
        <v/>
      </c>
    </row>
    <row r="202">
      <c r="A202" s="6" t="inlineStr">
        <is>
          <t>11:12 sebelasduabelaskopi</t>
        </is>
      </c>
      <c r="B202" s="6" t="n">
        <v>0.1901840490797546</v>
      </c>
      <c r="C202" s="6" t="n">
        <v>0.1873679039951794</v>
      </c>
      <c r="D202" s="6" t="n">
        <v>0.3650792949042574</v>
      </c>
      <c r="E202" s="55" t="n"/>
      <c r="K202">
        <f>ABS(B202 - $G$2)</f>
        <v/>
      </c>
      <c r="L202">
        <f>ABS(B202 - $H$2)</f>
        <v/>
      </c>
      <c r="M202">
        <f>ABS(B202 - $I$2)</f>
        <v/>
      </c>
      <c r="O202">
        <f>(1/K202^2) / ((1/K202^2) + (1/L202^2) + (1/M202^2))</f>
        <v/>
      </c>
      <c r="P202">
        <f>(1/L202^2) / ((1/K202^2) + (1/L202^2) + (1/M202^2))</f>
        <v/>
      </c>
      <c r="Q202">
        <f>(1/M202^2) / ((1/K202^2) + (1/L202^2) + (1/M202^2))</f>
        <v/>
      </c>
      <c r="S202">
        <f>IF(MAX(O202:Q202)=O202, "Murah", IF(MAX(O202:Q202)=P202, "Sedang", "Mahal"))</f>
        <v/>
      </c>
    </row>
    <row r="203">
      <c r="A203" s="6" t="inlineStr">
        <is>
          <t>Niwa Garden</t>
        </is>
      </c>
      <c r="B203" s="6" t="n">
        <v>0.049079754601227</v>
      </c>
      <c r="C203" s="6" t="n">
        <v>0.1693554950242535</v>
      </c>
      <c r="D203" s="6" t="n">
        <v>0.4033448059129515</v>
      </c>
      <c r="E203" s="55" t="n"/>
      <c r="K203">
        <f>ABS(B203 - $G$2)</f>
        <v/>
      </c>
      <c r="L203">
        <f>ABS(B203 - $H$2)</f>
        <v/>
      </c>
      <c r="M203">
        <f>ABS(B203 - $I$2)</f>
        <v/>
      </c>
      <c r="O203">
        <f>(1/K203^2) / ((1/K203^2) + (1/L203^2) + (1/M203^2))</f>
        <v/>
      </c>
      <c r="P203">
        <f>(1/L203^2) / ((1/K203^2) + (1/L203^2) + (1/M203^2))</f>
        <v/>
      </c>
      <c r="Q203">
        <f>(1/M203^2) / ((1/K203^2) + (1/L203^2) + (1/M203^2))</f>
        <v/>
      </c>
      <c r="S203">
        <f>IF(MAX(O203:Q203)=O203, "Murah", IF(MAX(O203:Q203)=P203, "Sedang", "Mahal"))</f>
        <v/>
      </c>
    </row>
    <row r="204">
      <c r="A204" s="6" t="inlineStr">
        <is>
          <t>Distrik Coffee Roaster</t>
        </is>
      </c>
      <c r="B204" s="6" t="n">
        <v>0.01226993865030675</v>
      </c>
      <c r="C204" s="6" t="n">
        <v>0.1732416547296854</v>
      </c>
      <c r="D204" s="6" t="n">
        <v>0.3905602848324101</v>
      </c>
      <c r="E204" s="55" t="n"/>
      <c r="K204">
        <f>ABS(B204 - $G$2)</f>
        <v/>
      </c>
      <c r="L204">
        <f>ABS(B204 - $H$2)</f>
        <v/>
      </c>
      <c r="M204">
        <f>ABS(B204 - $I$2)</f>
        <v/>
      </c>
      <c r="O204">
        <f>(1/K204^2) / ((1/K204^2) + (1/L204^2) + (1/M204^2))</f>
        <v/>
      </c>
      <c r="P204">
        <f>(1/L204^2) / ((1/K204^2) + (1/L204^2) + (1/M204^2))</f>
        <v/>
      </c>
      <c r="Q204">
        <f>(1/M204^2) / ((1/K204^2) + (1/L204^2) + (1/M204^2))</f>
        <v/>
      </c>
      <c r="S204">
        <f>IF(MAX(O204:Q204)=O204, "Murah", IF(MAX(O204:Q204)=P204, "Sedang", "Mahal"))</f>
        <v/>
      </c>
    </row>
    <row r="205">
      <c r="A205" s="6" t="inlineStr">
        <is>
          <t>TOKO KOPI KOOPEN</t>
        </is>
      </c>
      <c r="B205" s="6" t="n">
        <v>0.02862985685071575</v>
      </c>
      <c r="C205" s="6" t="n">
        <v>0.143617271218076</v>
      </c>
      <c r="D205" s="6" t="n">
        <v>0.4079073115774196</v>
      </c>
      <c r="E205" s="55" t="n"/>
      <c r="K205">
        <f>ABS(B205 - $G$2)</f>
        <v/>
      </c>
      <c r="L205">
        <f>ABS(B205 - $H$2)</f>
        <v/>
      </c>
      <c r="M205">
        <f>ABS(B205 - $I$2)</f>
        <v/>
      </c>
      <c r="O205">
        <f>(1/K205^2) / ((1/K205^2) + (1/L205^2) + (1/M205^2))</f>
        <v/>
      </c>
      <c r="P205">
        <f>(1/L205^2) / ((1/K205^2) + (1/L205^2) + (1/M205^2))</f>
        <v/>
      </c>
      <c r="Q205">
        <f>(1/M205^2) / ((1/K205^2) + (1/L205^2) + (1/M205^2))</f>
        <v/>
      </c>
      <c r="S205">
        <f>IF(MAX(O205:Q205)=O205, "Murah", IF(MAX(O205:Q205)=P205, "Sedang", "Mahal"))</f>
        <v/>
      </c>
    </row>
    <row r="206">
      <c r="A206" s="6" t="inlineStr">
        <is>
          <t>Toko Kopi TUKU - Malang</t>
        </is>
      </c>
      <c r="B206" s="6" t="n">
        <v>0.4478527607361963</v>
      </c>
      <c r="C206" s="6" t="n">
        <v>0.1512208904366738</v>
      </c>
      <c r="D206" s="6" t="n">
        <v>0.3301759792034411</v>
      </c>
      <c r="E206" s="55" t="n"/>
      <c r="K206">
        <f>ABS(B206 - $G$2)</f>
        <v/>
      </c>
      <c r="L206">
        <f>ABS(B206 - $H$2)</f>
        <v/>
      </c>
      <c r="M206">
        <f>ABS(B206 - $I$2)</f>
        <v/>
      </c>
      <c r="O206">
        <f>(1/K206^2) / ((1/K206^2) + (1/L206^2) + (1/M206^2))</f>
        <v/>
      </c>
      <c r="P206">
        <f>(1/L206^2) / ((1/K206^2) + (1/L206^2) + (1/M206^2))</f>
        <v/>
      </c>
      <c r="Q206">
        <f>(1/M206^2) / ((1/K206^2) + (1/L206^2) + (1/M206^2))</f>
        <v/>
      </c>
      <c r="S206">
        <f>IF(MAX(O206:Q206)=O206, "Murah", IF(MAX(O206:Q206)=P206, "Sedang", "Mahal"))</f>
        <v/>
      </c>
    </row>
    <row r="207">
      <c r="A207" s="6" t="inlineStr">
        <is>
          <t>Kopi tuju</t>
        </is>
      </c>
      <c r="B207" s="6" t="n">
        <v>0.04498977505112475</v>
      </c>
      <c r="C207" s="6" t="n">
        <v>0.1288819815599672</v>
      </c>
      <c r="D207" s="6" t="n">
        <v>0.3866970391607694</v>
      </c>
      <c r="E207" s="55" t="n"/>
      <c r="K207">
        <f>ABS(B207 - $G$2)</f>
        <v/>
      </c>
      <c r="L207">
        <f>ABS(B207 - $H$2)</f>
        <v/>
      </c>
      <c r="M207">
        <f>ABS(B207 - $I$2)</f>
        <v/>
      </c>
      <c r="O207">
        <f>(1/K207^2) / ((1/K207^2) + (1/L207^2) + (1/M207^2))</f>
        <v/>
      </c>
      <c r="P207">
        <f>(1/L207^2) / ((1/K207^2) + (1/L207^2) + (1/M207^2))</f>
        <v/>
      </c>
      <c r="Q207">
        <f>(1/M207^2) / ((1/K207^2) + (1/L207^2) + (1/M207^2))</f>
        <v/>
      </c>
      <c r="S207">
        <f>IF(MAX(O207:Q207)=O207, "Murah", IF(MAX(O207:Q207)=P207, "Sedang", "Mahal"))</f>
        <v/>
      </c>
    </row>
    <row r="208">
      <c r="A208" s="6" t="inlineStr">
        <is>
          <t>CW Coffee &amp; Eatery - Simpang Ijen</t>
        </is>
      </c>
      <c r="B208" s="6" t="n">
        <v>0.2116564417177914</v>
      </c>
      <c r="C208" s="6" t="n">
        <v>0.1530293613420063</v>
      </c>
      <c r="D208" s="6" t="n">
        <v>0.3471814811785242</v>
      </c>
      <c r="E208" s="55" t="n"/>
      <c r="K208">
        <f>ABS(B208 - $G$2)</f>
        <v/>
      </c>
      <c r="L208">
        <f>ABS(B208 - $H$2)</f>
        <v/>
      </c>
      <c r="M208">
        <f>ABS(B208 - $I$2)</f>
        <v/>
      </c>
      <c r="O208">
        <f>(1/K208^2) / ((1/K208^2) + (1/L208^2) + (1/M208^2))</f>
        <v/>
      </c>
      <c r="P208">
        <f>(1/L208^2) / ((1/K208^2) + (1/L208^2) + (1/M208^2))</f>
        <v/>
      </c>
      <c r="Q208">
        <f>(1/M208^2) / ((1/K208^2) + (1/L208^2) + (1/M208^2))</f>
        <v/>
      </c>
      <c r="S208">
        <f>IF(MAX(O208:Q208)=O208, "Murah", IF(MAX(O208:Q208)=P208, "Sedang", "Mahal"))</f>
        <v/>
      </c>
    </row>
    <row r="209">
      <c r="A209" s="6" t="inlineStr">
        <is>
          <t>Tematik Coffee Bar HQ</t>
        </is>
      </c>
      <c r="B209" s="6" t="n">
        <v>0.08875255623721881</v>
      </c>
      <c r="C209" s="6" t="n">
        <v>0.1201368203368391</v>
      </c>
      <c r="D209" s="6" t="n">
        <v>0.3616607314303582</v>
      </c>
      <c r="E209" s="55" t="n"/>
      <c r="K209">
        <f>ABS(B209 - $G$2)</f>
        <v/>
      </c>
      <c r="L209">
        <f>ABS(B209 - $H$2)</f>
        <v/>
      </c>
      <c r="M209">
        <f>ABS(B209 - $I$2)</f>
        <v/>
      </c>
      <c r="O209">
        <f>(1/K209^2) / ((1/K209^2) + (1/L209^2) + (1/M209^2))</f>
        <v/>
      </c>
      <c r="P209">
        <f>(1/L209^2) / ((1/K209^2) + (1/L209^2) + (1/M209^2))</f>
        <v/>
      </c>
      <c r="Q209">
        <f>(1/M209^2) / ((1/K209^2) + (1/L209^2) + (1/M209^2))</f>
        <v/>
      </c>
      <c r="S209">
        <f>IF(MAX(O209:Q209)=O209, "Murah", IF(MAX(O209:Q209)=P209, "Sedang", "Mahal"))</f>
        <v/>
      </c>
    </row>
    <row r="210">
      <c r="A210" s="6" t="inlineStr">
        <is>
          <t>JOKOPI - Malang</t>
        </is>
      </c>
      <c r="B210" s="6" t="n">
        <v>0.3067484662576687</v>
      </c>
      <c r="C210" s="6" t="n">
        <v>0.1564346104490942</v>
      </c>
      <c r="D210" s="6" t="n">
        <v>0.3562674400526076</v>
      </c>
      <c r="E210" s="55" t="n"/>
      <c r="K210">
        <f>ABS(B210 - $G$2)</f>
        <v/>
      </c>
      <c r="L210">
        <f>ABS(B210 - $H$2)</f>
        <v/>
      </c>
      <c r="M210">
        <f>ABS(B210 - $I$2)</f>
        <v/>
      </c>
      <c r="O210">
        <f>(1/K210^2) / ((1/K210^2) + (1/L210^2) + (1/M210^2))</f>
        <v/>
      </c>
      <c r="P210">
        <f>(1/L210^2) / ((1/K210^2) + (1/L210^2) + (1/M210^2))</f>
        <v/>
      </c>
      <c r="Q210">
        <f>(1/M210^2) / ((1/K210^2) + (1/L210^2) + (1/M210^2))</f>
        <v/>
      </c>
      <c r="S210">
        <f>IF(MAX(O210:Q210)=O210, "Murah", IF(MAX(O210:Q210)=P210, "Sedang", "Mahal"))</f>
        <v/>
      </c>
    </row>
    <row r="211">
      <c r="A211" s="6" t="inlineStr">
        <is>
          <t>Cale Cafe Malang</t>
        </is>
      </c>
      <c r="B211" s="6" t="n">
        <v>0.2331288343558282</v>
      </c>
      <c r="C211" s="6" t="n">
        <v>0.1437696221454792</v>
      </c>
      <c r="D211" s="6" t="n">
        <v>0.523477893731609</v>
      </c>
      <c r="E211" s="55" t="n"/>
      <c r="K211">
        <f>ABS(B211 - $G$2)</f>
        <v/>
      </c>
      <c r="L211">
        <f>ABS(B211 - $H$2)</f>
        <v/>
      </c>
      <c r="M211">
        <f>ABS(B211 - $I$2)</f>
        <v/>
      </c>
      <c r="O211">
        <f>(1/K211^2) / ((1/K211^2) + (1/L211^2) + (1/M211^2))</f>
        <v/>
      </c>
      <c r="P211">
        <f>(1/L211^2) / ((1/K211^2) + (1/L211^2) + (1/M211^2))</f>
        <v/>
      </c>
      <c r="Q211">
        <f>(1/M211^2) / ((1/K211^2) + (1/L211^2) + (1/M211^2))</f>
        <v/>
      </c>
      <c r="S211">
        <f>IF(MAX(O211:Q211)=O211, "Murah", IF(MAX(O211:Q211)=P211, "Sedang", "Mahal"))</f>
        <v/>
      </c>
    </row>
    <row r="212">
      <c r="A212" s="6" t="inlineStr">
        <is>
          <t>Labore coffee eatery</t>
        </is>
      </c>
      <c r="B212" s="6" t="n">
        <v>0.1202453987730061</v>
      </c>
      <c r="C212" s="6" t="n">
        <v>0.1851559090118606</v>
      </c>
      <c r="D212" s="6" t="n">
        <v>0.3854366764445257</v>
      </c>
      <c r="E212" s="55" t="n"/>
      <c r="K212">
        <f>ABS(B212 - $G$2)</f>
        <v/>
      </c>
      <c r="L212">
        <f>ABS(B212 - $H$2)</f>
        <v/>
      </c>
      <c r="M212">
        <f>ABS(B212 - $I$2)</f>
        <v/>
      </c>
      <c r="O212">
        <f>(1/K212^2) / ((1/K212^2) + (1/L212^2) + (1/M212^2))</f>
        <v/>
      </c>
      <c r="P212">
        <f>(1/L212^2) / ((1/K212^2) + (1/L212^2) + (1/M212^2))</f>
        <v/>
      </c>
      <c r="Q212">
        <f>(1/M212^2) / ((1/K212^2) + (1/L212^2) + (1/M212^2))</f>
        <v/>
      </c>
      <c r="S212">
        <f>IF(MAX(O212:Q212)=O212, "Murah", IF(MAX(O212:Q212)=P212, "Sedang", "Mahal"))</f>
        <v/>
      </c>
    </row>
    <row r="213">
      <c r="A213" s="6" t="inlineStr">
        <is>
          <t>Roketto Coffee &amp; Co</t>
        </is>
      </c>
      <c r="B213" s="6" t="n">
        <v>0.07852760736196319</v>
      </c>
      <c r="C213" s="6" t="n">
        <v>0.176314468784531</v>
      </c>
      <c r="D213" s="6" t="n">
        <v>0.3677245460888806</v>
      </c>
      <c r="E213" s="55" t="n"/>
      <c r="K213">
        <f>ABS(B213 - $G$2)</f>
        <v/>
      </c>
      <c r="L213">
        <f>ABS(B213 - $H$2)</f>
        <v/>
      </c>
      <c r="M213">
        <f>ABS(B213 - $I$2)</f>
        <v/>
      </c>
      <c r="O213">
        <f>(1/K213^2) / ((1/K213^2) + (1/L213^2) + (1/M213^2))</f>
        <v/>
      </c>
      <c r="P213">
        <f>(1/L213^2) / ((1/K213^2) + (1/L213^2) + (1/M213^2))</f>
        <v/>
      </c>
      <c r="Q213">
        <f>(1/M213^2) / ((1/K213^2) + (1/L213^2) + (1/M213^2))</f>
        <v/>
      </c>
      <c r="S213">
        <f>IF(MAX(O213:Q213)=O213, "Murah", IF(MAX(O213:Q213)=P213, "Sedang", "Mahal"))</f>
        <v/>
      </c>
    </row>
    <row r="214">
      <c r="A214" s="6" t="inlineStr">
        <is>
          <t>Kopi Handall</t>
        </is>
      </c>
      <c r="B214" s="6" t="n">
        <v>0.3430470347648262</v>
      </c>
      <c r="C214" s="6" t="n">
        <v>0.1750652638432262</v>
      </c>
      <c r="D214" s="6" t="n">
        <v>0.3476928472849797</v>
      </c>
      <c r="E214" s="55" t="n"/>
      <c r="K214">
        <f>ABS(B214 - $G$2)</f>
        <v/>
      </c>
      <c r="L214">
        <f>ABS(B214 - $H$2)</f>
        <v/>
      </c>
      <c r="M214">
        <f>ABS(B214 - $I$2)</f>
        <v/>
      </c>
      <c r="O214">
        <f>(1/K214^2) / ((1/K214^2) + (1/L214^2) + (1/M214^2))</f>
        <v/>
      </c>
      <c r="P214">
        <f>(1/L214^2) / ((1/K214^2) + (1/L214^2) + (1/M214^2))</f>
        <v/>
      </c>
      <c r="Q214">
        <f>(1/M214^2) / ((1/K214^2) + (1/L214^2) + (1/M214^2))</f>
        <v/>
      </c>
      <c r="S214">
        <f>IF(MAX(O214:Q214)=O214, "Murah", IF(MAX(O214:Q214)=P214, "Sedang", "Mahal"))</f>
        <v/>
      </c>
    </row>
    <row r="215">
      <c r="A215" s="6" t="inlineStr">
        <is>
          <t>Lataroma</t>
        </is>
      </c>
      <c r="B215" s="6" t="n">
        <v>0.01226993865030675</v>
      </c>
      <c r="C215" s="6" t="n">
        <v>0.1806990994098278</v>
      </c>
      <c r="D215" s="6" t="n">
        <v>0.2184800637217791</v>
      </c>
      <c r="E215" s="55" t="n"/>
      <c r="K215">
        <f>ABS(B215 - $G$2)</f>
        <v/>
      </c>
      <c r="L215">
        <f>ABS(B215 - $H$2)</f>
        <v/>
      </c>
      <c r="M215">
        <f>ABS(B215 - $I$2)</f>
        <v/>
      </c>
      <c r="O215">
        <f>(1/K215^2) / ((1/K215^2) + (1/L215^2) + (1/M215^2))</f>
        <v/>
      </c>
      <c r="P215">
        <f>(1/L215^2) / ((1/K215^2) + (1/L215^2) + (1/M215^2))</f>
        <v/>
      </c>
      <c r="Q215">
        <f>(1/M215^2) / ((1/K215^2) + (1/L215^2) + (1/M215^2))</f>
        <v/>
      </c>
      <c r="S215">
        <f>IF(MAX(O215:Q215)=O215, "Murah", IF(MAX(O215:Q215)=P215, "Sedang", "Mahal"))</f>
        <v/>
      </c>
    </row>
    <row r="216">
      <c r="A216" s="6" t="inlineStr">
        <is>
          <t>Baratimur Kopi</t>
        </is>
      </c>
      <c r="B216" s="6" t="n">
        <v>0.392638036809816</v>
      </c>
      <c r="C216" s="6" t="n">
        <v>0.1597405529103391</v>
      </c>
      <c r="D216" s="6" t="n">
        <v>0.4007518702809885</v>
      </c>
      <c r="E216" s="55" t="n"/>
      <c r="K216">
        <f>ABS(B216 - $G$2)</f>
        <v/>
      </c>
      <c r="L216">
        <f>ABS(B216 - $H$2)</f>
        <v/>
      </c>
      <c r="M216">
        <f>ABS(B216 - $I$2)</f>
        <v/>
      </c>
      <c r="O216">
        <f>(1/K216^2) / ((1/K216^2) + (1/L216^2) + (1/M216^2))</f>
        <v/>
      </c>
      <c r="P216">
        <f>(1/L216^2) / ((1/K216^2) + (1/L216^2) + (1/M216^2))</f>
        <v/>
      </c>
      <c r="Q216">
        <f>(1/M216^2) / ((1/K216^2) + (1/L216^2) + (1/M216^2))</f>
        <v/>
      </c>
      <c r="S216">
        <f>IF(MAX(O216:Q216)=O216, "Murah", IF(MAX(O216:Q216)=P216, "Sedang", "Mahal"))</f>
        <v/>
      </c>
    </row>
    <row r="217">
      <c r="A217" s="6" t="inlineStr">
        <is>
          <t>Dialoogi Space &amp; Coffee</t>
        </is>
      </c>
      <c r="B217" s="6" t="n">
        <v>0.08098159509202454</v>
      </c>
      <c r="C217" s="6" t="n">
        <v>0.1839773086736369</v>
      </c>
      <c r="D217" s="6" t="n">
        <v>0.3602463694111445</v>
      </c>
      <c r="E217" s="55" t="n"/>
      <c r="K217">
        <f>ABS(B217 - $G$2)</f>
        <v/>
      </c>
      <c r="L217">
        <f>ABS(B217 - $H$2)</f>
        <v/>
      </c>
      <c r="M217">
        <f>ABS(B217 - $I$2)</f>
        <v/>
      </c>
      <c r="O217">
        <f>(1/K217^2) / ((1/K217^2) + (1/L217^2) + (1/M217^2))</f>
        <v/>
      </c>
      <c r="P217">
        <f>(1/L217^2) / ((1/K217^2) + (1/L217^2) + (1/M217^2))</f>
        <v/>
      </c>
      <c r="Q217">
        <f>(1/M217^2) / ((1/K217^2) + (1/L217^2) + (1/M217^2))</f>
        <v/>
      </c>
      <c r="S217">
        <f>IF(MAX(O217:Q217)=O217, "Murah", IF(MAX(O217:Q217)=P217, "Sedang", "Mahal"))</f>
        <v/>
      </c>
    </row>
    <row r="218">
      <c r="A218" s="6" t="inlineStr">
        <is>
          <t>Toko Kopi Abah</t>
        </is>
      </c>
      <c r="B218" s="6" t="n">
        <v>0.02862985685071575</v>
      </c>
      <c r="C218" s="6" t="n">
        <v>0.144585874332042</v>
      </c>
      <c r="D218" s="6" t="n">
        <v>0.4078877853500195</v>
      </c>
      <c r="E218" s="55" t="n"/>
      <c r="K218">
        <f>ABS(B218 - $G$2)</f>
        <v/>
      </c>
      <c r="L218">
        <f>ABS(B218 - $H$2)</f>
        <v/>
      </c>
      <c r="M218">
        <f>ABS(B218 - $I$2)</f>
        <v/>
      </c>
      <c r="O218">
        <f>(1/K218^2) / ((1/K218^2) + (1/L218^2) + (1/M218^2))</f>
        <v/>
      </c>
      <c r="P218">
        <f>(1/L218^2) / ((1/K218^2) + (1/L218^2) + (1/M218^2))</f>
        <v/>
      </c>
      <c r="Q218">
        <f>(1/M218^2) / ((1/K218^2) + (1/L218^2) + (1/M218^2))</f>
        <v/>
      </c>
      <c r="S218">
        <f>IF(MAX(O218:Q218)=O218, "Murah", IF(MAX(O218:Q218)=P218, "Sedang", "Mahal"))</f>
        <v/>
      </c>
    </row>
    <row r="219">
      <c r="A219" s="6" t="inlineStr">
        <is>
          <t>GOLDEN HERITAGE KOFFIE</t>
        </is>
      </c>
      <c r="B219" s="6" t="n">
        <v>0.1901840490797546</v>
      </c>
      <c r="C219" s="6" t="n">
        <v>0.153074775966629</v>
      </c>
      <c r="D219" s="6" t="n">
        <v>0.3048073571877588</v>
      </c>
      <c r="E219" s="55" t="n"/>
      <c r="K219">
        <f>ABS(B219 - $G$2)</f>
        <v/>
      </c>
      <c r="L219">
        <f>ABS(B219 - $H$2)</f>
        <v/>
      </c>
      <c r="M219">
        <f>ABS(B219 - $I$2)</f>
        <v/>
      </c>
      <c r="O219">
        <f>(1/K219^2) / ((1/K219^2) + (1/L219^2) + (1/M219^2))</f>
        <v/>
      </c>
      <c r="P219">
        <f>(1/L219^2) / ((1/K219^2) + (1/L219^2) + (1/M219^2))</f>
        <v/>
      </c>
      <c r="Q219">
        <f>(1/M219^2) / ((1/K219^2) + (1/L219^2) + (1/M219^2))</f>
        <v/>
      </c>
      <c r="S219">
        <f>IF(MAX(O219:Q219)=O219, "Murah", IF(MAX(O219:Q219)=P219, "Sedang", "Mahal"))</f>
        <v/>
      </c>
    </row>
    <row r="220">
      <c r="A220" s="6" t="inlineStr">
        <is>
          <t>Ruang Rindu Kopi</t>
        </is>
      </c>
      <c r="B220" s="6" t="n">
        <v>0.1615541922290389</v>
      </c>
      <c r="C220" s="6" t="n">
        <v>0.1780294461159727</v>
      </c>
      <c r="D220" s="6" t="n">
        <v>0.3168819341133648</v>
      </c>
      <c r="E220" s="55" t="n"/>
      <c r="K220">
        <f>ABS(B220 - $G$2)</f>
        <v/>
      </c>
      <c r="L220">
        <f>ABS(B220 - $H$2)</f>
        <v/>
      </c>
      <c r="M220">
        <f>ABS(B220 - $I$2)</f>
        <v/>
      </c>
      <c r="O220">
        <f>(1/K220^2) / ((1/K220^2) + (1/L220^2) + (1/M220^2))</f>
        <v/>
      </c>
      <c r="P220">
        <f>(1/L220^2) / ((1/K220^2) + (1/L220^2) + (1/M220^2))</f>
        <v/>
      </c>
      <c r="Q220">
        <f>(1/M220^2) / ((1/K220^2) + (1/L220^2) + (1/M220^2))</f>
        <v/>
      </c>
      <c r="S220">
        <f>IF(MAX(O220:Q220)=O220, "Murah", IF(MAX(O220:Q220)=P220, "Sedang", "Mahal"))</f>
        <v/>
      </c>
    </row>
    <row r="221">
      <c r="A221" s="6" t="inlineStr">
        <is>
          <t>Ada Apa Dengan Kopi (AADK) Bandung Malang - Coffee &amp; Eatery</t>
        </is>
      </c>
      <c r="B221" s="6" t="n">
        <v>0.08588957055214724</v>
      </c>
      <c r="C221" s="6" t="n">
        <v>0.1591088657582456</v>
      </c>
      <c r="D221" s="6" t="n">
        <v>0.3573472772702141</v>
      </c>
      <c r="E221" s="55" t="n"/>
      <c r="K221">
        <f>ABS(B221 - $G$2)</f>
        <v/>
      </c>
      <c r="L221">
        <f>ABS(B221 - $H$2)</f>
        <v/>
      </c>
      <c r="M221">
        <f>ABS(B221 - $I$2)</f>
        <v/>
      </c>
      <c r="O221">
        <f>(1/K221^2) / ((1/K221^2) + (1/L221^2) + (1/M221^2))</f>
        <v/>
      </c>
      <c r="P221">
        <f>(1/L221^2) / ((1/K221^2) + (1/L221^2) + (1/M221^2))</f>
        <v/>
      </c>
      <c r="Q221">
        <f>(1/M221^2) / ((1/K221^2) + (1/L221^2) + (1/M221^2))</f>
        <v/>
      </c>
      <c r="S221">
        <f>IF(MAX(O221:Q221)=O221, "Murah", IF(MAX(O221:Q221)=P221, "Sedang", "Mahal"))</f>
        <v/>
      </c>
    </row>
    <row r="222">
      <c r="A222" s="6" t="inlineStr">
        <is>
          <t>Sorai Kedai Kopi &amp; Teh</t>
        </is>
      </c>
      <c r="B222" s="6" t="n">
        <v>0.03374233128834356</v>
      </c>
      <c r="C222" s="6" t="n">
        <v>0.1565849025801807</v>
      </c>
      <c r="D222" s="6" t="n">
        <v>0.4083059413520416</v>
      </c>
      <c r="E222" s="55" t="n"/>
      <c r="K222">
        <f>ABS(B222 - $G$2)</f>
        <v/>
      </c>
      <c r="L222">
        <f>ABS(B222 - $H$2)</f>
        <v/>
      </c>
      <c r="M222">
        <f>ABS(B222 - $I$2)</f>
        <v/>
      </c>
      <c r="O222">
        <f>(1/K222^2) / ((1/K222^2) + (1/L222^2) + (1/M222^2))</f>
        <v/>
      </c>
      <c r="P222">
        <f>(1/L222^2) / ((1/K222^2) + (1/L222^2) + (1/M222^2))</f>
        <v/>
      </c>
      <c r="Q222">
        <f>(1/M222^2) / ((1/K222^2) + (1/L222^2) + (1/M222^2))</f>
        <v/>
      </c>
      <c r="S222">
        <f>IF(MAX(O222:Q222)=O222, "Murah", IF(MAX(O222:Q222)=P222, "Sedang", "Mahal"))</f>
        <v/>
      </c>
    </row>
    <row r="223">
      <c r="A223" s="6" t="inlineStr">
        <is>
          <t>Baja</t>
        </is>
      </c>
      <c r="B223" s="6" t="n">
        <v>0.130879345603272</v>
      </c>
      <c r="C223" s="6" t="n">
        <v>0.1750003512064311</v>
      </c>
      <c r="D223" s="6" t="n">
        <v>0.4273709076895851</v>
      </c>
      <c r="E223" s="55" t="n"/>
      <c r="K223">
        <f>ABS(B223 - $G$2)</f>
        <v/>
      </c>
      <c r="L223">
        <f>ABS(B223 - $H$2)</f>
        <v/>
      </c>
      <c r="M223">
        <f>ABS(B223 - $I$2)</f>
        <v/>
      </c>
      <c r="O223">
        <f>(1/K223^2) / ((1/K223^2) + (1/L223^2) + (1/M223^2))</f>
        <v/>
      </c>
      <c r="P223">
        <f>(1/L223^2) / ((1/K223^2) + (1/L223^2) + (1/M223^2))</f>
        <v/>
      </c>
      <c r="Q223">
        <f>(1/M223^2) / ((1/K223^2) + (1/L223^2) + (1/M223^2))</f>
        <v/>
      </c>
      <c r="S223">
        <f>IF(MAX(O223:Q223)=O223, "Murah", IF(MAX(O223:Q223)=P223, "Sedang", "Mahal"))</f>
        <v/>
      </c>
    </row>
    <row r="224">
      <c r="A224" s="6" t="inlineStr">
        <is>
          <t>Eight Ounces</t>
        </is>
      </c>
      <c r="B224" s="6" t="n">
        <v>0.09406952965235174</v>
      </c>
      <c r="C224" s="6" t="n">
        <v>0.1635720939605581</v>
      </c>
      <c r="D224" s="6" t="n">
        <v>0.4322388330242417</v>
      </c>
      <c r="E224" s="55" t="n"/>
      <c r="K224">
        <f>ABS(B224 - $G$2)</f>
        <v/>
      </c>
      <c r="L224">
        <f>ABS(B224 - $H$2)</f>
        <v/>
      </c>
      <c r="M224">
        <f>ABS(B224 - $I$2)</f>
        <v/>
      </c>
      <c r="O224">
        <f>(1/K224^2) / ((1/K224^2) + (1/L224^2) + (1/M224^2))</f>
        <v/>
      </c>
      <c r="P224">
        <f>(1/L224^2) / ((1/K224^2) + (1/L224^2) + (1/M224^2))</f>
        <v/>
      </c>
      <c r="Q224">
        <f>(1/M224^2) / ((1/K224^2) + (1/L224^2) + (1/M224^2))</f>
        <v/>
      </c>
      <c r="S224">
        <f>IF(MAX(O224:Q224)=O224, "Murah", IF(MAX(O224:Q224)=P224, "Sedang", "Mahal"))</f>
        <v/>
      </c>
    </row>
    <row r="225">
      <c r="A225" s="6" t="inlineStr">
        <is>
          <t>KOPI STUDIO 24 SARANGAN</t>
        </is>
      </c>
      <c r="B225" s="6" t="n">
        <v>0.1104294478527607</v>
      </c>
      <c r="C225" s="6" t="n">
        <v>0.1598330776389053</v>
      </c>
      <c r="D225" s="6" t="n">
        <v>0.3939294801086594</v>
      </c>
      <c r="E225" s="55" t="n"/>
      <c r="K225">
        <f>ABS(B225 - $G$2)</f>
        <v/>
      </c>
      <c r="L225">
        <f>ABS(B225 - $H$2)</f>
        <v/>
      </c>
      <c r="M225">
        <f>ABS(B225 - $I$2)</f>
        <v/>
      </c>
      <c r="O225">
        <f>(1/K225^2) / ((1/K225^2) + (1/L225^2) + (1/M225^2))</f>
        <v/>
      </c>
      <c r="P225">
        <f>(1/L225^2) / ((1/K225^2) + (1/L225^2) + (1/M225^2))</f>
        <v/>
      </c>
      <c r="Q225">
        <f>(1/M225^2) / ((1/K225^2) + (1/L225^2) + (1/M225^2))</f>
        <v/>
      </c>
      <c r="S225">
        <f>IF(MAX(O225:Q225)=O225, "Murah", IF(MAX(O225:Q225)=P225, "Sedang", "Mahal"))</f>
        <v/>
      </c>
    </row>
    <row r="226">
      <c r="A226" s="6" t="inlineStr">
        <is>
          <t>Sejenak Coffee</t>
        </is>
      </c>
      <c r="B226" s="6" t="n">
        <v>0.05930470347648262</v>
      </c>
      <c r="C226" s="6" t="n">
        <v>0.1727624396106599</v>
      </c>
      <c r="D226" s="6" t="n">
        <v>0.3637371430845195</v>
      </c>
      <c r="E226" s="55" t="n"/>
      <c r="K226">
        <f>ABS(B226 - $G$2)</f>
        <v/>
      </c>
      <c r="L226">
        <f>ABS(B226 - $H$2)</f>
        <v/>
      </c>
      <c r="M226">
        <f>ABS(B226 - $I$2)</f>
        <v/>
      </c>
      <c r="O226">
        <f>(1/K226^2) / ((1/K226^2) + (1/L226^2) + (1/M226^2))</f>
        <v/>
      </c>
      <c r="P226">
        <f>(1/L226^2) / ((1/K226^2) + (1/L226^2) + (1/M226^2))</f>
        <v/>
      </c>
      <c r="Q226">
        <f>(1/M226^2) / ((1/K226^2) + (1/L226^2) + (1/M226^2))</f>
        <v/>
      </c>
      <c r="S226">
        <f>IF(MAX(O226:Q226)=O226, "Murah", IF(MAX(O226:Q226)=P226, "Sedang", "Mahal"))</f>
        <v/>
      </c>
    </row>
    <row r="227">
      <c r="A227" s="6" t="inlineStr">
        <is>
          <t>Kopi Studio 24</t>
        </is>
      </c>
      <c r="B227" s="6" t="n">
        <v>0.1104294478527607</v>
      </c>
      <c r="C227" s="6" t="n">
        <v>0.1759764628716677</v>
      </c>
      <c r="D227" s="6" t="n">
        <v>0.338673203900247</v>
      </c>
      <c r="E227" s="55" t="n"/>
      <c r="K227">
        <f>ABS(B227 - $G$2)</f>
        <v/>
      </c>
      <c r="L227">
        <f>ABS(B227 - $H$2)</f>
        <v/>
      </c>
      <c r="M227">
        <f>ABS(B227 - $I$2)</f>
        <v/>
      </c>
      <c r="O227">
        <f>(1/K227^2) / ((1/K227^2) + (1/L227^2) + (1/M227^2))</f>
        <v/>
      </c>
      <c r="P227">
        <f>(1/L227^2) / ((1/K227^2) + (1/L227^2) + (1/M227^2))</f>
        <v/>
      </c>
      <c r="Q227">
        <f>(1/M227^2) / ((1/K227^2) + (1/L227^2) + (1/M227^2))</f>
        <v/>
      </c>
      <c r="S227">
        <f>IF(MAX(O227:Q227)=O227, "Murah", IF(MAX(O227:Q227)=P227, "Sedang", "Mahal"))</f>
        <v/>
      </c>
    </row>
    <row r="228">
      <c r="A228" s="6" t="inlineStr">
        <is>
          <t>Kotäsk Kaffe Co.</t>
        </is>
      </c>
      <c r="B228" s="6" t="n">
        <v>0.3558282208588957</v>
      </c>
      <c r="C228" s="6" t="n">
        <v>0.1411756598926621</v>
      </c>
      <c r="D228" s="6" t="n">
        <v>0.318702662714246</v>
      </c>
      <c r="E228" s="55" t="n"/>
      <c r="K228">
        <f>ABS(B228 - $G$2)</f>
        <v/>
      </c>
      <c r="L228">
        <f>ABS(B228 - $H$2)</f>
        <v/>
      </c>
      <c r="M228">
        <f>ABS(B228 - $I$2)</f>
        <v/>
      </c>
      <c r="O228">
        <f>(1/K228^2) / ((1/K228^2) + (1/L228^2) + (1/M228^2))</f>
        <v/>
      </c>
      <c r="P228">
        <f>(1/L228^2) / ((1/K228^2) + (1/L228^2) + (1/M228^2))</f>
        <v/>
      </c>
      <c r="Q228">
        <f>(1/M228^2) / ((1/K228^2) + (1/L228^2) + (1/M228^2))</f>
        <v/>
      </c>
      <c r="S228">
        <f>IF(MAX(O228:Q228)=O228, "Murah", IF(MAX(O228:Q228)=P228, "Sedang", "Mahal"))</f>
        <v/>
      </c>
    </row>
    <row r="229">
      <c r="A229" s="6" t="inlineStr">
        <is>
          <t>Vosco Coffee</t>
        </is>
      </c>
      <c r="B229" s="6" t="n">
        <v>0.114519427402863</v>
      </c>
      <c r="C229" s="6" t="n">
        <v>0.1840222388755977</v>
      </c>
      <c r="D229" s="6" t="n">
        <v>0.4116007159125313</v>
      </c>
      <c r="E229" s="55" t="n"/>
      <c r="K229">
        <f>ABS(B229 - $G$2)</f>
        <v/>
      </c>
      <c r="L229">
        <f>ABS(B229 - $H$2)</f>
        <v/>
      </c>
      <c r="M229">
        <f>ABS(B229 - $I$2)</f>
        <v/>
      </c>
      <c r="O229">
        <f>(1/K229^2) / ((1/K229^2) + (1/L229^2) + (1/M229^2))</f>
        <v/>
      </c>
      <c r="P229">
        <f>(1/L229^2) / ((1/K229^2) + (1/L229^2) + (1/M229^2))</f>
        <v/>
      </c>
      <c r="Q229">
        <f>(1/M229^2) / ((1/K229^2) + (1/L229^2) + (1/M229^2))</f>
        <v/>
      </c>
      <c r="S229">
        <f>IF(MAX(O229:Q229)=O229, "Murah", IF(MAX(O229:Q229)=P229, "Sedang", "Mahal"))</f>
        <v/>
      </c>
    </row>
    <row r="230">
      <c r="A230" s="6" t="inlineStr">
        <is>
          <t>NARA Coffee</t>
        </is>
      </c>
      <c r="B230" s="6" t="n">
        <v>0.07566462167689161</v>
      </c>
      <c r="C230" s="6" t="n">
        <v>0.1681049579206259</v>
      </c>
      <c r="D230" s="6" t="n">
        <v>0.1416800955532511</v>
      </c>
      <c r="E230" s="55" t="n"/>
      <c r="K230">
        <f>ABS(B230 - $G$2)</f>
        <v/>
      </c>
      <c r="L230">
        <f>ABS(B230 - $H$2)</f>
        <v/>
      </c>
      <c r="M230">
        <f>ABS(B230 - $I$2)</f>
        <v/>
      </c>
      <c r="O230">
        <f>(1/K230^2) / ((1/K230^2) + (1/L230^2) + (1/M230^2))</f>
        <v/>
      </c>
      <c r="P230">
        <f>(1/L230^2) / ((1/K230^2) + (1/L230^2) + (1/M230^2))</f>
        <v/>
      </c>
      <c r="Q230">
        <f>(1/M230^2) / ((1/K230^2) + (1/L230^2) + (1/M230^2))</f>
        <v/>
      </c>
      <c r="S230">
        <f>IF(MAX(O230:Q230)=O230, "Murah", IF(MAX(O230:Q230)=P230, "Sedang", "Mahal"))</f>
        <v/>
      </c>
    </row>
    <row r="231">
      <c r="A231" s="6" t="inlineStr">
        <is>
          <t>Katamichi Coffee</t>
        </is>
      </c>
      <c r="B231" s="6" t="n">
        <v>0.1002044989775051</v>
      </c>
      <c r="C231" s="6" t="n">
        <v>0.1504213508319718</v>
      </c>
      <c r="D231" s="6" t="n">
        <v>0.3790538105985396</v>
      </c>
      <c r="E231" s="55" t="n"/>
      <c r="K231">
        <f>ABS(B231 - $G$2)</f>
        <v/>
      </c>
      <c r="L231">
        <f>ABS(B231 - $H$2)</f>
        <v/>
      </c>
      <c r="M231">
        <f>ABS(B231 - $I$2)</f>
        <v/>
      </c>
      <c r="O231">
        <f>(1/K231^2) / ((1/K231^2) + (1/L231^2) + (1/M231^2))</f>
        <v/>
      </c>
      <c r="P231">
        <f>(1/L231^2) / ((1/K231^2) + (1/L231^2) + (1/M231^2))</f>
        <v/>
      </c>
      <c r="Q231">
        <f>(1/M231^2) / ((1/K231^2) + (1/L231^2) + (1/M231^2))</f>
        <v/>
      </c>
      <c r="S231">
        <f>IF(MAX(O231:Q231)=O231, "Murah", IF(MAX(O231:Q231)=P231, "Sedang", "Mahal"))</f>
        <v/>
      </c>
    </row>
    <row r="232">
      <c r="A232" s="6" t="inlineStr">
        <is>
          <t>Klodjen Djaja 1956</t>
        </is>
      </c>
      <c r="B232" s="6" t="n">
        <v>0.03680981595092025</v>
      </c>
      <c r="C232" s="6" t="n">
        <v>0.1440183731827497</v>
      </c>
      <c r="D232" s="6" t="n">
        <v>0.4083648884536576</v>
      </c>
      <c r="E232" s="55" t="n"/>
      <c r="K232">
        <f>ABS(B232 - $G$2)</f>
        <v/>
      </c>
      <c r="L232">
        <f>ABS(B232 - $H$2)</f>
        <v/>
      </c>
      <c r="M232">
        <f>ABS(B232 - $I$2)</f>
        <v/>
      </c>
      <c r="O232">
        <f>(1/K232^2) / ((1/K232^2) + (1/L232^2) + (1/M232^2))</f>
        <v/>
      </c>
      <c r="P232">
        <f>(1/L232^2) / ((1/K232^2) + (1/L232^2) + (1/M232^2))</f>
        <v/>
      </c>
      <c r="Q232">
        <f>(1/M232^2) / ((1/K232^2) + (1/L232^2) + (1/M232^2))</f>
        <v/>
      </c>
      <c r="S232">
        <f>IF(MAX(O232:Q232)=O232, "Murah", IF(MAX(O232:Q232)=P232, "Sedang", "Mahal"))</f>
        <v/>
      </c>
    </row>
    <row r="233">
      <c r="A233" s="6" t="inlineStr">
        <is>
          <t>Equal Coffee Roastery</t>
        </is>
      </c>
      <c r="B233" s="6" t="n">
        <v>0.06952965235173825</v>
      </c>
      <c r="C233" s="6" t="n">
        <v>0.2035808038800322</v>
      </c>
      <c r="D233" s="6" t="n">
        <v>0.2135465597366027</v>
      </c>
      <c r="E233" s="55" t="n"/>
      <c r="K233">
        <f>ABS(B233 - $G$2)</f>
        <v/>
      </c>
      <c r="L233">
        <f>ABS(B233 - $H$2)</f>
        <v/>
      </c>
      <c r="M233">
        <f>ABS(B233 - $I$2)</f>
        <v/>
      </c>
      <c r="O233">
        <f>(1/K233^2) / ((1/K233^2) + (1/L233^2) + (1/M233^2))</f>
        <v/>
      </c>
      <c r="P233">
        <f>(1/L233^2) / ((1/K233^2) + (1/L233^2) + (1/M233^2))</f>
        <v/>
      </c>
      <c r="Q233">
        <f>(1/M233^2) / ((1/K233^2) + (1/L233^2) + (1/M233^2))</f>
        <v/>
      </c>
      <c r="S233">
        <f>IF(MAX(O233:Q233)=O233, "Murah", IF(MAX(O233:Q233)=P233, "Sedang", "Mahal"))</f>
        <v/>
      </c>
    </row>
    <row r="234">
      <c r="A234" s="6" t="inlineStr">
        <is>
          <t>Toko Kopi Jaya, Soehat</t>
        </is>
      </c>
      <c r="B234" s="6" t="n">
        <v>0.1881390593047035</v>
      </c>
      <c r="C234" s="6" t="n">
        <v>0.1898872651579491</v>
      </c>
      <c r="D234" s="6" t="n">
        <v>0.3603848950999187</v>
      </c>
      <c r="E234" s="55" t="n"/>
      <c r="K234">
        <f>ABS(B234 - $G$2)</f>
        <v/>
      </c>
      <c r="L234">
        <f>ABS(B234 - $H$2)</f>
        <v/>
      </c>
      <c r="M234">
        <f>ABS(B234 - $I$2)</f>
        <v/>
      </c>
      <c r="O234">
        <f>(1/K234^2) / ((1/K234^2) + (1/L234^2) + (1/M234^2))</f>
        <v/>
      </c>
      <c r="P234">
        <f>(1/L234^2) / ((1/K234^2) + (1/L234^2) + (1/M234^2))</f>
        <v/>
      </c>
      <c r="Q234">
        <f>(1/M234^2) / ((1/K234^2) + (1/L234^2) + (1/M234^2))</f>
        <v/>
      </c>
      <c r="S234">
        <f>IF(MAX(O234:Q234)=O234, "Murah", IF(MAX(O234:Q234)=P234, "Sedang", "Mahal"))</f>
        <v/>
      </c>
    </row>
    <row r="235">
      <c r="A235" s="6" t="inlineStr">
        <is>
          <t>Foursense Coffee</t>
        </is>
      </c>
      <c r="B235" s="6" t="n">
        <v>0.07770961145194274</v>
      </c>
      <c r="C235" s="6" t="n">
        <v>0.1562294574514627</v>
      </c>
      <c r="D235" s="6" t="n">
        <v>0.3927811168854707</v>
      </c>
      <c r="E235" s="55" t="n"/>
      <c r="K235">
        <f>ABS(B235 - $G$2)</f>
        <v/>
      </c>
      <c r="L235">
        <f>ABS(B235 - $H$2)</f>
        <v/>
      </c>
      <c r="M235">
        <f>ABS(B235 - $I$2)</f>
        <v/>
      </c>
      <c r="O235">
        <f>(1/K235^2) / ((1/K235^2) + (1/L235^2) + (1/M235^2))</f>
        <v/>
      </c>
      <c r="P235">
        <f>(1/L235^2) / ((1/K235^2) + (1/L235^2) + (1/M235^2))</f>
        <v/>
      </c>
      <c r="Q235">
        <f>(1/M235^2) / ((1/K235^2) + (1/L235^2) + (1/M235^2))</f>
        <v/>
      </c>
      <c r="S235">
        <f>IF(MAX(O235:Q235)=O235, "Murah", IF(MAX(O235:Q235)=P235, "Sedang", "Mahal"))</f>
        <v/>
      </c>
    </row>
    <row r="236">
      <c r="A236" s="6" t="inlineStr">
        <is>
          <t>Toko Kopi Makmur (Malang)</t>
        </is>
      </c>
      <c r="B236" s="6" t="n">
        <v>0.0245398773006135</v>
      </c>
      <c r="C236" s="6" t="n">
        <v>0.1773954579562304</v>
      </c>
      <c r="D236" s="6" t="n">
        <v>0.3494627340107582</v>
      </c>
      <c r="E236" s="55" t="n"/>
      <c r="K236">
        <f>ABS(B236 - $G$2)</f>
        <v/>
      </c>
      <c r="L236">
        <f>ABS(B236 - $H$2)</f>
        <v/>
      </c>
      <c r="M236">
        <f>ABS(B236 - $I$2)</f>
        <v/>
      </c>
      <c r="O236">
        <f>(1/K236^2) / ((1/K236^2) + (1/L236^2) + (1/M236^2))</f>
        <v/>
      </c>
      <c r="P236">
        <f>(1/L236^2) / ((1/K236^2) + (1/L236^2) + (1/M236^2))</f>
        <v/>
      </c>
      <c r="Q236">
        <f>(1/M236^2) / ((1/K236^2) + (1/L236^2) + (1/M236^2))</f>
        <v/>
      </c>
      <c r="S236">
        <f>IF(MAX(O236:Q236)=O236, "Murah", IF(MAX(O236:Q236)=P236, "Sedang", "Mahal"))</f>
        <v/>
      </c>
    </row>
    <row r="237">
      <c r="A237" s="6" t="inlineStr">
        <is>
          <t>Tilik Kawan Cafe and Eatery</t>
        </is>
      </c>
      <c r="B237" s="6" t="n">
        <v>0.0516359918200409</v>
      </c>
      <c r="C237" s="6" t="n">
        <v>0.1401611577314105</v>
      </c>
      <c r="D237" s="6" t="n">
        <v>0.5735972984543297</v>
      </c>
      <c r="E237" s="55" t="n"/>
      <c r="K237">
        <f>ABS(B237 - $G$2)</f>
        <v/>
      </c>
      <c r="L237">
        <f>ABS(B237 - $H$2)</f>
        <v/>
      </c>
      <c r="M237">
        <f>ABS(B237 - $I$2)</f>
        <v/>
      </c>
      <c r="O237">
        <f>(1/K237^2) / ((1/K237^2) + (1/L237^2) + (1/M237^2))</f>
        <v/>
      </c>
      <c r="P237">
        <f>(1/L237^2) / ((1/K237^2) + (1/L237^2) + (1/M237^2))</f>
        <v/>
      </c>
      <c r="Q237">
        <f>(1/M237^2) / ((1/K237^2) + (1/L237^2) + (1/M237^2))</f>
        <v/>
      </c>
      <c r="S237">
        <f>IF(MAX(O237:Q237)=O237, "Murah", IF(MAX(O237:Q237)=P237, "Sedang", "Mahal"))</f>
        <v/>
      </c>
    </row>
    <row r="238">
      <c r="A238" s="6" t="inlineStr">
        <is>
          <t>Bureau Coffee &amp; Dine</t>
        </is>
      </c>
      <c r="B238" s="6" t="n">
        <v>0.392638036809816</v>
      </c>
      <c r="C238" s="6" t="n">
        <v>0.183402298973073</v>
      </c>
      <c r="D238" s="6" t="n">
        <v>0.3585306403349989</v>
      </c>
      <c r="E238" s="55" t="n"/>
      <c r="K238">
        <f>ABS(B238 - $G$2)</f>
        <v/>
      </c>
      <c r="L238">
        <f>ABS(B238 - $H$2)</f>
        <v/>
      </c>
      <c r="M238">
        <f>ABS(B238 - $I$2)</f>
        <v/>
      </c>
      <c r="O238">
        <f>(1/K238^2) / ((1/K238^2) + (1/L238^2) + (1/M238^2))</f>
        <v/>
      </c>
      <c r="P238">
        <f>(1/L238^2) / ((1/K238^2) + (1/L238^2) + (1/M238^2))</f>
        <v/>
      </c>
      <c r="Q238">
        <f>(1/M238^2) / ((1/K238^2) + (1/L238^2) + (1/M238^2))</f>
        <v/>
      </c>
      <c r="S238">
        <f>IF(MAX(O238:Q238)=O238, "Murah", IF(MAX(O238:Q238)=P238, "Sedang", "Mahal"))</f>
        <v/>
      </c>
    </row>
    <row r="239">
      <c r="A239" s="6" t="inlineStr">
        <is>
          <t>Apresio Kopi</t>
        </is>
      </c>
      <c r="B239" s="6" t="n">
        <v>0.032719836400818</v>
      </c>
      <c r="C239" s="6" t="n">
        <v>0.1775527742159257</v>
      </c>
      <c r="D239" s="6" t="n">
        <v>0.3181364021194311</v>
      </c>
      <c r="E239" s="55" t="n"/>
      <c r="K239">
        <f>ABS(B239 - $G$2)</f>
        <v/>
      </c>
      <c r="L239">
        <f>ABS(B239 - $H$2)</f>
        <v/>
      </c>
      <c r="M239">
        <f>ABS(B239 - $I$2)</f>
        <v/>
      </c>
      <c r="O239">
        <f>(1/K239^2) / ((1/K239^2) + (1/L239^2) + (1/M239^2))</f>
        <v/>
      </c>
      <c r="P239">
        <f>(1/L239^2) / ((1/K239^2) + (1/L239^2) + (1/M239^2))</f>
        <v/>
      </c>
      <c r="Q239">
        <f>(1/M239^2) / ((1/K239^2) + (1/L239^2) + (1/M239^2))</f>
        <v/>
      </c>
      <c r="S239">
        <f>IF(MAX(O239:Q239)=O239, "Murah", IF(MAX(O239:Q239)=P239, "Sedang", "Mahal"))</f>
        <v/>
      </c>
    </row>
    <row r="240">
      <c r="A240" s="6" t="inlineStr">
        <is>
          <t>Toko kopi ong</t>
        </is>
      </c>
      <c r="B240" s="6" t="n">
        <v>0.03885480572597137</v>
      </c>
      <c r="C240" s="6" t="n">
        <v>0.1706476924768683</v>
      </c>
      <c r="D240" s="6" t="n">
        <v>0.423445030722487</v>
      </c>
      <c r="E240" s="55" t="n"/>
      <c r="K240">
        <f>ABS(B240 - $G$2)</f>
        <v/>
      </c>
      <c r="L240">
        <f>ABS(B240 - $H$2)</f>
        <v/>
      </c>
      <c r="M240">
        <f>ABS(B240 - $I$2)</f>
        <v/>
      </c>
      <c r="O240">
        <f>(1/K240^2) / ((1/K240^2) + (1/L240^2) + (1/M240^2))</f>
        <v/>
      </c>
      <c r="P240">
        <f>(1/L240^2) / ((1/K240^2) + (1/L240^2) + (1/M240^2))</f>
        <v/>
      </c>
      <c r="Q240">
        <f>(1/M240^2) / ((1/K240^2) + (1/L240^2) + (1/M240^2))</f>
        <v/>
      </c>
      <c r="S240">
        <f>IF(MAX(O240:Q240)=O240, "Murah", IF(MAX(O240:Q240)=P240, "Sedang", "Mahal"))</f>
        <v/>
      </c>
    </row>
    <row r="241">
      <c r="A241" s="6" t="inlineStr">
        <is>
          <t>Kopi Langit Tuju</t>
        </is>
      </c>
      <c r="B241" s="6" t="n">
        <v>0.04498977505112475</v>
      </c>
      <c r="C241" s="6" t="n">
        <v>0.1096791038955828</v>
      </c>
      <c r="D241" s="6" t="n">
        <v>0.355225550031712</v>
      </c>
      <c r="E241" s="55" t="n"/>
      <c r="K241">
        <f>ABS(B241 - $G$2)</f>
        <v/>
      </c>
      <c r="L241">
        <f>ABS(B241 - $H$2)</f>
        <v/>
      </c>
      <c r="M241">
        <f>ABS(B241 - $I$2)</f>
        <v/>
      </c>
      <c r="O241">
        <f>(1/K241^2) / ((1/K241^2) + (1/L241^2) + (1/M241^2))</f>
        <v/>
      </c>
      <c r="P241">
        <f>(1/L241^2) / ((1/K241^2) + (1/L241^2) + (1/M241^2))</f>
        <v/>
      </c>
      <c r="Q241">
        <f>(1/M241^2) / ((1/K241^2) + (1/L241^2) + (1/M241^2))</f>
        <v/>
      </c>
      <c r="S241">
        <f>IF(MAX(O241:Q241)=O241, "Murah", IF(MAX(O241:Q241)=P241, "Sedang", "Mahal"))</f>
        <v/>
      </c>
    </row>
    <row r="242">
      <c r="A242" s="6" t="inlineStr">
        <is>
          <t>Tumbazz Kopi Malang</t>
        </is>
      </c>
      <c r="B242" s="6" t="n">
        <v>0.05112474437627812</v>
      </c>
      <c r="C242" s="6" t="n">
        <v>0.1449318732188388</v>
      </c>
      <c r="D242" s="6" t="n">
        <v>0.3359830055505938</v>
      </c>
      <c r="E242" s="55" t="n"/>
      <c r="K242">
        <f>ABS(B242 - $G$2)</f>
        <v/>
      </c>
      <c r="L242">
        <f>ABS(B242 - $H$2)</f>
        <v/>
      </c>
      <c r="M242">
        <f>ABS(B242 - $I$2)</f>
        <v/>
      </c>
      <c r="O242">
        <f>(1/K242^2) / ((1/K242^2) + (1/L242^2) + (1/M242^2))</f>
        <v/>
      </c>
      <c r="P242">
        <f>(1/L242^2) / ((1/K242^2) + (1/L242^2) + (1/M242^2))</f>
        <v/>
      </c>
      <c r="Q242">
        <f>(1/M242^2) / ((1/K242^2) + (1/L242^2) + (1/M242^2))</f>
        <v/>
      </c>
      <c r="S242">
        <f>IF(MAX(O242:Q242)=O242, "Murah", IF(MAX(O242:Q242)=P242, "Sedang", "Mahal"))</f>
        <v/>
      </c>
    </row>
    <row r="243">
      <c r="A243" s="6" t="inlineStr">
        <is>
          <t>Java Dancer Coffee - Jakarta</t>
        </is>
      </c>
      <c r="B243" s="6" t="n">
        <v>0.294478527607362</v>
      </c>
      <c r="C243" s="6" t="n">
        <v>0.1534569854474592</v>
      </c>
      <c r="D243" s="6" t="n">
        <v>0.3479780038890417</v>
      </c>
      <c r="E243" s="55" t="n"/>
      <c r="K243">
        <f>ABS(B243 - $G$2)</f>
        <v/>
      </c>
      <c r="L243">
        <f>ABS(B243 - $H$2)</f>
        <v/>
      </c>
      <c r="M243">
        <f>ABS(B243 - $I$2)</f>
        <v/>
      </c>
      <c r="O243">
        <f>(1/K243^2) / ((1/K243^2) + (1/L243^2) + (1/M243^2))</f>
        <v/>
      </c>
      <c r="P243">
        <f>(1/L243^2) / ((1/K243^2) + (1/L243^2) + (1/M243^2))</f>
        <v/>
      </c>
      <c r="Q243">
        <f>(1/M243^2) / ((1/K243^2) + (1/L243^2) + (1/M243^2))</f>
        <v/>
      </c>
      <c r="S243">
        <f>IF(MAX(O243:Q243)=O243, "Murah", IF(MAX(O243:Q243)=P243, "Sedang", "Mahal"))</f>
        <v/>
      </c>
    </row>
    <row r="244">
      <c r="A244" s="6" t="inlineStr">
        <is>
          <t>Omah Semeru (Toko Kopi)</t>
        </is>
      </c>
      <c r="B244" s="6" t="n">
        <v>0.03026584867075665</v>
      </c>
      <c r="C244" s="6" t="n">
        <v>0.1383087254694419</v>
      </c>
      <c r="D244" s="6" t="n">
        <v>0.3772212925773038</v>
      </c>
      <c r="E244" s="55" t="n"/>
      <c r="K244">
        <f>ABS(B244 - $G$2)</f>
        <v/>
      </c>
      <c r="L244">
        <f>ABS(B244 - $H$2)</f>
        <v/>
      </c>
      <c r="M244">
        <f>ABS(B244 - $I$2)</f>
        <v/>
      </c>
      <c r="O244">
        <f>(1/K244^2) / ((1/K244^2) + (1/L244^2) + (1/M244^2))</f>
        <v/>
      </c>
      <c r="P244">
        <f>(1/L244^2) / ((1/K244^2) + (1/L244^2) + (1/M244^2))</f>
        <v/>
      </c>
      <c r="Q244">
        <f>(1/M244^2) / ((1/K244^2) + (1/L244^2) + (1/M244^2))</f>
        <v/>
      </c>
      <c r="S244">
        <f>IF(MAX(O244:Q244)=O244, "Murah", IF(MAX(O244:Q244)=P244, "Sedang", "Mahal"))</f>
        <v/>
      </c>
    </row>
    <row r="245">
      <c r="A245" s="6" t="inlineStr">
        <is>
          <t>Kopi Jokotole</t>
        </is>
      </c>
      <c r="B245" s="6" t="n">
        <v>0.03680981595092025</v>
      </c>
      <c r="C245" s="6" t="n">
        <v>0.1671066839185733</v>
      </c>
      <c r="D245" s="6" t="n">
        <v>0.2992025930829795</v>
      </c>
      <c r="E245" s="55" t="n"/>
      <c r="K245">
        <f>ABS(B245 - $G$2)</f>
        <v/>
      </c>
      <c r="L245">
        <f>ABS(B245 - $H$2)</f>
        <v/>
      </c>
      <c r="M245">
        <f>ABS(B245 - $I$2)</f>
        <v/>
      </c>
      <c r="O245">
        <f>(1/K245^2) / ((1/K245^2) + (1/L245^2) + (1/M245^2))</f>
        <v/>
      </c>
      <c r="P245">
        <f>(1/L245^2) / ((1/K245^2) + (1/L245^2) + (1/M245^2))</f>
        <v/>
      </c>
      <c r="Q245">
        <f>(1/M245^2) / ((1/K245^2) + (1/L245^2) + (1/M245^2))</f>
        <v/>
      </c>
      <c r="S245">
        <f>IF(MAX(O245:Q245)=O245, "Murah", IF(MAX(O245:Q245)=P245, "Sedang", "Mahal"))</f>
        <v/>
      </c>
    </row>
    <row r="246">
      <c r="A246" s="6" t="inlineStr">
        <is>
          <t>Toko Kopi Sumber Rejeki Malang</t>
        </is>
      </c>
      <c r="B246" s="6" t="n">
        <v>0.147239263803681</v>
      </c>
      <c r="C246" s="6" t="n">
        <v>0.1383700049362677</v>
      </c>
      <c r="D246" s="6" t="n">
        <v>0.3801892791432319</v>
      </c>
      <c r="E246" s="55" t="n"/>
      <c r="K246">
        <f>ABS(B246 - $G$2)</f>
        <v/>
      </c>
      <c r="L246">
        <f>ABS(B246 - $H$2)</f>
        <v/>
      </c>
      <c r="M246">
        <f>ABS(B246 - $I$2)</f>
        <v/>
      </c>
      <c r="O246">
        <f>(1/K246^2) / ((1/K246^2) + (1/L246^2) + (1/M246^2))</f>
        <v/>
      </c>
      <c r="P246">
        <f>(1/L246^2) / ((1/K246^2) + (1/L246^2) + (1/M246^2))</f>
        <v/>
      </c>
      <c r="Q246">
        <f>(1/M246^2) / ((1/K246^2) + (1/L246^2) + (1/M246^2))</f>
        <v/>
      </c>
      <c r="S246">
        <f>IF(MAX(O246:Q246)=O246, "Murah", IF(MAX(O246:Q246)=P246, "Sedang", "Mahal"))</f>
        <v/>
      </c>
    </row>
    <row r="247">
      <c r="A247" s="6" t="inlineStr">
        <is>
          <t>Arah Coffee Gunungan Malang</t>
        </is>
      </c>
      <c r="B247" s="6" t="n">
        <v>0.8425357873210634</v>
      </c>
      <c r="C247" s="6" t="n">
        <v>0.1463467507107693</v>
      </c>
      <c r="D247" s="6" t="n">
        <v>0.3649488744419442</v>
      </c>
      <c r="E247" s="55" t="n"/>
      <c r="K247">
        <f>ABS(B247 - $G$2)</f>
        <v/>
      </c>
      <c r="L247">
        <f>ABS(B247 - $H$2)</f>
        <v/>
      </c>
      <c r="M247">
        <f>ABS(B247 - $I$2)</f>
        <v/>
      </c>
      <c r="O247">
        <f>(1/K247^2) / ((1/K247^2) + (1/L247^2) + (1/M247^2))</f>
        <v/>
      </c>
      <c r="P247">
        <f>(1/L247^2) / ((1/K247^2) + (1/L247^2) + (1/M247^2))</f>
        <v/>
      </c>
      <c r="Q247">
        <f>(1/M247^2) / ((1/K247^2) + (1/L247^2) + (1/M247^2))</f>
        <v/>
      </c>
      <c r="S247">
        <f>IF(MAX(O247:Q247)=O247, "Murah", IF(MAX(O247:Q247)=P247, "Sedang", "Mahal"))</f>
        <v/>
      </c>
    </row>
    <row r="248">
      <c r="A248" s="6" t="inlineStr">
        <is>
          <t>toko kopi jaya, klojen</t>
        </is>
      </c>
      <c r="B248" s="6" t="n">
        <v>0.07975460122699386</v>
      </c>
      <c r="C248" s="6" t="n">
        <v>0.141132667381352</v>
      </c>
      <c r="D248" s="6" t="n">
        <v>0.4075392606117738</v>
      </c>
      <c r="E248" s="55" t="n"/>
      <c r="K248">
        <f>ABS(B248 - $G$2)</f>
        <v/>
      </c>
      <c r="L248">
        <f>ABS(B248 - $H$2)</f>
        <v/>
      </c>
      <c r="M248">
        <f>ABS(B248 - $I$2)</f>
        <v/>
      </c>
      <c r="O248">
        <f>(1/K248^2) / ((1/K248^2) + (1/L248^2) + (1/M248^2))</f>
        <v/>
      </c>
      <c r="P248">
        <f>(1/L248^2) / ((1/K248^2) + (1/L248^2) + (1/M248^2))</f>
        <v/>
      </c>
      <c r="Q248">
        <f>(1/M248^2) / ((1/K248^2) + (1/L248^2) + (1/M248^2))</f>
        <v/>
      </c>
      <c r="S248">
        <f>IF(MAX(O248:Q248)=O248, "Murah", IF(MAX(O248:Q248)=P248, "Sedang", "Mahal"))</f>
        <v/>
      </c>
    </row>
    <row r="249">
      <c r="A249" s="6" t="inlineStr">
        <is>
          <t>Kopi 1922</t>
        </is>
      </c>
      <c r="B249" s="6" t="n">
        <v>0.049079754601227</v>
      </c>
      <c r="C249" s="6" t="n">
        <v>0.1391088706024717</v>
      </c>
      <c r="D249" s="6" t="n">
        <v>0.3745741992957077</v>
      </c>
      <c r="E249" s="55" t="n"/>
      <c r="K249">
        <f>ABS(B249 - $G$2)</f>
        <v/>
      </c>
      <c r="L249">
        <f>ABS(B249 - $H$2)</f>
        <v/>
      </c>
      <c r="M249">
        <f>ABS(B249 - $I$2)</f>
        <v/>
      </c>
      <c r="O249">
        <f>(1/K249^2) / ((1/K249^2) + (1/L249^2) + (1/M249^2))</f>
        <v/>
      </c>
      <c r="P249">
        <f>(1/L249^2) / ((1/K249^2) + (1/L249^2) + (1/M249^2))</f>
        <v/>
      </c>
      <c r="Q249">
        <f>(1/M249^2) / ((1/K249^2) + (1/L249^2) + (1/M249^2))</f>
        <v/>
      </c>
      <c r="S249">
        <f>IF(MAX(O249:Q249)=O249, "Murah", IF(MAX(O249:Q249)=P249, "Sedang", "Mahal"))</f>
        <v/>
      </c>
    </row>
    <row r="250">
      <c r="A250" s="6" t="inlineStr">
        <is>
          <t>Zocco Heritage</t>
        </is>
      </c>
      <c r="B250" s="6" t="n">
        <v>0.1390593047034765</v>
      </c>
      <c r="C250" s="6" t="n">
        <v>0.1508678674212683</v>
      </c>
      <c r="D250" s="6" t="n">
        <v>0.3954993151083483</v>
      </c>
      <c r="E250" s="55" t="n"/>
      <c r="K250">
        <f>ABS(B250 - $G$2)</f>
        <v/>
      </c>
      <c r="L250">
        <f>ABS(B250 - $H$2)</f>
        <v/>
      </c>
      <c r="M250">
        <f>ABS(B250 - $I$2)</f>
        <v/>
      </c>
      <c r="O250">
        <f>(1/K250^2) / ((1/K250^2) + (1/L250^2) + (1/M250^2))</f>
        <v/>
      </c>
      <c r="P250">
        <f>(1/L250^2) / ((1/K250^2) + (1/L250^2) + (1/M250^2))</f>
        <v/>
      </c>
      <c r="Q250">
        <f>(1/M250^2) / ((1/K250^2) + (1/L250^2) + (1/M250^2))</f>
        <v/>
      </c>
      <c r="S250">
        <f>IF(MAX(O250:Q250)=O250, "Murah", IF(MAX(O250:Q250)=P250, "Sedang", "Mahal"))</f>
        <v/>
      </c>
    </row>
    <row r="251">
      <c r="A251" s="6" t="inlineStr">
        <is>
          <t>Rodjo.Kopi</t>
        </is>
      </c>
      <c r="B251" s="6" t="n">
        <v>0.02249488752556237</v>
      </c>
      <c r="C251" s="6" t="n">
        <v>0.1567654711276827</v>
      </c>
      <c r="D251" s="6" t="n">
        <v>0.4085074667556886</v>
      </c>
      <c r="E251" s="55" t="n"/>
      <c r="K251">
        <f>ABS(B251 - $G$2)</f>
        <v/>
      </c>
      <c r="L251">
        <f>ABS(B251 - $H$2)</f>
        <v/>
      </c>
      <c r="M251">
        <f>ABS(B251 - $I$2)</f>
        <v/>
      </c>
      <c r="O251">
        <f>(1/K251^2) / ((1/K251^2) + (1/L251^2) + (1/M251^2))</f>
        <v/>
      </c>
      <c r="P251">
        <f>(1/L251^2) / ((1/K251^2) + (1/L251^2) + (1/M251^2))</f>
        <v/>
      </c>
      <c r="Q251">
        <f>(1/M251^2) / ((1/K251^2) + (1/L251^2) + (1/M251^2))</f>
        <v/>
      </c>
      <c r="S251">
        <f>IF(MAX(O251:Q251)=O251, "Murah", IF(MAX(O251:Q251)=P251, "Sedang", "Mahal"))</f>
        <v/>
      </c>
    </row>
    <row r="252">
      <c r="A252" s="6" t="inlineStr">
        <is>
          <t>Toko Kopi Jaya, Ijen</t>
        </is>
      </c>
      <c r="B252" s="6" t="n">
        <v>0.114519427402863</v>
      </c>
      <c r="C252" s="6" t="n">
        <v>0.1485174486620977</v>
      </c>
      <c r="D252" s="6" t="n">
        <v>0.3614890479969085</v>
      </c>
      <c r="E252" s="55" t="n"/>
      <c r="K252">
        <f>ABS(B252 - $G$2)</f>
        <v/>
      </c>
      <c r="L252">
        <f>ABS(B252 - $H$2)</f>
        <v/>
      </c>
      <c r="M252">
        <f>ABS(B252 - $I$2)</f>
        <v/>
      </c>
      <c r="O252">
        <f>(1/K252^2) / ((1/K252^2) + (1/L252^2) + (1/M252^2))</f>
        <v/>
      </c>
      <c r="P252">
        <f>(1/L252^2) / ((1/K252^2) + (1/L252^2) + (1/M252^2))</f>
        <v/>
      </c>
      <c r="Q252">
        <f>(1/M252^2) / ((1/K252^2) + (1/L252^2) + (1/M252^2))</f>
        <v/>
      </c>
      <c r="S252">
        <f>IF(MAX(O252:Q252)=O252, "Murah", IF(MAX(O252:Q252)=P252, "Sedang", "Mahal"))</f>
        <v/>
      </c>
    </row>
    <row r="253">
      <c r="A253" s="6" t="inlineStr">
        <is>
          <t>Gartenhaus Co</t>
        </is>
      </c>
      <c r="B253" s="6" t="n">
        <v>0.07975460122699386</v>
      </c>
      <c r="C253" s="6" t="n">
        <v>0.1900443392063124</v>
      </c>
      <c r="D253" s="6" t="n">
        <v>0.3166520404170777</v>
      </c>
      <c r="E253" s="55" t="n"/>
      <c r="K253">
        <f>ABS(B253 - $G$2)</f>
        <v/>
      </c>
      <c r="L253">
        <f>ABS(B253 - $H$2)</f>
        <v/>
      </c>
      <c r="M253">
        <f>ABS(B253 - $I$2)</f>
        <v/>
      </c>
      <c r="O253">
        <f>(1/K253^2) / ((1/K253^2) + (1/L253^2) + (1/M253^2))</f>
        <v/>
      </c>
      <c r="P253">
        <f>(1/L253^2) / ((1/K253^2) + (1/L253^2) + (1/M253^2))</f>
        <v/>
      </c>
      <c r="Q253">
        <f>(1/M253^2) / ((1/K253^2) + (1/L253^2) + (1/M253^2))</f>
        <v/>
      </c>
      <c r="S253">
        <f>IF(MAX(O253:Q253)=O253, "Murah", IF(MAX(O253:Q253)=P253, "Sedang", "Mahal"))</f>
        <v/>
      </c>
    </row>
    <row r="254">
      <c r="A254" s="6" t="inlineStr">
        <is>
          <t>Simpang Luwe Cafe &amp; Resto</t>
        </is>
      </c>
      <c r="B254" s="6" t="n">
        <v>0.2351738241308793</v>
      </c>
      <c r="C254" s="6" t="n">
        <v>0.1546222641624603</v>
      </c>
      <c r="D254" s="6" t="n">
        <v>0.4026787036647996</v>
      </c>
      <c r="E254" s="55" t="n"/>
      <c r="K254">
        <f>ABS(B254 - $G$2)</f>
        <v/>
      </c>
      <c r="L254">
        <f>ABS(B254 - $H$2)</f>
        <v/>
      </c>
      <c r="M254">
        <f>ABS(B254 - $I$2)</f>
        <v/>
      </c>
      <c r="O254">
        <f>(1/K254^2) / ((1/K254^2) + (1/L254^2) + (1/M254^2))</f>
        <v/>
      </c>
      <c r="P254">
        <f>(1/L254^2) / ((1/K254^2) + (1/L254^2) + (1/M254^2))</f>
        <v/>
      </c>
      <c r="Q254">
        <f>(1/M254^2) / ((1/K254^2) + (1/L254^2) + (1/M254^2))</f>
        <v/>
      </c>
      <c r="S254">
        <f>IF(MAX(O254:Q254)=O254, "Murah", IF(MAX(O254:Q254)=P254, "Sedang", "Mahal"))</f>
        <v/>
      </c>
    </row>
    <row r="255">
      <c r="A255" s="6" t="inlineStr">
        <is>
          <t>The Arbanat Kitchen Cafe Lounge</t>
        </is>
      </c>
      <c r="B255" s="6" t="n">
        <v>0.6220858895705521</v>
      </c>
      <c r="C255" s="6" t="n">
        <v>0.1452552253461567</v>
      </c>
      <c r="D255" s="6" t="n">
        <v>0.2989292258992721</v>
      </c>
      <c r="E255" s="55" t="n"/>
      <c r="K255">
        <f>ABS(B255 - $G$2)</f>
        <v/>
      </c>
      <c r="L255">
        <f>ABS(B255 - $H$2)</f>
        <v/>
      </c>
      <c r="M255">
        <f>ABS(B255 - $I$2)</f>
        <v/>
      </c>
      <c r="O255">
        <f>(1/K255^2) / ((1/K255^2) + (1/L255^2) + (1/M255^2))</f>
        <v/>
      </c>
      <c r="P255">
        <f>(1/L255^2) / ((1/K255^2) + (1/L255^2) + (1/M255^2))</f>
        <v/>
      </c>
      <c r="Q255">
        <f>(1/M255^2) / ((1/K255^2) + (1/L255^2) + (1/M255^2))</f>
        <v/>
      </c>
      <c r="S255">
        <f>IF(MAX(O255:Q255)=O255, "Murah", IF(MAX(O255:Q255)=P255, "Sedang", "Mahal"))</f>
        <v/>
      </c>
    </row>
    <row r="256">
      <c r="A256" s="6" t="inlineStr">
        <is>
          <t>critasena</t>
        </is>
      </c>
      <c r="B256" s="6" t="n">
        <v>0.167239263803681</v>
      </c>
      <c r="C256" s="6" t="n">
        <v>0.1408810098081059</v>
      </c>
      <c r="D256" s="6" t="n">
        <v>0.3891901331393954</v>
      </c>
      <c r="E256" s="55" t="n"/>
      <c r="K256">
        <f>ABS(B256 - $G$2)</f>
        <v/>
      </c>
      <c r="L256">
        <f>ABS(B256 - $H$2)</f>
        <v/>
      </c>
      <c r="M256">
        <f>ABS(B256 - $I$2)</f>
        <v/>
      </c>
      <c r="O256">
        <f>(1/K256^2) / ((1/K256^2) + (1/L256^2) + (1/M256^2))</f>
        <v/>
      </c>
      <c r="P256">
        <f>(1/L256^2) / ((1/K256^2) + (1/L256^2) + (1/M256^2))</f>
        <v/>
      </c>
      <c r="Q256">
        <f>(1/M256^2) / ((1/K256^2) + (1/L256^2) + (1/M256^2))</f>
        <v/>
      </c>
      <c r="S256">
        <f>IF(MAX(O256:Q256)=O256, "Murah", IF(MAX(O256:Q256)=P256, "Sedang", "Mahal"))</f>
        <v/>
      </c>
    </row>
    <row r="257">
      <c r="A257" s="6" t="inlineStr">
        <is>
          <t>Koat Kopi Malang</t>
        </is>
      </c>
      <c r="B257" s="6" t="n">
        <v>0.07280163599182005</v>
      </c>
      <c r="C257" s="6" t="n">
        <v>0.1706624673680786</v>
      </c>
      <c r="D257" s="6" t="n">
        <v>0.2947226133607844</v>
      </c>
      <c r="E257" s="55" t="n"/>
      <c r="K257">
        <f>ABS(B257 - $G$2)</f>
        <v/>
      </c>
      <c r="L257">
        <f>ABS(B257 - $H$2)</f>
        <v/>
      </c>
      <c r="M257">
        <f>ABS(B257 - $I$2)</f>
        <v/>
      </c>
      <c r="O257">
        <f>(1/K257^2) / ((1/K257^2) + (1/L257^2) + (1/M257^2))</f>
        <v/>
      </c>
      <c r="P257">
        <f>(1/L257^2) / ((1/K257^2) + (1/L257^2) + (1/M257^2))</f>
        <v/>
      </c>
      <c r="Q257">
        <f>(1/M257^2) / ((1/K257^2) + (1/L257^2) + (1/M257^2))</f>
        <v/>
      </c>
      <c r="S257">
        <f>IF(MAX(O257:Q257)=O257, "Murah", IF(MAX(O257:Q257)=P257, "Sedang", "Mahal"))</f>
        <v/>
      </c>
    </row>
    <row r="258">
      <c r="A258" s="6" t="inlineStr">
        <is>
          <t>BARAKA.MALANG</t>
        </is>
      </c>
      <c r="B258" s="6" t="n">
        <v>0.02965235173824131</v>
      </c>
      <c r="C258" s="6" t="n">
        <v>0.1567958686497642</v>
      </c>
      <c r="D258" s="6" t="n">
        <v>0.3887690297822584</v>
      </c>
      <c r="E258" s="55" t="n"/>
      <c r="K258">
        <f>ABS(B258 - $G$2)</f>
        <v/>
      </c>
      <c r="L258">
        <f>ABS(B258 - $H$2)</f>
        <v/>
      </c>
      <c r="M258">
        <f>ABS(B258 - $I$2)</f>
        <v/>
      </c>
      <c r="O258">
        <f>(1/K258^2) / ((1/K258^2) + (1/L258^2) + (1/M258^2))</f>
        <v/>
      </c>
      <c r="P258">
        <f>(1/L258^2) / ((1/K258^2) + (1/L258^2) + (1/M258^2))</f>
        <v/>
      </c>
      <c r="Q258">
        <f>(1/M258^2) / ((1/K258^2) + (1/L258^2) + (1/M258^2))</f>
        <v/>
      </c>
      <c r="S258">
        <f>IF(MAX(O258:Q258)=O258, "Murah", IF(MAX(O258:Q258)=P258, "Sedang", "Mahal"))</f>
        <v/>
      </c>
    </row>
    <row r="259">
      <c r="A259" s="6" t="inlineStr">
        <is>
          <t>Semusim Cafe</t>
        </is>
      </c>
      <c r="B259" s="6" t="n">
        <v>0.1184049079754601</v>
      </c>
      <c r="C259" s="6" t="n">
        <v>0.1755525930418502</v>
      </c>
      <c r="D259" s="6" t="n">
        <v>0.3221569628684676</v>
      </c>
      <c r="E259" s="55" t="n"/>
      <c r="K259">
        <f>ABS(B259 - $G$2)</f>
        <v/>
      </c>
      <c r="L259">
        <f>ABS(B259 - $H$2)</f>
        <v/>
      </c>
      <c r="M259">
        <f>ABS(B259 - $I$2)</f>
        <v/>
      </c>
      <c r="O259">
        <f>(1/K259^2) / ((1/K259^2) + (1/L259^2) + (1/M259^2))</f>
        <v/>
      </c>
      <c r="P259">
        <f>(1/L259^2) / ((1/K259^2) + (1/L259^2) + (1/M259^2))</f>
        <v/>
      </c>
      <c r="Q259">
        <f>(1/M259^2) / ((1/K259^2) + (1/L259^2) + (1/M259^2))</f>
        <v/>
      </c>
      <c r="S259">
        <f>IF(MAX(O259:Q259)=O259, "Murah", IF(MAX(O259:Q259)=P259, "Sedang", "Mahal"))</f>
        <v/>
      </c>
    </row>
    <row r="260">
      <c r="A260" s="6" t="inlineStr">
        <is>
          <t>Kopi Wojo Malang</t>
        </is>
      </c>
      <c r="B260" s="6" t="n">
        <v>0.049079754601227</v>
      </c>
      <c r="C260" s="6" t="n">
        <v>0.1370225833001109</v>
      </c>
      <c r="D260" s="6" t="n">
        <v>0.3787439698957312</v>
      </c>
      <c r="E260" s="55" t="n"/>
      <c r="K260">
        <f>ABS(B260 - $G$2)</f>
        <v/>
      </c>
      <c r="L260">
        <f>ABS(B260 - $H$2)</f>
        <v/>
      </c>
      <c r="M260">
        <f>ABS(B260 - $I$2)</f>
        <v/>
      </c>
      <c r="O260">
        <f>(1/K260^2) / ((1/K260^2) + (1/L260^2) + (1/M260^2))</f>
        <v/>
      </c>
      <c r="P260">
        <f>(1/L260^2) / ((1/K260^2) + (1/L260^2) + (1/M260^2))</f>
        <v/>
      </c>
      <c r="Q260">
        <f>(1/M260^2) / ((1/K260^2) + (1/L260^2) + (1/M260^2))</f>
        <v/>
      </c>
      <c r="S260">
        <f>IF(MAX(O260:Q260)=O260, "Murah", IF(MAX(O260:Q260)=P260, "Sedang", "Mahal"))</f>
        <v/>
      </c>
    </row>
    <row r="261">
      <c r="A261" s="6" t="inlineStr">
        <is>
          <t>Love Coffee</t>
        </is>
      </c>
      <c r="B261" s="6" t="n">
        <v>0.04498977505112475</v>
      </c>
      <c r="C261" s="6" t="n">
        <v>0.06598514857000795</v>
      </c>
      <c r="D261" s="6" t="n">
        <v>0.4191643658876029</v>
      </c>
      <c r="E261" s="55" t="n"/>
      <c r="K261">
        <f>ABS(B261 - $G$2)</f>
        <v/>
      </c>
      <c r="L261">
        <f>ABS(B261 - $H$2)</f>
        <v/>
      </c>
      <c r="M261">
        <f>ABS(B261 - $I$2)</f>
        <v/>
      </c>
      <c r="O261">
        <f>(1/K261^2) / ((1/K261^2) + (1/L261^2) + (1/M261^2))</f>
        <v/>
      </c>
      <c r="P261">
        <f>(1/L261^2) / ((1/K261^2) + (1/L261^2) + (1/M261^2))</f>
        <v/>
      </c>
      <c r="Q261">
        <f>(1/M261^2) / ((1/K261^2) + (1/L261^2) + (1/M261^2))</f>
        <v/>
      </c>
      <c r="S261">
        <f>IF(MAX(O261:Q261)=O261, "Murah", IF(MAX(O261:Q261)=P261, "Sedang", "Mahal"))</f>
        <v/>
      </c>
    </row>
    <row r="262">
      <c r="A262" s="6" t="inlineStr">
        <is>
          <t>Kopi Dampit / Toko Nava</t>
        </is>
      </c>
      <c r="B262" s="6" t="n">
        <v>0</v>
      </c>
      <c r="C262" s="6" t="n">
        <v>0.1767595321058386</v>
      </c>
      <c r="D262" s="6" t="n">
        <v>0.3911084928773299</v>
      </c>
      <c r="E262" s="55" t="n"/>
      <c r="K262">
        <f>ABS(B262 - $G$2)</f>
        <v/>
      </c>
      <c r="L262">
        <f>ABS(B262 - $H$2)</f>
        <v/>
      </c>
      <c r="M262">
        <f>ABS(B262 - $I$2)</f>
        <v/>
      </c>
      <c r="O262">
        <f>(1/K262^2) / ((1/K262^2) + (1/L262^2) + (1/M262^2))</f>
        <v/>
      </c>
      <c r="P262">
        <f>(1/L262^2) / ((1/K262^2) + (1/L262^2) + (1/M262^2))</f>
        <v/>
      </c>
      <c r="Q262">
        <f>(1/M262^2) / ((1/K262^2) + (1/L262^2) + (1/M262^2))</f>
        <v/>
      </c>
      <c r="S262">
        <f>IF(MAX(O262:Q262)=O262, "Murah", IF(MAX(O262:Q262)=P262, "Sedang", "Mahal"))</f>
        <v/>
      </c>
    </row>
    <row r="263">
      <c r="A263" s="6" t="inlineStr">
        <is>
          <t>Kedai Kopi Omah Kayu</t>
        </is>
      </c>
      <c r="B263" s="6" t="n">
        <v>0.02351738241308794</v>
      </c>
      <c r="C263" s="6" t="n">
        <v>0.1656972561815968</v>
      </c>
      <c r="D263" s="6" t="n">
        <v>0.3008906907052638</v>
      </c>
      <c r="E263" s="55" t="n"/>
      <c r="K263">
        <f>ABS(B263 - $G$2)</f>
        <v/>
      </c>
      <c r="L263">
        <f>ABS(B263 - $H$2)</f>
        <v/>
      </c>
      <c r="M263">
        <f>ABS(B263 - $I$2)</f>
        <v/>
      </c>
      <c r="O263">
        <f>(1/K263^2) / ((1/K263^2) + (1/L263^2) + (1/M263^2))</f>
        <v/>
      </c>
      <c r="P263">
        <f>(1/L263^2) / ((1/K263^2) + (1/L263^2) + (1/M263^2))</f>
        <v/>
      </c>
      <c r="Q263">
        <f>(1/M263^2) / ((1/K263^2) + (1/L263^2) + (1/M263^2))</f>
        <v/>
      </c>
      <c r="S263">
        <f>IF(MAX(O263:Q263)=O263, "Murah", IF(MAX(O263:Q263)=P263, "Sedang", "Mahal"))</f>
        <v/>
      </c>
    </row>
    <row r="264">
      <c r="A264" s="6" t="inlineStr">
        <is>
          <t>kedai 90 rohani</t>
        </is>
      </c>
      <c r="B264" s="6" t="n">
        <v>0.0736196319018405</v>
      </c>
      <c r="C264" s="6" t="n">
        <v>0.1600612407130126</v>
      </c>
      <c r="D264" s="6" t="n">
        <v>0.4304833146544647</v>
      </c>
      <c r="E264" s="55" t="n"/>
      <c r="K264">
        <f>ABS(B264 - $G$2)</f>
        <v/>
      </c>
      <c r="L264">
        <f>ABS(B264 - $H$2)</f>
        <v/>
      </c>
      <c r="M264">
        <f>ABS(B264 - $I$2)</f>
        <v/>
      </c>
      <c r="O264">
        <f>(1/K264^2) / ((1/K264^2) + (1/L264^2) + (1/M264^2))</f>
        <v/>
      </c>
      <c r="P264">
        <f>(1/L264^2) / ((1/K264^2) + (1/L264^2) + (1/M264^2))</f>
        <v/>
      </c>
      <c r="Q264">
        <f>(1/M264^2) / ((1/K264^2) + (1/L264^2) + (1/M264^2))</f>
        <v/>
      </c>
      <c r="S264">
        <f>IF(MAX(O264:Q264)=O264, "Murah", IF(MAX(O264:Q264)=P264, "Sedang", "Mahal"))</f>
        <v/>
      </c>
    </row>
    <row r="265">
      <c r="A265" s="6" t="inlineStr">
        <is>
          <t>Toko Kopi Sidomukti</t>
        </is>
      </c>
      <c r="B265" s="6" t="n">
        <v>0.0081799591002045</v>
      </c>
      <c r="C265" s="6" t="n">
        <v>0.1291423587411407</v>
      </c>
      <c r="D265" s="6" t="n">
        <v>0.3867545125848281</v>
      </c>
      <c r="E265" s="55" t="n"/>
      <c r="K265">
        <f>ABS(B265 - $G$2)</f>
        <v/>
      </c>
      <c r="L265">
        <f>ABS(B265 - $H$2)</f>
        <v/>
      </c>
      <c r="M265">
        <f>ABS(B265 - $I$2)</f>
        <v/>
      </c>
      <c r="O265">
        <f>(1/K265^2) / ((1/K265^2) + (1/L265^2) + (1/M265^2))</f>
        <v/>
      </c>
      <c r="P265">
        <f>(1/L265^2) / ((1/K265^2) + (1/L265^2) + (1/M265^2))</f>
        <v/>
      </c>
      <c r="Q265">
        <f>(1/M265^2) / ((1/K265^2) + (1/L265^2) + (1/M265^2))</f>
        <v/>
      </c>
      <c r="S265">
        <f>IF(MAX(O265:Q265)=O265, "Murah", IF(MAX(O265:Q265)=P265, "Sedang", "Mahal"))</f>
        <v/>
      </c>
    </row>
    <row r="266">
      <c r="A266" s="6" t="inlineStr">
        <is>
          <t>Kedai Kopi Kalimetro</t>
        </is>
      </c>
      <c r="B266" s="6" t="n">
        <v>0.1390593047034765</v>
      </c>
      <c r="C266" s="6" t="n">
        <v>0.1727767300792083</v>
      </c>
      <c r="D266" s="6" t="n">
        <v>0.2810074649135711</v>
      </c>
      <c r="E266" s="55" t="n"/>
      <c r="K266">
        <f>ABS(B266 - $G$2)</f>
        <v/>
      </c>
      <c r="L266">
        <f>ABS(B266 - $H$2)</f>
        <v/>
      </c>
      <c r="M266">
        <f>ABS(B266 - $I$2)</f>
        <v/>
      </c>
      <c r="O266">
        <f>(1/K266^2) / ((1/K266^2) + (1/L266^2) + (1/M266^2))</f>
        <v/>
      </c>
      <c r="P266">
        <f>(1/L266^2) / ((1/K266^2) + (1/L266^2) + (1/M266^2))</f>
        <v/>
      </c>
      <c r="Q266">
        <f>(1/M266^2) / ((1/K266^2) + (1/L266^2) + (1/M266^2))</f>
        <v/>
      </c>
      <c r="S266">
        <f>IF(MAX(O266:Q266)=O266, "Murah", IF(MAX(O266:Q266)=P266, "Sedang", "Mahal"))</f>
        <v/>
      </c>
    </row>
    <row r="267">
      <c r="A267" s="6" t="inlineStr">
        <is>
          <t>Berkat Terang Jaya</t>
        </is>
      </c>
      <c r="B267" s="6" t="n">
        <v>0.049079754601227</v>
      </c>
      <c r="C267" s="6" t="n">
        <v>0.1468731970394031</v>
      </c>
      <c r="D267" s="6" t="n">
        <v>0.3881950323803456</v>
      </c>
      <c r="E267" s="55" t="n"/>
      <c r="K267">
        <f>ABS(B267 - $G$2)</f>
        <v/>
      </c>
      <c r="L267">
        <f>ABS(B267 - $H$2)</f>
        <v/>
      </c>
      <c r="M267">
        <f>ABS(B267 - $I$2)</f>
        <v/>
      </c>
      <c r="O267">
        <f>(1/K267^2) / ((1/K267^2) + (1/L267^2) + (1/M267^2))</f>
        <v/>
      </c>
      <c r="P267">
        <f>(1/L267^2) / ((1/K267^2) + (1/L267^2) + (1/M267^2))</f>
        <v/>
      </c>
      <c r="Q267">
        <f>(1/M267^2) / ((1/K267^2) + (1/L267^2) + (1/M267^2))</f>
        <v/>
      </c>
      <c r="S267">
        <f>IF(MAX(O267:Q267)=O267, "Murah", IF(MAX(O267:Q267)=P267, "Sedang", "Mahal"))</f>
        <v/>
      </c>
    </row>
    <row r="268">
      <c r="A268" s="6" t="inlineStr">
        <is>
          <t>Bedjana Tiny House Coffee</t>
        </is>
      </c>
      <c r="B268" s="6" t="n">
        <v>0.02862985685071575</v>
      </c>
      <c r="C268" s="6" t="n">
        <v>0.1571289092303353</v>
      </c>
      <c r="D268" s="6" t="n">
        <v>0.3821124283332018</v>
      </c>
      <c r="E268" s="55" t="n"/>
      <c r="K268">
        <f>ABS(B268 - $G$2)</f>
        <v/>
      </c>
      <c r="L268">
        <f>ABS(B268 - $H$2)</f>
        <v/>
      </c>
      <c r="M268">
        <f>ABS(B268 - $I$2)</f>
        <v/>
      </c>
      <c r="O268">
        <f>(1/K268^2) / ((1/K268^2) + (1/L268^2) + (1/M268^2))</f>
        <v/>
      </c>
      <c r="P268">
        <f>(1/L268^2) / ((1/K268^2) + (1/L268^2) + (1/M268^2))</f>
        <v/>
      </c>
      <c r="Q268">
        <f>(1/M268^2) / ((1/K268^2) + (1/L268^2) + (1/M268^2))</f>
        <v/>
      </c>
      <c r="S268">
        <f>IF(MAX(O268:Q268)=O268, "Murah", IF(MAX(O268:Q268)=P268, "Sedang", "Mahal"))</f>
        <v/>
      </c>
    </row>
    <row r="269">
      <c r="A269" s="6" t="inlineStr">
        <is>
          <t>Kedai Kopi Sudah Buka</t>
        </is>
      </c>
      <c r="B269" s="6" t="n">
        <v>0.03680981595092025</v>
      </c>
      <c r="C269" s="6" t="n">
        <v>0.129342909723477</v>
      </c>
      <c r="D269" s="6" t="n">
        <v>0.4413008446382527</v>
      </c>
      <c r="E269" s="55" t="n"/>
      <c r="K269">
        <f>ABS(B269 - $G$2)</f>
        <v/>
      </c>
      <c r="L269">
        <f>ABS(B269 - $H$2)</f>
        <v/>
      </c>
      <c r="M269">
        <f>ABS(B269 - $I$2)</f>
        <v/>
      </c>
      <c r="O269">
        <f>(1/K269^2) / ((1/K269^2) + (1/L269^2) + (1/M269^2))</f>
        <v/>
      </c>
      <c r="P269">
        <f>(1/L269^2) / ((1/K269^2) + (1/L269^2) + (1/M269^2))</f>
        <v/>
      </c>
      <c r="Q269">
        <f>(1/M269^2) / ((1/K269^2) + (1/L269^2) + (1/M269^2))</f>
        <v/>
      </c>
      <c r="S269">
        <f>IF(MAX(O269:Q269)=O269, "Murah", IF(MAX(O269:Q269)=P269, "Sedang", "Mahal"))</f>
        <v/>
      </c>
    </row>
    <row r="270">
      <c r="A270" s="6" t="inlineStr">
        <is>
          <t>Fajar Baru</t>
        </is>
      </c>
      <c r="B270" s="6" t="n">
        <v>0.0245398773006135</v>
      </c>
      <c r="C270" s="6" t="n">
        <v>0.1493581641931241</v>
      </c>
      <c r="D270" s="6" t="n">
        <v>0.3913324918634397</v>
      </c>
      <c r="E270" s="55" t="n"/>
      <c r="K270">
        <f>ABS(B270 - $G$2)</f>
        <v/>
      </c>
      <c r="L270">
        <f>ABS(B270 - $H$2)</f>
        <v/>
      </c>
      <c r="M270">
        <f>ABS(B270 - $I$2)</f>
        <v/>
      </c>
      <c r="O270">
        <f>(1/K270^2) / ((1/K270^2) + (1/L270^2) + (1/M270^2))</f>
        <v/>
      </c>
      <c r="P270">
        <f>(1/L270^2) / ((1/K270^2) + (1/L270^2) + (1/M270^2))</f>
        <v/>
      </c>
      <c r="Q270">
        <f>(1/M270^2) / ((1/K270^2) + (1/L270^2) + (1/M270^2))</f>
        <v/>
      </c>
      <c r="S270">
        <f>IF(MAX(O270:Q270)=O270, "Murah", IF(MAX(O270:Q270)=P270, "Sedang", "Mahal"))</f>
        <v/>
      </c>
    </row>
    <row r="271">
      <c r="A271" s="6" t="inlineStr">
        <is>
          <t>WARUNG TENANG</t>
        </is>
      </c>
      <c r="B271" s="6" t="n">
        <v>0.02044989775051125</v>
      </c>
      <c r="C271" s="6" t="n">
        <v>0.1395209931827204</v>
      </c>
      <c r="D271" s="6" t="n">
        <v>0.3861267259526978</v>
      </c>
      <c r="E271" s="55" t="n"/>
      <c r="K271">
        <f>ABS(B271 - $G$2)</f>
        <v/>
      </c>
      <c r="L271">
        <f>ABS(B271 - $H$2)</f>
        <v/>
      </c>
      <c r="M271">
        <f>ABS(B271 - $I$2)</f>
        <v/>
      </c>
      <c r="O271">
        <f>(1/K271^2) / ((1/K271^2) + (1/L271^2) + (1/M271^2))</f>
        <v/>
      </c>
      <c r="P271">
        <f>(1/L271^2) / ((1/K271^2) + (1/L271^2) + (1/M271^2))</f>
        <v/>
      </c>
      <c r="Q271">
        <f>(1/M271^2) / ((1/K271^2) + (1/L271^2) + (1/M271^2))</f>
        <v/>
      </c>
      <c r="S271">
        <f>IF(MAX(O271:Q271)=O271, "Murah", IF(MAX(O271:Q271)=P271, "Sedang", "Mahal"))</f>
        <v/>
      </c>
    </row>
    <row r="272">
      <c r="A272" s="6" t="inlineStr">
        <is>
          <t>OMAH KANAKOPI</t>
        </is>
      </c>
      <c r="B272" s="6" t="n">
        <v>0.05930470347648262</v>
      </c>
      <c r="C272" s="6" t="n">
        <v>0.1436969587460825</v>
      </c>
      <c r="D272" s="6" t="n">
        <v>0.3790258107252628</v>
      </c>
      <c r="E272" s="55" t="n"/>
      <c r="K272">
        <f>ABS(B272 - $G$2)</f>
        <v/>
      </c>
      <c r="L272">
        <f>ABS(B272 - $H$2)</f>
        <v/>
      </c>
      <c r="M272">
        <f>ABS(B272 - $I$2)</f>
        <v/>
      </c>
      <c r="O272">
        <f>(1/K272^2) / ((1/K272^2) + (1/L272^2) + (1/M272^2))</f>
        <v/>
      </c>
      <c r="P272">
        <f>(1/L272^2) / ((1/K272^2) + (1/L272^2) + (1/M272^2))</f>
        <v/>
      </c>
      <c r="Q272">
        <f>(1/M272^2) / ((1/K272^2) + (1/L272^2) + (1/M272^2))</f>
        <v/>
      </c>
      <c r="S272">
        <f>IF(MAX(O272:Q272)=O272, "Murah", IF(MAX(O272:Q272)=P272, "Sedang", "Mahal"))</f>
        <v/>
      </c>
    </row>
    <row r="273">
      <c r="A273" s="6" t="inlineStr">
        <is>
          <t>Toko Kopi Padma Malang</t>
        </is>
      </c>
      <c r="B273" s="6" t="n">
        <v>0.07975460122699386</v>
      </c>
      <c r="C273" s="6" t="n">
        <v>0.1373206243433044</v>
      </c>
      <c r="D273" s="6" t="n">
        <v>0.3817970613396316</v>
      </c>
      <c r="E273" s="55" t="n"/>
      <c r="K273">
        <f>ABS(B273 - $G$2)</f>
        <v/>
      </c>
      <c r="L273">
        <f>ABS(B273 - $H$2)</f>
        <v/>
      </c>
      <c r="M273">
        <f>ABS(B273 - $I$2)</f>
        <v/>
      </c>
      <c r="O273">
        <f>(1/K273^2) / ((1/K273^2) + (1/L273^2) + (1/M273^2))</f>
        <v/>
      </c>
      <c r="P273">
        <f>(1/L273^2) / ((1/K273^2) + (1/L273^2) + (1/M273^2))</f>
        <v/>
      </c>
      <c r="Q273">
        <f>(1/M273^2) / ((1/K273^2) + (1/L273^2) + (1/M273^2))</f>
        <v/>
      </c>
      <c r="S273">
        <f>IF(MAX(O273:Q273)=O273, "Murah", IF(MAX(O273:Q273)=P273, "Sedang", "Mahal"))</f>
        <v/>
      </c>
    </row>
    <row r="274">
      <c r="A274" s="6" t="inlineStr">
        <is>
          <t>Bento Kopi UIN Malang</t>
        </is>
      </c>
      <c r="B274" s="6" t="n">
        <v>0.02965235173824131</v>
      </c>
      <c r="C274" s="6" t="n">
        <v>0.1713795340144647</v>
      </c>
      <c r="D274" s="6" t="n">
        <v>0.2949116125052981</v>
      </c>
      <c r="E274" s="55" t="n"/>
      <c r="K274">
        <f>ABS(B274 - $G$2)</f>
        <v/>
      </c>
      <c r="L274">
        <f>ABS(B274 - $H$2)</f>
        <v/>
      </c>
      <c r="M274">
        <f>ABS(B274 - $I$2)</f>
        <v/>
      </c>
      <c r="O274">
        <f>(1/K274^2) / ((1/K274^2) + (1/L274^2) + (1/M274^2))</f>
        <v/>
      </c>
      <c r="P274">
        <f>(1/L274^2) / ((1/K274^2) + (1/L274^2) + (1/M274^2))</f>
        <v/>
      </c>
      <c r="Q274">
        <f>(1/M274^2) / ((1/K274^2) + (1/L274^2) + (1/M274^2))</f>
        <v/>
      </c>
      <c r="S274">
        <f>IF(MAX(O274:Q274)=O274, "Murah", IF(MAX(O274:Q274)=P274, "Sedang", "Mahal"))</f>
        <v/>
      </c>
    </row>
    <row r="275">
      <c r="A275" s="6" t="inlineStr">
        <is>
          <t>Kedaikopi_sinarmandiri</t>
        </is>
      </c>
      <c r="B275" s="6" t="n">
        <v>0.09815950920245399</v>
      </c>
      <c r="C275" s="6" t="n">
        <v>0.1720281759597511</v>
      </c>
      <c r="D275" s="6" t="n">
        <v>0.416695219168997</v>
      </c>
      <c r="E275" s="55" t="n"/>
      <c r="K275">
        <f>ABS(B275 - $G$2)</f>
        <v/>
      </c>
      <c r="L275">
        <f>ABS(B275 - $H$2)</f>
        <v/>
      </c>
      <c r="M275">
        <f>ABS(B275 - $I$2)</f>
        <v/>
      </c>
      <c r="O275">
        <f>(1/K275^2) / ((1/K275^2) + (1/L275^2) + (1/M275^2))</f>
        <v/>
      </c>
      <c r="P275">
        <f>(1/L275^2) / ((1/K275^2) + (1/L275^2) + (1/M275^2))</f>
        <v/>
      </c>
      <c r="Q275">
        <f>(1/M275^2) / ((1/K275^2) + (1/L275^2) + (1/M275^2))</f>
        <v/>
      </c>
      <c r="S275">
        <f>IF(MAX(O275:Q275)=O275, "Murah", IF(MAX(O275:Q275)=P275, "Sedang", "Mahal"))</f>
        <v/>
      </c>
    </row>
    <row r="276">
      <c r="A276" s="6" t="inlineStr">
        <is>
          <t>Kopi Satoe Djiwa</t>
        </is>
      </c>
      <c r="B276" s="6" t="n">
        <v>0.02862985685071575</v>
      </c>
      <c r="C276" s="6" t="n">
        <v>0.1568682898378299</v>
      </c>
      <c r="D276" s="6" t="n">
        <v>0.3228179072452733</v>
      </c>
      <c r="E276" s="55" t="n"/>
      <c r="K276">
        <f>ABS(B276 - $G$2)</f>
        <v/>
      </c>
      <c r="L276">
        <f>ABS(B276 - $H$2)</f>
        <v/>
      </c>
      <c r="M276">
        <f>ABS(B276 - $I$2)</f>
        <v/>
      </c>
      <c r="O276">
        <f>(1/K276^2) / ((1/K276^2) + (1/L276^2) + (1/M276^2))</f>
        <v/>
      </c>
      <c r="P276">
        <f>(1/L276^2) / ((1/K276^2) + (1/L276^2) + (1/M276^2))</f>
        <v/>
      </c>
      <c r="Q276">
        <f>(1/M276^2) / ((1/K276^2) + (1/L276^2) + (1/M276^2))</f>
        <v/>
      </c>
      <c r="S276">
        <f>IF(MAX(O276:Q276)=O276, "Murah", IF(MAX(O276:Q276)=P276, "Sedang", "Mahal"))</f>
        <v/>
      </c>
    </row>
    <row r="277">
      <c r="A277" s="6" t="inlineStr">
        <is>
          <t>Kopi Letek</t>
        </is>
      </c>
      <c r="B277" s="6" t="n">
        <v>0.03885480572597137</v>
      </c>
      <c r="C277" s="6" t="n">
        <v>0.2674226243791518</v>
      </c>
      <c r="D277" s="6" t="n">
        <v>0.006387286878553676</v>
      </c>
      <c r="E277" s="55" t="n"/>
      <c r="K277">
        <f>ABS(B277 - $G$2)</f>
        <v/>
      </c>
      <c r="L277">
        <f>ABS(B277 - $H$2)</f>
        <v/>
      </c>
      <c r="M277">
        <f>ABS(B277 - $I$2)</f>
        <v/>
      </c>
      <c r="O277">
        <f>(1/K277^2) / ((1/K277^2) + (1/L277^2) + (1/M277^2))</f>
        <v/>
      </c>
      <c r="P277">
        <f>(1/L277^2) / ((1/K277^2) + (1/L277^2) + (1/M277^2))</f>
        <v/>
      </c>
      <c r="Q277">
        <f>(1/M277^2) / ((1/K277^2) + (1/L277^2) + (1/M277^2))</f>
        <v/>
      </c>
      <c r="S277">
        <f>IF(MAX(O277:Q277)=O277, "Murah", IF(MAX(O277:Q277)=P277, "Sedang", "Mahal"))</f>
        <v/>
      </c>
    </row>
    <row r="278">
      <c r="A278" s="6" t="inlineStr">
        <is>
          <t>Toko Kopi Mandala - Tidar</t>
        </is>
      </c>
      <c r="B278" s="6" t="n">
        <v>0.03476482617586912</v>
      </c>
      <c r="C278" s="6" t="n">
        <v>0.1534512934811733</v>
      </c>
      <c r="D278" s="6" t="n">
        <v>0.286184862531673</v>
      </c>
      <c r="E278" s="55" t="n"/>
      <c r="K278">
        <f>ABS(B278 - $G$2)</f>
        <v/>
      </c>
      <c r="L278">
        <f>ABS(B278 - $H$2)</f>
        <v/>
      </c>
      <c r="M278">
        <f>ABS(B278 - $I$2)</f>
        <v/>
      </c>
      <c r="O278">
        <f>(1/K278^2) / ((1/K278^2) + (1/L278^2) + (1/M278^2))</f>
        <v/>
      </c>
      <c r="P278">
        <f>(1/L278^2) / ((1/K278^2) + (1/L278^2) + (1/M278^2))</f>
        <v/>
      </c>
      <c r="Q278">
        <f>(1/M278^2) / ((1/K278^2) + (1/L278^2) + (1/M278^2))</f>
        <v/>
      </c>
      <c r="S278">
        <f>IF(MAX(O278:Q278)=O278, "Murah", IF(MAX(O278:Q278)=P278, "Sedang", "Mahal"))</f>
        <v/>
      </c>
    </row>
    <row r="279">
      <c r="A279" s="6" t="inlineStr">
        <is>
          <t>Starbucks Malang Ijen</t>
        </is>
      </c>
      <c r="B279" s="6" t="n">
        <v>0.7955010224948875</v>
      </c>
      <c r="C279" s="6" t="n">
        <v>0.1544257096670902</v>
      </c>
      <c r="D279" s="6" t="n">
        <v>0.3655468191038771</v>
      </c>
      <c r="E279" s="55" t="n"/>
      <c r="K279">
        <f>ABS(B279 - $G$2)</f>
        <v/>
      </c>
      <c r="L279">
        <f>ABS(B279 - $H$2)</f>
        <v/>
      </c>
      <c r="M279">
        <f>ABS(B279 - $I$2)</f>
        <v/>
      </c>
      <c r="O279">
        <f>(1/K279^2) / ((1/K279^2) + (1/L279^2) + (1/M279^2))</f>
        <v/>
      </c>
      <c r="P279">
        <f>(1/L279^2) / ((1/K279^2) + (1/L279^2) + (1/M279^2))</f>
        <v/>
      </c>
      <c r="Q279">
        <f>(1/M279^2) / ((1/K279^2) + (1/L279^2) + (1/M279^2))</f>
        <v/>
      </c>
      <c r="S279">
        <f>IF(MAX(O279:Q279)=O279, "Murah", IF(MAX(O279:Q279)=P279, "Sedang", "Mahal"))</f>
        <v/>
      </c>
    </row>
    <row r="280">
      <c r="A280" s="6" t="inlineStr">
        <is>
          <t>Markas kopi ngalam asli</t>
        </is>
      </c>
      <c r="B280" s="6" t="n">
        <v>0.032719836400818</v>
      </c>
      <c r="C280" s="6" t="n">
        <v>0.1536697681020273</v>
      </c>
      <c r="D280" s="6" t="n">
        <v>0.393372798417863</v>
      </c>
      <c r="E280" s="55" t="n"/>
      <c r="K280">
        <f>ABS(B280 - $G$2)</f>
        <v/>
      </c>
      <c r="L280">
        <f>ABS(B280 - $H$2)</f>
        <v/>
      </c>
      <c r="M280">
        <f>ABS(B280 - $I$2)</f>
        <v/>
      </c>
      <c r="O280">
        <f>(1/K280^2) / ((1/K280^2) + (1/L280^2) + (1/M280^2))</f>
        <v/>
      </c>
      <c r="P280">
        <f>(1/L280^2) / ((1/K280^2) + (1/L280^2) + (1/M280^2))</f>
        <v/>
      </c>
      <c r="Q280">
        <f>(1/M280^2) / ((1/K280^2) + (1/L280^2) + (1/M280^2))</f>
        <v/>
      </c>
      <c r="S280">
        <f>IF(MAX(O280:Q280)=O280, "Murah", IF(MAX(O280:Q280)=P280, "Sedang", "Mahal"))</f>
        <v/>
      </c>
    </row>
    <row r="281">
      <c r="A281" s="6" t="inlineStr">
        <is>
          <t>Kopi Lokal</t>
        </is>
      </c>
      <c r="B281" s="6" t="n">
        <v>0.03476482617586912</v>
      </c>
      <c r="C281" s="6" t="n">
        <v>0.1917165662377748</v>
      </c>
      <c r="D281" s="6" t="n">
        <v>0.381510062638649</v>
      </c>
      <c r="E281" s="55" t="n"/>
      <c r="K281">
        <f>ABS(B281 - $G$2)</f>
        <v/>
      </c>
      <c r="L281">
        <f>ABS(B281 - $H$2)</f>
        <v/>
      </c>
      <c r="M281">
        <f>ABS(B281 - $I$2)</f>
        <v/>
      </c>
      <c r="O281">
        <f>(1/K281^2) / ((1/K281^2) + (1/L281^2) + (1/M281^2))</f>
        <v/>
      </c>
      <c r="P281">
        <f>(1/L281^2) / ((1/K281^2) + (1/L281^2) + (1/M281^2))</f>
        <v/>
      </c>
      <c r="Q281">
        <f>(1/M281^2) / ((1/K281^2) + (1/L281^2) + (1/M281^2))</f>
        <v/>
      </c>
      <c r="S281">
        <f>IF(MAX(O281:Q281)=O281, "Murah", IF(MAX(O281:Q281)=P281, "Sedang", "Mahal"))</f>
        <v/>
      </c>
    </row>
    <row r="282">
      <c r="A282" s="6" t="inlineStr">
        <is>
          <t>Nogo Keling</t>
        </is>
      </c>
      <c r="B282" s="6" t="n">
        <v>0.05112474437627812</v>
      </c>
      <c r="C282" s="6" t="n">
        <v>0.1283073351764002</v>
      </c>
      <c r="D282" s="6" t="n">
        <v>0.3945152669308745</v>
      </c>
      <c r="E282" s="55" t="n"/>
      <c r="K282">
        <f>ABS(B282 - $G$2)</f>
        <v/>
      </c>
      <c r="L282">
        <f>ABS(B282 - $H$2)</f>
        <v/>
      </c>
      <c r="M282">
        <f>ABS(B282 - $I$2)</f>
        <v/>
      </c>
      <c r="O282">
        <f>(1/K282^2) / ((1/K282^2) + (1/L282^2) + (1/M282^2))</f>
        <v/>
      </c>
      <c r="P282">
        <f>(1/L282^2) / ((1/K282^2) + (1/L282^2) + (1/M282^2))</f>
        <v/>
      </c>
      <c r="Q282">
        <f>(1/M282^2) / ((1/K282^2) + (1/L282^2) + (1/M282^2))</f>
        <v/>
      </c>
      <c r="S282">
        <f>IF(MAX(O282:Q282)=O282, "Murah", IF(MAX(O282:Q282)=P282, "Sedang", "Mahal"))</f>
        <v/>
      </c>
    </row>
    <row r="283">
      <c r="A283" s="6" t="inlineStr">
        <is>
          <t>HEYDAY KOPI</t>
        </is>
      </c>
      <c r="B283" s="6" t="n">
        <v>0.102760736196319</v>
      </c>
      <c r="C283" s="6" t="n">
        <v>0.1555007646611738</v>
      </c>
      <c r="D283" s="6" t="n">
        <v>0.4089643067931479</v>
      </c>
      <c r="E283" s="55" t="n"/>
      <c r="K283">
        <f>ABS(B283 - $G$2)</f>
        <v/>
      </c>
      <c r="L283">
        <f>ABS(B283 - $H$2)</f>
        <v/>
      </c>
      <c r="M283">
        <f>ABS(B283 - $I$2)</f>
        <v/>
      </c>
      <c r="O283">
        <f>(1/K283^2) / ((1/K283^2) + (1/L283^2) + (1/M283^2))</f>
        <v/>
      </c>
      <c r="P283">
        <f>(1/L283^2) / ((1/K283^2) + (1/L283^2) + (1/M283^2))</f>
        <v/>
      </c>
      <c r="Q283">
        <f>(1/M283^2) / ((1/K283^2) + (1/L283^2) + (1/M283^2))</f>
        <v/>
      </c>
      <c r="S283">
        <f>IF(MAX(O283:Q283)=O283, "Murah", IF(MAX(O283:Q283)=P283, "Sedang", "Mahal"))</f>
        <v/>
      </c>
    </row>
    <row r="284">
      <c r="A284" s="6" t="inlineStr">
        <is>
          <t>Kedai Pendjoeal Kopi</t>
        </is>
      </c>
      <c r="B284" s="6" t="n">
        <v>0.02862985685071575</v>
      </c>
      <c r="C284" s="6" t="n">
        <v>0.1563911335151211</v>
      </c>
      <c r="D284" s="6" t="n">
        <v>0.3921898037724414</v>
      </c>
      <c r="E284" s="55" t="n"/>
      <c r="K284">
        <f>ABS(B284 - $G$2)</f>
        <v/>
      </c>
      <c r="L284">
        <f>ABS(B284 - $H$2)</f>
        <v/>
      </c>
      <c r="M284">
        <f>ABS(B284 - $I$2)</f>
        <v/>
      </c>
      <c r="O284">
        <f>(1/K284^2) / ((1/K284^2) + (1/L284^2) + (1/M284^2))</f>
        <v/>
      </c>
      <c r="P284">
        <f>(1/L284^2) / ((1/K284^2) + (1/L284^2) + (1/M284^2))</f>
        <v/>
      </c>
      <c r="Q284">
        <f>(1/M284^2) / ((1/K284^2) + (1/L284^2) + (1/M284^2))</f>
        <v/>
      </c>
      <c r="S284">
        <f>IF(MAX(O284:Q284)=O284, "Murah", IF(MAX(O284:Q284)=P284, "Sedang", "Mahal"))</f>
        <v/>
      </c>
    </row>
    <row r="285">
      <c r="A285" s="6" t="inlineStr">
        <is>
          <t>Kedai Kopi Tumapel</t>
        </is>
      </c>
      <c r="B285" s="6" t="n">
        <v>0.01431492842535787</v>
      </c>
      <c r="C285" s="6" t="n">
        <v>0.1382068756046205</v>
      </c>
      <c r="D285" s="6" t="n">
        <v>0.3903536015573644</v>
      </c>
      <c r="E285" s="55" t="n"/>
      <c r="K285">
        <f>ABS(B285 - $G$2)</f>
        <v/>
      </c>
      <c r="L285">
        <f>ABS(B285 - $H$2)</f>
        <v/>
      </c>
      <c r="M285">
        <f>ABS(B285 - $I$2)</f>
        <v/>
      </c>
      <c r="O285">
        <f>(1/K285^2) / ((1/K285^2) + (1/L285^2) + (1/M285^2))</f>
        <v/>
      </c>
      <c r="P285">
        <f>(1/L285^2) / ((1/K285^2) + (1/L285^2) + (1/M285^2))</f>
        <v/>
      </c>
      <c r="Q285">
        <f>(1/M285^2) / ((1/K285^2) + (1/L285^2) + (1/M285^2))</f>
        <v/>
      </c>
      <c r="S285">
        <f>IF(MAX(O285:Q285)=O285, "Murah", IF(MAX(O285:Q285)=P285, "Sedang", "Mahal"))</f>
        <v/>
      </c>
    </row>
    <row r="286">
      <c r="A286" s="6" t="inlineStr">
        <is>
          <t>Kedai Kopi Oro,oro</t>
        </is>
      </c>
      <c r="B286" s="6" t="n">
        <v>0.049079754601227</v>
      </c>
      <c r="C286" s="6" t="n">
        <v>0.152051675303116</v>
      </c>
      <c r="D286" s="6" t="n">
        <v>0.3781795513977845</v>
      </c>
      <c r="E286" s="55" t="n"/>
      <c r="K286">
        <f>ABS(B286 - $G$2)</f>
        <v/>
      </c>
      <c r="L286">
        <f>ABS(B286 - $H$2)</f>
        <v/>
      </c>
      <c r="M286">
        <f>ABS(B286 - $I$2)</f>
        <v/>
      </c>
      <c r="O286">
        <f>(1/K286^2) / ((1/K286^2) + (1/L286^2) + (1/M286^2))</f>
        <v/>
      </c>
      <c r="P286">
        <f>(1/L286^2) / ((1/K286^2) + (1/L286^2) + (1/M286^2))</f>
        <v/>
      </c>
      <c r="Q286">
        <f>(1/M286^2) / ((1/K286^2) + (1/L286^2) + (1/M286^2))</f>
        <v/>
      </c>
      <c r="S286">
        <f>IF(MAX(O286:Q286)=O286, "Murah", IF(MAX(O286:Q286)=P286, "Sedang", "Mahal"))</f>
        <v/>
      </c>
    </row>
    <row r="287">
      <c r="A287" s="6" t="inlineStr">
        <is>
          <t>Swara Malang</t>
        </is>
      </c>
      <c r="B287" s="6" t="n">
        <v>0.02760736196319018</v>
      </c>
      <c r="C287" s="6" t="n">
        <v>0.1770384384538587</v>
      </c>
      <c r="D287" s="6" t="n">
        <v>0.3184565585650367</v>
      </c>
      <c r="E287" s="55" t="n"/>
      <c r="K287">
        <f>ABS(B287 - $G$2)</f>
        <v/>
      </c>
      <c r="L287">
        <f>ABS(B287 - $H$2)</f>
        <v/>
      </c>
      <c r="M287">
        <f>ABS(B287 - $I$2)</f>
        <v/>
      </c>
      <c r="O287">
        <f>(1/K287^2) / ((1/K287^2) + (1/L287^2) + (1/M287^2))</f>
        <v/>
      </c>
      <c r="P287">
        <f>(1/L287^2) / ((1/K287^2) + (1/L287^2) + (1/M287^2))</f>
        <v/>
      </c>
      <c r="Q287">
        <f>(1/M287^2) / ((1/K287^2) + (1/L287^2) + (1/M287^2))</f>
        <v/>
      </c>
      <c r="S287">
        <f>IF(MAX(O287:Q287)=O287, "Murah", IF(MAX(O287:Q287)=P287, "Sedang", "Mahal"))</f>
        <v/>
      </c>
    </row>
    <row r="288">
      <c r="A288" s="6" t="inlineStr">
        <is>
          <t>KEDAI DARAT COFFEE</t>
        </is>
      </c>
      <c r="B288" s="6" t="n">
        <v>0.01226993865030675</v>
      </c>
      <c r="C288" s="6" t="n">
        <v>0.153863052744424</v>
      </c>
      <c r="D288" s="6" t="n">
        <v>0.3931329573981943</v>
      </c>
      <c r="E288" s="55" t="n"/>
      <c r="K288">
        <f>ABS(B288 - $G$2)</f>
        <v/>
      </c>
      <c r="L288">
        <f>ABS(B288 - $H$2)</f>
        <v/>
      </c>
      <c r="M288">
        <f>ABS(B288 - $I$2)</f>
        <v/>
      </c>
      <c r="O288">
        <f>(1/K288^2) / ((1/K288^2) + (1/L288^2) + (1/M288^2))</f>
        <v/>
      </c>
      <c r="P288">
        <f>(1/L288^2) / ((1/K288^2) + (1/L288^2) + (1/M288^2))</f>
        <v/>
      </c>
      <c r="Q288">
        <f>(1/M288^2) / ((1/K288^2) + (1/L288^2) + (1/M288^2))</f>
        <v/>
      </c>
      <c r="S288">
        <f>IF(MAX(O288:Q288)=O288, "Murah", IF(MAX(O288:Q288)=P288, "Sedang", "Mahal"))</f>
        <v/>
      </c>
    </row>
    <row r="289">
      <c r="A289" s="6" t="inlineStr">
        <is>
          <t>SUJIWA KOPI</t>
        </is>
      </c>
      <c r="B289" s="6" t="n">
        <v>0.02044989775051125</v>
      </c>
      <c r="C289" s="6" t="n">
        <v>0.1634571646838441</v>
      </c>
      <c r="D289" s="6" t="n">
        <v>0.4155129613623541</v>
      </c>
      <c r="E289" s="55" t="n"/>
      <c r="K289">
        <f>ABS(B289 - $G$2)</f>
        <v/>
      </c>
      <c r="L289">
        <f>ABS(B289 - $H$2)</f>
        <v/>
      </c>
      <c r="M289">
        <f>ABS(B289 - $I$2)</f>
        <v/>
      </c>
      <c r="O289">
        <f>(1/K289^2) / ((1/K289^2) + (1/L289^2) + (1/M289^2))</f>
        <v/>
      </c>
      <c r="P289">
        <f>(1/L289^2) / ((1/K289^2) + (1/L289^2) + (1/M289^2))</f>
        <v/>
      </c>
      <c r="Q289">
        <f>(1/M289^2) / ((1/K289^2) + (1/L289^2) + (1/M289^2))</f>
        <v/>
      </c>
      <c r="S289">
        <f>IF(MAX(O289:Q289)=O289, "Murah", IF(MAX(O289:Q289)=P289, "Sedang", "Mahal"))</f>
        <v/>
      </c>
    </row>
    <row r="290">
      <c r="A290" s="6" t="inlineStr">
        <is>
          <t>Toko Kopi SWJ</t>
        </is>
      </c>
      <c r="B290" s="6" t="n">
        <v>0.07975460122699386</v>
      </c>
      <c r="C290" s="6" t="n">
        <v>0.1489140697171412</v>
      </c>
      <c r="D290" s="6" t="n">
        <v>0.4071218414484781</v>
      </c>
      <c r="E290" s="55" t="n"/>
      <c r="K290">
        <f>ABS(B290 - $G$2)</f>
        <v/>
      </c>
      <c r="L290">
        <f>ABS(B290 - $H$2)</f>
        <v/>
      </c>
      <c r="M290">
        <f>ABS(B290 - $I$2)</f>
        <v/>
      </c>
      <c r="O290">
        <f>(1/K290^2) / ((1/K290^2) + (1/L290^2) + (1/M290^2))</f>
        <v/>
      </c>
      <c r="P290">
        <f>(1/L290^2) / ((1/K290^2) + (1/L290^2) + (1/M290^2))</f>
        <v/>
      </c>
      <c r="Q290">
        <f>(1/M290^2) / ((1/K290^2) + (1/L290^2) + (1/M290^2))</f>
        <v/>
      </c>
      <c r="S290">
        <f>IF(MAX(O290:Q290)=O290, "Murah", IF(MAX(O290:Q290)=P290, "Sedang", "Mahal"))</f>
        <v/>
      </c>
    </row>
    <row r="291">
      <c r="A291" s="6" t="inlineStr">
        <is>
          <t>POS KOPI 58</t>
        </is>
      </c>
      <c r="B291" s="6" t="n">
        <v>0.1083844580777096</v>
      </c>
      <c r="C291" s="6" t="n">
        <v>0.1461270650332585</v>
      </c>
      <c r="D291" s="6" t="n">
        <v>0.4213793032305385</v>
      </c>
      <c r="E291" s="55" t="n"/>
      <c r="K291">
        <f>ABS(B291 - $G$2)</f>
        <v/>
      </c>
      <c r="L291">
        <f>ABS(B291 - $H$2)</f>
        <v/>
      </c>
      <c r="M291">
        <f>ABS(B291 - $I$2)</f>
        <v/>
      </c>
      <c r="O291">
        <f>(1/K291^2) / ((1/K291^2) + (1/L291^2) + (1/M291^2))</f>
        <v/>
      </c>
      <c r="P291">
        <f>(1/L291^2) / ((1/K291^2) + (1/L291^2) + (1/M291^2))</f>
        <v/>
      </c>
      <c r="Q291">
        <f>(1/M291^2) / ((1/K291^2) + (1/L291^2) + (1/M291^2))</f>
        <v/>
      </c>
      <c r="S291">
        <f>IF(MAX(O291:Q291)=O291, "Murah", IF(MAX(O291:Q291)=P291, "Sedang", "Mahal"))</f>
        <v/>
      </c>
    </row>
    <row r="292">
      <c r="A292" s="6" t="inlineStr">
        <is>
          <t>WARUNG KOPI JON</t>
        </is>
      </c>
      <c r="B292" s="6" t="n">
        <v>0.1022494887525562</v>
      </c>
      <c r="C292" s="6" t="n">
        <v>0.115161799591438</v>
      </c>
      <c r="D292" s="6" t="n">
        <v>0.3433720247371533</v>
      </c>
      <c r="E292" s="55" t="n"/>
      <c r="K292">
        <f>ABS(B292 - $G$2)</f>
        <v/>
      </c>
      <c r="L292">
        <f>ABS(B292 - $H$2)</f>
        <v/>
      </c>
      <c r="M292">
        <f>ABS(B292 - $I$2)</f>
        <v/>
      </c>
      <c r="O292">
        <f>(1/K292^2) / ((1/K292^2) + (1/L292^2) + (1/M292^2))</f>
        <v/>
      </c>
      <c r="P292">
        <f>(1/L292^2) / ((1/K292^2) + (1/L292^2) + (1/M292^2))</f>
        <v/>
      </c>
      <c r="Q292">
        <f>(1/M292^2) / ((1/K292^2) + (1/L292^2) + (1/M292^2))</f>
        <v/>
      </c>
      <c r="S292">
        <f>IF(MAX(O292:Q292)=O292, "Murah", IF(MAX(O292:Q292)=P292, "Sedang", "Mahal"))</f>
        <v/>
      </c>
    </row>
    <row r="293">
      <c r="A293" s="6" t="inlineStr">
        <is>
          <t>Kopi Maeda Malang</t>
        </is>
      </c>
      <c r="B293" s="6" t="n">
        <v>0.049079754601227</v>
      </c>
      <c r="C293" s="6" t="n">
        <v>0.1240268554235723</v>
      </c>
      <c r="D293" s="6" t="n">
        <v>0.3350085362771385</v>
      </c>
      <c r="E293" s="55" t="n"/>
      <c r="K293">
        <f>ABS(B293 - $G$2)</f>
        <v/>
      </c>
      <c r="L293">
        <f>ABS(B293 - $H$2)</f>
        <v/>
      </c>
      <c r="M293">
        <f>ABS(B293 - $I$2)</f>
        <v/>
      </c>
      <c r="O293">
        <f>(1/K293^2) / ((1/K293^2) + (1/L293^2) + (1/M293^2))</f>
        <v/>
      </c>
      <c r="P293">
        <f>(1/L293^2) / ((1/K293^2) + (1/L293^2) + (1/M293^2))</f>
        <v/>
      </c>
      <c r="Q293">
        <f>(1/M293^2) / ((1/K293^2) + (1/L293^2) + (1/M293^2))</f>
        <v/>
      </c>
      <c r="S293">
        <f>IF(MAX(O293:Q293)=O293, "Murah", IF(MAX(O293:Q293)=P293, "Sedang", "Mahal"))</f>
        <v/>
      </c>
    </row>
    <row r="294">
      <c r="A294" s="6" t="inlineStr">
        <is>
          <t>Kedai Kopi K26</t>
        </is>
      </c>
      <c r="B294" s="6" t="n">
        <v>0.09611451942740286</v>
      </c>
      <c r="C294" s="6" t="n">
        <v>0.1451513166850187</v>
      </c>
      <c r="D294" s="6" t="n">
        <v>0.4258861775678161</v>
      </c>
      <c r="E294" s="55" t="n"/>
      <c r="K294">
        <f>ABS(B294 - $G$2)</f>
        <v/>
      </c>
      <c r="L294">
        <f>ABS(B294 - $H$2)</f>
        <v/>
      </c>
      <c r="M294">
        <f>ABS(B294 - $I$2)</f>
        <v/>
      </c>
      <c r="O294">
        <f>(1/K294^2) / ((1/K294^2) + (1/L294^2) + (1/M294^2))</f>
        <v/>
      </c>
      <c r="P294">
        <f>(1/L294^2) / ((1/K294^2) + (1/L294^2) + (1/M294^2))</f>
        <v/>
      </c>
      <c r="Q294">
        <f>(1/M294^2) / ((1/K294^2) + (1/L294^2) + (1/M294^2))</f>
        <v/>
      </c>
      <c r="S294">
        <f>IF(MAX(O294:Q294)=O294, "Murah", IF(MAX(O294:Q294)=P294, "Sedang", "Mahal"))</f>
        <v/>
      </c>
    </row>
    <row r="295">
      <c r="A295" s="6" t="inlineStr">
        <is>
          <t>Biji Kopi Malang</t>
        </is>
      </c>
      <c r="B295" s="6" t="n">
        <v>0.4478527607361963</v>
      </c>
      <c r="C295" s="6" t="n">
        <v>0.1661836165348959</v>
      </c>
      <c r="D295" s="6" t="n">
        <v>0.497292854358646</v>
      </c>
      <c r="E295" s="55" t="n"/>
      <c r="K295">
        <f>ABS(B295 - $G$2)</f>
        <v/>
      </c>
      <c r="L295">
        <f>ABS(B295 - $H$2)</f>
        <v/>
      </c>
      <c r="M295">
        <f>ABS(B295 - $I$2)</f>
        <v/>
      </c>
      <c r="O295">
        <f>(1/K295^2) / ((1/K295^2) + (1/L295^2) + (1/M295^2))</f>
        <v/>
      </c>
      <c r="P295">
        <f>(1/L295^2) / ((1/K295^2) + (1/L295^2) + (1/M295^2))</f>
        <v/>
      </c>
      <c r="Q295">
        <f>(1/M295^2) / ((1/K295^2) + (1/L295^2) + (1/M295^2))</f>
        <v/>
      </c>
      <c r="S295">
        <f>IF(MAX(O295:Q295)=O295, "Murah", IF(MAX(O295:Q295)=P295, "Sedang", "Mahal"))</f>
        <v/>
      </c>
    </row>
    <row r="296">
      <c r="A296" s="6" t="inlineStr">
        <is>
          <t>Kedai Kopi Cahaya Baru 2</t>
        </is>
      </c>
      <c r="B296" s="6" t="n">
        <v>0.0736196319018405</v>
      </c>
      <c r="C296" s="6" t="n">
        <v>0.1408615117959345</v>
      </c>
      <c r="D296" s="6" t="n">
        <v>0.4085225719504689</v>
      </c>
      <c r="E296" s="55" t="n"/>
      <c r="K296">
        <f>ABS(B296 - $G$2)</f>
        <v/>
      </c>
      <c r="L296">
        <f>ABS(B296 - $H$2)</f>
        <v/>
      </c>
      <c r="M296">
        <f>ABS(B296 - $I$2)</f>
        <v/>
      </c>
      <c r="O296">
        <f>(1/K296^2) / ((1/K296^2) + (1/L296^2) + (1/M296^2))</f>
        <v/>
      </c>
      <c r="P296">
        <f>(1/L296^2) / ((1/K296^2) + (1/L296^2) + (1/M296^2))</f>
        <v/>
      </c>
      <c r="Q296">
        <f>(1/M296^2) / ((1/K296^2) + (1/L296^2) + (1/M296^2))</f>
        <v/>
      </c>
      <c r="S296">
        <f>IF(MAX(O296:Q296)=O296, "Murah", IF(MAX(O296:Q296)=P296, "Sedang", "Mahal"))</f>
        <v/>
      </c>
    </row>
    <row r="297">
      <c r="A297" s="6" t="inlineStr">
        <is>
          <t>Kedai Kopi &amp; Buku Bintang Kecil</t>
        </is>
      </c>
      <c r="B297" s="6" t="n">
        <v>0.01226993865030675</v>
      </c>
      <c r="C297" s="6" t="n">
        <v>0.1583798096509598</v>
      </c>
      <c r="D297" s="6" t="n">
        <v>0.3226208028742461</v>
      </c>
      <c r="E297" s="55" t="n"/>
      <c r="K297">
        <f>ABS(B297 - $G$2)</f>
        <v/>
      </c>
      <c r="L297">
        <f>ABS(B297 - $H$2)</f>
        <v/>
      </c>
      <c r="M297">
        <f>ABS(B297 - $I$2)</f>
        <v/>
      </c>
      <c r="O297">
        <f>(1/K297^2) / ((1/K297^2) + (1/L297^2) + (1/M297^2))</f>
        <v/>
      </c>
      <c r="P297">
        <f>(1/L297^2) / ((1/K297^2) + (1/L297^2) + (1/M297^2))</f>
        <v/>
      </c>
      <c r="Q297">
        <f>(1/M297^2) / ((1/K297^2) + (1/L297^2) + (1/M297^2))</f>
        <v/>
      </c>
      <c r="S297">
        <f>IF(MAX(O297:Q297)=O297, "Murah", IF(MAX(O297:Q297)=P297, "Sedang", "Mahal"))</f>
        <v/>
      </c>
    </row>
    <row r="298">
      <c r="A298" s="6" t="inlineStr">
        <is>
          <t>Kedai Kopi Sriwedari</t>
        </is>
      </c>
      <c r="B298" s="6" t="n">
        <v>0.1349693251533742</v>
      </c>
      <c r="C298" s="6" t="n">
        <v>0.1553285524046023</v>
      </c>
      <c r="D298" s="6" t="n">
        <v>0.3727284181766122</v>
      </c>
      <c r="E298" s="55" t="n"/>
      <c r="K298">
        <f>ABS(B298 - $G$2)</f>
        <v/>
      </c>
      <c r="L298">
        <f>ABS(B298 - $H$2)</f>
        <v/>
      </c>
      <c r="M298">
        <f>ABS(B298 - $I$2)</f>
        <v/>
      </c>
      <c r="O298">
        <f>(1/K298^2) / ((1/K298^2) + (1/L298^2) + (1/M298^2))</f>
        <v/>
      </c>
      <c r="P298">
        <f>(1/L298^2) / ((1/K298^2) + (1/L298^2) + (1/M298^2))</f>
        <v/>
      </c>
      <c r="Q298">
        <f>(1/M298^2) / ((1/K298^2) + (1/L298^2) + (1/M298^2))</f>
        <v/>
      </c>
      <c r="S298">
        <f>IF(MAX(O298:Q298)=O298, "Murah", IF(MAX(O298:Q298)=P298, "Sedang", "Mahal"))</f>
        <v/>
      </c>
    </row>
    <row r="299">
      <c r="A299" s="6" t="inlineStr">
        <is>
          <t>Kopi Perempat</t>
        </is>
      </c>
      <c r="B299" s="6" t="n">
        <v>0.0245398773006135</v>
      </c>
      <c r="C299" s="6" t="n">
        <v>0.1402972804996146</v>
      </c>
      <c r="D299" s="6" t="n">
        <v>0.3782867614388564</v>
      </c>
      <c r="E299" s="55" t="n"/>
      <c r="K299">
        <f>ABS(B299 - $G$2)</f>
        <v/>
      </c>
      <c r="L299">
        <f>ABS(B299 - $H$2)</f>
        <v/>
      </c>
      <c r="M299">
        <f>ABS(B299 - $I$2)</f>
        <v/>
      </c>
      <c r="O299">
        <f>(1/K299^2) / ((1/K299^2) + (1/L299^2) + (1/M299^2))</f>
        <v/>
      </c>
      <c r="P299">
        <f>(1/L299^2) / ((1/K299^2) + (1/L299^2) + (1/M299^2))</f>
        <v/>
      </c>
      <c r="Q299">
        <f>(1/M299^2) / ((1/K299^2) + (1/L299^2) + (1/M299^2))</f>
        <v/>
      </c>
      <c r="S299">
        <f>IF(MAX(O299:Q299)=O299, "Murah", IF(MAX(O299:Q299)=P299, "Sedang", "Mahal"))</f>
        <v/>
      </c>
    </row>
    <row r="300">
      <c r="A300" s="6" t="inlineStr">
        <is>
          <t>Warteg Kharisma Bahari Signature - Arief Rahman Hakim</t>
        </is>
      </c>
      <c r="B300" s="6" t="n">
        <v>0.02351738241308794</v>
      </c>
      <c r="C300" s="6" t="n">
        <v>0.9720735179209733</v>
      </c>
      <c r="D300" s="6" t="n">
        <v>0.9279220630896197</v>
      </c>
      <c r="E300" s="55" t="n"/>
      <c r="K300">
        <f>ABS(B300 - $G$2)</f>
        <v/>
      </c>
      <c r="L300">
        <f>ABS(B300 - $H$2)</f>
        <v/>
      </c>
      <c r="M300">
        <f>ABS(B300 - $I$2)</f>
        <v/>
      </c>
      <c r="O300">
        <f>(1/K300^2) / ((1/K300^2) + (1/L300^2) + (1/M300^2))</f>
        <v/>
      </c>
      <c r="P300">
        <f>(1/L300^2) / ((1/K300^2) + (1/L300^2) + (1/M300^2))</f>
        <v/>
      </c>
      <c r="Q300">
        <f>(1/M300^2) / ((1/K300^2) + (1/L300^2) + (1/M300^2))</f>
        <v/>
      </c>
      <c r="S300">
        <f>IF(MAX(O300:Q300)=O300, "Murah", IF(MAX(O300:Q300)=P300, "Sedang", "Mahal"))</f>
        <v/>
      </c>
    </row>
    <row r="301">
      <c r="A301" s="6" t="inlineStr">
        <is>
          <t>Warteg Orens Bahari 150 - Semolowaru</t>
        </is>
      </c>
      <c r="B301" s="6" t="n">
        <v>0.01431492842535787</v>
      </c>
      <c r="C301" s="6" t="n">
        <v>0.9578716987201061</v>
      </c>
      <c r="D301" s="6" t="n">
        <v>0.9394499056478109</v>
      </c>
      <c r="E301" s="55" t="n"/>
      <c r="K301">
        <f>ABS(B301 - $G$2)</f>
        <v/>
      </c>
      <c r="L301">
        <f>ABS(B301 - $H$2)</f>
        <v/>
      </c>
      <c r="M301">
        <f>ABS(B301 - $I$2)</f>
        <v/>
      </c>
      <c r="O301">
        <f>(1/K301^2) / ((1/K301^2) + (1/L301^2) + (1/M301^2))</f>
        <v/>
      </c>
      <c r="P301">
        <f>(1/L301^2) / ((1/K301^2) + (1/L301^2) + (1/M301^2))</f>
        <v/>
      </c>
      <c r="Q301">
        <f>(1/M301^2) / ((1/K301^2) + (1/L301^2) + (1/M301^2))</f>
        <v/>
      </c>
      <c r="S301">
        <f>IF(MAX(O301:Q301)=O301, "Murah", IF(MAX(O301:Q301)=P301, "Sedang", "Mahal"))</f>
        <v/>
      </c>
    </row>
    <row r="302">
      <c r="A302" s="6" t="inlineStr">
        <is>
          <t>Warteg Putri Sami Asih Semolowaru</t>
        </is>
      </c>
      <c r="B302" s="6" t="n">
        <v>0.1595092024539877</v>
      </c>
      <c r="C302" s="6" t="n">
        <v>0.9591509378664954</v>
      </c>
      <c r="D302" s="6" t="n">
        <v>0.9110075607026338</v>
      </c>
      <c r="E302" s="55" t="n"/>
      <c r="K302">
        <f>ABS(B302 - $G$2)</f>
        <v/>
      </c>
      <c r="L302">
        <f>ABS(B302 - $H$2)</f>
        <v/>
      </c>
      <c r="M302">
        <f>ABS(B302 - $I$2)</f>
        <v/>
      </c>
      <c r="O302">
        <f>(1/K302^2) / ((1/K302^2) + (1/L302^2) + (1/M302^2))</f>
        <v/>
      </c>
      <c r="P302">
        <f>(1/L302^2) / ((1/K302^2) + (1/L302^2) + (1/M302^2))</f>
        <v/>
      </c>
      <c r="Q302">
        <f>(1/M302^2) / ((1/K302^2) + (1/L302^2) + (1/M302^2))</f>
        <v/>
      </c>
      <c r="S302">
        <f>IF(MAX(O302:Q302)=O302, "Murah", IF(MAX(O302:Q302)=P302, "Sedang", "Mahal"))</f>
        <v/>
      </c>
    </row>
    <row r="303">
      <c r="A303" s="6" t="inlineStr">
        <is>
          <t>Warteg Bu Erni</t>
        </is>
      </c>
      <c r="B303" s="6" t="n">
        <v>0.03885480572597137</v>
      </c>
      <c r="C303" s="6" t="n">
        <v>0.9716963948781023</v>
      </c>
      <c r="D303" s="6" t="n">
        <v>0.9480333404806787</v>
      </c>
      <c r="E303" s="55" t="n"/>
      <c r="K303">
        <f>ABS(B303 - $G$2)</f>
        <v/>
      </c>
      <c r="L303">
        <f>ABS(B303 - $H$2)</f>
        <v/>
      </c>
      <c r="M303">
        <f>ABS(B303 - $I$2)</f>
        <v/>
      </c>
      <c r="O303">
        <f>(1/K303^2) / ((1/K303^2) + (1/L303^2) + (1/M303^2))</f>
        <v/>
      </c>
      <c r="P303">
        <f>(1/L303^2) / ((1/K303^2) + (1/L303^2) + (1/M303^2))</f>
        <v/>
      </c>
      <c r="Q303">
        <f>(1/M303^2) / ((1/K303^2) + (1/L303^2) + (1/M303^2))</f>
        <v/>
      </c>
      <c r="S303">
        <f>IF(MAX(O303:Q303)=O303, "Murah", IF(MAX(O303:Q303)=P303, "Sedang", "Mahal"))</f>
        <v/>
      </c>
    </row>
    <row r="304">
      <c r="A304" s="6" t="inlineStr">
        <is>
          <t>Warung Tegal Gebang</t>
        </is>
      </c>
      <c r="B304" s="6" t="n">
        <v>0.02556237218813906</v>
      </c>
      <c r="C304" s="6" t="n">
        <v>0.983197315523372</v>
      </c>
      <c r="D304" s="6" t="n">
        <v>0.9713550243930339</v>
      </c>
      <c r="E304" s="55" t="n"/>
      <c r="K304">
        <f>ABS(B304 - $G$2)</f>
        <v/>
      </c>
      <c r="L304">
        <f>ABS(B304 - $H$2)</f>
        <v/>
      </c>
      <c r="M304">
        <f>ABS(B304 - $I$2)</f>
        <v/>
      </c>
      <c r="O304">
        <f>(1/K304^2) / ((1/K304^2) + (1/L304^2) + (1/M304^2))</f>
        <v/>
      </c>
      <c r="P304">
        <f>(1/L304^2) / ((1/K304^2) + (1/L304^2) + (1/M304^2))</f>
        <v/>
      </c>
      <c r="Q304">
        <f>(1/M304^2) / ((1/K304^2) + (1/L304^2) + (1/M304^2))</f>
        <v/>
      </c>
      <c r="S304">
        <f>IF(MAX(O304:Q304)=O304, "Murah", IF(MAX(O304:Q304)=P304, "Sedang", "Mahal"))</f>
        <v/>
      </c>
    </row>
    <row r="305">
      <c r="A305" s="6" t="inlineStr">
        <is>
          <t>Warteg Kekinian</t>
        </is>
      </c>
      <c r="B305" s="6" t="n">
        <v>0.02351738241308794</v>
      </c>
      <c r="C305" s="6" t="n">
        <v>0.9475046904224302</v>
      </c>
      <c r="D305" s="6" t="n">
        <v>0.9405437428020035</v>
      </c>
      <c r="E305" s="55" t="n"/>
      <c r="K305">
        <f>ABS(B305 - $G$2)</f>
        <v/>
      </c>
      <c r="L305">
        <f>ABS(B305 - $H$2)</f>
        <v/>
      </c>
      <c r="M305">
        <f>ABS(B305 - $I$2)</f>
        <v/>
      </c>
      <c r="O305">
        <f>(1/K305^2) / ((1/K305^2) + (1/L305^2) + (1/M305^2))</f>
        <v/>
      </c>
      <c r="P305">
        <f>(1/L305^2) / ((1/K305^2) + (1/L305^2) + (1/M305^2))</f>
        <v/>
      </c>
      <c r="Q305">
        <f>(1/M305^2) / ((1/K305^2) + (1/L305^2) + (1/M305^2))</f>
        <v/>
      </c>
      <c r="S305">
        <f>IF(MAX(O305:Q305)=O305, "Murah", IF(MAX(O305:Q305)=P305, "Sedang", "Mahal"))</f>
        <v/>
      </c>
    </row>
    <row r="306">
      <c r="A306" s="6" t="inlineStr">
        <is>
          <t>Warung Makan Tegal Aero</t>
        </is>
      </c>
      <c r="B306" s="6" t="n">
        <v>0.03680981595092025</v>
      </c>
      <c r="C306" s="6" t="n">
        <v>0.9929765980255891</v>
      </c>
      <c r="D306" s="6" t="n">
        <v>0.8678844401020279</v>
      </c>
      <c r="E306" s="55" t="n"/>
      <c r="K306">
        <f>ABS(B306 - $G$2)</f>
        <v/>
      </c>
      <c r="L306">
        <f>ABS(B306 - $H$2)</f>
        <v/>
      </c>
      <c r="M306">
        <f>ABS(B306 - $I$2)</f>
        <v/>
      </c>
      <c r="O306">
        <f>(1/K306^2) / ((1/K306^2) + (1/L306^2) + (1/M306^2))</f>
        <v/>
      </c>
      <c r="P306">
        <f>(1/L306^2) / ((1/K306^2) + (1/L306^2) + (1/M306^2))</f>
        <v/>
      </c>
      <c r="Q306">
        <f>(1/M306^2) / ((1/K306^2) + (1/L306^2) + (1/M306^2))</f>
        <v/>
      </c>
      <c r="S306">
        <f>IF(MAX(O306:Q306)=O306, "Murah", IF(MAX(O306:Q306)=P306, "Sedang", "Mahal"))</f>
        <v/>
      </c>
    </row>
    <row r="307">
      <c r="A307" s="6" t="inlineStr">
        <is>
          <t>Warung Makan Tegal Aero Bu. Sarah</t>
        </is>
      </c>
      <c r="B307" s="6" t="n">
        <v>0.01840490797546012</v>
      </c>
      <c r="C307" s="6" t="n">
        <v>0.9713872121136667</v>
      </c>
      <c r="D307" s="6" t="n">
        <v>1</v>
      </c>
      <c r="E307" s="55" t="n"/>
      <c r="K307">
        <f>ABS(B307 - $G$2)</f>
        <v/>
      </c>
      <c r="L307">
        <f>ABS(B307 - $H$2)</f>
        <v/>
      </c>
      <c r="M307">
        <f>ABS(B307 - $I$2)</f>
        <v/>
      </c>
      <c r="O307">
        <f>(1/K307^2) / ((1/K307^2) + (1/L307^2) + (1/M307^2))</f>
        <v/>
      </c>
      <c r="P307">
        <f>(1/L307^2) / ((1/K307^2) + (1/L307^2) + (1/M307^2))</f>
        <v/>
      </c>
      <c r="Q307">
        <f>(1/M307^2) / ((1/K307^2) + (1/L307^2) + (1/M307^2))</f>
        <v/>
      </c>
      <c r="S307">
        <f>IF(MAX(O307:Q307)=O307, "Murah", IF(MAX(O307:Q307)=P307, "Sedang", "Mahal"))</f>
        <v/>
      </c>
    </row>
    <row r="308">
      <c r="A308" s="6" t="inlineStr">
        <is>
          <t>Warteg Sari Rasa 24 Jam Non Stop</t>
        </is>
      </c>
      <c r="B308" s="6" t="n">
        <v>0.04192229038854806</v>
      </c>
      <c r="C308" s="6" t="n">
        <v>0.1553871675467826</v>
      </c>
      <c r="D308" s="6" t="n">
        <v>0.3228414860858778</v>
      </c>
      <c r="E308" s="55" t="n"/>
      <c r="K308">
        <f>ABS(B308 - $G$2)</f>
        <v/>
      </c>
      <c r="L308">
        <f>ABS(B308 - $H$2)</f>
        <v/>
      </c>
      <c r="M308">
        <f>ABS(B308 - $I$2)</f>
        <v/>
      </c>
      <c r="O308">
        <f>(1/K308^2) / ((1/K308^2) + (1/L308^2) + (1/M308^2))</f>
        <v/>
      </c>
      <c r="P308">
        <f>(1/L308^2) / ((1/K308^2) + (1/L308^2) + (1/M308^2))</f>
        <v/>
      </c>
      <c r="Q308">
        <f>(1/M308^2) / ((1/K308^2) + (1/L308^2) + (1/M308^2))</f>
        <v/>
      </c>
      <c r="S308">
        <f>IF(MAX(O308:Q308)=O308, "Murah", IF(MAX(O308:Q308)=P308, "Sedang", "Mahal"))</f>
        <v/>
      </c>
    </row>
    <row r="309">
      <c r="A309" s="6" t="inlineStr">
        <is>
          <t>Warteg Mbok Yem</t>
        </is>
      </c>
      <c r="B309" s="6" t="n">
        <v>0.02658486707566462</v>
      </c>
      <c r="C309" s="6" t="n">
        <v>0.9714451006218532</v>
      </c>
      <c r="D309" s="6" t="n">
        <v>0.9235599775706568</v>
      </c>
      <c r="E309" s="55" t="n"/>
      <c r="K309">
        <f>ABS(B309 - $G$2)</f>
        <v/>
      </c>
      <c r="L309">
        <f>ABS(B309 - $H$2)</f>
        <v/>
      </c>
      <c r="M309">
        <f>ABS(B309 - $I$2)</f>
        <v/>
      </c>
      <c r="O309">
        <f>(1/K309^2) / ((1/K309^2) + (1/L309^2) + (1/M309^2))</f>
        <v/>
      </c>
      <c r="P309">
        <f>(1/L309^2) / ((1/K309^2) + (1/L309^2) + (1/M309^2))</f>
        <v/>
      </c>
      <c r="Q309">
        <f>(1/M309^2) / ((1/K309^2) + (1/L309^2) + (1/M309^2))</f>
        <v/>
      </c>
      <c r="S309">
        <f>IF(MAX(O309:Q309)=O309, "Murah", IF(MAX(O309:Q309)=P309, "Sedang", "Mahal"))</f>
        <v/>
      </c>
    </row>
    <row r="310">
      <c r="A310" s="6" t="inlineStr">
        <is>
          <t>Warteg Sahabat</t>
        </is>
      </c>
      <c r="B310" s="6" t="n">
        <v>0.0081799591002045</v>
      </c>
      <c r="C310" s="6" t="n">
        <v>0.1946831706238348</v>
      </c>
      <c r="D310" s="6" t="n">
        <v>0.2391612859015466</v>
      </c>
      <c r="E310" s="55" t="n"/>
      <c r="K310">
        <f>ABS(B310 - $G$2)</f>
        <v/>
      </c>
      <c r="L310">
        <f>ABS(B310 - $H$2)</f>
        <v/>
      </c>
      <c r="M310">
        <f>ABS(B310 - $I$2)</f>
        <v/>
      </c>
      <c r="O310">
        <f>(1/K310^2) / ((1/K310^2) + (1/L310^2) + (1/M310^2))</f>
        <v/>
      </c>
      <c r="P310">
        <f>(1/L310^2) / ((1/K310^2) + (1/L310^2) + (1/M310^2))</f>
        <v/>
      </c>
      <c r="Q310">
        <f>(1/M310^2) / ((1/K310^2) + (1/L310^2) + (1/M310^2))</f>
        <v/>
      </c>
      <c r="S310">
        <f>IF(MAX(O310:Q310)=O310, "Murah", IF(MAX(O310:Q310)=P310, "Sedang", "Mahal"))</f>
        <v/>
      </c>
    </row>
    <row r="311">
      <c r="A311" s="6" t="inlineStr">
        <is>
          <t>Warteg Sari Rasa 24 Jam</t>
        </is>
      </c>
      <c r="B311" s="6" t="n">
        <v>0.04192229038854806</v>
      </c>
      <c r="C311" s="6" t="n">
        <v>0.1607548128602599</v>
      </c>
      <c r="D311" s="6" t="n">
        <v>0.3231833792752198</v>
      </c>
      <c r="E311" s="55" t="n"/>
      <c r="K311">
        <f>ABS(B311 - $G$2)</f>
        <v/>
      </c>
      <c r="L311">
        <f>ABS(B311 - $H$2)</f>
        <v/>
      </c>
      <c r="M311">
        <f>ABS(B311 - $I$2)</f>
        <v/>
      </c>
      <c r="O311">
        <f>(1/K311^2) / ((1/K311^2) + (1/L311^2) + (1/M311^2))</f>
        <v/>
      </c>
      <c r="P311">
        <f>(1/L311^2) / ((1/K311^2) + (1/L311^2) + (1/M311^2))</f>
        <v/>
      </c>
      <c r="Q311">
        <f>(1/M311^2) / ((1/K311^2) + (1/L311^2) + (1/M311^2))</f>
        <v/>
      </c>
      <c r="S311">
        <f>IF(MAX(O311:Q311)=O311, "Murah", IF(MAX(O311:Q311)=P311, "Sedang", "Mahal"))</f>
        <v/>
      </c>
    </row>
    <row r="312">
      <c r="A312" s="6" t="inlineStr">
        <is>
          <t>Warung Gresik Mbak tien</t>
        </is>
      </c>
      <c r="B312" s="6" t="n">
        <v>0.01840490797546012</v>
      </c>
      <c r="C312" s="6" t="n">
        <v>0.9589909572821557</v>
      </c>
      <c r="D312" s="6" t="n">
        <v>0.9218759325615768</v>
      </c>
      <c r="E312" s="55" t="n"/>
      <c r="K312">
        <f>ABS(B312 - $G$2)</f>
        <v/>
      </c>
      <c r="L312">
        <f>ABS(B312 - $H$2)</f>
        <v/>
      </c>
      <c r="M312">
        <f>ABS(B312 - $I$2)</f>
        <v/>
      </c>
      <c r="O312">
        <f>(1/K312^2) / ((1/K312^2) + (1/L312^2) + (1/M312^2))</f>
        <v/>
      </c>
      <c r="P312">
        <f>(1/L312^2) / ((1/K312^2) + (1/L312^2) + (1/M312^2))</f>
        <v/>
      </c>
      <c r="Q312">
        <f>(1/M312^2) / ((1/K312^2) + (1/L312^2) + (1/M312^2))</f>
        <v/>
      </c>
      <c r="S312">
        <f>IF(MAX(O312:Q312)=O312, "Murah", IF(MAX(O312:Q312)=P312, "Sedang", "Mahal"))</f>
        <v/>
      </c>
    </row>
    <row r="313">
      <c r="A313" s="6" t="inlineStr">
        <is>
          <t>WARTEG depan ABM</t>
        </is>
      </c>
      <c r="B313" s="6" t="n">
        <v>0.04396728016359918</v>
      </c>
      <c r="C313" s="6" t="n">
        <v>0.1818900525259492</v>
      </c>
      <c r="D313" s="6" t="n">
        <v>0.4131303931992779</v>
      </c>
      <c r="E313" s="55" t="n"/>
      <c r="K313">
        <f>ABS(B313 - $G$2)</f>
        <v/>
      </c>
      <c r="L313">
        <f>ABS(B313 - $H$2)</f>
        <v/>
      </c>
      <c r="M313">
        <f>ABS(B313 - $I$2)</f>
        <v/>
      </c>
      <c r="O313">
        <f>(1/K313^2) / ((1/K313^2) + (1/L313^2) + (1/M313^2))</f>
        <v/>
      </c>
      <c r="P313">
        <f>(1/L313^2) / ((1/K313^2) + (1/L313^2) + (1/M313^2))</f>
        <v/>
      </c>
      <c r="Q313">
        <f>(1/M313^2) / ((1/K313^2) + (1/L313^2) + (1/M313^2))</f>
        <v/>
      </c>
      <c r="S313">
        <f>IF(MAX(O313:Q313)=O313, "Murah", IF(MAX(O313:Q313)=P313, "Sedang", "Mahal"))</f>
        <v/>
      </c>
    </row>
    <row r="314">
      <c r="A314" s="6" t="inlineStr">
        <is>
          <t>Warung Makan Teh Nia</t>
        </is>
      </c>
      <c r="B314" s="6" t="n">
        <v>0.01226993865030675</v>
      </c>
      <c r="C314" s="6" t="n">
        <v>0.9609865364409371</v>
      </c>
      <c r="D314" s="6" t="n">
        <v>0.9205901489077557</v>
      </c>
      <c r="E314" s="55" t="n"/>
      <c r="K314">
        <f>ABS(B314 - $G$2)</f>
        <v/>
      </c>
      <c r="L314">
        <f>ABS(B314 - $H$2)</f>
        <v/>
      </c>
      <c r="M314">
        <f>ABS(B314 - $I$2)</f>
        <v/>
      </c>
      <c r="O314">
        <f>(1/K314^2) / ((1/K314^2) + (1/L314^2) + (1/M314^2))</f>
        <v/>
      </c>
      <c r="P314">
        <f>(1/L314^2) / ((1/K314^2) + (1/L314^2) + (1/M314^2))</f>
        <v/>
      </c>
      <c r="Q314">
        <f>(1/M314^2) / ((1/K314^2) + (1/L314^2) + (1/M314^2))</f>
        <v/>
      </c>
      <c r="S314">
        <f>IF(MAX(O314:Q314)=O314, "Murah", IF(MAX(O314:Q314)=P314, "Sedang", "Mahal"))</f>
        <v/>
      </c>
    </row>
    <row r="315">
      <c r="A315" s="6" t="inlineStr">
        <is>
          <t>Warteg Candi Panggung Bahari Malang</t>
        </is>
      </c>
      <c r="B315" s="6" t="n">
        <v>0.02351738241308794</v>
      </c>
      <c r="C315" s="6" t="n">
        <v>0.1870260227010148</v>
      </c>
      <c r="D315" s="6" t="n">
        <v>0.3502165200725817</v>
      </c>
      <c r="E315" s="55" t="n"/>
      <c r="K315">
        <f>ABS(B315 - $G$2)</f>
        <v/>
      </c>
      <c r="L315">
        <f>ABS(B315 - $H$2)</f>
        <v/>
      </c>
      <c r="M315">
        <f>ABS(B315 - $I$2)</f>
        <v/>
      </c>
      <c r="O315">
        <f>(1/K315^2) / ((1/K315^2) + (1/L315^2) + (1/M315^2))</f>
        <v/>
      </c>
      <c r="P315">
        <f>(1/L315^2) / ((1/K315^2) + (1/L315^2) + (1/M315^2))</f>
        <v/>
      </c>
      <c r="Q315">
        <f>(1/M315^2) / ((1/K315^2) + (1/L315^2) + (1/M315^2))</f>
        <v/>
      </c>
      <c r="S315">
        <f>IF(MAX(O315:Q315)=O315, "Murah", IF(MAX(O315:Q315)=P315, "Sedang", "Mahal"))</f>
        <v/>
      </c>
    </row>
    <row r="316">
      <c r="A316" s="6" t="inlineStr">
        <is>
          <t>Warung Makan Tegal</t>
        </is>
      </c>
      <c r="B316" s="6" t="n">
        <v>0.0245398773006135</v>
      </c>
      <c r="C316" s="6" t="n">
        <v>0.9723776142474518</v>
      </c>
      <c r="D316" s="6" t="n">
        <v>0.8952988949628955</v>
      </c>
      <c r="E316" s="55" t="n"/>
      <c r="K316">
        <f>ABS(B316 - $G$2)</f>
        <v/>
      </c>
      <c r="L316">
        <f>ABS(B316 - $H$2)</f>
        <v/>
      </c>
      <c r="M316">
        <f>ABS(B316 - $I$2)</f>
        <v/>
      </c>
      <c r="O316">
        <f>(1/K316^2) / ((1/K316^2) + (1/L316^2) + (1/M316^2))</f>
        <v/>
      </c>
      <c r="P316">
        <f>(1/L316^2) / ((1/K316^2) + (1/L316^2) + (1/M316^2))</f>
        <v/>
      </c>
      <c r="Q316">
        <f>(1/M316^2) / ((1/K316^2) + (1/L316^2) + (1/M316^2))</f>
        <v/>
      </c>
      <c r="S316">
        <f>IF(MAX(O316:Q316)=O316, "Murah", IF(MAX(O316:Q316)=P316, "Sedang", "Mahal"))</f>
        <v/>
      </c>
    </row>
    <row r="317">
      <c r="A317" s="6" t="inlineStr">
        <is>
          <t>Warteg Sarirasa Cab. Simpang Gajayana</t>
        </is>
      </c>
      <c r="B317" s="6" t="n">
        <v>0.04192229038854806</v>
      </c>
      <c r="C317" s="6" t="n">
        <v>0.1754501376486999</v>
      </c>
      <c r="D317" s="6" t="n">
        <v>0.2932596199827517</v>
      </c>
      <c r="E317" s="55" t="n"/>
      <c r="K317">
        <f>ABS(B317 - $G$2)</f>
        <v/>
      </c>
      <c r="L317">
        <f>ABS(B317 - $H$2)</f>
        <v/>
      </c>
      <c r="M317">
        <f>ABS(B317 - $I$2)</f>
        <v/>
      </c>
      <c r="O317">
        <f>(1/K317^2) / ((1/K317^2) + (1/L317^2) + (1/M317^2))</f>
        <v/>
      </c>
      <c r="P317">
        <f>(1/L317^2) / ((1/K317^2) + (1/L317^2) + (1/M317^2))</f>
        <v/>
      </c>
      <c r="Q317">
        <f>(1/M317^2) / ((1/K317^2) + (1/L317^2) + (1/M317^2))</f>
        <v/>
      </c>
      <c r="S317">
        <f>IF(MAX(O317:Q317)=O317, "Murah", IF(MAX(O317:Q317)=P317, "Sedang", "Mahal"))</f>
        <v/>
      </c>
    </row>
    <row r="318">
      <c r="A318" s="6" t="inlineStr">
        <is>
          <t>Warung Tegal</t>
        </is>
      </c>
      <c r="B318" s="6" t="n">
        <v>0.0245398773006135</v>
      </c>
      <c r="C318" s="6" t="n">
        <v>0.1624035453925836</v>
      </c>
      <c r="D318" s="6" t="n">
        <v>0.3089097070402372</v>
      </c>
      <c r="E318" s="55" t="n"/>
      <c r="K318">
        <f>ABS(B318 - $G$2)</f>
        <v/>
      </c>
      <c r="L318">
        <f>ABS(B318 - $H$2)</f>
        <v/>
      </c>
      <c r="M318">
        <f>ABS(B318 - $I$2)</f>
        <v/>
      </c>
      <c r="O318">
        <f>(1/K318^2) / ((1/K318^2) + (1/L318^2) + (1/M318^2))</f>
        <v/>
      </c>
      <c r="P318">
        <f>(1/L318^2) / ((1/K318^2) + (1/L318^2) + (1/M318^2))</f>
        <v/>
      </c>
      <c r="Q318">
        <f>(1/M318^2) / ((1/K318^2) + (1/L318^2) + (1/M318^2))</f>
        <v/>
      </c>
      <c r="S318">
        <f>IF(MAX(O318:Q318)=O318, "Murah", IF(MAX(O318:Q318)=P318, "Sedang", "Mahal"))</f>
        <v/>
      </c>
    </row>
    <row r="319">
      <c r="A319" s="6" t="inlineStr">
        <is>
          <t>WARTEG DO'I</t>
        </is>
      </c>
      <c r="B319" s="6" t="n">
        <v>0.02862985685071575</v>
      </c>
      <c r="C319" s="6" t="n">
        <v>0.1684704548195941</v>
      </c>
      <c r="D319" s="6" t="n">
        <v>0.3581832208548952</v>
      </c>
      <c r="E319" s="55" t="n"/>
      <c r="K319">
        <f>ABS(B319 - $G$2)</f>
        <v/>
      </c>
      <c r="L319">
        <f>ABS(B319 - $H$2)</f>
        <v/>
      </c>
      <c r="M319">
        <f>ABS(B319 - $I$2)</f>
        <v/>
      </c>
      <c r="O319">
        <f>(1/K319^2) / ((1/K319^2) + (1/L319^2) + (1/M319^2))</f>
        <v/>
      </c>
      <c r="P319">
        <f>(1/L319^2) / ((1/K319^2) + (1/L319^2) + (1/M319^2))</f>
        <v/>
      </c>
      <c r="Q319">
        <f>(1/M319^2) / ((1/K319^2) + (1/L319^2) + (1/M319^2))</f>
        <v/>
      </c>
      <c r="S319">
        <f>IF(MAX(O319:Q319)=O319, "Murah", IF(MAX(O319:Q319)=P319, "Sedang", "Mahal"))</f>
        <v/>
      </c>
    </row>
    <row r="320">
      <c r="A320" s="6" t="inlineStr">
        <is>
          <t>Warung Tegal (Warteg) bu marni</t>
        </is>
      </c>
      <c r="B320" s="6" t="n">
        <v>0.04498977505112475</v>
      </c>
      <c r="C320" s="6" t="n">
        <v>0.1976991861214848</v>
      </c>
      <c r="D320" s="6" t="n">
        <v>0.302273737076775</v>
      </c>
      <c r="E320" s="55" t="n"/>
      <c r="K320">
        <f>ABS(B320 - $G$2)</f>
        <v/>
      </c>
      <c r="L320">
        <f>ABS(B320 - $H$2)</f>
        <v/>
      </c>
      <c r="M320">
        <f>ABS(B320 - $I$2)</f>
        <v/>
      </c>
      <c r="O320">
        <f>(1/K320^2) / ((1/K320^2) + (1/L320^2) + (1/M320^2))</f>
        <v/>
      </c>
      <c r="P320">
        <f>(1/L320^2) / ((1/K320^2) + (1/L320^2) + (1/M320^2))</f>
        <v/>
      </c>
      <c r="Q320">
        <f>(1/M320^2) / ((1/K320^2) + (1/L320^2) + (1/M320^2))</f>
        <v/>
      </c>
      <c r="S320">
        <f>IF(MAX(O320:Q320)=O320, "Murah", IF(MAX(O320:Q320)=P320, "Sedang", "Mahal"))</f>
        <v/>
      </c>
    </row>
    <row r="321">
      <c r="A321" s="6" t="inlineStr">
        <is>
          <t>Warteg Sari Rasa</t>
        </is>
      </c>
      <c r="B321" s="6" t="n">
        <v>0.04192229038854806</v>
      </c>
      <c r="C321" s="6" t="n">
        <v>0.1783991817132391</v>
      </c>
      <c r="D321" s="6" t="n">
        <v>0.2976416001485304</v>
      </c>
      <c r="E321" s="55" t="n"/>
      <c r="K321">
        <f>ABS(B321 - $G$2)</f>
        <v/>
      </c>
      <c r="L321">
        <f>ABS(B321 - $H$2)</f>
        <v/>
      </c>
      <c r="M321">
        <f>ABS(B321 - $I$2)</f>
        <v/>
      </c>
      <c r="O321">
        <f>(1/K321^2) / ((1/K321^2) + (1/L321^2) + (1/M321^2))</f>
        <v/>
      </c>
      <c r="P321">
        <f>(1/L321^2) / ((1/K321^2) + (1/L321^2) + (1/M321^2))</f>
        <v/>
      </c>
      <c r="Q321">
        <f>(1/M321^2) / ((1/K321^2) + (1/L321^2) + (1/M321^2))</f>
        <v/>
      </c>
      <c r="S321">
        <f>IF(MAX(O321:Q321)=O321, "Murah", IF(MAX(O321:Q321)=P321, "Sedang", "Mahal"))</f>
        <v/>
      </c>
    </row>
    <row r="322">
      <c r="A322" s="6" t="inlineStr">
        <is>
          <t>Warteg sarirasa merjosari 24 jam</t>
        </is>
      </c>
      <c r="B322" s="6" t="n">
        <v>0.04192229038854806</v>
      </c>
      <c r="C322" s="6" t="n">
        <v>0.1811883662991035</v>
      </c>
      <c r="D322" s="6" t="n">
        <v>0.280172626587032</v>
      </c>
      <c r="E322" s="55" t="n"/>
      <c r="K322">
        <f>ABS(B322 - $G$2)</f>
        <v/>
      </c>
      <c r="L322">
        <f>ABS(B322 - $H$2)</f>
        <v/>
      </c>
      <c r="M322">
        <f>ABS(B322 - $I$2)</f>
        <v/>
      </c>
      <c r="O322">
        <f>(1/K322^2) / ((1/K322^2) + (1/L322^2) + (1/M322^2))</f>
        <v/>
      </c>
      <c r="P322">
        <f>(1/L322^2) / ((1/K322^2) + (1/L322^2) + (1/M322^2))</f>
        <v/>
      </c>
      <c r="Q322">
        <f>(1/M322^2) / ((1/K322^2) + (1/L322^2) + (1/M322^2))</f>
        <v/>
      </c>
      <c r="S322">
        <f>IF(MAX(O322:Q322)=O322, "Murah", IF(MAX(O322:Q322)=P322, "Sedang", "Mahal"))</f>
        <v/>
      </c>
    </row>
    <row r="323">
      <c r="A323" s="6" t="inlineStr">
        <is>
          <t>Warteg ITA Barokah</t>
        </is>
      </c>
      <c r="B323" s="6" t="n">
        <v>0.03885480572597137</v>
      </c>
      <c r="C323" s="6" t="n">
        <v>0.9481076755317621</v>
      </c>
      <c r="D323" s="6" t="n">
        <v>0.9290637947639048</v>
      </c>
      <c r="E323" s="55" t="n"/>
      <c r="K323">
        <f>ABS(B323 - $G$2)</f>
        <v/>
      </c>
      <c r="L323">
        <f>ABS(B323 - $H$2)</f>
        <v/>
      </c>
      <c r="M323">
        <f>ABS(B323 - $I$2)</f>
        <v/>
      </c>
      <c r="O323">
        <f>(1/K323^2) / ((1/K323^2) + (1/L323^2) + (1/M323^2))</f>
        <v/>
      </c>
      <c r="P323">
        <f>(1/L323^2) / ((1/K323^2) + (1/L323^2) + (1/M323^2))</f>
        <v/>
      </c>
      <c r="Q323">
        <f>(1/M323^2) / ((1/K323^2) + (1/L323^2) + (1/M323^2))</f>
        <v/>
      </c>
      <c r="S323">
        <f>IF(MAX(O323:Q323)=O323, "Murah", IF(MAX(O323:Q323)=P323, "Sedang", "Mahal"))</f>
        <v/>
      </c>
    </row>
    <row r="324">
      <c r="A324" s="6" t="inlineStr">
        <is>
          <t>ALMEERA WARTEG</t>
        </is>
      </c>
      <c r="B324" s="6" t="n">
        <v>0.03169734151329243</v>
      </c>
      <c r="C324" s="6" t="n">
        <v>0.2086699061624864</v>
      </c>
      <c r="D324" s="6" t="n">
        <v>0.263884437154619</v>
      </c>
      <c r="E324" s="55" t="n"/>
      <c r="K324">
        <f>ABS(B324 - $G$2)</f>
        <v/>
      </c>
      <c r="L324">
        <f>ABS(B324 - $H$2)</f>
        <v/>
      </c>
      <c r="M324">
        <f>ABS(B324 - $I$2)</f>
        <v/>
      </c>
      <c r="O324">
        <f>(1/K324^2) / ((1/K324^2) + (1/L324^2) + (1/M324^2))</f>
        <v/>
      </c>
      <c r="P324">
        <f>(1/L324^2) / ((1/K324^2) + (1/L324^2) + (1/M324^2))</f>
        <v/>
      </c>
      <c r="Q324">
        <f>(1/M324^2) / ((1/K324^2) + (1/L324^2) + (1/M324^2))</f>
        <v/>
      </c>
      <c r="S324">
        <f>IF(MAX(O324:Q324)=O324, "Murah", IF(MAX(O324:Q324)=P324, "Sedang", "Mahal"))</f>
        <v/>
      </c>
    </row>
    <row r="325">
      <c r="A325" s="6" t="inlineStr">
        <is>
          <t>Warteg mamoka bahari 288</t>
        </is>
      </c>
      <c r="B325" s="6" t="n">
        <v>0.02862985685071575</v>
      </c>
      <c r="C325" s="6" t="n">
        <v>0.1868426687232023</v>
      </c>
      <c r="D325" s="6" t="n">
        <v>0.435468765772938</v>
      </c>
      <c r="E325" s="55" t="n"/>
      <c r="K325">
        <f>ABS(B325 - $G$2)</f>
        <v/>
      </c>
      <c r="L325">
        <f>ABS(B325 - $H$2)</f>
        <v/>
      </c>
      <c r="M325">
        <f>ABS(B325 - $I$2)</f>
        <v/>
      </c>
      <c r="O325">
        <f>(1/K325^2) / ((1/K325^2) + (1/L325^2) + (1/M325^2))</f>
        <v/>
      </c>
      <c r="P325">
        <f>(1/L325^2) / ((1/K325^2) + (1/L325^2) + (1/M325^2))</f>
        <v/>
      </c>
      <c r="Q325">
        <f>(1/M325^2) / ((1/K325^2) + (1/L325^2) + (1/M325^2))</f>
        <v/>
      </c>
      <c r="S325">
        <f>IF(MAX(O325:Q325)=O325, "Murah", IF(MAX(O325:Q325)=P325, "Sedang", "Mahal"))</f>
        <v/>
      </c>
    </row>
    <row r="326">
      <c r="A326" s="6" t="inlineStr">
        <is>
          <t>WARTEG CITRA BARU BAHARI</t>
        </is>
      </c>
      <c r="B326" s="6" t="n">
        <v>0.02249488752556237</v>
      </c>
      <c r="C326" s="6" t="n">
        <v>0.2027273722541111</v>
      </c>
      <c r="D326" s="6" t="n">
        <v>0.271636349435478</v>
      </c>
      <c r="E326" s="55" t="n"/>
      <c r="K326">
        <f>ABS(B326 - $G$2)</f>
        <v/>
      </c>
      <c r="L326">
        <f>ABS(B326 - $H$2)</f>
        <v/>
      </c>
      <c r="M326">
        <f>ABS(B326 - $I$2)</f>
        <v/>
      </c>
      <c r="O326">
        <f>(1/K326^2) / ((1/K326^2) + (1/L326^2) + (1/M326^2))</f>
        <v/>
      </c>
      <c r="P326">
        <f>(1/L326^2) / ((1/K326^2) + (1/L326^2) + (1/M326^2))</f>
        <v/>
      </c>
      <c r="Q326">
        <f>(1/M326^2) / ((1/K326^2) + (1/L326^2) + (1/M326^2))</f>
        <v/>
      </c>
      <c r="S326">
        <f>IF(MAX(O326:Q326)=O326, "Murah", IF(MAX(O326:Q326)=P326, "Sedang", "Mahal"))</f>
        <v/>
      </c>
    </row>
    <row r="327">
      <c r="A327" s="6" t="inlineStr">
        <is>
          <t>Warung Bu Marni Prasmanan</t>
        </is>
      </c>
      <c r="B327" s="6" t="n">
        <v>0.04498977505112475</v>
      </c>
      <c r="C327" s="6" t="n">
        <v>0.1828845722523676</v>
      </c>
      <c r="D327" s="6" t="n">
        <v>0.3585604823051963</v>
      </c>
      <c r="E327" s="55" t="n"/>
      <c r="K327">
        <f>ABS(B327 - $G$2)</f>
        <v/>
      </c>
      <c r="L327">
        <f>ABS(B327 - $H$2)</f>
        <v/>
      </c>
      <c r="M327">
        <f>ABS(B327 - $I$2)</f>
        <v/>
      </c>
      <c r="O327">
        <f>(1/K327^2) / ((1/K327^2) + (1/L327^2) + (1/M327^2))</f>
        <v/>
      </c>
      <c r="P327">
        <f>(1/L327^2) / ((1/K327^2) + (1/L327^2) + (1/M327^2))</f>
        <v/>
      </c>
      <c r="Q327">
        <f>(1/M327^2) / ((1/K327^2) + (1/L327^2) + (1/M327^2))</f>
        <v/>
      </c>
      <c r="S327">
        <f>IF(MAX(O327:Q327)=O327, "Murah", IF(MAX(O327:Q327)=P327, "Sedang", "Mahal"))</f>
        <v/>
      </c>
    </row>
    <row r="328">
      <c r="A328" s="6" t="inlineStr">
        <is>
          <t>Warung TEMA</t>
        </is>
      </c>
      <c r="B328" s="6" t="n">
        <v>0.05828220858895705</v>
      </c>
      <c r="C328" s="6" t="n">
        <v>0.1785729683434633</v>
      </c>
      <c r="D328" s="6" t="n">
        <v>0.3428558691786623</v>
      </c>
      <c r="E328" s="55" t="n"/>
      <c r="K328">
        <f>ABS(B328 - $G$2)</f>
        <v/>
      </c>
      <c r="L328">
        <f>ABS(B328 - $H$2)</f>
        <v/>
      </c>
      <c r="M328">
        <f>ABS(B328 - $I$2)</f>
        <v/>
      </c>
      <c r="O328">
        <f>(1/K328^2) / ((1/K328^2) + (1/L328^2) + (1/M328^2))</f>
        <v/>
      </c>
      <c r="P328">
        <f>(1/L328^2) / ((1/K328^2) + (1/L328^2) + (1/M328^2))</f>
        <v/>
      </c>
      <c r="Q328">
        <f>(1/M328^2) / ((1/K328^2) + (1/L328^2) + (1/M328^2))</f>
        <v/>
      </c>
      <c r="S328">
        <f>IF(MAX(O328:Q328)=O328, "Murah", IF(MAX(O328:Q328)=P328, "Sedang", "Mahal"))</f>
        <v/>
      </c>
    </row>
    <row r="329">
      <c r="A329" s="6" t="inlineStr">
        <is>
          <t>WARTEG BINTANG RASA</t>
        </is>
      </c>
      <c r="B329" s="6" t="n">
        <v>0.04192229038854806</v>
      </c>
      <c r="C329" s="6" t="n">
        <v>0.1966935246738266</v>
      </c>
      <c r="D329" s="6" t="n">
        <v>0.3982097765241804</v>
      </c>
      <c r="E329" s="55" t="n"/>
      <c r="K329">
        <f>ABS(B329 - $G$2)</f>
        <v/>
      </c>
      <c r="L329">
        <f>ABS(B329 - $H$2)</f>
        <v/>
      </c>
      <c r="M329">
        <f>ABS(B329 - $I$2)</f>
        <v/>
      </c>
      <c r="O329">
        <f>(1/K329^2) / ((1/K329^2) + (1/L329^2) + (1/M329^2))</f>
        <v/>
      </c>
      <c r="P329">
        <f>(1/L329^2) / ((1/K329^2) + (1/L329^2) + (1/M329^2))</f>
        <v/>
      </c>
      <c r="Q329">
        <f>(1/M329^2) / ((1/K329^2) + (1/L329^2) + (1/M329^2))</f>
        <v/>
      </c>
      <c r="S329">
        <f>IF(MAX(O329:Q329)=O329, "Murah", IF(MAX(O329:Q329)=P329, "Sedang", "Mahal"))</f>
        <v/>
      </c>
    </row>
    <row r="330">
      <c r="A330" s="6" t="inlineStr">
        <is>
          <t>Warteg Nasional Bahari 58</t>
        </is>
      </c>
      <c r="B330" s="6" t="n">
        <v>0.01431492842535787</v>
      </c>
      <c r="C330" s="6" t="n">
        <v>0.1502526506397047</v>
      </c>
      <c r="D330" s="6" t="n">
        <v>0.5130239936808469</v>
      </c>
      <c r="E330" s="55" t="n"/>
      <c r="K330">
        <f>ABS(B330 - $G$2)</f>
        <v/>
      </c>
      <c r="L330">
        <f>ABS(B330 - $H$2)</f>
        <v/>
      </c>
      <c r="M330">
        <f>ABS(B330 - $I$2)</f>
        <v/>
      </c>
      <c r="O330">
        <f>(1/K330^2) / ((1/K330^2) + (1/L330^2) + (1/M330^2))</f>
        <v/>
      </c>
      <c r="P330">
        <f>(1/L330^2) / ((1/K330^2) + (1/L330^2) + (1/M330^2))</f>
        <v/>
      </c>
      <c r="Q330">
        <f>(1/M330^2) / ((1/K330^2) + (1/L330^2) + (1/M330^2))</f>
        <v/>
      </c>
      <c r="S330">
        <f>IF(MAX(O330:Q330)=O330, "Murah", IF(MAX(O330:Q330)=P330, "Sedang", "Mahal"))</f>
        <v/>
      </c>
    </row>
    <row r="331">
      <c r="A331" s="6" t="inlineStr">
        <is>
          <t>Warteg Mamoka 245 Dinoyo Malang</t>
        </is>
      </c>
      <c r="B331" s="6" t="n">
        <v>0.02862985685071575</v>
      </c>
      <c r="C331" s="6" t="n">
        <v>0.1781418321737071</v>
      </c>
      <c r="D331" s="6" t="n">
        <v>0.3002323252642097</v>
      </c>
      <c r="E331" s="55" t="n"/>
      <c r="K331">
        <f>ABS(B331 - $G$2)</f>
        <v/>
      </c>
      <c r="L331">
        <f>ABS(B331 - $H$2)</f>
        <v/>
      </c>
      <c r="M331">
        <f>ABS(B331 - $I$2)</f>
        <v/>
      </c>
      <c r="O331">
        <f>(1/K331^2) / ((1/K331^2) + (1/L331^2) + (1/M331^2))</f>
        <v/>
      </c>
      <c r="P331">
        <f>(1/L331^2) / ((1/K331^2) + (1/L331^2) + (1/M331^2))</f>
        <v/>
      </c>
      <c r="Q331">
        <f>(1/M331^2) / ((1/K331^2) + (1/L331^2) + (1/M331^2))</f>
        <v/>
      </c>
      <c r="S331">
        <f>IF(MAX(O331:Q331)=O331, "Murah", IF(MAX(O331:Q331)=P331, "Sedang", "Mahal"))</f>
        <v/>
      </c>
    </row>
    <row r="332">
      <c r="A332" s="6" t="inlineStr">
        <is>
          <t>WARTEG MAMOKA BAHARI</t>
        </is>
      </c>
      <c r="B332" s="6" t="n">
        <v>0.02862985685071575</v>
      </c>
      <c r="C332" s="6" t="n">
        <v>0.1650062272533291</v>
      </c>
      <c r="D332" s="6" t="n">
        <v>0.4172169010182497</v>
      </c>
      <c r="E332" s="55" t="n"/>
      <c r="K332">
        <f>ABS(B332 - $G$2)</f>
        <v/>
      </c>
      <c r="L332">
        <f>ABS(B332 - $H$2)</f>
        <v/>
      </c>
      <c r="M332">
        <f>ABS(B332 - $I$2)</f>
        <v/>
      </c>
      <c r="O332">
        <f>(1/K332^2) / ((1/K332^2) + (1/L332^2) + (1/M332^2))</f>
        <v/>
      </c>
      <c r="P332">
        <f>(1/L332^2) / ((1/K332^2) + (1/L332^2) + (1/M332^2))</f>
        <v/>
      </c>
      <c r="Q332">
        <f>(1/M332^2) / ((1/K332^2) + (1/L332^2) + (1/M332^2))</f>
        <v/>
      </c>
      <c r="S332">
        <f>IF(MAX(O332:Q332)=O332, "Murah", IF(MAX(O332:Q332)=P332, "Sedang", "Mahal"))</f>
        <v/>
      </c>
    </row>
    <row r="333">
      <c r="A333" s="6" t="inlineStr">
        <is>
          <t>Warteg Nasional Bahari 57</t>
        </is>
      </c>
      <c r="B333" s="6" t="n">
        <v>0.01431492842535787</v>
      </c>
      <c r="C333" s="6" t="n">
        <v>0.1889875711677445</v>
      </c>
      <c r="D333" s="6" t="n">
        <v>0.2745531257068879</v>
      </c>
      <c r="E333" s="55" t="n"/>
      <c r="K333">
        <f>ABS(B333 - $G$2)</f>
        <v/>
      </c>
      <c r="L333">
        <f>ABS(B333 - $H$2)</f>
        <v/>
      </c>
      <c r="M333">
        <f>ABS(B333 - $I$2)</f>
        <v/>
      </c>
      <c r="O333">
        <f>(1/K333^2) / ((1/K333^2) + (1/L333^2) + (1/M333^2))</f>
        <v/>
      </c>
      <c r="P333">
        <f>(1/L333^2) / ((1/K333^2) + (1/L333^2) + (1/M333^2))</f>
        <v/>
      </c>
      <c r="Q333">
        <f>(1/M333^2) / ((1/K333^2) + (1/L333^2) + (1/M333^2))</f>
        <v/>
      </c>
      <c r="S333">
        <f>IF(MAX(O333:Q333)=O333, "Murah", IF(MAX(O333:Q333)=P333, "Sedang", "Mahal"))</f>
        <v/>
      </c>
    </row>
    <row r="334">
      <c r="A334" s="6" t="inlineStr">
        <is>
          <t>Warteg Aruna Bahari Grup</t>
        </is>
      </c>
      <c r="B334" s="6" t="n">
        <v>0.01431492842535787</v>
      </c>
      <c r="C334" s="6" t="n">
        <v>0.1567169077557526</v>
      </c>
      <c r="D334" s="6" t="n">
        <v>0.3903005491659257</v>
      </c>
      <c r="E334" s="55" t="n"/>
      <c r="K334">
        <f>ABS(B334 - $G$2)</f>
        <v/>
      </c>
      <c r="L334">
        <f>ABS(B334 - $H$2)</f>
        <v/>
      </c>
      <c r="M334">
        <f>ABS(B334 - $I$2)</f>
        <v/>
      </c>
      <c r="O334">
        <f>(1/K334^2) / ((1/K334^2) + (1/L334^2) + (1/M334^2))</f>
        <v/>
      </c>
      <c r="P334">
        <f>(1/L334^2) / ((1/K334^2) + (1/L334^2) + (1/M334^2))</f>
        <v/>
      </c>
      <c r="Q334">
        <f>(1/M334^2) / ((1/K334^2) + (1/L334^2) + (1/M334^2))</f>
        <v/>
      </c>
      <c r="S334">
        <f>IF(MAX(O334:Q334)=O334, "Murah", IF(MAX(O334:Q334)=P334, "Sedang", "Mahal"))</f>
        <v/>
      </c>
    </row>
    <row r="335">
      <c r="A335" s="6" t="inlineStr">
        <is>
          <t>Warung Makan Tegal Citra Baru</t>
        </is>
      </c>
      <c r="B335" s="6" t="n">
        <v>0.0245398773006135</v>
      </c>
      <c r="C335" s="6" t="n">
        <v>0.9949752048260121</v>
      </c>
      <c r="D335" s="6" t="n">
        <v>0.7711787725592401</v>
      </c>
      <c r="E335" s="55" t="n"/>
      <c r="K335">
        <f>ABS(B335 - $G$2)</f>
        <v/>
      </c>
      <c r="L335">
        <f>ABS(B335 - $H$2)</f>
        <v/>
      </c>
      <c r="M335">
        <f>ABS(B335 - $I$2)</f>
        <v/>
      </c>
      <c r="O335">
        <f>(1/K335^2) / ((1/K335^2) + (1/L335^2) + (1/M335^2))</f>
        <v/>
      </c>
      <c r="P335">
        <f>(1/L335^2) / ((1/K335^2) + (1/L335^2) + (1/M335^2))</f>
        <v/>
      </c>
      <c r="Q335">
        <f>(1/M335^2) / ((1/K335^2) + (1/L335^2) + (1/M335^2))</f>
        <v/>
      </c>
      <c r="S335">
        <f>IF(MAX(O335:Q335)=O335, "Murah", IF(MAX(O335:Q335)=P335, "Sedang", "Mahal"))</f>
        <v/>
      </c>
    </row>
    <row r="336">
      <c r="A336" s="6" t="inlineStr">
        <is>
          <t>Warteg Orens Bahari WOB 152 Dinoyo</t>
        </is>
      </c>
      <c r="B336" s="6" t="n">
        <v>0.03067484662576687</v>
      </c>
      <c r="C336" s="6" t="n">
        <v>0.1831915751148205</v>
      </c>
      <c r="D336" s="6" t="n">
        <v>0.3044584640300976</v>
      </c>
      <c r="E336" s="55" t="n"/>
      <c r="K336">
        <f>ABS(B336 - $G$2)</f>
        <v/>
      </c>
      <c r="L336">
        <f>ABS(B336 - $H$2)</f>
        <v/>
      </c>
      <c r="M336">
        <f>ABS(B336 - $I$2)</f>
        <v/>
      </c>
      <c r="O336">
        <f>(1/K336^2) / ((1/K336^2) + (1/L336^2) + (1/M336^2))</f>
        <v/>
      </c>
      <c r="P336">
        <f>(1/L336^2) / ((1/K336^2) + (1/L336^2) + (1/M336^2))</f>
        <v/>
      </c>
      <c r="Q336">
        <f>(1/M336^2) / ((1/K336^2) + (1/L336^2) + (1/M336^2))</f>
        <v/>
      </c>
      <c r="S336">
        <f>IF(MAX(O336:Q336)=O336, "Murah", IF(MAX(O336:Q336)=P336, "Sedang", "Mahal"))</f>
        <v/>
      </c>
    </row>
    <row r="337">
      <c r="A337" s="6" t="inlineStr">
        <is>
          <t>WARTEG SARIRASA BAHARI</t>
        </is>
      </c>
      <c r="B337" s="6" t="n">
        <v>0.04192229038854806</v>
      </c>
      <c r="C337" s="6" t="n">
        <v>0.182893049648963</v>
      </c>
      <c r="D337" s="6" t="n">
        <v>0.2877561712089193</v>
      </c>
      <c r="E337" s="55" t="n"/>
      <c r="K337">
        <f>ABS(B337 - $G$2)</f>
        <v/>
      </c>
      <c r="L337">
        <f>ABS(B337 - $H$2)</f>
        <v/>
      </c>
      <c r="M337">
        <f>ABS(B337 - $I$2)</f>
        <v/>
      </c>
      <c r="O337">
        <f>(1/K337^2) / ((1/K337^2) + (1/L337^2) + (1/M337^2))</f>
        <v/>
      </c>
      <c r="P337">
        <f>(1/L337^2) / ((1/K337^2) + (1/L337^2) + (1/M337^2))</f>
        <v/>
      </c>
      <c r="Q337">
        <f>(1/M337^2) / ((1/K337^2) + (1/L337^2) + (1/M337^2))</f>
        <v/>
      </c>
      <c r="S337">
        <f>IF(MAX(O337:Q337)=O337, "Murah", IF(MAX(O337:Q337)=P337, "Sedang", "Mahal"))</f>
        <v/>
      </c>
    </row>
    <row r="338">
      <c r="A338" s="6" t="inlineStr">
        <is>
          <t>Warung Prasmanan Ayah 24 jam</t>
        </is>
      </c>
      <c r="B338" s="6" t="n">
        <v>0.03885480572597137</v>
      </c>
      <c r="C338" s="6" t="n">
        <v>0.1638233882168061</v>
      </c>
      <c r="D338" s="6" t="n">
        <v>0.2939924061396177</v>
      </c>
      <c r="E338" s="55" t="n"/>
      <c r="K338">
        <f>ABS(B338 - $G$2)</f>
        <v/>
      </c>
      <c r="L338">
        <f>ABS(B338 - $H$2)</f>
        <v/>
      </c>
      <c r="M338">
        <f>ABS(B338 - $I$2)</f>
        <v/>
      </c>
      <c r="O338">
        <f>(1/K338^2) / ((1/K338^2) + (1/L338^2) + (1/M338^2))</f>
        <v/>
      </c>
      <c r="P338">
        <f>(1/L338^2) / ((1/K338^2) + (1/L338^2) + (1/M338^2))</f>
        <v/>
      </c>
      <c r="Q338">
        <f>(1/M338^2) / ((1/K338^2) + (1/L338^2) + (1/M338^2))</f>
        <v/>
      </c>
      <c r="S338">
        <f>IF(MAX(O338:Q338)=O338, "Murah", IF(MAX(O338:Q338)=P338, "Sedang", "Mahal"))</f>
        <v/>
      </c>
    </row>
    <row r="339">
      <c r="A339" s="6" t="inlineStr">
        <is>
          <t>Warteg Orens Bahari</t>
        </is>
      </c>
      <c r="B339" s="6" t="n">
        <v>0.03067484662576687</v>
      </c>
      <c r="C339" s="6" t="n">
        <v>0.1545775761718304</v>
      </c>
      <c r="D339" s="6" t="n">
        <v>0.402696019375916</v>
      </c>
      <c r="E339" s="55" t="n"/>
      <c r="K339">
        <f>ABS(B339 - $G$2)</f>
        <v/>
      </c>
      <c r="L339">
        <f>ABS(B339 - $H$2)</f>
        <v/>
      </c>
      <c r="M339">
        <f>ABS(B339 - $I$2)</f>
        <v/>
      </c>
      <c r="O339">
        <f>(1/K339^2) / ((1/K339^2) + (1/L339^2) + (1/M339^2))</f>
        <v/>
      </c>
      <c r="P339">
        <f>(1/L339^2) / ((1/K339^2) + (1/L339^2) + (1/M339^2))</f>
        <v/>
      </c>
      <c r="Q339">
        <f>(1/M339^2) / ((1/K339^2) + (1/L339^2) + (1/M339^2))</f>
        <v/>
      </c>
      <c r="S339">
        <f>IF(MAX(O339:Q339)=O339, "Murah", IF(MAX(O339:Q339)=P339, "Sedang", "Mahal"))</f>
        <v/>
      </c>
    </row>
    <row r="340">
      <c r="A340" s="6" t="inlineStr">
        <is>
          <t>Warteg Bahari Sentosa</t>
        </is>
      </c>
      <c r="B340" s="6" t="n">
        <v>0.0245398773006135</v>
      </c>
      <c r="C340" s="6" t="n">
        <v>0.1418157033356861</v>
      </c>
      <c r="D340" s="6" t="n">
        <v>0.4992366350341579</v>
      </c>
      <c r="E340" s="55" t="n"/>
      <c r="K340">
        <f>ABS(B340 - $G$2)</f>
        <v/>
      </c>
      <c r="L340">
        <f>ABS(B340 - $H$2)</f>
        <v/>
      </c>
      <c r="M340">
        <f>ABS(B340 - $I$2)</f>
        <v/>
      </c>
      <c r="O340">
        <f>(1/K340^2) / ((1/K340^2) + (1/L340^2) + (1/M340^2))</f>
        <v/>
      </c>
      <c r="P340">
        <f>(1/L340^2) / ((1/K340^2) + (1/L340^2) + (1/M340^2))</f>
        <v/>
      </c>
      <c r="Q340">
        <f>(1/M340^2) / ((1/K340^2) + (1/L340^2) + (1/M340^2))</f>
        <v/>
      </c>
      <c r="S340">
        <f>IF(MAX(O340:Q340)=O340, "Murah", IF(MAX(O340:Q340)=P340, "Sedang", "Mahal"))</f>
        <v/>
      </c>
    </row>
    <row r="341">
      <c r="A341" s="6" t="inlineStr">
        <is>
          <t>Warteg Nasional Bahari 81 Mayjend Sungkono</t>
        </is>
      </c>
      <c r="B341" s="6" t="n">
        <v>0.01431492842535787</v>
      </c>
      <c r="C341" s="6" t="n">
        <v>0.1189859531960513</v>
      </c>
      <c r="D341" s="6" t="n">
        <v>0.4468838719992957</v>
      </c>
      <c r="E341" s="55" t="n"/>
      <c r="K341">
        <f>ABS(B341 - $G$2)</f>
        <v/>
      </c>
      <c r="L341">
        <f>ABS(B341 - $H$2)</f>
        <v/>
      </c>
      <c r="M341">
        <f>ABS(B341 - $I$2)</f>
        <v/>
      </c>
      <c r="O341">
        <f>(1/K341^2) / ((1/K341^2) + (1/L341^2) + (1/M341^2))</f>
        <v/>
      </c>
      <c r="P341">
        <f>(1/L341^2) / ((1/K341^2) + (1/L341^2) + (1/M341^2))</f>
        <v/>
      </c>
      <c r="Q341">
        <f>(1/M341^2) / ((1/K341^2) + (1/L341^2) + (1/M341^2))</f>
        <v/>
      </c>
      <c r="S341">
        <f>IF(MAX(O341:Q341)=O341, "Murah", IF(MAX(O341:Q341)=P341, "Sedang", "Mahal"))</f>
        <v/>
      </c>
    </row>
    <row r="342">
      <c r="A342" s="6" t="inlineStr">
        <is>
          <t>Warteg Nasional Bahari (Satsui Tubun)</t>
        </is>
      </c>
      <c r="B342" s="6" t="n">
        <v>0.01431492842535787</v>
      </c>
      <c r="C342" s="6" t="n">
        <v>0.0868541979825741</v>
      </c>
      <c r="D342" s="6" t="n">
        <v>0.3463635901437382</v>
      </c>
      <c r="E342" s="55" t="n"/>
      <c r="K342">
        <f>ABS(B342 - $G$2)</f>
        <v/>
      </c>
      <c r="L342">
        <f>ABS(B342 - $H$2)</f>
        <v/>
      </c>
      <c r="M342">
        <f>ABS(B342 - $I$2)</f>
        <v/>
      </c>
      <c r="O342">
        <f>(1/K342^2) / ((1/K342^2) + (1/L342^2) + (1/M342^2))</f>
        <v/>
      </c>
      <c r="P342">
        <f>(1/L342^2) / ((1/K342^2) + (1/L342^2) + (1/M342^2))</f>
        <v/>
      </c>
      <c r="Q342">
        <f>(1/M342^2) / ((1/K342^2) + (1/L342^2) + (1/M342^2))</f>
        <v/>
      </c>
      <c r="S342">
        <f>IF(MAX(O342:Q342)=O342, "Murah", IF(MAX(O342:Q342)=P342, "Sedang", "Mahal"))</f>
        <v/>
      </c>
    </row>
    <row r="343">
      <c r="A343" s="6" t="inlineStr">
        <is>
          <t>Warteg Nasional Bahari 101</t>
        </is>
      </c>
      <c r="B343" s="6" t="n">
        <v>0.02760736196319018</v>
      </c>
      <c r="C343" s="6" t="n">
        <v>0.1663163483444617</v>
      </c>
      <c r="D343" s="6" t="n">
        <v>0.3481843187446718</v>
      </c>
      <c r="E343" s="55" t="n"/>
      <c r="K343">
        <f>ABS(B343 - $G$2)</f>
        <v/>
      </c>
      <c r="L343">
        <f>ABS(B343 - $H$2)</f>
        <v/>
      </c>
      <c r="M343">
        <f>ABS(B343 - $I$2)</f>
        <v/>
      </c>
      <c r="O343">
        <f>(1/K343^2) / ((1/K343^2) + (1/L343^2) + (1/M343^2))</f>
        <v/>
      </c>
      <c r="P343">
        <f>(1/L343^2) / ((1/K343^2) + (1/L343^2) + (1/M343^2))</f>
        <v/>
      </c>
      <c r="Q343">
        <f>(1/M343^2) / ((1/K343^2) + (1/L343^2) + (1/M343^2))</f>
        <v/>
      </c>
      <c r="S343">
        <f>IF(MAX(O343:Q343)=O343, "Murah", IF(MAX(O343:Q343)=P343, "Sedang", "Mahal"))</f>
        <v/>
      </c>
    </row>
    <row r="344">
      <c r="A344" s="6" t="inlineStr">
        <is>
          <t>WARTEG NASIONAL</t>
        </is>
      </c>
      <c r="B344" s="6" t="n">
        <v>0.03374233128834356</v>
      </c>
      <c r="C344" s="6" t="n">
        <v>0.232003940293938</v>
      </c>
      <c r="D344" s="6" t="n">
        <v>0.2857954432416541</v>
      </c>
      <c r="E344" s="55" t="n"/>
      <c r="K344">
        <f>ABS(B344 - $G$2)</f>
        <v/>
      </c>
      <c r="L344">
        <f>ABS(B344 - $H$2)</f>
        <v/>
      </c>
      <c r="M344">
        <f>ABS(B344 - $I$2)</f>
        <v/>
      </c>
      <c r="O344">
        <f>(1/K344^2) / ((1/K344^2) + (1/L344^2) + (1/M344^2))</f>
        <v/>
      </c>
      <c r="P344">
        <f>(1/L344^2) / ((1/K344^2) + (1/L344^2) + (1/M344^2))</f>
        <v/>
      </c>
      <c r="Q344">
        <f>(1/M344^2) / ((1/K344^2) + (1/L344^2) + (1/M344^2))</f>
        <v/>
      </c>
      <c r="S344">
        <f>IF(MAX(O344:Q344)=O344, "Murah", IF(MAX(O344:Q344)=P344, "Sedang", "Mahal"))</f>
        <v/>
      </c>
    </row>
    <row r="345">
      <c r="A345" s="6" t="inlineStr">
        <is>
          <t>WARTEG BOROBUDUR</t>
        </is>
      </c>
      <c r="B345" s="6" t="n">
        <v>0.05398773006134969</v>
      </c>
      <c r="C345" s="6" t="n">
        <v>0.1836552887086407</v>
      </c>
      <c r="D345" s="6" t="n">
        <v>0.4150885422307915</v>
      </c>
      <c r="E345" s="55" t="n"/>
      <c r="K345">
        <f>ABS(B345 - $G$2)</f>
        <v/>
      </c>
      <c r="L345">
        <f>ABS(B345 - $H$2)</f>
        <v/>
      </c>
      <c r="M345">
        <f>ABS(B345 - $I$2)</f>
        <v/>
      </c>
      <c r="O345">
        <f>(1/K345^2) / ((1/K345^2) + (1/L345^2) + (1/M345^2))</f>
        <v/>
      </c>
      <c r="P345">
        <f>(1/L345^2) / ((1/K345^2) + (1/L345^2) + (1/M345^2))</f>
        <v/>
      </c>
      <c r="Q345">
        <f>(1/M345^2) / ((1/K345^2) + (1/L345^2) + (1/M345^2))</f>
        <v/>
      </c>
      <c r="S345">
        <f>IF(MAX(O345:Q345)=O345, "Murah", IF(MAX(O345:Q345)=P345, "Sedang", "Mahal"))</f>
        <v/>
      </c>
    </row>
    <row r="346">
      <c r="A346" s="6" t="inlineStr">
        <is>
          <t>Warteg Mamoka Bahari</t>
        </is>
      </c>
      <c r="B346" s="6" t="n">
        <v>0.02862985685071575</v>
      </c>
      <c r="C346" s="6" t="n">
        <v>0.1524117224471292</v>
      </c>
      <c r="D346" s="6" t="n">
        <v>0.3222759623298417</v>
      </c>
      <c r="E346" s="55" t="n"/>
      <c r="K346">
        <f>ABS(B346 - $G$2)</f>
        <v/>
      </c>
      <c r="L346">
        <f>ABS(B346 - $H$2)</f>
        <v/>
      </c>
      <c r="M346">
        <f>ABS(B346 - $I$2)</f>
        <v/>
      </c>
      <c r="O346">
        <f>(1/K346^2) / ((1/K346^2) + (1/L346^2) + (1/M346^2))</f>
        <v/>
      </c>
      <c r="P346">
        <f>(1/L346^2) / ((1/K346^2) + (1/L346^2) + (1/M346^2))</f>
        <v/>
      </c>
      <c r="Q346">
        <f>(1/M346^2) / ((1/K346^2) + (1/L346^2) + (1/M346^2))</f>
        <v/>
      </c>
      <c r="S346">
        <f>IF(MAX(O346:Q346)=O346, "Murah", IF(MAX(O346:Q346)=P346, "Sedang", "Mahal"))</f>
        <v/>
      </c>
    </row>
    <row r="347">
      <c r="A347" s="6" t="inlineStr">
        <is>
          <t>Warung Nasi Matos Bu Kesy</t>
        </is>
      </c>
      <c r="B347" s="6" t="n">
        <v>0.1615541922290389</v>
      </c>
      <c r="C347" s="6" t="n">
        <v>0.1743759303942772</v>
      </c>
      <c r="D347" s="6" t="n">
        <v>0.3053496705225536</v>
      </c>
      <c r="E347" s="55" t="n"/>
      <c r="K347">
        <f>ABS(B347 - $G$2)</f>
        <v/>
      </c>
      <c r="L347">
        <f>ABS(B347 - $H$2)</f>
        <v/>
      </c>
      <c r="M347">
        <f>ABS(B347 - $I$2)</f>
        <v/>
      </c>
      <c r="O347">
        <f>(1/K347^2) / ((1/K347^2) + (1/L347^2) + (1/M347^2))</f>
        <v/>
      </c>
      <c r="P347">
        <f>(1/L347^2) / ((1/K347^2) + (1/L347^2) + (1/M347^2))</f>
        <v/>
      </c>
      <c r="Q347">
        <f>(1/M347^2) / ((1/K347^2) + (1/L347^2) + (1/M347^2))</f>
        <v/>
      </c>
      <c r="S347">
        <f>IF(MAX(O347:Q347)=O347, "Murah", IF(MAX(O347:Q347)=P347, "Sedang", "Mahal"))</f>
        <v/>
      </c>
    </row>
    <row r="348">
      <c r="A348" s="6" t="inlineStr">
        <is>
          <t>Warung Pudji Mulyo</t>
        </is>
      </c>
      <c r="B348" s="6" t="n">
        <v>0.07719836400817996</v>
      </c>
      <c r="C348" s="6" t="n">
        <v>0.1765561956931918</v>
      </c>
      <c r="D348" s="6" t="n">
        <v>0.3128668996550901</v>
      </c>
      <c r="E348" s="55" t="n"/>
      <c r="K348">
        <f>ABS(B348 - $G$2)</f>
        <v/>
      </c>
      <c r="L348">
        <f>ABS(B348 - $H$2)</f>
        <v/>
      </c>
      <c r="M348">
        <f>ABS(B348 - $I$2)</f>
        <v/>
      </c>
      <c r="O348">
        <f>(1/K348^2) / ((1/K348^2) + (1/L348^2) + (1/M348^2))</f>
        <v/>
      </c>
      <c r="P348">
        <f>(1/L348^2) / ((1/K348^2) + (1/L348^2) + (1/M348^2))</f>
        <v/>
      </c>
      <c r="Q348">
        <f>(1/M348^2) / ((1/K348^2) + (1/L348^2) + (1/M348^2))</f>
        <v/>
      </c>
      <c r="S348">
        <f>IF(MAX(O348:Q348)=O348, "Murah", IF(MAX(O348:Q348)=P348, "Sedang", "Mahal"))</f>
        <v/>
      </c>
    </row>
    <row r="349">
      <c r="A349" s="6" t="inlineStr">
        <is>
          <t>Warteg paradise bahari</t>
        </is>
      </c>
      <c r="B349" s="6" t="n">
        <v>0.01431492842535787</v>
      </c>
      <c r="C349" s="6" t="n">
        <v>0.13097941058357</v>
      </c>
      <c r="D349" s="6" t="n">
        <v>0.4935106609517207</v>
      </c>
      <c r="E349" s="55" t="n"/>
      <c r="K349">
        <f>ABS(B349 - $G$2)</f>
        <v/>
      </c>
      <c r="L349">
        <f>ABS(B349 - $H$2)</f>
        <v/>
      </c>
      <c r="M349">
        <f>ABS(B349 - $I$2)</f>
        <v/>
      </c>
      <c r="O349">
        <f>(1/K349^2) / ((1/K349^2) + (1/L349^2) + (1/M349^2))</f>
        <v/>
      </c>
      <c r="P349">
        <f>(1/L349^2) / ((1/K349^2) + (1/L349^2) + (1/M349^2))</f>
        <v/>
      </c>
      <c r="Q349">
        <f>(1/M349^2) / ((1/K349^2) + (1/L349^2) + (1/M349^2))</f>
        <v/>
      </c>
      <c r="S349">
        <f>IF(MAX(O349:Q349)=O349, "Murah", IF(MAX(O349:Q349)=P349, "Sedang", "Mahal"))</f>
        <v/>
      </c>
    </row>
    <row r="350">
      <c r="A350" s="6" t="inlineStr">
        <is>
          <t>Warteg citra baru</t>
        </is>
      </c>
      <c r="B350" s="6" t="n">
        <v>0.02249488752556237</v>
      </c>
      <c r="C350" s="6" t="n">
        <v>0.2045875552786812</v>
      </c>
      <c r="D350" s="6" t="n">
        <v>0.2043769696621043</v>
      </c>
      <c r="E350" s="55" t="n"/>
      <c r="K350">
        <f>ABS(B350 - $G$2)</f>
        <v/>
      </c>
      <c r="L350">
        <f>ABS(B350 - $H$2)</f>
        <v/>
      </c>
      <c r="M350">
        <f>ABS(B350 - $I$2)</f>
        <v/>
      </c>
      <c r="O350">
        <f>(1/K350^2) / ((1/K350^2) + (1/L350^2) + (1/M350^2))</f>
        <v/>
      </c>
      <c r="P350">
        <f>(1/L350^2) / ((1/K350^2) + (1/L350^2) + (1/M350^2))</f>
        <v/>
      </c>
      <c r="Q350">
        <f>(1/M350^2) / ((1/K350^2) + (1/L350^2) + (1/M350^2))</f>
        <v/>
      </c>
      <c r="S350">
        <f>IF(MAX(O350:Q350)=O350, "Murah", IF(MAX(O350:Q350)=P350, "Sedang", "Mahal"))</f>
        <v/>
      </c>
    </row>
    <row r="351">
      <c r="A351" s="6" t="inlineStr">
        <is>
          <t>Warteg Jie</t>
        </is>
      </c>
      <c r="B351" s="6" t="n">
        <v>0.04396728016359918</v>
      </c>
      <c r="C351" s="6" t="n">
        <v>0.1764798991238247</v>
      </c>
      <c r="D351" s="6" t="n">
        <v>0.3540410817087853</v>
      </c>
      <c r="E351" s="55" t="n"/>
      <c r="K351">
        <f>ABS(B351 - $G$2)</f>
        <v/>
      </c>
      <c r="L351">
        <f>ABS(B351 - $H$2)</f>
        <v/>
      </c>
      <c r="M351">
        <f>ABS(B351 - $I$2)</f>
        <v/>
      </c>
      <c r="O351">
        <f>(1/K351^2) / ((1/K351^2) + (1/L351^2) + (1/M351^2))</f>
        <v/>
      </c>
      <c r="P351">
        <f>(1/L351^2) / ((1/K351^2) + (1/L351^2) + (1/M351^2))</f>
        <v/>
      </c>
      <c r="Q351">
        <f>(1/M351^2) / ((1/K351^2) + (1/L351^2) + (1/M351^2))</f>
        <v/>
      </c>
      <c r="S351">
        <f>IF(MAX(O351:Q351)=O351, "Murah", IF(MAX(O351:Q351)=P351, "Sedang", "Mahal"))</f>
        <v/>
      </c>
    </row>
    <row r="352">
      <c r="A352" s="6" t="inlineStr">
        <is>
          <t>Warteg Dimas</t>
        </is>
      </c>
      <c r="B352" s="6" t="n">
        <v>0.04498977505112475</v>
      </c>
      <c r="C352" s="6" t="n">
        <v>0.1232821766854154</v>
      </c>
      <c r="D352" s="6" t="n">
        <v>0.3392973063384838</v>
      </c>
      <c r="E352" s="55" t="n"/>
      <c r="K352">
        <f>ABS(B352 - $G$2)</f>
        <v/>
      </c>
      <c r="L352">
        <f>ABS(B352 - $H$2)</f>
        <v/>
      </c>
      <c r="M352">
        <f>ABS(B352 - $I$2)</f>
        <v/>
      </c>
      <c r="O352">
        <f>(1/K352^2) / ((1/K352^2) + (1/L352^2) + (1/M352^2))</f>
        <v/>
      </c>
      <c r="P352">
        <f>(1/L352^2) / ((1/K352^2) + (1/L352^2) + (1/M352^2))</f>
        <v/>
      </c>
      <c r="Q352">
        <f>(1/M352^2) / ((1/K352^2) + (1/L352^2) + (1/M352^2))</f>
        <v/>
      </c>
      <c r="S352">
        <f>IF(MAX(O352:Q352)=O352, "Murah", IF(MAX(O352:Q352)=P352, "Sedang", "Mahal"))</f>
        <v/>
      </c>
    </row>
    <row r="353">
      <c r="A353" s="6" t="inlineStr">
        <is>
          <t>WARTEG MAMOKA BAHARI 273</t>
        </is>
      </c>
      <c r="B353" s="6" t="n">
        <v>0.0245398773006135</v>
      </c>
      <c r="C353" s="6" t="n">
        <v>0.1267135846162864</v>
      </c>
      <c r="D353" s="6" t="n">
        <v>0.3563757553518213</v>
      </c>
      <c r="E353" s="55" t="n"/>
      <c r="K353">
        <f>ABS(B353 - $G$2)</f>
        <v/>
      </c>
      <c r="L353">
        <f>ABS(B353 - $H$2)</f>
        <v/>
      </c>
      <c r="M353">
        <f>ABS(B353 - $I$2)</f>
        <v/>
      </c>
      <c r="O353">
        <f>(1/K353^2) / ((1/K353^2) + (1/L353^2) + (1/M353^2))</f>
        <v/>
      </c>
      <c r="P353">
        <f>(1/L353^2) / ((1/K353^2) + (1/L353^2) + (1/M353^2))</f>
        <v/>
      </c>
      <c r="Q353">
        <f>(1/M353^2) / ((1/K353^2) + (1/L353^2) + (1/M353^2))</f>
        <v/>
      </c>
      <c r="S353">
        <f>IF(MAX(O353:Q353)=O353, "Murah", IF(MAX(O353:Q353)=P353, "Sedang", "Mahal"))</f>
        <v/>
      </c>
    </row>
    <row r="354">
      <c r="A354" s="6" t="inlineStr">
        <is>
          <t>Rumah Makan Prasmanan Bu Marni</t>
        </is>
      </c>
      <c r="B354" s="6" t="n">
        <v>0.04498977505112475</v>
      </c>
      <c r="C354" s="6" t="n">
        <v>0.1561549774670803</v>
      </c>
      <c r="D354" s="6" t="n">
        <v>0.3225353295769106</v>
      </c>
      <c r="E354" s="55" t="n"/>
      <c r="K354">
        <f>ABS(B354 - $G$2)</f>
        <v/>
      </c>
      <c r="L354">
        <f>ABS(B354 - $H$2)</f>
        <v/>
      </c>
      <c r="M354">
        <f>ABS(B354 - $I$2)</f>
        <v/>
      </c>
      <c r="O354">
        <f>(1/K354^2) / ((1/K354^2) + (1/L354^2) + (1/M354^2))</f>
        <v/>
      </c>
      <c r="P354">
        <f>(1/L354^2) / ((1/K354^2) + (1/L354^2) + (1/M354^2))</f>
        <v/>
      </c>
      <c r="Q354">
        <f>(1/M354^2) / ((1/K354^2) + (1/L354^2) + (1/M354^2))</f>
        <v/>
      </c>
      <c r="S354">
        <f>IF(MAX(O354:Q354)=O354, "Murah", IF(MAX(O354:Q354)=P354, "Sedang", "Mahal"))</f>
        <v/>
      </c>
    </row>
    <row r="355">
      <c r="A355" s="6" t="inlineStr">
        <is>
          <t>Warung Wareg</t>
        </is>
      </c>
      <c r="B355" s="6" t="n">
        <v>0.2541922290388548</v>
      </c>
      <c r="C355" s="6" t="n">
        <v>0.2192757348328476</v>
      </c>
      <c r="D355" s="6" t="n">
        <v>0.3544990270043865</v>
      </c>
      <c r="E355" s="55" t="n"/>
      <c r="K355">
        <f>ABS(B355 - $G$2)</f>
        <v/>
      </c>
      <c r="L355">
        <f>ABS(B355 - $H$2)</f>
        <v/>
      </c>
      <c r="M355">
        <f>ABS(B355 - $I$2)</f>
        <v/>
      </c>
      <c r="O355">
        <f>(1/K355^2) / ((1/K355^2) + (1/L355^2) + (1/M355^2))</f>
        <v/>
      </c>
      <c r="P355">
        <f>(1/L355^2) / ((1/K355^2) + (1/L355^2) + (1/M355^2))</f>
        <v/>
      </c>
      <c r="Q355">
        <f>(1/M355^2) / ((1/K355^2) + (1/L355^2) + (1/M355^2))</f>
        <v/>
      </c>
      <c r="S355">
        <f>IF(MAX(O355:Q355)=O355, "Murah", IF(MAX(O355:Q355)=P355, "Sedang", "Mahal"))</f>
        <v/>
      </c>
    </row>
    <row r="356">
      <c r="A356" s="6" t="inlineStr">
        <is>
          <t>Warung kuning</t>
        </is>
      </c>
      <c r="B356" s="6" t="n">
        <v>0.01431492842535787</v>
      </c>
      <c r="C356" s="6" t="n">
        <v>0.1471731757732483</v>
      </c>
      <c r="D356" s="6" t="n">
        <v>0.3273148342591693</v>
      </c>
      <c r="E356" s="55" t="n"/>
      <c r="K356">
        <f>ABS(B356 - $G$2)</f>
        <v/>
      </c>
      <c r="L356">
        <f>ABS(B356 - $H$2)</f>
        <v/>
      </c>
      <c r="M356">
        <f>ABS(B356 - $I$2)</f>
        <v/>
      </c>
      <c r="O356">
        <f>(1/K356^2) / ((1/K356^2) + (1/L356^2) + (1/M356^2))</f>
        <v/>
      </c>
      <c r="P356">
        <f>(1/L356^2) / ((1/K356^2) + (1/L356^2) + (1/M356^2))</f>
        <v/>
      </c>
      <c r="Q356">
        <f>(1/M356^2) / ((1/K356^2) + (1/L356^2) + (1/M356^2))</f>
        <v/>
      </c>
      <c r="S356">
        <f>IF(MAX(O356:Q356)=O356, "Murah", IF(MAX(O356:Q356)=P356, "Sedang", "Mahal"))</f>
        <v/>
      </c>
    </row>
    <row r="357">
      <c r="A357" s="6" t="inlineStr">
        <is>
          <t>Warteg Citra Baru Bahari Kerto</t>
        </is>
      </c>
      <c r="B357" s="6" t="n">
        <v>0.02249488752556237</v>
      </c>
      <c r="C357" s="6" t="n">
        <v>0.1762437430757839</v>
      </c>
      <c r="D357" s="6" t="n">
        <v>0.3121050083668054</v>
      </c>
      <c r="E357" s="55" t="n"/>
      <c r="K357">
        <f>ABS(B357 - $G$2)</f>
        <v/>
      </c>
      <c r="L357">
        <f>ABS(B357 - $H$2)</f>
        <v/>
      </c>
      <c r="M357">
        <f>ABS(B357 - $I$2)</f>
        <v/>
      </c>
      <c r="O357">
        <f>(1/K357^2) / ((1/K357^2) + (1/L357^2) + (1/M357^2))</f>
        <v/>
      </c>
      <c r="P357">
        <f>(1/L357^2) / ((1/K357^2) + (1/L357^2) + (1/M357^2))</f>
        <v/>
      </c>
      <c r="Q357">
        <f>(1/M357^2) / ((1/K357^2) + (1/L357^2) + (1/M357^2))</f>
        <v/>
      </c>
      <c r="S357">
        <f>IF(MAX(O357:Q357)=O357, "Murah", IF(MAX(O357:Q357)=P357, "Sedang", "Mahal"))</f>
        <v/>
      </c>
    </row>
    <row r="358">
      <c r="A358" s="6" t="inlineStr">
        <is>
          <t>WARTEG ORENS BAHARI</t>
        </is>
      </c>
      <c r="B358" s="6" t="n">
        <v>0.03067484662576687</v>
      </c>
      <c r="C358" s="6" t="n">
        <v>0.1860549974737363</v>
      </c>
      <c r="D358" s="6" t="n">
        <v>0.3579393272219697</v>
      </c>
      <c r="E358" s="55" t="n"/>
      <c r="K358">
        <f>ABS(B358 - $G$2)</f>
        <v/>
      </c>
      <c r="L358">
        <f>ABS(B358 - $H$2)</f>
        <v/>
      </c>
      <c r="M358">
        <f>ABS(B358 - $I$2)</f>
        <v/>
      </c>
      <c r="O358">
        <f>(1/K358^2) / ((1/K358^2) + (1/L358^2) + (1/M358^2))</f>
        <v/>
      </c>
      <c r="P358">
        <f>(1/L358^2) / ((1/K358^2) + (1/L358^2) + (1/M358^2))</f>
        <v/>
      </c>
      <c r="Q358">
        <f>(1/M358^2) / ((1/K358^2) + (1/L358^2) + (1/M358^2))</f>
        <v/>
      </c>
      <c r="S358">
        <f>IF(MAX(O358:Q358)=O358, "Murah", IF(MAX(O358:Q358)=P358, "Sedang", "Mahal"))</f>
        <v/>
      </c>
    </row>
    <row r="359">
      <c r="A359" s="6" t="inlineStr">
        <is>
          <t>Warteg Putra Bahari 249</t>
        </is>
      </c>
      <c r="B359" s="6" t="n">
        <v>0.03067484662576687</v>
      </c>
      <c r="C359" s="6" t="n">
        <v>0.1409651782457416</v>
      </c>
      <c r="D359" s="6" t="n">
        <v>0.5005798921120378</v>
      </c>
      <c r="E359" s="55" t="n"/>
      <c r="K359">
        <f>ABS(B359 - $G$2)</f>
        <v/>
      </c>
      <c r="L359">
        <f>ABS(B359 - $H$2)</f>
        <v/>
      </c>
      <c r="M359">
        <f>ABS(B359 - $I$2)</f>
        <v/>
      </c>
      <c r="O359">
        <f>(1/K359^2) / ((1/K359^2) + (1/L359^2) + (1/M359^2))</f>
        <v/>
      </c>
      <c r="P359">
        <f>(1/L359^2) / ((1/K359^2) + (1/L359^2) + (1/M359^2))</f>
        <v/>
      </c>
      <c r="Q359">
        <f>(1/M359^2) / ((1/K359^2) + (1/L359^2) + (1/M359^2))</f>
        <v/>
      </c>
      <c r="S359">
        <f>IF(MAX(O359:Q359)=O359, "Murah", IF(MAX(O359:Q359)=P359, "Sedang", "Mahal"))</f>
        <v/>
      </c>
    </row>
    <row r="360">
      <c r="A360" s="6" t="inlineStr">
        <is>
          <t>warteg orens bahari</t>
        </is>
      </c>
      <c r="B360" s="6" t="n">
        <v>0.03067484662576687</v>
      </c>
      <c r="C360" s="6" t="n">
        <v>0.1697783960087451</v>
      </c>
      <c r="D360" s="6" t="n">
        <v>0.4187078942695068</v>
      </c>
      <c r="E360" s="55" t="n"/>
      <c r="K360">
        <f>ABS(B360 - $G$2)</f>
        <v/>
      </c>
      <c r="L360">
        <f>ABS(B360 - $H$2)</f>
        <v/>
      </c>
      <c r="M360">
        <f>ABS(B360 - $I$2)</f>
        <v/>
      </c>
      <c r="O360">
        <f>(1/K360^2) / ((1/K360^2) + (1/L360^2) + (1/M360^2))</f>
        <v/>
      </c>
      <c r="P360">
        <f>(1/L360^2) / ((1/K360^2) + (1/L360^2) + (1/M360^2))</f>
        <v/>
      </c>
      <c r="Q360">
        <f>(1/M360^2) / ((1/K360^2) + (1/L360^2) + (1/M360^2))</f>
        <v/>
      </c>
      <c r="S360">
        <f>IF(MAX(O360:Q360)=O360, "Murah", IF(MAX(O360:Q360)=P360, "Sedang", "Mahal"))</f>
        <v/>
      </c>
    </row>
    <row r="361">
      <c r="A361" s="6" t="inlineStr">
        <is>
          <t>Warteg Yonada bahari</t>
        </is>
      </c>
      <c r="B361" s="6" t="n">
        <v>0.01840490797546012</v>
      </c>
      <c r="C361" s="6" t="n">
        <v>0.1394374302734137</v>
      </c>
      <c r="D361" s="6" t="n">
        <v>0.5095895881734411</v>
      </c>
      <c r="E361" s="55" t="n"/>
      <c r="K361">
        <f>ABS(B361 - $G$2)</f>
        <v/>
      </c>
      <c r="L361">
        <f>ABS(B361 - $H$2)</f>
        <v/>
      </c>
      <c r="M361">
        <f>ABS(B361 - $I$2)</f>
        <v/>
      </c>
      <c r="O361">
        <f>(1/K361^2) / ((1/K361^2) + (1/L361^2) + (1/M361^2))</f>
        <v/>
      </c>
      <c r="P361">
        <f>(1/L361^2) / ((1/K361^2) + (1/L361^2) + (1/M361^2))</f>
        <v/>
      </c>
      <c r="Q361">
        <f>(1/M361^2) / ((1/K361^2) + (1/L361^2) + (1/M361^2))</f>
        <v/>
      </c>
      <c r="S361">
        <f>IF(MAX(O361:Q361)=O361, "Murah", IF(MAX(O361:Q361)=P361, "Sedang", "Mahal"))</f>
        <v/>
      </c>
    </row>
    <row r="362">
      <c r="A362" s="6" t="inlineStr">
        <is>
          <t>WARTEG JAYA BAHARU</t>
        </is>
      </c>
      <c r="B362" s="6" t="n">
        <v>0.01431492842535787</v>
      </c>
      <c r="C362" s="6" t="n">
        <v>0.1876701837366722</v>
      </c>
      <c r="D362" s="6" t="n">
        <v>0.3463282218827791</v>
      </c>
      <c r="E362" s="55" t="n"/>
      <c r="K362">
        <f>ABS(B362 - $G$2)</f>
        <v/>
      </c>
      <c r="L362">
        <f>ABS(B362 - $H$2)</f>
        <v/>
      </c>
      <c r="M362">
        <f>ABS(B362 - $I$2)</f>
        <v/>
      </c>
      <c r="O362">
        <f>(1/K362^2) / ((1/K362^2) + (1/L362^2) + (1/M362^2))</f>
        <v/>
      </c>
      <c r="P362">
        <f>(1/L362^2) / ((1/K362^2) + (1/L362^2) + (1/M362^2))</f>
        <v/>
      </c>
      <c r="Q362">
        <f>(1/M362^2) / ((1/K362^2) + (1/L362^2) + (1/M362^2))</f>
        <v/>
      </c>
      <c r="S362">
        <f>IF(MAX(O362:Q362)=O362, "Murah", IF(MAX(O362:Q362)=P362, "Sedang", "Mahal"))</f>
        <v/>
      </c>
    </row>
    <row r="363">
      <c r="A363" s="6" t="inlineStr">
        <is>
          <t>WARTEG NASIONAL 24 JAM</t>
        </is>
      </c>
      <c r="B363" s="6" t="n">
        <v>0.03374233128834356</v>
      </c>
      <c r="C363" s="6" t="n">
        <v>0.1302645238391667</v>
      </c>
      <c r="D363" s="6" t="n">
        <v>0.3260699451570691</v>
      </c>
      <c r="E363" s="55" t="n"/>
      <c r="K363">
        <f>ABS(B363 - $G$2)</f>
        <v/>
      </c>
      <c r="L363">
        <f>ABS(B363 - $H$2)</f>
        <v/>
      </c>
      <c r="M363">
        <f>ABS(B363 - $I$2)</f>
        <v/>
      </c>
      <c r="O363">
        <f>(1/K363^2) / ((1/K363^2) + (1/L363^2) + (1/M363^2))</f>
        <v/>
      </c>
      <c r="P363">
        <f>(1/L363^2) / ((1/K363^2) + (1/L363^2) + (1/M363^2))</f>
        <v/>
      </c>
      <c r="Q363">
        <f>(1/M363^2) / ((1/K363^2) + (1/L363^2) + (1/M363^2))</f>
        <v/>
      </c>
      <c r="S363">
        <f>IF(MAX(O363:Q363)=O363, "Murah", IF(MAX(O363:Q363)=P363, "Sedang", "Mahal"))</f>
        <v/>
      </c>
    </row>
    <row r="364">
      <c r="A364" s="6" t="inlineStr">
        <is>
          <t>Warung Pojok</t>
        </is>
      </c>
      <c r="B364" s="6" t="n">
        <v>0.01840490797546012</v>
      </c>
      <c r="C364" s="6" t="n">
        <v>0.1193040977797462</v>
      </c>
      <c r="D364" s="6" t="n">
        <v>0.3622807812553905</v>
      </c>
      <c r="E364" s="55" t="n"/>
      <c r="K364">
        <f>ABS(B364 - $G$2)</f>
        <v/>
      </c>
      <c r="L364">
        <f>ABS(B364 - $H$2)</f>
        <v/>
      </c>
      <c r="M364">
        <f>ABS(B364 - $I$2)</f>
        <v/>
      </c>
      <c r="O364">
        <f>(1/K364^2) / ((1/K364^2) + (1/L364^2) + (1/M364^2))</f>
        <v/>
      </c>
      <c r="P364">
        <f>(1/L364^2) / ((1/K364^2) + (1/L364^2) + (1/M364^2))</f>
        <v/>
      </c>
      <c r="Q364">
        <f>(1/M364^2) / ((1/K364^2) + (1/L364^2) + (1/M364^2))</f>
        <v/>
      </c>
      <c r="S364">
        <f>IF(MAX(O364:Q364)=O364, "Murah", IF(MAX(O364:Q364)=P364, "Sedang", "Mahal"))</f>
        <v/>
      </c>
    </row>
    <row r="365">
      <c r="A365" s="6" t="inlineStr">
        <is>
          <t>Warteg putra bahari</t>
        </is>
      </c>
      <c r="B365" s="6" t="n">
        <v>0.03067484662576687</v>
      </c>
      <c r="C365" s="6" t="n">
        <v>0.2062961140098431</v>
      </c>
      <c r="D365" s="6" t="n">
        <v>0.2754108060353053</v>
      </c>
      <c r="E365" s="55" t="n"/>
      <c r="K365">
        <f>ABS(B365 - $G$2)</f>
        <v/>
      </c>
      <c r="L365">
        <f>ABS(B365 - $H$2)</f>
        <v/>
      </c>
      <c r="M365">
        <f>ABS(B365 - $I$2)</f>
        <v/>
      </c>
      <c r="O365">
        <f>(1/K365^2) / ((1/K365^2) + (1/L365^2) + (1/M365^2))</f>
        <v/>
      </c>
      <c r="P365">
        <f>(1/L365^2) / ((1/K365^2) + (1/L365^2) + (1/M365^2))</f>
        <v/>
      </c>
      <c r="Q365">
        <f>(1/M365^2) / ((1/K365^2) + (1/L365^2) + (1/M365^2))</f>
        <v/>
      </c>
      <c r="S365">
        <f>IF(MAX(O365:Q365)=O365, "Murah", IF(MAX(O365:Q365)=P365, "Sedang", "Mahal"))</f>
        <v/>
      </c>
    </row>
    <row r="366">
      <c r="A366" s="6" t="inlineStr">
        <is>
          <t>Warteg Fadli Bahari</t>
        </is>
      </c>
      <c r="B366" s="6" t="n">
        <v>0.01431492842535787</v>
      </c>
      <c r="C366" s="6" t="n">
        <v>0.1760447664671013</v>
      </c>
      <c r="D366" s="6" t="n">
        <v>0.3670462860010108</v>
      </c>
      <c r="E366" s="55" t="n"/>
      <c r="K366">
        <f>ABS(B366 - $G$2)</f>
        <v/>
      </c>
      <c r="L366">
        <f>ABS(B366 - $H$2)</f>
        <v/>
      </c>
      <c r="M366">
        <f>ABS(B366 - $I$2)</f>
        <v/>
      </c>
      <c r="O366">
        <f>(1/K366^2) / ((1/K366^2) + (1/L366^2) + (1/M366^2))</f>
        <v/>
      </c>
      <c r="P366">
        <f>(1/L366^2) / ((1/K366^2) + (1/L366^2) + (1/M366^2))</f>
        <v/>
      </c>
      <c r="Q366">
        <f>(1/M366^2) / ((1/K366^2) + (1/L366^2) + (1/M366^2))</f>
        <v/>
      </c>
      <c r="S366">
        <f>IF(MAX(O366:Q366)=O366, "Murah", IF(MAX(O366:Q366)=P366, "Sedang", "Mahal"))</f>
        <v/>
      </c>
    </row>
    <row r="367">
      <c r="A367" s="6" t="inlineStr">
        <is>
          <t>WARTEG NASIONAL BAHARI 96</t>
        </is>
      </c>
      <c r="B367" s="6" t="n">
        <v>0.02760736196319018</v>
      </c>
      <c r="C367" s="6" t="n">
        <v>0.1318778935171168</v>
      </c>
      <c r="D367" s="6" t="n">
        <v>0.49634491128091</v>
      </c>
      <c r="E367" s="55" t="n"/>
      <c r="K367">
        <f>ABS(B367 - $G$2)</f>
        <v/>
      </c>
      <c r="L367">
        <f>ABS(B367 - $H$2)</f>
        <v/>
      </c>
      <c r="M367">
        <f>ABS(B367 - $I$2)</f>
        <v/>
      </c>
      <c r="O367">
        <f>(1/K367^2) / ((1/K367^2) + (1/L367^2) + (1/M367^2))</f>
        <v/>
      </c>
      <c r="P367">
        <f>(1/L367^2) / ((1/K367^2) + (1/L367^2) + (1/M367^2))</f>
        <v/>
      </c>
      <c r="Q367">
        <f>(1/M367^2) / ((1/K367^2) + (1/L367^2) + (1/M367^2))</f>
        <v/>
      </c>
      <c r="S367">
        <f>IF(MAX(O367:Q367)=O367, "Murah", IF(MAX(O367:Q367)=P367, "Sedang", "Mahal"))</f>
        <v/>
      </c>
    </row>
    <row r="368">
      <c r="A368" s="6" t="inlineStr">
        <is>
          <t>Warteg sari bahari</t>
        </is>
      </c>
      <c r="B368" s="6" t="n">
        <v>0.01431492842535787</v>
      </c>
      <c r="C368" s="6" t="n">
        <v>0.1691967254965705</v>
      </c>
      <c r="D368" s="6" t="n">
        <v>0.5712928352008543</v>
      </c>
      <c r="E368" s="55" t="n"/>
      <c r="K368">
        <f>ABS(B368 - $G$2)</f>
        <v/>
      </c>
      <c r="L368">
        <f>ABS(B368 - $H$2)</f>
        <v/>
      </c>
      <c r="M368">
        <f>ABS(B368 - $I$2)</f>
        <v/>
      </c>
      <c r="O368">
        <f>(1/K368^2) / ((1/K368^2) + (1/L368^2) + (1/M368^2))</f>
        <v/>
      </c>
      <c r="P368">
        <f>(1/L368^2) / ((1/K368^2) + (1/L368^2) + (1/M368^2))</f>
        <v/>
      </c>
      <c r="Q368">
        <f>(1/M368^2) / ((1/K368^2) + (1/L368^2) + (1/M368^2))</f>
        <v/>
      </c>
      <c r="S368">
        <f>IF(MAX(O368:Q368)=O368, "Murah", IF(MAX(O368:Q368)=P368, "Sedang", "Mahal"))</f>
        <v/>
      </c>
    </row>
    <row r="369">
      <c r="A369" s="6" t="inlineStr">
        <is>
          <t>Warung Prasmanan Andong</t>
        </is>
      </c>
      <c r="B369" s="6" t="n">
        <v>0.02351738241308794</v>
      </c>
      <c r="C369" s="6" t="n">
        <v>0.1733395081075405</v>
      </c>
      <c r="D369" s="6" t="n">
        <v>0.3417005059871543</v>
      </c>
      <c r="E369" s="55" t="n"/>
      <c r="K369">
        <f>ABS(B369 - $G$2)</f>
        <v/>
      </c>
      <c r="L369">
        <f>ABS(B369 - $H$2)</f>
        <v/>
      </c>
      <c r="M369">
        <f>ABS(B369 - $I$2)</f>
        <v/>
      </c>
      <c r="O369">
        <f>(1/K369^2) / ((1/K369^2) + (1/L369^2) + (1/M369^2))</f>
        <v/>
      </c>
      <c r="P369">
        <f>(1/L369^2) / ((1/K369^2) + (1/L369^2) + (1/M369^2))</f>
        <v/>
      </c>
      <c r="Q369">
        <f>(1/M369^2) / ((1/K369^2) + (1/L369^2) + (1/M369^2))</f>
        <v/>
      </c>
      <c r="S369">
        <f>IF(MAX(O369:Q369)=O369, "Murah", IF(MAX(O369:Q369)=P369, "Sedang", "Mahal"))</f>
        <v/>
      </c>
    </row>
    <row r="370">
      <c r="A370" s="6" t="inlineStr">
        <is>
          <t>Warung Biru Cak Matos</t>
        </is>
      </c>
      <c r="B370" s="6" t="n">
        <v>0.05521472392638037</v>
      </c>
      <c r="C370" s="6" t="n">
        <v>0.1626250476550802</v>
      </c>
      <c r="D370" s="6" t="n">
        <v>0.3433200776038564</v>
      </c>
      <c r="E370" s="55" t="n"/>
      <c r="K370">
        <f>ABS(B370 - $G$2)</f>
        <v/>
      </c>
      <c r="L370">
        <f>ABS(B370 - $H$2)</f>
        <v/>
      </c>
      <c r="M370">
        <f>ABS(B370 - $I$2)</f>
        <v/>
      </c>
      <c r="O370">
        <f>(1/K370^2) / ((1/K370^2) + (1/L370^2) + (1/M370^2))</f>
        <v/>
      </c>
      <c r="P370">
        <f>(1/L370^2) / ((1/K370^2) + (1/L370^2) + (1/M370^2))</f>
        <v/>
      </c>
      <c r="Q370">
        <f>(1/M370^2) / ((1/K370^2) + (1/L370^2) + (1/M370^2))</f>
        <v/>
      </c>
      <c r="S370">
        <f>IF(MAX(O370:Q370)=O370, "Murah", IF(MAX(O370:Q370)=P370, "Sedang", "Mahal"))</f>
        <v/>
      </c>
    </row>
    <row r="371">
      <c r="A371" s="6" t="inlineStr">
        <is>
          <t>Warung Warteg Barokah</t>
        </is>
      </c>
      <c r="B371" s="6" t="n">
        <v>0.02658486707566462</v>
      </c>
      <c r="C371" s="6" t="n">
        <v>0.1893026881097979</v>
      </c>
      <c r="D371" s="6" t="n">
        <v>0.3306166087879782</v>
      </c>
      <c r="E371" s="55" t="n"/>
      <c r="K371">
        <f>ABS(B371 - $G$2)</f>
        <v/>
      </c>
      <c r="L371">
        <f>ABS(B371 - $H$2)</f>
        <v/>
      </c>
      <c r="M371">
        <f>ABS(B371 - $I$2)</f>
        <v/>
      </c>
      <c r="O371">
        <f>(1/K371^2) / ((1/K371^2) + (1/L371^2) + (1/M371^2))</f>
        <v/>
      </c>
      <c r="P371">
        <f>(1/L371^2) / ((1/K371^2) + (1/L371^2) + (1/M371^2))</f>
        <v/>
      </c>
      <c r="Q371">
        <f>(1/M371^2) / ((1/K371^2) + (1/L371^2) + (1/M371^2))</f>
        <v/>
      </c>
      <c r="S371">
        <f>IF(MAX(O371:Q371)=O371, "Murah", IF(MAX(O371:Q371)=P371, "Sedang", "Mahal"))</f>
        <v/>
      </c>
    </row>
    <row r="372">
      <c r="A372" s="6" t="inlineStr">
        <is>
          <t>Warteg Paradise Bahari 046</t>
        </is>
      </c>
      <c r="B372" s="6" t="n">
        <v>0.01431492842535787</v>
      </c>
      <c r="C372" s="6" t="n">
        <v>0.1431235234191723</v>
      </c>
      <c r="D372" s="6" t="n">
        <v>0.5026603563794558</v>
      </c>
      <c r="E372" s="55" t="n"/>
      <c r="K372">
        <f>ABS(B372 - $G$2)</f>
        <v/>
      </c>
      <c r="L372">
        <f>ABS(B372 - $H$2)</f>
        <v/>
      </c>
      <c r="M372">
        <f>ABS(B372 - $I$2)</f>
        <v/>
      </c>
      <c r="O372">
        <f>(1/K372^2) / ((1/K372^2) + (1/L372^2) + (1/M372^2))</f>
        <v/>
      </c>
      <c r="P372">
        <f>(1/L372^2) / ((1/K372^2) + (1/L372^2) + (1/M372^2))</f>
        <v/>
      </c>
      <c r="Q372">
        <f>(1/M372^2) / ((1/K372^2) + (1/L372^2) + (1/M372^2))</f>
        <v/>
      </c>
      <c r="S372">
        <f>IF(MAX(O372:Q372)=O372, "Murah", IF(MAX(O372:Q372)=P372, "Sedang", "Mahal"))</f>
        <v/>
      </c>
    </row>
    <row r="373">
      <c r="A373" s="6" t="inlineStr">
        <is>
          <t>WARTEG OI BAHARI</t>
        </is>
      </c>
      <c r="B373" s="6" t="n">
        <v>0.02351738241308794</v>
      </c>
      <c r="C373" s="6" t="n">
        <v>0.1803279105445737</v>
      </c>
      <c r="D373" s="6" t="n">
        <v>0.3331881760956205</v>
      </c>
      <c r="E373" s="55" t="n"/>
      <c r="K373">
        <f>ABS(B373 - $G$2)</f>
        <v/>
      </c>
      <c r="L373">
        <f>ABS(B373 - $H$2)</f>
        <v/>
      </c>
      <c r="M373">
        <f>ABS(B373 - $I$2)</f>
        <v/>
      </c>
      <c r="O373">
        <f>(1/K373^2) / ((1/K373^2) + (1/L373^2) + (1/M373^2))</f>
        <v/>
      </c>
      <c r="P373">
        <f>(1/L373^2) / ((1/K373^2) + (1/L373^2) + (1/M373^2))</f>
        <v/>
      </c>
      <c r="Q373">
        <f>(1/M373^2) / ((1/K373^2) + (1/L373^2) + (1/M373^2))</f>
        <v/>
      </c>
      <c r="S373">
        <f>IF(MAX(O373:Q373)=O373, "Murah", IF(MAX(O373:Q373)=P373, "Sedang", "Mahal"))</f>
        <v/>
      </c>
    </row>
    <row r="374">
      <c r="A374" s="6" t="inlineStr">
        <is>
          <t>Warung Sumber Rejeki</t>
        </is>
      </c>
      <c r="B374" s="6" t="n">
        <v>0.01226993865030675</v>
      </c>
      <c r="C374" s="6" t="n">
        <v>0.1604300074649531</v>
      </c>
      <c r="D374" s="6" t="n">
        <v>0.3157309919544243</v>
      </c>
      <c r="E374" s="55" t="n"/>
      <c r="K374">
        <f>ABS(B374 - $G$2)</f>
        <v/>
      </c>
      <c r="L374">
        <f>ABS(B374 - $H$2)</f>
        <v/>
      </c>
      <c r="M374">
        <f>ABS(B374 - $I$2)</f>
        <v/>
      </c>
      <c r="O374">
        <f>(1/K374^2) / ((1/K374^2) + (1/L374^2) + (1/M374^2))</f>
        <v/>
      </c>
      <c r="P374">
        <f>(1/L374^2) / ((1/K374^2) + (1/L374^2) + (1/M374^2))</f>
        <v/>
      </c>
      <c r="Q374">
        <f>(1/M374^2) / ((1/K374^2) + (1/L374^2) + (1/M374^2))</f>
        <v/>
      </c>
      <c r="S374">
        <f>IF(MAX(O374:Q374)=O374, "Murah", IF(MAX(O374:Q374)=P374, "Sedang", "Mahal"))</f>
        <v/>
      </c>
    </row>
    <row r="375">
      <c r="A375" s="6" t="inlineStr">
        <is>
          <t>Warteg Kalijogo</t>
        </is>
      </c>
      <c r="B375" s="6" t="n">
        <v>0.01840490797546012</v>
      </c>
      <c r="C375" s="6" t="n">
        <v>0.1689401025910323</v>
      </c>
      <c r="D375" s="6" t="n">
        <v>0.2979392830116734</v>
      </c>
      <c r="E375" s="55" t="n"/>
      <c r="K375">
        <f>ABS(B375 - $G$2)</f>
        <v/>
      </c>
      <c r="L375">
        <f>ABS(B375 - $H$2)</f>
        <v/>
      </c>
      <c r="M375">
        <f>ABS(B375 - $I$2)</f>
        <v/>
      </c>
      <c r="O375">
        <f>(1/K375^2) / ((1/K375^2) + (1/L375^2) + (1/M375^2))</f>
        <v/>
      </c>
      <c r="P375">
        <f>(1/L375^2) / ((1/K375^2) + (1/L375^2) + (1/M375^2))</f>
        <v/>
      </c>
      <c r="Q375">
        <f>(1/M375^2) / ((1/K375^2) + (1/L375^2) + (1/M375^2))</f>
        <v/>
      </c>
      <c r="S375">
        <f>IF(MAX(O375:Q375)=O375, "Murah", IF(MAX(O375:Q375)=P375, "Sedang", "Mahal"))</f>
        <v/>
      </c>
    </row>
    <row r="376">
      <c r="A376" s="6" t="inlineStr">
        <is>
          <t>Warteg Bolapelangi2</t>
        </is>
      </c>
      <c r="B376" s="6" t="n">
        <v>0.01840490797546012</v>
      </c>
      <c r="C376" s="6" t="n">
        <v>0.1307190334023966</v>
      </c>
      <c r="D376" s="6" t="n">
        <v>0.3770647143386344</v>
      </c>
      <c r="E376" s="55" t="n"/>
      <c r="K376">
        <f>ABS(B376 - $G$2)</f>
        <v/>
      </c>
      <c r="L376">
        <f>ABS(B376 - $H$2)</f>
        <v/>
      </c>
      <c r="M376">
        <f>ABS(B376 - $I$2)</f>
        <v/>
      </c>
      <c r="O376">
        <f>(1/K376^2) / ((1/K376^2) + (1/L376^2) + (1/M376^2))</f>
        <v/>
      </c>
      <c r="P376">
        <f>(1/L376^2) / ((1/K376^2) + (1/L376^2) + (1/M376^2))</f>
        <v/>
      </c>
      <c r="Q376">
        <f>(1/M376^2) / ((1/K376^2) + (1/L376^2) + (1/M376^2))</f>
        <v/>
      </c>
      <c r="S376">
        <f>IF(MAX(O376:Q376)=O376, "Murah", IF(MAX(O376:Q376)=P376, "Sedang", "Mahal"))</f>
        <v/>
      </c>
    </row>
    <row r="377">
      <c r="A377" s="6" t="inlineStr">
        <is>
          <t>WARTEG KHARISMA BAHARI</t>
        </is>
      </c>
      <c r="B377" s="6" t="n">
        <v>0.02351738241308794</v>
      </c>
      <c r="C377" s="6" t="n">
        <v>0.1636135120982146</v>
      </c>
      <c r="D377" s="6" t="n">
        <v>0.3205057071847</v>
      </c>
      <c r="E377" s="55" t="n"/>
      <c r="K377">
        <f>ABS(B377 - $G$2)</f>
        <v/>
      </c>
      <c r="L377">
        <f>ABS(B377 - $H$2)</f>
        <v/>
      </c>
      <c r="M377">
        <f>ABS(B377 - $I$2)</f>
        <v/>
      </c>
      <c r="O377">
        <f>(1/K377^2) / ((1/K377^2) + (1/L377^2) + (1/M377^2))</f>
        <v/>
      </c>
      <c r="P377">
        <f>(1/L377^2) / ((1/K377^2) + (1/L377^2) + (1/M377^2))</f>
        <v/>
      </c>
      <c r="Q377">
        <f>(1/M377^2) / ((1/K377^2) + (1/L377^2) + (1/M377^2))</f>
        <v/>
      </c>
      <c r="S377">
        <f>IF(MAX(O377:Q377)=O377, "Murah", IF(MAX(O377:Q377)=P377, "Sedang", "Mahal"))</f>
        <v/>
      </c>
    </row>
    <row r="378">
      <c r="A378" s="6" t="inlineStr">
        <is>
          <t>WARTEG AR</t>
        </is>
      </c>
      <c r="B378" s="6" t="n">
        <v>0.01840490797546012</v>
      </c>
      <c r="C378" s="6" t="n">
        <v>0.1851568778571853</v>
      </c>
      <c r="D378" s="6" t="n">
        <v>0.3619422038405266</v>
      </c>
      <c r="E378" s="55" t="n"/>
      <c r="K378">
        <f>ABS(B378 - $G$2)</f>
        <v/>
      </c>
      <c r="L378">
        <f>ABS(B378 - $H$2)</f>
        <v/>
      </c>
      <c r="M378">
        <f>ABS(B378 - $I$2)</f>
        <v/>
      </c>
      <c r="O378">
        <f>(1/K378^2) / ((1/K378^2) + (1/L378^2) + (1/M378^2))</f>
        <v/>
      </c>
      <c r="P378">
        <f>(1/L378^2) / ((1/K378^2) + (1/L378^2) + (1/M378^2))</f>
        <v/>
      </c>
      <c r="Q378">
        <f>(1/M378^2) / ((1/K378^2) + (1/L378^2) + (1/M378^2))</f>
        <v/>
      </c>
      <c r="S378">
        <f>IF(MAX(O378:Q378)=O378, "Murah", IF(MAX(O378:Q378)=P378, "Sedang", "Mahal"))</f>
        <v/>
      </c>
    </row>
    <row r="379">
      <c r="A379" s="6" t="inlineStr">
        <is>
          <t>WARTEG OMAHAN</t>
        </is>
      </c>
      <c r="B379" s="6" t="n">
        <v>0.01226993865030675</v>
      </c>
      <c r="C379" s="6" t="n">
        <v>0.1556803643633499</v>
      </c>
      <c r="D379" s="6" t="n">
        <v>0.3574946450242282</v>
      </c>
      <c r="E379" s="55" t="n"/>
      <c r="K379">
        <f>ABS(B379 - $G$2)</f>
        <v/>
      </c>
      <c r="L379">
        <f>ABS(B379 - $H$2)</f>
        <v/>
      </c>
      <c r="M379">
        <f>ABS(B379 - $I$2)</f>
        <v/>
      </c>
      <c r="O379">
        <f>(1/K379^2) / ((1/K379^2) + (1/L379^2) + (1/M379^2))</f>
        <v/>
      </c>
      <c r="P379">
        <f>(1/L379^2) / ((1/K379^2) + (1/L379^2) + (1/M379^2))</f>
        <v/>
      </c>
      <c r="Q379">
        <f>(1/M379^2) / ((1/K379^2) + (1/L379^2) + (1/M379^2))</f>
        <v/>
      </c>
      <c r="S379">
        <f>IF(MAX(O379:Q379)=O379, "Murah", IF(MAX(O379:Q379)=P379, "Sedang", "Mahal"))</f>
        <v/>
      </c>
    </row>
    <row r="380">
      <c r="A380" s="6" t="inlineStr">
        <is>
          <t>WARTEG BU MARNI 2</t>
        </is>
      </c>
      <c r="B380" s="6" t="n">
        <v>0.04498977505112475</v>
      </c>
      <c r="C380" s="6" t="n">
        <v>0.1897449660007961</v>
      </c>
      <c r="D380" s="6" t="n">
        <v>0.3188997670852732</v>
      </c>
      <c r="E380" s="55" t="n"/>
      <c r="K380">
        <f>ABS(B380 - $G$2)</f>
        <v/>
      </c>
      <c r="L380">
        <f>ABS(B380 - $H$2)</f>
        <v/>
      </c>
      <c r="M380">
        <f>ABS(B380 - $I$2)</f>
        <v/>
      </c>
      <c r="O380">
        <f>(1/K380^2) / ((1/K380^2) + (1/L380^2) + (1/M380^2))</f>
        <v/>
      </c>
      <c r="P380">
        <f>(1/L380^2) / ((1/K380^2) + (1/L380^2) + (1/M380^2))</f>
        <v/>
      </c>
      <c r="Q380">
        <f>(1/M380^2) / ((1/K380^2) + (1/L380^2) + (1/M380^2))</f>
        <v/>
      </c>
      <c r="S380">
        <f>IF(MAX(O380:Q380)=O380, "Murah", IF(MAX(O380:Q380)=P380, "Sedang", "Mahal"))</f>
        <v/>
      </c>
    </row>
    <row r="381">
      <c r="A381" s="6" t="inlineStr">
        <is>
          <t>Warung Mak Toen</t>
        </is>
      </c>
      <c r="B381" s="6" t="n">
        <v>0.01124744376278119</v>
      </c>
      <c r="C381" s="6" t="n">
        <v>0.1444337656159708</v>
      </c>
      <c r="D381" s="6" t="n">
        <v>0.3954845783329312</v>
      </c>
      <c r="E381" s="55" t="n"/>
      <c r="K381">
        <f>ABS(B381 - $G$2)</f>
        <v/>
      </c>
      <c r="L381">
        <f>ABS(B381 - $H$2)</f>
        <v/>
      </c>
      <c r="M381">
        <f>ABS(B381 - $I$2)</f>
        <v/>
      </c>
      <c r="O381">
        <f>(1/K381^2) / ((1/K381^2) + (1/L381^2) + (1/M381^2))</f>
        <v/>
      </c>
      <c r="P381">
        <f>(1/L381^2) / ((1/K381^2) + (1/L381^2) + (1/M381^2))</f>
        <v/>
      </c>
      <c r="Q381">
        <f>(1/M381^2) / ((1/K381^2) + (1/L381^2) + (1/M381^2))</f>
        <v/>
      </c>
      <c r="S381">
        <f>IF(MAX(O381:Q381)=O381, "Murah", IF(MAX(O381:Q381)=P381, "Sedang", "Mahal"))</f>
        <v/>
      </c>
    </row>
    <row r="382">
      <c r="A382" s="6" t="inlineStr">
        <is>
          <t>Warung Mak Par</t>
        </is>
      </c>
      <c r="B382" s="6" t="n">
        <v>0.0245398773006135</v>
      </c>
      <c r="C382" s="6" t="n">
        <v>0.1813654227823011</v>
      </c>
      <c r="D382" s="6" t="n">
        <v>0.2620486033589575</v>
      </c>
      <c r="E382" s="55" t="n"/>
      <c r="K382">
        <f>ABS(B382 - $G$2)</f>
        <v/>
      </c>
      <c r="L382">
        <f>ABS(B382 - $H$2)</f>
        <v/>
      </c>
      <c r="M382">
        <f>ABS(B382 - $I$2)</f>
        <v/>
      </c>
      <c r="O382">
        <f>(1/K382^2) / ((1/K382^2) + (1/L382^2) + (1/M382^2))</f>
        <v/>
      </c>
      <c r="P382">
        <f>(1/L382^2) / ((1/K382^2) + (1/L382^2) + (1/M382^2))</f>
        <v/>
      </c>
      <c r="Q382">
        <f>(1/M382^2) / ((1/K382^2) + (1/L382^2) + (1/M382^2))</f>
        <v/>
      </c>
      <c r="S382">
        <f>IF(MAX(O382:Q382)=O382, "Murah", IF(MAX(O382:Q382)=P382, "Sedang", "Mahal"))</f>
        <v/>
      </c>
    </row>
    <row r="383">
      <c r="A383" s="6" t="inlineStr">
        <is>
          <t>Warung Rizky</t>
        </is>
      </c>
      <c r="B383" s="6" t="n">
        <v>0.03271779141104295</v>
      </c>
      <c r="C383" s="6" t="n">
        <v>0.1853808022329955</v>
      </c>
      <c r="D383" s="6" t="n">
        <v>0.3626293059936362</v>
      </c>
      <c r="E383" s="55" t="n"/>
      <c r="K383">
        <f>ABS(B383 - $G$2)</f>
        <v/>
      </c>
      <c r="L383">
        <f>ABS(B383 - $H$2)</f>
        <v/>
      </c>
      <c r="M383">
        <f>ABS(B383 - $I$2)</f>
        <v/>
      </c>
      <c r="O383">
        <f>(1/K383^2) / ((1/K383^2) + (1/L383^2) + (1/M383^2))</f>
        <v/>
      </c>
      <c r="P383">
        <f>(1/L383^2) / ((1/K383^2) + (1/L383^2) + (1/M383^2))</f>
        <v/>
      </c>
      <c r="Q383">
        <f>(1/M383^2) / ((1/K383^2) + (1/L383^2) + (1/M383^2))</f>
        <v/>
      </c>
      <c r="S383">
        <f>IF(MAX(O383:Q383)=O383, "Murah", IF(MAX(O383:Q383)=P383, "Sedang", "Mahal"))</f>
        <v/>
      </c>
    </row>
    <row r="384">
      <c r="A384" s="6" t="inlineStr">
        <is>
          <t>Warung Makan 24 Jam Rawon Cak Wan</t>
        </is>
      </c>
      <c r="B384" s="6" t="n">
        <v>0.2331288343558282</v>
      </c>
      <c r="C384" s="6" t="n">
        <v>0.1846288571548989</v>
      </c>
      <c r="D384" s="6" t="n">
        <v>0.4551014663828538</v>
      </c>
      <c r="E384" s="55" t="n"/>
      <c r="K384">
        <f>ABS(B384 - $G$2)</f>
        <v/>
      </c>
      <c r="L384">
        <f>ABS(B384 - $H$2)</f>
        <v/>
      </c>
      <c r="M384">
        <f>ABS(B384 - $I$2)</f>
        <v/>
      </c>
      <c r="O384">
        <f>(1/K384^2) / ((1/K384^2) + (1/L384^2) + (1/M384^2))</f>
        <v/>
      </c>
      <c r="P384">
        <f>(1/L384^2) / ((1/K384^2) + (1/L384^2) + (1/M384^2))</f>
        <v/>
      </c>
      <c r="Q384">
        <f>(1/M384^2) / ((1/K384^2) + (1/L384^2) + (1/M384^2))</f>
        <v/>
      </c>
      <c r="S384">
        <f>IF(MAX(O384:Q384)=O384, "Murah", IF(MAX(O384:Q384)=P384, "Sedang", "Mahal"))</f>
        <v/>
      </c>
    </row>
    <row r="385">
      <c r="A385" s="6" t="inlineStr">
        <is>
          <t>Warung Pagi</t>
        </is>
      </c>
      <c r="B385" s="6" t="n">
        <v>0.00408997955010225</v>
      </c>
      <c r="C385" s="6" t="n">
        <v>0.1794254311240596</v>
      </c>
      <c r="D385" s="6" t="n">
        <v>0.310423910712788</v>
      </c>
      <c r="E385" s="55" t="n"/>
      <c r="K385">
        <f>ABS(B385 - $G$2)</f>
        <v/>
      </c>
      <c r="L385">
        <f>ABS(B385 - $H$2)</f>
        <v/>
      </c>
      <c r="M385">
        <f>ABS(B385 - $I$2)</f>
        <v/>
      </c>
      <c r="O385">
        <f>(1/K385^2) / ((1/K385^2) + (1/L385^2) + (1/M385^2))</f>
        <v/>
      </c>
      <c r="P385">
        <f>(1/L385^2) / ((1/K385^2) + (1/L385^2) + (1/M385^2))</f>
        <v/>
      </c>
      <c r="Q385">
        <f>(1/M385^2) / ((1/K385^2) + (1/L385^2) + (1/M385^2))</f>
        <v/>
      </c>
      <c r="S385">
        <f>IF(MAX(O385:Q385)=O385, "Murah", IF(MAX(O385:Q385)=P385, "Sedang", "Mahal"))</f>
        <v/>
      </c>
    </row>
    <row r="386">
      <c r="A386" s="6" t="inlineStr">
        <is>
          <t>Warteg Yonada Bahari Jalan Bondowoso</t>
        </is>
      </c>
      <c r="B386" s="6" t="n">
        <v>0.02044989775051125</v>
      </c>
      <c r="C386" s="6" t="n">
        <v>0.1510777435398609</v>
      </c>
      <c r="D386" s="6" t="n">
        <v>0.3289207743585961</v>
      </c>
      <c r="E386" s="55" t="n"/>
      <c r="K386">
        <f>ABS(B386 - $G$2)</f>
        <v/>
      </c>
      <c r="L386">
        <f>ABS(B386 - $H$2)</f>
        <v/>
      </c>
      <c r="M386">
        <f>ABS(B386 - $I$2)</f>
        <v/>
      </c>
      <c r="O386">
        <f>(1/K386^2) / ((1/K386^2) + (1/L386^2) + (1/M386^2))</f>
        <v/>
      </c>
      <c r="P386">
        <f>(1/L386^2) / ((1/K386^2) + (1/L386^2) + (1/M386^2))</f>
        <v/>
      </c>
      <c r="Q386">
        <f>(1/M386^2) / ((1/K386^2) + (1/L386^2) + (1/M386^2))</f>
        <v/>
      </c>
      <c r="S386">
        <f>IF(MAX(O386:Q386)=O386, "Murah", IF(MAX(O386:Q386)=P386, "Sedang", "Mahal"))</f>
        <v/>
      </c>
    </row>
    <row r="387">
      <c r="A387" s="6" t="inlineStr">
        <is>
          <t>Warung Tegal Barokah</t>
        </is>
      </c>
      <c r="B387" s="6" t="n">
        <v>0.02658486707566462</v>
      </c>
      <c r="C387" s="6" t="n">
        <v>0.1999706439866438</v>
      </c>
      <c r="D387" s="6" t="n">
        <v>0.2527880136963619</v>
      </c>
      <c r="E387" s="55" t="n"/>
      <c r="K387">
        <f>ABS(B387 - $G$2)</f>
        <v/>
      </c>
      <c r="L387">
        <f>ABS(B387 - $H$2)</f>
        <v/>
      </c>
      <c r="M387">
        <f>ABS(B387 - $I$2)</f>
        <v/>
      </c>
      <c r="O387">
        <f>(1/K387^2) / ((1/K387^2) + (1/L387^2) + (1/M387^2))</f>
        <v/>
      </c>
      <c r="P387">
        <f>(1/L387^2) / ((1/K387^2) + (1/L387^2) + (1/M387^2))</f>
        <v/>
      </c>
      <c r="Q387">
        <f>(1/M387^2) / ((1/K387^2) + (1/L387^2) + (1/M387^2))</f>
        <v/>
      </c>
      <c r="S387">
        <f>IF(MAX(O387:Q387)=O387, "Murah", IF(MAX(O387:Q387)=P387, "Sedang", "Mahal"))</f>
        <v/>
      </c>
    </row>
    <row r="388">
      <c r="A388" s="6" t="inlineStr">
        <is>
          <t>WARUNG BU' WARNI - KLOJEN</t>
        </is>
      </c>
      <c r="B388" s="6" t="n">
        <v>0.04703476482617587</v>
      </c>
      <c r="C388" s="6" t="n">
        <v>0.1420430186701347</v>
      </c>
      <c r="D388" s="6" t="n">
        <v>0.4083125729009976</v>
      </c>
      <c r="E388" s="55" t="n"/>
      <c r="K388">
        <f>ABS(B388 - $G$2)</f>
        <v/>
      </c>
      <c r="L388">
        <f>ABS(B388 - $H$2)</f>
        <v/>
      </c>
      <c r="M388">
        <f>ABS(B388 - $I$2)</f>
        <v/>
      </c>
      <c r="O388">
        <f>(1/K388^2) / ((1/K388^2) + (1/L388^2) + (1/M388^2))</f>
        <v/>
      </c>
      <c r="P388">
        <f>(1/L388^2) / ((1/K388^2) + (1/L388^2) + (1/M388^2))</f>
        <v/>
      </c>
      <c r="Q388">
        <f>(1/M388^2) / ((1/K388^2) + (1/L388^2) + (1/M388^2))</f>
        <v/>
      </c>
      <c r="S388">
        <f>IF(MAX(O388:Q388)=O388, "Murah", IF(MAX(O388:Q388)=P388, "Sedang", "Mahal"))</f>
        <v/>
      </c>
    </row>
    <row r="389">
      <c r="A389" s="6" t="inlineStr">
        <is>
          <t>Warteg sarirasa cab tlogomas</t>
        </is>
      </c>
      <c r="B389" s="6" t="n">
        <v>0.04192229038854806</v>
      </c>
      <c r="C389" s="6" t="n">
        <v>0.1925054485438988</v>
      </c>
      <c r="D389" s="6" t="n">
        <v>0.2862905988951874</v>
      </c>
      <c r="E389" s="55" t="n"/>
      <c r="K389">
        <f>ABS(B389 - $G$2)</f>
        <v/>
      </c>
      <c r="L389">
        <f>ABS(B389 - $H$2)</f>
        <v/>
      </c>
      <c r="M389">
        <f>ABS(B389 - $I$2)</f>
        <v/>
      </c>
      <c r="O389">
        <f>(1/K389^2) / ((1/K389^2) + (1/L389^2) + (1/M389^2))</f>
        <v/>
      </c>
      <c r="P389">
        <f>(1/L389^2) / ((1/K389^2) + (1/L389^2) + (1/M389^2))</f>
        <v/>
      </c>
      <c r="Q389">
        <f>(1/M389^2) / ((1/K389^2) + (1/L389^2) + (1/M389^2))</f>
        <v/>
      </c>
      <c r="S389">
        <f>IF(MAX(O389:Q389)=O389, "Murah", IF(MAX(O389:Q389)=P389, "Sedang", "Mahal"))</f>
        <v/>
      </c>
    </row>
    <row r="390">
      <c r="A390" s="6" t="inlineStr">
        <is>
          <t>Omah Wareg</t>
        </is>
      </c>
      <c r="B390" s="6" t="n">
        <v>0.01226993865030675</v>
      </c>
      <c r="C390" s="6" t="n">
        <v>0.2376655090579776</v>
      </c>
      <c r="D390" s="6" t="n">
        <v>0.2663653732935796</v>
      </c>
      <c r="E390" s="55" t="n"/>
      <c r="K390">
        <f>ABS(B390 - $G$2)</f>
        <v/>
      </c>
      <c r="L390">
        <f>ABS(B390 - $H$2)</f>
        <v/>
      </c>
      <c r="M390">
        <f>ABS(B390 - $I$2)</f>
        <v/>
      </c>
      <c r="O390">
        <f>(1/K390^2) / ((1/K390^2) + (1/L390^2) + (1/M390^2))</f>
        <v/>
      </c>
      <c r="P390">
        <f>(1/L390^2) / ((1/K390^2) + (1/L390^2) + (1/M390^2))</f>
        <v/>
      </c>
      <c r="Q390">
        <f>(1/M390^2) / ((1/K390^2) + (1/L390^2) + (1/M390^2))</f>
        <v/>
      </c>
      <c r="S390">
        <f>IF(MAX(O390:Q390)=O390, "Murah", IF(MAX(O390:Q390)=P390, "Sedang", "Mahal"))</f>
        <v/>
      </c>
    </row>
    <row r="391">
      <c r="A391" s="6" t="inlineStr">
        <is>
          <t>warteg citra baru bahari</t>
        </is>
      </c>
      <c r="B391" s="6" t="n">
        <v>0.02249488752556237</v>
      </c>
      <c r="C391" s="6" t="n">
        <v>0.1777834805090126</v>
      </c>
      <c r="D391" s="6" t="n">
        <v>0.3369327907252503</v>
      </c>
      <c r="E391" s="55" t="n"/>
      <c r="K391">
        <f>ABS(B391 - $G$2)</f>
        <v/>
      </c>
      <c r="L391">
        <f>ABS(B391 - $H$2)</f>
        <v/>
      </c>
      <c r="M391">
        <f>ABS(B391 - $I$2)</f>
        <v/>
      </c>
      <c r="O391">
        <f>(1/K391^2) / ((1/K391^2) + (1/L391^2) + (1/M391^2))</f>
        <v/>
      </c>
      <c r="P391">
        <f>(1/L391^2) / ((1/K391^2) + (1/L391^2) + (1/M391^2))</f>
        <v/>
      </c>
      <c r="Q391">
        <f>(1/M391^2) / ((1/K391^2) + (1/L391^2) + (1/M391^2))</f>
        <v/>
      </c>
      <c r="S391">
        <f>IF(MAX(O391:Q391)=O391, "Murah", IF(MAX(O391:Q391)=P391, "Sedang", "Mahal"))</f>
        <v/>
      </c>
    </row>
    <row r="392">
      <c r="A392" s="6" t="inlineStr">
        <is>
          <t>WARTEG YONADA BAHARI</t>
        </is>
      </c>
      <c r="B392" s="6" t="n">
        <v>0.01840490797546012</v>
      </c>
      <c r="C392" s="6" t="n">
        <v>0.1839410980796035</v>
      </c>
      <c r="D392" s="6" t="n">
        <v>0.4555292012888944</v>
      </c>
      <c r="E392" s="55" t="n"/>
      <c r="K392">
        <f>ABS(B392 - $G$2)</f>
        <v/>
      </c>
      <c r="L392">
        <f>ABS(B392 - $H$2)</f>
        <v/>
      </c>
      <c r="M392">
        <f>ABS(B392 - $I$2)</f>
        <v/>
      </c>
      <c r="O392">
        <f>(1/K392^2) / ((1/K392^2) + (1/L392^2) + (1/M392^2))</f>
        <v/>
      </c>
      <c r="P392">
        <f>(1/L392^2) / ((1/K392^2) + (1/L392^2) + (1/M392^2))</f>
        <v/>
      </c>
      <c r="Q392">
        <f>(1/M392^2) / ((1/K392^2) + (1/L392^2) + (1/M392^2))</f>
        <v/>
      </c>
      <c r="S392">
        <f>IF(MAX(O392:Q392)=O392, "Murah", IF(MAX(O392:Q392)=P392, "Sedang", "Mahal"))</f>
        <v/>
      </c>
    </row>
    <row r="393">
      <c r="A393" s="6" t="inlineStr">
        <is>
          <t>Warung Makan Ma'Nia</t>
        </is>
      </c>
      <c r="B393" s="6" t="n">
        <v>0.01226993865030675</v>
      </c>
      <c r="C393" s="6" t="n">
        <v>0.1605450578473321</v>
      </c>
      <c r="D393" s="6" t="n">
        <v>0.3250453708472375</v>
      </c>
      <c r="E393" s="55" t="n"/>
      <c r="K393">
        <f>ABS(B393 - $G$2)</f>
        <v/>
      </c>
      <c r="L393">
        <f>ABS(B393 - $H$2)</f>
        <v/>
      </c>
      <c r="M393">
        <f>ABS(B393 - $I$2)</f>
        <v/>
      </c>
      <c r="O393">
        <f>(1/K393^2) / ((1/K393^2) + (1/L393^2) + (1/M393^2))</f>
        <v/>
      </c>
      <c r="P393">
        <f>(1/L393^2) / ((1/K393^2) + (1/L393^2) + (1/M393^2))</f>
        <v/>
      </c>
      <c r="Q393">
        <f>(1/M393^2) / ((1/K393^2) + (1/L393^2) + (1/M393^2))</f>
        <v/>
      </c>
      <c r="S393">
        <f>IF(MAX(O393:Q393)=O393, "Murah", IF(MAX(O393:Q393)=P393, "Sedang", "Mahal"))</f>
        <v/>
      </c>
    </row>
    <row r="394">
      <c r="A394" s="6" t="inlineStr">
        <is>
          <t>Warung Hajah Sarah</t>
        </is>
      </c>
      <c r="B394" s="6" t="n">
        <v>0.01022494887525562</v>
      </c>
      <c r="C394" s="6" t="n">
        <v>0.1669976888194772</v>
      </c>
      <c r="D394" s="6" t="n">
        <v>0.3076972388440861</v>
      </c>
      <c r="E394" s="55" t="n"/>
      <c r="K394">
        <f>ABS(B394 - $G$2)</f>
        <v/>
      </c>
      <c r="L394">
        <f>ABS(B394 - $H$2)</f>
        <v/>
      </c>
      <c r="M394">
        <f>ABS(B394 - $I$2)</f>
        <v/>
      </c>
      <c r="O394">
        <f>(1/K394^2) / ((1/K394^2) + (1/L394^2) + (1/M394^2))</f>
        <v/>
      </c>
      <c r="P394">
        <f>(1/L394^2) / ((1/K394^2) + (1/L394^2) + (1/M394^2))</f>
        <v/>
      </c>
      <c r="Q394">
        <f>(1/M394^2) / ((1/K394^2) + (1/L394^2) + (1/M394^2))</f>
        <v/>
      </c>
      <c r="S394">
        <f>IF(MAX(O394:Q394)=O394, "Murah", IF(MAX(O394:Q394)=P394, "Sedang", "Mahal"))</f>
        <v/>
      </c>
    </row>
    <row r="395">
      <c r="A395" s="6" t="inlineStr">
        <is>
          <t>Warung Nasi Bu Pah</t>
        </is>
      </c>
      <c r="B395" s="6" t="n">
        <v>0.0245398773006135</v>
      </c>
      <c r="C395" s="6" t="n">
        <v>0.1746105120686643</v>
      </c>
      <c r="D395" s="6" t="n">
        <v>0.3054145123342946</v>
      </c>
      <c r="E395" s="55" t="n"/>
      <c r="K395">
        <f>ABS(B395 - $G$2)</f>
        <v/>
      </c>
      <c r="L395">
        <f>ABS(B395 - $H$2)</f>
        <v/>
      </c>
      <c r="M395">
        <f>ABS(B395 - $I$2)</f>
        <v/>
      </c>
      <c r="O395">
        <f>(1/K395^2) / ((1/K395^2) + (1/L395^2) + (1/M395^2))</f>
        <v/>
      </c>
      <c r="P395">
        <f>(1/L395^2) / ((1/K395^2) + (1/L395^2) + (1/M395^2))</f>
        <v/>
      </c>
      <c r="Q395">
        <f>(1/M395^2) / ((1/K395^2) + (1/L395^2) + (1/M395^2))</f>
        <v/>
      </c>
      <c r="S395">
        <f>IF(MAX(O395:Q395)=O395, "Murah", IF(MAX(O395:Q395)=P395, "Sedang", "Mahal"))</f>
        <v/>
      </c>
    </row>
    <row r="396">
      <c r="A396" s="6" t="inlineStr">
        <is>
          <t>Warteg Nakamora</t>
        </is>
      </c>
      <c r="B396" s="6" t="n">
        <v>0.1002044989775051</v>
      </c>
      <c r="C396" s="6" t="n">
        <v>0.1850619310153067</v>
      </c>
      <c r="D396" s="6" t="n">
        <v>0.4077463123061827</v>
      </c>
      <c r="E396" s="55" t="n"/>
      <c r="K396">
        <f>ABS(B396 - $G$2)</f>
        <v/>
      </c>
      <c r="L396">
        <f>ABS(B396 - $H$2)</f>
        <v/>
      </c>
      <c r="M396">
        <f>ABS(B396 - $I$2)</f>
        <v/>
      </c>
      <c r="O396">
        <f>(1/K396^2) / ((1/K396^2) + (1/L396^2) + (1/M396^2))</f>
        <v/>
      </c>
      <c r="P396">
        <f>(1/L396^2) / ((1/K396^2) + (1/L396^2) + (1/M396^2))</f>
        <v/>
      </c>
      <c r="Q396">
        <f>(1/M396^2) / ((1/K396^2) + (1/L396^2) + (1/M396^2))</f>
        <v/>
      </c>
      <c r="S396">
        <f>IF(MAX(O396:Q396)=O396, "Murah", IF(MAX(O396:Q396)=P396, "Sedang", "Mahal"))</f>
        <v/>
      </c>
    </row>
    <row r="397">
      <c r="A397" s="6" t="inlineStr">
        <is>
          <t>Warung AE</t>
        </is>
      </c>
      <c r="B397" s="6" t="n">
        <v>0.06952965235173825</v>
      </c>
      <c r="C397" s="6" t="n">
        <v>0.1444392153709248</v>
      </c>
      <c r="D397" s="6" t="n">
        <v>0.5193696491689533</v>
      </c>
      <c r="E397" s="55" t="n"/>
      <c r="K397">
        <f>ABS(B397 - $G$2)</f>
        <v/>
      </c>
      <c r="L397">
        <f>ABS(B397 - $H$2)</f>
        <v/>
      </c>
      <c r="M397">
        <f>ABS(B397 - $I$2)</f>
        <v/>
      </c>
      <c r="O397">
        <f>(1/K397^2) / ((1/K397^2) + (1/L397^2) + (1/M397^2))</f>
        <v/>
      </c>
      <c r="P397">
        <f>(1/L397^2) / ((1/K397^2) + (1/L397^2) + (1/M397^2))</f>
        <v/>
      </c>
      <c r="Q397">
        <f>(1/M397^2) / ((1/K397^2) + (1/L397^2) + (1/M397^2))</f>
        <v/>
      </c>
      <c r="S397">
        <f>IF(MAX(O397:Q397)=O397, "Murah", IF(MAX(O397:Q397)=P397, "Sedang", "Mahal"))</f>
        <v/>
      </c>
    </row>
    <row r="398">
      <c r="A398" s="6" t="inlineStr">
        <is>
          <t>WARUNG WAREG KEPANJEN MALANG</t>
        </is>
      </c>
      <c r="B398" s="6" t="n">
        <v>0.2413803680981595</v>
      </c>
      <c r="C398" s="6" t="n">
        <v>0</v>
      </c>
      <c r="D398" s="6" t="n">
        <v>0.2197142686617189</v>
      </c>
      <c r="E398" s="55" t="n"/>
      <c r="K398">
        <f>ABS(B398 - $G$2)</f>
        <v/>
      </c>
      <c r="L398">
        <f>ABS(B398 - $H$2)</f>
        <v/>
      </c>
      <c r="M398">
        <f>ABS(B398 - $I$2)</f>
        <v/>
      </c>
      <c r="O398">
        <f>(1/K398^2) / ((1/K398^2) + (1/L398^2) + (1/M398^2))</f>
        <v/>
      </c>
      <c r="P398">
        <f>(1/L398^2) / ((1/K398^2) + (1/L398^2) + (1/M398^2))</f>
        <v/>
      </c>
      <c r="Q398">
        <f>(1/M398^2) / ((1/K398^2) + (1/L398^2) + (1/M398^2))</f>
        <v/>
      </c>
      <c r="S398">
        <f>IF(MAX(O398:Q398)=O398, "Murah", IF(MAX(O398:Q398)=P398, "Sedang", "Mahal"))</f>
        <v/>
      </c>
    </row>
    <row r="399">
      <c r="A399" s="6" t="inlineStr">
        <is>
          <t>Warung Prasmanan Bu Widya</t>
        </is>
      </c>
      <c r="B399" s="6" t="n">
        <v>0.049079754601227</v>
      </c>
      <c r="C399" s="6" t="n">
        <v>0.1510537646180592</v>
      </c>
      <c r="D399" s="6" t="n">
        <v>0.4899771506297566</v>
      </c>
      <c r="E399" s="55" t="n"/>
      <c r="K399">
        <f>ABS(B399 - $G$2)</f>
        <v/>
      </c>
      <c r="L399">
        <f>ABS(B399 - $H$2)</f>
        <v/>
      </c>
      <c r="M399">
        <f>ABS(B399 - $I$2)</f>
        <v/>
      </c>
      <c r="O399">
        <f>(1/K399^2) / ((1/K399^2) + (1/L399^2) + (1/M399^2))</f>
        <v/>
      </c>
      <c r="P399">
        <f>(1/L399^2) / ((1/K399^2) + (1/L399^2) + (1/M399^2))</f>
        <v/>
      </c>
      <c r="Q399">
        <f>(1/M399^2) / ((1/K399^2) + (1/L399^2) + (1/M399^2))</f>
        <v/>
      </c>
      <c r="S399">
        <f>IF(MAX(O399:Q399)=O399, "Murah", IF(MAX(O399:Q399)=P399, "Sedang", "Mahal"))</f>
        <v/>
      </c>
    </row>
    <row r="400">
      <c r="A400" s="6" t="inlineStr">
        <is>
          <t>Warung Makan Bu diyah</t>
        </is>
      </c>
      <c r="B400" s="6" t="n">
        <v>0.02249488752556237</v>
      </c>
      <c r="C400" s="6" t="n">
        <v>0.1398799503757428</v>
      </c>
      <c r="D400" s="6" t="n">
        <v>0.318257612097089</v>
      </c>
      <c r="E400" s="55" t="n"/>
      <c r="K400">
        <f>ABS(B400 - $G$2)</f>
        <v/>
      </c>
      <c r="L400">
        <f>ABS(B400 - $H$2)</f>
        <v/>
      </c>
      <c r="M400">
        <f>ABS(B400 - $I$2)</f>
        <v/>
      </c>
      <c r="O400">
        <f>(1/K400^2) / ((1/K400^2) + (1/L400^2) + (1/M400^2))</f>
        <v/>
      </c>
      <c r="P400">
        <f>(1/L400^2) / ((1/K400^2) + (1/L400^2) + (1/M400^2))</f>
        <v/>
      </c>
      <c r="Q400">
        <f>(1/M400^2) / ((1/K400^2) + (1/L400^2) + (1/M400^2))</f>
        <v/>
      </c>
      <c r="S400">
        <f>IF(MAX(O400:Q400)=O400, "Murah", IF(MAX(O400:Q400)=P400, "Sedang", "Mahal"))</f>
        <v/>
      </c>
    </row>
    <row r="401">
      <c r="A401" s="6" t="inlineStr">
        <is>
          <t>Warung Rezeki</t>
        </is>
      </c>
      <c r="B401" s="6" t="n">
        <v>0.04396728016359918</v>
      </c>
      <c r="C401" s="6" t="n">
        <v>0.1441214341042279</v>
      </c>
      <c r="D401" s="6" t="n">
        <v>0.3353957450508213</v>
      </c>
      <c r="E401" s="55" t="n"/>
      <c r="K401">
        <f>ABS(B401 - $G$2)</f>
        <v/>
      </c>
      <c r="L401">
        <f>ABS(B401 - $H$2)</f>
        <v/>
      </c>
      <c r="M401">
        <f>ABS(B401 - $I$2)</f>
        <v/>
      </c>
      <c r="O401">
        <f>(1/K401^2) / ((1/K401^2) + (1/L401^2) + (1/M401^2))</f>
        <v/>
      </c>
      <c r="P401">
        <f>(1/L401^2) / ((1/K401^2) + (1/L401^2) + (1/M401^2))</f>
        <v/>
      </c>
      <c r="Q401">
        <f>(1/M401^2) / ((1/K401^2) + (1/L401^2) + (1/M401^2))</f>
        <v/>
      </c>
      <c r="S401">
        <f>IF(MAX(O401:Q401)=O401, "Murah", IF(MAX(O401:Q401)=P401, "Sedang", "Mahal"))</f>
        <v/>
      </c>
    </row>
    <row r="402">
      <c r="A402" s="6" t="inlineStr">
        <is>
          <t>Warteg Mamoka Akordion</t>
        </is>
      </c>
      <c r="B402" s="6" t="n">
        <v>0.02862985685071575</v>
      </c>
      <c r="C402" s="6" t="n">
        <v>0.1984382939990207</v>
      </c>
      <c r="D402" s="6" t="n">
        <v>0.3278236214299255</v>
      </c>
      <c r="E402" s="55" t="n"/>
      <c r="K402">
        <f>ABS(B402 - $G$2)</f>
        <v/>
      </c>
      <c r="L402">
        <f>ABS(B402 - $H$2)</f>
        <v/>
      </c>
      <c r="M402">
        <f>ABS(B402 - $I$2)</f>
        <v/>
      </c>
      <c r="O402">
        <f>(1/K402^2) / ((1/K402^2) + (1/L402^2) + (1/M402^2))</f>
        <v/>
      </c>
      <c r="P402">
        <f>(1/L402^2) / ((1/K402^2) + (1/L402^2) + (1/M402^2))</f>
        <v/>
      </c>
      <c r="Q402">
        <f>(1/M402^2) / ((1/K402^2) + (1/L402^2) + (1/M402^2))</f>
        <v/>
      </c>
      <c r="S402">
        <f>IF(MAX(O402:Q402)=O402, "Murah", IF(MAX(O402:Q402)=P402, "Sedang", "Mahal"))</f>
        <v/>
      </c>
    </row>
    <row r="403">
      <c r="A403" s="6" t="inlineStr">
        <is>
          <t>Warung Sederhana</t>
        </is>
      </c>
      <c r="B403" s="6" t="n">
        <v>0.4989775051124745</v>
      </c>
      <c r="C403" s="6" t="n">
        <v>0.1773849217633184</v>
      </c>
      <c r="D403" s="6" t="n">
        <v>0.3342941710895309</v>
      </c>
      <c r="E403" s="55" t="n"/>
      <c r="K403">
        <f>ABS(B403 - $G$2)</f>
        <v/>
      </c>
      <c r="L403">
        <f>ABS(B403 - $H$2)</f>
        <v/>
      </c>
      <c r="M403">
        <f>ABS(B403 - $I$2)</f>
        <v/>
      </c>
      <c r="O403">
        <f>(1/K403^2) / ((1/K403^2) + (1/L403^2) + (1/M403^2))</f>
        <v/>
      </c>
      <c r="P403">
        <f>(1/L403^2) / ((1/K403^2) + (1/L403^2) + (1/M403^2))</f>
        <v/>
      </c>
      <c r="Q403">
        <f>(1/M403^2) / ((1/K403^2) + (1/L403^2) + (1/M403^2))</f>
        <v/>
      </c>
      <c r="S403">
        <f>IF(MAX(O403:Q403)=O403, "Murah", IF(MAX(O403:Q403)=P403, "Sedang", "Mahal"))</f>
        <v/>
      </c>
    </row>
    <row r="404">
      <c r="A404" s="6" t="inlineStr">
        <is>
          <t>Warteg 46</t>
        </is>
      </c>
      <c r="B404" s="6" t="n">
        <v>0.02658486707566462</v>
      </c>
      <c r="C404" s="6" t="n">
        <v>0.1838594728609474</v>
      </c>
      <c r="D404" s="6" t="n">
        <v>0.3503045723056166</v>
      </c>
      <c r="E404" s="55" t="n"/>
      <c r="K404">
        <f>ABS(B404 - $G$2)</f>
        <v/>
      </c>
      <c r="L404">
        <f>ABS(B404 - $H$2)</f>
        <v/>
      </c>
      <c r="M404">
        <f>ABS(B404 - $I$2)</f>
        <v/>
      </c>
      <c r="O404">
        <f>(1/K404^2) / ((1/K404^2) + (1/L404^2) + (1/M404^2))</f>
        <v/>
      </c>
      <c r="P404">
        <f>(1/L404^2) / ((1/K404^2) + (1/L404^2) + (1/M404^2))</f>
        <v/>
      </c>
      <c r="Q404">
        <f>(1/M404^2) / ((1/K404^2) + (1/L404^2) + (1/M404^2))</f>
        <v/>
      </c>
      <c r="S404">
        <f>IF(MAX(O404:Q404)=O404, "Murah", IF(MAX(O404:Q404)=P404, "Sedang", "Mahal"))</f>
        <v/>
      </c>
    </row>
    <row r="405">
      <c r="A405" s="6" t="inlineStr">
        <is>
          <t>Wisata Warung Wareg</t>
        </is>
      </c>
      <c r="B405" s="6" t="n">
        <v>0.2541922290388548</v>
      </c>
      <c r="C405" s="6" t="n">
        <v>0.2776789420984129</v>
      </c>
      <c r="D405" s="6" t="n">
        <v>0.01062005719339764</v>
      </c>
      <c r="E405" s="55" t="n"/>
      <c r="K405">
        <f>ABS(B405 - $G$2)</f>
        <v/>
      </c>
      <c r="L405">
        <f>ABS(B405 - $H$2)</f>
        <v/>
      </c>
      <c r="M405">
        <f>ABS(B405 - $I$2)</f>
        <v/>
      </c>
      <c r="O405">
        <f>(1/K405^2) / ((1/K405^2) + (1/L405^2) + (1/M405^2))</f>
        <v/>
      </c>
      <c r="P405">
        <f>(1/L405^2) / ((1/K405^2) + (1/L405^2) + (1/M405^2))</f>
        <v/>
      </c>
      <c r="Q405">
        <f>(1/M405^2) / ((1/K405^2) + (1/L405^2) + (1/M405^2))</f>
        <v/>
      </c>
      <c r="S405">
        <f>IF(MAX(O405:Q405)=O405, "Murah", IF(MAX(O405:Q405)=P405, "Sedang", "Mahal"))</f>
        <v/>
      </c>
    </row>
    <row r="406">
      <c r="A406" s="6" t="inlineStr">
        <is>
          <t>Catering Rumah Madinah</t>
        </is>
      </c>
      <c r="B406" s="6" t="n">
        <v>0.02249488752556237</v>
      </c>
      <c r="C406" s="6" t="n">
        <v>0.173446081093323</v>
      </c>
      <c r="D406" s="6" t="n">
        <v>0.3368852646245734</v>
      </c>
      <c r="E406" s="55" t="n"/>
      <c r="K406">
        <f>ABS(B406 - $G$2)</f>
        <v/>
      </c>
      <c r="L406">
        <f>ABS(B406 - $H$2)</f>
        <v/>
      </c>
      <c r="M406">
        <f>ABS(B406 - $I$2)</f>
        <v/>
      </c>
      <c r="O406">
        <f>(1/K406^2) / ((1/K406^2) + (1/L406^2) + (1/M406^2))</f>
        <v/>
      </c>
      <c r="P406">
        <f>(1/L406^2) / ((1/K406^2) + (1/L406^2) + (1/M406^2))</f>
        <v/>
      </c>
      <c r="Q406">
        <f>(1/M406^2) / ((1/K406^2) + (1/L406^2) + (1/M406^2))</f>
        <v/>
      </c>
      <c r="S406">
        <f>IF(MAX(O406:Q406)=O406, "Murah", IF(MAX(O406:Q406)=P406, "Sedang", "Mahal"))</f>
        <v/>
      </c>
    </row>
    <row r="407">
      <c r="A407" s="6" t="inlineStr">
        <is>
          <t>Titik Koma Buring</t>
        </is>
      </c>
      <c r="B407" s="6" t="n">
        <v>0.3408997955010225</v>
      </c>
      <c r="C407" s="6" t="n">
        <v>0.1481237341430296</v>
      </c>
      <c r="D407" s="6" t="n">
        <v>0.3636988274684455</v>
      </c>
      <c r="E407" s="55" t="n"/>
      <c r="K407">
        <f>ABS(B407 - $G$2)</f>
        <v/>
      </c>
      <c r="L407">
        <f>ABS(B407 - $H$2)</f>
        <v/>
      </c>
      <c r="M407">
        <f>ABS(B407 - $I$2)</f>
        <v/>
      </c>
      <c r="O407">
        <f>(1/K407^2) / ((1/K407^2) + (1/L407^2) + (1/M407^2))</f>
        <v/>
      </c>
      <c r="P407">
        <f>(1/L407^2) / ((1/K407^2) + (1/L407^2) + (1/M407^2))</f>
        <v/>
      </c>
      <c r="Q407">
        <f>(1/M407^2) / ((1/K407^2) + (1/L407^2) + (1/M407^2))</f>
        <v/>
      </c>
      <c r="S407">
        <f>IF(MAX(O407:Q407)=O407, "Murah", IF(MAX(O407:Q407)=P407, "Sedang", "Mahal"))</f>
        <v/>
      </c>
    </row>
    <row r="408">
      <c r="A408" s="6" t="inlineStr">
        <is>
          <t>Toko Kopi Remboeg Pawon</t>
        </is>
      </c>
      <c r="B408" s="6" t="n">
        <v>0.02862985685071575</v>
      </c>
      <c r="C408" s="6" t="n">
        <v>0.1355202675175714</v>
      </c>
      <c r="D408" s="6" t="n">
        <v>0.3697659579014458</v>
      </c>
      <c r="E408" s="55" t="n"/>
      <c r="K408">
        <f>ABS(B408 - $G$2)</f>
        <v/>
      </c>
      <c r="L408">
        <f>ABS(B408 - $H$2)</f>
        <v/>
      </c>
      <c r="M408">
        <f>ABS(B408 - $I$2)</f>
        <v/>
      </c>
      <c r="O408">
        <f>(1/K408^2) / ((1/K408^2) + (1/L408^2) + (1/M408^2))</f>
        <v/>
      </c>
      <c r="P408">
        <f>(1/L408^2) / ((1/K408^2) + (1/L408^2) + (1/M408^2))</f>
        <v/>
      </c>
      <c r="Q408">
        <f>(1/M408^2) / ((1/K408^2) + (1/L408^2) + (1/M408^2))</f>
        <v/>
      </c>
      <c r="S408">
        <f>IF(MAX(O408:Q408)=O408, "Murah", IF(MAX(O408:Q408)=P408, "Sedang", "Mahal"))</f>
        <v/>
      </c>
    </row>
    <row r="409">
      <c r="A409" s="6" t="inlineStr">
        <is>
          <t>Cafe LaiLai</t>
        </is>
      </c>
      <c r="B409" s="6" t="n">
        <v>0.09018404907975461</v>
      </c>
      <c r="C409" s="6" t="n">
        <v>0.1397353502109423</v>
      </c>
      <c r="D409" s="6" t="n">
        <v>0.3746965145315598</v>
      </c>
      <c r="E409" s="55" t="n"/>
      <c r="K409">
        <f>ABS(B409 - $G$2)</f>
        <v/>
      </c>
      <c r="L409">
        <f>ABS(B409 - $H$2)</f>
        <v/>
      </c>
      <c r="M409">
        <f>ABS(B409 - $I$2)</f>
        <v/>
      </c>
      <c r="O409">
        <f>(1/K409^2) / ((1/K409^2) + (1/L409^2) + (1/M409^2))</f>
        <v/>
      </c>
      <c r="P409">
        <f>(1/L409^2) / ((1/K409^2) + (1/L409^2) + (1/M409^2))</f>
        <v/>
      </c>
      <c r="Q409">
        <f>(1/M409^2) / ((1/K409^2) + (1/L409^2) + (1/M409^2))</f>
        <v/>
      </c>
      <c r="S409">
        <f>IF(MAX(O409:Q409)=O409, "Murah", IF(MAX(O409:Q409)=P409, "Sedang", "Mahal"))</f>
        <v/>
      </c>
    </row>
    <row r="410">
      <c r="A410" s="6" t="inlineStr">
        <is>
          <t>Kopi Ortu</t>
        </is>
      </c>
      <c r="B410" s="6" t="n">
        <v>0.1206543967280164</v>
      </c>
      <c r="C410" s="6" t="n">
        <v>0.1428207592550165</v>
      </c>
      <c r="D410" s="6" t="n">
        <v>0.3326992835716276</v>
      </c>
      <c r="E410" s="55" t="n"/>
      <c r="K410">
        <f>ABS(B410 - $G$2)</f>
        <v/>
      </c>
      <c r="L410">
        <f>ABS(B410 - $H$2)</f>
        <v/>
      </c>
      <c r="M410">
        <f>ABS(B410 - $I$2)</f>
        <v/>
      </c>
      <c r="O410">
        <f>(1/K410^2) / ((1/K410^2) + (1/L410^2) + (1/M410^2))</f>
        <v/>
      </c>
      <c r="P410">
        <f>(1/L410^2) / ((1/K410^2) + (1/L410^2) + (1/M410^2))</f>
        <v/>
      </c>
      <c r="Q410">
        <f>(1/M410^2) / ((1/K410^2) + (1/L410^2) + (1/M410^2))</f>
        <v/>
      </c>
      <c r="S410">
        <f>IF(MAX(O410:Q410)=O410, "Murah", IF(MAX(O410:Q410)=P410, "Sedang", "Mahal"))</f>
        <v/>
      </c>
    </row>
    <row r="411">
      <c r="A411" s="6" t="inlineStr">
        <is>
          <t>Kedai Kopi tjapGiling</t>
        </is>
      </c>
      <c r="B411" s="6" t="n">
        <v>0.0408997955010225</v>
      </c>
      <c r="C411" s="6" t="n">
        <v>0.1631000240758063</v>
      </c>
      <c r="D411" s="6" t="n">
        <v>0.277216061022043</v>
      </c>
      <c r="E411" s="55" t="n"/>
      <c r="K411">
        <f>ABS(B411 - $G$2)</f>
        <v/>
      </c>
      <c r="L411">
        <f>ABS(B411 - $H$2)</f>
        <v/>
      </c>
      <c r="M411">
        <f>ABS(B411 - $I$2)</f>
        <v/>
      </c>
      <c r="O411">
        <f>(1/K411^2) / ((1/K411^2) + (1/L411^2) + (1/M411^2))</f>
        <v/>
      </c>
      <c r="P411">
        <f>(1/L411^2) / ((1/K411^2) + (1/L411^2) + (1/M411^2))</f>
        <v/>
      </c>
      <c r="Q411">
        <f>(1/M411^2) / ((1/K411^2) + (1/L411^2) + (1/M411^2))</f>
        <v/>
      </c>
      <c r="S411">
        <f>IF(MAX(O411:Q411)=O411, "Murah", IF(MAX(O411:Q411)=P411, "Sedang", "Mahal"))</f>
        <v/>
      </c>
    </row>
    <row r="412">
      <c r="A412" s="6" t="inlineStr">
        <is>
          <t>Warung kopi Bambu</t>
        </is>
      </c>
      <c r="B412" s="6" t="n">
        <v>0.06441717791411043</v>
      </c>
      <c r="C412" s="6" t="n">
        <v>0.1388200335898675</v>
      </c>
      <c r="D412" s="6" t="n">
        <v>0.4951869691537027</v>
      </c>
      <c r="E412" s="55" t="n"/>
      <c r="K412">
        <f>ABS(B412 - $G$2)</f>
        <v/>
      </c>
      <c r="L412">
        <f>ABS(B412 - $H$2)</f>
        <v/>
      </c>
      <c r="M412">
        <f>ABS(B412 - $I$2)</f>
        <v/>
      </c>
      <c r="O412">
        <f>(1/K412^2) / ((1/K412^2) + (1/L412^2) + (1/M412^2))</f>
        <v/>
      </c>
      <c r="P412">
        <f>(1/L412^2) / ((1/K412^2) + (1/L412^2) + (1/M412^2))</f>
        <v/>
      </c>
      <c r="Q412">
        <f>(1/M412^2) / ((1/K412^2) + (1/L412^2) + (1/M412^2))</f>
        <v/>
      </c>
      <c r="S412">
        <f>IF(MAX(O412:Q412)=O412, "Murah", IF(MAX(O412:Q412)=P412, "Sedang", "Mahal"))</f>
        <v/>
      </c>
    </row>
    <row r="413">
      <c r="A413" s="6" t="inlineStr">
        <is>
          <t>My Kopi O! Malang</t>
        </is>
      </c>
      <c r="B413" s="6" t="n">
        <v>0.2556237218813906</v>
      </c>
      <c r="C413" s="6" t="n">
        <v>0.1420973951140167</v>
      </c>
      <c r="D413" s="6" t="n">
        <v>0.359339689304545</v>
      </c>
      <c r="E413" s="55" t="n"/>
      <c r="K413">
        <f>ABS(B413 - $G$2)</f>
        <v/>
      </c>
      <c r="L413">
        <f>ABS(B413 - $H$2)</f>
        <v/>
      </c>
      <c r="M413">
        <f>ABS(B413 - $I$2)</f>
        <v/>
      </c>
      <c r="O413">
        <f>(1/K413^2) / ((1/K413^2) + (1/L413^2) + (1/M413^2))</f>
        <v/>
      </c>
      <c r="P413">
        <f>(1/L413^2) / ((1/K413^2) + (1/L413^2) + (1/M413^2))</f>
        <v/>
      </c>
      <c r="Q413">
        <f>(1/M413^2) / ((1/K413^2) + (1/L413^2) + (1/M413^2))</f>
        <v/>
      </c>
      <c r="S413">
        <f>IF(MAX(O413:Q413)=O413, "Murah", IF(MAX(O413:Q413)=P413, "Sedang", "Mahal"))</f>
        <v/>
      </c>
    </row>
    <row r="414">
      <c r="A414" s="6" t="inlineStr">
        <is>
          <t>Robusto Coffee</t>
        </is>
      </c>
      <c r="B414" s="6" t="n">
        <v>0.2102044989775051</v>
      </c>
      <c r="C414" s="6" t="n">
        <v>0.1883408669131086</v>
      </c>
      <c r="D414" s="6" t="n">
        <v>0.2933012513732515</v>
      </c>
      <c r="E414" s="55" t="n"/>
      <c r="K414">
        <f>ABS(B414 - $G$2)</f>
        <v/>
      </c>
      <c r="L414">
        <f>ABS(B414 - $H$2)</f>
        <v/>
      </c>
      <c r="M414">
        <f>ABS(B414 - $I$2)</f>
        <v/>
      </c>
      <c r="O414">
        <f>(1/K414^2) / ((1/K414^2) + (1/L414^2) + (1/M414^2))</f>
        <v/>
      </c>
      <c r="P414">
        <f>(1/L414^2) / ((1/K414^2) + (1/L414^2) + (1/M414^2))</f>
        <v/>
      </c>
      <c r="Q414">
        <f>(1/M414^2) / ((1/K414^2) + (1/L414^2) + (1/M414^2))</f>
        <v/>
      </c>
      <c r="S414">
        <f>IF(MAX(O414:Q414)=O414, "Murah", IF(MAX(O414:Q414)=P414, "Sedang", "Mahal"))</f>
        <v/>
      </c>
    </row>
    <row r="415">
      <c r="A415" s="6" t="inlineStr">
        <is>
          <t>Mifeng Kopitiam</t>
        </is>
      </c>
      <c r="B415" s="6" t="n">
        <v>0.1878834355828221</v>
      </c>
      <c r="C415" s="6" t="n">
        <v>0.1565675844699909</v>
      </c>
      <c r="D415" s="6" t="n">
        <v>0.367773545867115</v>
      </c>
      <c r="E415" s="55" t="n"/>
      <c r="K415">
        <f>ABS(B415 - $G$2)</f>
        <v/>
      </c>
      <c r="L415">
        <f>ABS(B415 - $H$2)</f>
        <v/>
      </c>
      <c r="M415">
        <f>ABS(B415 - $I$2)</f>
        <v/>
      </c>
      <c r="O415">
        <f>(1/K415^2) / ((1/K415^2) + (1/L415^2) + (1/M415^2))</f>
        <v/>
      </c>
      <c r="P415">
        <f>(1/L415^2) / ((1/K415^2) + (1/L415^2) + (1/M415^2))</f>
        <v/>
      </c>
      <c r="Q415">
        <f>(1/M415^2) / ((1/K415^2) + (1/L415^2) + (1/M415^2))</f>
        <v/>
      </c>
      <c r="S415">
        <f>IF(MAX(O415:Q415)=O415, "Murah", IF(MAX(O415:Q415)=P415, "Sedang", "Mahal"))</f>
        <v/>
      </c>
    </row>
    <row r="416">
      <c r="A416" s="6" t="inlineStr">
        <is>
          <t>Kopi Serut</t>
        </is>
      </c>
      <c r="B416" s="6" t="n">
        <v>0.05930470347648262</v>
      </c>
      <c r="C416" s="6" t="n">
        <v>0.2524368882044538</v>
      </c>
      <c r="D416" s="6" t="n">
        <v>0.4703146080496433</v>
      </c>
      <c r="E416" s="55" t="n"/>
      <c r="K416">
        <f>ABS(B416 - $G$2)</f>
        <v/>
      </c>
      <c r="L416">
        <f>ABS(B416 - $H$2)</f>
        <v/>
      </c>
      <c r="M416">
        <f>ABS(B416 - $I$2)</f>
        <v/>
      </c>
      <c r="O416">
        <f>(1/K416^2) / ((1/K416^2) + (1/L416^2) + (1/M416^2))</f>
        <v/>
      </c>
      <c r="P416">
        <f>(1/L416^2) / ((1/K416^2) + (1/L416^2) + (1/M416^2))</f>
        <v/>
      </c>
      <c r="Q416">
        <f>(1/M416^2) / ((1/K416^2) + (1/L416^2) + (1/M416^2))</f>
        <v/>
      </c>
      <c r="S416">
        <f>IF(MAX(O416:Q416)=O416, "Murah", IF(MAX(O416:Q416)=P416, "Sedang", "Mahal"))</f>
        <v/>
      </c>
    </row>
    <row r="417">
      <c r="A417" s="6" t="inlineStr">
        <is>
          <t>Kedai Ramah Djiwa</t>
        </is>
      </c>
      <c r="B417" s="6" t="n">
        <v>0.05316973415132924</v>
      </c>
      <c r="C417" s="6" t="n">
        <v>0.1630391079259785</v>
      </c>
      <c r="D417" s="6" t="n">
        <v>0.399984452701942</v>
      </c>
      <c r="E417" s="55" t="n"/>
      <c r="K417">
        <f>ABS(B417 - $G$2)</f>
        <v/>
      </c>
      <c r="L417">
        <f>ABS(B417 - $H$2)</f>
        <v/>
      </c>
      <c r="M417">
        <f>ABS(B417 - $I$2)</f>
        <v/>
      </c>
      <c r="O417">
        <f>(1/K417^2) / ((1/K417^2) + (1/L417^2) + (1/M417^2))</f>
        <v/>
      </c>
      <c r="P417">
        <f>(1/L417^2) / ((1/K417^2) + (1/L417^2) + (1/M417^2))</f>
        <v/>
      </c>
      <c r="Q417">
        <f>(1/M417^2) / ((1/K417^2) + (1/L417^2) + (1/M417^2))</f>
        <v/>
      </c>
      <c r="S417">
        <f>IF(MAX(O417:Q417)=O417, "Murah", IF(MAX(O417:Q417)=P417, "Sedang", "Mahal"))</f>
        <v/>
      </c>
    </row>
    <row r="418">
      <c r="A418" s="6" t="inlineStr">
        <is>
          <t>Beryl Coffee</t>
        </is>
      </c>
      <c r="B418" s="6" t="n">
        <v>0.032719836400818</v>
      </c>
      <c r="C418" s="6" t="n">
        <v>0.1584602238129591</v>
      </c>
      <c r="D418" s="6" t="n">
        <v>0.3878582970624547</v>
      </c>
      <c r="E418" s="55" t="n"/>
      <c r="K418">
        <f>ABS(B418 - $G$2)</f>
        <v/>
      </c>
      <c r="L418">
        <f>ABS(B418 - $H$2)</f>
        <v/>
      </c>
      <c r="M418">
        <f>ABS(B418 - $I$2)</f>
        <v/>
      </c>
      <c r="O418">
        <f>(1/K418^2) / ((1/K418^2) + (1/L418^2) + (1/M418^2))</f>
        <v/>
      </c>
      <c r="P418">
        <f>(1/L418^2) / ((1/K418^2) + (1/L418^2) + (1/M418^2))</f>
        <v/>
      </c>
      <c r="Q418">
        <f>(1/M418^2) / ((1/K418^2) + (1/L418^2) + (1/M418^2))</f>
        <v/>
      </c>
      <c r="S418">
        <f>IF(MAX(O418:Q418)=O418, "Murah", IF(MAX(O418:Q418)=P418, "Sedang", "Mahal"))</f>
        <v/>
      </c>
    </row>
    <row r="419">
      <c r="A419" s="6" t="inlineStr">
        <is>
          <t>Toko Kopi Jaya, Sukun</t>
        </is>
      </c>
      <c r="B419" s="6" t="n">
        <v>0.114519427402863</v>
      </c>
      <c r="C419" s="6" t="n">
        <v>0.121188259726118</v>
      </c>
      <c r="D419" s="6" t="n">
        <v>0.3493901553919193</v>
      </c>
      <c r="E419" s="55" t="n"/>
      <c r="K419">
        <f>ABS(B419 - $G$2)</f>
        <v/>
      </c>
      <c r="L419">
        <f>ABS(B419 - $H$2)</f>
        <v/>
      </c>
      <c r="M419">
        <f>ABS(B419 - $I$2)</f>
        <v/>
      </c>
      <c r="O419">
        <f>(1/K419^2) / ((1/K419^2) + (1/L419^2) + (1/M419^2))</f>
        <v/>
      </c>
      <c r="P419">
        <f>(1/L419^2) / ((1/K419^2) + (1/L419^2) + (1/M419^2))</f>
        <v/>
      </c>
      <c r="Q419">
        <f>(1/M419^2) / ((1/K419^2) + (1/L419^2) + (1/M419^2))</f>
        <v/>
      </c>
      <c r="S419">
        <f>IF(MAX(O419:Q419)=O419, "Murah", IF(MAX(O419:Q419)=P419, "Sedang", "Mahal"))</f>
        <v/>
      </c>
    </row>
    <row r="420">
      <c r="A420" s="6" t="inlineStr">
        <is>
          <t>Warung Kopi 69 - Kedai69 - Cafe69</t>
        </is>
      </c>
      <c r="B420" s="6" t="n">
        <v>0.0245398773006135</v>
      </c>
      <c r="C420" s="6" t="n">
        <v>0.1788017369458995</v>
      </c>
      <c r="D420" s="6" t="n">
        <v>0.3898757616149475</v>
      </c>
      <c r="E420" s="55" t="n"/>
      <c r="K420">
        <f>ABS(B420 - $G$2)</f>
        <v/>
      </c>
      <c r="L420">
        <f>ABS(B420 - $H$2)</f>
        <v/>
      </c>
      <c r="M420">
        <f>ABS(B420 - $I$2)</f>
        <v/>
      </c>
      <c r="O420">
        <f>(1/K420^2) / ((1/K420^2) + (1/L420^2) + (1/M420^2))</f>
        <v/>
      </c>
      <c r="P420">
        <f>(1/L420^2) / ((1/K420^2) + (1/L420^2) + (1/M420^2))</f>
        <v/>
      </c>
      <c r="Q420">
        <f>(1/M420^2) / ((1/K420^2) + (1/L420^2) + (1/M420^2))</f>
        <v/>
      </c>
      <c r="S420">
        <f>IF(MAX(O420:Q420)=O420, "Murah", IF(MAX(O420:Q420)=P420, "Sedang", "Mahal"))</f>
        <v/>
      </c>
    </row>
    <row r="421">
      <c r="A421" s="6" t="inlineStr">
        <is>
          <t>Cak Ril Kopi</t>
        </is>
      </c>
      <c r="B421" s="6" t="n">
        <v>0.6523517382413088</v>
      </c>
      <c r="C421" s="6" t="n">
        <v>0.168262879708649</v>
      </c>
      <c r="D421" s="6" t="n">
        <v>0.2975760214980106</v>
      </c>
      <c r="E421" s="55" t="n"/>
      <c r="K421">
        <f>ABS(B421 - $G$2)</f>
        <v/>
      </c>
      <c r="L421">
        <f>ABS(B421 - $H$2)</f>
        <v/>
      </c>
      <c r="M421">
        <f>ABS(B421 - $I$2)</f>
        <v/>
      </c>
      <c r="O421">
        <f>(1/K421^2) / ((1/K421^2) + (1/L421^2) + (1/M421^2))</f>
        <v/>
      </c>
      <c r="P421">
        <f>(1/L421^2) / ((1/K421^2) + (1/L421^2) + (1/M421^2))</f>
        <v/>
      </c>
      <c r="Q421">
        <f>(1/M421^2) / ((1/K421^2) + (1/L421^2) + (1/M421^2))</f>
        <v/>
      </c>
      <c r="S421">
        <f>IF(MAX(O421:Q421)=O421, "Murah", IF(MAX(O421:Q421)=P421, "Sedang", "Mahal"))</f>
        <v/>
      </c>
    </row>
    <row r="422">
      <c r="A422" s="6" t="inlineStr">
        <is>
          <t>Oppa Express</t>
        </is>
      </c>
      <c r="B422" s="6" t="n">
        <v>0.05521472392638037</v>
      </c>
      <c r="C422" s="6" t="n">
        <v>0.1374678888327506</v>
      </c>
      <c r="D422" s="6" t="n">
        <v>0.3808509603588163</v>
      </c>
      <c r="E422" s="55" t="n"/>
      <c r="K422">
        <f>ABS(B422 - $G$2)</f>
        <v/>
      </c>
      <c r="L422">
        <f>ABS(B422 - $H$2)</f>
        <v/>
      </c>
      <c r="M422">
        <f>ABS(B422 - $I$2)</f>
        <v/>
      </c>
      <c r="O422">
        <f>(1/K422^2) / ((1/K422^2) + (1/L422^2) + (1/M422^2))</f>
        <v/>
      </c>
      <c r="P422">
        <f>(1/L422^2) / ((1/K422^2) + (1/L422^2) + (1/M422^2))</f>
        <v/>
      </c>
      <c r="Q422">
        <f>(1/M422^2) / ((1/K422^2) + (1/L422^2) + (1/M422^2))</f>
        <v/>
      </c>
      <c r="S422">
        <f>IF(MAX(O422:Q422)=O422, "Murah", IF(MAX(O422:Q422)=P422, "Sedang", "Mahal"))</f>
        <v/>
      </c>
    </row>
    <row r="423">
      <c r="A423" s="6" t="inlineStr">
        <is>
          <t>Kopi Hamur Mbah Ndut</t>
        </is>
      </c>
      <c r="B423" s="6" t="n">
        <v>0.002044989775051125</v>
      </c>
      <c r="C423" s="6" t="n">
        <v>0.1370844682952636</v>
      </c>
      <c r="D423" s="6" t="n">
        <v>0.3766458214978335</v>
      </c>
      <c r="E423" s="55" t="n"/>
      <c r="K423">
        <f>ABS(B423 - $G$2)</f>
        <v/>
      </c>
      <c r="L423">
        <f>ABS(B423 - $H$2)</f>
        <v/>
      </c>
      <c r="M423">
        <f>ABS(B423 - $I$2)</f>
        <v/>
      </c>
      <c r="O423">
        <f>(1/K423^2) / ((1/K423^2) + (1/L423^2) + (1/M423^2))</f>
        <v/>
      </c>
      <c r="P423">
        <f>(1/L423^2) / ((1/K423^2) + (1/L423^2) + (1/M423^2))</f>
        <v/>
      </c>
      <c r="Q423">
        <f>(1/M423^2) / ((1/K423^2) + (1/L423^2) + (1/M423^2))</f>
        <v/>
      </c>
      <c r="S423">
        <f>IF(MAX(O423:Q423)=O423, "Murah", IF(MAX(O423:Q423)=P423, "Sedang", "Mahal"))</f>
        <v/>
      </c>
    </row>
    <row r="424">
      <c r="A424" s="6" t="inlineStr">
        <is>
          <t>Kedai Kopi Kembang</t>
        </is>
      </c>
      <c r="B424" s="6" t="n">
        <v>0.01022494887525562</v>
      </c>
      <c r="C424" s="6" t="n">
        <v>0.2026421138654847</v>
      </c>
      <c r="D424" s="6" t="n">
        <v>0.3510933582089838</v>
      </c>
      <c r="E424" s="55" t="n"/>
      <c r="K424">
        <f>ABS(B424 - $G$2)</f>
        <v/>
      </c>
      <c r="L424">
        <f>ABS(B424 - $H$2)</f>
        <v/>
      </c>
      <c r="M424">
        <f>ABS(B424 - $I$2)</f>
        <v/>
      </c>
      <c r="O424">
        <f>(1/K424^2) / ((1/K424^2) + (1/L424^2) + (1/M424^2))</f>
        <v/>
      </c>
      <c r="P424">
        <f>(1/L424^2) / ((1/K424^2) + (1/L424^2) + (1/M424^2))</f>
        <v/>
      </c>
      <c r="Q424">
        <f>(1/M424^2) / ((1/K424^2) + (1/L424^2) + (1/M424^2))</f>
        <v/>
      </c>
      <c r="S424">
        <f>IF(MAX(O424:Q424)=O424, "Murah", IF(MAX(O424:Q424)=P424, "Sedang", "Mahal"))</f>
        <v/>
      </c>
    </row>
    <row r="425">
      <c r="A425" s="6" t="inlineStr">
        <is>
          <t>Toko kopi sudawirat</t>
        </is>
      </c>
      <c r="B425" s="6" t="n">
        <v>0.1820040899795501</v>
      </c>
      <c r="C425" s="6" t="n">
        <v>0.168870587938942</v>
      </c>
      <c r="D425" s="6" t="n">
        <v>0.407870469638903</v>
      </c>
      <c r="E425" s="55" t="n"/>
      <c r="K425">
        <f>ABS(B425 - $G$2)</f>
        <v/>
      </c>
      <c r="L425">
        <f>ABS(B425 - $H$2)</f>
        <v/>
      </c>
      <c r="M425">
        <f>ABS(B425 - $I$2)</f>
        <v/>
      </c>
      <c r="O425">
        <f>(1/K425^2) / ((1/K425^2) + (1/L425^2) + (1/M425^2))</f>
        <v/>
      </c>
      <c r="P425">
        <f>(1/L425^2) / ((1/K425^2) + (1/L425^2) + (1/M425^2))</f>
        <v/>
      </c>
      <c r="Q425">
        <f>(1/M425^2) / ((1/K425^2) + (1/L425^2) + (1/M425^2))</f>
        <v/>
      </c>
      <c r="S425">
        <f>IF(MAX(O425:Q425)=O425, "Murah", IF(MAX(O425:Q425)=P425, "Sedang", "Mahal"))</f>
        <v/>
      </c>
    </row>
    <row r="426">
      <c r="A426" s="6" t="inlineStr">
        <is>
          <t>rata.space</t>
        </is>
      </c>
      <c r="B426" s="6" t="n">
        <v>0.06441717791411043</v>
      </c>
      <c r="C426" s="6" t="n">
        <v>0.1563923445717779</v>
      </c>
      <c r="D426" s="6" t="n">
        <v>0.3623548335517869</v>
      </c>
      <c r="E426" s="55" t="n"/>
      <c r="K426">
        <f>ABS(B426 - $G$2)</f>
        <v/>
      </c>
      <c r="L426">
        <f>ABS(B426 - $H$2)</f>
        <v/>
      </c>
      <c r="M426">
        <f>ABS(B426 - $I$2)</f>
        <v/>
      </c>
      <c r="O426">
        <f>(1/K426^2) / ((1/K426^2) + (1/L426^2) + (1/M426^2))</f>
        <v/>
      </c>
      <c r="P426">
        <f>(1/L426^2) / ((1/K426^2) + (1/L426^2) + (1/M426^2))</f>
        <v/>
      </c>
      <c r="Q426">
        <f>(1/M426^2) / ((1/K426^2) + (1/L426^2) + (1/M426^2))</f>
        <v/>
      </c>
      <c r="S426">
        <f>IF(MAX(O426:Q426)=O426, "Murah", IF(MAX(O426:Q426)=P426, "Sedang", "Mahal"))</f>
        <v/>
      </c>
    </row>
    <row r="427">
      <c r="A427" s="6" t="inlineStr">
        <is>
          <t>Warung Kopi Aroma Spesial Mie Bangladesh</t>
        </is>
      </c>
      <c r="B427" s="6" t="n">
        <v>0.08384458077709611</v>
      </c>
      <c r="C427" s="6" t="n">
        <v>0.1578427060237479</v>
      </c>
      <c r="D427" s="6" t="n">
        <v>0.3502507830753991</v>
      </c>
      <c r="E427" s="55" t="n"/>
      <c r="K427">
        <f>ABS(B427 - $G$2)</f>
        <v/>
      </c>
      <c r="L427">
        <f>ABS(B427 - $H$2)</f>
        <v/>
      </c>
      <c r="M427">
        <f>ABS(B427 - $I$2)</f>
        <v/>
      </c>
      <c r="O427">
        <f>(1/K427^2) / ((1/K427^2) + (1/L427^2) + (1/M427^2))</f>
        <v/>
      </c>
      <c r="P427">
        <f>(1/L427^2) / ((1/K427^2) + (1/L427^2) + (1/M427^2))</f>
        <v/>
      </c>
      <c r="Q427">
        <f>(1/M427^2) / ((1/K427^2) + (1/L427^2) + (1/M427^2))</f>
        <v/>
      </c>
      <c r="S427">
        <f>IF(MAX(O427:Q427)=O427, "Murah", IF(MAX(O427:Q427)=P427, "Sedang", "Mahal"))</f>
        <v/>
      </c>
    </row>
    <row r="428">
      <c r="A428" s="6" t="inlineStr">
        <is>
          <t>RANDAB IPOK</t>
        </is>
      </c>
      <c r="B428" s="6" t="n">
        <v>0.2597137014314929</v>
      </c>
      <c r="C428" s="6" t="n">
        <v>0.1534544422284807</v>
      </c>
      <c r="D428" s="6" t="n">
        <v>0.3222722781360005</v>
      </c>
      <c r="E428" s="55" t="n"/>
      <c r="K428">
        <f>ABS(B428 - $G$2)</f>
        <v/>
      </c>
      <c r="L428">
        <f>ABS(B428 - $H$2)</f>
        <v/>
      </c>
      <c r="M428">
        <f>ABS(B428 - $I$2)</f>
        <v/>
      </c>
      <c r="O428">
        <f>(1/K428^2) / ((1/K428^2) + (1/L428^2) + (1/M428^2))</f>
        <v/>
      </c>
      <c r="P428">
        <f>(1/L428^2) / ((1/K428^2) + (1/L428^2) + (1/M428^2))</f>
        <v/>
      </c>
      <c r="Q428">
        <f>(1/M428^2) / ((1/K428^2) + (1/L428^2) + (1/M428^2))</f>
        <v/>
      </c>
      <c r="S428">
        <f>IF(MAX(O428:Q428)=O428, "Murah", IF(MAX(O428:Q428)=P428, "Sedang", "Mahal"))</f>
        <v/>
      </c>
    </row>
    <row r="429">
      <c r="A429" s="6" t="inlineStr">
        <is>
          <t>Hambre Coffee</t>
        </is>
      </c>
      <c r="B429" s="6" t="n">
        <v>0.02862985685071575</v>
      </c>
      <c r="C429" s="6" t="n">
        <v>0.09597975210154674</v>
      </c>
      <c r="D429" s="6" t="n">
        <v>0.3444702829239657</v>
      </c>
      <c r="E429" s="55" t="n"/>
      <c r="K429">
        <f>ABS(B429 - $G$2)</f>
        <v/>
      </c>
      <c r="L429">
        <f>ABS(B429 - $H$2)</f>
        <v/>
      </c>
      <c r="M429">
        <f>ABS(B429 - $I$2)</f>
        <v/>
      </c>
      <c r="O429">
        <f>(1/K429^2) / ((1/K429^2) + (1/L429^2) + (1/M429^2))</f>
        <v/>
      </c>
      <c r="P429">
        <f>(1/L429^2) / ((1/K429^2) + (1/L429^2) + (1/M429^2))</f>
        <v/>
      </c>
      <c r="Q429">
        <f>(1/M429^2) / ((1/K429^2) + (1/L429^2) + (1/M429^2))</f>
        <v/>
      </c>
      <c r="S429">
        <f>IF(MAX(O429:Q429)=O429, "Murah", IF(MAX(O429:Q429)=P429, "Sedang", "Mahal"))</f>
        <v/>
      </c>
    </row>
    <row r="430">
      <c r="A430" s="6" t="inlineStr">
        <is>
          <t>Halter Coffee</t>
        </is>
      </c>
      <c r="B430" s="6" t="n">
        <v>0.1128834355828221</v>
      </c>
      <c r="C430" s="6" t="n">
        <v>0.1592512860210646</v>
      </c>
      <c r="D430" s="6" t="n">
        <v>0.3914371229688121</v>
      </c>
      <c r="E430" s="55" t="n"/>
      <c r="K430">
        <f>ABS(B430 - $G$2)</f>
        <v/>
      </c>
      <c r="L430">
        <f>ABS(B430 - $H$2)</f>
        <v/>
      </c>
      <c r="M430">
        <f>ABS(B430 - $I$2)</f>
        <v/>
      </c>
      <c r="O430">
        <f>(1/K430^2) / ((1/K430^2) + (1/L430^2) + (1/M430^2))</f>
        <v/>
      </c>
      <c r="P430">
        <f>(1/L430^2) / ((1/K430^2) + (1/L430^2) + (1/M430^2))</f>
        <v/>
      </c>
      <c r="Q430">
        <f>(1/M430^2) / ((1/K430^2) + (1/L430^2) + (1/M430^2))</f>
        <v/>
      </c>
      <c r="S430">
        <f>IF(MAX(O430:Q430)=O430, "Murah", IF(MAX(O430:Q430)=P430, "Sedang", "Mahal"))</f>
        <v/>
      </c>
    </row>
    <row r="431">
      <c r="A431" s="6" t="inlineStr">
        <is>
          <t>Ladang Coffee</t>
        </is>
      </c>
      <c r="B431" s="6" t="n">
        <v>0.0687116564417178</v>
      </c>
      <c r="C431" s="6" t="n">
        <v>0.1500147991123441</v>
      </c>
      <c r="D431" s="6" t="n">
        <v>0.3742043062331413</v>
      </c>
      <c r="E431" s="55" t="n"/>
      <c r="K431">
        <f>ABS(B431 - $G$2)</f>
        <v/>
      </c>
      <c r="L431">
        <f>ABS(B431 - $H$2)</f>
        <v/>
      </c>
      <c r="M431">
        <f>ABS(B431 - $I$2)</f>
        <v/>
      </c>
      <c r="O431">
        <f>(1/K431^2) / ((1/K431^2) + (1/L431^2) + (1/M431^2))</f>
        <v/>
      </c>
      <c r="P431">
        <f>(1/L431^2) / ((1/K431^2) + (1/L431^2) + (1/M431^2))</f>
        <v/>
      </c>
      <c r="Q431">
        <f>(1/M431^2) / ((1/K431^2) + (1/L431^2) + (1/M431^2))</f>
        <v/>
      </c>
      <c r="S431">
        <f>IF(MAX(O431:Q431)=O431, "Murah", IF(MAX(O431:Q431)=P431, "Sedang", "Mahal"))</f>
        <v/>
      </c>
    </row>
    <row r="432">
      <c r="A432" s="6" t="inlineStr">
        <is>
          <t>Workshop Kopi</t>
        </is>
      </c>
      <c r="B432" s="6" t="n">
        <v>0.1002044989775051</v>
      </c>
      <c r="C432" s="6" t="n">
        <v>0.0496578038311062</v>
      </c>
      <c r="D432" s="6" t="n">
        <v>0.4295302137053302</v>
      </c>
      <c r="E432" s="55" t="n"/>
      <c r="K432">
        <f>ABS(B432 - $G$2)</f>
        <v/>
      </c>
      <c r="L432">
        <f>ABS(B432 - $H$2)</f>
        <v/>
      </c>
      <c r="M432">
        <f>ABS(B432 - $I$2)</f>
        <v/>
      </c>
      <c r="O432">
        <f>(1/K432^2) / ((1/K432^2) + (1/L432^2) + (1/M432^2))</f>
        <v/>
      </c>
      <c r="P432">
        <f>(1/L432^2) / ((1/K432^2) + (1/L432^2) + (1/M432^2))</f>
        <v/>
      </c>
      <c r="Q432">
        <f>(1/M432^2) / ((1/K432^2) + (1/L432^2) + (1/M432^2))</f>
        <v/>
      </c>
      <c r="S432">
        <f>IF(MAX(O432:Q432)=O432, "Murah", IF(MAX(O432:Q432)=P432, "Sedang", "Mahal"))</f>
        <v/>
      </c>
    </row>
    <row r="433">
      <c r="A433" s="6" t="inlineStr">
        <is>
          <t>gingsul kopi &amp; kudapan</t>
        </is>
      </c>
      <c r="B433" s="6" t="n">
        <v>0.1270429447852761</v>
      </c>
      <c r="C433" s="6" t="n">
        <v>0.1545895656327313</v>
      </c>
      <c r="D433" s="6" t="n">
        <v>0.3640082997518907</v>
      </c>
      <c r="E433" s="55" t="n"/>
      <c r="K433">
        <f>ABS(B433 - $G$2)</f>
        <v/>
      </c>
      <c r="L433">
        <f>ABS(B433 - $H$2)</f>
        <v/>
      </c>
      <c r="M433">
        <f>ABS(B433 - $I$2)</f>
        <v/>
      </c>
      <c r="O433">
        <f>(1/K433^2) / ((1/K433^2) + (1/L433^2) + (1/M433^2))</f>
        <v/>
      </c>
      <c r="P433">
        <f>(1/L433^2) / ((1/K433^2) + (1/L433^2) + (1/M433^2))</f>
        <v/>
      </c>
      <c r="Q433">
        <f>(1/M433^2) / ((1/K433^2) + (1/L433^2) + (1/M433^2))</f>
        <v/>
      </c>
      <c r="S433">
        <f>IF(MAX(O433:Q433)=O433, "Murah", IF(MAX(O433:Q433)=P433, "Sedang", "Mahal"))</f>
        <v/>
      </c>
    </row>
    <row r="434">
      <c r="A434" s="6" t="inlineStr">
        <is>
          <t>The Grove Cafe Malang</t>
        </is>
      </c>
      <c r="B434" s="6" t="n">
        <v>0.6012269938650306</v>
      </c>
      <c r="C434" s="6" t="n">
        <v>0.1449873396137117</v>
      </c>
      <c r="D434" s="6" t="n">
        <v>0.3407746680725703</v>
      </c>
      <c r="E434" s="55" t="n"/>
      <c r="K434">
        <f>ABS(B434 - $G$2)</f>
        <v/>
      </c>
      <c r="L434">
        <f>ABS(B434 - $H$2)</f>
        <v/>
      </c>
      <c r="M434">
        <f>ABS(B434 - $I$2)</f>
        <v/>
      </c>
      <c r="O434">
        <f>(1/K434^2) / ((1/K434^2) + (1/L434^2) + (1/M434^2))</f>
        <v/>
      </c>
      <c r="P434">
        <f>(1/L434^2) / ((1/K434^2) + (1/L434^2) + (1/M434^2))</f>
        <v/>
      </c>
      <c r="Q434">
        <f>(1/M434^2) / ((1/K434^2) + (1/L434^2) + (1/M434^2))</f>
        <v/>
      </c>
      <c r="S434">
        <f>IF(MAX(O434:Q434)=O434, "Murah", IF(MAX(O434:Q434)=P434, "Sedang", "Mahal"))</f>
        <v/>
      </c>
    </row>
    <row r="435">
      <c r="A435" s="6" t="inlineStr">
        <is>
          <t>Lapidoth Cafe and Patisserie</t>
        </is>
      </c>
      <c r="B435" s="6" t="n">
        <v>0.5262576687116565</v>
      </c>
      <c r="C435" s="6" t="n">
        <v>0.1317783446599431</v>
      </c>
      <c r="D435" s="6" t="n">
        <v>0.3826027945346997</v>
      </c>
      <c r="E435" s="55" t="n"/>
      <c r="K435">
        <f>ABS(B435 - $G$2)</f>
        <v/>
      </c>
      <c r="L435">
        <f>ABS(B435 - $H$2)</f>
        <v/>
      </c>
      <c r="M435">
        <f>ABS(B435 - $I$2)</f>
        <v/>
      </c>
      <c r="O435">
        <f>(1/K435^2) / ((1/K435^2) + (1/L435^2) + (1/M435^2))</f>
        <v/>
      </c>
      <c r="P435">
        <f>(1/L435^2) / ((1/K435^2) + (1/L435^2) + (1/M435^2))</f>
        <v/>
      </c>
      <c r="Q435">
        <f>(1/M435^2) / ((1/K435^2) + (1/L435^2) + (1/M435^2))</f>
        <v/>
      </c>
      <c r="S435">
        <f>IF(MAX(O435:Q435)=O435, "Murah", IF(MAX(O435:Q435)=P435, "Sedang", "Mahal"))</f>
        <v/>
      </c>
    </row>
    <row r="436">
      <c r="A436" s="6" t="inlineStr">
        <is>
          <t>Lafayette Coffee &amp; Eatery</t>
        </is>
      </c>
      <c r="B436" s="6" t="n">
        <v>0.08793456032719836</v>
      </c>
      <c r="C436" s="6" t="n">
        <v>0.1403372453692833</v>
      </c>
      <c r="D436" s="6" t="n">
        <v>0.3799295434767997</v>
      </c>
      <c r="E436" s="55" t="n"/>
      <c r="K436">
        <f>ABS(B436 - $G$2)</f>
        <v/>
      </c>
      <c r="L436">
        <f>ABS(B436 - $H$2)</f>
        <v/>
      </c>
      <c r="M436">
        <f>ABS(B436 - $I$2)</f>
        <v/>
      </c>
      <c r="O436">
        <f>(1/K436^2) / ((1/K436^2) + (1/L436^2) + (1/M436^2))</f>
        <v/>
      </c>
      <c r="P436">
        <f>(1/L436^2) / ((1/K436^2) + (1/L436^2) + (1/M436^2))</f>
        <v/>
      </c>
      <c r="Q436">
        <f>(1/M436^2) / ((1/K436^2) + (1/L436^2) + (1/M436^2))</f>
        <v/>
      </c>
      <c r="S436">
        <f>IF(MAX(O436:Q436)=O436, "Murah", IF(MAX(O436:Q436)=P436, "Sedang", "Mahal"))</f>
        <v/>
      </c>
    </row>
    <row r="437">
      <c r="A437" s="6" t="inlineStr">
        <is>
          <t>Koppi Asia Malang | Coffee &amp; Eatery Malang</t>
        </is>
      </c>
      <c r="B437" s="6" t="n">
        <v>0.1155419222903886</v>
      </c>
      <c r="C437" s="6" t="n">
        <v>0.1628354081963347</v>
      </c>
      <c r="D437" s="6" t="n">
        <v>0.2997076960598945</v>
      </c>
      <c r="E437" s="55" t="n"/>
      <c r="K437">
        <f>ABS(B437 - $G$2)</f>
        <v/>
      </c>
      <c r="L437">
        <f>ABS(B437 - $H$2)</f>
        <v/>
      </c>
      <c r="M437">
        <f>ABS(B437 - $I$2)</f>
        <v/>
      </c>
      <c r="O437">
        <f>(1/K437^2) / ((1/K437^2) + (1/L437^2) + (1/M437^2))</f>
        <v/>
      </c>
      <c r="P437">
        <f>(1/L437^2) / ((1/K437^2) + (1/L437^2) + (1/M437^2))</f>
        <v/>
      </c>
      <c r="Q437">
        <f>(1/M437^2) / ((1/K437^2) + (1/L437^2) + (1/M437^2))</f>
        <v/>
      </c>
      <c r="S437">
        <f>IF(MAX(O437:Q437)=O437, "Murah", IF(MAX(O437:Q437)=P437, "Sedang", "Mahal"))</f>
        <v/>
      </c>
    </row>
    <row r="438">
      <c r="A438" s="6" t="inlineStr">
        <is>
          <t>Oui Coffee Malang</t>
        </is>
      </c>
      <c r="B438" s="6" t="n">
        <v>0.130879345603272</v>
      </c>
      <c r="C438" s="6" t="n">
        <v>0.2003493414031696</v>
      </c>
      <c r="D438" s="6" t="n">
        <v>0.4398861141996758</v>
      </c>
      <c r="E438" s="55" t="n"/>
      <c r="K438">
        <f>ABS(B438 - $G$2)</f>
        <v/>
      </c>
      <c r="L438">
        <f>ABS(B438 - $H$2)</f>
        <v/>
      </c>
      <c r="M438">
        <f>ABS(B438 - $I$2)</f>
        <v/>
      </c>
      <c r="O438">
        <f>(1/K438^2) / ((1/K438^2) + (1/L438^2) + (1/M438^2))</f>
        <v/>
      </c>
      <c r="P438">
        <f>(1/L438^2) / ((1/K438^2) + (1/L438^2) + (1/M438^2))</f>
        <v/>
      </c>
      <c r="Q438">
        <f>(1/M438^2) / ((1/K438^2) + (1/L438^2) + (1/M438^2))</f>
        <v/>
      </c>
      <c r="S438">
        <f>IF(MAX(O438:Q438)=O438, "Murah", IF(MAX(O438:Q438)=P438, "Sedang", "Mahal"))</f>
        <v/>
      </c>
    </row>
    <row r="439">
      <c r="A439" s="6" t="inlineStr">
        <is>
          <t>And Coffee Space</t>
        </is>
      </c>
      <c r="B439" s="6" t="n">
        <v>0.01840490797546012</v>
      </c>
      <c r="C439" s="6" t="n">
        <v>0.1561799252342067</v>
      </c>
      <c r="D439" s="6" t="n">
        <v>0.3539471347655732</v>
      </c>
      <c r="E439" s="55" t="n"/>
      <c r="K439">
        <f>ABS(B439 - $G$2)</f>
        <v/>
      </c>
      <c r="L439">
        <f>ABS(B439 - $H$2)</f>
        <v/>
      </c>
      <c r="M439">
        <f>ABS(B439 - $I$2)</f>
        <v/>
      </c>
      <c r="O439">
        <f>(1/K439^2) / ((1/K439^2) + (1/L439^2) + (1/M439^2))</f>
        <v/>
      </c>
      <c r="P439">
        <f>(1/L439^2) / ((1/K439^2) + (1/L439^2) + (1/M439^2))</f>
        <v/>
      </c>
      <c r="Q439">
        <f>(1/M439^2) / ((1/K439^2) + (1/L439^2) + (1/M439^2))</f>
        <v/>
      </c>
      <c r="S439">
        <f>IF(MAX(O439:Q439)=O439, "Murah", IF(MAX(O439:Q439)=P439, "Sedang", "Mahal"))</f>
        <v/>
      </c>
    </row>
    <row r="440">
      <c r="A440" s="6" t="inlineStr">
        <is>
          <t>Egg And Butter</t>
        </is>
      </c>
      <c r="B440" s="6" t="n">
        <v>0.1595092024539877</v>
      </c>
      <c r="C440" s="6" t="n">
        <v>0.9605250027490984</v>
      </c>
      <c r="D440" s="6" t="n">
        <v>0.9562664084783803</v>
      </c>
      <c r="E440" s="55" t="n"/>
      <c r="K440">
        <f>ABS(B440 - $G$2)</f>
        <v/>
      </c>
      <c r="L440">
        <f>ABS(B440 - $H$2)</f>
        <v/>
      </c>
      <c r="M440">
        <f>ABS(B440 - $I$2)</f>
        <v/>
      </c>
      <c r="O440">
        <f>(1/K440^2) / ((1/K440^2) + (1/L440^2) + (1/M440^2))</f>
        <v/>
      </c>
      <c r="P440">
        <f>(1/L440^2) / ((1/K440^2) + (1/L440^2) + (1/M440^2))</f>
        <v/>
      </c>
      <c r="Q440">
        <f>(1/M440^2) / ((1/K440^2) + (1/L440^2) + (1/M440^2))</f>
        <v/>
      </c>
      <c r="S440">
        <f>IF(MAX(O440:Q440)=O440, "Murah", IF(MAX(O440:Q440)=P440, "Sedang", "Mahal"))</f>
        <v/>
      </c>
    </row>
    <row r="441">
      <c r="A441" s="6" t="inlineStr">
        <is>
          <t>Bataputi Coffee House</t>
        </is>
      </c>
      <c r="B441" s="6" t="n">
        <v>0.1334355828220859</v>
      </c>
      <c r="C441" s="6" t="n">
        <v>0.1840950233806604</v>
      </c>
      <c r="D441" s="6" t="n">
        <v>0.5094249047083106</v>
      </c>
      <c r="E441" s="55" t="n"/>
      <c r="K441">
        <f>ABS(B441 - $G$2)</f>
        <v/>
      </c>
      <c r="L441">
        <f>ABS(B441 - $H$2)</f>
        <v/>
      </c>
      <c r="M441">
        <f>ABS(B441 - $I$2)</f>
        <v/>
      </c>
      <c r="O441">
        <f>(1/K441^2) / ((1/K441^2) + (1/L441^2) + (1/M441^2))</f>
        <v/>
      </c>
      <c r="P441">
        <f>(1/L441^2) / ((1/K441^2) + (1/L441^2) + (1/M441^2))</f>
        <v/>
      </c>
      <c r="Q441">
        <f>(1/M441^2) / ((1/K441^2) + (1/L441^2) + (1/M441^2))</f>
        <v/>
      </c>
      <c r="S441">
        <f>IF(MAX(O441:Q441)=O441, "Murah", IF(MAX(O441:Q441)=P441, "Sedang", "Mahal"))</f>
        <v/>
      </c>
    </row>
    <row r="442">
      <c r="A442" s="6" t="inlineStr">
        <is>
          <t>Ada Apa Dengan Kopi (AADK)</t>
        </is>
      </c>
      <c r="B442" s="6" t="n">
        <v>0.08588957055214724</v>
      </c>
      <c r="C442" s="6" t="n">
        <v>0.9714633875773678</v>
      </c>
      <c r="D442" s="6" t="n">
        <v>0.9661245743834933</v>
      </c>
      <c r="E442" s="55" t="n"/>
      <c r="K442">
        <f>ABS(B442 - $G$2)</f>
        <v/>
      </c>
      <c r="L442">
        <f>ABS(B442 - $H$2)</f>
        <v/>
      </c>
      <c r="M442">
        <f>ABS(B442 - $I$2)</f>
        <v/>
      </c>
      <c r="O442">
        <f>(1/K442^2) / ((1/K442^2) + (1/L442^2) + (1/M442^2))</f>
        <v/>
      </c>
      <c r="P442">
        <f>(1/L442^2) / ((1/K442^2) + (1/L442^2) + (1/M442^2))</f>
        <v/>
      </c>
      <c r="Q442">
        <f>(1/M442^2) / ((1/K442^2) + (1/L442^2) + (1/M442^2))</f>
        <v/>
      </c>
      <c r="S442">
        <f>IF(MAX(O442:Q442)=O442, "Murah", IF(MAX(O442:Q442)=P442, "Sedang", "Mahal"))</f>
        <v/>
      </c>
    </row>
    <row r="443">
      <c r="A443" s="6" t="inlineStr">
        <is>
          <t>Henshin Coffee Cafe</t>
        </is>
      </c>
      <c r="B443" s="6" t="n">
        <v>0.07975460122699386</v>
      </c>
      <c r="C443" s="6" t="n">
        <v>0.1848981961553317</v>
      </c>
      <c r="D443" s="6" t="n">
        <v>0.2499132372348149</v>
      </c>
      <c r="E443" s="55" t="n"/>
      <c r="K443">
        <f>ABS(B443 - $G$2)</f>
        <v/>
      </c>
      <c r="L443">
        <f>ABS(B443 - $H$2)</f>
        <v/>
      </c>
      <c r="M443">
        <f>ABS(B443 - $I$2)</f>
        <v/>
      </c>
      <c r="O443">
        <f>(1/K443^2) / ((1/K443^2) + (1/L443^2) + (1/M443^2))</f>
        <v/>
      </c>
      <c r="P443">
        <f>(1/L443^2) / ((1/K443^2) + (1/L443^2) + (1/M443^2))</f>
        <v/>
      </c>
      <c r="Q443">
        <f>(1/M443^2) / ((1/K443^2) + (1/L443^2) + (1/M443^2))</f>
        <v/>
      </c>
      <c r="S443">
        <f>IF(MAX(O443:Q443)=O443, "Murah", IF(MAX(O443:Q443)=P443, "Sedang", "Mahal"))</f>
        <v/>
      </c>
    </row>
    <row r="444">
      <c r="A444" s="6" t="inlineStr">
        <is>
          <t>Naiki Cafe</t>
        </is>
      </c>
      <c r="B444" s="6" t="n">
        <v>0.2024539877300613</v>
      </c>
      <c r="C444" s="6" t="n">
        <v>0.14189321096171</v>
      </c>
      <c r="D444" s="6" t="n">
        <v>0.3689414353177039</v>
      </c>
      <c r="E444" s="55" t="n"/>
      <c r="K444">
        <f>ABS(B444 - $G$2)</f>
        <v/>
      </c>
      <c r="L444">
        <f>ABS(B444 - $H$2)</f>
        <v/>
      </c>
      <c r="M444">
        <f>ABS(B444 - $I$2)</f>
        <v/>
      </c>
      <c r="O444">
        <f>(1/K444^2) / ((1/K444^2) + (1/L444^2) + (1/M444^2))</f>
        <v/>
      </c>
      <c r="P444">
        <f>(1/L444^2) / ((1/K444^2) + (1/L444^2) + (1/M444^2))</f>
        <v/>
      </c>
      <c r="Q444">
        <f>(1/M444^2) / ((1/K444^2) + (1/L444^2) + (1/M444^2))</f>
        <v/>
      </c>
      <c r="S444">
        <f>IF(MAX(O444:Q444)=O444, "Murah", IF(MAX(O444:Q444)=P444, "Sedang", "Mahal"))</f>
        <v/>
      </c>
    </row>
    <row r="445">
      <c r="A445" s="6" t="inlineStr">
        <is>
          <t>Capella Coffee &amp; Eatery</t>
        </is>
      </c>
      <c r="B445" s="6" t="n">
        <v>0.05644171779141104</v>
      </c>
      <c r="C445" s="6" t="n">
        <v>0.1831992047717571</v>
      </c>
      <c r="D445" s="6" t="n">
        <v>0.1968623194652672</v>
      </c>
      <c r="E445" s="55" t="n"/>
      <c r="K445">
        <f>ABS(B445 - $G$2)</f>
        <v/>
      </c>
      <c r="L445">
        <f>ABS(B445 - $H$2)</f>
        <v/>
      </c>
      <c r="M445">
        <f>ABS(B445 - $I$2)</f>
        <v/>
      </c>
      <c r="O445">
        <f>(1/K445^2) / ((1/K445^2) + (1/L445^2) + (1/M445^2))</f>
        <v/>
      </c>
      <c r="P445">
        <f>(1/L445^2) / ((1/K445^2) + (1/L445^2) + (1/M445^2))</f>
        <v/>
      </c>
      <c r="Q445">
        <f>(1/M445^2) / ((1/K445^2) + (1/L445^2) + (1/M445^2))</f>
        <v/>
      </c>
      <c r="S445">
        <f>IF(MAX(O445:Q445)=O445, "Murah", IF(MAX(O445:Q445)=P445, "Sedang", "Mahal"))</f>
        <v/>
      </c>
    </row>
    <row r="446">
      <c r="A446" s="6" t="inlineStr">
        <is>
          <t>Forenoon Coffee</t>
        </is>
      </c>
      <c r="B446" s="6" t="n">
        <v>0.2257668711656442</v>
      </c>
      <c r="C446" s="6" t="n">
        <v>0.1820562094992379</v>
      </c>
      <c r="D446" s="6" t="n">
        <v>0.4974575378237764</v>
      </c>
      <c r="E446" s="55" t="n"/>
      <c r="K446">
        <f>ABS(B446 - $G$2)</f>
        <v/>
      </c>
      <c r="L446">
        <f>ABS(B446 - $H$2)</f>
        <v/>
      </c>
      <c r="M446">
        <f>ABS(B446 - $I$2)</f>
        <v/>
      </c>
      <c r="O446">
        <f>(1/K446^2) / ((1/K446^2) + (1/L446^2) + (1/M446^2))</f>
        <v/>
      </c>
      <c r="P446">
        <f>(1/L446^2) / ((1/K446^2) + (1/L446^2) + (1/M446^2))</f>
        <v/>
      </c>
      <c r="Q446">
        <f>(1/M446^2) / ((1/K446^2) + (1/L446^2) + (1/M446^2))</f>
        <v/>
      </c>
      <c r="S446">
        <f>IF(MAX(O446:Q446)=O446, "Murah", IF(MAX(O446:Q446)=P446, "Sedang", "Mahal"))</f>
        <v/>
      </c>
    </row>
    <row r="447">
      <c r="A447" s="6" t="inlineStr">
        <is>
          <t>Andzero</t>
        </is>
      </c>
      <c r="B447" s="6" t="n">
        <v>0.1605316973415133</v>
      </c>
      <c r="C447" s="6" t="n">
        <v>0.9538161121884131</v>
      </c>
      <c r="D447" s="6" t="n">
        <v>0.8933827457412448</v>
      </c>
      <c r="E447" s="55" t="n"/>
      <c r="K447">
        <f>ABS(B447 - $G$2)</f>
        <v/>
      </c>
      <c r="L447">
        <f>ABS(B447 - $H$2)</f>
        <v/>
      </c>
      <c r="M447">
        <f>ABS(B447 - $I$2)</f>
        <v/>
      </c>
      <c r="O447">
        <f>(1/K447^2) / ((1/K447^2) + (1/L447^2) + (1/M447^2))</f>
        <v/>
      </c>
      <c r="P447">
        <f>(1/L447^2) / ((1/K447^2) + (1/L447^2) + (1/M447^2))</f>
        <v/>
      </c>
      <c r="Q447">
        <f>(1/M447^2) / ((1/K447^2) + (1/L447^2) + (1/M447^2))</f>
        <v/>
      </c>
      <c r="S447">
        <f>IF(MAX(O447:Q447)=O447, "Murah", IF(MAX(O447:Q447)=P447, "Sedang", "Mahal"))</f>
        <v/>
      </c>
    </row>
    <row r="448">
      <c r="A448" s="6" t="inlineStr">
        <is>
          <t>Roewang Tamoe Coffee &amp; Space</t>
        </is>
      </c>
      <c r="B448" s="6" t="n">
        <v>0.1615541922290389</v>
      </c>
      <c r="C448" s="6" t="n">
        <v>0.1283483899970597</v>
      </c>
      <c r="D448" s="6" t="n">
        <v>0.4679471450813474</v>
      </c>
      <c r="E448" s="55" t="n"/>
      <c r="K448">
        <f>ABS(B448 - $G$2)</f>
        <v/>
      </c>
      <c r="L448">
        <f>ABS(B448 - $H$2)</f>
        <v/>
      </c>
      <c r="M448">
        <f>ABS(B448 - $I$2)</f>
        <v/>
      </c>
      <c r="O448">
        <f>(1/K448^2) / ((1/K448^2) + (1/L448^2) + (1/M448^2))</f>
        <v/>
      </c>
      <c r="P448">
        <f>(1/L448^2) / ((1/K448^2) + (1/L448^2) + (1/M448^2))</f>
        <v/>
      </c>
      <c r="Q448">
        <f>(1/M448^2) / ((1/K448^2) + (1/L448^2) + (1/M448^2))</f>
        <v/>
      </c>
      <c r="S448">
        <f>IF(MAX(O448:Q448)=O448, "Murah", IF(MAX(O448:Q448)=P448, "Sedang", "Mahal"))</f>
        <v/>
      </c>
    </row>
    <row r="449">
      <c r="A449" s="6" t="inlineStr">
        <is>
          <t>nowhere coffee</t>
        </is>
      </c>
      <c r="B449" s="6" t="n">
        <v>0.1014314928425358</v>
      </c>
      <c r="C449" s="6" t="n">
        <v>0.1633880133487518</v>
      </c>
      <c r="D449" s="6" t="n">
        <v>0.3365978975042276</v>
      </c>
      <c r="E449" s="55" t="n"/>
      <c r="K449">
        <f>ABS(B449 - $G$2)</f>
        <v/>
      </c>
      <c r="L449">
        <f>ABS(B449 - $H$2)</f>
        <v/>
      </c>
      <c r="M449">
        <f>ABS(B449 - $I$2)</f>
        <v/>
      </c>
      <c r="O449">
        <f>(1/K449^2) / ((1/K449^2) + (1/L449^2) + (1/M449^2))</f>
        <v/>
      </c>
      <c r="P449">
        <f>(1/L449^2) / ((1/K449^2) + (1/L449^2) + (1/M449^2))</f>
        <v/>
      </c>
      <c r="Q449">
        <f>(1/M449^2) / ((1/K449^2) + (1/L449^2) + (1/M449^2))</f>
        <v/>
      </c>
      <c r="S449">
        <f>IF(MAX(O449:Q449)=O449, "Murah", IF(MAX(O449:Q449)=P449, "Sedang", "Mahal"))</f>
        <v/>
      </c>
    </row>
    <row r="450">
      <c r="A450" s="6" t="inlineStr">
        <is>
          <t>The Localist Coffee and Bistro Surabaya</t>
        </is>
      </c>
      <c r="B450" s="6" t="n">
        <v>0.1492842535787321</v>
      </c>
      <c r="C450" s="6" t="n">
        <v>0.9714228171793713</v>
      </c>
      <c r="D450" s="6" t="n">
        <v>0.9250657075973309</v>
      </c>
      <c r="E450" s="55" t="n"/>
      <c r="K450">
        <f>ABS(B450 - $G$2)</f>
        <v/>
      </c>
      <c r="L450">
        <f>ABS(B450 - $H$2)</f>
        <v/>
      </c>
      <c r="M450">
        <f>ABS(B450 - $I$2)</f>
        <v/>
      </c>
      <c r="O450">
        <f>(1/K450^2) / ((1/K450^2) + (1/L450^2) + (1/M450^2))</f>
        <v/>
      </c>
      <c r="P450">
        <f>(1/L450^2) / ((1/K450^2) + (1/L450^2) + (1/M450^2))</f>
        <v/>
      </c>
      <c r="Q450">
        <f>(1/M450^2) / ((1/K450^2) + (1/L450^2) + (1/M450^2))</f>
        <v/>
      </c>
      <c r="S450">
        <f>IF(MAX(O450:Q450)=O450, "Murah", IF(MAX(O450:Q450)=P450, "Sedang", "Mahal"))</f>
        <v/>
      </c>
    </row>
    <row r="451">
      <c r="A451" s="6" t="inlineStr">
        <is>
          <t>Bohemian Cafe</t>
        </is>
      </c>
      <c r="B451" s="6" t="n">
        <v>0.05316973415132924</v>
      </c>
      <c r="C451" s="6" t="n">
        <v>0.1421712695700702</v>
      </c>
      <c r="D451" s="6" t="n">
        <v>0.3347141691884736</v>
      </c>
      <c r="E451" s="55" t="n"/>
      <c r="K451">
        <f>ABS(B451 - $G$2)</f>
        <v/>
      </c>
      <c r="L451">
        <f>ABS(B451 - $H$2)</f>
        <v/>
      </c>
      <c r="M451">
        <f>ABS(B451 - $I$2)</f>
        <v/>
      </c>
      <c r="O451">
        <f>(1/K451^2) / ((1/K451^2) + (1/L451^2) + (1/M451^2))</f>
        <v/>
      </c>
      <c r="P451">
        <f>(1/L451^2) / ((1/K451^2) + (1/L451^2) + (1/M451^2))</f>
        <v/>
      </c>
      <c r="Q451">
        <f>(1/M451^2) / ((1/K451^2) + (1/L451^2) + (1/M451^2))</f>
        <v/>
      </c>
      <c r="S451">
        <f>IF(MAX(O451:Q451)=O451, "Murah", IF(MAX(O451:Q451)=P451, "Sedang", "Mahal"))</f>
        <v/>
      </c>
    </row>
    <row r="452">
      <c r="A452" s="6" t="inlineStr">
        <is>
          <t>Nakoa Cafe Bondowoso</t>
        </is>
      </c>
      <c r="B452" s="6" t="n">
        <v>0.065439672801636</v>
      </c>
      <c r="C452" s="6" t="n">
        <v>0.150973471561726</v>
      </c>
      <c r="D452" s="6" t="n">
        <v>0.3329494403340936</v>
      </c>
      <c r="E452" s="55" t="n"/>
      <c r="K452">
        <f>ABS(B452 - $G$2)</f>
        <v/>
      </c>
      <c r="L452">
        <f>ABS(B452 - $H$2)</f>
        <v/>
      </c>
      <c r="M452">
        <f>ABS(B452 - $I$2)</f>
        <v/>
      </c>
      <c r="O452">
        <f>(1/K452^2) / ((1/K452^2) + (1/L452^2) + (1/M452^2))</f>
        <v/>
      </c>
      <c r="P452">
        <f>(1/L452^2) / ((1/K452^2) + (1/L452^2) + (1/M452^2))</f>
        <v/>
      </c>
      <c r="Q452">
        <f>(1/M452^2) / ((1/K452^2) + (1/L452^2) + (1/M452^2))</f>
        <v/>
      </c>
      <c r="S452">
        <f>IF(MAX(O452:Q452)=O452, "Murah", IF(MAX(O452:Q452)=P452, "Sedang", "Mahal"))</f>
        <v/>
      </c>
    </row>
    <row r="453">
      <c r="A453" s="6" t="inlineStr">
        <is>
          <t>Ruca Koffie</t>
        </is>
      </c>
      <c r="B453" s="6" t="n">
        <v>0.3430470347648262</v>
      </c>
      <c r="C453" s="6" t="n">
        <v>0.146643944014304</v>
      </c>
      <c r="D453" s="6" t="n">
        <v>0.4028245977413086</v>
      </c>
      <c r="E453" s="55" t="n"/>
      <c r="K453">
        <f>ABS(B453 - $G$2)</f>
        <v/>
      </c>
      <c r="L453">
        <f>ABS(B453 - $H$2)</f>
        <v/>
      </c>
      <c r="M453">
        <f>ABS(B453 - $I$2)</f>
        <v/>
      </c>
      <c r="O453">
        <f>(1/K453^2) / ((1/K453^2) + (1/L453^2) + (1/M453^2))</f>
        <v/>
      </c>
      <c r="P453">
        <f>(1/L453^2) / ((1/K453^2) + (1/L453^2) + (1/M453^2))</f>
        <v/>
      </c>
      <c r="Q453">
        <f>(1/M453^2) / ((1/K453^2) + (1/L453^2) + (1/M453^2))</f>
        <v/>
      </c>
      <c r="S453">
        <f>IF(MAX(O453:Q453)=O453, "Murah", IF(MAX(O453:Q453)=P453, "Sedang", "Mahal"))</f>
        <v/>
      </c>
    </row>
    <row r="454">
      <c r="A454" s="6" t="inlineStr">
        <is>
          <t>Brick Lane Coffee Malang</t>
        </is>
      </c>
      <c r="B454" s="6" t="n">
        <v>0.4989775051124745</v>
      </c>
      <c r="C454" s="6" t="n">
        <v>0.1545643756542739</v>
      </c>
      <c r="D454" s="6" t="n">
        <v>0.3425217127964706</v>
      </c>
      <c r="E454" s="55" t="n"/>
      <c r="K454">
        <f>ABS(B454 - $G$2)</f>
        <v/>
      </c>
      <c r="L454">
        <f>ABS(B454 - $H$2)</f>
        <v/>
      </c>
      <c r="M454">
        <f>ABS(B454 - $I$2)</f>
        <v/>
      </c>
      <c r="O454">
        <f>(1/K454^2) / ((1/K454^2) + (1/L454^2) + (1/M454^2))</f>
        <v/>
      </c>
      <c r="P454">
        <f>(1/L454^2) / ((1/K454^2) + (1/L454^2) + (1/M454^2))</f>
        <v/>
      </c>
      <c r="Q454">
        <f>(1/M454^2) / ((1/K454^2) + (1/L454^2) + (1/M454^2))</f>
        <v/>
      </c>
      <c r="S454">
        <f>IF(MAX(O454:Q454)=O454, "Murah", IF(MAX(O454:Q454)=P454, "Sedang", "Mahal"))</f>
        <v/>
      </c>
    </row>
    <row r="455">
      <c r="A455" s="6" t="inlineStr">
        <is>
          <t>Dekker Koffie</t>
        </is>
      </c>
      <c r="B455" s="6" t="n">
        <v>0.1901840490797546</v>
      </c>
      <c r="C455" s="6" t="n">
        <v>0.1566440021450239</v>
      </c>
      <c r="D455" s="6" t="n">
        <v>0.3469147455437728</v>
      </c>
      <c r="E455" s="55" t="n"/>
      <c r="K455">
        <f>ABS(B455 - $G$2)</f>
        <v/>
      </c>
      <c r="L455">
        <f>ABS(B455 - $H$2)</f>
        <v/>
      </c>
      <c r="M455">
        <f>ABS(B455 - $I$2)</f>
        <v/>
      </c>
      <c r="O455">
        <f>(1/K455^2) / ((1/K455^2) + (1/L455^2) + (1/M455^2))</f>
        <v/>
      </c>
      <c r="P455">
        <f>(1/L455^2) / ((1/K455^2) + (1/L455^2) + (1/M455^2))</f>
        <v/>
      </c>
      <c r="Q455">
        <f>(1/M455^2) / ((1/K455^2) + (1/L455^2) + (1/M455^2))</f>
        <v/>
      </c>
      <c r="S455">
        <f>IF(MAX(O455:Q455)=O455, "Murah", IF(MAX(O455:Q455)=P455, "Sedang", "Mahal"))</f>
        <v/>
      </c>
    </row>
    <row r="456">
      <c r="A456" s="6" t="inlineStr">
        <is>
          <t>Robucca</t>
        </is>
      </c>
      <c r="B456" s="6" t="n">
        <v>0.08486707566462168</v>
      </c>
      <c r="C456" s="6" t="n">
        <v>0.1364242002060743</v>
      </c>
      <c r="D456" s="6" t="n">
        <v>0.3366970023188383</v>
      </c>
      <c r="E456" s="55" t="n"/>
      <c r="K456">
        <f>ABS(B456 - $G$2)</f>
        <v/>
      </c>
      <c r="L456">
        <f>ABS(B456 - $H$2)</f>
        <v/>
      </c>
      <c r="M456">
        <f>ABS(B456 - $I$2)</f>
        <v/>
      </c>
      <c r="O456">
        <f>(1/K456^2) / ((1/K456^2) + (1/L456^2) + (1/M456^2))</f>
        <v/>
      </c>
      <c r="P456">
        <f>(1/L456^2) / ((1/K456^2) + (1/L456^2) + (1/M456^2))</f>
        <v/>
      </c>
      <c r="Q456">
        <f>(1/M456^2) / ((1/K456^2) + (1/L456^2) + (1/M456^2))</f>
        <v/>
      </c>
      <c r="S456">
        <f>IF(MAX(O456:Q456)=O456, "Murah", IF(MAX(O456:Q456)=P456, "Sedang", "Mahal"))</f>
        <v/>
      </c>
    </row>
    <row r="457">
      <c r="A457" s="6" t="inlineStr">
        <is>
          <t>KAF Cafe</t>
        </is>
      </c>
      <c r="B457" s="6" t="n">
        <v>0.2597137014314929</v>
      </c>
      <c r="C457" s="6" t="n">
        <v>0.1781721085901226</v>
      </c>
      <c r="D457" s="6" t="n">
        <v>0.315205994330746</v>
      </c>
      <c r="E457" s="55" t="n"/>
      <c r="K457">
        <f>ABS(B457 - $G$2)</f>
        <v/>
      </c>
      <c r="L457">
        <f>ABS(B457 - $H$2)</f>
        <v/>
      </c>
      <c r="M457">
        <f>ABS(B457 - $I$2)</f>
        <v/>
      </c>
      <c r="O457">
        <f>(1/K457^2) / ((1/K457^2) + (1/L457^2) + (1/M457^2))</f>
        <v/>
      </c>
      <c r="P457">
        <f>(1/L457^2) / ((1/K457^2) + (1/L457^2) + (1/M457^2))</f>
        <v/>
      </c>
      <c r="Q457">
        <f>(1/M457^2) / ((1/K457^2) + (1/L457^2) + (1/M457^2))</f>
        <v/>
      </c>
      <c r="S457">
        <f>IF(MAX(O457:Q457)=O457, "Murah", IF(MAX(O457:Q457)=P457, "Sedang", "Mahal"))</f>
        <v/>
      </c>
    </row>
    <row r="458">
      <c r="A458" s="6" t="inlineStr">
        <is>
          <t>the lust coffee &amp; co</t>
        </is>
      </c>
      <c r="B458" s="6" t="n">
        <v>0.0408997955010225</v>
      </c>
      <c r="C458" s="6" t="n">
        <v>0.1831037735072155</v>
      </c>
      <c r="D458" s="6" t="n">
        <v>0.4960704388390608</v>
      </c>
      <c r="E458" s="55" t="n"/>
      <c r="K458">
        <f>ABS(B458 - $G$2)</f>
        <v/>
      </c>
      <c r="L458">
        <f>ABS(B458 - $H$2)</f>
        <v/>
      </c>
      <c r="M458">
        <f>ABS(B458 - $I$2)</f>
        <v/>
      </c>
      <c r="O458">
        <f>(1/K458^2) / ((1/K458^2) + (1/L458^2) + (1/M458^2))</f>
        <v/>
      </c>
      <c r="P458">
        <f>(1/L458^2) / ((1/K458^2) + (1/L458^2) + (1/M458^2))</f>
        <v/>
      </c>
      <c r="Q458">
        <f>(1/M458^2) / ((1/K458^2) + (1/L458^2) + (1/M458^2))</f>
        <v/>
      </c>
      <c r="S458">
        <f>IF(MAX(O458:Q458)=O458, "Murah", IF(MAX(O458:Q458)=P458, "Sedang", "Mahal"))</f>
        <v/>
      </c>
    </row>
    <row r="459">
      <c r="A459" s="6" t="inlineStr">
        <is>
          <t>Hidden Leaf Coffee &amp; Roastery</t>
        </is>
      </c>
      <c r="B459" s="6" t="n">
        <v>0.05802658486707567</v>
      </c>
      <c r="C459" s="6" t="n">
        <v>0.08276845614012951</v>
      </c>
      <c r="D459" s="6" t="n">
        <v>0.4299866853234263</v>
      </c>
      <c r="E459" s="55" t="n"/>
      <c r="K459">
        <f>ABS(B459 - $G$2)</f>
        <v/>
      </c>
      <c r="L459">
        <f>ABS(B459 - $H$2)</f>
        <v/>
      </c>
      <c r="M459">
        <f>ABS(B459 - $I$2)</f>
        <v/>
      </c>
      <c r="O459">
        <f>(1/K459^2) / ((1/K459^2) + (1/L459^2) + (1/M459^2))</f>
        <v/>
      </c>
      <c r="P459">
        <f>(1/L459^2) / ((1/K459^2) + (1/L459^2) + (1/M459^2))</f>
        <v/>
      </c>
      <c r="Q459">
        <f>(1/M459^2) / ((1/K459^2) + (1/L459^2) + (1/M459^2))</f>
        <v/>
      </c>
      <c r="S459">
        <f>IF(MAX(O459:Q459)=O459, "Murah", IF(MAX(O459:Q459)=P459, "Sedang", "Mahal"))</f>
        <v/>
      </c>
    </row>
    <row r="460">
      <c r="A460" s="6" t="inlineStr">
        <is>
          <t>Soma Coffee - Malang</t>
        </is>
      </c>
      <c r="B460" s="6" t="n">
        <v>0.2740286298568507</v>
      </c>
      <c r="C460" s="6" t="n">
        <v>0.137345087687769</v>
      </c>
      <c r="D460" s="6" t="n">
        <v>0.3803970676764195</v>
      </c>
      <c r="E460" s="55" t="n"/>
      <c r="K460">
        <f>ABS(B460 - $G$2)</f>
        <v/>
      </c>
      <c r="L460">
        <f>ABS(B460 - $H$2)</f>
        <v/>
      </c>
      <c r="M460">
        <f>ABS(B460 - $I$2)</f>
        <v/>
      </c>
      <c r="O460">
        <f>(1/K460^2) / ((1/K460^2) + (1/L460^2) + (1/M460^2))</f>
        <v/>
      </c>
      <c r="P460">
        <f>(1/L460^2) / ((1/K460^2) + (1/L460^2) + (1/M460^2))</f>
        <v/>
      </c>
      <c r="Q460">
        <f>(1/M460^2) / ((1/K460^2) + (1/L460^2) + (1/M460^2))</f>
        <v/>
      </c>
      <c r="S460">
        <f>IF(MAX(O460:Q460)=O460, "Murah", IF(MAX(O460:Q460)=P460, "Sedang", "Mahal"))</f>
        <v/>
      </c>
    </row>
    <row r="461">
      <c r="A461" s="6" t="inlineStr">
        <is>
          <t>All About Koffie by Kawisari</t>
        </is>
      </c>
      <c r="B461" s="6" t="n">
        <v>0.1124744376278119</v>
      </c>
      <c r="C461" s="6" t="n">
        <v>0.1378927275078929</v>
      </c>
      <c r="D461" s="6" t="n">
        <v>0.3799549644143773</v>
      </c>
      <c r="E461" s="55" t="n"/>
      <c r="K461">
        <f>ABS(B461 - $G$2)</f>
        <v/>
      </c>
      <c r="L461">
        <f>ABS(B461 - $H$2)</f>
        <v/>
      </c>
      <c r="M461">
        <f>ABS(B461 - $I$2)</f>
        <v/>
      </c>
      <c r="O461">
        <f>(1/K461^2) / ((1/K461^2) + (1/L461^2) + (1/M461^2))</f>
        <v/>
      </c>
      <c r="P461">
        <f>(1/L461^2) / ((1/K461^2) + (1/L461^2) + (1/M461^2))</f>
        <v/>
      </c>
      <c r="Q461">
        <f>(1/M461^2) / ((1/K461^2) + (1/L461^2) + (1/M461^2))</f>
        <v/>
      </c>
      <c r="S461">
        <f>IF(MAX(O461:Q461)=O461, "Murah", IF(MAX(O461:Q461)=P461, "Sedang", "Mahal"))</f>
        <v/>
      </c>
    </row>
    <row r="462">
      <c r="A462" s="6" t="inlineStr">
        <is>
          <t>Lupa Lelah Cafe</t>
        </is>
      </c>
      <c r="B462" s="6" t="n">
        <v>0.032719836400818</v>
      </c>
      <c r="C462" s="6" t="n">
        <v>0.1909263517693303</v>
      </c>
      <c r="D462" s="6" t="n">
        <v>0.3799582801888029</v>
      </c>
      <c r="E462" s="55" t="n"/>
      <c r="K462">
        <f>ABS(B462 - $G$2)</f>
        <v/>
      </c>
      <c r="L462">
        <f>ABS(B462 - $H$2)</f>
        <v/>
      </c>
      <c r="M462">
        <f>ABS(B462 - $I$2)</f>
        <v/>
      </c>
      <c r="O462">
        <f>(1/K462^2) / ((1/K462^2) + (1/L462^2) + (1/M462^2))</f>
        <v/>
      </c>
      <c r="P462">
        <f>(1/L462^2) / ((1/K462^2) + (1/L462^2) + (1/M462^2))</f>
        <v/>
      </c>
      <c r="Q462">
        <f>(1/M462^2) / ((1/K462^2) + (1/L462^2) + (1/M462^2))</f>
        <v/>
      </c>
      <c r="S462">
        <f>IF(MAX(O462:Q462)=O462, "Murah", IF(MAX(O462:Q462)=P462, "Sedang", "Mahal"))</f>
        <v/>
      </c>
    </row>
    <row r="463">
      <c r="A463" s="6" t="inlineStr">
        <is>
          <t>Kopi Kakak - Pucang Anom Timur</t>
        </is>
      </c>
      <c r="B463" s="6" t="n">
        <v>0.2822085889570552</v>
      </c>
      <c r="C463" s="6" t="n">
        <v>0.9776124066456974</v>
      </c>
      <c r="D463" s="6" t="n">
        <v>0.8457276982851468</v>
      </c>
      <c r="E463" s="55" t="n"/>
      <c r="K463">
        <f>ABS(B463 - $G$2)</f>
        <v/>
      </c>
      <c r="L463">
        <f>ABS(B463 - $H$2)</f>
        <v/>
      </c>
      <c r="M463">
        <f>ABS(B463 - $I$2)</f>
        <v/>
      </c>
      <c r="O463">
        <f>(1/K463^2) / ((1/K463^2) + (1/L463^2) + (1/M463^2))</f>
        <v/>
      </c>
      <c r="P463">
        <f>(1/L463^2) / ((1/K463^2) + (1/L463^2) + (1/M463^2))</f>
        <v/>
      </c>
      <c r="Q463">
        <f>(1/M463^2) / ((1/K463^2) + (1/L463^2) + (1/M463^2))</f>
        <v/>
      </c>
      <c r="S463">
        <f>IF(MAX(O463:Q463)=O463, "Murah", IF(MAX(O463:Q463)=P463, "Sedang", "Mahal"))</f>
        <v/>
      </c>
    </row>
    <row r="464">
      <c r="A464" s="6" t="inlineStr">
        <is>
          <t>De Historien Koffie Malang</t>
        </is>
      </c>
      <c r="B464" s="6" t="n">
        <v>0.05112474437627812</v>
      </c>
      <c r="C464" s="6" t="n">
        <v>0.1918976192079398</v>
      </c>
      <c r="D464" s="6" t="n">
        <v>0.4565637229221077</v>
      </c>
      <c r="E464" s="55" t="n"/>
      <c r="K464">
        <f>ABS(B464 - $G$2)</f>
        <v/>
      </c>
      <c r="L464">
        <f>ABS(B464 - $H$2)</f>
        <v/>
      </c>
      <c r="M464">
        <f>ABS(B464 - $I$2)</f>
        <v/>
      </c>
      <c r="O464">
        <f>(1/K464^2) / ((1/K464^2) + (1/L464^2) + (1/M464^2))</f>
        <v/>
      </c>
      <c r="P464">
        <f>(1/L464^2) / ((1/K464^2) + (1/L464^2) + (1/M464^2))</f>
        <v/>
      </c>
      <c r="Q464">
        <f>(1/M464^2) / ((1/K464^2) + (1/L464^2) + (1/M464^2))</f>
        <v/>
      </c>
      <c r="S464">
        <f>IF(MAX(O464:Q464)=O464, "Murah", IF(MAX(O464:Q464)=P464, "Sedang", "Mahal"))</f>
        <v/>
      </c>
    </row>
    <row r="465">
      <c r="A465" s="6" t="inlineStr">
        <is>
          <t>coffee story</t>
        </is>
      </c>
      <c r="B465" s="6" t="n">
        <v>0.1165644171779141</v>
      </c>
      <c r="C465" s="6" t="n">
        <v>0.1327752864996739</v>
      </c>
      <c r="D465" s="6" t="n">
        <v>0.4073292615623025</v>
      </c>
      <c r="E465" s="55" t="n"/>
      <c r="K465">
        <f>ABS(B465 - $G$2)</f>
        <v/>
      </c>
      <c r="L465">
        <f>ABS(B465 - $H$2)</f>
        <v/>
      </c>
      <c r="M465">
        <f>ABS(B465 - $I$2)</f>
        <v/>
      </c>
      <c r="O465">
        <f>(1/K465^2) / ((1/K465^2) + (1/L465^2) + (1/M465^2))</f>
        <v/>
      </c>
      <c r="P465">
        <f>(1/L465^2) / ((1/K465^2) + (1/L465^2) + (1/M465^2))</f>
        <v/>
      </c>
      <c r="Q465">
        <f>(1/M465^2) / ((1/K465^2) + (1/L465^2) + (1/M465^2))</f>
        <v/>
      </c>
      <c r="S465">
        <f>IF(MAX(O465:Q465)=O465, "Murah", IF(MAX(O465:Q465)=P465, "Sedang", "Mahal"))</f>
        <v/>
      </c>
    </row>
    <row r="466">
      <c r="A466" s="6" t="inlineStr">
        <is>
          <t>Motiv Coffee</t>
        </is>
      </c>
      <c r="B466" s="6" t="n">
        <v>0.05930470347648262</v>
      </c>
      <c r="C466" s="6" t="n">
        <v>0.1767216260324866</v>
      </c>
      <c r="D466" s="6" t="n">
        <v>0.3210885466518525</v>
      </c>
      <c r="E466" s="55" t="n"/>
      <c r="K466">
        <f>ABS(B466 - $G$2)</f>
        <v/>
      </c>
      <c r="L466">
        <f>ABS(B466 - $H$2)</f>
        <v/>
      </c>
      <c r="M466">
        <f>ABS(B466 - $I$2)</f>
        <v/>
      </c>
      <c r="O466">
        <f>(1/K466^2) / ((1/K466^2) + (1/L466^2) + (1/M466^2))</f>
        <v/>
      </c>
      <c r="P466">
        <f>(1/L466^2) / ((1/K466^2) + (1/L466^2) + (1/M466^2))</f>
        <v/>
      </c>
      <c r="Q466">
        <f>(1/M466^2) / ((1/K466^2) + (1/L466^2) + (1/M466^2))</f>
        <v/>
      </c>
      <c r="S466">
        <f>IF(MAX(O466:Q466)=O466, "Murah", IF(MAX(O466:Q466)=P466, "Sedang", "Mahal"))</f>
        <v/>
      </c>
    </row>
    <row r="467">
      <c r="A467" s="6" t="inlineStr">
        <is>
          <t>Calathea Garden</t>
        </is>
      </c>
      <c r="B467" s="6" t="n">
        <v>0.02760736196319018</v>
      </c>
      <c r="C467" s="6" t="n">
        <v>0.1348975421847372</v>
      </c>
      <c r="D467" s="6" t="n">
        <v>0.379607176514858</v>
      </c>
      <c r="E467" s="55" t="n"/>
      <c r="K467">
        <f>ABS(B467 - $G$2)</f>
        <v/>
      </c>
      <c r="L467">
        <f>ABS(B467 - $H$2)</f>
        <v/>
      </c>
      <c r="M467">
        <f>ABS(B467 - $I$2)</f>
        <v/>
      </c>
      <c r="O467">
        <f>(1/K467^2) / ((1/K467^2) + (1/L467^2) + (1/M467^2))</f>
        <v/>
      </c>
      <c r="P467">
        <f>(1/L467^2) / ((1/K467^2) + (1/L467^2) + (1/M467^2))</f>
        <v/>
      </c>
      <c r="Q467">
        <f>(1/M467^2) / ((1/K467^2) + (1/L467^2) + (1/M467^2))</f>
        <v/>
      </c>
      <c r="S467">
        <f>IF(MAX(O467:Q467)=O467, "Murah", IF(MAX(O467:Q467)=P467, "Sedang", "Mahal"))</f>
        <v/>
      </c>
    </row>
    <row r="468">
      <c r="A468" s="6" t="inlineStr">
        <is>
          <t>Kopi Zocco</t>
        </is>
      </c>
      <c r="B468" s="6" t="n">
        <v>0.09611451942740286</v>
      </c>
      <c r="C468" s="6" t="n">
        <v>0.1630262707254188</v>
      </c>
      <c r="D468" s="6" t="n">
        <v>0.4390531179701096</v>
      </c>
      <c r="E468" s="55" t="n"/>
      <c r="K468">
        <f>ABS(B468 - $G$2)</f>
        <v/>
      </c>
      <c r="L468">
        <f>ABS(B468 - $H$2)</f>
        <v/>
      </c>
      <c r="M468">
        <f>ABS(B468 - $I$2)</f>
        <v/>
      </c>
      <c r="O468">
        <f>(1/K468^2) / ((1/K468^2) + (1/L468^2) + (1/M468^2))</f>
        <v/>
      </c>
      <c r="P468">
        <f>(1/L468^2) / ((1/K468^2) + (1/L468^2) + (1/M468^2))</f>
        <v/>
      </c>
      <c r="Q468">
        <f>(1/M468^2) / ((1/K468^2) + (1/L468^2) + (1/M468^2))</f>
        <v/>
      </c>
      <c r="S468">
        <f>IF(MAX(O468:Q468)=O468, "Murah", IF(MAX(O468:Q468)=P468, "Sedang", "Mahal"))</f>
        <v/>
      </c>
    </row>
    <row r="469">
      <c r="A469" s="6" t="inlineStr">
        <is>
          <t>Sixteenhaus</t>
        </is>
      </c>
      <c r="B469" s="6" t="n">
        <v>0.07975460122699386</v>
      </c>
      <c r="C469" s="6" t="n">
        <v>0.1408360796061451</v>
      </c>
      <c r="D469" s="6" t="n">
        <v>0.3358312167639599</v>
      </c>
      <c r="E469" s="55" t="n"/>
      <c r="K469">
        <f>ABS(B469 - $G$2)</f>
        <v/>
      </c>
      <c r="L469">
        <f>ABS(B469 - $H$2)</f>
        <v/>
      </c>
      <c r="M469">
        <f>ABS(B469 - $I$2)</f>
        <v/>
      </c>
      <c r="O469">
        <f>(1/K469^2) / ((1/K469^2) + (1/L469^2) + (1/M469^2))</f>
        <v/>
      </c>
      <c r="P469">
        <f>(1/L469^2) / ((1/K469^2) + (1/L469^2) + (1/M469^2))</f>
        <v/>
      </c>
      <c r="Q469">
        <f>(1/M469^2) / ((1/K469^2) + (1/L469^2) + (1/M469^2))</f>
        <v/>
      </c>
      <c r="S469">
        <f>IF(MAX(O469:Q469)=O469, "Murah", IF(MAX(O469:Q469)=P469, "Sedang", "Mahal"))</f>
        <v/>
      </c>
    </row>
    <row r="470">
      <c r="A470" s="6" t="inlineStr">
        <is>
          <t>KOZI Coffee Malang</t>
        </is>
      </c>
      <c r="B470" s="6" t="n">
        <v>0.1104294478527607</v>
      </c>
      <c r="C470" s="6" t="n">
        <v>0.1578358030008052</v>
      </c>
      <c r="D470" s="6" t="n">
        <v>0.3618515726718449</v>
      </c>
      <c r="E470" s="55" t="n"/>
      <c r="K470">
        <f>ABS(B470 - $G$2)</f>
        <v/>
      </c>
      <c r="L470">
        <f>ABS(B470 - $H$2)</f>
        <v/>
      </c>
      <c r="M470">
        <f>ABS(B470 - $I$2)</f>
        <v/>
      </c>
      <c r="O470">
        <f>(1/K470^2) / ((1/K470^2) + (1/L470^2) + (1/M470^2))</f>
        <v/>
      </c>
      <c r="P470">
        <f>(1/L470^2) / ((1/K470^2) + (1/L470^2) + (1/M470^2))</f>
        <v/>
      </c>
      <c r="Q470">
        <f>(1/M470^2) / ((1/K470^2) + (1/L470^2) + (1/M470^2))</f>
        <v/>
      </c>
      <c r="S470">
        <f>IF(MAX(O470:Q470)=O470, "Murah", IF(MAX(O470:Q470)=P470, "Sedang", "Mahal"))</f>
        <v/>
      </c>
    </row>
    <row r="471">
      <c r="A471" s="6" t="inlineStr">
        <is>
          <t>Queen coffee malang</t>
        </is>
      </c>
      <c r="B471" s="6" t="n">
        <v>0.01329243353783231</v>
      </c>
      <c r="C471" s="6" t="n">
        <v>0.1448713203860079</v>
      </c>
      <c r="D471" s="6" t="n">
        <v>0.4269951199168414</v>
      </c>
      <c r="E471" s="55" t="n"/>
      <c r="K471">
        <f>ABS(B471 - $G$2)</f>
        <v/>
      </c>
      <c r="L471">
        <f>ABS(B471 - $H$2)</f>
        <v/>
      </c>
      <c r="M471">
        <f>ABS(B471 - $I$2)</f>
        <v/>
      </c>
      <c r="O471">
        <f>(1/K471^2) / ((1/K471^2) + (1/L471^2) + (1/M471^2))</f>
        <v/>
      </c>
      <c r="P471">
        <f>(1/L471^2) / ((1/K471^2) + (1/L471^2) + (1/M471^2))</f>
        <v/>
      </c>
      <c r="Q471">
        <f>(1/M471^2) / ((1/K471^2) + (1/L471^2) + (1/M471^2))</f>
        <v/>
      </c>
      <c r="S471">
        <f>IF(MAX(O471:Q471)=O471, "Murah", IF(MAX(O471:Q471)=P471, "Sedang", "Mahal"))</f>
        <v/>
      </c>
    </row>
    <row r="472">
      <c r="A472" s="6" t="inlineStr">
        <is>
          <t>Kopi Sontoloyo</t>
        </is>
      </c>
      <c r="B472" s="6" t="n">
        <v>0.01840490797546012</v>
      </c>
      <c r="C472" s="6" t="n">
        <v>0.186604211667514</v>
      </c>
      <c r="D472" s="6" t="n">
        <v>0.2173025953671717</v>
      </c>
      <c r="E472" s="55" t="n"/>
      <c r="K472">
        <f>ABS(B472 - $G$2)</f>
        <v/>
      </c>
      <c r="L472">
        <f>ABS(B472 - $H$2)</f>
        <v/>
      </c>
      <c r="M472">
        <f>ABS(B472 - $I$2)</f>
        <v/>
      </c>
      <c r="O472">
        <f>(1/K472^2) / ((1/K472^2) + (1/L472^2) + (1/M472^2))</f>
        <v/>
      </c>
      <c r="P472">
        <f>(1/L472^2) / ((1/K472^2) + (1/L472^2) + (1/M472^2))</f>
        <v/>
      </c>
      <c r="Q472">
        <f>(1/M472^2) / ((1/K472^2) + (1/L472^2) + (1/M472^2))</f>
        <v/>
      </c>
      <c r="S472">
        <f>IF(MAX(O472:Q472)=O472, "Murah", IF(MAX(O472:Q472)=P472, "Sedang", "Mahal"))</f>
        <v/>
      </c>
    </row>
    <row r="473">
      <c r="A473" s="6" t="inlineStr">
        <is>
          <t>Jeda Cafe Rooftop</t>
        </is>
      </c>
      <c r="B473" s="6" t="n">
        <v>0.1104294478527607</v>
      </c>
      <c r="C473" s="6" t="n">
        <v>0.1992069516589783</v>
      </c>
      <c r="D473" s="6" t="n">
        <v>0.2960308705971205</v>
      </c>
      <c r="E473" s="55" t="n"/>
      <c r="K473">
        <f>ABS(B473 - $G$2)</f>
        <v/>
      </c>
      <c r="L473">
        <f>ABS(B473 - $H$2)</f>
        <v/>
      </c>
      <c r="M473">
        <f>ABS(B473 - $I$2)</f>
        <v/>
      </c>
      <c r="O473">
        <f>(1/K473^2) / ((1/K473^2) + (1/L473^2) + (1/M473^2))</f>
        <v/>
      </c>
      <c r="P473">
        <f>(1/L473^2) / ((1/K473^2) + (1/L473^2) + (1/M473^2))</f>
        <v/>
      </c>
      <c r="Q473">
        <f>(1/M473^2) / ((1/K473^2) + (1/L473^2) + (1/M473^2))</f>
        <v/>
      </c>
      <c r="S473">
        <f>IF(MAX(O473:Q473)=O473, "Murah", IF(MAX(O473:Q473)=P473, "Sedang", "Mahal"))</f>
        <v/>
      </c>
    </row>
    <row r="474">
      <c r="A474" s="6" t="inlineStr">
        <is>
          <t>Blue Doors Surabaya</t>
        </is>
      </c>
      <c r="B474" s="6" t="n">
        <v>0.1104294478527607</v>
      </c>
      <c r="C474" s="6" t="n">
        <v>0.9862100611680495</v>
      </c>
      <c r="D474" s="6" t="n">
        <v>0.7724439247275191</v>
      </c>
      <c r="E474" s="55" t="n"/>
      <c r="K474">
        <f>ABS(B474 - $G$2)</f>
        <v/>
      </c>
      <c r="L474">
        <f>ABS(B474 - $H$2)</f>
        <v/>
      </c>
      <c r="M474">
        <f>ABS(B474 - $I$2)</f>
        <v/>
      </c>
      <c r="O474">
        <f>(1/K474^2) / ((1/K474^2) + (1/L474^2) + (1/M474^2))</f>
        <v/>
      </c>
      <c r="P474">
        <f>(1/L474^2) / ((1/K474^2) + (1/L474^2) + (1/M474^2))</f>
        <v/>
      </c>
      <c r="Q474">
        <f>(1/M474^2) / ((1/K474^2) + (1/L474^2) + (1/M474^2))</f>
        <v/>
      </c>
      <c r="S474">
        <f>IF(MAX(O474:Q474)=O474, "Murah", IF(MAX(O474:Q474)=P474, "Sedang", "Mahal"))</f>
        <v/>
      </c>
    </row>
    <row r="475">
      <c r="A475" s="6" t="inlineStr">
        <is>
          <t>OURA - Cafe &amp; Restaurant</t>
        </is>
      </c>
      <c r="B475" s="6" t="n">
        <v>0.3757668711656442</v>
      </c>
      <c r="C475" s="6" t="n">
        <v>0.1505440308712874</v>
      </c>
      <c r="D475" s="6" t="n">
        <v>0.3529089289385187</v>
      </c>
      <c r="E475" s="55" t="n"/>
      <c r="K475">
        <f>ABS(B475 - $G$2)</f>
        <v/>
      </c>
      <c r="L475">
        <f>ABS(B475 - $H$2)</f>
        <v/>
      </c>
      <c r="M475">
        <f>ABS(B475 - $I$2)</f>
        <v/>
      </c>
      <c r="O475">
        <f>(1/K475^2) / ((1/K475^2) + (1/L475^2) + (1/M475^2))</f>
        <v/>
      </c>
      <c r="P475">
        <f>(1/L475^2) / ((1/K475^2) + (1/L475^2) + (1/M475^2))</f>
        <v/>
      </c>
      <c r="Q475">
        <f>(1/M475^2) / ((1/K475^2) + (1/L475^2) + (1/M475^2))</f>
        <v/>
      </c>
      <c r="S475">
        <f>IF(MAX(O475:Q475)=O475, "Murah", IF(MAX(O475:Q475)=P475, "Sedang", "Mahal"))</f>
        <v/>
      </c>
    </row>
    <row r="476">
      <c r="A476" s="6" t="inlineStr">
        <is>
          <t>Amstirdam Coffee Mergan</t>
        </is>
      </c>
      <c r="B476" s="6" t="n">
        <v>0.4989775051124745</v>
      </c>
      <c r="C476" s="6" t="n">
        <v>0.1321623707257579</v>
      </c>
      <c r="D476" s="6" t="n">
        <v>0.3316496567436341</v>
      </c>
      <c r="E476" s="55" t="n"/>
      <c r="K476">
        <f>ABS(B476 - $G$2)</f>
        <v/>
      </c>
      <c r="L476">
        <f>ABS(B476 - $H$2)</f>
        <v/>
      </c>
      <c r="M476">
        <f>ABS(B476 - $I$2)</f>
        <v/>
      </c>
      <c r="O476">
        <f>(1/K476^2) / ((1/K476^2) + (1/L476^2) + (1/M476^2))</f>
        <v/>
      </c>
      <c r="P476">
        <f>(1/L476^2) / ((1/K476^2) + (1/L476^2) + (1/M476^2))</f>
        <v/>
      </c>
      <c r="Q476">
        <f>(1/M476^2) / ((1/K476^2) + (1/L476^2) + (1/M476^2))</f>
        <v/>
      </c>
      <c r="S476">
        <f>IF(MAX(O476:Q476)=O476, "Murah", IF(MAX(O476:Q476)=P476, "Sedang", "Mahal"))</f>
        <v/>
      </c>
    </row>
    <row r="477">
      <c r="A477" s="6" t="inlineStr">
        <is>
          <t>Konoae Warung A La Cafe, Klampis Ngasem</t>
        </is>
      </c>
      <c r="B477" s="6" t="n">
        <v>0.1222903885480573</v>
      </c>
      <c r="C477" s="6" t="n">
        <v>0.9785978434471904</v>
      </c>
      <c r="D477" s="6" t="n">
        <v>0.9200456250566248</v>
      </c>
      <c r="E477" s="55" t="n"/>
      <c r="K477">
        <f>ABS(B477 - $G$2)</f>
        <v/>
      </c>
      <c r="L477">
        <f>ABS(B477 - $H$2)</f>
        <v/>
      </c>
      <c r="M477">
        <f>ABS(B477 - $I$2)</f>
        <v/>
      </c>
      <c r="O477">
        <f>(1/K477^2) / ((1/K477^2) + (1/L477^2) + (1/M477^2))</f>
        <v/>
      </c>
      <c r="P477">
        <f>(1/L477^2) / ((1/K477^2) + (1/L477^2) + (1/M477^2))</f>
        <v/>
      </c>
      <c r="Q477">
        <f>(1/M477^2) / ((1/K477^2) + (1/L477^2) + (1/M477^2))</f>
        <v/>
      </c>
      <c r="S477">
        <f>IF(MAX(O477:Q477)=O477, "Murah", IF(MAX(O477:Q477)=P477, "Sedang", "Mahal"))</f>
        <v/>
      </c>
    </row>
    <row r="478">
      <c r="A478" s="6" t="inlineStr">
        <is>
          <t>LOT #1 Coffee Bar</t>
        </is>
      </c>
      <c r="B478" s="6" t="n">
        <v>0.1385480572597137</v>
      </c>
      <c r="C478" s="6" t="n">
        <v>0.9947843422969279</v>
      </c>
      <c r="D478" s="6" t="n">
        <v>0.9758346356958658</v>
      </c>
      <c r="E478" s="55" t="n"/>
      <c r="K478">
        <f>ABS(B478 - $G$2)</f>
        <v/>
      </c>
      <c r="L478">
        <f>ABS(B478 - $H$2)</f>
        <v/>
      </c>
      <c r="M478">
        <f>ABS(B478 - $I$2)</f>
        <v/>
      </c>
      <c r="O478">
        <f>(1/K478^2) / ((1/K478^2) + (1/L478^2) + (1/M478^2))</f>
        <v/>
      </c>
      <c r="P478">
        <f>(1/L478^2) / ((1/K478^2) + (1/L478^2) + (1/M478^2))</f>
        <v/>
      </c>
      <c r="Q478">
        <f>(1/M478^2) / ((1/K478^2) + (1/L478^2) + (1/M478^2))</f>
        <v/>
      </c>
      <c r="S478">
        <f>IF(MAX(O478:Q478)=O478, "Murah", IF(MAX(O478:Q478)=P478, "Sedang", "Mahal"))</f>
        <v/>
      </c>
    </row>
    <row r="479">
      <c r="A479" s="6" t="inlineStr">
        <is>
          <t>LaLeite Coffee</t>
        </is>
      </c>
      <c r="B479" s="6" t="n">
        <v>0.5501022494887525</v>
      </c>
      <c r="C479" s="6" t="n">
        <v>0.1830068889746862</v>
      </c>
      <c r="D479" s="6" t="n">
        <v>0.4109559819887001</v>
      </c>
      <c r="E479" s="55" t="n"/>
      <c r="K479">
        <f>ABS(B479 - $G$2)</f>
        <v/>
      </c>
      <c r="L479">
        <f>ABS(B479 - $H$2)</f>
        <v/>
      </c>
      <c r="M479">
        <f>ABS(B479 - $I$2)</f>
        <v/>
      </c>
      <c r="O479">
        <f>(1/K479^2) / ((1/K479^2) + (1/L479^2) + (1/M479^2))</f>
        <v/>
      </c>
      <c r="P479">
        <f>(1/L479^2) / ((1/K479^2) + (1/L479^2) + (1/M479^2))</f>
        <v/>
      </c>
      <c r="Q479">
        <f>(1/M479^2) / ((1/K479^2) + (1/L479^2) + (1/M479^2))</f>
        <v/>
      </c>
      <c r="S479">
        <f>IF(MAX(O479:Q479)=O479, "Murah", IF(MAX(O479:Q479)=P479, "Sedang", "Mahal"))</f>
        <v/>
      </c>
    </row>
    <row r="480">
      <c r="A480" s="6" t="inlineStr">
        <is>
          <t>Grain Alley</t>
        </is>
      </c>
      <c r="B480" s="6" t="n">
        <v>0.3522494887525562</v>
      </c>
      <c r="C480" s="6" t="n">
        <v>0.1504008839744756</v>
      </c>
      <c r="D480" s="6" t="n">
        <v>0.3659657119446779</v>
      </c>
      <c r="E480" s="55" t="n"/>
      <c r="K480">
        <f>ABS(B480 - $G$2)</f>
        <v/>
      </c>
      <c r="L480">
        <f>ABS(B480 - $H$2)</f>
        <v/>
      </c>
      <c r="M480">
        <f>ABS(B480 - $I$2)</f>
        <v/>
      </c>
      <c r="O480">
        <f>(1/K480^2) / ((1/K480^2) + (1/L480^2) + (1/M480^2))</f>
        <v/>
      </c>
      <c r="P480">
        <f>(1/L480^2) / ((1/K480^2) + (1/L480^2) + (1/M480^2))</f>
        <v/>
      </c>
      <c r="Q480">
        <f>(1/M480^2) / ((1/K480^2) + (1/L480^2) + (1/M480^2))</f>
        <v/>
      </c>
      <c r="S480">
        <f>IF(MAX(O480:Q480)=O480, "Murah", IF(MAX(O480:Q480)=P480, "Sedang", "Mahal"))</f>
        <v/>
      </c>
    </row>
    <row r="481">
      <c r="A481" s="6" t="inlineStr">
        <is>
          <t>MMMM Coffee</t>
        </is>
      </c>
      <c r="B481" s="6" t="n">
        <v>0.1431492842535787</v>
      </c>
      <c r="C481" s="6" t="n">
        <v>0.1412106594300387</v>
      </c>
      <c r="D481" s="6" t="n">
        <v>0.3566785960863629</v>
      </c>
      <c r="E481" s="55" t="n"/>
      <c r="K481">
        <f>ABS(B481 - $G$2)</f>
        <v/>
      </c>
      <c r="L481">
        <f>ABS(B481 - $H$2)</f>
        <v/>
      </c>
      <c r="M481">
        <f>ABS(B481 - $I$2)</f>
        <v/>
      </c>
      <c r="O481">
        <f>(1/K481^2) / ((1/K481^2) + (1/L481^2) + (1/M481^2))</f>
        <v/>
      </c>
      <c r="P481">
        <f>(1/L481^2) / ((1/K481^2) + (1/L481^2) + (1/M481^2))</f>
        <v/>
      </c>
      <c r="Q481">
        <f>(1/M481^2) / ((1/K481^2) + (1/L481^2) + (1/M481^2))</f>
        <v/>
      </c>
      <c r="S481">
        <f>IF(MAX(O481:Q481)=O481, "Murah", IF(MAX(O481:Q481)=P481, "Sedang", "Mahal"))</f>
        <v/>
      </c>
    </row>
    <row r="482">
      <c r="A482" s="6" t="inlineStr">
        <is>
          <t>La Luna Space</t>
        </is>
      </c>
      <c r="B482" s="6" t="n">
        <v>0.08997955010224949</v>
      </c>
      <c r="C482" s="6" t="n">
        <v>0.1652067782356654</v>
      </c>
      <c r="D482" s="6" t="n">
        <v>0.2939990376885738</v>
      </c>
      <c r="E482" s="55" t="n"/>
      <c r="K482">
        <f>ABS(B482 - $G$2)</f>
        <v/>
      </c>
      <c r="L482">
        <f>ABS(B482 - $H$2)</f>
        <v/>
      </c>
      <c r="M482">
        <f>ABS(B482 - $I$2)</f>
        <v/>
      </c>
      <c r="O482">
        <f>(1/K482^2) / ((1/K482^2) + (1/L482^2) + (1/M482^2))</f>
        <v/>
      </c>
      <c r="P482">
        <f>(1/L482^2) / ((1/K482^2) + (1/L482^2) + (1/M482^2))</f>
        <v/>
      </c>
      <c r="Q482">
        <f>(1/M482^2) / ((1/K482^2) + (1/L482^2) + (1/M482^2))</f>
        <v/>
      </c>
      <c r="S482">
        <f>IF(MAX(O482:Q482)=O482, "Murah", IF(MAX(O482:Q482)=P482, "Sedang", "Mahal"))</f>
        <v/>
      </c>
    </row>
    <row r="483">
      <c r="A483" s="6" t="inlineStr">
        <is>
          <t>UB Coffee - Coffee &amp; Eatery</t>
        </is>
      </c>
      <c r="B483" s="6" t="n">
        <v>0.09815950920245399</v>
      </c>
      <c r="C483" s="6" t="n">
        <v>0.1748731902574853</v>
      </c>
      <c r="D483" s="6" t="n">
        <v>0.321504860556954</v>
      </c>
      <c r="E483" s="55" t="n"/>
      <c r="K483">
        <f>ABS(B483 - $G$2)</f>
        <v/>
      </c>
      <c r="L483">
        <f>ABS(B483 - $H$2)</f>
        <v/>
      </c>
      <c r="M483">
        <f>ABS(B483 - $I$2)</f>
        <v/>
      </c>
      <c r="O483">
        <f>(1/K483^2) / ((1/K483^2) + (1/L483^2) + (1/M483^2))</f>
        <v/>
      </c>
      <c r="P483">
        <f>(1/L483^2) / ((1/K483^2) + (1/L483^2) + (1/M483^2))</f>
        <v/>
      </c>
      <c r="Q483">
        <f>(1/M483^2) / ((1/K483^2) + (1/L483^2) + (1/M483^2))</f>
        <v/>
      </c>
      <c r="S483">
        <f>IF(MAX(O483:Q483)=O483, "Murah", IF(MAX(O483:Q483)=P483, "Sedang", "Mahal"))</f>
        <v/>
      </c>
    </row>
    <row r="484">
      <c r="A484" s="6" t="inlineStr">
        <is>
          <t>Droomhaven Coffee Shop</t>
        </is>
      </c>
      <c r="B484" s="6" t="n">
        <v>0.294478527607362</v>
      </c>
      <c r="C484" s="6" t="n">
        <v>0.1550116188775642</v>
      </c>
      <c r="D484" s="6" t="n">
        <v>0.430674155895899</v>
      </c>
      <c r="E484" s="55" t="n"/>
      <c r="K484">
        <f>ABS(B484 - $G$2)</f>
        <v/>
      </c>
      <c r="L484">
        <f>ABS(B484 - $H$2)</f>
        <v/>
      </c>
      <c r="M484">
        <f>ABS(B484 - $I$2)</f>
        <v/>
      </c>
      <c r="O484">
        <f>(1/K484^2) / ((1/K484^2) + (1/L484^2) + (1/M484^2))</f>
        <v/>
      </c>
      <c r="P484">
        <f>(1/L484^2) / ((1/K484^2) + (1/L484^2) + (1/M484^2))</f>
        <v/>
      </c>
      <c r="Q484">
        <f>(1/M484^2) / ((1/K484^2) + (1/L484^2) + (1/M484^2))</f>
        <v/>
      </c>
      <c r="S484">
        <f>IF(MAX(O484:Q484)=O484, "Murah", IF(MAX(O484:Q484)=P484, "Sedang", "Mahal"))</f>
        <v/>
      </c>
    </row>
    <row r="485">
      <c r="A485" s="6" t="inlineStr">
        <is>
          <t>KOPI BUJEND</t>
        </is>
      </c>
      <c r="B485" s="6" t="n">
        <v>0.01370143149284254</v>
      </c>
      <c r="C485" s="6" t="n">
        <v>1</v>
      </c>
      <c r="D485" s="6" t="n">
        <v>0.9043085910242988</v>
      </c>
      <c r="E485" s="55" t="n"/>
      <c r="K485">
        <f>ABS(B485 - $G$2)</f>
        <v/>
      </c>
      <c r="L485">
        <f>ABS(B485 - $H$2)</f>
        <v/>
      </c>
      <c r="M485">
        <f>ABS(B485 - $I$2)</f>
        <v/>
      </c>
      <c r="O485">
        <f>(1/K485^2) / ((1/K485^2) + (1/L485^2) + (1/M485^2))</f>
        <v/>
      </c>
      <c r="P485">
        <f>(1/L485^2) / ((1/K485^2) + (1/L485^2) + (1/M485^2))</f>
        <v/>
      </c>
      <c r="Q485">
        <f>(1/M485^2) / ((1/K485^2) + (1/L485^2) + (1/M485^2))</f>
        <v/>
      </c>
      <c r="S485">
        <f>IF(MAX(O485:Q485)=O485, "Murah", IF(MAX(O485:Q485)=P485, "Sedang", "Mahal"))</f>
        <v/>
      </c>
    </row>
    <row r="486">
      <c r="A486" s="6" t="inlineStr">
        <is>
          <t>Kopi Titik Koma Tenggilis</t>
        </is>
      </c>
      <c r="B486" s="6" t="n">
        <v>0.2310838445807771</v>
      </c>
      <c r="C486" s="6" t="n">
        <v>0.9346464174764196</v>
      </c>
      <c r="D486" s="6" t="n">
        <v>0.8855409391304827</v>
      </c>
      <c r="E486" s="55" t="n"/>
      <c r="K486">
        <f>ABS(B486 - $G$2)</f>
        <v/>
      </c>
      <c r="L486">
        <f>ABS(B486 - $H$2)</f>
        <v/>
      </c>
      <c r="M486">
        <f>ABS(B486 - $I$2)</f>
        <v/>
      </c>
      <c r="O486">
        <f>(1/K486^2) / ((1/K486^2) + (1/L486^2) + (1/M486^2))</f>
        <v/>
      </c>
      <c r="P486">
        <f>(1/L486^2) / ((1/K486^2) + (1/L486^2) + (1/M486^2))</f>
        <v/>
      </c>
      <c r="Q486">
        <f>(1/M486^2) / ((1/K486^2) + (1/L486^2) + (1/M486^2))</f>
        <v/>
      </c>
      <c r="S486">
        <f>IF(MAX(O486:Q486)=O486, "Murah", IF(MAX(O486:Q486)=P486, "Sedang", "Mahal"))</f>
        <v/>
      </c>
    </row>
    <row r="487">
      <c r="A487" s="6" t="inlineStr">
        <is>
          <t>Seniman Coffee Trunojoyo</t>
        </is>
      </c>
      <c r="B487" s="6" t="n">
        <v>0.6481308793456033</v>
      </c>
      <c r="C487" s="6" t="n">
        <v>0.9776604855949645</v>
      </c>
      <c r="D487" s="6" t="n">
        <v>0.7710748782926462</v>
      </c>
      <c r="E487" s="55" t="n"/>
      <c r="K487">
        <f>ABS(B487 - $G$2)</f>
        <v/>
      </c>
      <c r="L487">
        <f>ABS(B487 - $H$2)</f>
        <v/>
      </c>
      <c r="M487">
        <f>ABS(B487 - $I$2)</f>
        <v/>
      </c>
      <c r="O487">
        <f>(1/K487^2) / ((1/K487^2) + (1/L487^2) + (1/M487^2))</f>
        <v/>
      </c>
      <c r="P487">
        <f>(1/L487^2) / ((1/K487^2) + (1/L487^2) + (1/M487^2))</f>
        <v/>
      </c>
      <c r="Q487">
        <f>(1/M487^2) / ((1/K487^2) + (1/L487^2) + (1/M487^2))</f>
        <v/>
      </c>
      <c r="S487">
        <f>IF(MAX(O487:Q487)=O487, "Murah", IF(MAX(O487:Q487)=P487, "Sedang", "Mahal"))</f>
        <v/>
      </c>
    </row>
    <row r="488">
      <c r="A488" s="6" t="inlineStr">
        <is>
          <t>Tenthirty coffee and eatery</t>
        </is>
      </c>
      <c r="B488" s="6" t="n">
        <v>0.05521472392638037</v>
      </c>
      <c r="C488" s="6" t="n">
        <v>0.1889805470391368</v>
      </c>
      <c r="D488" s="6" t="n">
        <v>0.3637179852764825</v>
      </c>
      <c r="E488" s="55" t="n"/>
      <c r="K488">
        <f>ABS(B488 - $G$2)</f>
        <v/>
      </c>
      <c r="L488">
        <f>ABS(B488 - $H$2)</f>
        <v/>
      </c>
      <c r="M488">
        <f>ABS(B488 - $I$2)</f>
        <v/>
      </c>
      <c r="O488">
        <f>(1/K488^2) / ((1/K488^2) + (1/L488^2) + (1/M488^2))</f>
        <v/>
      </c>
      <c r="P488">
        <f>(1/L488^2) / ((1/K488^2) + (1/L488^2) + (1/M488^2))</f>
        <v/>
      </c>
      <c r="Q488">
        <f>(1/M488^2) / ((1/K488^2) + (1/L488^2) + (1/M488^2))</f>
        <v/>
      </c>
      <c r="S488">
        <f>IF(MAX(O488:Q488)=O488, "Murah", IF(MAX(O488:Q488)=P488, "Sedang", "Mahal"))</f>
        <v/>
      </c>
    </row>
    <row r="489">
      <c r="A489" s="6" t="inlineStr">
        <is>
          <t>SWAG COFFEE Co. Space</t>
        </is>
      </c>
      <c r="B489" s="6" t="n">
        <v>0.1104294478527607</v>
      </c>
      <c r="C489" s="6" t="n">
        <v>0.1474601962008668</v>
      </c>
      <c r="D489" s="6" t="n">
        <v>0.4962937009863918</v>
      </c>
      <c r="E489" s="55" t="n"/>
      <c r="K489">
        <f>ABS(B489 - $G$2)</f>
        <v/>
      </c>
      <c r="L489">
        <f>ABS(B489 - $H$2)</f>
        <v/>
      </c>
      <c r="M489">
        <f>ABS(B489 - $I$2)</f>
        <v/>
      </c>
      <c r="O489">
        <f>(1/K489^2) / ((1/K489^2) + (1/L489^2) + (1/M489^2))</f>
        <v/>
      </c>
      <c r="P489">
        <f>(1/L489^2) / ((1/K489^2) + (1/L489^2) + (1/M489^2))</f>
        <v/>
      </c>
      <c r="Q489">
        <f>(1/M489^2) / ((1/K489^2) + (1/L489^2) + (1/M489^2))</f>
        <v/>
      </c>
      <c r="S489">
        <f>IF(MAX(O489:Q489)=O489, "Murah", IF(MAX(O489:Q489)=P489, "Sedang", "Mahal"))</f>
        <v/>
      </c>
    </row>
    <row r="490">
      <c r="A490" s="6" t="inlineStr">
        <is>
          <t>Retawu Deli</t>
        </is>
      </c>
      <c r="B490" s="6" t="n">
        <v>0.1643149284253579</v>
      </c>
      <c r="C490" s="6" t="n">
        <v>0.1465832700758081</v>
      </c>
      <c r="D490" s="6" t="n">
        <v>0.3495924176342927</v>
      </c>
      <c r="E490" s="55" t="n"/>
      <c r="K490">
        <f>ABS(B490 - $G$2)</f>
        <v/>
      </c>
      <c r="L490">
        <f>ABS(B490 - $H$2)</f>
        <v/>
      </c>
      <c r="M490">
        <f>ABS(B490 - $I$2)</f>
        <v/>
      </c>
      <c r="O490">
        <f>(1/K490^2) / ((1/K490^2) + (1/L490^2) + (1/M490^2))</f>
        <v/>
      </c>
      <c r="P490">
        <f>(1/L490^2) / ((1/K490^2) + (1/L490^2) + (1/M490^2))</f>
        <v/>
      </c>
      <c r="Q490">
        <f>(1/M490^2) / ((1/K490^2) + (1/L490^2) + (1/M490^2))</f>
        <v/>
      </c>
      <c r="S490">
        <f>IF(MAX(O490:Q490)=O490, "Murah", IF(MAX(O490:Q490)=P490, "Sedang", "Mahal"))</f>
        <v/>
      </c>
    </row>
    <row r="491">
      <c r="A491" s="6" t="inlineStr">
        <is>
          <t>Partikular Coffee</t>
        </is>
      </c>
      <c r="B491" s="6" t="n">
        <v>0.4744376278118609</v>
      </c>
      <c r="C491" s="6" t="n">
        <v>0.1345460935429854</v>
      </c>
      <c r="D491" s="6" t="n">
        <v>0.3752638803845165</v>
      </c>
      <c r="E491" s="55" t="n"/>
      <c r="K491">
        <f>ABS(B491 - $G$2)</f>
        <v/>
      </c>
      <c r="L491">
        <f>ABS(B491 - $H$2)</f>
        <v/>
      </c>
      <c r="M491">
        <f>ABS(B491 - $I$2)</f>
        <v/>
      </c>
      <c r="O491">
        <f>(1/K491^2) / ((1/K491^2) + (1/L491^2) + (1/M491^2))</f>
        <v/>
      </c>
      <c r="P491">
        <f>(1/L491^2) / ((1/K491^2) + (1/L491^2) + (1/M491^2))</f>
        <v/>
      </c>
      <c r="Q491">
        <f>(1/M491^2) / ((1/K491^2) + (1/L491^2) + (1/M491^2))</f>
        <v/>
      </c>
      <c r="S491">
        <f>IF(MAX(O491:Q491)=O491, "Murah", IF(MAX(O491:Q491)=P491, "Sedang", "Mahal"))</f>
        <v/>
      </c>
    </row>
    <row r="492">
      <c r="A492" s="6" t="inlineStr">
        <is>
          <t>Nasi Babat Kampung Malang Surabaya</t>
        </is>
      </c>
      <c r="B492" s="6" t="n">
        <v>0.05930470347648262</v>
      </c>
      <c r="C492" s="6" t="n">
        <v>0.9949279736164036</v>
      </c>
      <c r="D492" s="6" t="n">
        <v>0.770699458939318</v>
      </c>
      <c r="E492" s="55" t="n"/>
      <c r="K492">
        <f>ABS(B492 - $G$2)</f>
        <v/>
      </c>
      <c r="L492">
        <f>ABS(B492 - $H$2)</f>
        <v/>
      </c>
      <c r="M492">
        <f>ABS(B492 - $I$2)</f>
        <v/>
      </c>
      <c r="O492">
        <f>(1/K492^2) / ((1/K492^2) + (1/L492^2) + (1/M492^2))</f>
        <v/>
      </c>
      <c r="P492">
        <f>(1/L492^2) / ((1/K492^2) + (1/L492^2) + (1/M492^2))</f>
        <v/>
      </c>
      <c r="Q492">
        <f>(1/M492^2) / ((1/K492^2) + (1/L492^2) + (1/M492^2))</f>
        <v/>
      </c>
      <c r="S492">
        <f>IF(MAX(O492:Q492)=O492, "Murah", IF(MAX(O492:Q492)=P492, "Sedang", "Mahal"))</f>
        <v/>
      </c>
    </row>
    <row r="493">
      <c r="E493" s="55" t="n"/>
    </row>
    <row r="494">
      <c r="E494" s="55" t="n"/>
    </row>
    <row r="495">
      <c r="E495" s="55" t="n"/>
    </row>
    <row r="496">
      <c r="E496" s="55" t="n"/>
    </row>
    <row r="497">
      <c r="E497" s="55" t="n"/>
    </row>
    <row r="498">
      <c r="E498" s="55" t="n"/>
    </row>
    <row r="499">
      <c r="E499" s="55" t="n"/>
    </row>
    <row r="500">
      <c r="E500" s="55" t="n"/>
    </row>
    <row r="501">
      <c r="E501" s="55" t="n"/>
    </row>
    <row r="502">
      <c r="E502" s="55" t="n"/>
    </row>
    <row r="503">
      <c r="E503" s="55" t="n"/>
    </row>
    <row r="504">
      <c r="E504" s="55" t="n"/>
    </row>
    <row r="505">
      <c r="E505" s="55" t="n"/>
    </row>
    <row r="506">
      <c r="E506" s="55" t="n"/>
    </row>
  </sheetData>
  <mergeCells count="1"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C3" sqref="C3"/>
    </sheetView>
  </sheetViews>
  <sheetFormatPr baseColWidth="10" defaultRowHeight="16"/>
  <cols>
    <col width="10" bestFit="1" customWidth="1" style="21" min="1" max="1"/>
    <col width="69.6640625" bestFit="1" customWidth="1" style="21" min="2" max="2"/>
    <col width="14" bestFit="1" customWidth="1" style="21" min="3" max="3"/>
    <col width="12.1640625" bestFit="1" customWidth="1" style="21" min="5" max="5"/>
    <col width="16.83203125" bestFit="1" customWidth="1" style="21" min="6" max="6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</row>
    <row r="2">
      <c r="A2" s="34" t="inlineStr">
        <is>
          <t>Id_Tempat</t>
        </is>
      </c>
      <c r="B2" s="34" t="inlineStr">
        <is>
          <t>Nama_Tempat</t>
        </is>
      </c>
      <c r="C2" s="34" t="inlineStr">
        <is>
          <t>Estimasi_Harga</t>
        </is>
      </c>
      <c r="D2" s="34" t="inlineStr">
        <is>
          <t>Latitude</t>
        </is>
      </c>
      <c r="E2" s="34" t="inlineStr">
        <is>
          <t>Longitude</t>
        </is>
      </c>
      <c r="F2" s="34" t="inlineStr">
        <is>
          <t>KATEGORI_HARGA</t>
        </is>
      </c>
    </row>
    <row r="3">
      <c r="A3" s="5" t="n">
        <v>67</v>
      </c>
      <c r="B3" s="6" t="inlineStr">
        <is>
          <t>Villa Malang MARRY IND Puncak Buring</t>
        </is>
      </c>
      <c r="C3" s="6" t="n">
        <v>3644629</v>
      </c>
      <c r="D3" s="6" t="n">
        <v>-8.0107985</v>
      </c>
      <c r="E3" s="6" t="n">
        <v>112.6551971</v>
      </c>
      <c r="F3" t="inlineStr">
        <is>
          <t>Mahal</t>
        </is>
      </c>
    </row>
    <row r="4">
      <c r="A4" s="5" t="n">
        <v>73</v>
      </c>
      <c r="B4" s="6" t="inlineStr">
        <is>
          <t>Little Creek Lodge</t>
        </is>
      </c>
      <c r="C4" s="6" t="n">
        <v>2000000</v>
      </c>
      <c r="D4" s="6" t="n">
        <v>-7.94385</v>
      </c>
      <c r="E4" s="6" t="n">
        <v>112.6338501</v>
      </c>
      <c r="F4" t="inlineStr">
        <is>
          <t>Mahal</t>
        </is>
      </c>
    </row>
    <row r="5">
      <c r="A5" s="5" t="n">
        <v>100</v>
      </c>
      <c r="B5" s="6" t="inlineStr">
        <is>
          <t>Vila Bumi Madinah Dau-Malang</t>
        </is>
      </c>
      <c r="C5" s="6" t="n">
        <v>2892562</v>
      </c>
      <c r="D5" s="6" t="n">
        <v>-7.9349599</v>
      </c>
      <c r="E5" s="6" t="n">
        <v>112.5721664</v>
      </c>
      <c r="F5" t="inlineStr">
        <is>
          <t>Mahal</t>
        </is>
      </c>
    </row>
    <row r="6">
      <c r="A6" s="5" t="n">
        <v>103</v>
      </c>
      <c r="B6" s="6" t="inlineStr">
        <is>
          <t>Villa Samawa</t>
        </is>
      </c>
      <c r="C6" s="6" t="n">
        <v>2500000</v>
      </c>
      <c r="D6" s="6" t="n">
        <v>-7.9312301</v>
      </c>
      <c r="E6" s="6" t="n">
        <v>112.6224518</v>
      </c>
      <c r="F6" t="inlineStr">
        <is>
          <t>Mahal</t>
        </is>
      </c>
    </row>
    <row r="7">
      <c r="A7" s="5" t="n">
        <v>106</v>
      </c>
      <c r="B7" s="6" t="inlineStr">
        <is>
          <t>Villa Bromo</t>
        </is>
      </c>
      <c r="C7" s="6" t="n">
        <v>2936118</v>
      </c>
      <c r="D7" s="6" t="n">
        <v>-7.9658499</v>
      </c>
      <c r="E7" s="6" t="n">
        <v>112.5847168</v>
      </c>
      <c r="F7" t="inlineStr">
        <is>
          <t>Mahal</t>
        </is>
      </c>
    </row>
    <row r="8">
      <c r="A8" s="5" t="n">
        <v>110</v>
      </c>
      <c r="B8" s="6" t="inlineStr">
        <is>
          <t>Villa Malang Puncak Buring</t>
        </is>
      </c>
      <c r="C8" s="6" t="n">
        <v>3644629</v>
      </c>
      <c r="D8" s="6" t="n">
        <v>-8.01192</v>
      </c>
      <c r="E8" s="6" t="n">
        <v>112.6549072</v>
      </c>
      <c r="F8" t="inlineStr">
        <is>
          <t>Mahal</t>
        </is>
      </c>
    </row>
    <row r="9">
      <c r="A9" s="5" t="n">
        <v>322</v>
      </c>
      <c r="B9" s="6" t="inlineStr">
        <is>
          <t>Djoglo Luxury Bungalow</t>
        </is>
      </c>
      <c r="C9" s="6" t="n">
        <v>2342884</v>
      </c>
      <c r="D9" s="6" t="n">
        <v>-7.9319402</v>
      </c>
      <c r="E9" s="6" t="n">
        <v>112.6641896</v>
      </c>
      <c r="F9" t="inlineStr">
        <is>
          <t>Mahal</t>
        </is>
      </c>
    </row>
    <row r="10">
      <c r="A10" s="5" t="n">
        <v>1</v>
      </c>
      <c r="B10" s="6" t="inlineStr">
        <is>
          <t>SUPER OYO Flagship 90502 Holistay Malang New</t>
        </is>
      </c>
      <c r="C10" s="6" t="n">
        <v>347052</v>
      </c>
      <c r="D10" s="6" t="n">
        <v>-7.9368115</v>
      </c>
      <c r="E10" s="6" t="n">
        <v>112.6486898</v>
      </c>
      <c r="F10" t="inlineStr">
        <is>
          <t>Murah</t>
        </is>
      </c>
    </row>
    <row r="11">
      <c r="A11" s="5" t="n">
        <v>2</v>
      </c>
      <c r="B11" s="6" t="inlineStr">
        <is>
          <t>Hotel OYO 709 Menjangan Residen</t>
        </is>
      </c>
      <c r="C11" s="6" t="n">
        <v>51823</v>
      </c>
      <c r="D11" s="6" t="n">
        <v>-8.0040178</v>
      </c>
      <c r="E11" s="6" t="n">
        <v>112.6139426</v>
      </c>
      <c r="F11" t="inlineStr">
        <is>
          <t>Murah</t>
        </is>
      </c>
    </row>
    <row r="12">
      <c r="A12" s="5" t="n">
        <v>3</v>
      </c>
      <c r="B12" s="6" t="inlineStr">
        <is>
          <t>Super OYO 1376 Kina Family Residence Syariah</t>
        </is>
      </c>
      <c r="C12" s="6" t="n">
        <v>158466</v>
      </c>
      <c r="D12" s="6" t="n">
        <v>-7.943296</v>
      </c>
      <c r="E12" s="6" t="n">
        <v>112.601376</v>
      </c>
      <c r="F12" t="inlineStr">
        <is>
          <t>Murah</t>
        </is>
      </c>
    </row>
    <row r="13">
      <c r="A13" s="5" t="n">
        <v>4</v>
      </c>
      <c r="B13" s="6" t="inlineStr">
        <is>
          <t>OYO Flagship 90723 Khalifi House Malang</t>
        </is>
      </c>
      <c r="C13" s="6" t="n">
        <v>220540</v>
      </c>
      <c r="D13" s="6" t="n">
        <v>-7.9694153</v>
      </c>
      <c r="E13" s="6" t="n">
        <v>112.6684127</v>
      </c>
      <c r="F13" t="inlineStr">
        <is>
          <t>Murah</t>
        </is>
      </c>
    </row>
    <row r="14">
      <c r="A14" s="5" t="n">
        <v>5</v>
      </c>
      <c r="B14" s="6" t="inlineStr">
        <is>
          <t>OYO 94769 Griya Djati Syariah 2</t>
        </is>
      </c>
      <c r="C14" s="6" t="n">
        <v>123967</v>
      </c>
      <c r="D14" s="6" t="n">
        <v>-7.9859953</v>
      </c>
      <c r="E14" s="6" t="n">
        <v>112.6597823</v>
      </c>
      <c r="F14" t="inlineStr">
        <is>
          <t>Murah</t>
        </is>
      </c>
    </row>
    <row r="15">
      <c r="A15" s="5" t="n">
        <v>6</v>
      </c>
      <c r="B15" s="6" t="inlineStr">
        <is>
          <t>SPOT ON 2689 Safira Family Residence</t>
        </is>
      </c>
      <c r="C15" s="6" t="n">
        <v>119934</v>
      </c>
      <c r="D15" s="6" t="n">
        <v>-7.8721185</v>
      </c>
      <c r="E15" s="6" t="n">
        <v>112.6790929</v>
      </c>
      <c r="F15" t="inlineStr">
        <is>
          <t>Murah</t>
        </is>
      </c>
    </row>
    <row r="16">
      <c r="A16" s="5" t="n">
        <v>7</v>
      </c>
      <c r="B16" s="6" t="inlineStr">
        <is>
          <t>OYO 90684 Happy Homestay Syariah</t>
        </is>
      </c>
      <c r="C16" s="6" t="n">
        <v>214198</v>
      </c>
      <c r="D16" s="6" t="n">
        <v>-7.9351406</v>
      </c>
      <c r="E16" s="6" t="n">
        <v>112.7005862</v>
      </c>
      <c r="F16" t="inlineStr">
        <is>
          <t>Murah</t>
        </is>
      </c>
    </row>
    <row r="17">
      <c r="A17" s="5" t="n">
        <v>8</v>
      </c>
      <c r="B17" s="6" t="inlineStr">
        <is>
          <t>OYO LIfe 1036 Hotel Palem 1 Syariah</t>
        </is>
      </c>
      <c r="C17" s="6" t="n">
        <v>353157</v>
      </c>
      <c r="D17" s="6" t="n">
        <v>-7.9689919</v>
      </c>
      <c r="E17" s="6" t="n">
        <v>112.6312719</v>
      </c>
      <c r="F17" t="inlineStr">
        <is>
          <t>Murah</t>
        </is>
      </c>
    </row>
    <row r="18">
      <c r="A18" s="5" t="n">
        <v>9</v>
      </c>
      <c r="B18" s="6" t="inlineStr">
        <is>
          <t>SPOT ON 90797 Sukun Syariah Homestay</t>
        </is>
      </c>
      <c r="C18" s="6" t="n">
        <v>154217</v>
      </c>
      <c r="D18" s="6" t="n">
        <v>-8.0091813</v>
      </c>
      <c r="E18" s="6" t="n">
        <v>112.6203767</v>
      </c>
      <c r="F18" t="inlineStr">
        <is>
          <t>Murah</t>
        </is>
      </c>
    </row>
    <row r="19">
      <c r="A19" s="5" t="n">
        <v>10</v>
      </c>
      <c r="B19" s="6" t="inlineStr">
        <is>
          <t>OYO 90383 Avisha Guest House Syariah</t>
        </is>
      </c>
      <c r="C19" s="6" t="n">
        <v>259001</v>
      </c>
      <c r="D19" s="6" t="n">
        <v>-7.9670985</v>
      </c>
      <c r="E19" s="6" t="n">
        <v>112.6428725</v>
      </c>
      <c r="F19" t="inlineStr">
        <is>
          <t>Murah</t>
        </is>
      </c>
    </row>
    <row r="20">
      <c r="A20" s="5" t="n">
        <v>11</v>
      </c>
      <c r="B20" s="6" t="inlineStr">
        <is>
          <t>OYO 353 Loesje Guest House Syariah</t>
        </is>
      </c>
      <c r="C20" s="6" t="n">
        <v>300000</v>
      </c>
      <c r="D20" s="6" t="n">
        <v>-7.9769477</v>
      </c>
      <c r="E20" s="6" t="n">
        <v>112.6252761</v>
      </c>
      <c r="F20" t="inlineStr">
        <is>
          <t>Murah</t>
        </is>
      </c>
    </row>
    <row r="21">
      <c r="A21" s="5" t="n">
        <v>12</v>
      </c>
      <c r="B21" s="6" t="inlineStr">
        <is>
          <t>BTC Syariah near RS Saiful Anwar</t>
        </is>
      </c>
      <c r="C21" s="6" t="n">
        <v>36239</v>
      </c>
      <c r="D21" s="6" t="n">
        <v>-7.9644232</v>
      </c>
      <c r="E21" s="6" t="n">
        <v>112.6310739</v>
      </c>
      <c r="F21" t="inlineStr">
        <is>
          <t>Murah</t>
        </is>
      </c>
    </row>
    <row r="22">
      <c r="A22" s="5" t="n">
        <v>13</v>
      </c>
      <c r="B22" s="6" t="inlineStr">
        <is>
          <t>OYO 778 Guest House Amalia Malang</t>
        </is>
      </c>
      <c r="C22" s="6" t="n">
        <v>281083</v>
      </c>
      <c r="D22" s="6" t="n">
        <v>-7.967616</v>
      </c>
      <c r="E22" s="6" t="n">
        <v>112.6262144</v>
      </c>
      <c r="F22" t="inlineStr">
        <is>
          <t>Murah</t>
        </is>
      </c>
    </row>
    <row r="23">
      <c r="A23" s="5" t="n">
        <v>14</v>
      </c>
      <c r="B23" s="6" t="inlineStr">
        <is>
          <t>OYO 3350 Cozy Residence</t>
        </is>
      </c>
      <c r="C23" s="6" t="n">
        <v>365618</v>
      </c>
      <c r="D23" s="6" t="n">
        <v>-7.9454091</v>
      </c>
      <c r="E23" s="6" t="n">
        <v>112.6348957</v>
      </c>
      <c r="F23" t="inlineStr">
        <is>
          <t>Murah</t>
        </is>
      </c>
    </row>
    <row r="24">
      <c r="A24" s="5" t="n">
        <v>15</v>
      </c>
      <c r="B24" s="6" t="inlineStr">
        <is>
          <t>Serayu Homestay Syariah</t>
        </is>
      </c>
      <c r="C24" s="6" t="n">
        <v>45892</v>
      </c>
      <c r="D24" s="6" t="n">
        <v>-7.9548405</v>
      </c>
      <c r="E24" s="6" t="n">
        <v>112.6112312</v>
      </c>
      <c r="F24" t="inlineStr">
        <is>
          <t>Murah</t>
        </is>
      </c>
    </row>
    <row r="25">
      <c r="A25" s="5" t="n">
        <v>16</v>
      </c>
      <c r="B25" s="6" t="inlineStr">
        <is>
          <t>OYO 90319 Angler Guest House Malang</t>
        </is>
      </c>
      <c r="C25" s="6" t="n">
        <v>36239</v>
      </c>
      <c r="D25" s="6" t="n">
        <v>-7.9642849</v>
      </c>
      <c r="E25" s="6" t="n">
        <v>112.6221525</v>
      </c>
      <c r="F25" t="inlineStr">
        <is>
          <t>Murah</t>
        </is>
      </c>
    </row>
    <row r="26">
      <c r="A26" s="5" t="n">
        <v>17</v>
      </c>
      <c r="B26" s="6" t="inlineStr">
        <is>
          <t>OYO Life 92568 Penginapan Joglo Syariah</t>
        </is>
      </c>
      <c r="C26" s="6" t="n">
        <v>103035</v>
      </c>
      <c r="D26" s="6" t="n">
        <v>-8.1186834</v>
      </c>
      <c r="E26" s="6" t="n">
        <v>112.5670108</v>
      </c>
      <c r="F26" t="inlineStr">
        <is>
          <t>Murah</t>
        </is>
      </c>
    </row>
    <row r="27">
      <c r="A27" s="5" t="n">
        <v>18</v>
      </c>
      <c r="B27" s="6" t="inlineStr">
        <is>
          <t>OYO 90303 Cafe &amp; Homestay Kolam Pancing Abah</t>
        </is>
      </c>
      <c r="C27" s="6" t="n">
        <v>142451</v>
      </c>
      <c r="D27" s="6" t="n">
        <v>-7.9133065</v>
      </c>
      <c r="E27" s="6" t="n">
        <v>112.6364432</v>
      </c>
      <c r="F27" t="inlineStr">
        <is>
          <t>Murah</t>
        </is>
      </c>
    </row>
    <row r="28">
      <c r="A28" s="5" t="n">
        <v>19</v>
      </c>
      <c r="B28" s="6" t="inlineStr">
        <is>
          <t>D Maktab Syariah Mitra RedDoorz Malang</t>
        </is>
      </c>
      <c r="C28" s="6" t="n">
        <v>233100</v>
      </c>
      <c r="D28" s="6" t="n">
        <v>-7.9510225</v>
      </c>
      <c r="E28" s="6" t="n">
        <v>112.6266283</v>
      </c>
      <c r="F28" t="inlineStr">
        <is>
          <t>Murah</t>
        </is>
      </c>
    </row>
    <row r="29">
      <c r="A29" s="5" t="n">
        <v>20</v>
      </c>
      <c r="B29" s="6" t="inlineStr">
        <is>
          <t>OYO 94148 Forzando Hotel</t>
        </is>
      </c>
      <c r="C29" s="6" t="n">
        <v>90344</v>
      </c>
      <c r="D29" s="6" t="n">
        <v>-7.9223935</v>
      </c>
      <c r="E29" s="6" t="n">
        <v>112.6084139</v>
      </c>
      <c r="F29" t="inlineStr">
        <is>
          <t>Murah</t>
        </is>
      </c>
    </row>
    <row r="30">
      <c r="A30" s="5" t="n">
        <v>21</v>
      </c>
      <c r="B30" s="6" t="inlineStr">
        <is>
          <t>Forzando House Redpartner near Universitas Muhammadiyah Malang</t>
        </is>
      </c>
      <c r="C30" s="6" t="n">
        <v>90344</v>
      </c>
      <c r="D30" s="6" t="n">
        <v>-7.9219222</v>
      </c>
      <c r="E30" s="6" t="n">
        <v>112.6084985</v>
      </c>
      <c r="F30" t="inlineStr">
        <is>
          <t>Murah</t>
        </is>
      </c>
    </row>
    <row r="31">
      <c r="A31" s="5" t="n">
        <v>22</v>
      </c>
      <c r="B31" s="6" t="inlineStr">
        <is>
          <t>OYO 2771 D'soetta</t>
        </is>
      </c>
      <c r="C31" s="6" t="n">
        <v>237920</v>
      </c>
      <c r="D31" s="6" t="n">
        <v>-7.9392536</v>
      </c>
      <c r="E31" s="6" t="n">
        <v>112.6252384</v>
      </c>
      <c r="F31" t="inlineStr">
        <is>
          <t>Murah</t>
        </is>
      </c>
    </row>
    <row r="32">
      <c r="A32" s="5" t="n">
        <v>23</v>
      </c>
      <c r="B32" s="6" t="inlineStr">
        <is>
          <t>OYO 1468 SM House</t>
        </is>
      </c>
      <c r="C32" s="6" t="n">
        <v>269126</v>
      </c>
      <c r="D32" s="6" t="n">
        <v>-7.9322681</v>
      </c>
      <c r="E32" s="6" t="n">
        <v>112.6294056</v>
      </c>
      <c r="F32" t="inlineStr">
        <is>
          <t>Murah</t>
        </is>
      </c>
    </row>
    <row r="33">
      <c r="A33" s="5" t="n">
        <v>24</v>
      </c>
      <c r="B33" s="6" t="inlineStr">
        <is>
          <t>OYO 91084 Oke Guest House</t>
        </is>
      </c>
      <c r="C33" s="6" t="n">
        <v>60000</v>
      </c>
      <c r="D33" s="6" t="n">
        <v>-8.014431</v>
      </c>
      <c r="E33" s="6" t="n">
        <v>112.6426109</v>
      </c>
      <c r="F33" t="inlineStr">
        <is>
          <t>Murah</t>
        </is>
      </c>
    </row>
    <row r="34">
      <c r="A34" s="5" t="n">
        <v>25</v>
      </c>
      <c r="B34" s="6" t="inlineStr">
        <is>
          <t>OYO Life 2760 Kost Simpang Borobudur 47</t>
        </is>
      </c>
      <c r="C34" s="6" t="n">
        <v>350000</v>
      </c>
      <c r="D34" s="6" t="n">
        <v>-7.9363803</v>
      </c>
      <c r="E34" s="6" t="n">
        <v>112.6379778</v>
      </c>
      <c r="F34" t="inlineStr">
        <is>
          <t>Murah</t>
        </is>
      </c>
    </row>
    <row r="35">
      <c r="A35" s="5" t="n">
        <v>26</v>
      </c>
      <c r="B35" s="6" t="inlineStr">
        <is>
          <t>OYO 90217 Cmb 37 Guest House</t>
        </is>
      </c>
      <c r="C35" s="6" t="n">
        <v>36239</v>
      </c>
      <c r="D35" s="6" t="n">
        <v>-7.9397741</v>
      </c>
      <c r="E35" s="6" t="n">
        <v>112.6266644</v>
      </c>
      <c r="F35" t="inlineStr">
        <is>
          <t>Murah</t>
        </is>
      </c>
    </row>
    <row r="36">
      <c r="A36" s="5" t="n">
        <v>27</v>
      </c>
      <c r="B36" s="6" t="inlineStr">
        <is>
          <t>Embun Pagi Syariah Bendungan Sempor 8 Malang</t>
        </is>
      </c>
      <c r="C36" s="6" t="n">
        <v>301928</v>
      </c>
      <c r="D36" s="6" t="n">
        <v>-7.9597593</v>
      </c>
      <c r="E36" s="6" t="n">
        <v>112.6124389</v>
      </c>
      <c r="F36" t="inlineStr">
        <is>
          <t>Murah</t>
        </is>
      </c>
    </row>
    <row r="37">
      <c r="A37" s="5" t="n">
        <v>28</v>
      </c>
      <c r="B37" s="6" t="inlineStr">
        <is>
          <t>OYO 94767 Griya Djati Syariah 1</t>
        </is>
      </c>
      <c r="C37" s="6" t="n">
        <v>146986</v>
      </c>
      <c r="D37" s="6" t="n">
        <v>-7.9857367</v>
      </c>
      <c r="E37" s="6" t="n">
        <v>112.6595192</v>
      </c>
      <c r="F37" t="inlineStr">
        <is>
          <t>Murah</t>
        </is>
      </c>
    </row>
    <row r="38">
      <c r="A38" s="5" t="n">
        <v>29</v>
      </c>
      <c r="B38" s="6" t="inlineStr">
        <is>
          <t>OYO 3510 Borobudur Townhouse</t>
        </is>
      </c>
      <c r="C38" s="6" t="n">
        <v>300000</v>
      </c>
      <c r="D38" s="6" t="n">
        <v>-7.937345</v>
      </c>
      <c r="E38" s="6" t="n">
        <v>112.6359318</v>
      </c>
      <c r="F38" t="inlineStr">
        <is>
          <t>Murah</t>
        </is>
      </c>
    </row>
    <row r="39">
      <c r="A39" s="5" t="n">
        <v>30</v>
      </c>
      <c r="B39" s="6" t="inlineStr">
        <is>
          <t>OYO 1110 Ijen Butik House</t>
        </is>
      </c>
      <c r="C39" s="6" t="n">
        <v>36239</v>
      </c>
      <c r="D39" s="6" t="n">
        <v>-7.9794481</v>
      </c>
      <c r="E39" s="6" t="n">
        <v>112.6157734</v>
      </c>
      <c r="F39" t="inlineStr">
        <is>
          <t>Murah</t>
        </is>
      </c>
    </row>
    <row r="40">
      <c r="A40" s="5" t="n">
        <v>31</v>
      </c>
      <c r="B40" s="6" t="inlineStr">
        <is>
          <t>Hotel Nugraha</t>
        </is>
      </c>
      <c r="C40" s="6" t="n">
        <v>146846</v>
      </c>
      <c r="D40" s="6" t="n">
        <v>-7.9354939</v>
      </c>
      <c r="E40" s="6" t="n">
        <v>112.6488756</v>
      </c>
      <c r="F40" t="inlineStr">
        <is>
          <t>Murah</t>
        </is>
      </c>
    </row>
    <row r="41">
      <c r="A41" s="5" t="n">
        <v>32</v>
      </c>
      <c r="B41" s="6" t="inlineStr">
        <is>
          <t>SPOT ON 92450 Homestay Simpang Panji Suroso Syariah</t>
        </is>
      </c>
      <c r="C41" s="6" t="n">
        <v>36239</v>
      </c>
      <c r="D41" s="6" t="n">
        <v>-7.9331001</v>
      </c>
      <c r="E41" s="6" t="n">
        <v>112.6479563</v>
      </c>
      <c r="F41" t="inlineStr">
        <is>
          <t>Murah</t>
        </is>
      </c>
    </row>
    <row r="42">
      <c r="A42" s="5" t="n">
        <v>33</v>
      </c>
      <c r="B42" s="6" t="inlineStr">
        <is>
          <t>OYO Life 2906 Rukost Larose</t>
        </is>
      </c>
      <c r="C42" s="6" t="n">
        <v>375007</v>
      </c>
      <c r="D42" s="6" t="n">
        <v>-7.9571165</v>
      </c>
      <c r="E42" s="6" t="n">
        <v>112.6337246</v>
      </c>
      <c r="F42" t="inlineStr">
        <is>
          <t>Murah</t>
        </is>
      </c>
    </row>
    <row r="43">
      <c r="A43" s="5" t="n">
        <v>34</v>
      </c>
      <c r="B43" s="6" t="inlineStr">
        <is>
          <t>OYO Life 414 Loji Rejo Guest House</t>
        </is>
      </c>
      <c r="C43" s="6" t="n">
        <v>36239</v>
      </c>
      <c r="D43" s="6" t="n">
        <v>-7.9573189</v>
      </c>
      <c r="E43" s="6" t="n">
        <v>112.5910027</v>
      </c>
      <c r="F43" t="inlineStr">
        <is>
          <t>Murah</t>
        </is>
      </c>
    </row>
    <row r="44">
      <c r="A44" s="5" t="n">
        <v>35</v>
      </c>
      <c r="B44" s="6" t="inlineStr">
        <is>
          <t>OYO 1293 Dei Residence Arjosari</t>
        </is>
      </c>
      <c r="C44" s="6" t="n">
        <v>36239</v>
      </c>
      <c r="D44" s="6" t="n">
        <v>-7.9303611</v>
      </c>
      <c r="E44" s="6" t="n">
        <v>112.6485267</v>
      </c>
      <c r="F44" t="inlineStr">
        <is>
          <t>Murah</t>
        </is>
      </c>
    </row>
    <row r="45">
      <c r="A45" s="5" t="n">
        <v>36</v>
      </c>
      <c r="B45" s="6" t="inlineStr">
        <is>
          <t>OYO 350 D' Maktab Homestay Syariah</t>
        </is>
      </c>
      <c r="C45" s="6" t="n">
        <v>179564</v>
      </c>
      <c r="D45" s="6" t="n">
        <v>-7.950944</v>
      </c>
      <c r="E45" s="6" t="n">
        <v>112.626521</v>
      </c>
      <c r="F45" t="inlineStr">
        <is>
          <t>Murah</t>
        </is>
      </c>
    </row>
    <row r="46">
      <c r="A46" s="5" t="n">
        <v>37</v>
      </c>
      <c r="B46" s="6" t="inlineStr">
        <is>
          <t>OYO 3371 Omah Saras Family</t>
        </is>
      </c>
      <c r="C46" s="6" t="n">
        <v>36239</v>
      </c>
      <c r="D46" s="6" t="n">
        <v>-7.962533</v>
      </c>
      <c r="E46" s="6" t="n">
        <v>112.622981</v>
      </c>
      <c r="F46" t="inlineStr">
        <is>
          <t>Murah</t>
        </is>
      </c>
    </row>
    <row r="47">
      <c r="A47" s="5" t="n">
        <v>38</v>
      </c>
      <c r="B47" s="6" t="inlineStr">
        <is>
          <t>SPOT ON 91530 Sumpil Syariah</t>
        </is>
      </c>
      <c r="C47" s="6" t="n">
        <v>211964</v>
      </c>
      <c r="D47" s="6" t="n">
        <v>-7.9343941</v>
      </c>
      <c r="E47" s="6" t="n">
        <v>112.6453402</v>
      </c>
      <c r="F47" t="inlineStr">
        <is>
          <t>Murah</t>
        </is>
      </c>
    </row>
    <row r="48">
      <c r="A48" s="5" t="n">
        <v>39</v>
      </c>
      <c r="B48" s="6" t="inlineStr">
        <is>
          <t>OYO 90734 Konzo Kostel Syariah Malang</t>
        </is>
      </c>
      <c r="C48" s="6" t="n">
        <v>179685</v>
      </c>
      <c r="D48" s="6" t="n">
        <v>-8.0061234</v>
      </c>
      <c r="E48" s="6" t="n">
        <v>112.6237223</v>
      </c>
      <c r="F48" t="inlineStr">
        <is>
          <t>Murah</t>
        </is>
      </c>
    </row>
    <row r="49">
      <c r="A49" s="5" t="n">
        <v>40</v>
      </c>
      <c r="B49" s="6" t="inlineStr">
        <is>
          <t>Victory Hotel</t>
        </is>
      </c>
      <c r="C49" s="6" t="n">
        <v>185377</v>
      </c>
      <c r="D49" s="6" t="n">
        <v>-7.8221247</v>
      </c>
      <c r="E49" s="6" t="n">
        <v>112.5297343</v>
      </c>
      <c r="F49" t="inlineStr">
        <is>
          <t>Murah</t>
        </is>
      </c>
    </row>
    <row r="50">
      <c r="A50" s="5" t="n">
        <v>41</v>
      </c>
      <c r="B50" s="6" t="inlineStr">
        <is>
          <t>Hotel Palem 2 Syariah Malang Redpartner</t>
        </is>
      </c>
      <c r="C50" s="6" t="n">
        <v>459007</v>
      </c>
      <c r="D50" s="6" t="n">
        <v>-7.9712784</v>
      </c>
      <c r="E50" s="6" t="n">
        <v>112.6356795</v>
      </c>
      <c r="F50" t="inlineStr">
        <is>
          <t>Murah</t>
        </is>
      </c>
    </row>
    <row r="51">
      <c r="A51" s="5" t="n">
        <v>43</v>
      </c>
      <c r="B51" s="6" t="inlineStr">
        <is>
          <t>OYO Life Hotel O Forzando Hotel</t>
        </is>
      </c>
      <c r="C51" s="6" t="n">
        <v>439562</v>
      </c>
      <c r="D51" s="6" t="n">
        <v>-7.9223948</v>
      </c>
      <c r="E51" s="6" t="n">
        <v>112.6084134</v>
      </c>
      <c r="F51" t="inlineStr">
        <is>
          <t>Murah</t>
        </is>
      </c>
    </row>
    <row r="52">
      <c r="A52" s="5" t="n">
        <v>44</v>
      </c>
      <c r="B52" s="6" t="inlineStr">
        <is>
          <t>Hotel Malang</t>
        </is>
      </c>
      <c r="C52" s="6" t="n">
        <v>36239</v>
      </c>
      <c r="D52" s="6" t="n">
        <v>-7.9853106</v>
      </c>
      <c r="E52" s="6" t="n">
        <v>112.6337779</v>
      </c>
      <c r="F52" t="inlineStr">
        <is>
          <t>Murah</t>
        </is>
      </c>
    </row>
    <row r="53">
      <c r="A53" s="5" t="n">
        <v>45</v>
      </c>
      <c r="B53" s="6" t="inlineStr">
        <is>
          <t>Warung ampiran Bromo</t>
        </is>
      </c>
      <c r="C53" s="6" t="n">
        <v>40394</v>
      </c>
      <c r="D53" s="6" t="n">
        <v>-8.0056545</v>
      </c>
      <c r="E53" s="6" t="n">
        <v>112.7465812</v>
      </c>
      <c r="F53" t="inlineStr">
        <is>
          <t>Murah</t>
        </is>
      </c>
    </row>
    <row r="54">
      <c r="A54" s="5" t="n">
        <v>46</v>
      </c>
      <c r="B54" s="6" t="inlineStr">
        <is>
          <t>OYO 90480 sultan palace guest house</t>
        </is>
      </c>
      <c r="C54" s="6" t="n">
        <v>36239</v>
      </c>
      <c r="D54" s="6" t="n">
        <v>-7.9268265</v>
      </c>
      <c r="E54" s="6" t="n">
        <v>112.6020383</v>
      </c>
      <c r="F54" t="inlineStr">
        <is>
          <t>Murah</t>
        </is>
      </c>
    </row>
    <row r="55">
      <c r="A55" s="5" t="n">
        <v>47</v>
      </c>
      <c r="B55" s="6" t="inlineStr">
        <is>
          <t>OYO 91137 Griya Cipu Syariah Guest House</t>
        </is>
      </c>
      <c r="C55" s="6" t="n">
        <v>36239</v>
      </c>
      <c r="D55" s="6" t="n">
        <v>-7.95535</v>
      </c>
      <c r="E55" s="6" t="n">
        <v>112.6412845</v>
      </c>
      <c r="F55" t="inlineStr">
        <is>
          <t>Murah</t>
        </is>
      </c>
    </row>
    <row r="56">
      <c r="A56" s="5" t="n">
        <v>48</v>
      </c>
      <c r="B56" s="6" t="inlineStr">
        <is>
          <t>Villa Unik Dau Malang</t>
        </is>
      </c>
      <c r="C56" s="6" t="n">
        <v>126000</v>
      </c>
      <c r="D56" s="6" t="n">
        <v>-7.9335299</v>
      </c>
      <c r="E56" s="6" t="n">
        <v>112.5731735</v>
      </c>
      <c r="F56" t="inlineStr">
        <is>
          <t>Murah</t>
        </is>
      </c>
    </row>
    <row r="57">
      <c r="A57" s="5" t="n">
        <v>50</v>
      </c>
      <c r="B57" s="6" t="inlineStr">
        <is>
          <t>Villa FiFa</t>
        </is>
      </c>
      <c r="C57" s="6" t="n">
        <v>184000</v>
      </c>
      <c r="D57" s="6" t="n">
        <v>-7.9229698</v>
      </c>
      <c r="E57" s="6" t="n">
        <v>112.6198807</v>
      </c>
      <c r="F57" t="inlineStr">
        <is>
          <t>Murah</t>
        </is>
      </c>
    </row>
    <row r="58">
      <c r="A58" s="5" t="n">
        <v>52</v>
      </c>
      <c r="B58" s="6" t="inlineStr">
        <is>
          <t>Villa Tidar Van Java, Private PooL, Sejuk  Nyaman</t>
        </is>
      </c>
      <c r="C58" s="6" t="n">
        <v>36239</v>
      </c>
      <c r="D58" s="6" t="n">
        <v>-7.9491901</v>
      </c>
      <c r="E58" s="6" t="n">
        <v>112.593689</v>
      </c>
      <c r="F58" t="inlineStr">
        <is>
          <t>Murah</t>
        </is>
      </c>
    </row>
    <row r="59">
      <c r="A59" s="5" t="n">
        <v>55</v>
      </c>
      <c r="B59" s="6" t="inlineStr">
        <is>
          <t>Villa Harga Ekonomis di Malang</t>
        </is>
      </c>
      <c r="C59" s="6" t="n">
        <v>200000</v>
      </c>
      <c r="D59" s="6" t="n">
        <v>-7.9135885</v>
      </c>
      <c r="E59" s="6" t="n">
        <v>112.6102142</v>
      </c>
      <c r="F59" t="inlineStr">
        <is>
          <t>Murah</t>
        </is>
      </c>
    </row>
    <row r="60">
      <c r="A60" s="5" t="n">
        <v>57</v>
      </c>
      <c r="B60" s="6" t="inlineStr">
        <is>
          <t>Villa Griya Sumber Arum - 2 Bedrooms Privatepool</t>
        </is>
      </c>
      <c r="C60" s="6" t="n">
        <v>412890</v>
      </c>
      <c r="D60" s="6" t="n">
        <v>-7.9417987</v>
      </c>
      <c r="E60" s="6" t="n">
        <v>112.5721741</v>
      </c>
      <c r="F60" t="inlineStr">
        <is>
          <t>Murah</t>
        </is>
      </c>
    </row>
    <row r="61">
      <c r="A61" s="5" t="n">
        <v>59</v>
      </c>
      <c r="B61" s="6" t="inlineStr">
        <is>
          <t>Gerbera 4BR Villa Springhill Garden Malang</t>
        </is>
      </c>
      <c r="C61" s="6" t="n">
        <v>300000</v>
      </c>
      <c r="D61" s="6" t="n">
        <v>-7.9663482</v>
      </c>
      <c r="E61" s="6" t="n">
        <v>112.6679077</v>
      </c>
      <c r="F61" t="inlineStr">
        <is>
          <t>Murah</t>
        </is>
      </c>
    </row>
    <row r="62">
      <c r="A62" s="5" t="n">
        <v>60</v>
      </c>
      <c r="B62" s="6" t="inlineStr">
        <is>
          <t>Gerbera 4BR Springhill Garden Malang</t>
        </is>
      </c>
      <c r="C62" s="6" t="n">
        <v>500000</v>
      </c>
      <c r="D62" s="6" t="n">
        <v>-7.9661298</v>
      </c>
      <c r="E62" s="6" t="n">
        <v>112.6664505</v>
      </c>
      <c r="F62" t="inlineStr">
        <is>
          <t>Murah</t>
        </is>
      </c>
    </row>
    <row r="63">
      <c r="A63" s="5" t="n">
        <v>61</v>
      </c>
      <c r="B63" s="6" t="inlineStr">
        <is>
          <t>FLAZ Villa</t>
        </is>
      </c>
      <c r="C63" s="6" t="n">
        <v>331532</v>
      </c>
      <c r="D63" s="6" t="n">
        <v>-7.9251318</v>
      </c>
      <c r="E63" s="6" t="n">
        <v>112.5716629</v>
      </c>
      <c r="F63" t="inlineStr">
        <is>
          <t>Murah</t>
        </is>
      </c>
    </row>
    <row r="64">
      <c r="A64" s="5" t="n">
        <v>62</v>
      </c>
      <c r="B64" s="6" t="inlineStr">
        <is>
          <t>Kertavilla</t>
        </is>
      </c>
      <c r="C64" s="6" t="n">
        <v>71108</v>
      </c>
      <c r="D64" s="6" t="n">
        <v>-7.9067998</v>
      </c>
      <c r="E64" s="6" t="n">
        <v>112.6190033</v>
      </c>
      <c r="F64" t="inlineStr">
        <is>
          <t>Murah</t>
        </is>
      </c>
    </row>
    <row r="65">
      <c r="A65" s="5" t="n">
        <v>64</v>
      </c>
      <c r="B65" s="6" t="inlineStr">
        <is>
          <t>Derumah 35 Villa</t>
        </is>
      </c>
      <c r="C65" s="6" t="n">
        <v>396695</v>
      </c>
      <c r="D65" s="6" t="n">
        <v>-7.95643</v>
      </c>
      <c r="E65" s="6" t="n">
        <v>112.6206665</v>
      </c>
      <c r="F65" t="inlineStr">
        <is>
          <t>Murah</t>
        </is>
      </c>
    </row>
    <row r="66">
      <c r="A66" s="5" t="n">
        <v>65</v>
      </c>
      <c r="B66" s="6" t="inlineStr">
        <is>
          <t>Kateza Homestay by Yurooms-ID</t>
        </is>
      </c>
      <c r="C66" s="6" t="n">
        <v>196560</v>
      </c>
      <c r="D66" s="6" t="n">
        <v>-7.9612398</v>
      </c>
      <c r="E66" s="6" t="n">
        <v>112.6122513</v>
      </c>
      <c r="F66" t="inlineStr">
        <is>
          <t>Murah</t>
        </is>
      </c>
    </row>
    <row r="67">
      <c r="A67" s="5" t="n">
        <v>66</v>
      </c>
      <c r="B67" s="6" t="inlineStr">
        <is>
          <t>Gerbera Springhill 4BR Villa Springhill Garden Malang</t>
        </is>
      </c>
      <c r="C67" s="6" t="n">
        <v>300000</v>
      </c>
      <c r="D67" s="6" t="n">
        <v>-7.9664402</v>
      </c>
      <c r="E67" s="6" t="n">
        <v>112.667984</v>
      </c>
      <c r="F67" t="inlineStr">
        <is>
          <t>Murah</t>
        </is>
      </c>
    </row>
    <row r="68">
      <c r="A68" s="5" t="n">
        <v>68</v>
      </c>
      <c r="B68" s="6" t="inlineStr">
        <is>
          <t>Villa Jingga Joyogrand Malang</t>
        </is>
      </c>
      <c r="C68" s="6" t="n">
        <v>300000</v>
      </c>
      <c r="D68" s="6" t="n">
        <v>-7.9430299</v>
      </c>
      <c r="E68" s="6" t="n">
        <v>112.5905304</v>
      </c>
      <c r="F68" t="inlineStr">
        <is>
          <t>Murah</t>
        </is>
      </c>
    </row>
    <row r="69">
      <c r="A69" s="5" t="n">
        <v>72</v>
      </c>
      <c r="B69" s="6" t="inlineStr">
        <is>
          <t>SULFAT INDAH HOME STAY SYARIAH</t>
        </is>
      </c>
      <c r="C69" s="6" t="n">
        <v>341229</v>
      </c>
      <c r="D69" s="6" t="n">
        <v>-7.9613299</v>
      </c>
      <c r="E69" s="6" t="n">
        <v>112.6539307</v>
      </c>
      <c r="F69" t="inlineStr">
        <is>
          <t>Murah</t>
        </is>
      </c>
    </row>
    <row r="70">
      <c r="A70" s="5" t="n">
        <v>74</v>
      </c>
      <c r="B70" s="6" t="inlineStr">
        <is>
          <t>Omah Venus Homestay</t>
        </is>
      </c>
      <c r="C70" s="6" t="n">
        <v>36239</v>
      </c>
      <c r="D70" s="6" t="n">
        <v>-7.9334707</v>
      </c>
      <c r="E70" s="6" t="n">
        <v>112.6051025</v>
      </c>
      <c r="F70" t="inlineStr">
        <is>
          <t>Murah</t>
        </is>
      </c>
    </row>
    <row r="71">
      <c r="A71" s="5" t="n">
        <v>77</v>
      </c>
      <c r="B71" s="6" t="inlineStr">
        <is>
          <t>Inez Apartment 6</t>
        </is>
      </c>
      <c r="C71" s="6" t="n">
        <v>544636</v>
      </c>
      <c r="D71" s="6" t="n">
        <v>-7.9557748</v>
      </c>
      <c r="E71" s="6" t="n">
        <v>112.6218338</v>
      </c>
      <c r="F71" t="inlineStr">
        <is>
          <t>Murah</t>
        </is>
      </c>
    </row>
    <row r="72">
      <c r="A72" s="5" t="n">
        <v>78</v>
      </c>
      <c r="B72" s="6" t="inlineStr">
        <is>
          <t>Vintage 58 (Khusus PutriFemale only)</t>
        </is>
      </c>
      <c r="C72" s="6" t="n">
        <v>73710</v>
      </c>
      <c r="D72" s="6" t="n">
        <v>-7.9658031</v>
      </c>
      <c r="E72" s="6" t="n">
        <v>112.6303024</v>
      </c>
      <c r="F72" t="inlineStr">
        <is>
          <t>Murah</t>
        </is>
      </c>
    </row>
    <row r="73">
      <c r="A73" s="5" t="n">
        <v>79</v>
      </c>
      <c r="B73" s="6" t="inlineStr">
        <is>
          <t>The Kost Homestay Syariah</t>
        </is>
      </c>
      <c r="C73" s="6" t="n">
        <v>294840</v>
      </c>
      <c r="D73" s="6" t="n">
        <v>-7.9607</v>
      </c>
      <c r="E73" s="6" t="n">
        <v>112.6050034</v>
      </c>
      <c r="F73" t="inlineStr">
        <is>
          <t>Murah</t>
        </is>
      </c>
    </row>
    <row r="74">
      <c r="A74" s="5" t="n">
        <v>81</v>
      </c>
      <c r="B74" s="6" t="inlineStr">
        <is>
          <t>Villa Kebun Jeruk Syariah Malang by ecommerceloka</t>
        </is>
      </c>
      <c r="C74" s="6" t="n">
        <v>501523</v>
      </c>
      <c r="D74" s="6" t="n">
        <v>-7.9169502</v>
      </c>
      <c r="E74" s="6" t="n">
        <v>112.5846176</v>
      </c>
      <c r="F74" t="inlineStr">
        <is>
          <t>Murah</t>
        </is>
      </c>
    </row>
    <row r="75">
      <c r="A75" s="5" t="n">
        <v>82</v>
      </c>
      <c r="B75" s="6" t="inlineStr">
        <is>
          <t>PALMVIEW HOMESTAY GRIYA MERTOJOYO MALANG</t>
        </is>
      </c>
      <c r="C75" s="6" t="n">
        <v>36239</v>
      </c>
      <c r="D75" s="6" t="n">
        <v>-7.9403</v>
      </c>
      <c r="E75" s="6" t="n">
        <v>112.6036987</v>
      </c>
      <c r="F75" t="inlineStr">
        <is>
          <t>Murah</t>
        </is>
      </c>
    </row>
    <row r="76">
      <c r="A76" s="5" t="n">
        <v>83</v>
      </c>
      <c r="B76" s="6" t="inlineStr">
        <is>
          <t>Emka Villa</t>
        </is>
      </c>
      <c r="C76" s="6" t="n">
        <v>104125</v>
      </c>
      <c r="D76" s="6" t="n">
        <v>-7.9621658</v>
      </c>
      <c r="E76" s="6" t="n">
        <v>112.5856171</v>
      </c>
      <c r="F76" t="inlineStr">
        <is>
          <t>Murah</t>
        </is>
      </c>
    </row>
    <row r="77">
      <c r="A77" s="5" t="n">
        <v>84</v>
      </c>
      <c r="B77" s="6" t="inlineStr">
        <is>
          <t>puncak dieng private villa at malang, batu</t>
        </is>
      </c>
      <c r="C77" s="6" t="n">
        <v>412890</v>
      </c>
      <c r="D77" s="6" t="n">
        <v>-7.97261</v>
      </c>
      <c r="E77" s="6" t="n">
        <v>112.5959091</v>
      </c>
      <c r="F77" t="inlineStr">
        <is>
          <t>Murah</t>
        </is>
      </c>
    </row>
    <row r="78">
      <c r="A78" s="5" t="n">
        <v>85</v>
      </c>
      <c r="B78" s="6" t="inlineStr">
        <is>
          <t>Omahe Malang</t>
        </is>
      </c>
      <c r="C78" s="6" t="n">
        <v>100000</v>
      </c>
      <c r="D78" s="6" t="n">
        <v>-7.9637909</v>
      </c>
      <c r="E78" s="6" t="n">
        <v>112.6540756</v>
      </c>
      <c r="F78" t="inlineStr">
        <is>
          <t>Murah</t>
        </is>
      </c>
    </row>
    <row r="79">
      <c r="A79" s="5" t="n">
        <v>87</v>
      </c>
      <c r="B79" s="6" t="inlineStr">
        <is>
          <t>The Garden Homestay Syariah dekat Batu, pintu tol, UB, UMM</t>
        </is>
      </c>
      <c r="C79" s="6" t="n">
        <v>296950</v>
      </c>
      <c r="D79" s="6" t="n">
        <v>-7.9145498</v>
      </c>
      <c r="E79" s="6" t="n">
        <v>112.6145325</v>
      </c>
      <c r="F79" t="inlineStr">
        <is>
          <t>Murah</t>
        </is>
      </c>
    </row>
    <row r="80">
      <c r="A80" s="5" t="n">
        <v>89</v>
      </c>
      <c r="B80" s="6" t="inlineStr">
        <is>
          <t>Rumah Oma Family</t>
        </is>
      </c>
      <c r="C80" s="6" t="n">
        <v>36239</v>
      </c>
      <c r="D80" s="6" t="n">
        <v>-7.9145508</v>
      </c>
      <c r="E80" s="6" t="n">
        <v>112.6145325</v>
      </c>
      <c r="F80" t="inlineStr">
        <is>
          <t>Murah</t>
        </is>
      </c>
    </row>
    <row r="81">
      <c r="A81" s="5" t="n">
        <v>91</v>
      </c>
      <c r="B81" s="6" t="inlineStr">
        <is>
          <t>Urbanisia</t>
        </is>
      </c>
      <c r="C81" s="6" t="n">
        <v>36239</v>
      </c>
      <c r="D81" s="6" t="n">
        <v>-7.9604678</v>
      </c>
      <c r="E81" s="6" t="n">
        <v>112.624176</v>
      </c>
      <c r="F81" t="inlineStr">
        <is>
          <t>Murah</t>
        </is>
      </c>
    </row>
    <row r="82">
      <c r="A82" s="5" t="n">
        <v>92</v>
      </c>
      <c r="B82" s="6" t="inlineStr">
        <is>
          <t>Villa Sulfat</t>
        </is>
      </c>
      <c r="C82" s="6" t="n">
        <v>341229</v>
      </c>
      <c r="D82" s="6" t="n">
        <v>-7.9675899</v>
      </c>
      <c r="E82" s="6" t="n">
        <v>112.6525497</v>
      </c>
      <c r="F82" t="inlineStr">
        <is>
          <t>Murah</t>
        </is>
      </c>
    </row>
    <row r="83">
      <c r="A83" s="5" t="n">
        <v>95</v>
      </c>
      <c r="B83" s="6" t="inlineStr">
        <is>
          <t>Villa Seventeen Araya</t>
        </is>
      </c>
      <c r="C83" s="6" t="n">
        <v>71108</v>
      </c>
      <c r="D83" s="6" t="n">
        <v>-7.94102</v>
      </c>
      <c r="E83" s="6" t="n">
        <v>112.6553268</v>
      </c>
      <c r="F83" t="inlineStr">
        <is>
          <t>Murah</t>
        </is>
      </c>
    </row>
    <row r="84">
      <c r="A84" s="5" t="n">
        <v>97</v>
      </c>
      <c r="B84" s="6" t="inlineStr">
        <is>
          <t>Casa de Vie Homestay</t>
        </is>
      </c>
      <c r="C84" s="6" t="n">
        <v>393513</v>
      </c>
      <c r="D84" s="6" t="n">
        <v>-7.9257989</v>
      </c>
      <c r="E84" s="6" t="n">
        <v>112.6170578</v>
      </c>
      <c r="F84" t="inlineStr">
        <is>
          <t>Murah</t>
        </is>
      </c>
    </row>
    <row r="85">
      <c r="A85" s="5" t="n">
        <v>98</v>
      </c>
      <c r="B85" s="6" t="inlineStr">
        <is>
          <t>Villa Kalimaya - 3 Bedrooms</t>
        </is>
      </c>
      <c r="C85" s="6" t="n">
        <v>412890</v>
      </c>
      <c r="D85" s="6" t="n">
        <v>-7.9335899</v>
      </c>
      <c r="E85" s="6" t="n">
        <v>112.6017838</v>
      </c>
      <c r="F85" t="inlineStr">
        <is>
          <t>Murah</t>
        </is>
      </c>
    </row>
    <row r="86">
      <c r="A86" s="5" t="n">
        <v>102</v>
      </c>
      <c r="B86" s="6" t="inlineStr">
        <is>
          <t>Vila Bumi Madinah Landungsari Malang</t>
        </is>
      </c>
      <c r="C86" s="6" t="n">
        <v>36239</v>
      </c>
      <c r="D86" s="6" t="n">
        <v>-7.9349999</v>
      </c>
      <c r="E86" s="6" t="n">
        <v>112.5722733</v>
      </c>
      <c r="F86" t="inlineStr">
        <is>
          <t>Murah</t>
        </is>
      </c>
    </row>
    <row r="87">
      <c r="A87" s="5" t="n">
        <v>104</v>
      </c>
      <c r="B87" s="6" t="inlineStr">
        <is>
          <t>Dekaka Riverside</t>
        </is>
      </c>
      <c r="C87" s="6" t="n">
        <v>36239</v>
      </c>
      <c r="D87" s="6" t="n">
        <v>-7.9232998</v>
      </c>
      <c r="E87" s="6" t="n">
        <v>112.6472931</v>
      </c>
      <c r="F87" t="inlineStr">
        <is>
          <t>Murah</t>
        </is>
      </c>
    </row>
    <row r="88">
      <c r="A88" s="5" t="n">
        <v>105</v>
      </c>
      <c r="B88" s="6" t="inlineStr">
        <is>
          <t>AdyneVille - Syariah Premium HomeStay</t>
        </is>
      </c>
      <c r="C88" s="6" t="n">
        <v>235000</v>
      </c>
      <c r="D88" s="6" t="n">
        <v>-7.9196901</v>
      </c>
      <c r="E88" s="6" t="n">
        <v>112.6165771</v>
      </c>
      <c r="F88" t="inlineStr">
        <is>
          <t>Murah</t>
        </is>
      </c>
    </row>
    <row r="89">
      <c r="A89" s="5" t="n">
        <v>107</v>
      </c>
      <c r="B89" s="6" t="inlineStr">
        <is>
          <t>Sierra Villa Malang</t>
        </is>
      </c>
      <c r="C89" s="6" t="n">
        <v>75951</v>
      </c>
      <c r="D89" s="6" t="n">
        <v>-7.9662499</v>
      </c>
      <c r="E89" s="6" t="n">
        <v>112.6664963</v>
      </c>
      <c r="F89" t="inlineStr">
        <is>
          <t>Murah</t>
        </is>
      </c>
    </row>
    <row r="90">
      <c r="A90" s="5" t="n">
        <v>109</v>
      </c>
      <c r="B90" s="6" t="inlineStr">
        <is>
          <t>Villa Greenland - 2 Bedrooms</t>
        </is>
      </c>
      <c r="C90" s="6" t="n">
        <v>440124</v>
      </c>
      <c r="D90" s="6" t="n">
        <v>-7.9502702</v>
      </c>
      <c r="E90" s="6" t="n">
        <v>112.5921783</v>
      </c>
      <c r="F90" t="inlineStr">
        <is>
          <t>Murah</t>
        </is>
      </c>
    </row>
    <row r="91">
      <c r="A91" s="5" t="n">
        <v>111</v>
      </c>
      <c r="B91" s="6" t="inlineStr">
        <is>
          <t>Cozy villa @oma view malang</t>
        </is>
      </c>
      <c r="C91" s="6" t="n">
        <v>82000</v>
      </c>
      <c r="D91" s="6" t="n">
        <v>-7.9872999</v>
      </c>
      <c r="E91" s="6" t="n">
        <v>112.6746063</v>
      </c>
      <c r="F91" t="inlineStr">
        <is>
          <t>Murah</t>
        </is>
      </c>
    </row>
    <row r="92">
      <c r="A92" s="5" t="n">
        <v>112</v>
      </c>
      <c r="B92" s="6" t="inlineStr">
        <is>
          <t>Villa Strategis di Malang View Pegunungan</t>
        </is>
      </c>
      <c r="C92" s="6" t="n">
        <v>241818</v>
      </c>
      <c r="D92" s="6" t="n">
        <v>-7.9132199</v>
      </c>
      <c r="E92" s="6" t="n">
        <v>112.6111984</v>
      </c>
      <c r="F92" t="inlineStr">
        <is>
          <t>Murah</t>
        </is>
      </c>
    </row>
    <row r="93">
      <c r="A93" s="5" t="n">
        <v>113</v>
      </c>
      <c r="B93" s="6" t="inlineStr">
        <is>
          <t>Villa Griya Sumber Arum</t>
        </is>
      </c>
      <c r="C93" s="6" t="n">
        <v>412890</v>
      </c>
      <c r="D93" s="6" t="n">
        <v>-7.9432001</v>
      </c>
      <c r="E93" s="6" t="n">
        <v>112.5738525</v>
      </c>
      <c r="F93" t="inlineStr">
        <is>
          <t>Murah</t>
        </is>
      </c>
    </row>
    <row r="94">
      <c r="A94" s="5" t="n">
        <v>114</v>
      </c>
      <c r="B94" s="6" t="inlineStr">
        <is>
          <t>Villa Graha Dewata</t>
        </is>
      </c>
      <c r="C94" s="6" t="n">
        <v>36239</v>
      </c>
      <c r="D94" s="6" t="n">
        <v>-7.93431</v>
      </c>
      <c r="E94" s="6" t="n">
        <v>112.5769501</v>
      </c>
      <c r="F94" t="inlineStr">
        <is>
          <t>Murah</t>
        </is>
      </c>
    </row>
    <row r="95">
      <c r="A95" s="5" t="n">
        <v>115</v>
      </c>
      <c r="B95" s="6" t="inlineStr">
        <is>
          <t>The OZ HE-01, Villa Omah Dalem with Mountain View</t>
        </is>
      </c>
      <c r="C95" s="6" t="n">
        <v>100000</v>
      </c>
      <c r="D95" s="6" t="n">
        <v>-7.9517469</v>
      </c>
      <c r="E95" s="6" t="n">
        <v>112.576355</v>
      </c>
      <c r="F95" t="inlineStr">
        <is>
          <t>Murah</t>
        </is>
      </c>
    </row>
    <row r="96">
      <c r="A96" s="5" t="n">
        <v>116</v>
      </c>
      <c r="B96" s="6" t="inlineStr">
        <is>
          <t>Omah Joglo Bugis</t>
        </is>
      </c>
      <c r="C96" s="6" t="n">
        <v>360808</v>
      </c>
      <c r="D96" s="6" t="n">
        <v>-7.958848</v>
      </c>
      <c r="E96" s="6" t="n">
        <v>112.68396</v>
      </c>
      <c r="F96" t="inlineStr">
        <is>
          <t>Murah</t>
        </is>
      </c>
    </row>
    <row r="97">
      <c r="A97" s="5" t="n">
        <v>117</v>
      </c>
      <c r="B97" s="6" t="inlineStr">
        <is>
          <t>HS Villa</t>
        </is>
      </c>
      <c r="C97" s="6" t="n">
        <v>71108</v>
      </c>
      <c r="D97" s="6" t="n">
        <v>-7.9257102</v>
      </c>
      <c r="E97" s="6" t="n">
        <v>112.6537399</v>
      </c>
      <c r="F97" t="inlineStr">
        <is>
          <t>Murah</t>
        </is>
      </c>
    </row>
    <row r="98">
      <c r="A98" s="5" t="n">
        <v>118</v>
      </c>
      <c r="B98" s="6" t="inlineStr">
        <is>
          <t>Villa Awwa</t>
        </is>
      </c>
      <c r="C98" s="6" t="n">
        <v>36239</v>
      </c>
      <c r="D98" s="6" t="n">
        <v>-7.9840698</v>
      </c>
      <c r="E98" s="6" t="n">
        <v>112.6820068</v>
      </c>
      <c r="F98" t="inlineStr">
        <is>
          <t>Murah</t>
        </is>
      </c>
    </row>
    <row r="99">
      <c r="A99" s="5" t="n">
        <v>120</v>
      </c>
      <c r="B99" s="6" t="inlineStr">
        <is>
          <t>Villa naca</t>
        </is>
      </c>
      <c r="C99" s="6" t="n">
        <v>115233</v>
      </c>
      <c r="D99" s="6" t="n">
        <v>-7.97789</v>
      </c>
      <c r="E99" s="6" t="n">
        <v>112.6286316</v>
      </c>
      <c r="F99" t="inlineStr">
        <is>
          <t>Murah</t>
        </is>
      </c>
    </row>
    <row r="100">
      <c r="A100" s="5" t="n">
        <v>121</v>
      </c>
      <c r="B100" s="6" t="inlineStr">
        <is>
          <t>Villa Estetik di Malang</t>
        </is>
      </c>
      <c r="C100" s="6" t="n">
        <v>71108</v>
      </c>
      <c r="D100" s="6" t="n">
        <v>-7.9140902</v>
      </c>
      <c r="E100" s="6" t="n">
        <v>112.6112595</v>
      </c>
      <c r="F100" t="inlineStr">
        <is>
          <t>Murah</t>
        </is>
      </c>
    </row>
    <row r="101">
      <c r="A101" s="5" t="n">
        <v>124</v>
      </c>
      <c r="B101" s="6" t="inlineStr">
        <is>
          <t>Bellecrown Rooms</t>
        </is>
      </c>
      <c r="C101" s="6" t="n">
        <v>36239</v>
      </c>
      <c r="D101" s="6" t="n">
        <v>-7.970336</v>
      </c>
      <c r="E101" s="6" t="n">
        <v>112.6033554</v>
      </c>
      <c r="F101" t="inlineStr">
        <is>
          <t>Murah</t>
        </is>
      </c>
    </row>
    <row r="102">
      <c r="A102" s="5" t="n">
        <v>125</v>
      </c>
      <c r="B102" s="6" t="inlineStr">
        <is>
          <t>Adel Guest House</t>
        </is>
      </c>
      <c r="C102" s="6" t="n">
        <v>294840</v>
      </c>
      <c r="D102" s="6" t="n">
        <v>-7.9689288</v>
      </c>
      <c r="E102" s="6" t="n">
        <v>112.6077805</v>
      </c>
      <c r="F102" t="inlineStr">
        <is>
          <t>Murah</t>
        </is>
      </c>
    </row>
    <row r="103">
      <c r="A103" s="5" t="n">
        <v>126</v>
      </c>
      <c r="B103" s="6" t="inlineStr">
        <is>
          <t>rumah bea malang</t>
        </is>
      </c>
      <c r="C103" s="6" t="n">
        <v>490172</v>
      </c>
      <c r="D103" s="6" t="n">
        <v>-7.9389701</v>
      </c>
      <c r="E103" s="6" t="n">
        <v>112.57267</v>
      </c>
      <c r="F103" t="inlineStr">
        <is>
          <t>Murah</t>
        </is>
      </c>
    </row>
    <row r="104">
      <c r="A104" s="5" t="n">
        <v>127</v>
      </c>
      <c r="B104" s="6" t="inlineStr">
        <is>
          <t>Saraba Stays Syariah</t>
        </is>
      </c>
      <c r="C104" s="6" t="n">
        <v>36239</v>
      </c>
      <c r="D104" s="6" t="n">
        <v>-7.9636598</v>
      </c>
      <c r="E104" s="6" t="n">
        <v>112.6664886</v>
      </c>
      <c r="F104" t="inlineStr">
        <is>
          <t>Murah</t>
        </is>
      </c>
    </row>
    <row r="105">
      <c r="A105" s="5" t="n">
        <v>128</v>
      </c>
      <c r="B105" s="6" t="inlineStr">
        <is>
          <t>Privat Homestay Malang Oz HK 39</t>
        </is>
      </c>
      <c r="C105" s="6" t="n">
        <v>100000</v>
      </c>
      <c r="D105" s="6" t="n">
        <v>-7.9503999</v>
      </c>
      <c r="E105" s="6" t="n">
        <v>112.575592</v>
      </c>
      <c r="F105" t="inlineStr">
        <is>
          <t>Murah</t>
        </is>
      </c>
    </row>
    <row r="106">
      <c r="A106" s="5" t="n">
        <v>129</v>
      </c>
      <c r="B106" s="6" t="inlineStr">
        <is>
          <t>RJ Guest House</t>
        </is>
      </c>
      <c r="C106" s="6" t="n">
        <v>245518</v>
      </c>
      <c r="D106" s="6" t="n">
        <v>-7.9905601</v>
      </c>
      <c r="E106" s="6" t="n">
        <v>112.6805725</v>
      </c>
      <c r="F106" t="inlineStr">
        <is>
          <t>Murah</t>
        </is>
      </c>
    </row>
    <row r="107">
      <c r="A107" s="5" t="n">
        <v>131</v>
      </c>
      <c r="B107" s="6" t="inlineStr">
        <is>
          <t>Closed</t>
        </is>
      </c>
      <c r="C107" s="6" t="n">
        <v>36239</v>
      </c>
      <c r="D107" s="6" t="n">
        <v>-7.9675756</v>
      </c>
      <c r="E107" s="6" t="n">
        <v>112.6661835</v>
      </c>
      <c r="F107" t="inlineStr">
        <is>
          <t>Murah</t>
        </is>
      </c>
    </row>
    <row r="108">
      <c r="A108" s="5" t="n">
        <v>132</v>
      </c>
      <c r="B108" s="6" t="inlineStr">
        <is>
          <t>The Garden Vila dekat Batu, UB, UMM</t>
        </is>
      </c>
      <c r="C108" s="6" t="n">
        <v>150000</v>
      </c>
      <c r="D108" s="6" t="n">
        <v>-7.9145498</v>
      </c>
      <c r="E108" s="6" t="n">
        <v>112.6145325</v>
      </c>
      <c r="F108" t="inlineStr">
        <is>
          <t>Murah</t>
        </is>
      </c>
    </row>
    <row r="109">
      <c r="A109" s="5" t="n">
        <v>133</v>
      </c>
      <c r="B109" s="6" t="inlineStr">
        <is>
          <t>De'Boutique Style Hotel</t>
        </is>
      </c>
      <c r="C109" s="6" t="n">
        <v>475020</v>
      </c>
      <c r="D109" s="6" t="n">
        <v>-7.962853</v>
      </c>
      <c r="E109" s="6" t="n">
        <v>112.631677</v>
      </c>
      <c r="F109" t="inlineStr">
        <is>
          <t>Murah</t>
        </is>
      </c>
    </row>
    <row r="110">
      <c r="A110" s="5" t="n">
        <v>136</v>
      </c>
      <c r="B110" s="6" t="inlineStr">
        <is>
          <t>The Grand Palace Hotel Malang</t>
        </is>
      </c>
      <c r="C110" s="6" t="n">
        <v>450189</v>
      </c>
      <c r="D110" s="6" t="n">
        <v>-7.985059</v>
      </c>
      <c r="E110" s="6" t="n">
        <v>112.6292983</v>
      </c>
      <c r="F110" t="inlineStr">
        <is>
          <t>Murah</t>
        </is>
      </c>
    </row>
    <row r="111">
      <c r="A111" s="5" t="n">
        <v>137</v>
      </c>
      <c r="B111" s="6" t="inlineStr">
        <is>
          <t>Sunrise Hotel</t>
        </is>
      </c>
      <c r="C111" s="6" t="n">
        <v>300000</v>
      </c>
      <c r="D111" s="6" t="n">
        <v>-7.9677298</v>
      </c>
      <c r="E111" s="6" t="n">
        <v>112.6349993</v>
      </c>
      <c r="F111" t="inlineStr">
        <is>
          <t>Murah</t>
        </is>
      </c>
    </row>
    <row r="112">
      <c r="A112" s="5" t="n">
        <v>139</v>
      </c>
      <c r="B112" s="6" t="inlineStr">
        <is>
          <t>Everyday Smart Hotel Malang</t>
        </is>
      </c>
      <c r="C112" s="6" t="n">
        <v>248342</v>
      </c>
      <c r="D112" s="6" t="n">
        <v>-7.9494421</v>
      </c>
      <c r="E112" s="6" t="n">
        <v>112.6166449</v>
      </c>
      <c r="F112" t="inlineStr">
        <is>
          <t>Murah</t>
        </is>
      </c>
    </row>
    <row r="113">
      <c r="A113" s="5" t="n">
        <v>140</v>
      </c>
      <c r="B113" s="6" t="inlineStr">
        <is>
          <t>Tuwuh Hotel at Kayutangan</t>
        </is>
      </c>
      <c r="C113" s="6" t="n">
        <v>278803</v>
      </c>
      <c r="D113" s="6" t="n">
        <v>-7.9769735</v>
      </c>
      <c r="E113" s="6" t="n">
        <v>112.6323513</v>
      </c>
      <c r="F113" t="inlineStr">
        <is>
          <t>Murah</t>
        </is>
      </c>
    </row>
    <row r="114">
      <c r="A114" s="5" t="n">
        <v>141</v>
      </c>
      <c r="B114" s="6" t="inlineStr">
        <is>
          <t>éL Hotel Malang</t>
        </is>
      </c>
      <c r="C114" s="6" t="n">
        <v>479279</v>
      </c>
      <c r="D114" s="6" t="n">
        <v>-7.9022006</v>
      </c>
      <c r="E114" s="6" t="n">
        <v>112.6056572</v>
      </c>
      <c r="F114" t="inlineStr">
        <is>
          <t>Murah</t>
        </is>
      </c>
    </row>
    <row r="115">
      <c r="A115" s="5" t="n">
        <v>142</v>
      </c>
      <c r="B115" s="6" t="inlineStr">
        <is>
          <t>Whiz Prime Hotel Basuki Rahmat Malang</t>
        </is>
      </c>
      <c r="C115" s="6" t="n">
        <v>375091</v>
      </c>
      <c r="D115" s="6" t="n">
        <v>-7.9760377</v>
      </c>
      <c r="E115" s="6" t="n">
        <v>112.6291313</v>
      </c>
      <c r="F115" t="inlineStr">
        <is>
          <t>Murah</t>
        </is>
      </c>
    </row>
    <row r="116">
      <c r="A116" s="5" t="n">
        <v>143</v>
      </c>
      <c r="B116" s="6" t="inlineStr">
        <is>
          <t>Hotel Wilis Indah Malang</t>
        </is>
      </c>
      <c r="C116" s="6" t="n">
        <v>239692</v>
      </c>
      <c r="D116" s="6" t="n">
        <v>-7.9686891</v>
      </c>
      <c r="E116" s="6" t="n">
        <v>112.6364406</v>
      </c>
      <c r="F116" t="inlineStr">
        <is>
          <t>Murah</t>
        </is>
      </c>
    </row>
    <row r="117">
      <c r="A117" s="5" t="n">
        <v>144</v>
      </c>
      <c r="B117" s="6" t="inlineStr">
        <is>
          <t>Solaris Hotel Malang</t>
        </is>
      </c>
      <c r="C117" s="6" t="n">
        <v>445285</v>
      </c>
      <c r="D117" s="6" t="n">
        <v>-7.913566</v>
      </c>
      <c r="E117" s="6" t="n">
        <v>112.655618</v>
      </c>
      <c r="F117" t="inlineStr">
        <is>
          <t>Murah</t>
        </is>
      </c>
    </row>
    <row r="118">
      <c r="A118" s="5" t="n">
        <v>145</v>
      </c>
      <c r="B118" s="6" t="inlineStr">
        <is>
          <t>Hotel Montana Dua Malang</t>
        </is>
      </c>
      <c r="C118" s="6" t="n">
        <v>449783</v>
      </c>
      <c r="D118" s="6" t="n">
        <v>-7.9387796</v>
      </c>
      <c r="E118" s="6" t="n">
        <v>112.6241621</v>
      </c>
      <c r="F118" t="inlineStr">
        <is>
          <t>Murah</t>
        </is>
      </c>
    </row>
    <row r="119">
      <c r="A119" s="5" t="n">
        <v>146</v>
      </c>
      <c r="B119" s="6" t="inlineStr">
        <is>
          <t>Victoria Boutique Residence</t>
        </is>
      </c>
      <c r="C119" s="6" t="n">
        <v>354605</v>
      </c>
      <c r="D119" s="6" t="n">
        <v>-7.9546064</v>
      </c>
      <c r="E119" s="6" t="n">
        <v>112.6404972</v>
      </c>
      <c r="F119" t="inlineStr">
        <is>
          <t>Murah</t>
        </is>
      </c>
    </row>
    <row r="120">
      <c r="A120" s="5" t="n">
        <v>147</v>
      </c>
      <c r="B120" s="6" t="inlineStr">
        <is>
          <t>The Alimar Hotel Malang</t>
        </is>
      </c>
      <c r="C120" s="6" t="n">
        <v>88500</v>
      </c>
      <c r="D120" s="6" t="n">
        <v>-7.9860364</v>
      </c>
      <c r="E120" s="6" t="n">
        <v>112.6323986</v>
      </c>
      <c r="F120" t="inlineStr">
        <is>
          <t>Murah</t>
        </is>
      </c>
    </row>
    <row r="121">
      <c r="A121" s="5" t="n">
        <v>148</v>
      </c>
      <c r="B121" s="6" t="inlineStr">
        <is>
          <t>Gets Hotel Malang</t>
        </is>
      </c>
      <c r="C121" s="6" t="n">
        <v>424144</v>
      </c>
      <c r="D121" s="6" t="n">
        <v>-7.9715171</v>
      </c>
      <c r="E121" s="6" t="n">
        <v>112.6288385</v>
      </c>
      <c r="F121" t="inlineStr">
        <is>
          <t>Murah</t>
        </is>
      </c>
    </row>
    <row r="122">
      <c r="A122" s="5" t="n">
        <v>149</v>
      </c>
      <c r="B122" s="6" t="inlineStr">
        <is>
          <t>Hotel Gajahmada Graha</t>
        </is>
      </c>
      <c r="C122" s="6" t="n">
        <v>556921</v>
      </c>
      <c r="D122" s="6" t="n">
        <v>-7.9687027</v>
      </c>
      <c r="E122" s="6" t="n">
        <v>112.6358411</v>
      </c>
      <c r="F122" t="inlineStr">
        <is>
          <t>Murah</t>
        </is>
      </c>
    </row>
    <row r="123">
      <c r="A123" s="5" t="n">
        <v>150</v>
      </c>
      <c r="B123" s="6" t="inlineStr">
        <is>
          <t>Shinta Guest House</t>
        </is>
      </c>
      <c r="C123" s="6" t="n">
        <v>533784</v>
      </c>
      <c r="D123" s="6" t="n">
        <v>-7.9674368</v>
      </c>
      <c r="E123" s="6" t="n">
        <v>112.6250796</v>
      </c>
      <c r="F123" t="inlineStr">
        <is>
          <t>Murah</t>
        </is>
      </c>
    </row>
    <row r="124">
      <c r="A124" s="5" t="n">
        <v>151</v>
      </c>
      <c r="B124" s="6" t="inlineStr">
        <is>
          <t>Sweet Garden Boutique Guest House</t>
        </is>
      </c>
      <c r="C124" s="6" t="n">
        <v>448500</v>
      </c>
      <c r="D124" s="6" t="n">
        <v>-7.9709026</v>
      </c>
      <c r="E124" s="6" t="n">
        <v>112.6204721</v>
      </c>
      <c r="F124" t="inlineStr">
        <is>
          <t>Murah</t>
        </is>
      </c>
    </row>
    <row r="125">
      <c r="A125" s="5" t="n">
        <v>154</v>
      </c>
      <c r="B125" s="6" t="inlineStr">
        <is>
          <t>Same Hotel Malang</t>
        </is>
      </c>
      <c r="C125" s="6" t="n">
        <v>344791</v>
      </c>
      <c r="D125" s="6" t="n">
        <v>-7.9725046</v>
      </c>
      <c r="E125" s="6" t="n">
        <v>112.633799</v>
      </c>
      <c r="F125" t="inlineStr">
        <is>
          <t>Murah</t>
        </is>
      </c>
    </row>
    <row r="126">
      <c r="A126" s="5" t="n">
        <v>155</v>
      </c>
      <c r="B126" s="6" t="inlineStr">
        <is>
          <t>favehotel Malang</t>
        </is>
      </c>
      <c r="C126" s="6" t="n">
        <v>525619</v>
      </c>
      <c r="D126" s="6" t="n">
        <v>-7.9327936</v>
      </c>
      <c r="E126" s="6" t="n">
        <v>112.6035154</v>
      </c>
      <c r="F126" t="inlineStr">
        <is>
          <t>Murah</t>
        </is>
      </c>
    </row>
    <row r="127">
      <c r="A127" s="5" t="n">
        <v>156</v>
      </c>
      <c r="B127" s="6" t="inlineStr">
        <is>
          <t>Boutique B21 Malang, Azana Hotels Collection</t>
        </is>
      </c>
      <c r="C127" s="6" t="n">
        <v>502231</v>
      </c>
      <c r="D127" s="6" t="n">
        <v>-7.9661987</v>
      </c>
      <c r="E127" s="6" t="n">
        <v>112.6264097</v>
      </c>
      <c r="F127" t="inlineStr">
        <is>
          <t>Murah</t>
        </is>
      </c>
    </row>
    <row r="128">
      <c r="A128" s="5" t="n">
        <v>157</v>
      </c>
      <c r="B128" s="6" t="inlineStr">
        <is>
          <t>Ubud Cottages Malang</t>
        </is>
      </c>
      <c r="C128" s="6" t="n">
        <v>359316</v>
      </c>
      <c r="D128" s="6" t="n">
        <v>-7.9614215</v>
      </c>
      <c r="E128" s="6" t="n">
        <v>112.6049097</v>
      </c>
      <c r="F128" t="inlineStr">
        <is>
          <t>Murah</t>
        </is>
      </c>
    </row>
    <row r="129">
      <c r="A129" s="5" t="n">
        <v>158</v>
      </c>
      <c r="B129" s="6" t="inlineStr">
        <is>
          <t>Hotel Dewarna Sutoyo Malang</t>
        </is>
      </c>
      <c r="C129" s="6" t="n">
        <v>368550</v>
      </c>
      <c r="D129" s="6" t="n">
        <v>-7.963377</v>
      </c>
      <c r="E129" s="6" t="n">
        <v>112.636253</v>
      </c>
      <c r="F129" t="inlineStr">
        <is>
          <t>Murah</t>
        </is>
      </c>
    </row>
    <row r="130">
      <c r="A130" s="5" t="n">
        <v>159</v>
      </c>
      <c r="B130" s="6" t="inlineStr">
        <is>
          <t>Omahkoe guesthouse</t>
        </is>
      </c>
      <c r="C130" s="6" t="n">
        <v>45892</v>
      </c>
      <c r="D130" s="6" t="n">
        <v>-7.957439</v>
      </c>
      <c r="E130" s="6" t="n">
        <v>112.6100354</v>
      </c>
      <c r="F130" t="inlineStr">
        <is>
          <t>Murah</t>
        </is>
      </c>
    </row>
    <row r="131">
      <c r="A131" s="5" t="n">
        <v>160</v>
      </c>
      <c r="B131" s="6" t="inlineStr">
        <is>
          <t>Hotel Kartika Graha</t>
        </is>
      </c>
      <c r="C131" s="6" t="n">
        <v>36239</v>
      </c>
      <c r="D131" s="6" t="n">
        <v>-7.9733305</v>
      </c>
      <c r="E131" s="6" t="n">
        <v>112.6301706</v>
      </c>
      <c r="F131" t="inlineStr">
        <is>
          <t>Murah</t>
        </is>
      </c>
    </row>
    <row r="132">
      <c r="A132" s="5" t="n">
        <v>161</v>
      </c>
      <c r="B132" s="6" t="inlineStr">
        <is>
          <t>Padi Heritage Hotel</t>
        </is>
      </c>
      <c r="C132" s="6" t="n">
        <v>540541</v>
      </c>
      <c r="D132" s="6" t="n">
        <v>-7.9320172</v>
      </c>
      <c r="E132" s="6" t="n">
        <v>112.6066988</v>
      </c>
      <c r="F132" t="inlineStr">
        <is>
          <t>Murah</t>
        </is>
      </c>
    </row>
    <row r="133">
      <c r="A133" s="5" t="n">
        <v>162</v>
      </c>
      <c r="B133" s="6" t="inlineStr">
        <is>
          <t>DE LAIA INN MALANG</t>
        </is>
      </c>
      <c r="C133" s="6" t="n">
        <v>310835</v>
      </c>
      <c r="D133" s="6" t="n">
        <v>-7.9437376</v>
      </c>
      <c r="E133" s="6" t="n">
        <v>112.6181877</v>
      </c>
      <c r="F133" t="inlineStr">
        <is>
          <t>Murah</t>
        </is>
      </c>
    </row>
    <row r="134">
      <c r="A134" s="5" t="n">
        <v>164</v>
      </c>
      <c r="B134" s="6" t="inlineStr">
        <is>
          <t>CLASS Premium Guest House Malang</t>
        </is>
      </c>
      <c r="C134" s="6" t="n">
        <v>525430</v>
      </c>
      <c r="D134" s="6" t="n">
        <v>-7.9696028</v>
      </c>
      <c r="E134" s="6" t="n">
        <v>112.6032744</v>
      </c>
      <c r="F134" t="inlineStr">
        <is>
          <t>Murah</t>
        </is>
      </c>
    </row>
    <row r="135">
      <c r="A135" s="5" t="n">
        <v>166</v>
      </c>
      <c r="B135" s="6" t="inlineStr">
        <is>
          <t>Sans Hotel Fif Fa Syariah Premiere Malang</t>
        </is>
      </c>
      <c r="C135" s="6" t="n">
        <v>492888</v>
      </c>
      <c r="D135" s="6" t="n">
        <v>-7.9582704</v>
      </c>
      <c r="E135" s="6" t="n">
        <v>112.6111671</v>
      </c>
      <c r="F135" t="inlineStr">
        <is>
          <t>Murah</t>
        </is>
      </c>
    </row>
    <row r="136">
      <c r="A136" s="5" t="n">
        <v>167</v>
      </c>
      <c r="B136" s="6" t="inlineStr">
        <is>
          <t>Hotel Armi</t>
        </is>
      </c>
      <c r="C136" s="6" t="n">
        <v>410278</v>
      </c>
      <c r="D136" s="6" t="n">
        <v>-7.9624233</v>
      </c>
      <c r="E136" s="6" t="n">
        <v>112.6308822</v>
      </c>
      <c r="F136" t="inlineStr">
        <is>
          <t>Murah</t>
        </is>
      </c>
    </row>
    <row r="137">
      <c r="A137" s="5" t="n">
        <v>168</v>
      </c>
      <c r="B137" s="6" t="inlineStr">
        <is>
          <t>The Himana Malang</t>
        </is>
      </c>
      <c r="C137" s="6" t="n">
        <v>309521</v>
      </c>
      <c r="D137" s="6" t="n">
        <v>-7.9735328</v>
      </c>
      <c r="E137" s="6" t="n">
        <v>112.6120045</v>
      </c>
      <c r="F137" t="inlineStr">
        <is>
          <t>Murah</t>
        </is>
      </c>
    </row>
    <row r="138">
      <c r="A138" s="5" t="n">
        <v>169</v>
      </c>
      <c r="B138" s="6" t="inlineStr">
        <is>
          <t>Lovender Guest House</t>
        </is>
      </c>
      <c r="C138" s="6" t="n">
        <v>36239</v>
      </c>
      <c r="D138" s="6" t="n">
        <v>-7.9707444</v>
      </c>
      <c r="E138" s="6" t="n">
        <v>112.6240844</v>
      </c>
      <c r="F138" t="inlineStr">
        <is>
          <t>Murah</t>
        </is>
      </c>
    </row>
    <row r="139">
      <c r="A139" s="5" t="n">
        <v>171</v>
      </c>
      <c r="B139" s="6" t="inlineStr">
        <is>
          <t>Great Star Premium Homestay</t>
        </is>
      </c>
      <c r="C139" s="6" t="n">
        <v>182306</v>
      </c>
      <c r="D139" s="6" t="n">
        <v>-7.9623099</v>
      </c>
      <c r="E139" s="6" t="n">
        <v>112.6531753</v>
      </c>
      <c r="F139" t="inlineStr">
        <is>
          <t>Murah</t>
        </is>
      </c>
    </row>
    <row r="140">
      <c r="A140" s="5" t="n">
        <v>172</v>
      </c>
      <c r="B140" s="6" t="inlineStr">
        <is>
          <t>Ratu Boarding House &amp; Homestay</t>
        </is>
      </c>
      <c r="C140" s="6" t="n">
        <v>424893</v>
      </c>
      <c r="D140" s="6" t="n">
        <v>-7.958125</v>
      </c>
      <c r="E140" s="6" t="n">
        <v>112.623491</v>
      </c>
      <c r="F140" t="inlineStr">
        <is>
          <t>Murah</t>
        </is>
      </c>
    </row>
    <row r="141">
      <c r="A141" s="5" t="n">
        <v>173</v>
      </c>
      <c r="B141" s="6" t="inlineStr">
        <is>
          <t>Hotel Trio Indah 2</t>
        </is>
      </c>
      <c r="C141" s="6" t="n">
        <v>487305</v>
      </c>
      <c r="D141" s="6" t="n">
        <v>-7.9745158</v>
      </c>
      <c r="E141" s="6" t="n">
        <v>112.6295025</v>
      </c>
      <c r="F141" t="inlineStr">
        <is>
          <t>Murah</t>
        </is>
      </c>
    </row>
    <row r="142">
      <c r="A142" s="5" t="n">
        <v>174</v>
      </c>
      <c r="B142" s="6" t="inlineStr">
        <is>
          <t>Tlogomas Guest House</t>
        </is>
      </c>
      <c r="C142" s="6" t="n">
        <v>470925</v>
      </c>
      <c r="D142" s="6" t="n">
        <v>-7.9332646</v>
      </c>
      <c r="E142" s="6" t="n">
        <v>112.6035974</v>
      </c>
      <c r="F142" t="inlineStr">
        <is>
          <t>Murah</t>
        </is>
      </c>
    </row>
    <row r="143">
      <c r="A143" s="5" t="n">
        <v>175</v>
      </c>
      <c r="B143" s="6" t="inlineStr">
        <is>
          <t>Giri Palma Villa</t>
        </is>
      </c>
      <c r="C143" s="6" t="n">
        <v>395454</v>
      </c>
      <c r="D143" s="6" t="n">
        <v>-7.9561418</v>
      </c>
      <c r="E143" s="6" t="n">
        <v>112.5873277</v>
      </c>
      <c r="F143" t="inlineStr">
        <is>
          <t>Murah</t>
        </is>
      </c>
    </row>
    <row r="144">
      <c r="A144" s="5" t="n">
        <v>176</v>
      </c>
      <c r="B144" s="6" t="inlineStr">
        <is>
          <t>Urbanview Hotel de Kopen Malang by RedDoorz</t>
        </is>
      </c>
      <c r="C144" s="6" t="n">
        <v>329657</v>
      </c>
      <c r="D144" s="6" t="n">
        <v>-7.9661099</v>
      </c>
      <c r="E144" s="6" t="n">
        <v>112.6392394</v>
      </c>
      <c r="F144" t="inlineStr">
        <is>
          <t>Murah</t>
        </is>
      </c>
    </row>
    <row r="145">
      <c r="A145" s="5" t="n">
        <v>177</v>
      </c>
      <c r="B145" s="6" t="inlineStr">
        <is>
          <t>Kertanegara Premium Guest House</t>
        </is>
      </c>
      <c r="C145" s="6" t="n">
        <v>195234</v>
      </c>
      <c r="D145" s="6" t="n">
        <v>-7.972886</v>
      </c>
      <c r="E145" s="6" t="n">
        <v>112.6224259</v>
      </c>
      <c r="F145" t="inlineStr">
        <is>
          <t>Murah</t>
        </is>
      </c>
    </row>
    <row r="146">
      <c r="A146" s="5" t="n">
        <v>178</v>
      </c>
      <c r="B146" s="6" t="inlineStr">
        <is>
          <t>RedDoorz Syariah @ Jl Simpang Gajayana (Hasanah Guest House Gajayana)</t>
        </is>
      </c>
      <c r="C146" s="6" t="n">
        <v>269296</v>
      </c>
      <c r="D146" s="6" t="n">
        <v>-7.9469596</v>
      </c>
      <c r="E146" s="6" t="n">
        <v>112.6084752</v>
      </c>
      <c r="F146" t="inlineStr">
        <is>
          <t>Murah</t>
        </is>
      </c>
    </row>
    <row r="147">
      <c r="A147" s="5" t="n">
        <v>179</v>
      </c>
      <c r="B147" s="6" t="inlineStr">
        <is>
          <t>D'Fresh Guest House and Resto</t>
        </is>
      </c>
      <c r="C147" s="6" t="n">
        <v>327600</v>
      </c>
      <c r="D147" s="6" t="n">
        <v>-7.9396721</v>
      </c>
      <c r="E147" s="6" t="n">
        <v>112.633534</v>
      </c>
      <c r="F147" t="inlineStr">
        <is>
          <t>Murah</t>
        </is>
      </c>
    </row>
    <row r="148">
      <c r="A148" s="5" t="n">
        <v>180</v>
      </c>
      <c r="B148" s="6" t="inlineStr">
        <is>
          <t>Hotel Santosa</t>
        </is>
      </c>
      <c r="C148" s="6" t="n">
        <v>245700</v>
      </c>
      <c r="D148" s="6" t="n">
        <v>-7.9842159</v>
      </c>
      <c r="E148" s="6" t="n">
        <v>112.6325137</v>
      </c>
      <c r="F148" t="inlineStr">
        <is>
          <t>Murah</t>
        </is>
      </c>
    </row>
    <row r="149">
      <c r="A149" s="5" t="n">
        <v>181</v>
      </c>
      <c r="B149" s="6" t="inlineStr">
        <is>
          <t>RedDoorz near Plaza Araya</t>
        </is>
      </c>
      <c r="C149" s="6" t="n">
        <v>291809</v>
      </c>
      <c r="D149" s="6" t="n">
        <v>-7.9368317</v>
      </c>
      <c r="E149" s="6" t="n">
        <v>112.6489055</v>
      </c>
      <c r="F149" t="inlineStr">
        <is>
          <t>Murah</t>
        </is>
      </c>
    </row>
    <row r="150">
      <c r="A150" s="5" t="n">
        <v>182</v>
      </c>
      <c r="B150" s="6" t="inlineStr">
        <is>
          <t>Helena Guest House</t>
        </is>
      </c>
      <c r="C150" s="6" t="n">
        <v>255646</v>
      </c>
      <c r="D150" s="6" t="n">
        <v>-7.9705419</v>
      </c>
      <c r="E150" s="6" t="n">
        <v>112.6270175</v>
      </c>
      <c r="F150" t="inlineStr">
        <is>
          <t>Murah</t>
        </is>
      </c>
    </row>
    <row r="151">
      <c r="A151" s="5" t="n">
        <v>183</v>
      </c>
      <c r="B151" s="6" t="inlineStr">
        <is>
          <t>Esma Guest House</t>
        </is>
      </c>
      <c r="C151" s="6" t="n">
        <v>479115</v>
      </c>
      <c r="D151" s="6" t="n">
        <v>-7.9608927</v>
      </c>
      <c r="E151" s="6" t="n">
        <v>112.6353624</v>
      </c>
      <c r="F151" t="inlineStr">
        <is>
          <t>Murah</t>
        </is>
      </c>
    </row>
    <row r="152">
      <c r="A152" s="5" t="n">
        <v>184</v>
      </c>
      <c r="B152" s="6" t="inlineStr">
        <is>
          <t>Guest House Lily</t>
        </is>
      </c>
      <c r="C152" s="6" t="n">
        <v>202293</v>
      </c>
      <c r="D152" s="6" t="n">
        <v>-7.9877561</v>
      </c>
      <c r="E152" s="6" t="n">
        <v>112.6346953</v>
      </c>
      <c r="F152" t="inlineStr">
        <is>
          <t>Murah</t>
        </is>
      </c>
    </row>
    <row r="153">
      <c r="A153" s="5" t="n">
        <v>185</v>
      </c>
      <c r="B153" s="6" t="inlineStr">
        <is>
          <t>Griyo Sultan Agung Guest House (Book our rooms via WhatsApp Chat)</t>
        </is>
      </c>
      <c r="C153" s="6" t="n">
        <v>311220</v>
      </c>
      <c r="D153" s="6" t="n">
        <v>-7.978193</v>
      </c>
      <c r="E153" s="6" t="n">
        <v>112.635719</v>
      </c>
      <c r="F153" t="inlineStr">
        <is>
          <t>Murah</t>
        </is>
      </c>
    </row>
    <row r="154">
      <c r="A154" s="5" t="n">
        <v>186</v>
      </c>
      <c r="B154" s="6" t="inlineStr">
        <is>
          <t>Merbabu Guest House</t>
        </is>
      </c>
      <c r="C154" s="6" t="n">
        <v>396110</v>
      </c>
      <c r="D154" s="6" t="n">
        <v>-7.9669282</v>
      </c>
      <c r="E154" s="6" t="n">
        <v>112.6261686</v>
      </c>
      <c r="F154" t="inlineStr">
        <is>
          <t>Murah</t>
        </is>
      </c>
    </row>
    <row r="155">
      <c r="A155" s="5" t="n">
        <v>187</v>
      </c>
      <c r="B155" s="6" t="inlineStr">
        <is>
          <t>RedDoorz Plus near Politeknik Negeri Malang</t>
        </is>
      </c>
      <c r="C155" s="6" t="n">
        <v>468035</v>
      </c>
      <c r="D155" s="6" t="n">
        <v>-7.9430879</v>
      </c>
      <c r="E155" s="6" t="n">
        <v>112.619081</v>
      </c>
      <c r="F155" t="inlineStr">
        <is>
          <t>Murah</t>
        </is>
      </c>
    </row>
    <row r="156">
      <c r="A156" s="5" t="n">
        <v>188</v>
      </c>
      <c r="B156" s="6" t="inlineStr">
        <is>
          <t>Jardin Smart Residence</t>
        </is>
      </c>
      <c r="C156" s="6" t="n">
        <v>233463</v>
      </c>
      <c r="D156" s="6" t="n">
        <v>-7.9374241</v>
      </c>
      <c r="E156" s="6" t="n">
        <v>112.6404008</v>
      </c>
      <c r="F156" t="inlineStr">
        <is>
          <t>Murah</t>
        </is>
      </c>
    </row>
    <row r="157">
      <c r="A157" s="5" t="n">
        <v>189</v>
      </c>
      <c r="B157" s="6" t="inlineStr">
        <is>
          <t>RedDoorz near Cyber Mall</t>
        </is>
      </c>
      <c r="C157" s="6" t="n">
        <v>468035</v>
      </c>
      <c r="D157" s="6" t="n">
        <v>-7.9689192</v>
      </c>
      <c r="E157" s="6" t="n">
        <v>112.6077843</v>
      </c>
      <c r="F157" t="inlineStr">
        <is>
          <t>Murah</t>
        </is>
      </c>
    </row>
    <row r="158">
      <c r="A158" s="5" t="n">
        <v>190</v>
      </c>
      <c r="B158" s="6" t="inlineStr">
        <is>
          <t>Penginapan Omah Wetan Homestay Malang</t>
        </is>
      </c>
      <c r="C158" s="6" t="n">
        <v>78121</v>
      </c>
      <c r="D158" s="6" t="n">
        <v>-7.9818727</v>
      </c>
      <c r="E158" s="6" t="n">
        <v>112.6529763</v>
      </c>
      <c r="F158" t="inlineStr">
        <is>
          <t>Murah</t>
        </is>
      </c>
    </row>
    <row r="159">
      <c r="A159" s="5" t="n">
        <v>191</v>
      </c>
      <c r="B159" s="6" t="inlineStr">
        <is>
          <t>Hillside Suite Guest House</t>
        </is>
      </c>
      <c r="C159" s="6" t="n">
        <v>375921</v>
      </c>
      <c r="D159" s="6" t="n">
        <v>-7.9648264</v>
      </c>
      <c r="E159" s="6" t="n">
        <v>112.6055115</v>
      </c>
      <c r="F159" t="inlineStr">
        <is>
          <t>Murah</t>
        </is>
      </c>
    </row>
    <row r="160">
      <c r="A160" s="5" t="n">
        <v>192</v>
      </c>
      <c r="B160" s="6" t="inlineStr">
        <is>
          <t>Jacatra Homestay</t>
        </is>
      </c>
      <c r="C160" s="6" t="n">
        <v>334152</v>
      </c>
      <c r="D160" s="6" t="n">
        <v>-7.9655413</v>
      </c>
      <c r="E160" s="6" t="n">
        <v>112.6198718</v>
      </c>
      <c r="F160" t="inlineStr">
        <is>
          <t>Murah</t>
        </is>
      </c>
    </row>
    <row r="161">
      <c r="A161" s="5" t="n">
        <v>193</v>
      </c>
      <c r="B161" s="6" t="inlineStr">
        <is>
          <t>Hotel Tosari</t>
        </is>
      </c>
      <c r="C161" s="6" t="n">
        <v>220925</v>
      </c>
      <c r="D161" s="6" t="n">
        <v>-7.9847087</v>
      </c>
      <c r="E161" s="6" t="n">
        <v>112.6353291</v>
      </c>
      <c r="F161" t="inlineStr">
        <is>
          <t>Murah</t>
        </is>
      </c>
    </row>
    <row r="162">
      <c r="A162" s="5" t="n">
        <v>194</v>
      </c>
      <c r="B162" s="6" t="inlineStr">
        <is>
          <t>AUGUSTINA HOME</t>
        </is>
      </c>
      <c r="C162" s="6" t="n">
        <v>429975</v>
      </c>
      <c r="D162" s="6" t="n">
        <v>-7.9690167</v>
      </c>
      <c r="E162" s="6" t="n">
        <v>112.6254985</v>
      </c>
      <c r="F162" t="inlineStr">
        <is>
          <t>Murah</t>
        </is>
      </c>
    </row>
    <row r="163">
      <c r="A163" s="5" t="n">
        <v>195</v>
      </c>
      <c r="B163" s="6" t="inlineStr">
        <is>
          <t>Nat Nat Homestay</t>
        </is>
      </c>
      <c r="C163" s="6" t="n">
        <v>297672</v>
      </c>
      <c r="D163" s="6" t="n">
        <v>-7.9634963</v>
      </c>
      <c r="E163" s="6" t="n">
        <v>112.6255884</v>
      </c>
      <c r="F163" t="inlineStr">
        <is>
          <t>Murah</t>
        </is>
      </c>
    </row>
    <row r="164">
      <c r="A164" s="5" t="n">
        <v>196</v>
      </c>
      <c r="B164" s="6" t="inlineStr">
        <is>
          <t>nDalem Kilen Homestay</t>
        </is>
      </c>
      <c r="C164" s="6" t="n">
        <v>185967</v>
      </c>
      <c r="D164" s="6" t="n">
        <v>-7.9543372</v>
      </c>
      <c r="E164" s="6" t="n">
        <v>112.620001</v>
      </c>
      <c r="F164" t="inlineStr">
        <is>
          <t>Murah</t>
        </is>
      </c>
    </row>
    <row r="165">
      <c r="A165" s="5" t="n">
        <v>197</v>
      </c>
      <c r="B165" s="6" t="inlineStr">
        <is>
          <t>Jakarta 32 Homestay Syariah</t>
        </is>
      </c>
      <c r="C165" s="6" t="n">
        <v>450450</v>
      </c>
      <c r="D165" s="6" t="n">
        <v>-7.9631198</v>
      </c>
      <c r="E165" s="6" t="n">
        <v>112.6222954</v>
      </c>
      <c r="F165" t="inlineStr">
        <is>
          <t>Murah</t>
        </is>
      </c>
    </row>
    <row r="166">
      <c r="A166" s="5" t="n">
        <v>198</v>
      </c>
      <c r="B166" s="6" t="inlineStr">
        <is>
          <t>Hotel Aloha Malang</t>
        </is>
      </c>
      <c r="C166" s="6" t="n">
        <v>36239</v>
      </c>
      <c r="D166" s="6" t="n">
        <v>-7.9786929</v>
      </c>
      <c r="E166" s="6" t="n">
        <v>112.6354288</v>
      </c>
      <c r="F166" t="inlineStr">
        <is>
          <t>Murah</t>
        </is>
      </c>
    </row>
    <row r="167">
      <c r="A167" s="5" t="n">
        <v>199</v>
      </c>
      <c r="B167" s="6" t="inlineStr">
        <is>
          <t>Hotel Tidar</t>
        </is>
      </c>
      <c r="C167" s="6" t="n">
        <v>439132</v>
      </c>
      <c r="D167" s="6" t="n">
        <v>-7.9612861</v>
      </c>
      <c r="E167" s="6" t="n">
        <v>112.5973419</v>
      </c>
      <c r="F167" t="inlineStr">
        <is>
          <t>Murah</t>
        </is>
      </c>
    </row>
    <row r="168">
      <c r="A168" s="5" t="n">
        <v>200</v>
      </c>
      <c r="B168" s="6" t="inlineStr">
        <is>
          <t>Airy Lowokwaru Sutoyo 22 Malang</t>
        </is>
      </c>
      <c r="C168" s="6" t="n">
        <v>196545</v>
      </c>
      <c r="D168" s="6" t="n">
        <v>-7.9632718</v>
      </c>
      <c r="E168" s="6" t="n">
        <v>112.6361453</v>
      </c>
      <c r="F168" t="inlineStr">
        <is>
          <t>Murah</t>
        </is>
      </c>
    </row>
    <row r="169">
      <c r="A169" s="5" t="n">
        <v>201</v>
      </c>
      <c r="B169" s="6" t="inlineStr">
        <is>
          <t>Morse Hotel</t>
        </is>
      </c>
      <c r="C169" s="6" t="n">
        <v>339855</v>
      </c>
      <c r="D169" s="6" t="n">
        <v>-7.9789025</v>
      </c>
      <c r="E169" s="6" t="n">
        <v>112.6367121</v>
      </c>
      <c r="F169" t="inlineStr">
        <is>
          <t>Murah</t>
        </is>
      </c>
    </row>
    <row r="170">
      <c r="A170" s="5" t="n">
        <v>202</v>
      </c>
      <c r="B170" s="6" t="inlineStr">
        <is>
          <t>RedDoorz near Gajayana Stadium Malang</t>
        </is>
      </c>
      <c r="C170" s="6" t="n">
        <v>250000</v>
      </c>
      <c r="D170" s="6" t="n">
        <v>-7.970011</v>
      </c>
      <c r="E170" s="6" t="n">
        <v>112.6276018</v>
      </c>
      <c r="F170" t="inlineStr">
        <is>
          <t>Murah</t>
        </is>
      </c>
    </row>
    <row r="171">
      <c r="A171" s="5" t="n">
        <v>203</v>
      </c>
      <c r="B171" s="6" t="inlineStr">
        <is>
          <t>Armyn Luxury Guest House</t>
        </is>
      </c>
      <c r="C171" s="6" t="n">
        <v>200000</v>
      </c>
      <c r="D171" s="6" t="n">
        <v>-7.9728699</v>
      </c>
      <c r="E171" s="6" t="n">
        <v>112.6179886</v>
      </c>
      <c r="F171" t="inlineStr">
        <is>
          <t>Murah</t>
        </is>
      </c>
    </row>
    <row r="172">
      <c r="A172" s="5" t="n">
        <v>204</v>
      </c>
      <c r="B172" s="6" t="inlineStr">
        <is>
          <t>Airy Klojen Lamongan 12 Malang</t>
        </is>
      </c>
      <c r="C172" s="6" t="n">
        <v>424893</v>
      </c>
      <c r="D172" s="6" t="n">
        <v>-7.9707</v>
      </c>
      <c r="E172" s="6" t="n">
        <v>112.6241</v>
      </c>
      <c r="F172" t="inlineStr">
        <is>
          <t>Murah</t>
        </is>
      </c>
    </row>
    <row r="173">
      <c r="A173" s="5" t="n">
        <v>205</v>
      </c>
      <c r="B173" s="6" t="inlineStr">
        <is>
          <t>ZEN Rooms Basic Lamongan Malang</t>
        </is>
      </c>
      <c r="C173" s="6" t="n">
        <v>36239</v>
      </c>
      <c r="D173" s="6" t="n">
        <v>-7.9707108</v>
      </c>
      <c r="E173" s="6" t="n">
        <v>112.624103</v>
      </c>
      <c r="F173" t="inlineStr">
        <is>
          <t>Murah</t>
        </is>
      </c>
    </row>
    <row r="174">
      <c r="A174" s="5" t="n">
        <v>206</v>
      </c>
      <c r="B174" s="6" t="inlineStr">
        <is>
          <t>Airy Alun Alun Malang Zainul Arifin 55</t>
        </is>
      </c>
      <c r="C174" s="6" t="n">
        <v>45892</v>
      </c>
      <c r="D174" s="6" t="n">
        <v>-7.9841576</v>
      </c>
      <c r="E174" s="6" t="n">
        <v>112.6341095</v>
      </c>
      <c r="F174" t="inlineStr">
        <is>
          <t>Murah</t>
        </is>
      </c>
    </row>
    <row r="175">
      <c r="A175" s="5" t="n">
        <v>207</v>
      </c>
      <c r="B175" s="6" t="inlineStr">
        <is>
          <t>Guesthouse Syariah Cakalang 5</t>
        </is>
      </c>
      <c r="C175" s="6" t="n">
        <v>100000</v>
      </c>
      <c r="D175" s="6" t="n">
        <v>-7.9310472</v>
      </c>
      <c r="E175" s="6" t="n">
        <v>112.6441668</v>
      </c>
      <c r="F175" t="inlineStr">
        <is>
          <t>Murah</t>
        </is>
      </c>
    </row>
    <row r="176">
      <c r="A176" s="5" t="n">
        <v>208</v>
      </c>
      <c r="B176" s="6" t="inlineStr">
        <is>
          <t>mcb Homestay</t>
        </is>
      </c>
      <c r="C176" s="6" t="n">
        <v>243243</v>
      </c>
      <c r="D176" s="6" t="n">
        <v>-7.9736553</v>
      </c>
      <c r="E176" s="6" t="n">
        <v>112.6143808</v>
      </c>
      <c r="F176" t="inlineStr">
        <is>
          <t>Murah</t>
        </is>
      </c>
    </row>
    <row r="177">
      <c r="A177" s="5" t="n">
        <v>210</v>
      </c>
      <c r="B177" s="6" t="inlineStr">
        <is>
          <t>Homestay Borobudur Tbs</t>
        </is>
      </c>
      <c r="C177" s="6" t="n">
        <v>91631</v>
      </c>
      <c r="D177" s="6" t="n">
        <v>-7.9371981</v>
      </c>
      <c r="E177" s="6" t="n">
        <v>112.6351272</v>
      </c>
      <c r="F177" t="inlineStr">
        <is>
          <t>Murah</t>
        </is>
      </c>
    </row>
    <row r="178">
      <c r="A178" s="5" t="n">
        <v>211</v>
      </c>
      <c r="B178" s="6" t="inlineStr">
        <is>
          <t>de' Clove</t>
        </is>
      </c>
      <c r="C178" s="6" t="n">
        <v>36239</v>
      </c>
      <c r="D178" s="6" t="n">
        <v>-7.9453189</v>
      </c>
      <c r="E178" s="6" t="n">
        <v>112.6209688</v>
      </c>
      <c r="F178" t="inlineStr">
        <is>
          <t>Murah</t>
        </is>
      </c>
    </row>
    <row r="179">
      <c r="A179" s="5" t="n">
        <v>213</v>
      </c>
      <c r="B179" s="6" t="inlineStr">
        <is>
          <t>ZEN Rooms near Stasiun Kota Baru</t>
        </is>
      </c>
      <c r="C179" s="6" t="n">
        <v>36239</v>
      </c>
      <c r="D179" s="6" t="n">
        <v>-7.9790452</v>
      </c>
      <c r="E179" s="6" t="n">
        <v>112.6371335</v>
      </c>
      <c r="F179" t="inlineStr">
        <is>
          <t>Murah</t>
        </is>
      </c>
    </row>
    <row r="180">
      <c r="A180" s="5" t="n">
        <v>214</v>
      </c>
      <c r="B180" s="6" t="inlineStr">
        <is>
          <t>Airy Lowokwaru Candi Trowulan 12 Malang</t>
        </is>
      </c>
      <c r="C180" s="6" t="n">
        <v>196545</v>
      </c>
      <c r="D180" s="6" t="n">
        <v>-7.9396635</v>
      </c>
      <c r="E180" s="6" t="n">
        <v>112.6335556</v>
      </c>
      <c r="F180" t="inlineStr">
        <is>
          <t>Murah</t>
        </is>
      </c>
    </row>
    <row r="181">
      <c r="A181" s="5" t="n">
        <v>215</v>
      </c>
      <c r="B181" s="6" t="inlineStr">
        <is>
          <t>Airy Tunjungtirto Losawi Perusahaan 57 Malang</t>
        </is>
      </c>
      <c r="C181" s="6" t="n">
        <v>168785</v>
      </c>
      <c r="D181" s="6" t="n">
        <v>-7.91108</v>
      </c>
      <c r="E181" s="6" t="n">
        <v>112.635844</v>
      </c>
      <c r="F181" t="inlineStr">
        <is>
          <t>Murah</t>
        </is>
      </c>
    </row>
    <row r="182">
      <c r="A182" s="5" t="n">
        <v>216</v>
      </c>
      <c r="B182" s="6" t="inlineStr">
        <is>
          <t>RedDoorz Plus @ Riverside Malang</t>
        </is>
      </c>
      <c r="C182" s="6" t="n">
        <v>90000</v>
      </c>
      <c r="D182" s="6" t="n">
        <v>-7.927774</v>
      </c>
      <c r="E182" s="6" t="n">
        <v>112.6495483</v>
      </c>
      <c r="F182" t="inlineStr">
        <is>
          <t>Murah</t>
        </is>
      </c>
    </row>
    <row r="183">
      <c r="A183" s="5" t="n">
        <v>217</v>
      </c>
      <c r="B183" s="6" t="inlineStr">
        <is>
          <t>Emy's Guesthouse</t>
        </is>
      </c>
      <c r="C183" s="6" t="n">
        <v>286650</v>
      </c>
      <c r="D183" s="6" t="n">
        <v>-7.937839</v>
      </c>
      <c r="E183" s="6" t="n">
        <v>112.637019</v>
      </c>
      <c r="F183" t="inlineStr">
        <is>
          <t>Murah</t>
        </is>
      </c>
    </row>
    <row r="184">
      <c r="A184" s="5" t="n">
        <v>218</v>
      </c>
      <c r="B184" s="6" t="inlineStr">
        <is>
          <t>De'Vita Family Homestay</t>
        </is>
      </c>
      <c r="C184" s="6" t="n">
        <v>36239</v>
      </c>
      <c r="D184" s="6" t="n">
        <v>-7.9424252</v>
      </c>
      <c r="E184" s="6" t="n">
        <v>112.5826408</v>
      </c>
      <c r="F184" t="inlineStr">
        <is>
          <t>Murah</t>
        </is>
      </c>
    </row>
    <row r="185">
      <c r="A185" s="5" t="n">
        <v>219</v>
      </c>
      <c r="B185" s="6" t="inlineStr">
        <is>
          <t>RedDoorz Syariah @ Griya Shanta Malang</t>
        </is>
      </c>
      <c r="C185" s="6" t="n">
        <v>174038</v>
      </c>
      <c r="D185" s="6" t="n">
        <v>-7.9356673</v>
      </c>
      <c r="E185" s="6" t="n">
        <v>112.6211102</v>
      </c>
      <c r="F185" t="inlineStr">
        <is>
          <t>Murah</t>
        </is>
      </c>
    </row>
    <row r="186">
      <c r="A186" s="5" t="n">
        <v>220</v>
      </c>
      <c r="B186" s="6" t="inlineStr">
        <is>
          <t>Vintage 58 Penginapan khusus wanita</t>
        </is>
      </c>
      <c r="C186" s="6" t="n">
        <v>73710</v>
      </c>
      <c r="D186" s="6" t="n">
        <v>-7.9658229</v>
      </c>
      <c r="E186" s="6" t="n">
        <v>112.6302866</v>
      </c>
      <c r="F186" t="inlineStr">
        <is>
          <t>Murah</t>
        </is>
      </c>
    </row>
    <row r="187">
      <c r="A187" s="5" t="n">
        <v>222</v>
      </c>
      <c r="B187" s="6" t="inlineStr">
        <is>
          <t>Griya Backpacker Pak yon</t>
        </is>
      </c>
      <c r="C187" s="6" t="n">
        <v>36239</v>
      </c>
      <c r="D187" s="6" t="n">
        <v>-7.9633274</v>
      </c>
      <c r="E187" s="6" t="n">
        <v>112.6384545</v>
      </c>
      <c r="F187" t="inlineStr">
        <is>
          <t>Murah</t>
        </is>
      </c>
    </row>
    <row r="188">
      <c r="A188" s="5" t="n">
        <v>223</v>
      </c>
      <c r="B188" s="6" t="inlineStr">
        <is>
          <t>SO! Boutique Hostel</t>
        </is>
      </c>
      <c r="C188" s="6" t="n">
        <v>280735</v>
      </c>
      <c r="D188" s="6" t="n">
        <v>-7.9796921</v>
      </c>
      <c r="E188" s="6" t="n">
        <v>112.6312334</v>
      </c>
      <c r="F188" t="inlineStr">
        <is>
          <t>Murah</t>
        </is>
      </c>
    </row>
    <row r="189">
      <c r="A189" s="5" t="n">
        <v>224</v>
      </c>
      <c r="B189" s="6" t="inlineStr">
        <is>
          <t>Hotel Setia Budi</t>
        </is>
      </c>
      <c r="C189" s="6" t="n">
        <v>151075</v>
      </c>
      <c r="D189" s="6" t="n">
        <v>-7.9732101</v>
      </c>
      <c r="E189" s="6" t="n">
        <v>112.6374008</v>
      </c>
      <c r="F189" t="inlineStr">
        <is>
          <t>Murah</t>
        </is>
      </c>
    </row>
    <row r="190">
      <c r="A190" s="5" t="n">
        <v>225</v>
      </c>
      <c r="B190" s="6" t="inlineStr">
        <is>
          <t>Yutaka Inn Suhat Malang</t>
        </is>
      </c>
      <c r="C190" s="6" t="n">
        <v>140000</v>
      </c>
      <c r="D190" s="6" t="n">
        <v>-7.9336672</v>
      </c>
      <c r="E190" s="6" t="n">
        <v>112.6189484</v>
      </c>
      <c r="F190" t="inlineStr">
        <is>
          <t>Murah</t>
        </is>
      </c>
    </row>
    <row r="191">
      <c r="A191" s="5" t="n">
        <v>226</v>
      </c>
      <c r="B191" s="6" t="inlineStr">
        <is>
          <t>KOS Harian/blnan Murah-Linns house</t>
        </is>
      </c>
      <c r="C191" s="6" t="n">
        <v>203839</v>
      </c>
      <c r="D191" s="6" t="n">
        <v>-7.9352059</v>
      </c>
      <c r="E191" s="6" t="n">
        <v>112.6352951</v>
      </c>
      <c r="F191" t="inlineStr">
        <is>
          <t>Murah</t>
        </is>
      </c>
    </row>
    <row r="192">
      <c r="A192" s="5" t="n">
        <v>227</v>
      </c>
      <c r="B192" s="6" t="inlineStr">
        <is>
          <t>YUTAKA INN Araya Malang</t>
        </is>
      </c>
      <c r="C192" s="6" t="n">
        <v>132678</v>
      </c>
      <c r="D192" s="6" t="n">
        <v>-7.9359533</v>
      </c>
      <c r="E192" s="6" t="n">
        <v>112.6495324</v>
      </c>
      <c r="F192" t="inlineStr">
        <is>
          <t>Murah</t>
        </is>
      </c>
    </row>
    <row r="193">
      <c r="A193" s="5" t="n">
        <v>228</v>
      </c>
      <c r="B193" s="6" t="inlineStr">
        <is>
          <t>MADOR Malang Dorm Hostel</t>
        </is>
      </c>
      <c r="C193" s="6" t="n">
        <v>201102</v>
      </c>
      <c r="D193" s="6" t="n">
        <v>-7.9881738</v>
      </c>
      <c r="E193" s="6" t="n">
        <v>112.6351839</v>
      </c>
      <c r="F193" t="inlineStr">
        <is>
          <t>Murah</t>
        </is>
      </c>
    </row>
    <row r="194">
      <c r="A194" s="5" t="n">
        <v>229</v>
      </c>
      <c r="B194" s="6" t="inlineStr">
        <is>
          <t>Novon Family Hotel By Tripletree</t>
        </is>
      </c>
      <c r="C194" s="6" t="n">
        <v>300995</v>
      </c>
      <c r="D194" s="6" t="n">
        <v>-7.9308117</v>
      </c>
      <c r="E194" s="6" t="n">
        <v>112.6524642</v>
      </c>
      <c r="F194" t="inlineStr">
        <is>
          <t>Murah</t>
        </is>
      </c>
    </row>
    <row r="195">
      <c r="A195" s="5" t="n">
        <v>230</v>
      </c>
      <c r="B195" s="6" t="inlineStr">
        <is>
          <t>Terima Kasih Malang by Zzz (TKM)</t>
        </is>
      </c>
      <c r="C195" s="6" t="n">
        <v>265576</v>
      </c>
      <c r="D195" s="6" t="n">
        <v>-7.9659045</v>
      </c>
      <c r="E195" s="6" t="n">
        <v>112.649378</v>
      </c>
      <c r="F195" t="inlineStr">
        <is>
          <t>Murah</t>
        </is>
      </c>
    </row>
    <row r="196">
      <c r="A196" s="5" t="n">
        <v>231</v>
      </c>
      <c r="B196" s="6" t="inlineStr">
        <is>
          <t>Simple Stay</t>
        </is>
      </c>
      <c r="C196" s="6" t="n">
        <v>381517</v>
      </c>
      <c r="D196" s="6" t="n">
        <v>-7.9467613</v>
      </c>
      <c r="E196" s="6" t="n">
        <v>112.6327319</v>
      </c>
      <c r="F196" t="inlineStr">
        <is>
          <t>Murah</t>
        </is>
      </c>
    </row>
    <row r="197">
      <c r="A197" s="5" t="n">
        <v>232</v>
      </c>
      <c r="B197" s="6" t="inlineStr">
        <is>
          <t>Mahveen Family Guest House Syariah</t>
        </is>
      </c>
      <c r="C197" s="6" t="n">
        <v>36239</v>
      </c>
      <c r="D197" s="6" t="n">
        <v>-7.9337163</v>
      </c>
      <c r="E197" s="6" t="n">
        <v>112.6191161</v>
      </c>
      <c r="F197" t="inlineStr">
        <is>
          <t>Murah</t>
        </is>
      </c>
    </row>
    <row r="198">
      <c r="A198" s="5" t="n">
        <v>233</v>
      </c>
      <c r="B198" s="6" t="inlineStr">
        <is>
          <t>RedDoorz @ Simpang Borobudur</t>
        </is>
      </c>
      <c r="C198" s="6" t="n">
        <v>486333</v>
      </c>
      <c r="D198" s="6" t="n">
        <v>-7.9367994</v>
      </c>
      <c r="E198" s="6" t="n">
        <v>112.638996</v>
      </c>
      <c r="F198" t="inlineStr">
        <is>
          <t>Murah</t>
        </is>
      </c>
    </row>
    <row r="199">
      <c r="A199" s="5" t="n">
        <v>234</v>
      </c>
      <c r="B199" s="6" t="inlineStr">
        <is>
          <t>Smart Tlogomas Syariah</t>
        </is>
      </c>
      <c r="C199" s="6" t="n">
        <v>368550</v>
      </c>
      <c r="D199" s="6" t="n">
        <v>-7.9343441</v>
      </c>
      <c r="E199" s="6" t="n">
        <v>112.6031137</v>
      </c>
      <c r="F199" t="inlineStr">
        <is>
          <t>Murah</t>
        </is>
      </c>
    </row>
    <row r="200">
      <c r="A200" s="5" t="n">
        <v>235</v>
      </c>
      <c r="B200" s="6" t="inlineStr">
        <is>
          <t>RedDoorz Hostel near Malang Train Station 3</t>
        </is>
      </c>
      <c r="C200" s="6" t="n">
        <v>381971</v>
      </c>
      <c r="D200" s="6" t="n">
        <v>-7.9762923</v>
      </c>
      <c r="E200" s="6" t="n">
        <v>112.6300843</v>
      </c>
      <c r="F200" t="inlineStr">
        <is>
          <t>Murah</t>
        </is>
      </c>
    </row>
    <row r="201">
      <c r="A201" s="5" t="n">
        <v>236</v>
      </c>
      <c r="B201" s="6" t="inlineStr">
        <is>
          <t>Bobopod Alun-Alun, Malang</t>
        </is>
      </c>
      <c r="C201" s="6" t="n">
        <v>303362</v>
      </c>
      <c r="D201" s="6" t="n">
        <v>-7.9835318</v>
      </c>
      <c r="E201" s="6" t="n">
        <v>112.6301217</v>
      </c>
      <c r="F201" t="inlineStr">
        <is>
          <t>Murah</t>
        </is>
      </c>
    </row>
    <row r="202">
      <c r="A202" s="5" t="n">
        <v>237</v>
      </c>
      <c r="B202" s="6" t="inlineStr">
        <is>
          <t>Kedung Ombo Homestay</t>
        </is>
      </c>
      <c r="C202" s="6" t="n">
        <v>445430</v>
      </c>
      <c r="D202" s="6" t="n">
        <v>-7.9591389</v>
      </c>
      <c r="E202" s="6" t="n">
        <v>112.6118103</v>
      </c>
      <c r="F202" t="inlineStr">
        <is>
          <t>Murah</t>
        </is>
      </c>
    </row>
    <row r="203">
      <c r="A203" s="5" t="n">
        <v>238</v>
      </c>
      <c r="B203" s="6" t="inlineStr">
        <is>
          <t>RedDoorz Syariah near RRI Malang</t>
        </is>
      </c>
      <c r="C203" s="6" t="n">
        <v>254889</v>
      </c>
      <c r="D203" s="6" t="n">
        <v>-7.9352717</v>
      </c>
      <c r="E203" s="6" t="n">
        <v>112.6175183</v>
      </c>
      <c r="F203" t="inlineStr">
        <is>
          <t>Murah</t>
        </is>
      </c>
    </row>
    <row r="204">
      <c r="A204" s="5" t="n">
        <v>239</v>
      </c>
      <c r="B204" s="6" t="inlineStr">
        <is>
          <t>LUMIERE GUEST HOUSE</t>
        </is>
      </c>
      <c r="C204" s="6" t="n">
        <v>147420</v>
      </c>
      <c r="D204" s="6" t="n">
        <v>-7.9853322</v>
      </c>
      <c r="E204" s="6" t="n">
        <v>112.6298692</v>
      </c>
      <c r="F204" t="inlineStr">
        <is>
          <t>Murah</t>
        </is>
      </c>
    </row>
    <row r="205">
      <c r="A205" s="5" t="n">
        <v>240</v>
      </c>
      <c r="B205" s="6" t="inlineStr">
        <is>
          <t>YUTAKA INN Dinoyo Malang</t>
        </is>
      </c>
      <c r="C205" s="6" t="n">
        <v>128851</v>
      </c>
      <c r="D205" s="6" t="n">
        <v>-7.9398561</v>
      </c>
      <c r="E205" s="6" t="n">
        <v>112.6047319</v>
      </c>
      <c r="F205" t="inlineStr">
        <is>
          <t>Murah</t>
        </is>
      </c>
    </row>
    <row r="206">
      <c r="A206" s="5" t="n">
        <v>241</v>
      </c>
      <c r="B206" s="6" t="inlineStr">
        <is>
          <t>Sans Hotel La Vida Malang</t>
        </is>
      </c>
      <c r="C206" s="6" t="n">
        <v>398364</v>
      </c>
      <c r="D206" s="6" t="n">
        <v>-7.9745474</v>
      </c>
      <c r="E206" s="6" t="n">
        <v>112.6556206</v>
      </c>
      <c r="F206" t="inlineStr">
        <is>
          <t>Murah</t>
        </is>
      </c>
    </row>
    <row r="207">
      <c r="A207" s="5" t="n">
        <v>242</v>
      </c>
      <c r="B207" s="6" t="inlineStr">
        <is>
          <t>Roomy guesthouse</t>
        </is>
      </c>
      <c r="C207" s="6" t="n">
        <v>315000</v>
      </c>
      <c r="D207" s="6" t="n">
        <v>-7.9209675</v>
      </c>
      <c r="E207" s="6" t="n">
        <v>112.5946975</v>
      </c>
      <c r="F207" t="inlineStr">
        <is>
          <t>Murah</t>
        </is>
      </c>
    </row>
    <row r="208">
      <c r="A208" s="5" t="n">
        <v>243</v>
      </c>
      <c r="B208" s="6" t="inlineStr">
        <is>
          <t>Riche Heritage Hotel</t>
        </is>
      </c>
      <c r="C208" s="6" t="n">
        <v>294840</v>
      </c>
      <c r="D208" s="6" t="n">
        <v>-7.9813684</v>
      </c>
      <c r="E208" s="6" t="n">
        <v>112.630201</v>
      </c>
      <c r="F208" t="inlineStr">
        <is>
          <t>Murah</t>
        </is>
      </c>
    </row>
    <row r="209">
      <c r="A209" s="5" t="n">
        <v>244</v>
      </c>
      <c r="B209" s="6" t="inlineStr">
        <is>
          <t>Grand Kadaka Syariah</t>
        </is>
      </c>
      <c r="C209" s="6" t="n">
        <v>156634</v>
      </c>
      <c r="D209" s="6" t="n">
        <v>-7.9456395</v>
      </c>
      <c r="E209" s="6" t="n">
        <v>112.6197856</v>
      </c>
      <c r="F209" t="inlineStr">
        <is>
          <t>Murah</t>
        </is>
      </c>
    </row>
    <row r="210">
      <c r="A210" s="5" t="n">
        <v>245</v>
      </c>
      <c r="B210" s="6" t="inlineStr">
        <is>
          <t>Kalakoala by Zzz</t>
        </is>
      </c>
      <c r="C210" s="6" t="n">
        <v>265576</v>
      </c>
      <c r="D210" s="6" t="n">
        <v>-7.9560956</v>
      </c>
      <c r="E210" s="6" t="n">
        <v>112.6492091</v>
      </c>
      <c r="F210" t="inlineStr">
        <is>
          <t>Murah</t>
        </is>
      </c>
    </row>
    <row r="211">
      <c r="A211" s="5" t="n">
        <v>246</v>
      </c>
      <c r="B211" s="6" t="inlineStr">
        <is>
          <t>Condro Wulan Hostel</t>
        </is>
      </c>
      <c r="C211" s="6" t="n">
        <v>36239</v>
      </c>
      <c r="D211" s="6" t="n">
        <v>-7.9943298</v>
      </c>
      <c r="E211" s="6" t="n">
        <v>112.6800647</v>
      </c>
      <c r="F211" t="inlineStr">
        <is>
          <t>Murah</t>
        </is>
      </c>
    </row>
    <row r="212">
      <c r="A212" s="5" t="n">
        <v>247</v>
      </c>
      <c r="B212" s="6" t="inlineStr">
        <is>
          <t>RedDoorz near Malang Creative Center</t>
        </is>
      </c>
      <c r="C212" s="6" t="n">
        <v>387723</v>
      </c>
      <c r="D212" s="6" t="n">
        <v>-7.9352241</v>
      </c>
      <c r="E212" s="6" t="n">
        <v>112.6375664</v>
      </c>
      <c r="F212" t="inlineStr">
        <is>
          <t>Murah</t>
        </is>
      </c>
    </row>
    <row r="213">
      <c r="A213" s="5" t="n">
        <v>248</v>
      </c>
      <c r="B213" s="6" t="inlineStr">
        <is>
          <t>SIMPANG HOMESTAY &amp; KOZZ</t>
        </is>
      </c>
      <c r="C213" s="6" t="n">
        <v>184275</v>
      </c>
      <c r="D213" s="6" t="n">
        <v>-7.9370428</v>
      </c>
      <c r="E213" s="6" t="n">
        <v>112.6375024</v>
      </c>
      <c r="F213" t="inlineStr">
        <is>
          <t>Murah</t>
        </is>
      </c>
    </row>
    <row r="214">
      <c r="A214" s="5" t="n">
        <v>249</v>
      </c>
      <c r="B214" s="6" t="inlineStr">
        <is>
          <t>Neomi Homestay Malang (CV.Neomi perdana sukse)</t>
        </is>
      </c>
      <c r="C214" s="6" t="n">
        <v>266157</v>
      </c>
      <c r="D214" s="6" t="n">
        <v>-7.9419521</v>
      </c>
      <c r="E214" s="6" t="n">
        <v>112.6588887</v>
      </c>
      <c r="F214" t="inlineStr">
        <is>
          <t>Murah</t>
        </is>
      </c>
    </row>
    <row r="215">
      <c r="A215" s="5" t="n">
        <v>250</v>
      </c>
      <c r="B215" s="6" t="inlineStr">
        <is>
          <t>Hotel O Sumpil Syariah</t>
        </is>
      </c>
      <c r="C215" s="6" t="n">
        <v>211964</v>
      </c>
      <c r="D215" s="6" t="n">
        <v>-7.934397</v>
      </c>
      <c r="E215" s="6" t="n">
        <v>112.645338</v>
      </c>
      <c r="F215" t="inlineStr">
        <is>
          <t>Murah</t>
        </is>
      </c>
    </row>
    <row r="216">
      <c r="A216" s="5" t="n">
        <v>251</v>
      </c>
      <c r="B216" s="6" t="inlineStr">
        <is>
          <t>RedDoorz Syariah near Exit Tol Malang</t>
        </is>
      </c>
      <c r="C216" s="6" t="n">
        <v>387711</v>
      </c>
      <c r="D216" s="6" t="n">
        <v>-7.9815329</v>
      </c>
      <c r="E216" s="6" t="n">
        <v>112.6830877</v>
      </c>
      <c r="F216" t="inlineStr">
        <is>
          <t>Murah</t>
        </is>
      </c>
    </row>
    <row r="217">
      <c r="A217" s="5" t="n">
        <v>252</v>
      </c>
      <c r="B217" s="6" t="inlineStr">
        <is>
          <t>Townhouse Oak Malang near ITN Malang</t>
        </is>
      </c>
      <c r="C217" s="6" t="n">
        <v>204451</v>
      </c>
      <c r="D217" s="6" t="n">
        <v>-7.911063</v>
      </c>
      <c r="E217" s="6" t="n">
        <v>112.635804</v>
      </c>
      <c r="F217" t="inlineStr">
        <is>
          <t>Murah</t>
        </is>
      </c>
    </row>
    <row r="218">
      <c r="A218" s="5" t="n">
        <v>253</v>
      </c>
      <c r="B218" s="6" t="inlineStr">
        <is>
          <t>Linn's House Syariah</t>
        </is>
      </c>
      <c r="C218" s="6" t="n">
        <v>203839</v>
      </c>
      <c r="D218" s="6" t="n">
        <v>-7.9351032</v>
      </c>
      <c r="E218" s="6" t="n">
        <v>112.6353015</v>
      </c>
      <c r="F218" t="inlineStr">
        <is>
          <t>Murah</t>
        </is>
      </c>
    </row>
    <row r="219">
      <c r="A219" s="5" t="n">
        <v>254</v>
      </c>
      <c r="B219" s="6" t="inlineStr">
        <is>
          <t>Velodrome Family House</t>
        </is>
      </c>
      <c r="C219" s="6" t="n">
        <v>45892</v>
      </c>
      <c r="D219" s="6" t="n">
        <v>-7.9723858</v>
      </c>
      <c r="E219" s="6" t="n">
        <v>112.6709966</v>
      </c>
      <c r="F219" t="inlineStr">
        <is>
          <t>Murah</t>
        </is>
      </c>
    </row>
    <row r="220">
      <c r="A220" s="5" t="n">
        <v>255</v>
      </c>
      <c r="B220" s="6" t="inlineStr">
        <is>
          <t>RedDoorz near Sanan Malang</t>
        </is>
      </c>
      <c r="C220" s="6" t="n">
        <v>385421</v>
      </c>
      <c r="D220" s="6" t="n">
        <v>-7.9587634</v>
      </c>
      <c r="E220" s="6" t="n">
        <v>112.6431786</v>
      </c>
      <c r="F220" t="inlineStr">
        <is>
          <t>Murah</t>
        </is>
      </c>
    </row>
    <row r="221">
      <c r="A221" s="5" t="n">
        <v>256</v>
      </c>
      <c r="B221" s="6" t="inlineStr">
        <is>
          <t>SOWAN Boutique Guest House Syariah</t>
        </is>
      </c>
      <c r="C221" s="6" t="n">
        <v>238329</v>
      </c>
      <c r="D221" s="6" t="n">
        <v>-7.9697672</v>
      </c>
      <c r="E221" s="6" t="n">
        <v>112.6654621</v>
      </c>
      <c r="F221" t="inlineStr">
        <is>
          <t>Murah</t>
        </is>
      </c>
    </row>
    <row r="222">
      <c r="A222" s="5" t="n">
        <v>257</v>
      </c>
      <c r="B222" s="6" t="inlineStr">
        <is>
          <t>Homestay Kateza</t>
        </is>
      </c>
      <c r="C222" s="6" t="n">
        <v>196560</v>
      </c>
      <c r="D222" s="6" t="n">
        <v>-7.9612417</v>
      </c>
      <c r="E222" s="6" t="n">
        <v>112.6122526</v>
      </c>
      <c r="F222" t="inlineStr">
        <is>
          <t>Murah</t>
        </is>
      </c>
    </row>
    <row r="223">
      <c r="A223" s="5" t="n">
        <v>258</v>
      </c>
      <c r="B223" s="6" t="inlineStr">
        <is>
          <t>Nipa Guest House near Universitas Widyagama Mitra</t>
        </is>
      </c>
      <c r="C223" s="6" t="n">
        <v>115850</v>
      </c>
      <c r="D223" s="6" t="n">
        <v>-7.9367337</v>
      </c>
      <c r="E223" s="6" t="n">
        <v>112.6340937</v>
      </c>
      <c r="F223" t="inlineStr">
        <is>
          <t>Murah</t>
        </is>
      </c>
    </row>
    <row r="224">
      <c r="A224" s="5" t="n">
        <v>259</v>
      </c>
      <c r="B224" s="6" t="inlineStr">
        <is>
          <t>Rumah Larasati</t>
        </is>
      </c>
      <c r="C224" s="6" t="n">
        <v>301248</v>
      </c>
      <c r="D224" s="6" t="n">
        <v>-7.9762512</v>
      </c>
      <c r="E224" s="6" t="n">
        <v>112.6168217</v>
      </c>
      <c r="F224" t="inlineStr">
        <is>
          <t>Murah</t>
        </is>
      </c>
    </row>
    <row r="225">
      <c r="A225" s="5" t="n">
        <v>260</v>
      </c>
      <c r="B225" s="6" t="inlineStr">
        <is>
          <t>One &amp; Quin Guest House Syariah</t>
        </is>
      </c>
      <c r="C225" s="6" t="n">
        <v>435660</v>
      </c>
      <c r="D225" s="6" t="n">
        <v>-7.9520598</v>
      </c>
      <c r="E225" s="6" t="n">
        <v>112.6033975</v>
      </c>
      <c r="F225" t="inlineStr">
        <is>
          <t>Murah</t>
        </is>
      </c>
    </row>
    <row r="226">
      <c r="A226" s="5" t="n">
        <v>261</v>
      </c>
      <c r="B226" s="6" t="inlineStr">
        <is>
          <t>Fariz Hotel Malang</t>
        </is>
      </c>
      <c r="C226" s="6" t="n">
        <v>307051</v>
      </c>
      <c r="D226" s="6" t="n">
        <v>-7.9110727</v>
      </c>
      <c r="E226" s="6" t="n">
        <v>112.6358414</v>
      </c>
      <c r="F226" t="inlineStr">
        <is>
          <t>Murah</t>
        </is>
      </c>
    </row>
    <row r="227">
      <c r="A227" s="5" t="n">
        <v>262</v>
      </c>
      <c r="B227" s="6" t="inlineStr">
        <is>
          <t>RedDoorz raya tidar</t>
        </is>
      </c>
      <c r="C227" s="6" t="n">
        <v>404016</v>
      </c>
      <c r="D227" s="6" t="n">
        <v>-7.9669811</v>
      </c>
      <c r="E227" s="6" t="n">
        <v>112.6132614</v>
      </c>
      <c r="F227" t="inlineStr">
        <is>
          <t>Murah</t>
        </is>
      </c>
    </row>
    <row r="228">
      <c r="A228" s="5" t="n">
        <v>263</v>
      </c>
      <c r="B228" s="6" t="inlineStr">
        <is>
          <t>Tya Family Guest House</t>
        </is>
      </c>
      <c r="C228" s="6" t="n">
        <v>163800</v>
      </c>
      <c r="D228" s="6" t="n">
        <v>-7.9383559</v>
      </c>
      <c r="E228" s="6" t="n">
        <v>112.5885009</v>
      </c>
      <c r="F228" t="inlineStr">
        <is>
          <t>Murah</t>
        </is>
      </c>
    </row>
    <row r="229">
      <c r="A229" s="5" t="n">
        <v>264</v>
      </c>
      <c r="B229" s="6" t="inlineStr">
        <is>
          <t>OYO Life 92620 Syfa Kost</t>
        </is>
      </c>
      <c r="C229" s="6" t="n">
        <v>45892</v>
      </c>
      <c r="D229" s="6" t="n">
        <v>-7.9228265</v>
      </c>
      <c r="E229" s="6" t="n">
        <v>112.5986025</v>
      </c>
      <c r="F229" t="inlineStr">
        <is>
          <t>Murah</t>
        </is>
      </c>
    </row>
    <row r="230">
      <c r="A230" s="5" t="n">
        <v>265</v>
      </c>
      <c r="B230" s="6" t="inlineStr">
        <is>
          <t>Karjo Homestay</t>
        </is>
      </c>
      <c r="C230" s="6" t="n">
        <v>199017</v>
      </c>
      <c r="D230" s="6" t="n">
        <v>-7.9613829</v>
      </c>
      <c r="E230" s="6" t="n">
        <v>112.653596</v>
      </c>
      <c r="F230" t="inlineStr">
        <is>
          <t>Murah</t>
        </is>
      </c>
    </row>
    <row r="231">
      <c r="A231" s="5" t="n">
        <v>266</v>
      </c>
      <c r="B231" s="6" t="inlineStr">
        <is>
          <t>OYO 3825 Lavender Sawojajar</t>
        </is>
      </c>
      <c r="C231" s="6" t="n">
        <v>36239</v>
      </c>
      <c r="D231" s="6" t="n">
        <v>-7.9724022</v>
      </c>
      <c r="E231" s="6" t="n">
        <v>112.6591519</v>
      </c>
      <c r="F231" t="inlineStr">
        <is>
          <t>Murah</t>
        </is>
      </c>
    </row>
    <row r="232">
      <c r="A232" s="5" t="n">
        <v>267</v>
      </c>
      <c r="B232" s="6" t="inlineStr">
        <is>
          <t>Homestay Gayatri Sawojajar near Univ. Negeri Malang Kampus 2 Mitra RedDoorz</t>
        </is>
      </c>
      <c r="C232" s="6" t="n">
        <v>476914</v>
      </c>
      <c r="D232" s="6" t="n">
        <v>-7.9774828</v>
      </c>
      <c r="E232" s="6" t="n">
        <v>112.6673981</v>
      </c>
      <c r="F232" t="inlineStr">
        <is>
          <t>Murah</t>
        </is>
      </c>
    </row>
    <row r="233">
      <c r="A233" s="5" t="n">
        <v>269</v>
      </c>
      <c r="B233" s="6" t="inlineStr">
        <is>
          <t>Safa Guest House</t>
        </is>
      </c>
      <c r="C233" s="6" t="n">
        <v>117447</v>
      </c>
      <c r="D233" s="6" t="n">
        <v>-7.9723516</v>
      </c>
      <c r="E233" s="6" t="n">
        <v>112.6627635</v>
      </c>
      <c r="F233" t="inlineStr">
        <is>
          <t>Murah</t>
        </is>
      </c>
    </row>
    <row r="234">
      <c r="A234" s="5" t="n">
        <v>270</v>
      </c>
      <c r="B234" s="6" t="inlineStr">
        <is>
          <t>Urbanview Hotel Gangnam near Mall Olympic Garden</t>
        </is>
      </c>
      <c r="C234" s="6" t="n">
        <v>315490</v>
      </c>
      <c r="D234" s="6" t="n">
        <v>-7.9721283</v>
      </c>
      <c r="E234" s="6" t="n">
        <v>112.61349</v>
      </c>
      <c r="F234" t="inlineStr">
        <is>
          <t>Murah</t>
        </is>
      </c>
    </row>
    <row r="235">
      <c r="A235" s="5" t="n">
        <v>271</v>
      </c>
      <c r="B235" s="6" t="inlineStr">
        <is>
          <t>AMALIA Guest House &amp; Cafe</t>
        </is>
      </c>
      <c r="C235" s="6" t="n">
        <v>281083</v>
      </c>
      <c r="D235" s="6" t="n">
        <v>-7.9677916</v>
      </c>
      <c r="E235" s="6" t="n">
        <v>112.6262086</v>
      </c>
      <c r="F235" t="inlineStr">
        <is>
          <t>Murah</t>
        </is>
      </c>
    </row>
    <row r="236">
      <c r="A236" s="5" t="n">
        <v>272</v>
      </c>
      <c r="B236" s="6" t="inlineStr">
        <is>
          <t>Sans Hotel Bobosini Malang</t>
        </is>
      </c>
      <c r="C236" s="6" t="n">
        <v>479690</v>
      </c>
      <c r="D236" s="6" t="n">
        <v>-7.9384694</v>
      </c>
      <c r="E236" s="6" t="n">
        <v>112.6333312</v>
      </c>
      <c r="F236" t="inlineStr">
        <is>
          <t>Murah</t>
        </is>
      </c>
    </row>
    <row r="237">
      <c r="A237" s="5" t="n">
        <v>273</v>
      </c>
      <c r="B237" s="6" t="inlineStr">
        <is>
          <t>D'MAKTAB homestay &amp; cafe</t>
        </is>
      </c>
      <c r="C237" s="6" t="n">
        <v>36239</v>
      </c>
      <c r="D237" s="6" t="n">
        <v>-7.9509672</v>
      </c>
      <c r="E237" s="6" t="n">
        <v>112.6266273</v>
      </c>
      <c r="F237" t="inlineStr">
        <is>
          <t>Murah</t>
        </is>
      </c>
    </row>
    <row r="238">
      <c r="A238" s="5" t="n">
        <v>274</v>
      </c>
      <c r="B238" s="6" t="inlineStr">
        <is>
          <t>Plum Dreamscape Inan Malang</t>
        </is>
      </c>
      <c r="C238" s="6" t="n">
        <v>520661</v>
      </c>
      <c r="D238" s="6" t="n">
        <v>-7.9703265</v>
      </c>
      <c r="E238" s="6" t="n">
        <v>112.6352386</v>
      </c>
      <c r="F238" t="inlineStr">
        <is>
          <t>Murah</t>
        </is>
      </c>
    </row>
    <row r="239">
      <c r="A239" s="5" t="n">
        <v>275</v>
      </c>
      <c r="B239" s="6" t="inlineStr">
        <is>
          <t>Adisa Homestay</t>
        </is>
      </c>
      <c r="C239" s="6" t="n">
        <v>197188</v>
      </c>
      <c r="D239" s="6" t="n">
        <v>-7.9656722</v>
      </c>
      <c r="E239" s="6" t="n">
        <v>112.6319221</v>
      </c>
      <c r="F239" t="inlineStr">
        <is>
          <t>Murah</t>
        </is>
      </c>
    </row>
    <row r="240">
      <c r="A240" s="5" t="n">
        <v>276</v>
      </c>
      <c r="B240" s="6" t="inlineStr">
        <is>
          <t>Shelter Hostel Malang</t>
        </is>
      </c>
      <c r="C240" s="6" t="n">
        <v>300000</v>
      </c>
      <c r="D240" s="6" t="n">
        <v>-7.9734603</v>
      </c>
      <c r="E240" s="6" t="n">
        <v>112.634562</v>
      </c>
      <c r="F240" t="inlineStr">
        <is>
          <t>Murah</t>
        </is>
      </c>
    </row>
    <row r="241">
      <c r="A241" s="5" t="n">
        <v>277</v>
      </c>
      <c r="B241" s="6" t="inlineStr">
        <is>
          <t>OYO 90379 Holistay Malang</t>
        </is>
      </c>
      <c r="C241" s="6" t="n">
        <v>475007</v>
      </c>
      <c r="D241" s="6" t="n">
        <v>-7.9356437</v>
      </c>
      <c r="E241" s="6" t="n">
        <v>112.6495217</v>
      </c>
      <c r="F241" t="inlineStr">
        <is>
          <t>Murah</t>
        </is>
      </c>
    </row>
    <row r="242">
      <c r="A242" s="5" t="n">
        <v>278</v>
      </c>
      <c r="B242" s="6" t="inlineStr">
        <is>
          <t>RedDoorz @ Simple Stay Malang</t>
        </is>
      </c>
      <c r="C242" s="6" t="n">
        <v>381517</v>
      </c>
      <c r="D242" s="6" t="n">
        <v>-7.946813</v>
      </c>
      <c r="E242" s="6" t="n">
        <v>112.632688</v>
      </c>
      <c r="F242" t="inlineStr">
        <is>
          <t>Murah</t>
        </is>
      </c>
    </row>
    <row r="243">
      <c r="A243" s="5" t="n">
        <v>279</v>
      </c>
      <c r="B243" s="6" t="inlineStr">
        <is>
          <t>Reddoorz @ Ciliwung Guest House Syariah</t>
        </is>
      </c>
      <c r="C243" s="6" t="n">
        <v>486888</v>
      </c>
      <c r="D243" s="6" t="n">
        <v>-7.9526741</v>
      </c>
      <c r="E243" s="6" t="n">
        <v>112.6408287</v>
      </c>
      <c r="F243" t="inlineStr">
        <is>
          <t>Murah</t>
        </is>
      </c>
    </row>
    <row r="244">
      <c r="A244" s="5" t="n">
        <v>280</v>
      </c>
      <c r="B244" s="6" t="inlineStr">
        <is>
          <t>Yutaka Inn Suhat Raya Malang</t>
        </is>
      </c>
      <c r="C244" s="6" t="n">
        <v>124024</v>
      </c>
      <c r="D244" s="6" t="n">
        <v>-7.9392584</v>
      </c>
      <c r="E244" s="6" t="n">
        <v>112.625338</v>
      </c>
      <c r="F244" t="inlineStr">
        <is>
          <t>Murah</t>
        </is>
      </c>
    </row>
    <row r="245">
      <c r="A245" s="5" t="n">
        <v>281</v>
      </c>
      <c r="B245" s="6" t="inlineStr">
        <is>
          <t>D'Paragon Ijen Nirwana Malang</t>
        </is>
      </c>
      <c r="C245" s="6" t="n">
        <v>232546</v>
      </c>
      <c r="D245" s="6" t="n">
        <v>-7.9775474</v>
      </c>
      <c r="E245" s="6" t="n">
        <v>112.6195581</v>
      </c>
      <c r="F245" t="inlineStr">
        <is>
          <t>Murah</t>
        </is>
      </c>
    </row>
    <row r="246">
      <c r="A246" s="5" t="n">
        <v>282</v>
      </c>
      <c r="B246" s="6" t="inlineStr">
        <is>
          <t>Shini Guest House</t>
        </is>
      </c>
      <c r="C246" s="6" t="n">
        <v>36239</v>
      </c>
      <c r="D246" s="6" t="n">
        <v>-7.9347155</v>
      </c>
      <c r="E246" s="6" t="n">
        <v>112.6170637</v>
      </c>
      <c r="F246" t="inlineStr">
        <is>
          <t>Murah</t>
        </is>
      </c>
    </row>
    <row r="247">
      <c r="A247" s="5" t="n">
        <v>283</v>
      </c>
      <c r="B247" s="6" t="inlineStr">
        <is>
          <t>D'Paragon Songgolangit Malang</t>
        </is>
      </c>
      <c r="C247" s="6" t="n">
        <v>491400</v>
      </c>
      <c r="D247" s="6" t="n">
        <v>-7.946236</v>
      </c>
      <c r="E247" s="6" t="n">
        <v>112.623901</v>
      </c>
      <c r="F247" t="inlineStr">
        <is>
          <t>Murah</t>
        </is>
      </c>
    </row>
    <row r="248">
      <c r="A248" s="5" t="n">
        <v>284</v>
      </c>
      <c r="B248" s="6" t="inlineStr">
        <is>
          <t>Griya Kendedes Guest House &amp; Kos</t>
        </is>
      </c>
      <c r="C248" s="6" t="n">
        <v>414281</v>
      </c>
      <c r="D248" s="6" t="n">
        <v>-7.9447396</v>
      </c>
      <c r="E248" s="6" t="n">
        <v>112.6203666</v>
      </c>
      <c r="F248" t="inlineStr">
        <is>
          <t>Murah</t>
        </is>
      </c>
    </row>
    <row r="249">
      <c r="A249" s="5" t="n">
        <v>285</v>
      </c>
      <c r="B249" s="6" t="inlineStr">
        <is>
          <t>Fafana Syariah Mitra RedDoorz</t>
        </is>
      </c>
      <c r="C249" s="6" t="n">
        <v>156206</v>
      </c>
      <c r="D249" s="6" t="n">
        <v>-7.9572133</v>
      </c>
      <c r="E249" s="6" t="n">
        <v>112.6340556</v>
      </c>
      <c r="F249" t="inlineStr">
        <is>
          <t>Murah</t>
        </is>
      </c>
    </row>
    <row r="250">
      <c r="A250" s="5" t="n">
        <v>286</v>
      </c>
      <c r="B250" s="6" t="inlineStr">
        <is>
          <t>RedDoorz @ Jalan Kedawung</t>
        </is>
      </c>
      <c r="C250" s="6" t="n">
        <v>328462</v>
      </c>
      <c r="D250" s="6" t="n">
        <v>-7.9533803</v>
      </c>
      <c r="E250" s="6" t="n">
        <v>112.6370464</v>
      </c>
      <c r="F250" t="inlineStr">
        <is>
          <t>Murah</t>
        </is>
      </c>
    </row>
    <row r="251">
      <c r="A251" s="5" t="n">
        <v>287</v>
      </c>
      <c r="B251" s="6" t="inlineStr">
        <is>
          <t>Damar Boutique Hotel</t>
        </is>
      </c>
      <c r="C251" s="6" t="n">
        <v>253890</v>
      </c>
      <c r="D251" s="6" t="n">
        <v>-7.9526915</v>
      </c>
      <c r="E251" s="6" t="n">
        <v>112.6361312</v>
      </c>
      <c r="F251" t="inlineStr">
        <is>
          <t>Murah</t>
        </is>
      </c>
    </row>
    <row r="252">
      <c r="A252" s="5" t="n">
        <v>288</v>
      </c>
      <c r="B252" s="6" t="inlineStr">
        <is>
          <t>Little Malang Hostel</t>
        </is>
      </c>
      <c r="C252" s="6" t="n">
        <v>88219</v>
      </c>
      <c r="D252" s="6" t="n">
        <v>-7.9877661</v>
      </c>
      <c r="E252" s="6" t="n">
        <v>112.631538</v>
      </c>
      <c r="F252" t="inlineStr">
        <is>
          <t>Murah</t>
        </is>
      </c>
    </row>
    <row r="253">
      <c r="A253" s="5" t="n">
        <v>289</v>
      </c>
      <c r="B253" s="6" t="inlineStr">
        <is>
          <t>Reddoorz Near Universitas Widyagama Malang</t>
        </is>
      </c>
      <c r="C253" s="6" t="n">
        <v>329496</v>
      </c>
      <c r="D253" s="6" t="n">
        <v>-7.9366331</v>
      </c>
      <c r="E253" s="6" t="n">
        <v>112.6358111</v>
      </c>
      <c r="F253" t="inlineStr">
        <is>
          <t>Murah</t>
        </is>
      </c>
    </row>
    <row r="254">
      <c r="A254" s="5" t="n">
        <v>290</v>
      </c>
      <c r="B254" s="6" t="inlineStr">
        <is>
          <t>OYO Life 92621 Zain Kost</t>
        </is>
      </c>
      <c r="C254" s="6" t="n">
        <v>285714</v>
      </c>
      <c r="D254" s="6" t="n">
        <v>-7.9100314</v>
      </c>
      <c r="E254" s="6" t="n">
        <v>112.6368854</v>
      </c>
      <c r="F254" t="inlineStr">
        <is>
          <t>Murah</t>
        </is>
      </c>
    </row>
    <row r="255">
      <c r="A255" s="5" t="n">
        <v>291</v>
      </c>
      <c r="B255" s="6" t="inlineStr">
        <is>
          <t>Hotel O 94706 Rumah Kalimosodo</t>
        </is>
      </c>
      <c r="C255" s="6" t="n">
        <v>290083</v>
      </c>
      <c r="D255" s="6" t="n">
        <v>-7.98258</v>
      </c>
      <c r="E255" s="6" t="n">
        <v>112.649271</v>
      </c>
      <c r="F255" t="inlineStr">
        <is>
          <t>Murah</t>
        </is>
      </c>
    </row>
    <row r="256">
      <c r="A256" s="5" t="n">
        <v>292</v>
      </c>
      <c r="B256" s="6" t="inlineStr">
        <is>
          <t>RedDoorz near Universitas Widyagama Malang 2</t>
        </is>
      </c>
      <c r="C256" s="6" t="n">
        <v>479741</v>
      </c>
      <c r="D256" s="6" t="n">
        <v>-7.9370977</v>
      </c>
      <c r="E256" s="6" t="n">
        <v>112.635225</v>
      </c>
      <c r="F256" t="inlineStr">
        <is>
          <t>Murah</t>
        </is>
      </c>
    </row>
    <row r="257">
      <c r="A257" s="5" t="n">
        <v>293</v>
      </c>
      <c r="B257" s="6" t="inlineStr">
        <is>
          <t>Tree Homestay Mitra RedDoorz</t>
        </is>
      </c>
      <c r="C257" s="6" t="n">
        <v>509177</v>
      </c>
      <c r="D257" s="6" t="n">
        <v>-7.9608663</v>
      </c>
      <c r="E257" s="6" t="n">
        <v>112.6048963</v>
      </c>
      <c r="F257" t="inlineStr">
        <is>
          <t>Murah</t>
        </is>
      </c>
    </row>
    <row r="258">
      <c r="A258" s="5" t="n">
        <v>294</v>
      </c>
      <c r="B258" s="6" t="inlineStr">
        <is>
          <t>Youkata Stay Hotel Malang</t>
        </is>
      </c>
      <c r="C258" s="6" t="n">
        <v>36239</v>
      </c>
      <c r="D258" s="6" t="n">
        <v>-7.9658718</v>
      </c>
      <c r="E258" s="6" t="n">
        <v>112.6369394</v>
      </c>
      <c r="F258" t="inlineStr">
        <is>
          <t>Murah</t>
        </is>
      </c>
    </row>
    <row r="259">
      <c r="A259" s="5" t="n">
        <v>295</v>
      </c>
      <c r="B259" s="6" t="inlineStr">
        <is>
          <t>Bromo Breeze by Zzz</t>
        </is>
      </c>
      <c r="C259" s="6" t="n">
        <v>265576</v>
      </c>
      <c r="D259" s="6" t="n">
        <v>-7.9764613</v>
      </c>
      <c r="E259" s="6" t="n">
        <v>112.6566597</v>
      </c>
      <c r="F259" t="inlineStr">
        <is>
          <t>Murah</t>
        </is>
      </c>
    </row>
    <row r="260">
      <c r="A260" s="5" t="n">
        <v>296</v>
      </c>
      <c r="B260" s="6" t="inlineStr">
        <is>
          <t>dinoyo homestay syariah</t>
        </is>
      </c>
      <c r="C260" s="6" t="n">
        <v>71658</v>
      </c>
      <c r="D260" s="6" t="n">
        <v>-7.9395241</v>
      </c>
      <c r="E260" s="6" t="n">
        <v>112.6085081</v>
      </c>
      <c r="F260" t="inlineStr">
        <is>
          <t>Murah</t>
        </is>
      </c>
    </row>
    <row r="261">
      <c r="A261" s="5" t="n">
        <v>297</v>
      </c>
      <c r="B261" s="6" t="inlineStr">
        <is>
          <t>Griya Borobudur Malang RedPartner</t>
        </is>
      </c>
      <c r="C261" s="6" t="n">
        <v>553279</v>
      </c>
      <c r="D261" s="6" t="n">
        <v>-7.9365379</v>
      </c>
      <c r="E261" s="6" t="n">
        <v>112.6366452</v>
      </c>
      <c r="F261" t="inlineStr">
        <is>
          <t>Murah</t>
        </is>
      </c>
    </row>
    <row r="262">
      <c r="A262" s="5" t="n">
        <v>298</v>
      </c>
      <c r="B262" s="6" t="inlineStr">
        <is>
          <t>Dpavilion Guest House &amp; Resto</t>
        </is>
      </c>
      <c r="C262" s="6" t="n">
        <v>331695</v>
      </c>
      <c r="D262" s="6" t="n">
        <v>-7.9709438</v>
      </c>
      <c r="E262" s="6" t="n">
        <v>112.6251358</v>
      </c>
      <c r="F262" t="inlineStr">
        <is>
          <t>Murah</t>
        </is>
      </c>
    </row>
    <row r="263">
      <c r="A263" s="5" t="n">
        <v>299</v>
      </c>
      <c r="B263" s="6" t="inlineStr">
        <is>
          <t>Sentral homestay</t>
        </is>
      </c>
      <c r="C263" s="6" t="n">
        <v>286650</v>
      </c>
      <c r="D263" s="6" t="n">
        <v>-7.9813198</v>
      </c>
      <c r="E263" s="6" t="n">
        <v>112.6289104</v>
      </c>
      <c r="F263" t="inlineStr">
        <is>
          <t>Murah</t>
        </is>
      </c>
    </row>
    <row r="264">
      <c r="A264" s="5" t="n">
        <v>300</v>
      </c>
      <c r="B264" s="6" t="inlineStr">
        <is>
          <t>D'Paragon Bukit Dieng Malang</t>
        </is>
      </c>
      <c r="C264" s="6" t="n">
        <v>209752</v>
      </c>
      <c r="D264" s="6" t="n">
        <v>-7.9726885</v>
      </c>
      <c r="E264" s="6" t="n">
        <v>112.6008373</v>
      </c>
      <c r="F264" t="inlineStr">
        <is>
          <t>Murah</t>
        </is>
      </c>
    </row>
    <row r="265">
      <c r="A265" s="5" t="n">
        <v>301</v>
      </c>
      <c r="B265" s="6" t="inlineStr">
        <is>
          <t>Dei Kost</t>
        </is>
      </c>
      <c r="C265" s="6" t="n">
        <v>532350</v>
      </c>
      <c r="D265" s="6" t="n">
        <v>-7.9303611</v>
      </c>
      <c r="E265" s="6" t="n">
        <v>112.6485267</v>
      </c>
      <c r="F265" t="inlineStr">
        <is>
          <t>Murah</t>
        </is>
      </c>
    </row>
    <row r="266">
      <c r="A266" s="5" t="n">
        <v>302</v>
      </c>
      <c r="B266" s="6" t="inlineStr">
        <is>
          <t>RedDoorz Syariah near Gor Ken Arok</t>
        </is>
      </c>
      <c r="C266" s="6" t="n">
        <v>268305</v>
      </c>
      <c r="D266" s="6" t="n">
        <v>-8.0143109</v>
      </c>
      <c r="E266" s="6" t="n">
        <v>112.6421937</v>
      </c>
      <c r="F266" t="inlineStr">
        <is>
          <t>Murah</t>
        </is>
      </c>
    </row>
    <row r="267">
      <c r="A267" s="5" t="n">
        <v>303</v>
      </c>
      <c r="B267" s="6" t="inlineStr">
        <is>
          <t>Tini’s Guest House</t>
        </is>
      </c>
      <c r="C267" s="6" t="n">
        <v>176898</v>
      </c>
      <c r="D267" s="6" t="n">
        <v>-7.9728819</v>
      </c>
      <c r="E267" s="6" t="n">
        <v>112.618846</v>
      </c>
      <c r="F267" t="inlineStr">
        <is>
          <t>Murah</t>
        </is>
      </c>
    </row>
    <row r="268">
      <c r="A268" s="5" t="n">
        <v>304</v>
      </c>
      <c r="B268" s="6" t="inlineStr">
        <is>
          <t>CUBIC ONE CAPSULE</t>
        </is>
      </c>
      <c r="C268" s="6" t="n">
        <v>143735</v>
      </c>
      <c r="D268" s="6" t="n">
        <v>-7.9418552</v>
      </c>
      <c r="E268" s="6" t="n">
        <v>112.6320865</v>
      </c>
      <c r="F268" t="inlineStr">
        <is>
          <t>Murah</t>
        </is>
      </c>
    </row>
    <row r="269">
      <c r="A269" s="5" t="n">
        <v>316</v>
      </c>
      <c r="B269" s="6" t="inlineStr">
        <is>
          <t>Rayz UMM Hotel Malang</t>
        </is>
      </c>
      <c r="C269" s="6" t="n">
        <v>530617</v>
      </c>
      <c r="D269" s="6" t="n">
        <v>-7.9207036</v>
      </c>
      <c r="E269" s="6" t="n">
        <v>112.5937484</v>
      </c>
      <c r="F269" t="inlineStr">
        <is>
          <t>Murah</t>
        </is>
      </c>
    </row>
    <row r="270">
      <c r="A270" s="5" t="n">
        <v>317</v>
      </c>
      <c r="B270" s="6" t="inlineStr">
        <is>
          <t>Hotel Pelangi Malang, Kayutangan Heritage</t>
        </is>
      </c>
      <c r="C270" s="6" t="n">
        <v>379607</v>
      </c>
      <c r="D270" s="6" t="n">
        <v>-7.9836023</v>
      </c>
      <c r="E270" s="6" t="n">
        <v>112.6298098</v>
      </c>
      <c r="F270" t="inlineStr">
        <is>
          <t>Murah</t>
        </is>
      </c>
    </row>
    <row r="271">
      <c r="A271" s="5" t="n">
        <v>319</v>
      </c>
      <c r="B271" s="6" t="inlineStr">
        <is>
          <t>Hotel Tychi</t>
        </is>
      </c>
      <c r="C271" s="6" t="n">
        <v>516756</v>
      </c>
      <c r="D271" s="6" t="n">
        <v>-7.9729004</v>
      </c>
      <c r="E271" s="6" t="n">
        <v>112.6304453</v>
      </c>
      <c r="F271" t="inlineStr">
        <is>
          <t>Murah</t>
        </is>
      </c>
    </row>
    <row r="272">
      <c r="A272" s="5" t="n">
        <v>321</v>
      </c>
      <c r="B272" s="6" t="inlineStr">
        <is>
          <t>Hotel Radho Syariah malang</t>
        </is>
      </c>
      <c r="C272" s="6" t="n">
        <v>480546</v>
      </c>
      <c r="D272" s="6" t="n">
        <v>-7.91585</v>
      </c>
      <c r="E272" s="6" t="n">
        <v>112.5869394</v>
      </c>
      <c r="F272" t="inlineStr">
        <is>
          <t>Murah</t>
        </is>
      </c>
    </row>
    <row r="273">
      <c r="A273" s="5" t="n">
        <v>323</v>
      </c>
      <c r="B273" s="6" t="inlineStr">
        <is>
          <t>The Aliante Hotel &amp; Convention Center</t>
        </is>
      </c>
      <c r="C273" s="6" t="n">
        <v>573301</v>
      </c>
      <c r="D273" s="6" t="n">
        <v>-7.9815235</v>
      </c>
      <c r="E273" s="6" t="n">
        <v>112.6348243</v>
      </c>
      <c r="F273" t="inlineStr">
        <is>
          <t>Murah</t>
        </is>
      </c>
    </row>
    <row r="274">
      <c r="A274" s="5" t="n">
        <v>325</v>
      </c>
      <c r="B274" s="6" t="inlineStr">
        <is>
          <t>RedDoorz near Balai Kota Malang</t>
        </is>
      </c>
      <c r="C274" s="6" t="n">
        <v>200771</v>
      </c>
      <c r="D274" s="6" t="n">
        <v>-7.9776647</v>
      </c>
      <c r="E274" s="6" t="n">
        <v>112.6331623</v>
      </c>
      <c r="F274" t="inlineStr">
        <is>
          <t>Murah</t>
        </is>
      </c>
    </row>
    <row r="275">
      <c r="A275" s="5" t="n">
        <v>326</v>
      </c>
      <c r="B275" s="6" t="inlineStr">
        <is>
          <t>RedDoorz Syariah near Universitas Negeri Malang</t>
        </is>
      </c>
      <c r="C275" s="6" t="n">
        <v>461290</v>
      </c>
      <c r="D275" s="6" t="n">
        <v>-7.9644382</v>
      </c>
      <c r="E275" s="6" t="n">
        <v>112.6191322</v>
      </c>
      <c r="F275" t="inlineStr">
        <is>
          <t>Murah</t>
        </is>
      </c>
    </row>
    <row r="276">
      <c r="A276" s="5" t="n">
        <v>327</v>
      </c>
      <c r="B276" s="6" t="inlineStr">
        <is>
          <t>RedDoorz Premium @ Jalan Cengkeh Malang</t>
        </is>
      </c>
      <c r="C276" s="6" t="n">
        <v>415488</v>
      </c>
      <c r="D276" s="6" t="n">
        <v>-7.9461178</v>
      </c>
      <c r="E276" s="6" t="n">
        <v>112.621726</v>
      </c>
      <c r="F276" t="inlineStr">
        <is>
          <t>Murah</t>
        </is>
      </c>
    </row>
    <row r="277">
      <c r="A277" s="5" t="n">
        <v>328</v>
      </c>
      <c r="B277" s="6" t="inlineStr">
        <is>
          <t>RedDoorz Plus near Malang Town Square</t>
        </is>
      </c>
      <c r="C277" s="6" t="n">
        <v>260084</v>
      </c>
      <c r="D277" s="6" t="n">
        <v>-7.9543768</v>
      </c>
      <c r="E277" s="6" t="n">
        <v>112.6204369</v>
      </c>
      <c r="F277" t="inlineStr">
        <is>
          <t>Murah</t>
        </is>
      </c>
    </row>
    <row r="278">
      <c r="A278" s="5" t="n">
        <v>329</v>
      </c>
      <c r="B278" s="6" t="inlineStr">
        <is>
          <t>RedDoorz @ Daffi Araya</t>
        </is>
      </c>
      <c r="C278" s="6" t="n">
        <v>140927</v>
      </c>
      <c r="D278" s="6" t="n">
        <v>-7.9413188</v>
      </c>
      <c r="E278" s="6" t="n">
        <v>112.6571294</v>
      </c>
      <c r="F278" t="inlineStr">
        <is>
          <t>Murah</t>
        </is>
      </c>
    </row>
    <row r="279">
      <c r="A279" s="5" t="n">
        <v>330</v>
      </c>
      <c r="B279" s="6" t="inlineStr">
        <is>
          <t>RedDoorz near Araya Family Club House</t>
        </is>
      </c>
      <c r="C279" s="6" t="n">
        <v>187198</v>
      </c>
      <c r="D279" s="6" t="n">
        <v>-7.9413584</v>
      </c>
      <c r="E279" s="6" t="n">
        <v>112.6668099</v>
      </c>
      <c r="F279" t="inlineStr">
        <is>
          <t>Murah</t>
        </is>
      </c>
    </row>
    <row r="280">
      <c r="A280" s="5" t="n">
        <v>331</v>
      </c>
      <c r="B280" s="6" t="inlineStr">
        <is>
          <t>RedDoorz Plus @ Swun Stay Raya Langsep</t>
        </is>
      </c>
      <c r="C280" s="6" t="n">
        <v>440989</v>
      </c>
      <c r="D280" s="6" t="n">
        <v>-7.9816774</v>
      </c>
      <c r="E280" s="6" t="n">
        <v>112.6144323</v>
      </c>
      <c r="F280" t="inlineStr">
        <is>
          <t>Murah</t>
        </is>
      </c>
    </row>
    <row r="281">
      <c r="A281" s="5" t="n">
        <v>332</v>
      </c>
      <c r="B281" s="6" t="inlineStr">
        <is>
          <t>RedDoorz @ Jalan Danau Limboto</t>
        </is>
      </c>
      <c r="C281" s="6" t="n">
        <v>345088</v>
      </c>
      <c r="D281" s="6" t="n">
        <v>-7.9698047</v>
      </c>
      <c r="E281" s="6" t="n">
        <v>112.6617484</v>
      </c>
      <c r="F281" t="inlineStr">
        <is>
          <t>Murah</t>
        </is>
      </c>
    </row>
    <row r="282">
      <c r="A282" s="5" t="n">
        <v>333</v>
      </c>
      <c r="B282" s="6" t="inlineStr">
        <is>
          <t>RedDoorz @ Soekarno Hatta Indah</t>
        </is>
      </c>
      <c r="C282" s="6" t="n">
        <v>343499</v>
      </c>
      <c r="D282" s="6" t="n">
        <v>-7.9393799</v>
      </c>
      <c r="E282" s="6" t="n">
        <v>112.6296212</v>
      </c>
      <c r="F282" t="inlineStr">
        <is>
          <t>Murah</t>
        </is>
      </c>
    </row>
    <row r="283">
      <c r="A283" s="5" t="n">
        <v>334</v>
      </c>
      <c r="B283" s="6" t="inlineStr">
        <is>
          <t>RedDoorz Plus near Brawijaya Museum</t>
        </is>
      </c>
      <c r="C283" s="6" t="n">
        <v>415604</v>
      </c>
      <c r="D283" s="6" t="n">
        <v>-7.9728937</v>
      </c>
      <c r="E283" s="6" t="n">
        <v>112.6179994</v>
      </c>
      <c r="F283" t="inlineStr">
        <is>
          <t>Murah</t>
        </is>
      </c>
    </row>
    <row r="284">
      <c r="A284" s="5" t="n">
        <v>335</v>
      </c>
      <c r="B284" s="6" t="inlineStr">
        <is>
          <t>RedDoorz Hostel @ Malang City Center 2</t>
        </is>
      </c>
      <c r="C284" s="6" t="n">
        <v>91032</v>
      </c>
      <c r="D284" s="6" t="n">
        <v>-7.9666938</v>
      </c>
      <c r="E284" s="6" t="n">
        <v>112.6338921</v>
      </c>
      <c r="F284" t="inlineStr">
        <is>
          <t>Murah</t>
        </is>
      </c>
    </row>
    <row r="285">
      <c r="A285" s="5" t="n">
        <v>336</v>
      </c>
      <c r="B285" s="6" t="inlineStr">
        <is>
          <t>RedDoorz @ Lowokwaru</t>
        </is>
      </c>
      <c r="C285" s="6" t="n">
        <v>138588</v>
      </c>
      <c r="D285" s="6" t="n">
        <v>-7.9610014</v>
      </c>
      <c r="E285" s="6" t="n">
        <v>112.6342137</v>
      </c>
      <c r="F285" t="inlineStr">
        <is>
          <t>Murah</t>
        </is>
      </c>
    </row>
    <row r="286">
      <c r="A286" s="5" t="n">
        <v>337</v>
      </c>
      <c r="B286" s="6" t="inlineStr">
        <is>
          <t>RedDoorz near Batik Tulis Celaket 2</t>
        </is>
      </c>
      <c r="C286" s="6" t="n">
        <v>51823</v>
      </c>
      <c r="D286" s="6" t="n">
        <v>-7.9643493</v>
      </c>
      <c r="E286" s="6" t="n">
        <v>112.6301868</v>
      </c>
      <c r="F286" t="inlineStr">
        <is>
          <t>Murah</t>
        </is>
      </c>
    </row>
    <row r="287">
      <c r="A287" s="5" t="n">
        <v>338</v>
      </c>
      <c r="B287" s="6" t="inlineStr">
        <is>
          <t>RedDoorz Syariah @ Klojen Malang</t>
        </is>
      </c>
      <c r="C287" s="6" t="n">
        <v>173565</v>
      </c>
      <c r="D287" s="6" t="n">
        <v>-7.9898665</v>
      </c>
      <c r="E287" s="6" t="n">
        <v>112.6272314</v>
      </c>
      <c r="F287" t="inlineStr">
        <is>
          <t>Murah</t>
        </is>
      </c>
    </row>
    <row r="288">
      <c r="A288" s="5" t="n">
        <v>339</v>
      </c>
      <c r="B288" s="6" t="inlineStr">
        <is>
          <t>RedDoorz near Jawa Timur Park 3</t>
        </is>
      </c>
      <c r="C288" s="6" t="n">
        <v>402423</v>
      </c>
      <c r="D288" s="6" t="n">
        <v>-7.904144</v>
      </c>
      <c r="E288" s="6" t="n">
        <v>112.5657147</v>
      </c>
      <c r="F288" t="inlineStr">
        <is>
          <t>Murah</t>
        </is>
      </c>
    </row>
    <row r="289">
      <c r="A289" s="5" t="n">
        <v>340</v>
      </c>
      <c r="B289" s="6" t="inlineStr">
        <is>
          <t>RedDoorz Plus @ Kalpataru</t>
        </is>
      </c>
      <c r="C289" s="6" t="n">
        <v>517523</v>
      </c>
      <c r="D289" s="6" t="n">
        <v>-7.9511644</v>
      </c>
      <c r="E289" s="6" t="n">
        <v>112.6331157</v>
      </c>
      <c r="F289" t="inlineStr">
        <is>
          <t>Murah</t>
        </is>
      </c>
    </row>
    <row r="290">
      <c r="A290" s="5" t="n">
        <v>341</v>
      </c>
      <c r="B290" s="6" t="inlineStr">
        <is>
          <t>RedDoorz Near Stasiun Lawang</t>
        </is>
      </c>
      <c r="C290" s="6" t="n">
        <v>528068</v>
      </c>
      <c r="D290" s="6" t="n">
        <v>-7.8301765</v>
      </c>
      <c r="E290" s="6" t="n">
        <v>112.6920854</v>
      </c>
      <c r="F290" t="inlineStr">
        <is>
          <t>Murah</t>
        </is>
      </c>
    </row>
    <row r="291">
      <c r="A291" s="5" t="n">
        <v>342</v>
      </c>
      <c r="B291" s="6" t="inlineStr">
        <is>
          <t>RedDoorz @ Blimbing Malang</t>
        </is>
      </c>
      <c r="C291" s="6" t="n">
        <v>123382</v>
      </c>
      <c r="D291" s="6" t="n">
        <v>-7.9424881</v>
      </c>
      <c r="E291" s="6" t="n">
        <v>112.6387228</v>
      </c>
      <c r="F291" t="inlineStr">
        <is>
          <t>Murah</t>
        </is>
      </c>
    </row>
    <row r="292">
      <c r="A292" s="5" t="n">
        <v>343</v>
      </c>
      <c r="B292" s="6" t="inlineStr">
        <is>
          <t>RedDoorz Plus @ Idjen Boulevard Malang</t>
        </is>
      </c>
      <c r="C292" s="6" t="n">
        <v>101275</v>
      </c>
      <c r="D292" s="6" t="n">
        <v>-7.9695437</v>
      </c>
      <c r="E292" s="6" t="n">
        <v>112.6241626</v>
      </c>
      <c r="F292" t="inlineStr">
        <is>
          <t>Murah</t>
        </is>
      </c>
    </row>
    <row r="293">
      <c r="A293" s="5" t="n">
        <v>344</v>
      </c>
      <c r="B293" s="6" t="inlineStr">
        <is>
          <t>RedDoorz near Brawijaya University</t>
        </is>
      </c>
      <c r="C293" s="6" t="n">
        <v>415604</v>
      </c>
      <c r="D293" s="6" t="n">
        <v>-7.9542533</v>
      </c>
      <c r="E293" s="6" t="n">
        <v>112.6199554</v>
      </c>
      <c r="F293" t="inlineStr">
        <is>
          <t>Murah</t>
        </is>
      </c>
    </row>
    <row r="294">
      <c r="A294" s="5" t="n">
        <v>345</v>
      </c>
      <c r="B294" s="6" t="inlineStr">
        <is>
          <t>RedDoorz Syariah @ Danau Kerinci Sawojajar</t>
        </is>
      </c>
      <c r="C294" s="6" t="n">
        <v>473363</v>
      </c>
      <c r="D294" s="6" t="n">
        <v>-7.9714902</v>
      </c>
      <c r="E294" s="6" t="n">
        <v>112.6641251</v>
      </c>
      <c r="F294" t="inlineStr">
        <is>
          <t>Murah</t>
        </is>
      </c>
    </row>
    <row r="295">
      <c r="A295" s="5" t="n">
        <v>346</v>
      </c>
      <c r="B295" s="6" t="inlineStr">
        <is>
          <t>RedDoorz Hostel @ Borobudur Street</t>
        </is>
      </c>
      <c r="C295" s="6" t="n">
        <v>486333</v>
      </c>
      <c r="D295" s="6" t="n">
        <v>-7.9390946</v>
      </c>
      <c r="E295" s="6" t="n">
        <v>112.6333189</v>
      </c>
      <c r="F295" t="inlineStr">
        <is>
          <t>Murah</t>
        </is>
      </c>
    </row>
    <row r="296">
      <c r="A296" s="5" t="n">
        <v>347</v>
      </c>
      <c r="B296" s="6" t="inlineStr">
        <is>
          <t>RedDoorz near Wisata Paribendo Lawang</t>
        </is>
      </c>
      <c r="C296" s="6" t="n">
        <v>459020</v>
      </c>
      <c r="D296" s="6" t="n">
        <v>-7.8359722</v>
      </c>
      <c r="E296" s="6" t="n">
        <v>112.6848278</v>
      </c>
      <c r="F296" t="inlineStr">
        <is>
          <t>Murah</t>
        </is>
      </c>
    </row>
    <row r="297">
      <c r="A297" s="5" t="n">
        <v>348</v>
      </c>
      <c r="B297" s="6" t="inlineStr">
        <is>
          <t>RedDoorz Syariah @ Jl. Cengger Ayam Dalam</t>
        </is>
      </c>
      <c r="C297" s="6" t="n">
        <v>480622</v>
      </c>
      <c r="D297" s="6" t="n">
        <v>-7.9464165</v>
      </c>
      <c r="E297" s="6" t="n">
        <v>112.629455</v>
      </c>
      <c r="F297" t="inlineStr">
        <is>
          <t>Murah</t>
        </is>
      </c>
    </row>
    <row r="298">
      <c r="A298" s="5" t="n">
        <v>349</v>
      </c>
      <c r="B298" s="6" t="inlineStr">
        <is>
          <t>Griya Gribig Guest House Mitra RedDoorz</t>
        </is>
      </c>
      <c r="C298" s="6" t="n">
        <v>347218</v>
      </c>
      <c r="D298" s="6" t="n">
        <v>-7.9803516</v>
      </c>
      <c r="E298" s="6" t="n">
        <v>112.6651629</v>
      </c>
      <c r="F298" t="inlineStr">
        <is>
          <t>Murah</t>
        </is>
      </c>
    </row>
    <row r="299">
      <c r="A299" s="5" t="n">
        <v>350</v>
      </c>
      <c r="B299" s="6" t="inlineStr">
        <is>
          <t>RedDoorz @ Bukit Dieng 2</t>
        </is>
      </c>
      <c r="C299" s="6" t="n">
        <v>458472</v>
      </c>
      <c r="D299" s="6" t="n">
        <v>-7.9713225</v>
      </c>
      <c r="E299" s="6" t="n">
        <v>112.5982818</v>
      </c>
      <c r="F299" t="inlineStr">
        <is>
          <t>Murah</t>
        </is>
      </c>
    </row>
    <row r="300">
      <c r="A300" s="5" t="n">
        <v>351</v>
      </c>
      <c r="B300" s="6" t="inlineStr">
        <is>
          <t>RedDoorz near Stasiun Malang Kota Lama 2</t>
        </is>
      </c>
      <c r="C300" s="6" t="n">
        <v>51823</v>
      </c>
      <c r="D300" s="6" t="n">
        <v>-7.9931945</v>
      </c>
      <c r="E300" s="6" t="n">
        <v>112.6314374</v>
      </c>
      <c r="F300" t="inlineStr">
        <is>
          <t>Murah</t>
        </is>
      </c>
    </row>
    <row r="301">
      <c r="A301" s="5" t="n">
        <v>352</v>
      </c>
      <c r="B301" s="6" t="inlineStr">
        <is>
          <t>RedDoorz Plus near Malang Airport</t>
        </is>
      </c>
      <c r="C301" s="6" t="n">
        <v>494266</v>
      </c>
      <c r="D301" s="6" t="n">
        <v>-7.9628788</v>
      </c>
      <c r="E301" s="6" t="n">
        <v>112.6821606</v>
      </c>
      <c r="F301" t="inlineStr">
        <is>
          <t>Murah</t>
        </is>
      </c>
    </row>
    <row r="302">
      <c r="A302" s="5" t="n">
        <v>353</v>
      </c>
      <c r="B302" s="6" t="inlineStr">
        <is>
          <t>Urbanview Hotel Griya Surya Malang by RedDoorz</t>
        </is>
      </c>
      <c r="C302" s="6" t="n">
        <v>387711</v>
      </c>
      <c r="D302" s="6" t="n">
        <v>-7.9700292</v>
      </c>
      <c r="E302" s="6" t="n">
        <v>112.6276169</v>
      </c>
      <c r="F302" t="inlineStr">
        <is>
          <t>Murah</t>
        </is>
      </c>
    </row>
    <row r="303">
      <c r="A303" s="5" t="n">
        <v>354</v>
      </c>
      <c r="B303" s="6" t="inlineStr">
        <is>
          <t>Reddoorz Syariah @ Jl. Candi Kalasan</t>
        </is>
      </c>
      <c r="C303" s="6" t="n">
        <v>446316</v>
      </c>
      <c r="D303" s="6" t="n">
        <v>-7.9434769</v>
      </c>
      <c r="E303" s="6" t="n">
        <v>112.6393035</v>
      </c>
      <c r="F303" t="inlineStr">
        <is>
          <t>Murah</t>
        </is>
      </c>
    </row>
    <row r="304">
      <c r="A304" s="5" t="n">
        <v>355</v>
      </c>
      <c r="B304" s="6" t="inlineStr">
        <is>
          <t>RedDoorz near Universitas PGRI Kanjuruhan</t>
        </is>
      </c>
      <c r="C304" s="6" t="n">
        <v>36239</v>
      </c>
      <c r="D304" s="6" t="n">
        <v>-8.0042951</v>
      </c>
      <c r="E304" s="6" t="n">
        <v>112.6138408</v>
      </c>
      <c r="F304" t="inlineStr">
        <is>
          <t>Murah</t>
        </is>
      </c>
    </row>
    <row r="305">
      <c r="A305" s="5" t="n">
        <v>356</v>
      </c>
      <c r="B305" s="6" t="inlineStr">
        <is>
          <t>RedDoorz @ Dinoyo</t>
        </is>
      </c>
      <c r="C305" s="6" t="n">
        <v>51823</v>
      </c>
      <c r="D305" s="6" t="n">
        <v>-7.9452503</v>
      </c>
      <c r="E305" s="6" t="n">
        <v>112.60967</v>
      </c>
      <c r="F305" t="inlineStr">
        <is>
          <t>Murah</t>
        </is>
      </c>
    </row>
    <row r="306">
      <c r="A306" s="5" t="n">
        <v>357</v>
      </c>
      <c r="B306" s="6" t="inlineStr">
        <is>
          <t>Reddoorz @ Homestay Gayatri</t>
        </is>
      </c>
      <c r="C306" s="6" t="n">
        <v>476914</v>
      </c>
      <c r="D306" s="6" t="n">
        <v>-8.005437499999999</v>
      </c>
      <c r="E306" s="6" t="n">
        <v>112.6208125</v>
      </c>
      <c r="F306" t="inlineStr">
        <is>
          <t>Murah</t>
        </is>
      </c>
    </row>
    <row r="307">
      <c r="A307" s="5" t="n">
        <v>358</v>
      </c>
      <c r="B307" s="6" t="inlineStr">
        <is>
          <t>RedDoorz at CBR Residence</t>
        </is>
      </c>
      <c r="C307" s="6" t="n">
        <v>123382</v>
      </c>
      <c r="D307" s="6" t="n">
        <v>-7.944632</v>
      </c>
      <c r="E307" s="6" t="n">
        <v>112.639119</v>
      </c>
      <c r="F307" t="inlineStr">
        <is>
          <t>Murah</t>
        </is>
      </c>
    </row>
    <row r="308">
      <c r="A308" s="5" t="n">
        <v>359</v>
      </c>
      <c r="B308" s="6" t="inlineStr">
        <is>
          <t>RedDoorz @ Soekarno Hatta 2</t>
        </is>
      </c>
      <c r="C308" s="6" t="n">
        <v>542125</v>
      </c>
      <c r="D308" s="6" t="n">
        <v>-7.9429058</v>
      </c>
      <c r="E308" s="6" t="n">
        <v>112.6172622</v>
      </c>
      <c r="F308" t="inlineStr">
        <is>
          <t>Murah</t>
        </is>
      </c>
    </row>
    <row r="309">
      <c r="A309" s="5" t="n">
        <v>360</v>
      </c>
      <c r="B309" s="6" t="inlineStr">
        <is>
          <t>Hotel Bintang</t>
        </is>
      </c>
      <c r="C309" s="6" t="n">
        <v>412890</v>
      </c>
      <c r="D309" s="6" t="n">
        <v>-7.9690786</v>
      </c>
      <c r="E309" s="6" t="n">
        <v>112.642657</v>
      </c>
      <c r="F309" t="inlineStr">
        <is>
          <t>Murah</t>
        </is>
      </c>
    </row>
    <row r="310">
      <c r="A310" s="5" t="n">
        <v>361</v>
      </c>
      <c r="B310" s="6" t="inlineStr">
        <is>
          <t>Amaris Hotel Malang</t>
        </is>
      </c>
      <c r="C310" s="6" t="n">
        <v>418919</v>
      </c>
      <c r="D310" s="6" t="n">
        <v>-7.960701</v>
      </c>
      <c r="E310" s="6" t="n">
        <v>112.63646</v>
      </c>
      <c r="F310" t="inlineStr">
        <is>
          <t>Murah</t>
        </is>
      </c>
    </row>
    <row r="311">
      <c r="A311" s="5" t="n">
        <v>362</v>
      </c>
      <c r="B311" s="6" t="inlineStr">
        <is>
          <t>Urbanview Hotel FiFFa Kauman Malang</t>
        </is>
      </c>
      <c r="C311" s="6" t="n">
        <v>492546</v>
      </c>
      <c r="D311" s="6" t="n">
        <v>-7.983278</v>
      </c>
      <c r="E311" s="6" t="n">
        <v>112.6290058</v>
      </c>
      <c r="F311" t="inlineStr">
        <is>
          <t>Murah</t>
        </is>
      </c>
    </row>
    <row r="312">
      <c r="A312" s="5" t="n">
        <v>363</v>
      </c>
      <c r="B312" s="6" t="inlineStr">
        <is>
          <t>My Dormy Hostel UMM</t>
        </is>
      </c>
      <c r="C312" s="6" t="n">
        <v>507806</v>
      </c>
      <c r="D312" s="6" t="n">
        <v>-7.9233879</v>
      </c>
      <c r="E312" s="6" t="n">
        <v>112.6015877</v>
      </c>
      <c r="F312" t="inlineStr">
        <is>
          <t>Murah</t>
        </is>
      </c>
    </row>
    <row r="313">
      <c r="A313" s="5" t="n">
        <v>42</v>
      </c>
      <c r="B313" s="6" t="inlineStr">
        <is>
          <t>OYO Life 91931 Permata Brantas Syariah Homestay</t>
        </is>
      </c>
      <c r="C313" s="6" t="n">
        <v>590409</v>
      </c>
      <c r="D313" s="6" t="n">
        <v>-7.9326945</v>
      </c>
      <c r="E313" s="6" t="n">
        <v>112.6113372</v>
      </c>
      <c r="F313" t="inlineStr">
        <is>
          <t>Sedang</t>
        </is>
      </c>
    </row>
    <row r="314">
      <c r="A314" s="5" t="n">
        <v>49</v>
      </c>
      <c r="B314" s="6" t="inlineStr">
        <is>
          <t>Orange house Villa</t>
        </is>
      </c>
      <c r="C314" s="6" t="n">
        <v>780000</v>
      </c>
      <c r="D314" s="6" t="n">
        <v>-7.9332228</v>
      </c>
      <c r="E314" s="6" t="n">
        <v>112.5732727</v>
      </c>
      <c r="F314" t="inlineStr">
        <is>
          <t>Sedang</t>
        </is>
      </c>
    </row>
    <row r="315">
      <c r="A315" s="5" t="n">
        <v>51</v>
      </c>
      <c r="B315" s="6" t="inlineStr">
        <is>
          <t>Villa Nayyara</t>
        </is>
      </c>
      <c r="C315" s="6" t="n">
        <v>819001</v>
      </c>
      <c r="D315" s="6" t="n">
        <v>-7.9394898</v>
      </c>
      <c r="E315" s="6" t="n">
        <v>112.5730972</v>
      </c>
      <c r="F315" t="inlineStr">
        <is>
          <t>Sedang</t>
        </is>
      </c>
    </row>
    <row r="316">
      <c r="A316" s="5" t="n">
        <v>53</v>
      </c>
      <c r="B316" s="6" t="inlineStr">
        <is>
          <t>Villa The Oz HE-05</t>
        </is>
      </c>
      <c r="C316" s="6" t="n">
        <v>637000</v>
      </c>
      <c r="D316" s="6" t="n">
        <v>-7.9516358</v>
      </c>
      <c r="E316" s="6" t="n">
        <v>112.5762482</v>
      </c>
      <c r="F316" t="inlineStr">
        <is>
          <t>Sedang</t>
        </is>
      </c>
    </row>
    <row r="317">
      <c r="A317" s="5" t="n">
        <v>54</v>
      </c>
      <c r="B317" s="6" t="inlineStr">
        <is>
          <t>Huis Van Gustafine Floor 1</t>
        </is>
      </c>
      <c r="C317" s="6" t="n">
        <v>1652145</v>
      </c>
      <c r="D317" s="6" t="n">
        <v>-7.969512</v>
      </c>
      <c r="E317" s="6" t="n">
        <v>112.6310196</v>
      </c>
      <c r="F317" t="inlineStr">
        <is>
          <t>Sedang</t>
        </is>
      </c>
    </row>
    <row r="318">
      <c r="A318" s="5" t="n">
        <v>56</v>
      </c>
      <c r="B318" s="6" t="inlineStr">
        <is>
          <t>Vila Shopie WonderHouz</t>
        </is>
      </c>
      <c r="C318" s="6" t="n">
        <v>1352287</v>
      </c>
      <c r="D318" s="6" t="n">
        <v>-7.9252272</v>
      </c>
      <c r="E318" s="6" t="n">
        <v>112.6468506</v>
      </c>
      <c r="F318" t="inlineStr">
        <is>
          <t>Sedang</t>
        </is>
      </c>
    </row>
    <row r="319">
      <c r="A319" s="5" t="n">
        <v>58</v>
      </c>
      <c r="B319" s="6" t="inlineStr">
        <is>
          <t>Villa Griya Samara  Kolam Renang Pribadi</t>
        </is>
      </c>
      <c r="C319" s="6" t="n">
        <v>866503</v>
      </c>
      <c r="D319" s="6" t="n">
        <v>-7.9075298</v>
      </c>
      <c r="E319" s="6" t="n">
        <v>112.6331787</v>
      </c>
      <c r="F319" t="inlineStr">
        <is>
          <t>Sedang</t>
        </is>
      </c>
    </row>
    <row r="320">
      <c r="A320" s="5" t="n">
        <v>63</v>
      </c>
      <c r="B320" s="6" t="inlineStr">
        <is>
          <t>Villa Lisha Orolas</t>
        </is>
      </c>
      <c r="C320" s="6" t="n">
        <v>1767273</v>
      </c>
      <c r="D320" s="6" t="n">
        <v>-7.9228702</v>
      </c>
      <c r="E320" s="6" t="n">
        <v>112.6252136</v>
      </c>
      <c r="F320" t="inlineStr">
        <is>
          <t>Sedang</t>
        </is>
      </c>
    </row>
    <row r="321">
      <c r="A321" s="5" t="n">
        <v>69</v>
      </c>
      <c r="B321" s="6" t="inlineStr">
        <is>
          <t>Derumah 35 Univ Brawijaya</t>
        </is>
      </c>
      <c r="C321" s="6" t="n">
        <v>1000000</v>
      </c>
      <c r="D321" s="6" t="n">
        <v>-7.9564342</v>
      </c>
      <c r="E321" s="6" t="n">
        <v>112.6206665</v>
      </c>
      <c r="F321" t="inlineStr">
        <is>
          <t>Sedang</t>
        </is>
      </c>
    </row>
    <row r="322">
      <c r="A322" s="5" t="n">
        <v>70</v>
      </c>
      <c r="B322" s="6" t="inlineStr">
        <is>
          <t>Entire 250m villa without other guests</t>
        </is>
      </c>
      <c r="C322" s="6" t="n">
        <v>941851</v>
      </c>
      <c r="D322" s="6" t="n">
        <v>-7.96665</v>
      </c>
      <c r="E322" s="6" t="n">
        <v>112.6060104</v>
      </c>
      <c r="F322" t="inlineStr">
        <is>
          <t>Sedang</t>
        </is>
      </c>
    </row>
    <row r="323">
      <c r="A323" s="5" t="n">
        <v>71</v>
      </c>
      <c r="B323" s="6" t="inlineStr">
        <is>
          <t>Villa Sunrise F1</t>
        </is>
      </c>
      <c r="C323" s="6" t="n">
        <v>1000000</v>
      </c>
      <c r="D323" s="6" t="n">
        <v>-7.9253001</v>
      </c>
      <c r="E323" s="6" t="n">
        <v>112.5630112</v>
      </c>
      <c r="F323" t="inlineStr">
        <is>
          <t>Sedang</t>
        </is>
      </c>
    </row>
    <row r="324">
      <c r="A324" s="5" t="n">
        <v>75</v>
      </c>
      <c r="B324" s="6" t="inlineStr">
        <is>
          <t>Villa Murah di Malang</t>
        </is>
      </c>
      <c r="C324" s="6" t="n">
        <v>941851</v>
      </c>
      <c r="D324" s="6" t="n">
        <v>-7.9139733</v>
      </c>
      <c r="E324" s="6" t="n">
        <v>112.61129</v>
      </c>
      <c r="F324" t="inlineStr">
        <is>
          <t>Sedang</t>
        </is>
      </c>
    </row>
    <row r="325">
      <c r="A325" s="5" t="n">
        <v>76</v>
      </c>
      <c r="B325" s="6" t="inlineStr">
        <is>
          <t>Fendis Homestay</t>
        </is>
      </c>
      <c r="C325" s="6" t="n">
        <v>1000000</v>
      </c>
      <c r="D325" s="6" t="n">
        <v>-7.974824</v>
      </c>
      <c r="E325" s="6" t="n">
        <v>112.61866</v>
      </c>
      <c r="F325" t="inlineStr">
        <is>
          <t>Sedang</t>
        </is>
      </c>
    </row>
    <row r="326">
      <c r="A326" s="5" t="n">
        <v>80</v>
      </c>
      <c r="B326" s="6" t="inlineStr">
        <is>
          <t>Cerita PAGI Villa</t>
        </is>
      </c>
      <c r="C326" s="6" t="n">
        <v>1559115</v>
      </c>
      <c r="D326" s="6" t="n">
        <v>-8.0238304</v>
      </c>
      <c r="E326" s="6" t="n">
        <v>112.6143951</v>
      </c>
      <c r="F326" t="inlineStr">
        <is>
          <t>Sedang</t>
        </is>
      </c>
    </row>
    <row r="327">
      <c r="A327" s="5" t="n">
        <v>86</v>
      </c>
      <c r="B327" s="6" t="inlineStr">
        <is>
          <t>Villa Tidar Van Java, Private PooL, Sejuk &amp; Nyaman</t>
        </is>
      </c>
      <c r="C327" s="6" t="n">
        <v>941851</v>
      </c>
      <c r="D327" s="6" t="n">
        <v>-7.9489779</v>
      </c>
      <c r="E327" s="6" t="n">
        <v>112.5933685</v>
      </c>
      <c r="F327" t="inlineStr">
        <is>
          <t>Sedang</t>
        </is>
      </c>
    </row>
    <row r="328">
      <c r="A328" s="5" t="n">
        <v>88</v>
      </c>
      <c r="B328" s="6" t="inlineStr">
        <is>
          <t>Kusuma Pinus M12 by Kusuma Estate</t>
        </is>
      </c>
      <c r="C328" s="6" t="n">
        <v>1123967</v>
      </c>
      <c r="D328" s="6" t="n">
        <v>-7.97855</v>
      </c>
      <c r="E328" s="6" t="n">
        <v>112.6282272</v>
      </c>
      <c r="F328" t="inlineStr">
        <is>
          <t>Sedang</t>
        </is>
      </c>
    </row>
    <row r="329">
      <c r="A329" s="5" t="n">
        <v>90</v>
      </c>
      <c r="B329" s="6" t="inlineStr">
        <is>
          <t>Adyvan Villa</t>
        </is>
      </c>
      <c r="C329" s="6" t="n">
        <v>1059300</v>
      </c>
      <c r="D329" s="6" t="n">
        <v>-7.9241328</v>
      </c>
      <c r="E329" s="6" t="n">
        <v>112.6039429</v>
      </c>
      <c r="F329" t="inlineStr">
        <is>
          <t>Sedang</t>
        </is>
      </c>
    </row>
    <row r="330">
      <c r="A330" s="5" t="n">
        <v>93</v>
      </c>
      <c r="B330" s="6" t="inlineStr">
        <is>
          <t>Villa Dengan Kolam Renang di Malang</t>
        </is>
      </c>
      <c r="C330" s="6" t="n">
        <v>941851</v>
      </c>
      <c r="D330" s="6" t="n">
        <v>-7.9236002</v>
      </c>
      <c r="E330" s="6" t="n">
        <v>112.6027985</v>
      </c>
      <c r="F330" t="inlineStr">
        <is>
          <t>Sedang</t>
        </is>
      </c>
    </row>
    <row r="331">
      <c r="A331" s="5" t="n">
        <v>94</v>
      </c>
      <c r="B331" s="6" t="inlineStr">
        <is>
          <t>Villa Coco4 Malang</t>
        </is>
      </c>
      <c r="C331" s="6" t="n">
        <v>791022</v>
      </c>
      <c r="D331" s="6" t="n">
        <v>-7.9757876</v>
      </c>
      <c r="E331" s="6" t="n">
        <v>112.6152802</v>
      </c>
      <c r="F331" t="inlineStr">
        <is>
          <t>Sedang</t>
        </is>
      </c>
    </row>
    <row r="332">
      <c r="A332" s="5" t="n">
        <v>96</v>
      </c>
      <c r="B332" s="6" t="inlineStr">
        <is>
          <t>Samanea Villa</t>
        </is>
      </c>
      <c r="C332" s="6" t="n">
        <v>1363676</v>
      </c>
      <c r="D332" s="6" t="n">
        <v>-7.925693</v>
      </c>
      <c r="E332" s="6" t="n">
        <v>112.6468735</v>
      </c>
      <c r="F332" t="inlineStr">
        <is>
          <t>Sedang</t>
        </is>
      </c>
    </row>
    <row r="333">
      <c r="A333" s="5" t="n">
        <v>99</v>
      </c>
      <c r="B333" s="6" t="inlineStr">
        <is>
          <t>MP Villa Permata Kencana 24A</t>
        </is>
      </c>
      <c r="C333" s="6" t="n">
        <v>1500000</v>
      </c>
      <c r="D333" s="6" t="n">
        <v>-7.9245701</v>
      </c>
      <c r="E333" s="6" t="n">
        <v>112.6037827</v>
      </c>
      <c r="F333" t="inlineStr">
        <is>
          <t>Sedang</t>
        </is>
      </c>
    </row>
    <row r="334">
      <c r="A334" s="5" t="n">
        <v>101</v>
      </c>
      <c r="B334" s="6" t="inlineStr">
        <is>
          <t>Rumah Fia (Villa kota Malang)</t>
        </is>
      </c>
      <c r="C334" s="6" t="n">
        <v>960000</v>
      </c>
      <c r="D334" s="6" t="n">
        <v>-7.9149499</v>
      </c>
      <c r="E334" s="6" t="n">
        <v>112.6080627</v>
      </c>
      <c r="F334" t="inlineStr">
        <is>
          <t>Sedang</t>
        </is>
      </c>
    </row>
    <row r="335">
      <c r="A335" s="5" t="n">
        <v>108</v>
      </c>
      <c r="B335" s="6" t="inlineStr">
        <is>
          <t>Villa Griya Samara &amp; Kolam Renang Pribadi</t>
        </is>
      </c>
      <c r="C335" s="6" t="n">
        <v>866503</v>
      </c>
      <c r="D335" s="6" t="n">
        <v>-7.9074845</v>
      </c>
      <c r="E335" s="6" t="n">
        <v>112.6331024</v>
      </c>
      <c r="F335" t="inlineStr">
        <is>
          <t>Sedang</t>
        </is>
      </c>
    </row>
    <row r="336">
      <c r="A336" s="5" t="n">
        <v>119</v>
      </c>
      <c r="B336" s="6" t="inlineStr">
        <is>
          <t>Homestay Villa Estetik di Malang</t>
        </is>
      </c>
      <c r="C336" s="6" t="n">
        <v>803604</v>
      </c>
      <c r="D336" s="6" t="n">
        <v>-7.91401</v>
      </c>
      <c r="E336" s="6" t="n">
        <v>112.6118317</v>
      </c>
      <c r="F336" t="inlineStr">
        <is>
          <t>Sedang</t>
        </is>
      </c>
    </row>
    <row r="337">
      <c r="A337" s="5" t="n">
        <v>122</v>
      </c>
      <c r="B337" s="6" t="inlineStr">
        <is>
          <t>Villa Murah Malang</t>
        </is>
      </c>
      <c r="C337" s="6" t="n">
        <v>941851</v>
      </c>
      <c r="D337" s="6" t="n">
        <v>-7.9138975</v>
      </c>
      <c r="E337" s="6" t="n">
        <v>112.6116867</v>
      </c>
      <c r="F337" t="inlineStr">
        <is>
          <t>Sedang</t>
        </is>
      </c>
    </row>
    <row r="338">
      <c r="A338" s="5" t="n">
        <v>123</v>
      </c>
      <c r="B338" s="6" t="inlineStr">
        <is>
          <t>Lavah Guest House</t>
        </is>
      </c>
      <c r="C338" s="6" t="n">
        <v>1000000</v>
      </c>
      <c r="D338" s="6" t="n">
        <v>-7.9610872</v>
      </c>
      <c r="E338" s="6" t="n">
        <v>112.6638031</v>
      </c>
      <c r="F338" t="inlineStr">
        <is>
          <t>Sedang</t>
        </is>
      </c>
    </row>
    <row r="339">
      <c r="A339" s="5" t="n">
        <v>130</v>
      </c>
      <c r="B339" s="6" t="inlineStr">
        <is>
          <t>omah venus homestay</t>
        </is>
      </c>
      <c r="C339" s="6" t="n">
        <v>726230</v>
      </c>
      <c r="D339" s="6" t="n">
        <v>-7.9330101</v>
      </c>
      <c r="E339" s="6" t="n">
        <v>112.6053314</v>
      </c>
      <c r="F339" t="inlineStr">
        <is>
          <t>Sedang</t>
        </is>
      </c>
    </row>
    <row r="340">
      <c r="A340" s="5" t="n">
        <v>134</v>
      </c>
      <c r="B340" s="6" t="inlineStr">
        <is>
          <t>Kapal Garden Hotel</t>
        </is>
      </c>
      <c r="C340" s="6" t="n">
        <v>581554</v>
      </c>
      <c r="D340" s="6" t="n">
        <v>-7.91512</v>
      </c>
      <c r="E340" s="6" t="n">
        <v>112.587018</v>
      </c>
      <c r="F340" t="inlineStr">
        <is>
          <t>Sedang</t>
        </is>
      </c>
    </row>
    <row r="341">
      <c r="A341" s="5" t="n">
        <v>135</v>
      </c>
      <c r="B341" s="6" t="inlineStr">
        <is>
          <t>Ascent Hotel &amp; Cafe Malang</t>
        </is>
      </c>
      <c r="C341" s="6" t="n">
        <v>621488</v>
      </c>
      <c r="D341" s="6" t="n">
        <v>-7.9657854</v>
      </c>
      <c r="E341" s="6" t="n">
        <v>112.6338064</v>
      </c>
      <c r="F341" t="inlineStr">
        <is>
          <t>Sedang</t>
        </is>
      </c>
    </row>
    <row r="342">
      <c r="A342" s="5" t="n">
        <v>138</v>
      </c>
      <c r="B342" s="6" t="inlineStr">
        <is>
          <t>Swiss-Belinn Malang</t>
        </is>
      </c>
      <c r="C342" s="6" t="n">
        <v>930134</v>
      </c>
      <c r="D342" s="6" t="n">
        <v>-7.9554679</v>
      </c>
      <c r="E342" s="6" t="n">
        <v>112.6187277</v>
      </c>
      <c r="F342" t="inlineStr">
        <is>
          <t>Sedang</t>
        </is>
      </c>
    </row>
    <row r="343">
      <c r="A343" s="5" t="n">
        <v>152</v>
      </c>
      <c r="B343" s="6" t="inlineStr">
        <is>
          <t>Ibis Styles Malang</t>
        </is>
      </c>
      <c r="C343" s="6" t="n">
        <v>669796</v>
      </c>
      <c r="D343" s="6" t="n">
        <v>-7.9525394</v>
      </c>
      <c r="E343" s="6" t="n">
        <v>112.6386412</v>
      </c>
      <c r="F343" t="inlineStr">
        <is>
          <t>Sedang</t>
        </is>
      </c>
    </row>
    <row r="344">
      <c r="A344" s="5" t="n">
        <v>153</v>
      </c>
      <c r="B344" s="6" t="inlineStr">
        <is>
          <t>Grand Citihub Hotel @Kajoetangan</t>
        </is>
      </c>
      <c r="C344" s="6" t="n">
        <v>605180</v>
      </c>
      <c r="D344" s="6" t="n">
        <v>-7.9770412</v>
      </c>
      <c r="E344" s="6" t="n">
        <v>112.6295652</v>
      </c>
      <c r="F344" t="inlineStr">
        <is>
          <t>Sedang</t>
        </is>
      </c>
    </row>
    <row r="345">
      <c r="A345" s="5" t="n">
        <v>163</v>
      </c>
      <c r="B345" s="6" t="inlineStr">
        <is>
          <t>De'Corner Guest House</t>
        </is>
      </c>
      <c r="C345" s="6" t="n">
        <v>601966</v>
      </c>
      <c r="D345" s="6" t="n">
        <v>-7.9731135</v>
      </c>
      <c r="E345" s="6" t="n">
        <v>112.6184562</v>
      </c>
      <c r="F345" t="inlineStr">
        <is>
          <t>Sedang</t>
        </is>
      </c>
    </row>
    <row r="346">
      <c r="A346" s="5" t="n">
        <v>165</v>
      </c>
      <c r="B346" s="6" t="inlineStr">
        <is>
          <t>Regent's Park Hotel Malang</t>
        </is>
      </c>
      <c r="C346" s="6" t="n">
        <v>756495</v>
      </c>
      <c r="D346" s="6" t="n">
        <v>-7.9698434</v>
      </c>
      <c r="E346" s="6" t="n">
        <v>112.6327743</v>
      </c>
      <c r="F346" t="inlineStr">
        <is>
          <t>Sedang</t>
        </is>
      </c>
    </row>
    <row r="347">
      <c r="A347" s="5" t="n">
        <v>170</v>
      </c>
      <c r="B347" s="6" t="inlineStr">
        <is>
          <t>Cozy Boutique Guesthouse</t>
        </is>
      </c>
      <c r="C347" s="6" t="n">
        <v>592049</v>
      </c>
      <c r="D347" s="6" t="n">
        <v>-7.9646781</v>
      </c>
      <c r="E347" s="6" t="n">
        <v>112.6259134</v>
      </c>
      <c r="F347" t="inlineStr">
        <is>
          <t>Sedang</t>
        </is>
      </c>
    </row>
    <row r="348">
      <c r="A348" s="5" t="n">
        <v>209</v>
      </c>
      <c r="B348" s="6" t="inlineStr">
        <is>
          <t>Homestay Villa Tidar</t>
        </is>
      </c>
      <c r="C348" s="6" t="n">
        <v>1000000</v>
      </c>
      <c r="D348" s="6" t="n">
        <v>-7.9575416</v>
      </c>
      <c r="E348" s="6" t="n">
        <v>112.5874199</v>
      </c>
      <c r="F348" t="inlineStr">
        <is>
          <t>Sedang</t>
        </is>
      </c>
    </row>
    <row r="349">
      <c r="A349" s="5" t="n">
        <v>212</v>
      </c>
      <c r="B349" s="6" t="inlineStr">
        <is>
          <t>Airy Klojen</t>
        </is>
      </c>
      <c r="C349" s="6" t="n">
        <v>1000000</v>
      </c>
      <c r="D349" s="6" t="n">
        <v>-7.9736553</v>
      </c>
      <c r="E349" s="6" t="n">
        <v>112.6143808</v>
      </c>
      <c r="F349" t="inlineStr">
        <is>
          <t>Sedang</t>
        </is>
      </c>
    </row>
    <row r="350">
      <c r="A350" s="5" t="n">
        <v>221</v>
      </c>
      <c r="B350" s="6" t="inlineStr">
        <is>
          <t>Ador 46 Homestay Syariah &amp; Kost Harian Kota Malang</t>
        </is>
      </c>
      <c r="C350" s="6" t="n">
        <v>750000</v>
      </c>
      <c r="D350" s="6" t="n">
        <v>-7.9803697</v>
      </c>
      <c r="E350" s="6" t="n">
        <v>112.5993504</v>
      </c>
      <c r="F350" t="inlineStr">
        <is>
          <t>Sedang</t>
        </is>
      </c>
    </row>
    <row r="351">
      <c r="A351" s="5" t="n">
        <v>268</v>
      </c>
      <c r="B351" s="6" t="inlineStr">
        <is>
          <t>SM Guest House Malang Mitra RedDoorz</t>
        </is>
      </c>
      <c r="C351" s="6" t="n">
        <v>589609</v>
      </c>
      <c r="D351" s="6" t="n">
        <v>-7.9322731</v>
      </c>
      <c r="E351" s="6" t="n">
        <v>112.629404</v>
      </c>
      <c r="F351" t="inlineStr">
        <is>
          <t>Sedang</t>
        </is>
      </c>
    </row>
    <row r="352">
      <c r="A352" s="5" t="n">
        <v>305</v>
      </c>
      <c r="B352" s="6" t="inlineStr">
        <is>
          <t>Grand Mercure Malang Mirama</t>
        </is>
      </c>
      <c r="C352" s="6" t="n">
        <v>851695</v>
      </c>
      <c r="D352" s="6" t="n">
        <v>-7.941957</v>
      </c>
      <c r="E352" s="6" t="n">
        <v>112.648372</v>
      </c>
      <c r="F352" t="inlineStr">
        <is>
          <t>Sedang</t>
        </is>
      </c>
    </row>
    <row r="353">
      <c r="A353" s="5" t="n">
        <v>306</v>
      </c>
      <c r="B353" s="6" t="inlineStr">
        <is>
          <t>The Singhasari Resort</t>
        </is>
      </c>
      <c r="C353" s="6" t="n">
        <v>1695332</v>
      </c>
      <c r="D353" s="6" t="n">
        <v>-7.893131</v>
      </c>
      <c r="E353" s="6" t="n">
        <v>112.550214</v>
      </c>
      <c r="F353" t="inlineStr">
        <is>
          <t>Sedang</t>
        </is>
      </c>
    </row>
    <row r="354">
      <c r="A354" s="5" t="n">
        <v>307</v>
      </c>
      <c r="B354" s="6" t="inlineStr">
        <is>
          <t>Hotel Tugu Malang</t>
        </is>
      </c>
      <c r="C354" s="6" t="n">
        <v>1176767</v>
      </c>
      <c r="D354" s="6" t="n">
        <v>-7.9772124</v>
      </c>
      <c r="E354" s="6" t="n">
        <v>112.6331606</v>
      </c>
      <c r="F354" t="inlineStr">
        <is>
          <t>Sedang</t>
        </is>
      </c>
    </row>
    <row r="355">
      <c r="A355" s="5" t="n">
        <v>308</v>
      </c>
      <c r="B355" s="6" t="inlineStr">
        <is>
          <t>The Shalimar Boutique Hotel Malang</t>
        </is>
      </c>
      <c r="C355" s="6" t="n">
        <v>870247</v>
      </c>
      <c r="D355" s="6" t="n">
        <v>-7.9700247</v>
      </c>
      <c r="E355" s="6" t="n">
        <v>112.6251707</v>
      </c>
      <c r="F355" t="inlineStr">
        <is>
          <t>Sedang</t>
        </is>
      </c>
    </row>
    <row r="356">
      <c r="A356" s="5" t="n">
        <v>309</v>
      </c>
      <c r="B356" s="6" t="inlineStr">
        <is>
          <t>The Alana Hotel Malang</t>
        </is>
      </c>
      <c r="C356" s="6" t="n">
        <v>1097373</v>
      </c>
      <c r="D356" s="6" t="n">
        <v>-7.9439198</v>
      </c>
      <c r="E356" s="6" t="n">
        <v>112.6417984</v>
      </c>
      <c r="F356" t="inlineStr">
        <is>
          <t>Sedang</t>
        </is>
      </c>
    </row>
    <row r="357">
      <c r="A357" s="5" t="n">
        <v>310</v>
      </c>
      <c r="B357" s="6" t="inlineStr">
        <is>
          <t>HARRIS Hotel and Conventions Malang</t>
        </is>
      </c>
      <c r="C357" s="6" t="n">
        <v>791405</v>
      </c>
      <c r="D357" s="6" t="n">
        <v>-7.9260345</v>
      </c>
      <c r="E357" s="6" t="n">
        <v>112.6452199</v>
      </c>
      <c r="F357" t="inlineStr">
        <is>
          <t>Sedang</t>
        </is>
      </c>
    </row>
    <row r="358">
      <c r="A358" s="5" t="n">
        <v>311</v>
      </c>
      <c r="B358" s="6" t="inlineStr">
        <is>
          <t>Savana Hotel &amp; Convention</t>
        </is>
      </c>
      <c r="C358" s="6" t="n">
        <v>1185258</v>
      </c>
      <c r="D358" s="6" t="n">
        <v>-7.962378</v>
      </c>
      <c r="E358" s="6" t="n">
        <v>112.6362861</v>
      </c>
      <c r="F358" t="inlineStr">
        <is>
          <t>Sedang</t>
        </is>
      </c>
    </row>
    <row r="359">
      <c r="A359" s="5" t="n">
        <v>312</v>
      </c>
      <c r="B359" s="6" t="inlineStr">
        <is>
          <t>Atria Hotel Malang</t>
        </is>
      </c>
      <c r="C359" s="6" t="n">
        <v>939651</v>
      </c>
      <c r="D359" s="6" t="n">
        <v>-7.9494317</v>
      </c>
      <c r="E359" s="6" t="n">
        <v>112.6392224</v>
      </c>
      <c r="F359" t="inlineStr">
        <is>
          <t>Sedang</t>
        </is>
      </c>
    </row>
    <row r="360">
      <c r="A360" s="5" t="n">
        <v>313</v>
      </c>
      <c r="B360" s="6" t="inlineStr">
        <is>
          <t>Aria Gajayana Hotel</t>
        </is>
      </c>
      <c r="C360" s="6" t="n">
        <v>982801</v>
      </c>
      <c r="D360" s="6" t="n">
        <v>-7.977585</v>
      </c>
      <c r="E360" s="6" t="n">
        <v>112.624006</v>
      </c>
      <c r="F360" t="inlineStr">
        <is>
          <t>Sedang</t>
        </is>
      </c>
    </row>
    <row r="361">
      <c r="A361" s="5" t="n">
        <v>314</v>
      </c>
      <c r="B361" s="6" t="inlineStr">
        <is>
          <t>Ascent Premiere Hotel and Convention</t>
        </is>
      </c>
      <c r="C361" s="6" t="n">
        <v>1260000</v>
      </c>
      <c r="D361" s="6" t="n">
        <v>-7.995367</v>
      </c>
      <c r="E361" s="6" t="n">
        <v>112.632932</v>
      </c>
      <c r="F361" t="inlineStr">
        <is>
          <t>Sedang</t>
        </is>
      </c>
    </row>
    <row r="362">
      <c r="A362" s="5" t="n">
        <v>315</v>
      </c>
      <c r="B362" s="6" t="inlineStr">
        <is>
          <t>Hotel Grand Cakra</t>
        </is>
      </c>
      <c r="C362" s="6" t="n">
        <v>627485</v>
      </c>
      <c r="D362" s="6" t="n">
        <v>-7.9358583</v>
      </c>
      <c r="E362" s="6" t="n">
        <v>112.6512298</v>
      </c>
      <c r="F362" t="inlineStr">
        <is>
          <t>Sedang</t>
        </is>
      </c>
    </row>
    <row r="363">
      <c r="A363" s="5" t="n">
        <v>318</v>
      </c>
      <c r="B363" s="6" t="inlineStr">
        <is>
          <t>THE 1O1 Malang OJ</t>
        </is>
      </c>
      <c r="C363" s="6" t="n">
        <v>1309877</v>
      </c>
      <c r="D363" s="6" t="n">
        <v>-7.9680455</v>
      </c>
      <c r="E363" s="6" t="n">
        <v>112.6354553</v>
      </c>
      <c r="F363" t="inlineStr">
        <is>
          <t>Sedang</t>
        </is>
      </c>
    </row>
    <row r="364">
      <c r="A364" s="5" t="n">
        <v>320</v>
      </c>
      <c r="B364" s="6" t="inlineStr">
        <is>
          <t>Hotel Santika Premiere Malang</t>
        </is>
      </c>
      <c r="C364" s="6" t="n">
        <v>728725</v>
      </c>
      <c r="D364" s="6" t="n">
        <v>-7.9581655</v>
      </c>
      <c r="E364" s="6" t="n">
        <v>112.63698</v>
      </c>
      <c r="F364" t="inlineStr">
        <is>
          <t>Sedang</t>
        </is>
      </c>
    </row>
    <row r="365">
      <c r="A365" s="5" t="n">
        <v>324</v>
      </c>
      <c r="B365" s="6" t="inlineStr">
        <is>
          <t>Ijen Suites Resort &amp; Convention Malang</t>
        </is>
      </c>
      <c r="C365" s="6" t="n">
        <v>721333</v>
      </c>
      <c r="D365" s="6" t="n">
        <v>-7.9806558</v>
      </c>
      <c r="E365" s="6" t="n">
        <v>112.615438</v>
      </c>
      <c r="F365" t="inlineStr">
        <is>
          <t>Sedang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9"/>
  <sheetViews>
    <sheetView topLeftCell="A164" workbookViewId="0">
      <selection activeCell="A2" sqref="A2:F2"/>
    </sheetView>
  </sheetViews>
  <sheetFormatPr baseColWidth="10" defaultRowHeight="16"/>
  <cols>
    <col width="10" bestFit="1" customWidth="1" style="21" min="1" max="1"/>
    <col width="55.83203125" bestFit="1" customWidth="1" style="21" min="2" max="2"/>
    <col width="11" bestFit="1" customWidth="1" style="21" min="3" max="3"/>
    <col width="12.1640625" bestFit="1" customWidth="1" style="21" min="5" max="5"/>
    <col width="16.83203125" bestFit="1" customWidth="1" style="21" min="6" max="6"/>
  </cols>
  <sheetData>
    <row r="1">
      <c r="A1" s="35" t="inlineStr">
        <is>
          <t>Id_Tempat</t>
        </is>
      </c>
      <c r="B1" s="35" t="inlineStr">
        <is>
          <t>Nama_Tempat</t>
        </is>
      </c>
      <c r="C1" s="35" t="inlineStr">
        <is>
          <t>Harga_Tiket</t>
        </is>
      </c>
      <c r="D1" s="35" t="inlineStr">
        <is>
          <t>Latitude</t>
        </is>
      </c>
      <c r="E1" s="35" t="inlineStr">
        <is>
          <t>Longitude</t>
        </is>
      </c>
      <c r="F1" s="35" t="inlineStr">
        <is>
          <t>KATEGORI_HARGA</t>
        </is>
      </c>
    </row>
    <row r="2">
      <c r="A2" s="6" t="n">
        <v>8</v>
      </c>
      <c r="B2" s="6" t="inlineStr">
        <is>
          <t>Pura Luhur Giri Arjuno</t>
        </is>
      </c>
      <c r="C2" s="6" t="n">
        <v>2000</v>
      </c>
      <c r="D2" s="6" t="n">
        <v>-7.7852789</v>
      </c>
      <c r="E2" s="6" t="n">
        <v>112.5473145</v>
      </c>
      <c r="F2" s="6" t="inlineStr">
        <is>
          <t>Mahal</t>
        </is>
      </c>
    </row>
    <row r="3">
      <c r="A3" s="6" t="n">
        <v>22</v>
      </c>
      <c r="B3" s="6" t="inlineStr">
        <is>
          <t>Bukit Nirwana</t>
        </is>
      </c>
      <c r="C3" s="6" t="n">
        <v>10000</v>
      </c>
      <c r="D3" s="6" t="n">
        <v>-7.8617098</v>
      </c>
      <c r="E3" s="6" t="n">
        <v>112.4600165</v>
      </c>
      <c r="F3" s="6" t="inlineStr">
        <is>
          <t>Mahal</t>
        </is>
      </c>
    </row>
    <row r="4">
      <c r="A4" s="6" t="n">
        <v>28</v>
      </c>
      <c r="B4" s="6" t="inlineStr">
        <is>
          <t>Air Terjun Coban Supit Urang</t>
        </is>
      </c>
      <c r="C4" s="6" t="n">
        <v>0</v>
      </c>
      <c r="D4" s="6" t="n">
        <v>-7.7910044</v>
      </c>
      <c r="E4" s="6" t="n">
        <v>112.4603522</v>
      </c>
      <c r="F4" s="6" t="inlineStr">
        <is>
          <t>Mahal</t>
        </is>
      </c>
    </row>
    <row r="5">
      <c r="A5" s="6" t="n">
        <v>32</v>
      </c>
      <c r="B5" s="6" t="inlineStr">
        <is>
          <t>Wisata Gunung Kombang</t>
        </is>
      </c>
      <c r="C5" s="6" t="n">
        <v>3000</v>
      </c>
      <c r="D5" s="6" t="n">
        <v>-8.3865186</v>
      </c>
      <c r="E5" s="6" t="n">
        <v>112.42574</v>
      </c>
      <c r="F5" s="6" t="inlineStr">
        <is>
          <t>Mahal</t>
        </is>
      </c>
    </row>
    <row r="6">
      <c r="A6" s="6" t="n">
        <v>54</v>
      </c>
      <c r="B6" s="6" t="inlineStr">
        <is>
          <t>Agrowisata Telaga Madiredo</t>
        </is>
      </c>
      <c r="C6" s="6" t="n">
        <v>5000</v>
      </c>
      <c r="D6" s="6" t="n">
        <v>-7.8249722</v>
      </c>
      <c r="E6" s="6" t="n">
        <v>112.4598137</v>
      </c>
      <c r="F6" s="6" t="inlineStr">
        <is>
          <t>Mahal</t>
        </is>
      </c>
    </row>
    <row r="7">
      <c r="A7" s="6" t="n">
        <v>57</v>
      </c>
      <c r="B7" s="6" t="inlineStr">
        <is>
          <t>Desa Wisata Gubugklakah ꦒꦸꦧꦸꦏ꧀ꦏ꧀ꦭꦏꦃ</t>
        </is>
      </c>
      <c r="C7" s="6" t="n">
        <v>3000</v>
      </c>
      <c r="D7" s="6" t="n">
        <v>-8.0288179</v>
      </c>
      <c r="E7" s="6" t="n">
        <v>112.8234674</v>
      </c>
      <c r="F7" s="6" t="inlineStr">
        <is>
          <t>Mahal</t>
        </is>
      </c>
    </row>
    <row r="8">
      <c r="A8" s="6" t="n">
        <v>68</v>
      </c>
      <c r="B8" s="6" t="inlineStr">
        <is>
          <t>Bukit Waung</t>
        </is>
      </c>
      <c r="C8" s="6" t="n">
        <v>48000</v>
      </c>
      <c r="D8" s="6" t="n">
        <v>-8.3488921</v>
      </c>
      <c r="E8" s="6" t="n">
        <v>112.3677835</v>
      </c>
      <c r="F8" s="6" t="inlineStr">
        <is>
          <t>Mahal</t>
        </is>
      </c>
    </row>
    <row r="9">
      <c r="A9" s="6" t="n">
        <v>77</v>
      </c>
      <c r="B9" s="6" t="inlineStr">
        <is>
          <t>Air Terjun Grojogan Sewu Pujon</t>
        </is>
      </c>
      <c r="C9" s="6" t="n">
        <v>11000</v>
      </c>
      <c r="D9" s="6" t="n">
        <v>-7.8664128</v>
      </c>
      <c r="E9" s="6" t="n">
        <v>112.4233498</v>
      </c>
      <c r="F9" s="6" t="inlineStr">
        <is>
          <t>Mahal</t>
        </is>
      </c>
    </row>
    <row r="10">
      <c r="A10" s="6" t="n">
        <v>86</v>
      </c>
      <c r="B10" s="6" t="inlineStr">
        <is>
          <t>Meeting Point Pujon Rafting</t>
        </is>
      </c>
      <c r="C10" s="6" t="n">
        <v>10000</v>
      </c>
      <c r="D10" s="6" t="n">
        <v>-7.8396791</v>
      </c>
      <c r="E10" s="6" t="n">
        <v>112.4497747</v>
      </c>
      <c r="F10" s="6" t="inlineStr">
        <is>
          <t>Mahal</t>
        </is>
      </c>
    </row>
    <row r="11">
      <c r="A11" s="6" t="n">
        <v>97</v>
      </c>
      <c r="B11" s="6" t="inlineStr">
        <is>
          <t>Petik Apel Green Garden</t>
        </is>
      </c>
      <c r="C11" s="6" t="n">
        <v>0</v>
      </c>
      <c r="D11" s="6" t="n">
        <v>-7.8230867</v>
      </c>
      <c r="E11" s="6" t="n">
        <v>112.5290217</v>
      </c>
      <c r="F11" s="6" t="inlineStr">
        <is>
          <t>Mahal</t>
        </is>
      </c>
    </row>
    <row r="12">
      <c r="A12" s="6" t="n">
        <v>100</v>
      </c>
      <c r="B12" s="6" t="inlineStr">
        <is>
          <t>Wisata Coban Rondo</t>
        </is>
      </c>
      <c r="C12" s="6" t="n">
        <v>5000</v>
      </c>
      <c r="D12" s="6" t="n">
        <v>-7.8703079</v>
      </c>
      <c r="E12" s="6" t="n">
        <v>112.4815685</v>
      </c>
      <c r="F12" s="6" t="inlineStr">
        <is>
          <t>Mahal</t>
        </is>
      </c>
    </row>
    <row r="13">
      <c r="A13" s="6" t="n">
        <v>108</v>
      </c>
      <c r="B13" s="6" t="inlineStr">
        <is>
          <t>Museum Angkut</t>
        </is>
      </c>
      <c r="C13" s="6" t="n">
        <v>5000</v>
      </c>
      <c r="D13" s="6" t="n">
        <v>-7.8790652</v>
      </c>
      <c r="E13" s="6" t="n">
        <v>112.5187151</v>
      </c>
      <c r="F13" s="6" t="inlineStr">
        <is>
          <t>Mahal</t>
        </is>
      </c>
    </row>
    <row r="14">
      <c r="A14" s="6" t="n">
        <v>120</v>
      </c>
      <c r="B14" s="6" t="inlineStr">
        <is>
          <t>Brakseng</t>
        </is>
      </c>
      <c r="C14" s="6" t="n">
        <v>10000</v>
      </c>
      <c r="D14" s="6" t="n">
        <v>-7.7552845</v>
      </c>
      <c r="E14" s="6" t="n">
        <v>112.5405447</v>
      </c>
      <c r="F14" s="6" t="inlineStr">
        <is>
          <t>Mahal</t>
        </is>
      </c>
    </row>
    <row r="15">
      <c r="A15" s="6" t="n">
        <v>122</v>
      </c>
      <c r="B15" s="6" t="inlineStr">
        <is>
          <t>Eco Active Park</t>
        </is>
      </c>
      <c r="C15" s="6" t="n">
        <v>20000</v>
      </c>
      <c r="D15" s="6" t="n">
        <v>-7.8877752</v>
      </c>
      <c r="E15" s="6" t="n">
        <v>112.5266102</v>
      </c>
      <c r="F15" s="6" t="inlineStr">
        <is>
          <t>Mahal</t>
        </is>
      </c>
    </row>
    <row r="16">
      <c r="A16" s="6" t="n">
        <v>128</v>
      </c>
      <c r="B16" s="6" t="inlineStr">
        <is>
          <t>Jawa Timur Park 3</t>
        </is>
      </c>
      <c r="C16" s="6" t="n">
        <v>104500</v>
      </c>
      <c r="D16" s="6" t="n">
        <v>-7.8971338</v>
      </c>
      <c r="E16" s="6" t="n">
        <v>112.5531027</v>
      </c>
      <c r="F16" s="6" t="inlineStr">
        <is>
          <t>Mahal</t>
        </is>
      </c>
    </row>
    <row r="17">
      <c r="A17" s="6" t="n">
        <v>130</v>
      </c>
      <c r="B17" s="6" t="inlineStr">
        <is>
          <t>Coban Manten</t>
        </is>
      </c>
      <c r="C17" s="6" t="n">
        <v>30000</v>
      </c>
      <c r="D17" s="6" t="n">
        <v>-7.8996567</v>
      </c>
      <c r="E17" s="6" t="n">
        <v>112.4741847</v>
      </c>
      <c r="F17" s="6" t="inlineStr">
        <is>
          <t>Mahal</t>
        </is>
      </c>
    </row>
    <row r="18">
      <c r="A18" s="6" t="n">
        <v>141</v>
      </c>
      <c r="B18" s="6" t="inlineStr">
        <is>
          <t>Air Terjun Coban Rais</t>
        </is>
      </c>
      <c r="C18" s="6" t="n">
        <v>10000</v>
      </c>
      <c r="D18" s="6" t="n">
        <v>-7.9116767</v>
      </c>
      <c r="E18" s="6" t="n">
        <v>112.5184342</v>
      </c>
      <c r="F18" s="6" t="inlineStr">
        <is>
          <t>Mahal</t>
        </is>
      </c>
    </row>
    <row r="19">
      <c r="A19" s="6" t="n">
        <v>145</v>
      </c>
      <c r="B19" s="6" t="inlineStr">
        <is>
          <t>Alun-Alun Kota Wisata Batu</t>
        </is>
      </c>
      <c r="C19" s="6" t="n">
        <v>35000</v>
      </c>
      <c r="D19" s="6" t="n">
        <v>-7.8711714</v>
      </c>
      <c r="E19" s="6" t="n">
        <v>112.5269243</v>
      </c>
      <c r="F19" s="6" t="inlineStr">
        <is>
          <t>Mahal</t>
        </is>
      </c>
    </row>
    <row r="20">
      <c r="A20" s="6" t="n">
        <v>153</v>
      </c>
      <c r="B20" s="6" t="inlineStr">
        <is>
          <t>Wisata kali djaeng</t>
        </is>
      </c>
      <c r="C20" s="6" t="n">
        <v>15000</v>
      </c>
      <c r="D20" s="6" t="n">
        <v>-7.9105493</v>
      </c>
      <c r="E20" s="6" t="n">
        <v>112.6382561</v>
      </c>
      <c r="F20" s="6" t="inlineStr">
        <is>
          <t>Mahal</t>
        </is>
      </c>
    </row>
    <row r="21">
      <c r="A21" s="6" t="n">
        <v>154</v>
      </c>
      <c r="B21" s="6" t="inlineStr">
        <is>
          <t>Bromo Midnight Tour</t>
        </is>
      </c>
      <c r="C21" s="6" t="n">
        <v>10000</v>
      </c>
      <c r="D21" s="6" t="n">
        <v>-7.95255</v>
      </c>
      <c r="E21" s="6" t="n">
        <v>112.6793106</v>
      </c>
      <c r="F21" s="6" t="inlineStr">
        <is>
          <t>Mahal</t>
        </is>
      </c>
    </row>
    <row r="22">
      <c r="A22" s="6" t="n">
        <v>158</v>
      </c>
      <c r="B22" s="6" t="inlineStr">
        <is>
          <t>Candi Sumberawan</t>
        </is>
      </c>
      <c r="C22" s="6" t="n">
        <v>5000</v>
      </c>
      <c r="D22" s="6" t="n">
        <v>-7.8553802</v>
      </c>
      <c r="E22" s="6" t="n">
        <v>112.6447984</v>
      </c>
      <c r="F22" s="6" t="inlineStr">
        <is>
          <t>Mahal</t>
        </is>
      </c>
    </row>
    <row r="23">
      <c r="A23" s="6" t="n">
        <v>165</v>
      </c>
      <c r="B23" s="6" t="inlineStr">
        <is>
          <t>Khayangan Reflexology Malang</t>
        </is>
      </c>
      <c r="C23" s="6" t="n">
        <v>10000</v>
      </c>
      <c r="D23" s="6" t="n">
        <v>-7.9745653</v>
      </c>
      <c r="E23" s="6" t="n">
        <v>112.6236794</v>
      </c>
      <c r="F23" s="6" t="inlineStr">
        <is>
          <t>Mahal</t>
        </is>
      </c>
    </row>
    <row r="24">
      <c r="A24" s="6" t="n">
        <v>173</v>
      </c>
      <c r="B24" s="6" t="inlineStr">
        <is>
          <t>Tirta Nirwana Songgoriti</t>
        </is>
      </c>
      <c r="C24" s="6" t="n">
        <v>29000</v>
      </c>
      <c r="D24" s="6" t="n">
        <v>-7.865754</v>
      </c>
      <c r="E24" s="6" t="n">
        <v>112.4932518</v>
      </c>
      <c r="F24" s="6" t="inlineStr">
        <is>
          <t>Mahal</t>
        </is>
      </c>
    </row>
    <row r="25">
      <c r="A25" s="6" t="n">
        <v>176</v>
      </c>
      <c r="B25" s="6" t="inlineStr">
        <is>
          <t>Coban rondo malang jawa timur</t>
        </is>
      </c>
      <c r="C25" s="6" t="n">
        <v>10000</v>
      </c>
      <c r="D25" s="6" t="n">
        <v>-7.884994</v>
      </c>
      <c r="E25" s="6" t="n">
        <v>112.477319</v>
      </c>
      <c r="F25" s="6" t="inlineStr">
        <is>
          <t>Mahal</t>
        </is>
      </c>
    </row>
    <row r="26">
      <c r="A26" s="6" t="n">
        <v>178</v>
      </c>
      <c r="B26" s="6" t="inlineStr">
        <is>
          <t>Kusuma Waterpark</t>
        </is>
      </c>
      <c r="C26" s="6" t="n">
        <v>10000</v>
      </c>
      <c r="D26" s="6" t="n">
        <v>-7.8816345</v>
      </c>
      <c r="E26" s="6" t="n">
        <v>112.5148178</v>
      </c>
      <c r="F26" s="6" t="inlineStr">
        <is>
          <t>Mahal</t>
        </is>
      </c>
    </row>
    <row r="27">
      <c r="A27" s="6" t="n">
        <v>180</v>
      </c>
      <c r="B27" s="6" t="inlineStr">
        <is>
          <t>Pemandian Air Panas Cangar</t>
        </is>
      </c>
      <c r="C27" s="6" t="n">
        <v>10000</v>
      </c>
      <c r="D27" s="6" t="n">
        <v>-7.741749</v>
      </c>
      <c r="E27" s="6" t="n">
        <v>112.5343105</v>
      </c>
      <c r="F27" s="6" t="inlineStr">
        <is>
          <t>Mahal</t>
        </is>
      </c>
    </row>
    <row r="28">
      <c r="A28" s="6" t="n">
        <v>1</v>
      </c>
      <c r="B28" s="6" t="inlineStr">
        <is>
          <t>Masjid Tiban Malang (pp.Salafiah Bihaaru Bahri)</t>
        </is>
      </c>
      <c r="C28" s="6" t="n">
        <v>10000</v>
      </c>
      <c r="D28" s="6" t="n">
        <v>-8.150828499999999</v>
      </c>
      <c r="E28" s="6" t="n">
        <v>112.7131124</v>
      </c>
      <c r="F28" s="6" t="inlineStr">
        <is>
          <t>Murah</t>
        </is>
      </c>
    </row>
    <row r="29">
      <c r="A29" s="6" t="n">
        <v>2</v>
      </c>
      <c r="B29" s="6" t="inlineStr">
        <is>
          <t>Wisata Religi Gunung Mujur ꦒꦸꦤꦸꦁꦩꦸꦗꦸꦂ</t>
        </is>
      </c>
      <c r="C29" s="6" t="n">
        <v>5000</v>
      </c>
      <c r="D29" s="6" t="n">
        <v>-7.8263032</v>
      </c>
      <c r="E29" s="6" t="n">
        <v>112.5931148</v>
      </c>
      <c r="F29" s="6" t="inlineStr">
        <is>
          <t>Murah</t>
        </is>
      </c>
    </row>
    <row r="30">
      <c r="A30" s="6" t="n">
        <v>3</v>
      </c>
      <c r="B30" s="6" t="inlineStr">
        <is>
          <t>Masjid Agung Jami' Kota Malang</t>
        </is>
      </c>
      <c r="C30" s="6" t="n">
        <v>5000</v>
      </c>
      <c r="D30" s="6" t="n">
        <v>-7.9823828</v>
      </c>
      <c r="E30" s="6" t="n">
        <v>112.6297224</v>
      </c>
      <c r="F30" s="6" t="inlineStr">
        <is>
          <t>Murah</t>
        </is>
      </c>
    </row>
    <row r="31">
      <c r="A31" s="6" t="n">
        <v>4</v>
      </c>
      <c r="B31" s="6" t="inlineStr">
        <is>
          <t>Makam Mbah Batu</t>
        </is>
      </c>
      <c r="C31" s="6" t="n">
        <v>5000</v>
      </c>
      <c r="D31" s="6" t="n">
        <v>-7.8563341</v>
      </c>
      <c r="E31" s="6" t="n">
        <v>112.5352355</v>
      </c>
      <c r="F31" s="6" t="inlineStr">
        <is>
          <t>Murah</t>
        </is>
      </c>
    </row>
    <row r="32">
      <c r="A32" s="6" t="n">
        <v>5</v>
      </c>
      <c r="B32" s="6" t="inlineStr">
        <is>
          <t>KWJ MALANG</t>
        </is>
      </c>
      <c r="C32" s="6" t="n">
        <v>20000</v>
      </c>
      <c r="D32" s="6" t="n">
        <v>-7.9831</v>
      </c>
      <c r="E32" s="6" t="n">
        <v>112.6374847</v>
      </c>
      <c r="F32" s="6" t="inlineStr">
        <is>
          <t>Murah</t>
        </is>
      </c>
    </row>
    <row r="33">
      <c r="A33" s="6" t="n">
        <v>6</v>
      </c>
      <c r="B33" s="6" t="inlineStr">
        <is>
          <t>Pesarean Gunung Kawi</t>
        </is>
      </c>
      <c r="C33" s="6" t="n">
        <v>15000</v>
      </c>
      <c r="D33" s="6" t="n">
        <v>-8.023200599999999</v>
      </c>
      <c r="E33" s="6" t="n">
        <v>112.4932677</v>
      </c>
      <c r="F33" s="6" t="inlineStr">
        <is>
          <t>Murah</t>
        </is>
      </c>
    </row>
    <row r="34">
      <c r="A34" s="6" t="n">
        <v>9</v>
      </c>
      <c r="B34" s="6" t="inlineStr">
        <is>
          <t>Masjid An-Nur</t>
        </is>
      </c>
      <c r="C34" s="6" t="n">
        <v>20000</v>
      </c>
      <c r="D34" s="6" t="n">
        <v>-7.9639168</v>
      </c>
      <c r="E34" s="6" t="n">
        <v>112.6294924</v>
      </c>
      <c r="F34" s="6" t="inlineStr">
        <is>
          <t>Murah</t>
        </is>
      </c>
    </row>
    <row r="35">
      <c r="A35" s="6" t="n">
        <v>10</v>
      </c>
      <c r="B35" s="6" t="inlineStr">
        <is>
          <t>MAKAM MBAH JAGOPATI</t>
        </is>
      </c>
      <c r="C35" s="6" t="n">
        <v>10000</v>
      </c>
      <c r="D35" s="6" t="n">
        <v>-8.0685875</v>
      </c>
      <c r="E35" s="6" t="n">
        <v>112.6595156</v>
      </c>
      <c r="F35" s="6" t="inlineStr">
        <is>
          <t>Murah</t>
        </is>
      </c>
    </row>
    <row r="36">
      <c r="A36" s="6" t="n">
        <v>11</v>
      </c>
      <c r="B36" s="6" t="inlineStr">
        <is>
          <t>Wisata Religi Sumber 9</t>
        </is>
      </c>
      <c r="C36" s="6" t="n">
        <v>10000</v>
      </c>
      <c r="D36" s="6" t="n">
        <v>-8.172191099999999</v>
      </c>
      <c r="E36" s="6" t="n">
        <v>112.5472822</v>
      </c>
      <c r="F36" s="6" t="inlineStr">
        <is>
          <t>Murah</t>
        </is>
      </c>
    </row>
    <row r="37">
      <c r="A37" s="6" t="n">
        <v>12</v>
      </c>
      <c r="B37" s="6" t="inlineStr">
        <is>
          <t>Parkir mobil gratis Masjid tiban turen</t>
        </is>
      </c>
      <c r="C37" s="6" t="n">
        <v>10000</v>
      </c>
      <c r="D37" s="6" t="n">
        <v>-8.1514495</v>
      </c>
      <c r="E37" s="6" t="n">
        <v>112.7123119</v>
      </c>
      <c r="F37" s="6" t="inlineStr">
        <is>
          <t>Murah</t>
        </is>
      </c>
    </row>
    <row r="38">
      <c r="A38" s="6" t="n">
        <v>13</v>
      </c>
      <c r="B38" s="6" t="inlineStr">
        <is>
          <t>Punden Mbah Mogok</t>
        </is>
      </c>
      <c r="C38" s="6" t="n">
        <v>10000</v>
      </c>
      <c r="D38" s="6" t="n">
        <v>-7.9619438</v>
      </c>
      <c r="E38" s="6" t="n">
        <v>112.6048652</v>
      </c>
      <c r="F38" s="6" t="inlineStr">
        <is>
          <t>Murah</t>
        </is>
      </c>
    </row>
    <row r="39">
      <c r="A39" s="6" t="n">
        <v>14</v>
      </c>
      <c r="B39" s="6" t="inlineStr">
        <is>
          <t>Maqam Al Habib Abdullah Bin Abdul Qadir Bilfaqih</t>
        </is>
      </c>
      <c r="C39" s="6" t="n">
        <v>51000</v>
      </c>
      <c r="D39" s="6" t="n">
        <v>-7.9890997</v>
      </c>
      <c r="E39" s="6" t="n">
        <v>112.6238595</v>
      </c>
      <c r="F39" s="6" t="inlineStr">
        <is>
          <t>Murah</t>
        </is>
      </c>
    </row>
    <row r="40">
      <c r="A40" s="6" t="n">
        <v>16</v>
      </c>
      <c r="B40" s="6" t="inlineStr">
        <is>
          <t>TPU Kasin</t>
        </is>
      </c>
      <c r="C40" s="6" t="n">
        <v>10000</v>
      </c>
      <c r="D40" s="6" t="n">
        <v>-7.9896057</v>
      </c>
      <c r="E40" s="6" t="n">
        <v>112.6239566</v>
      </c>
      <c r="F40" s="6" t="inlineStr">
        <is>
          <t>Murah</t>
        </is>
      </c>
    </row>
    <row r="41">
      <c r="A41" s="6" t="n">
        <v>17</v>
      </c>
      <c r="B41" s="6" t="inlineStr">
        <is>
          <t>Puncak Gunung Banyak/paralayang</t>
        </is>
      </c>
      <c r="C41" s="6" t="n">
        <v>10000</v>
      </c>
      <c r="D41" s="6" t="n">
        <v>-7.8549572</v>
      </c>
      <c r="E41" s="6" t="n">
        <v>112.4963794</v>
      </c>
      <c r="F41" s="6" t="inlineStr">
        <is>
          <t>Murah</t>
        </is>
      </c>
    </row>
    <row r="42">
      <c r="A42" s="6" t="n">
        <v>19</v>
      </c>
      <c r="B42" s="6" t="inlineStr">
        <is>
          <t>Agrowisata Teh Wonosari</t>
        </is>
      </c>
      <c r="C42" s="6" t="n">
        <v>5000</v>
      </c>
      <c r="D42" s="6" t="n">
        <v>-7.8204902</v>
      </c>
      <c r="E42" s="6" t="n">
        <v>112.6431502</v>
      </c>
      <c r="F42" s="6" t="inlineStr">
        <is>
          <t>Murah</t>
        </is>
      </c>
    </row>
    <row r="43">
      <c r="A43" s="6" t="n">
        <v>20</v>
      </c>
      <c r="B43" s="6" t="inlineStr">
        <is>
          <t>Puncak Budug Asu</t>
        </is>
      </c>
      <c r="C43" s="6" t="n">
        <v>2000</v>
      </c>
      <c r="D43" s="6" t="n">
        <v>-7.807287</v>
      </c>
      <c r="E43" s="6" t="n">
        <v>112.6214149</v>
      </c>
      <c r="F43" s="6" t="inlineStr">
        <is>
          <t>Murah</t>
        </is>
      </c>
    </row>
    <row r="44">
      <c r="A44" s="6" t="n">
        <v>21</v>
      </c>
      <c r="B44" s="6" t="inlineStr">
        <is>
          <t>Keraton Gunung Kawi</t>
        </is>
      </c>
      <c r="C44" s="6" t="n">
        <v>10000</v>
      </c>
      <c r="D44" s="6" t="n">
        <v>-8.0027708</v>
      </c>
      <c r="E44" s="6" t="n">
        <v>112.4860023</v>
      </c>
      <c r="F44" s="6" t="inlineStr">
        <is>
          <t>Murah</t>
        </is>
      </c>
    </row>
    <row r="45">
      <c r="A45" s="6" t="n">
        <v>23</v>
      </c>
      <c r="B45" s="6" t="inlineStr">
        <is>
          <t>Gunung Geger</t>
        </is>
      </c>
      <c r="C45" s="6" t="n">
        <v>10000</v>
      </c>
      <c r="D45" s="6" t="n">
        <v>-8.229934500000001</v>
      </c>
      <c r="E45" s="6" t="n">
        <v>112.5526712</v>
      </c>
      <c r="F45" s="6" t="inlineStr">
        <is>
          <t>Murah</t>
        </is>
      </c>
    </row>
    <row r="46">
      <c r="A46" s="6" t="n">
        <v>24</v>
      </c>
      <c r="B46" s="6" t="inlineStr">
        <is>
          <t>Omah Kayu Gunung Banyak</t>
        </is>
      </c>
      <c r="C46" s="6" t="n">
        <v>10000</v>
      </c>
      <c r="D46" s="6" t="n">
        <v>-7.8549492</v>
      </c>
      <c r="E46" s="6" t="n">
        <v>112.4978051</v>
      </c>
      <c r="F46" s="6" t="inlineStr">
        <is>
          <t>Murah</t>
        </is>
      </c>
    </row>
    <row r="47">
      <c r="A47" s="6" t="n">
        <v>25</v>
      </c>
      <c r="B47" s="6" t="inlineStr">
        <is>
          <t>Wisata paralayang</t>
        </is>
      </c>
      <c r="C47" s="6" t="n">
        <v>30000</v>
      </c>
      <c r="D47" s="6" t="n">
        <v>-7.8550565</v>
      </c>
      <c r="E47" s="6" t="n">
        <v>112.4967558</v>
      </c>
      <c r="F47" s="6" t="inlineStr">
        <is>
          <t>Murah</t>
        </is>
      </c>
    </row>
    <row r="48">
      <c r="A48" s="6" t="n">
        <v>26</v>
      </c>
      <c r="B48" s="6" t="inlineStr">
        <is>
          <t>Air Terjun Sumber Pitu Pujon</t>
        </is>
      </c>
      <c r="C48" s="6" t="n">
        <v>10000</v>
      </c>
      <c r="D48" s="6" t="n">
        <v>-7.8955192</v>
      </c>
      <c r="E48" s="6" t="n">
        <v>112.4621553</v>
      </c>
      <c r="F48" s="6" t="inlineStr">
        <is>
          <t>Murah</t>
        </is>
      </c>
    </row>
    <row r="49">
      <c r="A49" s="6" t="n">
        <v>27</v>
      </c>
      <c r="B49" s="6" t="inlineStr">
        <is>
          <t>Wisata Alam Lembah Gunung Sari Desa Kucur</t>
        </is>
      </c>
      <c r="C49" s="6" t="n">
        <v>4000</v>
      </c>
      <c r="D49" s="6" t="n">
        <v>-7.9630258</v>
      </c>
      <c r="E49" s="6" t="n">
        <v>112.5556656</v>
      </c>
      <c r="F49" s="6" t="inlineStr">
        <is>
          <t>Murah</t>
        </is>
      </c>
    </row>
    <row r="50">
      <c r="A50" s="6" t="n">
        <v>29</v>
      </c>
      <c r="B50" s="6" t="inlineStr">
        <is>
          <t>Coban Trisula</t>
        </is>
      </c>
      <c r="C50" s="6" t="n">
        <v>35000</v>
      </c>
      <c r="D50" s="6" t="n">
        <v>-7.999417</v>
      </c>
      <c r="E50" s="6" t="n">
        <v>112.8685364</v>
      </c>
      <c r="F50" s="6" t="inlineStr">
        <is>
          <t>Murah</t>
        </is>
      </c>
    </row>
    <row r="51">
      <c r="A51" s="6" t="n">
        <v>30</v>
      </c>
      <c r="B51" s="6" t="inlineStr">
        <is>
          <t>Perhutani Precet Lereng Gunung Kawi</t>
        </is>
      </c>
      <c r="C51" s="6" t="n">
        <v>5000</v>
      </c>
      <c r="D51" s="6" t="n">
        <v>-8.001235899999999</v>
      </c>
      <c r="E51" s="6" t="n">
        <v>112.5076674</v>
      </c>
      <c r="F51" s="6" t="inlineStr">
        <is>
          <t>Murah</t>
        </is>
      </c>
    </row>
    <row r="52">
      <c r="A52" s="6" t="n">
        <v>31</v>
      </c>
      <c r="B52" s="6" t="inlineStr">
        <is>
          <t>HUTAN KAWI &amp; BASCAM PUNCAK BATU TULIS</t>
        </is>
      </c>
      <c r="C52" s="6" t="n">
        <v>12500</v>
      </c>
      <c r="D52" s="6" t="n">
        <v>-8.0005001</v>
      </c>
      <c r="E52" s="6" t="n">
        <v>112.5083635</v>
      </c>
      <c r="F52" s="6" t="inlineStr">
        <is>
          <t>Murah</t>
        </is>
      </c>
    </row>
    <row r="53">
      <c r="A53" s="6" t="n">
        <v>33</v>
      </c>
      <c r="B53" s="6" t="inlineStr">
        <is>
          <t>Bromo Transit Park Tumpang</t>
        </is>
      </c>
      <c r="C53" s="6" t="n">
        <v>10000</v>
      </c>
      <c r="D53" s="6" t="n">
        <v>-8.0199365</v>
      </c>
      <c r="E53" s="6" t="n">
        <v>112.778365</v>
      </c>
      <c r="F53" s="6" t="inlineStr">
        <is>
          <t>Murah</t>
        </is>
      </c>
    </row>
    <row r="54">
      <c r="A54" s="6" t="n">
        <v>34</v>
      </c>
      <c r="B54" s="6" t="inlineStr">
        <is>
          <t>Sumber Maron</t>
        </is>
      </c>
      <c r="C54" s="6" t="n">
        <v>5000</v>
      </c>
      <c r="D54" s="6" t="n">
        <v>-8.1656096</v>
      </c>
      <c r="E54" s="6" t="n">
        <v>112.5920333</v>
      </c>
      <c r="F54" s="6" t="inlineStr">
        <is>
          <t>Murah</t>
        </is>
      </c>
    </row>
    <row r="55">
      <c r="A55" s="6" t="n">
        <v>35</v>
      </c>
      <c r="B55" s="6" t="inlineStr">
        <is>
          <t>Wisata Rekreasi Kolam renang Lembah gunung sari</t>
        </is>
      </c>
      <c r="C55" s="6" t="n">
        <v>10000</v>
      </c>
      <c r="D55" s="6" t="n">
        <v>-7.9648866</v>
      </c>
      <c r="E55" s="6" t="n">
        <v>112.5548381</v>
      </c>
      <c r="F55" s="6" t="inlineStr">
        <is>
          <t>Murah</t>
        </is>
      </c>
    </row>
    <row r="56">
      <c r="A56" s="6" t="n">
        <v>36</v>
      </c>
      <c r="B56" s="6" t="inlineStr">
        <is>
          <t>Air Terjun Coban Pelangi, Malang</t>
        </is>
      </c>
      <c r="C56" s="6" t="n">
        <v>5000</v>
      </c>
      <c r="D56" s="6" t="n">
        <v>-8.011407999999999</v>
      </c>
      <c r="E56" s="6" t="n">
        <v>112.8603973</v>
      </c>
      <c r="F56" s="6" t="inlineStr">
        <is>
          <t>Murah</t>
        </is>
      </c>
    </row>
    <row r="57">
      <c r="A57" s="6" t="n">
        <v>37</v>
      </c>
      <c r="B57" s="6" t="inlineStr">
        <is>
          <t>GUNUNG KITIRAN</t>
        </is>
      </c>
      <c r="C57" s="6" t="n">
        <v>150000</v>
      </c>
      <c r="D57" s="6" t="n">
        <v>-8.319307</v>
      </c>
      <c r="E57" s="6" t="n">
        <v>112.6909911</v>
      </c>
      <c r="F57" s="6" t="inlineStr">
        <is>
          <t>Murah</t>
        </is>
      </c>
    </row>
    <row r="58">
      <c r="A58" s="6" t="n">
        <v>39</v>
      </c>
      <c r="B58" s="6" t="inlineStr">
        <is>
          <t>Bukit Mendek Wetan</t>
        </is>
      </c>
      <c r="C58" s="6" t="n">
        <v>575000</v>
      </c>
      <c r="D58" s="6" t="n">
        <v>-7.8550625</v>
      </c>
      <c r="E58" s="6" t="n">
        <v>112.7399375</v>
      </c>
      <c r="F58" s="6" t="inlineStr">
        <is>
          <t>Murah</t>
        </is>
      </c>
    </row>
    <row r="59">
      <c r="A59" s="6" t="n">
        <v>40</v>
      </c>
      <c r="B59" s="6" t="inlineStr">
        <is>
          <t>Arjuna Geopark</t>
        </is>
      </c>
      <c r="C59" s="6" t="n">
        <v>54000</v>
      </c>
      <c r="D59" s="6" t="n">
        <v>-7.8184952</v>
      </c>
      <c r="E59" s="6" t="n">
        <v>112.6463259</v>
      </c>
      <c r="F59" s="6" t="inlineStr">
        <is>
          <t>Murah</t>
        </is>
      </c>
    </row>
    <row r="60">
      <c r="A60" s="6" t="n">
        <v>41</v>
      </c>
      <c r="B60" s="6" t="inlineStr">
        <is>
          <t>Air Terjun Sumber Pitu Tumpang</t>
        </is>
      </c>
      <c r="C60" s="6" t="n">
        <v>15000</v>
      </c>
      <c r="D60" s="6" t="n">
        <v>-8.013583199999999</v>
      </c>
      <c r="E60" s="6" t="n">
        <v>112.8217266</v>
      </c>
      <c r="F60" s="6" t="inlineStr">
        <is>
          <t>Murah</t>
        </is>
      </c>
    </row>
    <row r="61">
      <c r="A61" s="6" t="n">
        <v>42</v>
      </c>
      <c r="B61" s="6" t="inlineStr">
        <is>
          <t>Hutan Kota Malabar Malang</t>
        </is>
      </c>
      <c r="C61" s="6" t="n">
        <v>25000</v>
      </c>
      <c r="D61" s="6" t="n">
        <v>-7.9685</v>
      </c>
      <c r="E61" s="6" t="n">
        <v>112.626514</v>
      </c>
      <c r="F61" s="6" t="inlineStr">
        <is>
          <t>Murah</t>
        </is>
      </c>
    </row>
    <row r="62">
      <c r="A62" s="6" t="n">
        <v>43</v>
      </c>
      <c r="B62" s="6" t="inlineStr">
        <is>
          <t>Wisata Alam Sumber Jenon</t>
        </is>
      </c>
      <c r="C62" s="6" t="n">
        <v>5000</v>
      </c>
      <c r="D62" s="6" t="n">
        <v>-8.0496699</v>
      </c>
      <c r="E62" s="6" t="n">
        <v>112.7164657</v>
      </c>
      <c r="F62" s="6" t="inlineStr">
        <is>
          <t>Murah</t>
        </is>
      </c>
    </row>
    <row r="63">
      <c r="A63" s="6" t="n">
        <v>44</v>
      </c>
      <c r="B63" s="6" t="inlineStr">
        <is>
          <t>Coban Bidadari</t>
        </is>
      </c>
      <c r="C63" s="6" t="n">
        <v>5000</v>
      </c>
      <c r="D63" s="6" t="n">
        <v>-8.006144000000001</v>
      </c>
      <c r="E63" s="6" t="n">
        <v>112.867754</v>
      </c>
      <c r="F63" s="6" t="inlineStr">
        <is>
          <t>Murah</t>
        </is>
      </c>
    </row>
    <row r="64">
      <c r="A64" s="6" t="n">
        <v>45</v>
      </c>
      <c r="B64" s="6" t="inlineStr">
        <is>
          <t>Budug Asu 1422 Mdpl</t>
        </is>
      </c>
      <c r="C64" s="6" t="n">
        <v>10000</v>
      </c>
      <c r="D64" s="6" t="n">
        <v>-7.8066024</v>
      </c>
      <c r="E64" s="6" t="n">
        <v>112.6192365</v>
      </c>
      <c r="F64" s="6" t="inlineStr">
        <is>
          <t>Murah</t>
        </is>
      </c>
    </row>
    <row r="65">
      <c r="A65" s="6" t="n">
        <v>46</v>
      </c>
      <c r="B65" s="6" t="inlineStr">
        <is>
          <t>Florawisata Santerra De Laponte</t>
        </is>
      </c>
      <c r="C65" s="6" t="n">
        <v>10000</v>
      </c>
      <c r="D65" s="6" t="n">
        <v>-7.8538694</v>
      </c>
      <c r="E65" s="6" t="n">
        <v>112.4851352</v>
      </c>
      <c r="F65" s="6" t="inlineStr">
        <is>
          <t>Murah</t>
        </is>
      </c>
    </row>
    <row r="66">
      <c r="A66" s="6" t="n">
        <v>47</v>
      </c>
      <c r="B66" s="6" t="inlineStr">
        <is>
          <t>Bukit Teletubbies Batu</t>
        </is>
      </c>
      <c r="C66" s="6" t="n">
        <v>5000</v>
      </c>
      <c r="D66" s="6" t="n">
        <v>-7.85376</v>
      </c>
      <c r="E66" s="6" t="n">
        <v>112.5395231</v>
      </c>
      <c r="F66" s="6" t="inlineStr">
        <is>
          <t>Murah</t>
        </is>
      </c>
    </row>
    <row r="67">
      <c r="A67" s="6" t="n">
        <v>48</v>
      </c>
      <c r="B67" s="6" t="inlineStr">
        <is>
          <t>Air Terjun Coban Glotak</t>
        </is>
      </c>
      <c r="C67" s="6" t="n">
        <v>10000</v>
      </c>
      <c r="D67" s="6" t="n">
        <v>-7.9821112</v>
      </c>
      <c r="E67" s="6" t="n">
        <v>112.5211667</v>
      </c>
      <c r="F67" s="6" t="inlineStr">
        <is>
          <t>Murah</t>
        </is>
      </c>
    </row>
    <row r="68">
      <c r="A68" s="6" t="n">
        <v>50</v>
      </c>
      <c r="B68" s="6" t="inlineStr">
        <is>
          <t>Air Terjun Coban Jahe</t>
        </is>
      </c>
      <c r="C68" s="6" t="n">
        <v>5000</v>
      </c>
      <c r="D68" s="6" t="n">
        <v>-7.9705673</v>
      </c>
      <c r="E68" s="6" t="n">
        <v>112.8023017</v>
      </c>
      <c r="F68" s="6" t="inlineStr">
        <is>
          <t>Murah</t>
        </is>
      </c>
    </row>
    <row r="69">
      <c r="A69" s="6" t="n">
        <v>51</v>
      </c>
      <c r="B69" s="6" t="inlineStr">
        <is>
          <t>Desa Wisata Pujonkidul</t>
        </is>
      </c>
      <c r="C69" s="6" t="n">
        <v>5000</v>
      </c>
      <c r="D69" s="6" t="n">
        <v>-7.8557059</v>
      </c>
      <c r="E69" s="6" t="n">
        <v>112.4558603</v>
      </c>
      <c r="F69" s="6" t="inlineStr">
        <is>
          <t>Murah</t>
        </is>
      </c>
    </row>
    <row r="70">
      <c r="A70" s="6" t="n">
        <v>52</v>
      </c>
      <c r="B70" s="6" t="inlineStr">
        <is>
          <t>Gussari Goa Pinus Batu</t>
        </is>
      </c>
      <c r="C70" s="6" t="n">
        <v>35000</v>
      </c>
      <c r="D70" s="6" t="n">
        <v>-7.8480284</v>
      </c>
      <c r="E70" s="6" t="n">
        <v>112.4940029</v>
      </c>
      <c r="F70" s="6" t="inlineStr">
        <is>
          <t>Murah</t>
        </is>
      </c>
    </row>
    <row r="71">
      <c r="A71" s="6" t="n">
        <v>53</v>
      </c>
      <c r="B71" s="6" t="inlineStr">
        <is>
          <t>Pemandian Sumber Nyolo</t>
        </is>
      </c>
      <c r="C71" s="6" t="n">
        <v>10000</v>
      </c>
      <c r="D71" s="6" t="n">
        <v>-7.8801751</v>
      </c>
      <c r="E71" s="6" t="n">
        <v>112.6208013</v>
      </c>
      <c r="F71" s="6" t="inlineStr">
        <is>
          <t>Murah</t>
        </is>
      </c>
    </row>
    <row r="72">
      <c r="A72" s="6" t="n">
        <v>55</v>
      </c>
      <c r="B72" s="6" t="inlineStr">
        <is>
          <t>Sumber Sira Putukrejo</t>
        </is>
      </c>
      <c r="C72" s="6" t="n">
        <v>10000</v>
      </c>
      <c r="D72" s="6" t="n">
        <v>-8.122829299999999</v>
      </c>
      <c r="E72" s="6" t="n">
        <v>112.6206066</v>
      </c>
      <c r="F72" s="6" t="inlineStr">
        <is>
          <t>Murah</t>
        </is>
      </c>
    </row>
    <row r="73">
      <c r="A73" s="6" t="n">
        <v>59</v>
      </c>
      <c r="B73" s="6" t="inlineStr">
        <is>
          <t>Wonosari Tea Plantation</t>
        </is>
      </c>
      <c r="C73" s="6" t="n">
        <v>5000</v>
      </c>
      <c r="D73" s="6" t="n">
        <v>-7.8203975</v>
      </c>
      <c r="E73" s="6" t="n">
        <v>112.6446857</v>
      </c>
      <c r="F73" s="6" t="inlineStr">
        <is>
          <t>Murah</t>
        </is>
      </c>
    </row>
    <row r="74">
      <c r="A74" s="6" t="n">
        <v>60</v>
      </c>
      <c r="B74" s="6" t="inlineStr">
        <is>
          <t>Wisata Agro Selo Tumpeng (ꦮꦶꦱꦠꦱꦺꦭꦠꦸꦩ꧀ꦥꦁ)</t>
        </is>
      </c>
      <c r="C74" s="6" t="n">
        <v>10000</v>
      </c>
      <c r="D74" s="6" t="n">
        <v>-8.028335800000001</v>
      </c>
      <c r="E74" s="6" t="n">
        <v>112.4874322</v>
      </c>
      <c r="F74" s="6" t="inlineStr">
        <is>
          <t>Murah</t>
        </is>
      </c>
    </row>
    <row r="75">
      <c r="A75" s="6" t="n">
        <v>61</v>
      </c>
      <c r="B75" s="6" t="inlineStr">
        <is>
          <t>Wisata Malang Dreamland</t>
        </is>
      </c>
      <c r="C75" s="6" t="n">
        <v>15000</v>
      </c>
      <c r="D75" s="6" t="n">
        <v>-8.083138399999999</v>
      </c>
      <c r="E75" s="6" t="n">
        <v>112.7859356</v>
      </c>
      <c r="F75" s="6" t="inlineStr">
        <is>
          <t>Murah</t>
        </is>
      </c>
    </row>
    <row r="76">
      <c r="A76" s="6" t="n">
        <v>62</v>
      </c>
      <c r="B76" s="6" t="inlineStr">
        <is>
          <t>Air Terjun Coban Siuk</t>
        </is>
      </c>
      <c r="C76" s="6" t="n">
        <v>5000</v>
      </c>
      <c r="D76" s="6" t="n">
        <v>-7.9570911</v>
      </c>
      <c r="E76" s="6" t="n">
        <v>112.82087</v>
      </c>
      <c r="F76" s="6" t="inlineStr">
        <is>
          <t>Murah</t>
        </is>
      </c>
    </row>
    <row r="77">
      <c r="A77" s="6" t="n">
        <v>63</v>
      </c>
      <c r="B77" s="6" t="inlineStr">
        <is>
          <t>Pantai Batu Bengkung</t>
        </is>
      </c>
      <c r="C77" s="6" t="n">
        <v>10000</v>
      </c>
      <c r="D77" s="6" t="n">
        <v>-8.430187500000001</v>
      </c>
      <c r="E77" s="6" t="n">
        <v>112.6151875</v>
      </c>
      <c r="F77" s="6" t="inlineStr">
        <is>
          <t>Murah</t>
        </is>
      </c>
    </row>
    <row r="78">
      <c r="A78" s="6" t="n">
        <v>64</v>
      </c>
      <c r="B78" s="6" t="inlineStr">
        <is>
          <t>Coban Srengenge</t>
        </is>
      </c>
      <c r="C78" s="6" t="n">
        <v>22000</v>
      </c>
      <c r="D78" s="6" t="n">
        <v>-8.2507363</v>
      </c>
      <c r="E78" s="6" t="n">
        <v>112.8840752</v>
      </c>
      <c r="F78" s="6" t="inlineStr">
        <is>
          <t>Murah</t>
        </is>
      </c>
    </row>
    <row r="79">
      <c r="A79" s="6" t="n">
        <v>65</v>
      </c>
      <c r="B79" s="6" t="inlineStr">
        <is>
          <t>Wisata Alam "SUMBER GENTONG"</t>
        </is>
      </c>
      <c r="C79" s="6" t="n">
        <v>20000</v>
      </c>
      <c r="D79" s="6" t="n">
        <v>-7.9442783</v>
      </c>
      <c r="E79" s="6" t="n">
        <v>112.6734667</v>
      </c>
      <c r="F79" s="6" t="inlineStr">
        <is>
          <t>Murah</t>
        </is>
      </c>
    </row>
    <row r="80">
      <c r="A80" s="6" t="n">
        <v>66</v>
      </c>
      <c r="B80" s="6" t="inlineStr">
        <is>
          <t>Wisata Payung Batu</t>
        </is>
      </c>
      <c r="C80" s="6" t="n">
        <v>5000</v>
      </c>
      <c r="D80" s="6" t="n">
        <v>-7.8656156</v>
      </c>
      <c r="E80" s="6" t="n">
        <v>112.4888066</v>
      </c>
      <c r="F80" s="6" t="inlineStr">
        <is>
          <t>Murah</t>
        </is>
      </c>
    </row>
    <row r="81">
      <c r="A81" s="6" t="n">
        <v>67</v>
      </c>
      <c r="B81" s="6" t="inlineStr">
        <is>
          <t>Coban Tundo</t>
        </is>
      </c>
      <c r="C81" s="6" t="n">
        <v>5000</v>
      </c>
      <c r="D81" s="6" t="n">
        <v>-8.3411808</v>
      </c>
      <c r="E81" s="6" t="n">
        <v>112.7947731</v>
      </c>
      <c r="F81" s="6" t="inlineStr">
        <is>
          <t>Murah</t>
        </is>
      </c>
    </row>
    <row r="82">
      <c r="A82" s="6" t="n">
        <v>70</v>
      </c>
      <c r="B82" s="6" t="inlineStr">
        <is>
          <t>Boonpring</t>
        </is>
      </c>
      <c r="C82" s="6" t="n">
        <v>5000</v>
      </c>
      <c r="D82" s="6" t="n">
        <v>-8.155770499999999</v>
      </c>
      <c r="E82" s="6" t="n">
        <v>112.7619607</v>
      </c>
      <c r="F82" s="6" t="inlineStr">
        <is>
          <t>Murah</t>
        </is>
      </c>
    </row>
    <row r="83">
      <c r="A83" s="6" t="n">
        <v>71</v>
      </c>
      <c r="B83" s="6" t="inlineStr">
        <is>
          <t>PUNCAK BINGLIS</t>
        </is>
      </c>
      <c r="C83" s="6" t="n">
        <v>5000</v>
      </c>
      <c r="D83" s="6" t="n">
        <v>-8.3204505</v>
      </c>
      <c r="E83" s="6" t="n">
        <v>112.8124499</v>
      </c>
      <c r="F83" s="6" t="inlineStr">
        <is>
          <t>Murah</t>
        </is>
      </c>
    </row>
    <row r="84">
      <c r="A84" s="6" t="n">
        <v>72</v>
      </c>
      <c r="B84" s="6" t="inlineStr">
        <is>
          <t>Wisata Umbulan Tanaka</t>
        </is>
      </c>
      <c r="C84" s="6" t="n">
        <v>5000</v>
      </c>
      <c r="D84" s="6" t="n">
        <v>-8.0850019</v>
      </c>
      <c r="E84" s="6" t="n">
        <v>112.4980953</v>
      </c>
      <c r="F84" s="6" t="inlineStr">
        <is>
          <t>Murah</t>
        </is>
      </c>
    </row>
    <row r="85">
      <c r="A85" s="6" t="n">
        <v>73</v>
      </c>
      <c r="B85" s="6" t="inlineStr">
        <is>
          <t>Bumi Perkemahan Gunung Katu ꦨꦸꦩꦶꦥꦼꦂꦏꦺꦩꦲꦤ꧀</t>
        </is>
      </c>
      <c r="C85" s="6" t="n">
        <v>54000</v>
      </c>
      <c r="D85" s="6" t="n">
        <v>-8.029849</v>
      </c>
      <c r="E85" s="6" t="n">
        <v>112.5635613</v>
      </c>
      <c r="F85" s="6" t="inlineStr">
        <is>
          <t>Murah</t>
        </is>
      </c>
    </row>
    <row r="86">
      <c r="A86" s="6" t="n">
        <v>74</v>
      </c>
      <c r="B86" s="6" t="inlineStr">
        <is>
          <t>Wisata Goa Pandawa</t>
        </is>
      </c>
      <c r="C86" s="6" t="n">
        <v>35000</v>
      </c>
      <c r="D86" s="6" t="n">
        <v>-7.8522618</v>
      </c>
      <c r="E86" s="6" t="n">
        <v>112.5016023</v>
      </c>
      <c r="F86" s="6" t="inlineStr">
        <is>
          <t>Murah</t>
        </is>
      </c>
    </row>
    <row r="87">
      <c r="A87" s="6" t="n">
        <v>75</v>
      </c>
      <c r="B87" s="6" t="inlineStr">
        <is>
          <t>Sumber Nagan</t>
        </is>
      </c>
      <c r="C87" s="6" t="n">
        <v>150000</v>
      </c>
      <c r="D87" s="6" t="n">
        <v>-7.875618</v>
      </c>
      <c r="E87" s="6" t="n">
        <v>112.653535</v>
      </c>
      <c r="F87" s="6" t="inlineStr">
        <is>
          <t>Murah</t>
        </is>
      </c>
    </row>
    <row r="88">
      <c r="A88" s="6" t="n">
        <v>76</v>
      </c>
      <c r="B88" s="6" t="inlineStr">
        <is>
          <t>Air Terjun Coban Kethak</t>
        </is>
      </c>
      <c r="C88" s="6" t="n">
        <v>30000</v>
      </c>
      <c r="D88" s="6" t="n">
        <v>-7.8028103</v>
      </c>
      <c r="E88" s="6" t="n">
        <v>112.3569176</v>
      </c>
      <c r="F88" s="6" t="inlineStr">
        <is>
          <t>Murah</t>
        </is>
      </c>
    </row>
    <row r="89">
      <c r="A89" s="6" t="n">
        <v>78</v>
      </c>
      <c r="B89" s="6" t="inlineStr">
        <is>
          <t>Pari Bendo</t>
        </is>
      </c>
      <c r="C89" s="6" t="n">
        <v>5000</v>
      </c>
      <c r="D89" s="6" t="n">
        <v>-7.8354365</v>
      </c>
      <c r="E89" s="6" t="n">
        <v>112.6838566</v>
      </c>
      <c r="F89" s="6" t="inlineStr">
        <is>
          <t>Murah</t>
        </is>
      </c>
    </row>
    <row r="90">
      <c r="A90" s="6" t="n">
        <v>79</v>
      </c>
      <c r="B90" s="6" t="inlineStr">
        <is>
          <t>Coban Nirwana</t>
        </is>
      </c>
      <c r="C90" s="6" t="n">
        <v>2000</v>
      </c>
      <c r="D90" s="6" t="n">
        <v>-8.310087100000001</v>
      </c>
      <c r="E90" s="6" t="n">
        <v>112.667504</v>
      </c>
      <c r="F90" s="6" t="inlineStr">
        <is>
          <t>Murah</t>
        </is>
      </c>
    </row>
    <row r="91">
      <c r="A91" s="6" t="n">
        <v>80</v>
      </c>
      <c r="B91" s="6" t="inlineStr">
        <is>
          <t>Air Terjun Ciblungan</t>
        </is>
      </c>
      <c r="C91" s="6" t="n">
        <v>8000</v>
      </c>
      <c r="D91" s="6" t="n">
        <v>-8.2418175</v>
      </c>
      <c r="E91" s="6" t="n">
        <v>112.9065237</v>
      </c>
      <c r="F91" s="6" t="inlineStr">
        <is>
          <t>Murah</t>
        </is>
      </c>
    </row>
    <row r="92">
      <c r="A92" s="6" t="n">
        <v>81</v>
      </c>
      <c r="B92" s="6" t="inlineStr">
        <is>
          <t>Air Terjun Jidor</t>
        </is>
      </c>
      <c r="C92" s="6" t="n">
        <v>5000</v>
      </c>
      <c r="D92" s="6" t="n">
        <v>-8.000312900000001</v>
      </c>
      <c r="E92" s="6" t="n">
        <v>112.8075991</v>
      </c>
      <c r="F92" s="6" t="inlineStr">
        <is>
          <t>Murah</t>
        </is>
      </c>
    </row>
    <row r="93">
      <c r="A93" s="6" t="n">
        <v>82</v>
      </c>
      <c r="B93" s="6" t="inlineStr">
        <is>
          <t>Wiken Wisata Kampung Enem</t>
        </is>
      </c>
      <c r="C93" s="6" t="n">
        <v>5000</v>
      </c>
      <c r="D93" s="6" t="n">
        <v>-8.120277</v>
      </c>
      <c r="E93" s="6" t="n">
        <v>112.780281</v>
      </c>
      <c r="F93" s="6" t="inlineStr">
        <is>
          <t>Murah</t>
        </is>
      </c>
    </row>
    <row r="94">
      <c r="A94" s="6" t="n">
        <v>83</v>
      </c>
      <c r="B94" s="6" t="inlineStr">
        <is>
          <t>Gunung Sari Sunset</t>
        </is>
      </c>
      <c r="C94" s="6" t="n">
        <v>2000</v>
      </c>
      <c r="D94" s="6" t="n">
        <v>-8.013536200000001</v>
      </c>
      <c r="E94" s="6" t="n">
        <v>112.8534067</v>
      </c>
      <c r="F94" s="6" t="inlineStr">
        <is>
          <t>Murah</t>
        </is>
      </c>
    </row>
    <row r="95">
      <c r="A95" s="6" t="n">
        <v>87</v>
      </c>
      <c r="B95" s="6" t="inlineStr">
        <is>
          <t>Petilasan Mbah Wali Besi, Mbah Endang Sari - Gunung Tanggung</t>
        </is>
      </c>
      <c r="C95" s="6" t="n">
        <v>15000</v>
      </c>
      <c r="D95" s="6" t="n">
        <v>-7.9251344</v>
      </c>
      <c r="E95" s="6" t="n">
        <v>112.8056887</v>
      </c>
      <c r="F95" s="6" t="inlineStr">
        <is>
          <t>Murah</t>
        </is>
      </c>
    </row>
    <row r="96">
      <c r="A96" s="6" t="n">
        <v>88</v>
      </c>
      <c r="B96" s="6" t="inlineStr">
        <is>
          <t>Desa Wisata Sidorejo Indah ( Dewi Sri )</t>
        </is>
      </c>
      <c r="C96" s="6" t="n">
        <v>29000</v>
      </c>
      <c r="D96" s="6" t="n">
        <v>-7.9727686</v>
      </c>
      <c r="E96" s="6" t="n">
        <v>112.7541743</v>
      </c>
      <c r="F96" s="6" t="inlineStr">
        <is>
          <t>Murah</t>
        </is>
      </c>
    </row>
    <row r="97">
      <c r="A97" s="6" t="n">
        <v>89</v>
      </c>
      <c r="B97" s="6" t="inlineStr">
        <is>
          <t>Alun Alun Tugu Malang</t>
        </is>
      </c>
      <c r="C97" s="6" t="n">
        <v>40000</v>
      </c>
      <c r="D97" s="6" t="n">
        <v>-7.977143</v>
      </c>
      <c r="E97" s="6" t="n">
        <v>112.6340478</v>
      </c>
      <c r="F97" s="6" t="inlineStr">
        <is>
          <t>Murah</t>
        </is>
      </c>
    </row>
    <row r="98">
      <c r="A98" s="6" t="n">
        <v>90</v>
      </c>
      <c r="B98" s="6" t="inlineStr">
        <is>
          <t>Pentungan Sari Waterpark</t>
        </is>
      </c>
      <c r="C98" s="6" t="n">
        <v>25000</v>
      </c>
      <c r="D98" s="6" t="n">
        <v>-7.8522273</v>
      </c>
      <c r="E98" s="6" t="n">
        <v>112.6583238</v>
      </c>
      <c r="F98" s="6" t="inlineStr">
        <is>
          <t>Murah</t>
        </is>
      </c>
    </row>
    <row r="99">
      <c r="A99" s="6" t="n">
        <v>91</v>
      </c>
      <c r="B99" s="6" t="inlineStr">
        <is>
          <t>Pondok Wisata Latar Ombo "L.O."</t>
        </is>
      </c>
      <c r="C99" s="6" t="n">
        <v>10000</v>
      </c>
      <c r="D99" s="6" t="n">
        <v>-7.9780562</v>
      </c>
      <c r="E99" s="6" t="n">
        <v>112.5617927</v>
      </c>
      <c r="F99" s="6" t="inlineStr">
        <is>
          <t>Murah</t>
        </is>
      </c>
    </row>
    <row r="100">
      <c r="A100" s="6" t="n">
        <v>92</v>
      </c>
      <c r="B100" s="6" t="inlineStr">
        <is>
          <t>Tlogo Land</t>
        </is>
      </c>
      <c r="C100" s="6" t="n">
        <v>10000</v>
      </c>
      <c r="D100" s="6" t="n">
        <v>-7.8272887</v>
      </c>
      <c r="E100" s="6" t="n">
        <v>112.6810779</v>
      </c>
      <c r="F100" s="6" t="inlineStr">
        <is>
          <t>Murah</t>
        </is>
      </c>
    </row>
    <row r="101">
      <c r="A101" s="6" t="n">
        <v>93</v>
      </c>
      <c r="B101" s="6" t="inlineStr">
        <is>
          <t>COBAN PANDAWA</t>
        </is>
      </c>
      <c r="C101" s="6" t="n">
        <v>35000</v>
      </c>
      <c r="D101" s="6" t="n">
        <v>-8.3106761</v>
      </c>
      <c r="E101" s="6" t="n">
        <v>112.7842676</v>
      </c>
      <c r="F101" s="6" t="inlineStr">
        <is>
          <t>Murah</t>
        </is>
      </c>
    </row>
    <row r="102">
      <c r="A102" s="6" t="n">
        <v>94</v>
      </c>
      <c r="B102" s="6" t="inlineStr">
        <is>
          <t>Wisata Petik Jeruk Dau</t>
        </is>
      </c>
      <c r="C102" s="6" t="n">
        <v>175000</v>
      </c>
      <c r="D102" s="6" t="n">
        <v>-7.938718</v>
      </c>
      <c r="E102" s="6" t="n">
        <v>112.5394091</v>
      </c>
      <c r="F102" s="6" t="inlineStr">
        <is>
          <t>Murah</t>
        </is>
      </c>
    </row>
    <row r="103">
      <c r="A103" s="6" t="n">
        <v>95</v>
      </c>
      <c r="B103" s="6" t="inlineStr">
        <is>
          <t>Pasir Berbisik</t>
        </is>
      </c>
      <c r="C103" s="6" t="n">
        <v>10000</v>
      </c>
      <c r="D103" s="6" t="n">
        <v>-7.9379202</v>
      </c>
      <c r="E103" s="6" t="n">
        <v>112.9704424</v>
      </c>
      <c r="F103" s="6" t="inlineStr">
        <is>
          <t>Murah</t>
        </is>
      </c>
    </row>
    <row r="104">
      <c r="A104" s="6" t="n">
        <v>98</v>
      </c>
      <c r="B104" s="6" t="inlineStr">
        <is>
          <t>Target Terjun Payung</t>
        </is>
      </c>
      <c r="C104" s="6" t="n">
        <v>20000</v>
      </c>
      <c r="D104" s="6" t="n">
        <v>-7.8884713</v>
      </c>
      <c r="E104" s="6" t="n">
        <v>112.7442208</v>
      </c>
      <c r="F104" s="6" t="inlineStr">
        <is>
          <t>Murah</t>
        </is>
      </c>
    </row>
    <row r="105">
      <c r="A105" s="6" t="n">
        <v>99</v>
      </c>
      <c r="B105" s="6" t="inlineStr">
        <is>
          <t>Wisata Desa BONPI / de' Asmorondono</t>
        </is>
      </c>
      <c r="C105" s="6" t="n">
        <v>54000</v>
      </c>
      <c r="D105" s="6" t="n">
        <v>-7.8386369</v>
      </c>
      <c r="E105" s="6" t="n">
        <v>112.4540645</v>
      </c>
      <c r="F105" s="6" t="inlineStr">
        <is>
          <t>Murah</t>
        </is>
      </c>
    </row>
    <row r="106">
      <c r="A106" s="6" t="n">
        <v>102</v>
      </c>
      <c r="B106" s="6" t="inlineStr">
        <is>
          <t>Coban Sumber Papat ꦕꦺꦴꦧꦤ꧀ꦱꦸꦩ꧀ꦧꦼꦂꦥꦥꦠ꧀</t>
        </is>
      </c>
      <c r="C106" s="6" t="n">
        <v>12500</v>
      </c>
      <c r="D106" s="6" t="n">
        <v>-7.8962514</v>
      </c>
      <c r="E106" s="6" t="n">
        <v>112.4623389</v>
      </c>
      <c r="F106" s="6" t="inlineStr">
        <is>
          <t>Murah</t>
        </is>
      </c>
    </row>
    <row r="107">
      <c r="A107" s="6" t="n">
        <v>103</v>
      </c>
      <c r="B107" s="6" t="inlineStr">
        <is>
          <t>Gunung Ringgit</t>
        </is>
      </c>
      <c r="C107" s="6" t="n">
        <v>15000</v>
      </c>
      <c r="D107" s="6" t="n">
        <v>-7.9131508</v>
      </c>
      <c r="E107" s="6" t="n">
        <v>113.0049682</v>
      </c>
      <c r="F107" s="6" t="inlineStr">
        <is>
          <t>Murah</t>
        </is>
      </c>
    </row>
    <row r="108">
      <c r="A108" s="6" t="n">
        <v>105</v>
      </c>
      <c r="B108" s="6" t="inlineStr">
        <is>
          <t>Cafe Sawah Pujonkidul</t>
        </is>
      </c>
      <c r="C108" s="6" t="n">
        <v>35000</v>
      </c>
      <c r="D108" s="6" t="n">
        <v>-7.8545719</v>
      </c>
      <c r="E108" s="6" t="n">
        <v>112.4538339</v>
      </c>
      <c r="F108" s="6" t="inlineStr">
        <is>
          <t>Murah</t>
        </is>
      </c>
    </row>
    <row r="109">
      <c r="A109" s="6" t="n">
        <v>106</v>
      </c>
      <c r="B109" s="6" t="inlineStr">
        <is>
          <t>Kebun Rojo Camp</t>
        </is>
      </c>
      <c r="C109" s="6" t="n">
        <v>100000</v>
      </c>
      <c r="D109" s="6" t="n">
        <v>-7.928933</v>
      </c>
      <c r="E109" s="6" t="n">
        <v>112.5181222</v>
      </c>
      <c r="F109" s="6" t="inlineStr">
        <is>
          <t>Murah</t>
        </is>
      </c>
    </row>
    <row r="110">
      <c r="A110" s="6" t="n">
        <v>109</v>
      </c>
      <c r="B110" s="6" t="inlineStr">
        <is>
          <t>Kampung Budaya Polowijen</t>
        </is>
      </c>
      <c r="C110" s="6" t="n">
        <v>15000</v>
      </c>
      <c r="D110" s="6" t="n">
        <v>-7.9293194</v>
      </c>
      <c r="E110" s="6" t="n">
        <v>112.6433852</v>
      </c>
      <c r="F110" s="6" t="inlineStr">
        <is>
          <t>Murah</t>
        </is>
      </c>
    </row>
    <row r="111">
      <c r="A111" s="6" t="n">
        <v>111</v>
      </c>
      <c r="B111" s="6" t="inlineStr">
        <is>
          <t>Kampung Tridi</t>
        </is>
      </c>
      <c r="C111" s="6" t="n">
        <v>40000</v>
      </c>
      <c r="D111" s="6" t="n">
        <v>-7.9822081</v>
      </c>
      <c r="E111" s="6" t="n">
        <v>112.638085</v>
      </c>
      <c r="F111" s="6" t="inlineStr">
        <is>
          <t>Murah</t>
        </is>
      </c>
    </row>
    <row r="112">
      <c r="A112" s="6" t="n">
        <v>112</v>
      </c>
      <c r="B112" s="6" t="inlineStr">
        <is>
          <t>Wisata Kampung Putih Malang</t>
        </is>
      </c>
      <c r="C112" s="6" t="n">
        <v>5000</v>
      </c>
      <c r="D112" s="6" t="n">
        <v>-7.9727599</v>
      </c>
      <c r="E112" s="6" t="n">
        <v>112.6309237</v>
      </c>
      <c r="F112" s="6" t="inlineStr">
        <is>
          <t>Murah</t>
        </is>
      </c>
    </row>
    <row r="113">
      <c r="A113" s="6" t="n">
        <v>113</v>
      </c>
      <c r="B113" s="6" t="inlineStr">
        <is>
          <t>Alun-Alun Malang</t>
        </is>
      </c>
      <c r="C113" s="6" t="n">
        <v>5000</v>
      </c>
      <c r="D113" s="6" t="n">
        <v>-7.9826145</v>
      </c>
      <c r="E113" s="6" t="n">
        <v>112.6308113</v>
      </c>
      <c r="F113" s="6" t="inlineStr">
        <is>
          <t>Murah</t>
        </is>
      </c>
    </row>
    <row r="114">
      <c r="A114" s="6" t="n">
        <v>114</v>
      </c>
      <c r="B114" s="6" t="inlineStr">
        <is>
          <t>Monumen Juang</t>
        </is>
      </c>
      <c r="C114" s="6" t="n">
        <v>2000</v>
      </c>
      <c r="D114" s="6" t="n">
        <v>-7.9775531</v>
      </c>
      <c r="E114" s="6" t="n">
        <v>112.636329</v>
      </c>
      <c r="F114" s="6" t="inlineStr">
        <is>
          <t>Murah</t>
        </is>
      </c>
    </row>
    <row r="115">
      <c r="A115" s="6" t="n">
        <v>115</v>
      </c>
      <c r="B115" s="6" t="inlineStr">
        <is>
          <t>Graha Tumapel</t>
        </is>
      </c>
      <c r="C115" s="6" t="n">
        <v>2000</v>
      </c>
      <c r="D115" s="6" t="n">
        <v>-7.9782186</v>
      </c>
      <c r="E115" s="6" t="n">
        <v>112.6327729</v>
      </c>
      <c r="F115" s="6" t="inlineStr">
        <is>
          <t>Murah</t>
        </is>
      </c>
    </row>
    <row r="116">
      <c r="A116" s="6" t="n">
        <v>116</v>
      </c>
      <c r="B116" s="6" t="inlineStr">
        <is>
          <t>Kampoeng Heritage Kajoetangan</t>
        </is>
      </c>
      <c r="C116" s="6" t="n">
        <v>5000</v>
      </c>
      <c r="D116" s="6" t="n">
        <v>-7.978964</v>
      </c>
      <c r="E116" s="6" t="n">
        <v>112.6292965</v>
      </c>
      <c r="F116" s="6" t="inlineStr">
        <is>
          <t>Murah</t>
        </is>
      </c>
    </row>
    <row r="117">
      <c r="A117" s="6" t="n">
        <v>117</v>
      </c>
      <c r="B117" s="6" t="inlineStr">
        <is>
          <t>Air Terjun Parang Tejo</t>
        </is>
      </c>
      <c r="C117" s="6" t="n">
        <v>5000</v>
      </c>
      <c r="D117" s="6" t="n">
        <v>-7.9319978</v>
      </c>
      <c r="E117" s="6" t="n">
        <v>112.5128508</v>
      </c>
      <c r="F117" s="6" t="inlineStr">
        <is>
          <t>Murah</t>
        </is>
      </c>
    </row>
    <row r="118">
      <c r="A118" s="6" t="n">
        <v>118</v>
      </c>
      <c r="B118" s="6" t="inlineStr">
        <is>
          <t>"BAMBOO MEWEK PARK"</t>
        </is>
      </c>
      <c r="C118" s="6" t="n">
        <v>15000</v>
      </c>
      <c r="D118" s="6" t="n">
        <v>-7.9230017</v>
      </c>
      <c r="E118" s="6" t="n">
        <v>112.6361784</v>
      </c>
      <c r="F118" s="6" t="inlineStr">
        <is>
          <t>Murah</t>
        </is>
      </c>
    </row>
    <row r="119">
      <c r="A119" s="6" t="n">
        <v>119</v>
      </c>
      <c r="B119" s="6" t="inlineStr">
        <is>
          <t>Sevenfield Sport Wisata Air</t>
        </is>
      </c>
      <c r="C119" s="6" t="n">
        <v>3000</v>
      </c>
      <c r="D119" s="6" t="n">
        <v>-7.909525</v>
      </c>
      <c r="E119" s="6" t="n">
        <v>112.627203</v>
      </c>
      <c r="F119" s="6" t="inlineStr">
        <is>
          <t>Murah</t>
        </is>
      </c>
    </row>
    <row r="120">
      <c r="A120" s="6" t="n">
        <v>121</v>
      </c>
      <c r="B120" s="6" t="inlineStr">
        <is>
          <t>Sumber Umbulan Singosari</t>
        </is>
      </c>
      <c r="C120" s="6" t="n">
        <v>20000</v>
      </c>
      <c r="D120" s="6" t="n">
        <v>-7.8952854</v>
      </c>
      <c r="E120" s="6" t="n">
        <v>112.6291233</v>
      </c>
      <c r="F120" s="6" t="inlineStr">
        <is>
          <t>Murah</t>
        </is>
      </c>
    </row>
    <row r="121">
      <c r="A121" s="6" t="n">
        <v>123</v>
      </c>
      <c r="B121" s="6" t="inlineStr">
        <is>
          <t>Kampung Biru Arema</t>
        </is>
      </c>
      <c r="C121" s="6" t="n">
        <v>5000</v>
      </c>
      <c r="D121" s="6" t="n">
        <v>-7.9813051</v>
      </c>
      <c r="E121" s="6" t="n">
        <v>112.6376925</v>
      </c>
      <c r="F121" s="6" t="inlineStr">
        <is>
          <t>Murah</t>
        </is>
      </c>
    </row>
    <row r="122">
      <c r="A122" s="6" t="n">
        <v>124</v>
      </c>
      <c r="B122" s="6" t="inlineStr">
        <is>
          <t>Kampung Warna Warni Jodipan</t>
        </is>
      </c>
      <c r="C122" s="6" t="n">
        <v>2000</v>
      </c>
      <c r="D122" s="6" t="n">
        <v>-7.9828797</v>
      </c>
      <c r="E122" s="6" t="n">
        <v>112.6372548</v>
      </c>
      <c r="F122" s="6" t="inlineStr">
        <is>
          <t>Murah</t>
        </is>
      </c>
    </row>
    <row r="123">
      <c r="A123" s="6" t="n">
        <v>125</v>
      </c>
      <c r="B123" s="6" t="inlineStr">
        <is>
          <t>Idjen Boulevard</t>
        </is>
      </c>
      <c r="C123" s="6" t="n">
        <v>65000</v>
      </c>
      <c r="D123" s="6" t="n">
        <v>-7.9723826</v>
      </c>
      <c r="E123" s="6" t="n">
        <v>112.6218276</v>
      </c>
      <c r="F123" s="6" t="inlineStr">
        <is>
          <t>Murah</t>
        </is>
      </c>
    </row>
    <row r="124">
      <c r="A124" s="6" t="n">
        <v>126</v>
      </c>
      <c r="B124" s="6" t="inlineStr">
        <is>
          <t>Wisata Kali Cemplong</t>
        </is>
      </c>
      <c r="C124" s="6" t="n">
        <v>3000</v>
      </c>
      <c r="D124" s="6" t="n">
        <v>-7.9608731</v>
      </c>
      <c r="E124" s="6" t="n">
        <v>112.6612112</v>
      </c>
      <c r="F124" s="6" t="inlineStr">
        <is>
          <t>Murah</t>
        </is>
      </c>
    </row>
    <row r="125">
      <c r="A125" s="6" t="n">
        <v>127</v>
      </c>
      <c r="B125" s="6" t="inlineStr">
        <is>
          <t>Pemandian Kalireco</t>
        </is>
      </c>
      <c r="C125" s="6" t="n">
        <v>2000</v>
      </c>
      <c r="D125" s="6" t="n">
        <v>-7.8427</v>
      </c>
      <c r="E125" s="6" t="n">
        <v>112.700403</v>
      </c>
      <c r="F125" s="6" t="inlineStr">
        <is>
          <t>Murah</t>
        </is>
      </c>
    </row>
    <row r="126">
      <c r="A126" s="6" t="n">
        <v>131</v>
      </c>
      <c r="B126" s="6" t="inlineStr">
        <is>
          <t>Patung Singo Edan Arema</t>
        </is>
      </c>
      <c r="C126" s="6" t="n">
        <v>2000</v>
      </c>
      <c r="D126" s="6" t="n">
        <v>-7.977314</v>
      </c>
      <c r="E126" s="6" t="n">
        <v>112.6366485</v>
      </c>
      <c r="F126" s="6" t="inlineStr">
        <is>
          <t>Murah</t>
        </is>
      </c>
    </row>
    <row r="127">
      <c r="A127" s="6" t="n">
        <v>132</v>
      </c>
      <c r="B127" s="6" t="inlineStr">
        <is>
          <t>Wisata Kampung Topeng</t>
        </is>
      </c>
      <c r="C127" s="6" t="n">
        <v>30000</v>
      </c>
      <c r="D127" s="6" t="n">
        <v>-8.027233300000001</v>
      </c>
      <c r="E127" s="6" t="n">
        <v>112.6749005</v>
      </c>
      <c r="F127" s="6" t="inlineStr">
        <is>
          <t>Murah</t>
        </is>
      </c>
    </row>
    <row r="128">
      <c r="A128" s="6" t="n">
        <v>133</v>
      </c>
      <c r="B128" s="6" t="inlineStr">
        <is>
          <t>Lapangan Rampal</t>
        </is>
      </c>
      <c r="C128" s="6" t="n">
        <v>5000</v>
      </c>
      <c r="D128" s="6" t="n">
        <v>-7.9737769</v>
      </c>
      <c r="E128" s="6" t="n">
        <v>112.6404197</v>
      </c>
      <c r="F128" s="6" t="inlineStr">
        <is>
          <t>Murah</t>
        </is>
      </c>
    </row>
    <row r="129">
      <c r="A129" s="6" t="n">
        <v>134</v>
      </c>
      <c r="B129" s="6" t="inlineStr">
        <is>
          <t>Brawijaya Edupark</t>
        </is>
      </c>
      <c r="C129" s="6" t="n">
        <v>30000</v>
      </c>
      <c r="D129" s="6" t="n">
        <v>-7.975767</v>
      </c>
      <c r="E129" s="6" t="n">
        <v>112.631746</v>
      </c>
      <c r="F129" s="6" t="inlineStr">
        <is>
          <t>Murah</t>
        </is>
      </c>
    </row>
    <row r="130">
      <c r="A130" s="6" t="n">
        <v>136</v>
      </c>
      <c r="B130" s="6" t="inlineStr">
        <is>
          <t>Wisata Kayutangan Kota Malang</t>
        </is>
      </c>
      <c r="C130" s="6" t="n">
        <v>40000</v>
      </c>
      <c r="D130" s="6" t="n">
        <v>-7.9776301</v>
      </c>
      <c r="E130" s="6" t="n">
        <v>112.6293576</v>
      </c>
      <c r="F130" s="6" t="inlineStr">
        <is>
          <t>Murah</t>
        </is>
      </c>
    </row>
    <row r="131">
      <c r="A131" s="6" t="n">
        <v>137</v>
      </c>
      <c r="B131" s="6" t="inlineStr">
        <is>
          <t>Candi Badut</t>
        </is>
      </c>
      <c r="C131" s="6" t="n">
        <v>10000</v>
      </c>
      <c r="D131" s="6" t="n">
        <v>-7.9577761</v>
      </c>
      <c r="E131" s="6" t="n">
        <v>112.5986081</v>
      </c>
      <c r="F131" s="6" t="inlineStr">
        <is>
          <t>Murah</t>
        </is>
      </c>
    </row>
    <row r="132">
      <c r="A132" s="6" t="n">
        <v>139</v>
      </c>
      <c r="B132" s="6" t="inlineStr">
        <is>
          <t>Wisata Agro Petik Jeruk</t>
        </is>
      </c>
      <c r="C132" s="6" t="n">
        <v>2000</v>
      </c>
      <c r="D132" s="6" t="n">
        <v>-7.9390977</v>
      </c>
      <c r="E132" s="6" t="n">
        <v>112.5538888</v>
      </c>
      <c r="F132" s="6" t="inlineStr">
        <is>
          <t>Murah</t>
        </is>
      </c>
    </row>
    <row r="133">
      <c r="A133" s="6" t="n">
        <v>140</v>
      </c>
      <c r="B133" s="6" t="inlineStr">
        <is>
          <t>Wisata alam Lembah Ken Arok</t>
        </is>
      </c>
      <c r="C133" s="6" t="n">
        <v>5000</v>
      </c>
      <c r="D133" s="6" t="n">
        <v>-8.030439299999999</v>
      </c>
      <c r="E133" s="6" t="n">
        <v>112.5645138</v>
      </c>
      <c r="F133" s="6" t="inlineStr">
        <is>
          <t>Murah</t>
        </is>
      </c>
    </row>
    <row r="134">
      <c r="A134" s="6" t="n">
        <v>142</v>
      </c>
      <c r="B134" s="6" t="inlineStr">
        <is>
          <t>Tomboan Ngawonggo</t>
        </is>
      </c>
      <c r="C134" s="6" t="n">
        <v>10000</v>
      </c>
      <c r="D134" s="6" t="n">
        <v>-8.079630999999999</v>
      </c>
      <c r="E134" s="6" t="n">
        <v>112.704618</v>
      </c>
      <c r="F134" s="6" t="inlineStr">
        <is>
          <t>Murah</t>
        </is>
      </c>
    </row>
    <row r="135">
      <c r="A135" s="6" t="n">
        <v>146</v>
      </c>
      <c r="B135" s="6" t="inlineStr">
        <is>
          <t>Sweetmemoriesselfie</t>
        </is>
      </c>
      <c r="C135" s="6" t="n">
        <v>20000</v>
      </c>
      <c r="D135" s="6" t="n">
        <v>-7.983933</v>
      </c>
      <c r="E135" s="6" t="n">
        <v>112.6321102</v>
      </c>
      <c r="F135" s="6" t="inlineStr">
        <is>
          <t>Murah</t>
        </is>
      </c>
    </row>
    <row r="136">
      <c r="A136" s="6" t="n">
        <v>147</v>
      </c>
      <c r="B136" s="6" t="inlineStr">
        <is>
          <t>Pecinan Malang</t>
        </is>
      </c>
      <c r="C136" s="6" t="n">
        <v>75000</v>
      </c>
      <c r="D136" s="6" t="n">
        <v>-7.9860032</v>
      </c>
      <c r="E136" s="6" t="n">
        <v>112.6334661</v>
      </c>
      <c r="F136" s="6" t="inlineStr">
        <is>
          <t>Murah</t>
        </is>
      </c>
    </row>
    <row r="137">
      <c r="A137" s="6" t="n">
        <v>148</v>
      </c>
      <c r="B137" s="6" t="inlineStr">
        <is>
          <t>SANGGAR SEMAR</t>
        </is>
      </c>
      <c r="C137" s="6" t="n">
        <v>5000</v>
      </c>
      <c r="D137" s="6" t="n">
        <v>-7.9276929</v>
      </c>
      <c r="E137" s="6" t="n">
        <v>112.6554293</v>
      </c>
      <c r="F137" s="6" t="inlineStr">
        <is>
          <t>Murah</t>
        </is>
      </c>
    </row>
    <row r="138">
      <c r="A138" s="6" t="n">
        <v>150</v>
      </c>
      <c r="B138" s="6" t="inlineStr">
        <is>
          <t>Coban Amprong</t>
        </is>
      </c>
      <c r="C138" s="6" t="n">
        <v>10000</v>
      </c>
      <c r="D138" s="6" t="n">
        <v>-7.99282</v>
      </c>
      <c r="E138" s="6" t="n">
        <v>112.6495368</v>
      </c>
      <c r="F138" s="6" t="inlineStr">
        <is>
          <t>Murah</t>
        </is>
      </c>
    </row>
    <row r="139">
      <c r="A139" s="6" t="n">
        <v>151</v>
      </c>
      <c r="B139" s="6" t="inlineStr">
        <is>
          <t>Pintu Masuk Kampoeng Heritage Kajoetangan</t>
        </is>
      </c>
      <c r="C139" s="6" t="n">
        <v>35000</v>
      </c>
      <c r="D139" s="6" t="n">
        <v>-7.9789835</v>
      </c>
      <c r="E139" s="6" t="n">
        <v>112.6276601</v>
      </c>
      <c r="F139" s="6" t="inlineStr">
        <is>
          <t>Murah</t>
        </is>
      </c>
    </row>
    <row r="140">
      <c r="A140" s="6" t="n">
        <v>156</v>
      </c>
      <c r="B140" s="6" t="inlineStr">
        <is>
          <t>Bis Wisata Malang (Macito)</t>
        </is>
      </c>
      <c r="C140" s="6" t="n">
        <v>15000</v>
      </c>
      <c r="D140" s="6" t="n">
        <v>-7.9766762</v>
      </c>
      <c r="E140" s="6" t="n">
        <v>112.6248925</v>
      </c>
      <c r="F140" s="6" t="inlineStr">
        <is>
          <t>Murah</t>
        </is>
      </c>
    </row>
    <row r="141">
      <c r="A141" s="6" t="n">
        <v>157</v>
      </c>
      <c r="B141" s="6" t="inlineStr">
        <is>
          <t>Monumen Melati Kadet Suropati</t>
        </is>
      </c>
      <c r="C141" s="6" t="n">
        <v>20000</v>
      </c>
      <c r="D141" s="6" t="n">
        <v>-7.9722947</v>
      </c>
      <c r="E141" s="6" t="n">
        <v>112.6216063</v>
      </c>
      <c r="F141" s="6" t="inlineStr">
        <is>
          <t>Murah</t>
        </is>
      </c>
    </row>
    <row r="142">
      <c r="A142" s="6" t="n">
        <v>159</v>
      </c>
      <c r="B142" s="6" t="inlineStr">
        <is>
          <t>Candi Kidal</t>
        </is>
      </c>
      <c r="C142" s="6" t="n">
        <v>10000</v>
      </c>
      <c r="D142" s="6" t="n">
        <v>-8.0257936</v>
      </c>
      <c r="E142" s="6" t="n">
        <v>112.7089856</v>
      </c>
      <c r="F142" s="6" t="inlineStr">
        <is>
          <t>Murah</t>
        </is>
      </c>
    </row>
    <row r="143">
      <c r="A143" s="6" t="n">
        <v>160</v>
      </c>
      <c r="B143" s="6" t="inlineStr">
        <is>
          <t>Pantai Banyu Anjlok</t>
        </is>
      </c>
      <c r="C143" s="6" t="n">
        <v>5000</v>
      </c>
      <c r="D143" s="6" t="n">
        <v>-8.372068199999999</v>
      </c>
      <c r="E143" s="6" t="n">
        <v>112.8210105</v>
      </c>
      <c r="F143" s="6" t="inlineStr">
        <is>
          <t>Murah</t>
        </is>
      </c>
    </row>
    <row r="144">
      <c r="A144" s="6" t="n">
        <v>162</v>
      </c>
      <c r="B144" s="6" t="inlineStr">
        <is>
          <t>Coban Putri</t>
        </is>
      </c>
      <c r="C144" s="6" t="n">
        <v>85000</v>
      </c>
      <c r="D144" s="6" t="n">
        <v>-7.9119954</v>
      </c>
      <c r="E144" s="6" t="n">
        <v>112.5302537</v>
      </c>
      <c r="F144" s="6" t="inlineStr">
        <is>
          <t>Murah</t>
        </is>
      </c>
    </row>
    <row r="145">
      <c r="A145" s="6" t="n">
        <v>163</v>
      </c>
      <c r="B145" s="6" t="inlineStr">
        <is>
          <t>Healing Tour Malang</t>
        </is>
      </c>
      <c r="C145" s="6" t="n">
        <v>60000</v>
      </c>
      <c r="D145" s="6" t="n">
        <v>-7.9384783</v>
      </c>
      <c r="E145" s="6" t="n">
        <v>112.6313415</v>
      </c>
      <c r="F145" s="6" t="inlineStr">
        <is>
          <t>Murah</t>
        </is>
      </c>
    </row>
    <row r="146">
      <c r="A146" s="6" t="n">
        <v>164</v>
      </c>
      <c r="B146" s="6" t="inlineStr">
        <is>
          <t>Museum Brawijaya</t>
        </is>
      </c>
      <c r="C146" s="6" t="n">
        <v>5000</v>
      </c>
      <c r="D146" s="6" t="n">
        <v>-7.9721325</v>
      </c>
      <c r="E146" s="6" t="n">
        <v>112.621209</v>
      </c>
      <c r="F146" s="6" t="inlineStr">
        <is>
          <t>Murah</t>
        </is>
      </c>
    </row>
    <row r="147">
      <c r="A147" s="6" t="n">
        <v>171</v>
      </c>
      <c r="B147" s="6" t="inlineStr">
        <is>
          <t>Wisata Sumber Air " DAM COKRO " Lowoksari</t>
        </is>
      </c>
      <c r="C147" s="6" t="n">
        <v>30000</v>
      </c>
      <c r="D147" s="6" t="n">
        <v>-7.9000712</v>
      </c>
      <c r="E147" s="6" t="n">
        <v>112.6239566</v>
      </c>
      <c r="F147" s="6" t="inlineStr">
        <is>
          <t>Murah</t>
        </is>
      </c>
    </row>
    <row r="148">
      <c r="A148" s="6" t="n">
        <v>175</v>
      </c>
      <c r="B148" s="6" t="inlineStr">
        <is>
          <t>Sumber Air Ngembul</t>
        </is>
      </c>
      <c r="C148" s="6" t="n">
        <v>30000</v>
      </c>
      <c r="D148" s="6" t="n">
        <v>-8.058364900000001</v>
      </c>
      <c r="E148" s="6" t="n">
        <v>112.6757856</v>
      </c>
      <c r="F148" s="6" t="inlineStr">
        <is>
          <t>Murah</t>
        </is>
      </c>
    </row>
    <row r="149">
      <c r="A149" s="6" t="n">
        <v>177</v>
      </c>
      <c r="B149" s="6" t="inlineStr">
        <is>
          <t>Bonderland Waterpark</t>
        </is>
      </c>
      <c r="C149" s="6" t="n">
        <v>30000</v>
      </c>
      <c r="D149" s="6" t="n">
        <v>-8.0493843</v>
      </c>
      <c r="E149" s="6" t="n">
        <v>112.6083431</v>
      </c>
      <c r="F149" s="6" t="inlineStr">
        <is>
          <t>Murah</t>
        </is>
      </c>
    </row>
    <row r="150">
      <c r="A150" s="6" t="n">
        <v>179</v>
      </c>
      <c r="B150" s="6" t="inlineStr">
        <is>
          <t>WISATA AIR MADYOPURO</t>
        </is>
      </c>
      <c r="C150" s="6" t="n">
        <v>36239</v>
      </c>
      <c r="D150" s="6" t="n">
        <v>-7.9767907</v>
      </c>
      <c r="E150" s="6" t="n">
        <v>112.6777845</v>
      </c>
      <c r="F150" s="6" t="inlineStr">
        <is>
          <t>Murah</t>
        </is>
      </c>
    </row>
    <row r="151">
      <c r="A151" s="6" t="n">
        <v>181</v>
      </c>
      <c r="B151" s="6" t="inlineStr">
        <is>
          <t>Kolam Renang Pentungan Sari</t>
        </is>
      </c>
      <c r="C151" s="6" t="n">
        <v>10000</v>
      </c>
      <c r="D151" s="6" t="n">
        <v>-7.8518377</v>
      </c>
      <c r="E151" s="6" t="n">
        <v>112.6584696</v>
      </c>
      <c r="F151" s="6" t="inlineStr">
        <is>
          <t>Murah</t>
        </is>
      </c>
    </row>
    <row r="152">
      <c r="A152" s="6" t="n">
        <v>182</v>
      </c>
      <c r="B152" s="6" t="inlineStr">
        <is>
          <t>Coban Baung ꦕꦺꦴꦧꦤ꧀ꦧꦈꦁ</t>
        </is>
      </c>
      <c r="C152" s="6" t="n">
        <v>5000</v>
      </c>
      <c r="D152" s="6" t="n">
        <v>-8.032181100000001</v>
      </c>
      <c r="E152" s="6" t="n">
        <v>112.5000568</v>
      </c>
      <c r="F152" s="6" t="inlineStr">
        <is>
          <t>Murah</t>
        </is>
      </c>
    </row>
    <row r="153">
      <c r="A153" s="6" t="n">
        <v>183</v>
      </c>
      <c r="B153" s="6" t="inlineStr">
        <is>
          <t>Sumber Mata Air Tambakrejo</t>
        </is>
      </c>
      <c r="C153" s="6" t="n">
        <v>54000</v>
      </c>
      <c r="D153" s="6" t="n">
        <v>-8.0573222</v>
      </c>
      <c r="E153" s="6" t="n">
        <v>112.6300476</v>
      </c>
      <c r="F153" s="6" t="inlineStr">
        <is>
          <t>Murah</t>
        </is>
      </c>
    </row>
    <row r="154">
      <c r="A154" s="6" t="n">
        <v>184</v>
      </c>
      <c r="B154" s="6" t="inlineStr">
        <is>
          <t>Wisata Air PLPBK Sukun</t>
        </is>
      </c>
      <c r="C154" s="6" t="n">
        <v>35000</v>
      </c>
      <c r="D154" s="6" t="n">
        <v>-7.9968833</v>
      </c>
      <c r="E154" s="6" t="n">
        <v>112.6170074</v>
      </c>
      <c r="F154" s="6" t="inlineStr">
        <is>
          <t>Murah</t>
        </is>
      </c>
    </row>
    <row r="155">
      <c r="A155" s="6" t="n">
        <v>185</v>
      </c>
      <c r="B155" s="6" t="inlineStr">
        <is>
          <t>Jalan ke Wisata Air Terjun Coban Jahe Malang</t>
        </is>
      </c>
      <c r="C155" s="6" t="n">
        <v>300000</v>
      </c>
      <c r="D155" s="6" t="n">
        <v>-7.9763262</v>
      </c>
      <c r="E155" s="6" t="n">
        <v>112.7464766</v>
      </c>
      <c r="F155" s="6" t="inlineStr">
        <is>
          <t>Murah</t>
        </is>
      </c>
    </row>
    <row r="156">
      <c r="A156" s="6" t="n">
        <v>186</v>
      </c>
      <c r="B156" s="6" t="inlineStr">
        <is>
          <t>SUMBER MATA AIR PUNDEN BELIK KURUNG</t>
        </is>
      </c>
      <c r="C156" s="6" t="n">
        <v>48000</v>
      </c>
      <c r="D156" s="6" t="n">
        <v>-8.0707866</v>
      </c>
      <c r="E156" s="6" t="n">
        <v>112.589268</v>
      </c>
      <c r="F156" s="6" t="inlineStr">
        <is>
          <t>Murah</t>
        </is>
      </c>
    </row>
    <row r="157">
      <c r="A157" s="6" t="n">
        <v>187</v>
      </c>
      <c r="B157" s="6" t="inlineStr">
        <is>
          <t>WISATA AIR SUMBER UMBULAN</t>
        </is>
      </c>
      <c r="C157" s="6" t="n">
        <v>30000</v>
      </c>
      <c r="D157" s="6" t="n">
        <v>-8.048190699999999</v>
      </c>
      <c r="E157" s="6" t="n">
        <v>112.5279553</v>
      </c>
      <c r="F157" s="6" t="inlineStr">
        <is>
          <t>Murah</t>
        </is>
      </c>
    </row>
    <row r="158">
      <c r="A158" s="6" t="n">
        <v>188</v>
      </c>
      <c r="B158" s="6" t="inlineStr">
        <is>
          <t>Wisata Air Sumber Jenon</t>
        </is>
      </c>
      <c r="C158" s="6" t="n">
        <v>15000</v>
      </c>
      <c r="D158" s="6" t="n">
        <v>-8.050499500000001</v>
      </c>
      <c r="E158" s="6" t="n">
        <v>112.7163</v>
      </c>
      <c r="F158" s="6" t="inlineStr">
        <is>
          <t>Murah</t>
        </is>
      </c>
    </row>
    <row r="159">
      <c r="A159" s="6" t="n">
        <v>7</v>
      </c>
      <c r="B159" s="6" t="inlineStr">
        <is>
          <t>Makam Ki Ageng Gribig</t>
        </is>
      </c>
      <c r="C159" s="6" t="n">
        <v>5000</v>
      </c>
      <c r="D159" s="6" t="n">
        <v>-7.9809099</v>
      </c>
      <c r="E159" s="6" t="n">
        <v>112.6656522</v>
      </c>
      <c r="F159" s="6" t="inlineStr">
        <is>
          <t>Sedang</t>
        </is>
      </c>
    </row>
    <row r="160">
      <c r="A160" s="6" t="n">
        <v>15</v>
      </c>
      <c r="B160" s="6" t="inlineStr">
        <is>
          <t>Pura Luhur Dwijawarsa</t>
        </is>
      </c>
      <c r="C160" s="6" t="n">
        <v>15000</v>
      </c>
      <c r="D160" s="6" t="n">
        <v>-7.9953961</v>
      </c>
      <c r="E160" s="6" t="n">
        <v>112.6610419</v>
      </c>
      <c r="F160" s="6" t="inlineStr">
        <is>
          <t>Sedang</t>
        </is>
      </c>
    </row>
    <row r="161">
      <c r="A161" s="6" t="n">
        <v>18</v>
      </c>
      <c r="B161" s="6" t="inlineStr">
        <is>
          <t>Air Terjun Coban Rondo Pujon</t>
        </is>
      </c>
      <c r="C161" s="6" t="n">
        <v>5000</v>
      </c>
      <c r="D161" s="6" t="n">
        <v>-7.8846458</v>
      </c>
      <c r="E161" s="6" t="n">
        <v>112.4768237</v>
      </c>
      <c r="F161" s="6" t="inlineStr">
        <is>
          <t>Sedang</t>
        </is>
      </c>
    </row>
    <row r="162">
      <c r="A162" s="6" t="n">
        <v>38</v>
      </c>
      <c r="B162" s="6" t="inlineStr">
        <is>
          <t>Geopark Gunung Cilik</t>
        </is>
      </c>
      <c r="C162" s="6" t="n">
        <v>75000</v>
      </c>
      <c r="D162" s="6" t="n">
        <v>-7.8260839</v>
      </c>
      <c r="E162" s="6" t="n">
        <v>112.4603061</v>
      </c>
      <c r="F162" s="6" t="inlineStr">
        <is>
          <t>Sedang</t>
        </is>
      </c>
    </row>
    <row r="163">
      <c r="A163" s="6" t="n">
        <v>49</v>
      </c>
      <c r="B163" s="6" t="inlineStr">
        <is>
          <t>Air Terjun Coban Tengah</t>
        </is>
      </c>
      <c r="C163" s="6" t="n">
        <v>10000</v>
      </c>
      <c r="D163" s="6" t="n">
        <v>-7.8920601</v>
      </c>
      <c r="E163" s="6" t="n">
        <v>112.4751568</v>
      </c>
      <c r="F163" s="6" t="inlineStr">
        <is>
          <t>Sedang</t>
        </is>
      </c>
    </row>
    <row r="164">
      <c r="A164" s="6" t="n">
        <v>56</v>
      </c>
      <c r="B164" s="6" t="inlineStr">
        <is>
          <t>Bukit Jengkoang</t>
        </is>
      </c>
      <c r="C164" s="6" t="n">
        <v>18000</v>
      </c>
      <c r="D164" s="6" t="n">
        <v>-7.8263819</v>
      </c>
      <c r="E164" s="6" t="n">
        <v>112.5577718</v>
      </c>
      <c r="F164" s="6" t="inlineStr">
        <is>
          <t>Sedang</t>
        </is>
      </c>
    </row>
    <row r="165">
      <c r="A165" s="6" t="n">
        <v>58</v>
      </c>
      <c r="B165" s="6" t="inlineStr">
        <is>
          <t>LEMBAH BROMO</t>
        </is>
      </c>
      <c r="C165" s="6" t="n">
        <v>5000</v>
      </c>
      <c r="D165" s="6" t="n">
        <v>-8.032121999999999</v>
      </c>
      <c r="E165" s="6" t="n">
        <v>112.8273153</v>
      </c>
      <c r="F165" s="6" t="inlineStr">
        <is>
          <t>Sedang</t>
        </is>
      </c>
    </row>
    <row r="166">
      <c r="A166" s="6" t="n">
        <v>69</v>
      </c>
      <c r="B166" s="6" t="inlineStr">
        <is>
          <t>Malang Skyland</t>
        </is>
      </c>
      <c r="C166" s="6" t="n">
        <v>155000</v>
      </c>
      <c r="D166" s="6" t="n">
        <v>-7.867401</v>
      </c>
      <c r="E166" s="6" t="n">
        <v>112.5760073</v>
      </c>
      <c r="F166" s="6" t="inlineStr">
        <is>
          <t>Sedang</t>
        </is>
      </c>
    </row>
    <row r="167">
      <c r="A167" s="6" t="n">
        <v>84</v>
      </c>
      <c r="B167" s="6" t="inlineStr">
        <is>
          <t>WISATA GUNUNG MALANG</t>
        </is>
      </c>
      <c r="C167" s="6" t="n">
        <v>180500</v>
      </c>
      <c r="D167" s="6" t="n">
        <v>-8.309943199999999</v>
      </c>
      <c r="E167" s="6" t="n">
        <v>112.3932102</v>
      </c>
      <c r="F167" s="6" t="inlineStr">
        <is>
          <t>Sedang</t>
        </is>
      </c>
    </row>
    <row r="168">
      <c r="A168" s="6" t="n">
        <v>85</v>
      </c>
      <c r="B168" s="6" t="inlineStr">
        <is>
          <t>Labirin Coban Rondo</t>
        </is>
      </c>
      <c r="C168" s="6" t="n">
        <v>55000</v>
      </c>
      <c r="D168" s="6" t="n">
        <v>-7.8682192</v>
      </c>
      <c r="E168" s="6" t="n">
        <v>112.4850916</v>
      </c>
      <c r="F168" s="6" t="inlineStr">
        <is>
          <t>Sedang</t>
        </is>
      </c>
    </row>
    <row r="169">
      <c r="A169" s="6" t="n">
        <v>96</v>
      </c>
      <c r="B169" s="6" t="inlineStr">
        <is>
          <t>Songgoriti Hot Springs</t>
        </is>
      </c>
      <c r="C169" s="6" t="n">
        <v>75000</v>
      </c>
      <c r="D169" s="6" t="n">
        <v>-7.8666705</v>
      </c>
      <c r="E169" s="6" t="n">
        <v>112.4942809</v>
      </c>
      <c r="F169" s="6" t="inlineStr">
        <is>
          <t>Sedang</t>
        </is>
      </c>
    </row>
    <row r="170">
      <c r="A170" s="6" t="n">
        <v>101</v>
      </c>
      <c r="B170" s="6" t="inlineStr">
        <is>
          <t>Rafting Kasembon</t>
        </is>
      </c>
      <c r="C170" s="6" t="n">
        <v>60000</v>
      </c>
      <c r="D170" s="6" t="n">
        <v>-7.950725</v>
      </c>
      <c r="E170" s="6" t="n">
        <v>112.619282</v>
      </c>
      <c r="F170" s="6" t="inlineStr">
        <is>
          <t>Sedang</t>
        </is>
      </c>
    </row>
    <row r="171">
      <c r="A171" s="6" t="n">
        <v>104</v>
      </c>
      <c r="B171" s="6" t="inlineStr">
        <is>
          <t>Penanjakan Bromo</t>
        </is>
      </c>
      <c r="C171" s="6" t="n">
        <v>75000</v>
      </c>
      <c r="D171" s="6" t="n">
        <v>-7.9045913</v>
      </c>
      <c r="E171" s="6" t="n">
        <v>112.9510862</v>
      </c>
      <c r="F171" s="6" t="inlineStr">
        <is>
          <t>Sedang</t>
        </is>
      </c>
    </row>
    <row r="172">
      <c r="A172" s="6" t="n">
        <v>107</v>
      </c>
      <c r="B172" s="6" t="inlineStr">
        <is>
          <t>Batu Night Spectacular</t>
        </is>
      </c>
      <c r="C172" s="6" t="n">
        <v>3000</v>
      </c>
      <c r="D172" s="6" t="n">
        <v>-7.8965741</v>
      </c>
      <c r="E172" s="6" t="n">
        <v>112.5345361</v>
      </c>
      <c r="F172" s="6" t="inlineStr">
        <is>
          <t>Sedang</t>
        </is>
      </c>
    </row>
    <row r="173">
      <c r="A173" s="6" t="n">
        <v>110</v>
      </c>
      <c r="B173" s="6" t="inlineStr">
        <is>
          <t>Sumber Air Wendit Lanang</t>
        </is>
      </c>
      <c r="C173" s="6" t="n">
        <v>70000</v>
      </c>
      <c r="D173" s="6" t="n">
        <v>-7.9476788</v>
      </c>
      <c r="E173" s="6" t="n">
        <v>112.678187</v>
      </c>
      <c r="F173" s="6" t="inlineStr">
        <is>
          <t>Sedang</t>
        </is>
      </c>
    </row>
    <row r="174">
      <c r="A174" s="6" t="n">
        <v>129</v>
      </c>
      <c r="B174" s="6" t="inlineStr">
        <is>
          <t>Jembatan Kaca Ngalam Indonesia</t>
        </is>
      </c>
      <c r="C174" s="6" t="n">
        <v>15000</v>
      </c>
      <c r="D174" s="6" t="n">
        <v>-7.9831936</v>
      </c>
      <c r="E174" s="6" t="n">
        <v>112.637773</v>
      </c>
      <c r="F174" s="6" t="inlineStr">
        <is>
          <t>Sedang</t>
        </is>
      </c>
    </row>
    <row r="175">
      <c r="A175" s="6" t="n">
        <v>135</v>
      </c>
      <c r="B175" s="6" t="inlineStr">
        <is>
          <t>Malang Night Paradise</t>
        </is>
      </c>
      <c r="C175" s="6" t="n">
        <v>35000</v>
      </c>
      <c r="D175" s="6" t="n">
        <v>-7.9235099</v>
      </c>
      <c r="E175" s="6" t="n">
        <v>112.6580123</v>
      </c>
      <c r="F175" s="6" t="inlineStr">
        <is>
          <t>Sedang</t>
        </is>
      </c>
    </row>
    <row r="176">
      <c r="A176" s="6" t="n">
        <v>138</v>
      </c>
      <c r="B176" s="6" t="inlineStr">
        <is>
          <t>Wana Wisata Perhutani Malang</t>
        </is>
      </c>
      <c r="C176" s="6" t="n">
        <v>10000</v>
      </c>
      <c r="D176" s="6" t="n">
        <v>-7.968701</v>
      </c>
      <c r="E176" s="6" t="n">
        <v>112.6351501</v>
      </c>
      <c r="F176" s="6" t="inlineStr">
        <is>
          <t>Sedang</t>
        </is>
      </c>
    </row>
    <row r="177">
      <c r="A177" s="6" t="n">
        <v>143</v>
      </c>
      <c r="B177" s="6" t="inlineStr">
        <is>
          <t>Hawai Waterpark</t>
        </is>
      </c>
      <c r="C177" s="6" t="n">
        <v>35000</v>
      </c>
      <c r="D177" s="6" t="n">
        <v>-7.9234101</v>
      </c>
      <c r="E177" s="6" t="n">
        <v>112.657862</v>
      </c>
      <c r="F177" s="6" t="inlineStr">
        <is>
          <t>Sedang</t>
        </is>
      </c>
    </row>
    <row r="178">
      <c r="A178" s="6" t="n">
        <v>144</v>
      </c>
      <c r="B178" s="6" t="inlineStr">
        <is>
          <t>Lembah Tumpang Resort</t>
        </is>
      </c>
      <c r="C178" s="6" t="n">
        <v>30000</v>
      </c>
      <c r="D178" s="6" t="n">
        <v>-7.9942415</v>
      </c>
      <c r="E178" s="6" t="n">
        <v>112.737865</v>
      </c>
      <c r="F178" s="6" t="inlineStr">
        <is>
          <t>Sedang</t>
        </is>
      </c>
    </row>
    <row r="179">
      <c r="A179" s="6" t="n">
        <v>149</v>
      </c>
      <c r="B179" s="6" t="inlineStr">
        <is>
          <t>Unimaz Rajut</t>
        </is>
      </c>
      <c r="C179" s="6" t="n">
        <v>25000</v>
      </c>
      <c r="D179" s="6" t="n">
        <v>-7.9649155</v>
      </c>
      <c r="E179" s="6" t="n">
        <v>112.5961882</v>
      </c>
      <c r="F179" s="6" t="inlineStr">
        <is>
          <t>Sedang</t>
        </is>
      </c>
    </row>
    <row r="180">
      <c r="A180" s="6" t="n">
        <v>152</v>
      </c>
      <c r="B180" s="6" t="inlineStr">
        <is>
          <t>bromoindonesia.id</t>
        </is>
      </c>
      <c r="C180" s="6" t="n">
        <v>20000</v>
      </c>
      <c r="D180" s="6" t="n">
        <v>-7.9676542</v>
      </c>
      <c r="E180" s="6" t="n">
        <v>112.6161205</v>
      </c>
      <c r="F180" s="6" t="inlineStr">
        <is>
          <t>Sedang</t>
        </is>
      </c>
    </row>
    <row r="181">
      <c r="A181" s="6" t="n">
        <v>155</v>
      </c>
      <c r="B181" s="6" t="inlineStr">
        <is>
          <t>Kolam Pemancingan &amp; Lesehan Beran Sundeng</t>
        </is>
      </c>
      <c r="C181" s="6" t="n">
        <v>15000</v>
      </c>
      <c r="D181" s="6" t="n">
        <v>-7.9706652</v>
      </c>
      <c r="E181" s="6" t="n">
        <v>112.6559987</v>
      </c>
      <c r="F181" s="6" t="inlineStr">
        <is>
          <t>Sedang</t>
        </is>
      </c>
    </row>
    <row r="182">
      <c r="A182" s="6" t="n">
        <v>161</v>
      </c>
      <c r="B182" s="6" t="inlineStr">
        <is>
          <t>Kampung Semar Malang</t>
        </is>
      </c>
      <c r="C182" s="6" t="n">
        <v>8000</v>
      </c>
      <c r="D182" s="6" t="n">
        <v>-7.928837</v>
      </c>
      <c r="E182" s="6" t="n">
        <v>112.6547881</v>
      </c>
      <c r="F182" s="6" t="inlineStr">
        <is>
          <t>Sedang</t>
        </is>
      </c>
    </row>
    <row r="183">
      <c r="A183" s="6" t="n">
        <v>166</v>
      </c>
      <c r="B183" s="6" t="inlineStr">
        <is>
          <t>Havanna Reflexology Malang</t>
        </is>
      </c>
      <c r="C183" s="6" t="n">
        <v>5000</v>
      </c>
      <c r="D183" s="6" t="n">
        <v>-7.9739649</v>
      </c>
      <c r="E183" s="6" t="n">
        <v>112.601416</v>
      </c>
      <c r="F183" s="6" t="inlineStr">
        <is>
          <t>Sedang</t>
        </is>
      </c>
    </row>
    <row r="184">
      <c r="A184" s="6" t="n">
        <v>167</v>
      </c>
      <c r="B184" s="6" t="inlineStr">
        <is>
          <t>RELAXING Reflexology Massage Shiatsu</t>
        </is>
      </c>
      <c r="C184" s="6" t="n">
        <v>5000</v>
      </c>
      <c r="D184" s="6" t="n">
        <v>-7.976725</v>
      </c>
      <c r="E184" s="6" t="n">
        <v>112.630303</v>
      </c>
      <c r="F184" s="6" t="inlineStr">
        <is>
          <t>Sedang</t>
        </is>
      </c>
    </row>
    <row r="185">
      <c r="A185" s="6" t="n">
        <v>168</v>
      </c>
      <c r="B185" s="6" t="inlineStr">
        <is>
          <t>Queen's Family Reflexology</t>
        </is>
      </c>
      <c r="C185" s="6" t="n">
        <v>20000</v>
      </c>
      <c r="D185" s="6" t="n">
        <v>-7.9778077</v>
      </c>
      <c r="E185" s="6" t="n">
        <v>112.6239371</v>
      </c>
      <c r="F185" s="6" t="inlineStr">
        <is>
          <t>Sedang</t>
        </is>
      </c>
    </row>
    <row r="186">
      <c r="A186" s="6" t="n">
        <v>169</v>
      </c>
      <c r="B186" s="6" t="inlineStr">
        <is>
          <t>De WAVE Family Massage, Reflexology &amp; Beauty Bar Malang</t>
        </is>
      </c>
      <c r="C186" s="6" t="n">
        <v>12000</v>
      </c>
      <c r="D186" s="6" t="n">
        <v>-7.9654125</v>
      </c>
      <c r="E186" s="6" t="n">
        <v>112.5934393</v>
      </c>
      <c r="F186" s="6" t="inlineStr">
        <is>
          <t>Sedang</t>
        </is>
      </c>
    </row>
    <row r="187">
      <c r="A187" s="6" t="n">
        <v>170</v>
      </c>
      <c r="B187" s="6" t="inlineStr">
        <is>
          <t>Akira Reflexology - Pijat Malang dan Home Service Massage</t>
        </is>
      </c>
      <c r="C187" s="6" t="n">
        <v>5000</v>
      </c>
      <c r="D187" s="6" t="n">
        <v>-7.9408679</v>
      </c>
      <c r="E187" s="6" t="n">
        <v>112.6604698</v>
      </c>
      <c r="F187" s="6" t="inlineStr">
        <is>
          <t>Sedang</t>
        </is>
      </c>
    </row>
    <row r="188">
      <c r="A188" s="6" t="n">
        <v>172</v>
      </c>
      <c r="B188" s="6" t="inlineStr">
        <is>
          <t>New Wisata Wendit by Nicole’s</t>
        </is>
      </c>
      <c r="C188" s="6" t="n">
        <v>5000</v>
      </c>
      <c r="D188" s="6" t="n">
        <v>-7.952657</v>
      </c>
      <c r="E188" s="6" t="n">
        <v>112.674464</v>
      </c>
      <c r="F188" s="6" t="inlineStr">
        <is>
          <t>Sedang</t>
        </is>
      </c>
    </row>
    <row r="189">
      <c r="A189" s="6" t="n">
        <v>174</v>
      </c>
      <c r="B189" s="6" t="inlineStr">
        <is>
          <t>Pemandian Belakang Wendit Wakaf</t>
        </is>
      </c>
      <c r="C189" s="6" t="n">
        <v>10000</v>
      </c>
      <c r="D189" s="6" t="n">
        <v>-7.9553541</v>
      </c>
      <c r="E189" s="6" t="n">
        <v>112.6741869</v>
      </c>
      <c r="F189" s="6" t="inlineStr">
        <is>
          <t>Sedang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6"/>
  <sheetViews>
    <sheetView topLeftCell="A478" workbookViewId="0">
      <selection activeCell="C506" sqref="C506"/>
    </sheetView>
  </sheetViews>
  <sheetFormatPr baseColWidth="10" defaultRowHeight="16"/>
  <cols>
    <col width="10" bestFit="1" customWidth="1" style="21" min="1" max="1"/>
    <col width="105" bestFit="1" customWidth="1" style="21" min="2" max="2"/>
    <col width="14.1640625" bestFit="1" customWidth="1" style="21" min="3" max="3"/>
    <col width="12.1640625" bestFit="1" customWidth="1" style="21" min="5" max="5"/>
    <col width="17.1640625" bestFit="1" customWidth="1" style="21" min="6" max="6"/>
  </cols>
  <sheetData>
    <row r="1">
      <c r="A1" s="31" t="inlineStr">
        <is>
          <t>Id_Tempat</t>
        </is>
      </c>
      <c r="B1" s="31" t="inlineStr">
        <is>
          <t>Nama_Tempat</t>
        </is>
      </c>
      <c r="C1" s="31" t="inlineStr">
        <is>
          <t>Estimasi_Harga</t>
        </is>
      </c>
      <c r="D1" s="31" t="inlineStr">
        <is>
          <t>Latitude</t>
        </is>
      </c>
      <c r="E1" s="31" t="inlineStr">
        <is>
          <t>Longitude</t>
        </is>
      </c>
      <c r="F1" s="31" t="inlineStr">
        <is>
          <t>KATEGORI_HARGA</t>
        </is>
      </c>
    </row>
    <row r="2">
      <c r="A2" s="6" t="n">
        <v>26</v>
      </c>
      <c r="B2" s="6" t="inlineStr">
        <is>
          <t>Harmoni Cafe &amp; Resto l Since 2010</t>
        </is>
      </c>
      <c r="C2" s="6" t="n">
        <v>144714</v>
      </c>
      <c r="D2" s="6" t="n">
        <v>-7.9744753</v>
      </c>
      <c r="E2" s="6" t="n">
        <v>112.6275379</v>
      </c>
      <c r="F2" s="6" t="inlineStr">
        <is>
          <t>Mahal</t>
        </is>
      </c>
    </row>
    <row r="3">
      <c r="A3" s="6" t="n">
        <v>32</v>
      </c>
      <c r="B3" s="6" t="inlineStr">
        <is>
          <t>Javanine Resto</t>
        </is>
      </c>
      <c r="C3" s="6" t="n">
        <v>234522</v>
      </c>
      <c r="D3" s="6" t="n">
        <v>-7.9672115</v>
      </c>
      <c r="E3" s="6" t="n">
        <v>112.6209049</v>
      </c>
      <c r="F3" s="6" t="inlineStr">
        <is>
          <t>Mahal</t>
        </is>
      </c>
    </row>
    <row r="4">
      <c r="A4" s="6" t="n">
        <v>36</v>
      </c>
      <c r="B4" s="6" t="inlineStr">
        <is>
          <t>Resto Sambat Luwe</t>
        </is>
      </c>
      <c r="C4" s="6" t="n">
        <v>237345</v>
      </c>
      <c r="D4" s="6" t="n">
        <v>-8.022135199999999</v>
      </c>
      <c r="E4" s="6" t="n">
        <v>112.6410943</v>
      </c>
      <c r="F4" s="6" t="inlineStr">
        <is>
          <t>Mahal</t>
        </is>
      </c>
    </row>
    <row r="5">
      <c r="A5" s="6" t="n">
        <v>71</v>
      </c>
      <c r="B5" s="6" t="inlineStr">
        <is>
          <t>New Hongkong Restaurant - Arif Rahman Hakim</t>
        </is>
      </c>
      <c r="C5" s="6" t="n">
        <v>208503</v>
      </c>
      <c r="D5" s="6" t="n">
        <v>-7.9814911</v>
      </c>
      <c r="E5" s="6" t="n">
        <v>112.6291216</v>
      </c>
      <c r="F5" s="6" t="inlineStr">
        <is>
          <t>Mahal</t>
        </is>
      </c>
    </row>
    <row r="6">
      <c r="A6" s="6" t="n">
        <v>91</v>
      </c>
      <c r="B6" s="6" t="inlineStr">
        <is>
          <t>Melati Restaurant</t>
        </is>
      </c>
      <c r="C6" s="6" t="n">
        <v>246546</v>
      </c>
      <c r="D6" s="6" t="n">
        <v>-7.9770541</v>
      </c>
      <c r="E6" s="6" t="n">
        <v>112.6328693</v>
      </c>
      <c r="F6" s="6" t="inlineStr">
        <is>
          <t>Mahal</t>
        </is>
      </c>
    </row>
    <row r="7">
      <c r="A7" s="6" t="n">
        <v>192</v>
      </c>
      <c r="B7" s="6" t="inlineStr">
        <is>
          <t>Dialoogi Signature Restaurant Malang</t>
        </is>
      </c>
      <c r="C7" s="6" t="n">
        <v>171684</v>
      </c>
      <c r="D7" s="6" t="n">
        <v>-7.960162</v>
      </c>
      <c r="E7" s="6" t="n">
        <v>112.622335</v>
      </c>
      <c r="F7" s="6" t="inlineStr">
        <is>
          <t>Mahal</t>
        </is>
      </c>
    </row>
    <row r="8">
      <c r="A8" s="6" t="n">
        <v>1</v>
      </c>
      <c r="B8" s="6" t="inlineStr">
        <is>
          <t>Depot Gang Djangkrik Kawi Atas Malang</t>
        </is>
      </c>
      <c r="C8" s="6" t="n">
        <v>27049</v>
      </c>
      <c r="D8" s="6" t="n">
        <v>-7.9753699</v>
      </c>
      <c r="E8" s="6" t="n">
        <v>112.6192815</v>
      </c>
      <c r="F8" s="6" t="inlineStr">
        <is>
          <t>Murah</t>
        </is>
      </c>
    </row>
    <row r="9">
      <c r="A9" s="6" t="n">
        <v>2</v>
      </c>
      <c r="B9" s="6" t="inlineStr">
        <is>
          <t>Depot Gang Djangkrik</t>
        </is>
      </c>
      <c r="C9" s="6" t="n">
        <v>12314</v>
      </c>
      <c r="D9" s="6" t="n">
        <v>-7.9568232</v>
      </c>
      <c r="E9" s="6" t="n">
        <v>112.6384586</v>
      </c>
      <c r="F9" s="6" t="inlineStr">
        <is>
          <t>Murah</t>
        </is>
      </c>
    </row>
    <row r="10">
      <c r="A10" s="6" t="n">
        <v>3</v>
      </c>
      <c r="B10" s="6" t="inlineStr">
        <is>
          <t>Depot Tanjung Api Malang</t>
        </is>
      </c>
      <c r="C10" s="6" t="n">
        <v>16273</v>
      </c>
      <c r="D10" s="6" t="n">
        <v>-7.9650229</v>
      </c>
      <c r="E10" s="6" t="n">
        <v>112.626127</v>
      </c>
      <c r="F10" s="6" t="inlineStr">
        <is>
          <t>Murah</t>
        </is>
      </c>
    </row>
    <row r="11">
      <c r="A11" s="6" t="n">
        <v>4</v>
      </c>
      <c r="B11" s="6" t="inlineStr">
        <is>
          <t>Depot Sari Rasa</t>
        </is>
      </c>
      <c r="C11" s="6" t="n">
        <v>15930</v>
      </c>
      <c r="D11" s="6" t="n">
        <v>-7.9654019</v>
      </c>
      <c r="E11" s="6" t="n">
        <v>112.634112</v>
      </c>
      <c r="F11" s="6" t="inlineStr">
        <is>
          <t>Murah</t>
        </is>
      </c>
    </row>
    <row r="12">
      <c r="A12" s="6" t="n">
        <v>5</v>
      </c>
      <c r="B12" s="6" t="inlineStr">
        <is>
          <t>Depot Kayutangan</t>
        </is>
      </c>
      <c r="C12" s="6" t="n">
        <v>22792</v>
      </c>
      <c r="D12" s="6" t="n">
        <v>-7.9763697</v>
      </c>
      <c r="E12" s="6" t="n">
        <v>112.630331</v>
      </c>
      <c r="F12" s="6" t="inlineStr">
        <is>
          <t>Murah</t>
        </is>
      </c>
    </row>
    <row r="13">
      <c r="A13" s="6" t="n">
        <v>6</v>
      </c>
      <c r="B13" s="6" t="inlineStr">
        <is>
          <t>Depot Malang Kuliner</t>
        </is>
      </c>
      <c r="C13" s="6" t="n">
        <v>21374</v>
      </c>
      <c r="D13" s="6" t="n">
        <v>-7.9642673</v>
      </c>
      <c r="E13" s="6" t="n">
        <v>112.6400534</v>
      </c>
      <c r="F13" s="6" t="inlineStr">
        <is>
          <t>Murah</t>
        </is>
      </c>
    </row>
    <row r="14">
      <c r="A14" s="6" t="n">
        <v>7</v>
      </c>
      <c r="B14" s="6" t="inlineStr">
        <is>
          <t>Depot Djempolan</t>
        </is>
      </c>
      <c r="C14" s="6" t="n">
        <v>21358</v>
      </c>
      <c r="D14" s="6" t="n">
        <v>-7.987635</v>
      </c>
      <c r="E14" s="6" t="n">
        <v>112.6345405</v>
      </c>
      <c r="F14" s="6" t="inlineStr">
        <is>
          <t>Murah</t>
        </is>
      </c>
    </row>
    <row r="15">
      <c r="A15" s="6" t="n">
        <v>8</v>
      </c>
      <c r="B15" s="6" t="inlineStr">
        <is>
          <t>Depot 200</t>
        </is>
      </c>
      <c r="C15" s="6" t="n">
        <v>26823</v>
      </c>
      <c r="D15" s="6" t="n">
        <v>-7.9372434</v>
      </c>
      <c r="E15" s="6" t="n">
        <v>112.60608</v>
      </c>
      <c r="F15" s="6" t="inlineStr">
        <is>
          <t>Murah</t>
        </is>
      </c>
    </row>
    <row r="16">
      <c r="A16" s="6" t="n">
        <v>9</v>
      </c>
      <c r="B16" s="6" t="inlineStr">
        <is>
          <t>Depot Arema</t>
        </is>
      </c>
      <c r="C16" s="6" t="n">
        <v>26454</v>
      </c>
      <c r="D16" s="6" t="n">
        <v>-7.980489</v>
      </c>
      <c r="E16" s="6" t="n">
        <v>112.6564629</v>
      </c>
      <c r="F16" s="6" t="inlineStr">
        <is>
          <t>Murah</t>
        </is>
      </c>
    </row>
    <row r="17">
      <c r="A17" s="6" t="n">
        <v>10</v>
      </c>
      <c r="B17" s="6" t="inlineStr">
        <is>
          <t>Depot Widari</t>
        </is>
      </c>
      <c r="C17" s="6" t="n">
        <v>21838</v>
      </c>
      <c r="D17" s="6" t="n">
        <v>-7.9754065</v>
      </c>
      <c r="E17" s="6" t="n">
        <v>112.619517</v>
      </c>
      <c r="F17" s="6" t="inlineStr">
        <is>
          <t>Murah</t>
        </is>
      </c>
    </row>
    <row r="18">
      <c r="A18" s="6" t="n">
        <v>11</v>
      </c>
      <c r="B18" s="6" t="inlineStr">
        <is>
          <t>Depot 2 Legenda</t>
        </is>
      </c>
      <c r="C18" s="6" t="n">
        <v>13996</v>
      </c>
      <c r="D18" s="6" t="n">
        <v>-7.9399474</v>
      </c>
      <c r="E18" s="6" t="n">
        <v>112.6356553</v>
      </c>
      <c r="F18" s="6" t="inlineStr">
        <is>
          <t>Murah</t>
        </is>
      </c>
    </row>
    <row r="19">
      <c r="A19" s="6" t="n">
        <v>12</v>
      </c>
      <c r="B19" s="6" t="inlineStr">
        <is>
          <t>Depot Asri Bu Saeroen</t>
        </is>
      </c>
      <c r="C19" s="6" t="n">
        <v>21626</v>
      </c>
      <c r="D19" s="6" t="n">
        <v>-7.9673974</v>
      </c>
      <c r="E19" s="6" t="n">
        <v>112.6338399</v>
      </c>
      <c r="F19" s="6" t="inlineStr">
        <is>
          <t>Murah</t>
        </is>
      </c>
    </row>
    <row r="20">
      <c r="A20" s="6" t="n">
        <v>13</v>
      </c>
      <c r="B20" s="6" t="inlineStr">
        <is>
          <t>Rumah Makan Gloria l Since 1970</t>
        </is>
      </c>
      <c r="C20" s="6" t="n">
        <v>17946</v>
      </c>
      <c r="D20" s="6" t="n">
        <v>-7.9841646</v>
      </c>
      <c r="E20" s="6" t="n">
        <v>112.6335937</v>
      </c>
      <c r="F20" s="6" t="inlineStr">
        <is>
          <t>Murah</t>
        </is>
      </c>
    </row>
    <row r="21">
      <c r="A21" s="6" t="n">
        <v>14</v>
      </c>
      <c r="B21" s="6" t="inlineStr">
        <is>
          <t>Depot Kawanua 1 Malang</t>
        </is>
      </c>
      <c r="C21" s="6" t="n">
        <v>13345</v>
      </c>
      <c r="D21" s="6" t="n">
        <v>-7.980493</v>
      </c>
      <c r="E21" s="6" t="n">
        <v>112.640598</v>
      </c>
      <c r="F21" s="6" t="inlineStr">
        <is>
          <t>Murah</t>
        </is>
      </c>
    </row>
    <row r="22">
      <c r="A22" s="6" t="n">
        <v>15</v>
      </c>
      <c r="B22" s="6" t="inlineStr">
        <is>
          <t>Rumah Makan Hok Lay</t>
        </is>
      </c>
      <c r="C22" s="6" t="n">
        <v>21231</v>
      </c>
      <c r="D22" s="6" t="n">
        <v>-7.9845499</v>
      </c>
      <c r="E22" s="6" t="n">
        <v>112.6342841</v>
      </c>
      <c r="F22" s="6" t="inlineStr">
        <is>
          <t>Murah</t>
        </is>
      </c>
    </row>
    <row r="23">
      <c r="A23" s="6" t="n">
        <v>16</v>
      </c>
      <c r="B23" s="6" t="inlineStr">
        <is>
          <t>Depot Dua Satu</t>
        </is>
      </c>
      <c r="C23" s="6" t="n">
        <v>29206</v>
      </c>
      <c r="D23" s="6" t="n">
        <v>-7.9675082</v>
      </c>
      <c r="E23" s="6" t="n">
        <v>112.628995</v>
      </c>
      <c r="F23" s="6" t="inlineStr">
        <is>
          <t>Murah</t>
        </is>
      </c>
    </row>
    <row r="24">
      <c r="A24" s="6" t="n">
        <v>17</v>
      </c>
      <c r="B24" s="6" t="inlineStr">
        <is>
          <t>Depot Kanton</t>
        </is>
      </c>
      <c r="C24" s="6" t="n">
        <v>22501</v>
      </c>
      <c r="D24" s="6" t="n">
        <v>-7.9679762</v>
      </c>
      <c r="E24" s="6" t="n">
        <v>112.626693</v>
      </c>
      <c r="F24" s="6" t="inlineStr">
        <is>
          <t>Murah</t>
        </is>
      </c>
    </row>
    <row r="25">
      <c r="A25" s="6" t="n">
        <v>18</v>
      </c>
      <c r="B25" s="6" t="inlineStr">
        <is>
          <t>Depot Mie Gadjah Mada 1</t>
        </is>
      </c>
      <c r="C25" s="6" t="n">
        <v>15995</v>
      </c>
      <c r="D25" s="6" t="n">
        <v>-7.985248</v>
      </c>
      <c r="E25" s="6" t="n">
        <v>112.63158</v>
      </c>
      <c r="F25" s="6" t="inlineStr">
        <is>
          <t>Murah</t>
        </is>
      </c>
    </row>
    <row r="26">
      <c r="A26" s="6" t="n">
        <v>19</v>
      </c>
      <c r="B26" s="6" t="inlineStr">
        <is>
          <t>Depot 29</t>
        </is>
      </c>
      <c r="C26" s="6" t="n">
        <v>22676</v>
      </c>
      <c r="D26" s="6" t="n">
        <v>-7.865991</v>
      </c>
      <c r="E26" s="6" t="n">
        <v>112.6821414</v>
      </c>
      <c r="F26" s="6" t="inlineStr">
        <is>
          <t>Murah</t>
        </is>
      </c>
    </row>
    <row r="27">
      <c r="A27" s="6" t="n">
        <v>20</v>
      </c>
      <c r="B27" s="6" t="inlineStr">
        <is>
          <t>Depot Rawon Malang MM</t>
        </is>
      </c>
      <c r="C27" s="6" t="n">
        <v>17323</v>
      </c>
      <c r="D27" s="6" t="n">
        <v>-7.935648</v>
      </c>
      <c r="E27" s="6" t="n">
        <v>112.6540937</v>
      </c>
      <c r="F27" s="6" t="inlineStr">
        <is>
          <t>Murah</t>
        </is>
      </c>
    </row>
    <row r="28">
      <c r="A28" s="6" t="n">
        <v>21</v>
      </c>
      <c r="B28" s="6" t="inlineStr">
        <is>
          <t>Depot 88 - Araya</t>
        </is>
      </c>
      <c r="C28" s="6" t="n">
        <v>26122</v>
      </c>
      <c r="D28" s="6" t="n">
        <v>-7.9414605</v>
      </c>
      <c r="E28" s="6" t="n">
        <v>112.6604733</v>
      </c>
      <c r="F28" s="6" t="inlineStr">
        <is>
          <t>Murah</t>
        </is>
      </c>
    </row>
    <row r="29">
      <c r="A29" s="6" t="n">
        <v>22</v>
      </c>
      <c r="B29" s="6" t="inlineStr">
        <is>
          <t>Depot "Janur Kuning"</t>
        </is>
      </c>
      <c r="C29" s="6" t="n">
        <v>13456</v>
      </c>
      <c r="D29" s="6" t="n">
        <v>-7.9505172</v>
      </c>
      <c r="E29" s="6" t="n">
        <v>112.6395865</v>
      </c>
      <c r="F29" s="6" t="inlineStr">
        <is>
          <t>Murah</t>
        </is>
      </c>
    </row>
    <row r="30">
      <c r="A30" s="6" t="n">
        <v>23</v>
      </c>
      <c r="B30" s="6" t="inlineStr">
        <is>
          <t>Rawon Rampal</t>
        </is>
      </c>
      <c r="C30" s="6" t="n">
        <v>18498</v>
      </c>
      <c r="D30" s="6" t="n">
        <v>-7.97421</v>
      </c>
      <c r="E30" s="6" t="n">
        <v>112.6384068</v>
      </c>
      <c r="F30" s="6" t="inlineStr">
        <is>
          <t>Murah</t>
        </is>
      </c>
    </row>
    <row r="31">
      <c r="A31" s="6" t="n">
        <v>24</v>
      </c>
      <c r="B31" s="6" t="inlineStr">
        <is>
          <t>Depot Semeru</t>
        </is>
      </c>
      <c r="C31" s="6" t="n">
        <v>17910</v>
      </c>
      <c r="D31" s="6" t="n">
        <v>-7.9743427</v>
      </c>
      <c r="E31" s="6" t="n">
        <v>112.6254003</v>
      </c>
      <c r="F31" s="6" t="inlineStr">
        <is>
          <t>Murah</t>
        </is>
      </c>
    </row>
    <row r="32">
      <c r="A32" s="6" t="n">
        <v>25</v>
      </c>
      <c r="B32" s="6" t="inlineStr">
        <is>
          <t>Depot Chinesefood B2 Malang</t>
        </is>
      </c>
      <c r="C32" s="6" t="n">
        <v>17427</v>
      </c>
      <c r="D32" s="6" t="n">
        <v>-7.9351133</v>
      </c>
      <c r="E32" s="6" t="n">
        <v>112.6338916</v>
      </c>
      <c r="F32" s="6" t="inlineStr">
        <is>
          <t>Murah</t>
        </is>
      </c>
    </row>
    <row r="33">
      <c r="A33" s="6" t="n">
        <v>27</v>
      </c>
      <c r="B33" s="6" t="inlineStr">
        <is>
          <t>Depot Samsin</t>
        </is>
      </c>
      <c r="C33" s="6" t="n">
        <v>15018</v>
      </c>
      <c r="D33" s="6" t="n">
        <v>-7.9712318</v>
      </c>
      <c r="E33" s="6" t="n">
        <v>112.6284996</v>
      </c>
      <c r="F33" s="6" t="inlineStr">
        <is>
          <t>Murah</t>
        </is>
      </c>
    </row>
    <row r="34">
      <c r="A34" s="6" t="n">
        <v>28</v>
      </c>
      <c r="B34" s="6" t="inlineStr">
        <is>
          <t>Depot Idola</t>
        </is>
      </c>
      <c r="C34" s="6" t="n">
        <v>16783</v>
      </c>
      <c r="D34" s="6" t="n">
        <v>-7.947223</v>
      </c>
      <c r="E34" s="6" t="n">
        <v>112.6253095</v>
      </c>
      <c r="F34" s="6" t="inlineStr">
        <is>
          <t>Murah</t>
        </is>
      </c>
    </row>
    <row r="35">
      <c r="A35" s="6" t="n">
        <v>29</v>
      </c>
      <c r="B35" s="6" t="inlineStr">
        <is>
          <t>Depot Melati</t>
        </is>
      </c>
      <c r="C35" s="6" t="n">
        <v>28150</v>
      </c>
      <c r="D35" s="6" t="n">
        <v>-7.9898442</v>
      </c>
      <c r="E35" s="6" t="n">
        <v>112.6399863</v>
      </c>
      <c r="F35" s="6" t="inlineStr">
        <is>
          <t>Murah</t>
        </is>
      </c>
    </row>
    <row r="36">
      <c r="A36" s="6" t="n">
        <v>30</v>
      </c>
      <c r="B36" s="6" t="inlineStr">
        <is>
          <t>Depot Mie Sahadja Sigura-gura</t>
        </is>
      </c>
      <c r="C36" s="6" t="n">
        <v>15585</v>
      </c>
      <c r="D36" s="6" t="n">
        <v>-7.9567908</v>
      </c>
      <c r="E36" s="6" t="n">
        <v>112.6087122</v>
      </c>
      <c r="F36" s="6" t="inlineStr">
        <is>
          <t>Murah</t>
        </is>
      </c>
    </row>
    <row r="37">
      <c r="A37" s="6" t="n">
        <v>33</v>
      </c>
      <c r="B37" s="6" t="inlineStr">
        <is>
          <t>Depot Guntur</t>
        </is>
      </c>
      <c r="C37" s="6" t="n">
        <v>25112</v>
      </c>
      <c r="D37" s="6" t="n">
        <v>-7.9683431</v>
      </c>
      <c r="E37" s="6" t="n">
        <v>112.6250635</v>
      </c>
      <c r="F37" s="6" t="inlineStr">
        <is>
          <t>Murah</t>
        </is>
      </c>
    </row>
    <row r="38">
      <c r="A38" s="6" t="n">
        <v>34</v>
      </c>
      <c r="B38" s="6" t="inlineStr">
        <is>
          <t>Depot Es Talun sejak 1950</t>
        </is>
      </c>
      <c r="C38" s="6" t="n">
        <v>21512</v>
      </c>
      <c r="D38" s="6" t="n">
        <v>-7.9808418</v>
      </c>
      <c r="E38" s="6" t="n">
        <v>112.6275706</v>
      </c>
      <c r="F38" s="6" t="inlineStr">
        <is>
          <t>Murah</t>
        </is>
      </c>
    </row>
    <row r="39">
      <c r="A39" s="6" t="n">
        <v>35</v>
      </c>
      <c r="B39" s="6" t="inlineStr">
        <is>
          <t>Depot WS 7</t>
        </is>
      </c>
      <c r="C39" s="6" t="n">
        <v>25169</v>
      </c>
      <c r="D39" s="6" t="n">
        <v>-7.949414</v>
      </c>
      <c r="E39" s="6" t="n">
        <v>112.642155</v>
      </c>
      <c r="F39" s="6" t="inlineStr">
        <is>
          <t>Murah</t>
        </is>
      </c>
    </row>
    <row r="40">
      <c r="A40" s="6" t="n">
        <v>37</v>
      </c>
      <c r="B40" s="6" t="inlineStr">
        <is>
          <t>Depot 59</t>
        </is>
      </c>
      <c r="C40" s="6" t="n">
        <v>13905</v>
      </c>
      <c r="D40" s="6" t="n">
        <v>-7.9840455</v>
      </c>
      <c r="E40" s="6" t="n">
        <v>112.6369202</v>
      </c>
      <c r="F40" s="6" t="inlineStr">
        <is>
          <t>Murah</t>
        </is>
      </c>
    </row>
    <row r="41">
      <c r="A41" s="6" t="n">
        <v>38</v>
      </c>
      <c r="B41" s="6" t="inlineStr">
        <is>
          <t>Depot Semangkok</t>
        </is>
      </c>
      <c r="C41" s="6" t="n">
        <v>15027</v>
      </c>
      <c r="D41" s="6" t="n">
        <v>-7.9385565</v>
      </c>
      <c r="E41" s="6" t="n">
        <v>112.6372841</v>
      </c>
      <c r="F41" s="6" t="inlineStr">
        <is>
          <t>Murah</t>
        </is>
      </c>
    </row>
    <row r="42">
      <c r="A42" s="6" t="n">
        <v>39</v>
      </c>
      <c r="B42" s="6" t="inlineStr">
        <is>
          <t>Depot Wiejen</t>
        </is>
      </c>
      <c r="C42" s="6" t="n">
        <v>29025</v>
      </c>
      <c r="D42" s="6" t="n">
        <v>-7.9766496</v>
      </c>
      <c r="E42" s="6" t="n">
        <v>112.636991</v>
      </c>
      <c r="F42" s="6" t="inlineStr">
        <is>
          <t>Murah</t>
        </is>
      </c>
    </row>
    <row r="43">
      <c r="A43" s="6" t="n">
        <v>40</v>
      </c>
      <c r="B43" s="6" t="inlineStr">
        <is>
          <t>Depot New Purnama</t>
        </is>
      </c>
      <c r="C43" s="6" t="n">
        <v>27263</v>
      </c>
      <c r="D43" s="6" t="n">
        <v>-7.9751511</v>
      </c>
      <c r="E43" s="6" t="n">
        <v>112.6188975</v>
      </c>
      <c r="F43" s="6" t="inlineStr">
        <is>
          <t>Murah</t>
        </is>
      </c>
    </row>
    <row r="44">
      <c r="A44" s="6" t="n">
        <v>41</v>
      </c>
      <c r="B44" s="6" t="inlineStr">
        <is>
          <t>Depot 77 Sawojajar Halalan Toyiban</t>
        </is>
      </c>
      <c r="C44" s="6" t="n">
        <v>13623</v>
      </c>
      <c r="D44" s="6" t="n">
        <v>-7.9783098</v>
      </c>
      <c r="E44" s="6" t="n">
        <v>112.6670743</v>
      </c>
      <c r="F44" s="6" t="inlineStr">
        <is>
          <t>Murah</t>
        </is>
      </c>
    </row>
    <row r="45">
      <c r="A45" s="6" t="n">
        <v>42</v>
      </c>
      <c r="B45" s="6" t="inlineStr">
        <is>
          <t>Rawon Nguling</t>
        </is>
      </c>
      <c r="C45" s="6" t="n">
        <v>24348</v>
      </c>
      <c r="D45" s="6" t="n">
        <v>-7.9838809</v>
      </c>
      <c r="E45" s="6" t="n">
        <v>112.6339791</v>
      </c>
      <c r="F45" s="6" t="inlineStr">
        <is>
          <t>Murah</t>
        </is>
      </c>
    </row>
    <row r="46">
      <c r="A46" s="6" t="n">
        <v>43</v>
      </c>
      <c r="B46" s="6" t="inlineStr">
        <is>
          <t>Depot 88 Tidar</t>
        </is>
      </c>
      <c r="C46" s="6" t="n">
        <v>12001</v>
      </c>
      <c r="D46" s="6" t="n">
        <v>-7.9666032</v>
      </c>
      <c r="E46" s="6" t="n">
        <v>112.6106002</v>
      </c>
      <c r="F46" s="6" t="inlineStr">
        <is>
          <t>Murah</t>
        </is>
      </c>
    </row>
    <row r="47">
      <c r="A47" s="6" t="n">
        <v>44</v>
      </c>
      <c r="B47" s="6" t="inlineStr">
        <is>
          <t>Depot Goyang Lidah 1987</t>
        </is>
      </c>
      <c r="C47" s="6" t="n">
        <v>25686</v>
      </c>
      <c r="D47" s="6" t="n">
        <v>-7.9641545</v>
      </c>
      <c r="E47" s="6" t="n">
        <v>112.6389724</v>
      </c>
      <c r="F47" s="6" t="inlineStr">
        <is>
          <t>Murah</t>
        </is>
      </c>
    </row>
    <row r="48">
      <c r="A48" s="6" t="n">
        <v>45</v>
      </c>
      <c r="B48" s="6" t="inlineStr">
        <is>
          <t>Rumah Makan Cairo</t>
        </is>
      </c>
      <c r="C48" s="6" t="n">
        <v>26419</v>
      </c>
      <c r="D48" s="6" t="n">
        <v>-7.9867217</v>
      </c>
      <c r="E48" s="6" t="n">
        <v>112.6284969</v>
      </c>
      <c r="F48" s="6" t="inlineStr">
        <is>
          <t>Murah</t>
        </is>
      </c>
    </row>
    <row r="49">
      <c r="A49" s="6" t="n">
        <v>46</v>
      </c>
      <c r="B49" s="6" t="inlineStr">
        <is>
          <t>Depot Santo Yusup</t>
        </is>
      </c>
      <c r="C49" s="6" t="n">
        <v>14045</v>
      </c>
      <c r="D49" s="6" t="n">
        <v>-7.9399733</v>
      </c>
      <c r="E49" s="6" t="n">
        <v>112.6385224</v>
      </c>
      <c r="F49" s="6" t="inlineStr">
        <is>
          <t>Murah</t>
        </is>
      </c>
    </row>
    <row r="50">
      <c r="A50" s="6" t="n">
        <v>48</v>
      </c>
      <c r="B50" s="6" t="inlineStr">
        <is>
          <t>Depot naga kembar</t>
        </is>
      </c>
      <c r="C50" s="6" t="n">
        <v>29191</v>
      </c>
      <c r="D50" s="6" t="n">
        <v>-7.9724794</v>
      </c>
      <c r="E50" s="6" t="n">
        <v>112.6361591</v>
      </c>
      <c r="F50" s="6" t="inlineStr">
        <is>
          <t>Murah</t>
        </is>
      </c>
    </row>
    <row r="51">
      <c r="A51" s="6" t="n">
        <v>49</v>
      </c>
      <c r="B51" s="6" t="inlineStr">
        <is>
          <t>Dapur 93</t>
        </is>
      </c>
      <c r="C51" s="6" t="n">
        <v>18122</v>
      </c>
      <c r="D51" s="6" t="n">
        <v>-7.9572495</v>
      </c>
      <c r="E51" s="6" t="n">
        <v>112.6276363</v>
      </c>
      <c r="F51" s="6" t="inlineStr">
        <is>
          <t>Murah</t>
        </is>
      </c>
    </row>
    <row r="52">
      <c r="A52" s="6" t="n">
        <v>50</v>
      </c>
      <c r="B52" s="6" t="inlineStr">
        <is>
          <t>Depot Ikana</t>
        </is>
      </c>
      <c r="C52" s="6" t="n">
        <v>21615</v>
      </c>
      <c r="D52" s="6" t="n">
        <v>-7.9704505</v>
      </c>
      <c r="E52" s="6" t="n">
        <v>112.6133452</v>
      </c>
      <c r="F52" s="6" t="inlineStr">
        <is>
          <t>Murah</t>
        </is>
      </c>
    </row>
    <row r="53">
      <c r="A53" s="6" t="n">
        <v>51</v>
      </c>
      <c r="B53" s="6" t="inlineStr">
        <is>
          <t>Depot Juang 45 Malang</t>
        </is>
      </c>
      <c r="C53" s="6" t="n">
        <v>17786</v>
      </c>
      <c r="D53" s="6" t="n">
        <v>-7.9787477</v>
      </c>
      <c r="E53" s="6" t="n">
        <v>112.6296264</v>
      </c>
      <c r="F53" s="6" t="inlineStr">
        <is>
          <t>Murah</t>
        </is>
      </c>
    </row>
    <row r="54">
      <c r="A54" s="6" t="n">
        <v>52</v>
      </c>
      <c r="B54" s="6" t="inlineStr">
        <is>
          <t>Rumah Makan Kertanegara</t>
        </is>
      </c>
      <c r="C54" s="6" t="n">
        <v>16331</v>
      </c>
      <c r="D54" s="6" t="n">
        <v>-7.977017</v>
      </c>
      <c r="E54" s="6" t="n">
        <v>112.6357955</v>
      </c>
      <c r="F54" s="6" t="inlineStr">
        <is>
          <t>Murah</t>
        </is>
      </c>
    </row>
    <row r="55">
      <c r="A55" s="6" t="n">
        <v>53</v>
      </c>
      <c r="B55" s="6" t="inlineStr">
        <is>
          <t>Ayam Goreng Tenes</t>
        </is>
      </c>
      <c r="C55" s="6" t="n">
        <v>14446</v>
      </c>
      <c r="D55" s="6" t="n">
        <v>-7.97467</v>
      </c>
      <c r="E55" s="6" t="n">
        <v>112.6236483</v>
      </c>
      <c r="F55" s="6" t="inlineStr">
        <is>
          <t>Murah</t>
        </is>
      </c>
    </row>
    <row r="56">
      <c r="A56" s="6" t="n">
        <v>55</v>
      </c>
      <c r="B56" s="6" t="inlineStr">
        <is>
          <t>Depot Cahyen Enak</t>
        </is>
      </c>
      <c r="C56" s="6" t="n">
        <v>13948</v>
      </c>
      <c r="D56" s="6" t="n">
        <v>-7.9414562</v>
      </c>
      <c r="E56" s="6" t="n">
        <v>112.6607687</v>
      </c>
      <c r="F56" s="6" t="inlineStr">
        <is>
          <t>Murah</t>
        </is>
      </c>
    </row>
    <row r="57">
      <c r="A57" s="6" t="n">
        <v>56</v>
      </c>
      <c r="B57" s="6" t="inlineStr">
        <is>
          <t>Depot Lo &amp; Mie</t>
        </is>
      </c>
      <c r="C57" s="6" t="n">
        <v>24998</v>
      </c>
      <c r="D57" s="6" t="n">
        <v>-7.9343403</v>
      </c>
      <c r="E57" s="6" t="n">
        <v>112.637426</v>
      </c>
      <c r="F57" s="6" t="inlineStr">
        <is>
          <t>Murah</t>
        </is>
      </c>
    </row>
    <row r="58">
      <c r="A58" s="6" t="n">
        <v>57</v>
      </c>
      <c r="B58" s="6" t="inlineStr">
        <is>
          <t>Depot Mie Atom</t>
        </is>
      </c>
      <c r="C58" s="6" t="n">
        <v>20773</v>
      </c>
      <c r="D58" s="6" t="n">
        <v>-7.9838123</v>
      </c>
      <c r="E58" s="6" t="n">
        <v>112.6315306</v>
      </c>
      <c r="F58" s="6" t="inlineStr">
        <is>
          <t>Murah</t>
        </is>
      </c>
    </row>
    <row r="59">
      <c r="A59" s="6" t="n">
        <v>58</v>
      </c>
      <c r="B59" s="6" t="inlineStr">
        <is>
          <t>Depot Panjang Umur</t>
        </is>
      </c>
      <c r="C59" s="6" t="n">
        <v>14399</v>
      </c>
      <c r="D59" s="6" t="n">
        <v>-7.9741513</v>
      </c>
      <c r="E59" s="6" t="n">
        <v>112.6148483</v>
      </c>
      <c r="F59" s="6" t="inlineStr">
        <is>
          <t>Murah</t>
        </is>
      </c>
    </row>
    <row r="60">
      <c r="A60" s="6" t="n">
        <v>59</v>
      </c>
      <c r="B60" s="6" t="inlineStr">
        <is>
          <t>Depot Barokah Cab. Mbah Riman Kediri</t>
        </is>
      </c>
      <c r="C60" s="6" t="n">
        <v>18511</v>
      </c>
      <c r="D60" s="6" t="n">
        <v>-7.9413099</v>
      </c>
      <c r="E60" s="6" t="n">
        <v>112.6377444</v>
      </c>
      <c r="F60" s="6" t="inlineStr">
        <is>
          <t>Murah</t>
        </is>
      </c>
    </row>
    <row r="61">
      <c r="A61" s="6" t="n">
        <v>61</v>
      </c>
      <c r="B61" s="6" t="inlineStr">
        <is>
          <t>Rumah Makan Pecel Kawi Hj Musilah Asli 1975</t>
        </is>
      </c>
      <c r="C61" s="6" t="n">
        <v>25855</v>
      </c>
      <c r="D61" s="6" t="n">
        <v>-7.9757225</v>
      </c>
      <c r="E61" s="6" t="n">
        <v>112.6200297</v>
      </c>
      <c r="F61" s="6" t="inlineStr">
        <is>
          <t>Murah</t>
        </is>
      </c>
    </row>
    <row r="62">
      <c r="A62" s="6" t="n">
        <v>62</v>
      </c>
      <c r="B62" s="6" t="inlineStr">
        <is>
          <t>Depot Bang Leo</t>
        </is>
      </c>
      <c r="C62" s="6" t="n">
        <v>29506</v>
      </c>
      <c r="D62" s="6" t="n">
        <v>-7.9762163</v>
      </c>
      <c r="E62" s="6" t="n">
        <v>112.6370277</v>
      </c>
      <c r="F62" s="6" t="inlineStr">
        <is>
          <t>Murah</t>
        </is>
      </c>
    </row>
    <row r="63">
      <c r="A63" s="6" t="n">
        <v>63</v>
      </c>
      <c r="B63" s="6" t="inlineStr">
        <is>
          <t>Depot Asem Djawa</t>
        </is>
      </c>
      <c r="C63" s="6" t="n">
        <v>27050</v>
      </c>
      <c r="D63" s="6" t="n">
        <v>-7.9373203</v>
      </c>
      <c r="E63" s="6" t="n">
        <v>112.5795874</v>
      </c>
      <c r="F63" s="6" t="inlineStr">
        <is>
          <t>Murah</t>
        </is>
      </c>
    </row>
    <row r="64">
      <c r="A64" s="6" t="n">
        <v>64</v>
      </c>
      <c r="B64" s="6" t="inlineStr">
        <is>
          <t>Depot Soto banjar Achmad Jais</t>
        </is>
      </c>
      <c r="C64" s="6" t="n">
        <v>16246</v>
      </c>
      <c r="D64" s="6" t="n">
        <v>-7.9756649</v>
      </c>
      <c r="E64" s="6" t="n">
        <v>112.6129343</v>
      </c>
      <c r="F64" s="6" t="inlineStr">
        <is>
          <t>Murah</t>
        </is>
      </c>
    </row>
    <row r="65">
      <c r="A65" s="6" t="n">
        <v>65</v>
      </c>
      <c r="B65" s="6" t="inlineStr">
        <is>
          <t>Depot Rahayu</t>
        </is>
      </c>
      <c r="C65" s="6" t="n">
        <v>24489</v>
      </c>
      <c r="D65" s="6" t="n">
        <v>-7.9929481</v>
      </c>
      <c r="E65" s="6" t="n">
        <v>112.6322262</v>
      </c>
      <c r="F65" s="6" t="inlineStr">
        <is>
          <t>Murah</t>
        </is>
      </c>
    </row>
    <row r="66">
      <c r="A66" s="6" t="n">
        <v>66</v>
      </c>
      <c r="B66" s="6" t="inlineStr">
        <is>
          <t>Ikan Bakar Cianjur - Malang</t>
        </is>
      </c>
      <c r="C66" s="6" t="n">
        <v>28837</v>
      </c>
      <c r="D66" s="6" t="n">
        <v>-7.9652338</v>
      </c>
      <c r="E66" s="6" t="n">
        <v>112.625472</v>
      </c>
      <c r="F66" s="6" t="inlineStr">
        <is>
          <t>Murah</t>
        </is>
      </c>
    </row>
    <row r="67">
      <c r="A67" s="6" t="n">
        <v>67</v>
      </c>
      <c r="B67" s="6" t="inlineStr">
        <is>
          <t>Depot Podo Seneng</t>
        </is>
      </c>
      <c r="C67" s="6" t="n">
        <v>28001</v>
      </c>
      <c r="D67" s="6" t="n">
        <v>-7.9893011</v>
      </c>
      <c r="E67" s="6" t="n">
        <v>112.6347419</v>
      </c>
      <c r="F67" s="6" t="inlineStr">
        <is>
          <t>Murah</t>
        </is>
      </c>
    </row>
    <row r="68">
      <c r="A68" s="6" t="n">
        <v>68</v>
      </c>
      <c r="B68" s="6" t="inlineStr">
        <is>
          <t>DEPOT ESELON SAWOJAJAR</t>
        </is>
      </c>
      <c r="C68" s="6" t="n">
        <v>16928</v>
      </c>
      <c r="D68" s="6" t="n">
        <v>-7.9791132</v>
      </c>
      <c r="E68" s="6" t="n">
        <v>112.6562322</v>
      </c>
      <c r="F68" s="6" t="inlineStr">
        <is>
          <t>Murah</t>
        </is>
      </c>
    </row>
    <row r="69">
      <c r="A69" s="6" t="n">
        <v>69</v>
      </c>
      <c r="B69" s="6" t="inlineStr">
        <is>
          <t>Depot Flamboyant</t>
        </is>
      </c>
      <c r="C69" s="6" t="n">
        <v>23856</v>
      </c>
      <c r="D69" s="6" t="n">
        <v>-7.9707764</v>
      </c>
      <c r="E69" s="6" t="n">
        <v>112.6232368</v>
      </c>
      <c r="F69" s="6" t="inlineStr">
        <is>
          <t>Murah</t>
        </is>
      </c>
    </row>
    <row r="70">
      <c r="A70" s="6" t="n">
        <v>70</v>
      </c>
      <c r="B70" s="6" t="inlineStr">
        <is>
          <t>Depot Pangsit Mie Bromo Pojok</t>
        </is>
      </c>
      <c r="C70" s="6" t="n">
        <v>28611</v>
      </c>
      <c r="D70" s="6" t="n">
        <v>-7.9734973</v>
      </c>
      <c r="E70" s="6" t="n">
        <v>112.6358489</v>
      </c>
      <c r="F70" s="6" t="inlineStr">
        <is>
          <t>Murah</t>
        </is>
      </c>
    </row>
    <row r="71">
      <c r="A71" s="6" t="n">
        <v>72</v>
      </c>
      <c r="B71" s="6" t="inlineStr">
        <is>
          <t>Depot Indah Jaya</t>
        </is>
      </c>
      <c r="C71" s="6" t="n">
        <v>28204</v>
      </c>
      <c r="D71" s="6" t="n">
        <v>-7.978643</v>
      </c>
      <c r="E71" s="6" t="n">
        <v>112.637149</v>
      </c>
      <c r="F71" s="6" t="inlineStr">
        <is>
          <t>Murah</t>
        </is>
      </c>
    </row>
    <row r="72">
      <c r="A72" s="6" t="n">
        <v>73</v>
      </c>
      <c r="B72" s="6" t="inlineStr">
        <is>
          <t>Rumah Makan Kaliurang</t>
        </is>
      </c>
      <c r="C72" s="6" t="n">
        <v>25572</v>
      </c>
      <c r="D72" s="6" t="n">
        <v>-7.9628768</v>
      </c>
      <c r="E72" s="6" t="n">
        <v>112.6321869</v>
      </c>
      <c r="F72" s="6" t="inlineStr">
        <is>
          <t>Murah</t>
        </is>
      </c>
    </row>
    <row r="73">
      <c r="A73" s="6" t="n">
        <v>74</v>
      </c>
      <c r="B73" s="6" t="inlineStr">
        <is>
          <t>Depot Santai</t>
        </is>
      </c>
      <c r="C73" s="6" t="n">
        <v>25403</v>
      </c>
      <c r="D73" s="6" t="n">
        <v>-7.9667822</v>
      </c>
      <c r="E73" s="6" t="n">
        <v>112.6289912</v>
      </c>
      <c r="F73" s="6" t="inlineStr">
        <is>
          <t>Murah</t>
        </is>
      </c>
    </row>
    <row r="74">
      <c r="A74" s="6" t="n">
        <v>75</v>
      </c>
      <c r="B74" s="6" t="inlineStr">
        <is>
          <t>Depot Es Selon</t>
        </is>
      </c>
      <c r="C74" s="6" t="n">
        <v>21072</v>
      </c>
      <c r="D74" s="6" t="n">
        <v>-7.9939045</v>
      </c>
      <c r="E74" s="6" t="n">
        <v>112.6338544</v>
      </c>
      <c r="F74" s="6" t="inlineStr">
        <is>
          <t>Murah</t>
        </is>
      </c>
    </row>
    <row r="75">
      <c r="A75" s="6" t="n">
        <v>76</v>
      </c>
      <c r="B75" s="6" t="inlineStr">
        <is>
          <t>Depot Kee Tjie</t>
        </is>
      </c>
      <c r="C75" s="6" t="n">
        <v>13657</v>
      </c>
      <c r="D75" s="6" t="n">
        <v>-7.9816049</v>
      </c>
      <c r="E75" s="6" t="n">
        <v>112.6338698</v>
      </c>
      <c r="F75" s="6" t="inlineStr">
        <is>
          <t>Murah</t>
        </is>
      </c>
    </row>
    <row r="76">
      <c r="A76" s="6" t="n">
        <v>77</v>
      </c>
      <c r="B76" s="6" t="inlineStr">
        <is>
          <t>Depot Jepun</t>
        </is>
      </c>
      <c r="C76" s="6" t="n">
        <v>24447</v>
      </c>
      <c r="D76" s="6" t="n">
        <v>-7.9789067</v>
      </c>
      <c r="E76" s="6" t="n">
        <v>112.6142479</v>
      </c>
      <c r="F76" s="6" t="inlineStr">
        <is>
          <t>Murah</t>
        </is>
      </c>
    </row>
    <row r="77">
      <c r="A77" s="6" t="n">
        <v>78</v>
      </c>
      <c r="B77" s="6" t="inlineStr">
        <is>
          <t>Depot Maninjau</t>
        </is>
      </c>
      <c r="C77" s="6" t="n">
        <v>24775</v>
      </c>
      <c r="D77" s="6" t="n">
        <v>-7.974303</v>
      </c>
      <c r="E77" s="6" t="n">
        <v>112.657869</v>
      </c>
      <c r="F77" s="6" t="inlineStr">
        <is>
          <t>Murah</t>
        </is>
      </c>
    </row>
    <row r="78">
      <c r="A78" s="6" t="n">
        <v>79</v>
      </c>
      <c r="B78" s="6" t="inlineStr">
        <is>
          <t>Warung Es dan Kue Mungil Malang</t>
        </is>
      </c>
      <c r="C78" s="6" t="n">
        <v>17960</v>
      </c>
      <c r="D78" s="6" t="n">
        <v>-7.9658477</v>
      </c>
      <c r="E78" s="6" t="n">
        <v>112.6344685</v>
      </c>
      <c r="F78" s="6" t="inlineStr">
        <is>
          <t>Murah</t>
        </is>
      </c>
    </row>
    <row r="79">
      <c r="A79" s="6" t="n">
        <v>80</v>
      </c>
      <c r="B79" s="6" t="inlineStr">
        <is>
          <t>Depot Tahu Lontong Lonceng</t>
        </is>
      </c>
      <c r="C79" s="6" t="n">
        <v>26666</v>
      </c>
      <c r="D79" s="6" t="n">
        <v>-7.9896076</v>
      </c>
      <c r="E79" s="6" t="n">
        <v>112.6346613</v>
      </c>
      <c r="F79" s="6" t="inlineStr">
        <is>
          <t>Murah</t>
        </is>
      </c>
    </row>
    <row r="80">
      <c r="A80" s="6" t="n">
        <v>81</v>
      </c>
      <c r="B80" s="6" t="inlineStr">
        <is>
          <t>Depot Jakarta</t>
        </is>
      </c>
      <c r="C80" s="6" t="n">
        <v>20054</v>
      </c>
      <c r="D80" s="6" t="n">
        <v>-7.9586642</v>
      </c>
      <c r="E80" s="6" t="n">
        <v>112.6487547</v>
      </c>
      <c r="F80" s="6" t="inlineStr">
        <is>
          <t>Murah</t>
        </is>
      </c>
    </row>
    <row r="81">
      <c r="A81" s="6" t="n">
        <v>82</v>
      </c>
      <c r="B81" s="6" t="inlineStr">
        <is>
          <t>Depot Asri Vegetarian</t>
        </is>
      </c>
      <c r="C81" s="6" t="n">
        <v>17148</v>
      </c>
      <c r="D81" s="6" t="n">
        <v>-7.9353235</v>
      </c>
      <c r="E81" s="6" t="n">
        <v>112.6420035</v>
      </c>
      <c r="F81" s="6" t="inlineStr">
        <is>
          <t>Murah</t>
        </is>
      </c>
    </row>
    <row r="82">
      <c r="A82" s="6" t="n">
        <v>83</v>
      </c>
      <c r="B82" s="6" t="inlineStr">
        <is>
          <t>Ayam Tulang Lunak MBOK SURIP, SP Sudarmo, Blimbing, Kota Malang</t>
        </is>
      </c>
      <c r="C82" s="6" t="n">
        <v>28284</v>
      </c>
      <c r="D82" s="6" t="n">
        <v>-7.9551651</v>
      </c>
      <c r="E82" s="6" t="n">
        <v>112.6446451</v>
      </c>
      <c r="F82" s="6" t="inlineStr">
        <is>
          <t>Murah</t>
        </is>
      </c>
    </row>
    <row r="83">
      <c r="A83" s="6" t="n">
        <v>84</v>
      </c>
      <c r="B83" s="6" t="inlineStr">
        <is>
          <t>Pusat Kuliner Stasiun</t>
        </is>
      </c>
      <c r="C83" s="6" t="n">
        <v>24289</v>
      </c>
      <c r="D83" s="6" t="n">
        <v>-7.9784127</v>
      </c>
      <c r="E83" s="6" t="n">
        <v>112.6369811</v>
      </c>
      <c r="F83" s="6" t="inlineStr">
        <is>
          <t>Murah</t>
        </is>
      </c>
    </row>
    <row r="84">
      <c r="A84" s="6" t="n">
        <v>85</v>
      </c>
      <c r="B84" s="6" t="inlineStr">
        <is>
          <t>Cita Rasa</t>
        </is>
      </c>
      <c r="C84" s="6" t="n">
        <v>21003</v>
      </c>
      <c r="D84" s="6" t="n">
        <v>-7.9501582</v>
      </c>
      <c r="E84" s="6" t="n">
        <v>112.6298272</v>
      </c>
      <c r="F84" s="6" t="inlineStr">
        <is>
          <t>Murah</t>
        </is>
      </c>
    </row>
    <row r="85">
      <c r="A85" s="6" t="n">
        <v>86</v>
      </c>
      <c r="B85" s="6" t="inlineStr">
        <is>
          <t>Soto Basket Stasiun</t>
        </is>
      </c>
      <c r="C85" s="6" t="n">
        <v>17801</v>
      </c>
      <c r="D85" s="6" t="n">
        <v>-7.9781666</v>
      </c>
      <c r="E85" s="6" t="n">
        <v>112.6370903</v>
      </c>
      <c r="F85" s="6" t="inlineStr">
        <is>
          <t>Murah</t>
        </is>
      </c>
    </row>
    <row r="86">
      <c r="A86" s="6" t="n">
        <v>87</v>
      </c>
      <c r="B86" s="6" t="inlineStr">
        <is>
          <t>Depot Agung 1952</t>
        </is>
      </c>
      <c r="C86" s="6" t="n">
        <v>18899</v>
      </c>
      <c r="D86" s="6" t="n">
        <v>-7.975578</v>
      </c>
      <c r="E86" s="6" t="n">
        <v>112.6296655</v>
      </c>
      <c r="F86" s="6" t="inlineStr">
        <is>
          <t>Murah</t>
        </is>
      </c>
    </row>
    <row r="87">
      <c r="A87" s="6" t="n">
        <v>88</v>
      </c>
      <c r="B87" s="6" t="inlineStr">
        <is>
          <t>Cocari Malang</t>
        </is>
      </c>
      <c r="C87" s="6" t="n">
        <v>28801</v>
      </c>
      <c r="D87" s="6" t="n">
        <v>-7.9736448</v>
      </c>
      <c r="E87" s="6" t="n">
        <v>112.6145303</v>
      </c>
      <c r="F87" s="6" t="inlineStr">
        <is>
          <t>Murah</t>
        </is>
      </c>
    </row>
    <row r="88">
      <c r="A88" s="6" t="n">
        <v>89</v>
      </c>
      <c r="B88" s="6" t="inlineStr">
        <is>
          <t>Depot Goyang Lidah</t>
        </is>
      </c>
      <c r="C88" s="6" t="n">
        <v>20975</v>
      </c>
      <c r="D88" s="6" t="n">
        <v>-7.9409446</v>
      </c>
      <c r="E88" s="6" t="n">
        <v>112.6399007</v>
      </c>
      <c r="F88" s="6" t="inlineStr">
        <is>
          <t>Murah</t>
        </is>
      </c>
    </row>
    <row r="89">
      <c r="A89" s="6" t="n">
        <v>90</v>
      </c>
      <c r="B89" s="6" t="inlineStr">
        <is>
          <t>Pondok Desa</t>
        </is>
      </c>
      <c r="C89" s="6" t="n">
        <v>28257</v>
      </c>
      <c r="D89" s="6" t="n">
        <v>-7.977038</v>
      </c>
      <c r="E89" s="6" t="n">
        <v>112.623803</v>
      </c>
      <c r="F89" s="6" t="inlineStr">
        <is>
          <t>Murah</t>
        </is>
      </c>
    </row>
    <row r="90">
      <c r="A90" s="6" t="n">
        <v>92</v>
      </c>
      <c r="B90" s="6" t="inlineStr">
        <is>
          <t>Depot Mamujung</t>
        </is>
      </c>
      <c r="C90" s="6" t="n">
        <v>19102</v>
      </c>
      <c r="D90" s="6" t="n">
        <v>-7.9300353</v>
      </c>
      <c r="E90" s="6" t="n">
        <v>112.6292664</v>
      </c>
      <c r="F90" s="6" t="inlineStr">
        <is>
          <t>Murah</t>
        </is>
      </c>
    </row>
    <row r="91">
      <c r="A91" s="6" t="n">
        <v>93</v>
      </c>
      <c r="B91" s="6" t="inlineStr">
        <is>
          <t>Soto Ayam Lombok Sejak 1955</t>
        </is>
      </c>
      <c r="C91" s="6" t="n">
        <v>18773</v>
      </c>
      <c r="D91" s="6" t="n">
        <v>-7.9865723</v>
      </c>
      <c r="E91" s="6" t="n">
        <v>112.626213</v>
      </c>
      <c r="F91" s="6" t="inlineStr">
        <is>
          <t>Murah</t>
        </is>
      </c>
    </row>
    <row r="92">
      <c r="A92" s="6" t="n">
        <v>94</v>
      </c>
      <c r="B92" s="6" t="inlineStr">
        <is>
          <t>Pecel Berkah Malang</t>
        </is>
      </c>
      <c r="C92" s="6" t="n">
        <v>22733</v>
      </c>
      <c r="D92" s="6" t="n">
        <v>-7.9365777</v>
      </c>
      <c r="E92" s="6" t="n">
        <v>112.6255213</v>
      </c>
      <c r="F92" s="6" t="inlineStr">
        <is>
          <t>Murah</t>
        </is>
      </c>
    </row>
    <row r="93">
      <c r="A93" s="6" t="n">
        <v>95</v>
      </c>
      <c r="B93" s="6" t="inlineStr">
        <is>
          <t>Ayam Goreng Remaja</t>
        </is>
      </c>
      <c r="C93" s="6" t="n">
        <v>14516</v>
      </c>
      <c r="D93" s="6" t="n">
        <v>-7.954116</v>
      </c>
      <c r="E93" s="6" t="n">
        <v>112.6388662</v>
      </c>
      <c r="F93" s="6" t="inlineStr">
        <is>
          <t>Murah</t>
        </is>
      </c>
    </row>
    <row r="94">
      <c r="A94" s="6" t="n">
        <v>96</v>
      </c>
      <c r="B94" s="6" t="inlineStr">
        <is>
          <t>Depot Rujak Pojok</t>
        </is>
      </c>
      <c r="C94" s="6" t="n">
        <v>25586</v>
      </c>
      <c r="D94" s="6" t="n">
        <v>-7.975699</v>
      </c>
      <c r="E94" s="6" t="n">
        <v>112.6365503</v>
      </c>
      <c r="F94" s="6" t="inlineStr">
        <is>
          <t>Murah</t>
        </is>
      </c>
    </row>
    <row r="95">
      <c r="A95" s="6" t="n">
        <v>97</v>
      </c>
      <c r="B95" s="6" t="inlineStr">
        <is>
          <t>Waroeng Sampah</t>
        </is>
      </c>
      <c r="C95" s="6" t="n">
        <v>27195</v>
      </c>
      <c r="D95" s="6" t="n">
        <v>-7.9580759</v>
      </c>
      <c r="E95" s="6" t="n">
        <v>112.6202464</v>
      </c>
      <c r="F95" s="6" t="inlineStr">
        <is>
          <t>Murah</t>
        </is>
      </c>
    </row>
    <row r="96">
      <c r="A96" s="6" t="n">
        <v>98</v>
      </c>
      <c r="B96" s="6" t="inlineStr">
        <is>
          <t>Depot 51</t>
        </is>
      </c>
      <c r="C96" s="6" t="n">
        <v>16883</v>
      </c>
      <c r="D96" s="6" t="n">
        <v>-7.9527289</v>
      </c>
      <c r="E96" s="6" t="n">
        <v>112.6382405</v>
      </c>
      <c r="F96" s="6" t="inlineStr">
        <is>
          <t>Murah</t>
        </is>
      </c>
    </row>
    <row r="97">
      <c r="A97" s="6" t="n">
        <v>99</v>
      </c>
      <c r="B97" s="6" t="inlineStr">
        <is>
          <t>Depot Lumayan</t>
        </is>
      </c>
      <c r="C97" s="6" t="n">
        <v>16375</v>
      </c>
      <c r="D97" s="6" t="n">
        <v>-7.9566628</v>
      </c>
      <c r="E97" s="6" t="n">
        <v>112.6306818</v>
      </c>
      <c r="F97" s="6" t="inlineStr">
        <is>
          <t>Murah</t>
        </is>
      </c>
    </row>
    <row r="98">
      <c r="A98" s="6" t="n">
        <v>100</v>
      </c>
      <c r="B98" s="6" t="inlineStr">
        <is>
          <t>Warung Manteb Bu Lanny</t>
        </is>
      </c>
      <c r="C98" s="6" t="n">
        <v>13412</v>
      </c>
      <c r="D98" s="6" t="n">
        <v>-7.9481574</v>
      </c>
      <c r="E98" s="6" t="n">
        <v>112.639789</v>
      </c>
      <c r="F98" s="6" t="inlineStr">
        <is>
          <t>Murah</t>
        </is>
      </c>
    </row>
    <row r="99">
      <c r="A99" s="6" t="n">
        <v>101</v>
      </c>
      <c r="B99" s="6" t="inlineStr">
        <is>
          <t>MAKAN TENGAH</t>
        </is>
      </c>
      <c r="C99" s="6" t="n">
        <v>20068</v>
      </c>
      <c r="D99" s="6" t="n">
        <v>-7.9708088</v>
      </c>
      <c r="E99" s="6" t="n">
        <v>112.6257603</v>
      </c>
      <c r="F99" s="6" t="inlineStr">
        <is>
          <t>Murah</t>
        </is>
      </c>
    </row>
    <row r="100">
      <c r="A100" s="6" t="n">
        <v>102</v>
      </c>
      <c r="B100" s="6" t="inlineStr">
        <is>
          <t>Depot Nasi Goreng Cak Koes</t>
        </is>
      </c>
      <c r="C100" s="6" t="n">
        <v>20579</v>
      </c>
      <c r="D100" s="6" t="n">
        <v>-7.9706933</v>
      </c>
      <c r="E100" s="6" t="n">
        <v>112.6608794</v>
      </c>
      <c r="F100" s="6" t="inlineStr">
        <is>
          <t>Murah</t>
        </is>
      </c>
    </row>
    <row r="101">
      <c r="A101" s="6" t="n">
        <v>103</v>
      </c>
      <c r="B101" s="6" t="inlineStr">
        <is>
          <t>Hot Cui Mie KAWI l Since 2000</t>
        </is>
      </c>
      <c r="C101" s="6" t="n">
        <v>12716</v>
      </c>
      <c r="D101" s="6" t="n">
        <v>-7.9748958</v>
      </c>
      <c r="E101" s="6" t="n">
        <v>112.6177057</v>
      </c>
      <c r="F101" s="6" t="inlineStr">
        <is>
          <t>Murah</t>
        </is>
      </c>
    </row>
    <row r="102">
      <c r="A102" s="6" t="n">
        <v>104</v>
      </c>
      <c r="B102" s="6" t="inlineStr">
        <is>
          <t>Potre Koneng Warisan Rasa Nusantara</t>
        </is>
      </c>
      <c r="C102" s="6" t="n">
        <v>12203</v>
      </c>
      <c r="D102" s="6" t="n">
        <v>-7.9691575</v>
      </c>
      <c r="E102" s="6" t="n">
        <v>112.6263417</v>
      </c>
      <c r="F102" s="6" t="inlineStr">
        <is>
          <t>Murah</t>
        </is>
      </c>
    </row>
    <row r="103">
      <c r="A103" s="6" t="n">
        <v>105</v>
      </c>
      <c r="B103" s="6" t="inlineStr">
        <is>
          <t>Depot Nasi Goreng Cak Mien</t>
        </is>
      </c>
      <c r="C103" s="6" t="n">
        <v>21276</v>
      </c>
      <c r="D103" s="6" t="n">
        <v>-7.9768977</v>
      </c>
      <c r="E103" s="6" t="n">
        <v>112.6438931</v>
      </c>
      <c r="F103" s="6" t="inlineStr">
        <is>
          <t>Murah</t>
        </is>
      </c>
    </row>
    <row r="104">
      <c r="A104" s="6" t="n">
        <v>106</v>
      </c>
      <c r="B104" s="6" t="inlineStr">
        <is>
          <t>Depot Kurnia Ria Ning Sul</t>
        </is>
      </c>
      <c r="C104" s="6" t="n">
        <v>21888</v>
      </c>
      <c r="D104" s="6" t="n">
        <v>-7.9752241</v>
      </c>
      <c r="E104" s="6" t="n">
        <v>112.6369285</v>
      </c>
      <c r="F104" s="6" t="inlineStr">
        <is>
          <t>Murah</t>
        </is>
      </c>
    </row>
    <row r="105">
      <c r="A105" s="6" t="n">
        <v>107</v>
      </c>
      <c r="B105" s="6" t="inlineStr">
        <is>
          <t>Rumah Makan Inggil</t>
        </is>
      </c>
      <c r="C105" s="6" t="n">
        <v>26593</v>
      </c>
      <c r="D105" s="6" t="n">
        <v>-7.9840501</v>
      </c>
      <c r="E105" s="6" t="n">
        <v>112.6341835</v>
      </c>
      <c r="F105" s="6" t="inlineStr">
        <is>
          <t>Murah</t>
        </is>
      </c>
    </row>
    <row r="106">
      <c r="A106" s="6" t="n">
        <v>108</v>
      </c>
      <c r="B106" s="6" t="inlineStr">
        <is>
          <t>Ronde Titoni</t>
        </is>
      </c>
      <c r="C106" s="6" t="n">
        <v>15694</v>
      </c>
      <c r="D106" s="6" t="n">
        <v>-7.9823434</v>
      </c>
      <c r="E106" s="6" t="n">
        <v>112.6347174</v>
      </c>
      <c r="F106" s="6" t="inlineStr">
        <is>
          <t>Murah</t>
        </is>
      </c>
    </row>
    <row r="107">
      <c r="A107" s="6" t="n">
        <v>109</v>
      </c>
      <c r="B107" s="6" t="inlineStr">
        <is>
          <t>Sentra Kuliner Sriwijaya</t>
        </is>
      </c>
      <c r="C107" s="6" t="n">
        <v>12870</v>
      </c>
      <c r="D107" s="6" t="n">
        <v>-7.9785158</v>
      </c>
      <c r="E107" s="6" t="n">
        <v>112.6364204</v>
      </c>
      <c r="F107" s="6" t="inlineStr">
        <is>
          <t>Murah</t>
        </is>
      </c>
    </row>
    <row r="108">
      <c r="A108" s="6" t="n">
        <v>110</v>
      </c>
      <c r="B108" s="6" t="inlineStr">
        <is>
          <t>Pos Ketan Legenda 1967 Suhat</t>
        </is>
      </c>
      <c r="C108" s="6" t="n">
        <v>19329</v>
      </c>
      <c r="D108" s="6" t="n">
        <v>-7.9419933</v>
      </c>
      <c r="E108" s="6" t="n">
        <v>112.6215775</v>
      </c>
      <c r="F108" s="6" t="inlineStr">
        <is>
          <t>Murah</t>
        </is>
      </c>
    </row>
    <row r="109">
      <c r="A109" s="6" t="n">
        <v>111</v>
      </c>
      <c r="B109" s="6" t="inlineStr">
        <is>
          <t>Puthu Lanang</t>
        </is>
      </c>
      <c r="C109" s="6" t="n">
        <v>22828</v>
      </c>
      <c r="D109" s="6" t="n">
        <v>-7.9664473</v>
      </c>
      <c r="E109" s="6" t="n">
        <v>112.6336417</v>
      </c>
      <c r="F109" s="6" t="inlineStr">
        <is>
          <t>Murah</t>
        </is>
      </c>
    </row>
    <row r="110">
      <c r="A110" s="6" t="n">
        <v>112</v>
      </c>
      <c r="B110" s="6" t="inlineStr">
        <is>
          <t>Sego Goreng Resek (Pak Man)</t>
        </is>
      </c>
      <c r="C110" s="6" t="n">
        <v>24927</v>
      </c>
      <c r="D110" s="6" t="n">
        <v>-7.9840314</v>
      </c>
      <c r="E110" s="6" t="n">
        <v>112.625562</v>
      </c>
      <c r="F110" s="6" t="inlineStr">
        <is>
          <t>Murah</t>
        </is>
      </c>
    </row>
    <row r="111">
      <c r="A111" s="6" t="n">
        <v>113</v>
      </c>
      <c r="B111" s="6" t="inlineStr">
        <is>
          <t>Surabi Imut</t>
        </is>
      </c>
      <c r="C111" s="6" t="n">
        <v>24097</v>
      </c>
      <c r="D111" s="6" t="n">
        <v>-7.9726298</v>
      </c>
      <c r="E111" s="6" t="n">
        <v>112.636483</v>
      </c>
      <c r="F111" s="6" t="inlineStr">
        <is>
          <t>Murah</t>
        </is>
      </c>
    </row>
    <row r="112">
      <c r="A112" s="6" t="n">
        <v>114</v>
      </c>
      <c r="B112" s="6" t="inlineStr">
        <is>
          <t>Sego Ceker Glintung Malang</t>
        </is>
      </c>
      <c r="C112" s="6" t="n">
        <v>17315</v>
      </c>
      <c r="D112" s="6" t="n">
        <v>-7.9432385</v>
      </c>
      <c r="E112" s="6" t="n">
        <v>112.6417322</v>
      </c>
      <c r="F112" s="6" t="inlineStr">
        <is>
          <t>Murah</t>
        </is>
      </c>
    </row>
    <row r="113">
      <c r="A113" s="6" t="n">
        <v>115</v>
      </c>
      <c r="B113" s="6" t="inlineStr">
        <is>
          <t>Warung Lama H. Ridwan</t>
        </is>
      </c>
      <c r="C113" s="6" t="n">
        <v>15236</v>
      </c>
      <c r="D113" s="6" t="n">
        <v>-7.9873877</v>
      </c>
      <c r="E113" s="6" t="n">
        <v>112.6330822</v>
      </c>
      <c r="F113" s="6" t="inlineStr">
        <is>
          <t>Murah</t>
        </is>
      </c>
    </row>
    <row r="114">
      <c r="A114" s="6" t="n">
        <v>116</v>
      </c>
      <c r="B114" s="6" t="inlineStr">
        <is>
          <t>Kampoeng Kuliner</t>
        </is>
      </c>
      <c r="C114" s="6" t="n">
        <v>20217</v>
      </c>
      <c r="D114" s="6" t="n">
        <v>-7.9369101</v>
      </c>
      <c r="E114" s="6" t="n">
        <v>112.6376407</v>
      </c>
      <c r="F114" s="6" t="inlineStr">
        <is>
          <t>Murah</t>
        </is>
      </c>
    </row>
    <row r="115">
      <c r="A115" s="6" t="n">
        <v>117</v>
      </c>
      <c r="B115" s="6" t="inlineStr">
        <is>
          <t>Warung Mekar Jaya</t>
        </is>
      </c>
      <c r="C115" s="6" t="n">
        <v>14505</v>
      </c>
      <c r="D115" s="6" t="n">
        <v>-7.9454611</v>
      </c>
      <c r="E115" s="6" t="n">
        <v>112.6189345</v>
      </c>
      <c r="F115" s="6" t="inlineStr">
        <is>
          <t>Murah</t>
        </is>
      </c>
    </row>
    <row r="116">
      <c r="A116" s="6" t="n">
        <v>118</v>
      </c>
      <c r="B116" s="6" t="inlineStr">
        <is>
          <t>Wisata Kuliner Alun Alun Kota Malang</t>
        </is>
      </c>
      <c r="C116" s="6" t="n">
        <v>18253</v>
      </c>
      <c r="D116" s="6" t="n">
        <v>-7.983697</v>
      </c>
      <c r="E116" s="6" t="n">
        <v>112.63031</v>
      </c>
      <c r="F116" s="6" t="inlineStr">
        <is>
          <t>Murah</t>
        </is>
      </c>
    </row>
    <row r="117">
      <c r="A117" s="6" t="n">
        <v>119</v>
      </c>
      <c r="B117" s="6" t="inlineStr">
        <is>
          <t>Toko Oen Malang</t>
        </is>
      </c>
      <c r="C117" s="6" t="n">
        <v>25487</v>
      </c>
      <c r="D117" s="6" t="n">
        <v>-7.980704</v>
      </c>
      <c r="E117" s="6" t="n">
        <v>112.630332</v>
      </c>
      <c r="F117" s="6" t="inlineStr">
        <is>
          <t>Murah</t>
        </is>
      </c>
    </row>
    <row r="118">
      <c r="A118" s="6" t="n">
        <v>120</v>
      </c>
      <c r="B118" s="6" t="inlineStr">
        <is>
          <t>Mbok Mesem Makanan Khas Kediri</t>
        </is>
      </c>
      <c r="C118" s="6" t="n">
        <v>14006</v>
      </c>
      <c r="D118" s="6" t="n">
        <v>-7.946422</v>
      </c>
      <c r="E118" s="6" t="n">
        <v>112.622256</v>
      </c>
      <c r="F118" s="6" t="inlineStr">
        <is>
          <t>Murah</t>
        </is>
      </c>
    </row>
    <row r="119">
      <c r="A119" s="6" t="n">
        <v>121</v>
      </c>
      <c r="B119" s="6" t="inlineStr">
        <is>
          <t>Rawon Tessy</t>
        </is>
      </c>
      <c r="C119" s="6" t="n">
        <v>18922</v>
      </c>
      <c r="D119" s="6" t="n">
        <v>-7.9799793</v>
      </c>
      <c r="E119" s="6" t="n">
        <v>112.6372032</v>
      </c>
      <c r="F119" s="6" t="inlineStr">
        <is>
          <t>Murah</t>
        </is>
      </c>
    </row>
    <row r="120">
      <c r="A120" s="6" t="n">
        <v>122</v>
      </c>
      <c r="B120" s="6" t="inlineStr">
        <is>
          <t>Warung Subuh</t>
        </is>
      </c>
      <c r="C120" s="6" t="n">
        <v>29024</v>
      </c>
      <c r="D120" s="6" t="n">
        <v>-7.976108</v>
      </c>
      <c r="E120" s="6" t="n">
        <v>112.6128452</v>
      </c>
      <c r="F120" s="6" t="inlineStr">
        <is>
          <t>Murah</t>
        </is>
      </c>
    </row>
    <row r="121">
      <c r="A121" s="6" t="n">
        <v>123</v>
      </c>
      <c r="B121" s="6" t="inlineStr">
        <is>
          <t>Warung Malam Pak Gatot</t>
        </is>
      </c>
      <c r="C121" s="6" t="n">
        <v>29943</v>
      </c>
      <c r="D121" s="6" t="n">
        <v>-7.9875673</v>
      </c>
      <c r="E121" s="6" t="n">
        <v>112.6225721</v>
      </c>
      <c r="F121" s="6" t="inlineStr">
        <is>
          <t>Murah</t>
        </is>
      </c>
    </row>
    <row r="122">
      <c r="A122" s="6" t="n">
        <v>124</v>
      </c>
      <c r="B122" s="6" t="inlineStr">
        <is>
          <t>Bakso President Malang</t>
        </is>
      </c>
      <c r="C122" s="6" t="n">
        <v>14928</v>
      </c>
      <c r="D122" s="6" t="n">
        <v>-7.962372</v>
      </c>
      <c r="E122" s="6" t="n">
        <v>112.6368701</v>
      </c>
      <c r="F122" s="6" t="inlineStr">
        <is>
          <t>Murah</t>
        </is>
      </c>
    </row>
    <row r="123">
      <c r="A123" s="6" t="n">
        <v>125</v>
      </c>
      <c r="B123" s="6" t="inlineStr">
        <is>
          <t>Kawasan Wisata Kuliner Merjosari</t>
        </is>
      </c>
      <c r="C123" s="6" t="n">
        <v>16254</v>
      </c>
      <c r="D123" s="6" t="n">
        <v>-7.9445211</v>
      </c>
      <c r="E123" s="6" t="n">
        <v>112.6038869</v>
      </c>
      <c r="F123" s="6" t="inlineStr">
        <is>
          <t>Murah</t>
        </is>
      </c>
    </row>
    <row r="124">
      <c r="A124" s="6" t="n">
        <v>126</v>
      </c>
      <c r="B124" s="6" t="inlineStr">
        <is>
          <t>Warung Steven (Heci Klenteng)</t>
        </is>
      </c>
      <c r="C124" s="6" t="n">
        <v>27851</v>
      </c>
      <c r="D124" s="6" t="n">
        <v>-7.9736517</v>
      </c>
      <c r="E124" s="6" t="n">
        <v>112.6381843</v>
      </c>
      <c r="F124" s="6" t="inlineStr">
        <is>
          <t>Murah</t>
        </is>
      </c>
    </row>
    <row r="125">
      <c r="A125" s="6" t="n">
        <v>127</v>
      </c>
      <c r="B125" s="6" t="inlineStr">
        <is>
          <t>Pos Ketan Legenda - 1967 Batu</t>
        </is>
      </c>
      <c r="C125" s="6" t="n">
        <v>23745</v>
      </c>
      <c r="D125" s="6" t="n">
        <v>-7.8709526</v>
      </c>
      <c r="E125" s="6" t="n">
        <v>112.5259953</v>
      </c>
      <c r="F125" s="6" t="inlineStr">
        <is>
          <t>Murah</t>
        </is>
      </c>
    </row>
    <row r="126">
      <c r="A126" s="6" t="n">
        <v>128</v>
      </c>
      <c r="B126" s="6" t="inlineStr">
        <is>
          <t>SAMBAL GAMI BU'SUM</t>
        </is>
      </c>
      <c r="C126" s="6" t="n">
        <v>16728</v>
      </c>
      <c r="D126" s="6" t="n">
        <v>-7.9753901</v>
      </c>
      <c r="E126" s="6" t="n">
        <v>112.6369541</v>
      </c>
      <c r="F126" s="6" t="inlineStr">
        <is>
          <t>Murah</t>
        </is>
      </c>
    </row>
    <row r="127">
      <c r="A127" s="6" t="n">
        <v>129</v>
      </c>
      <c r="B127" s="6" t="inlineStr">
        <is>
          <t>Pusat Kuliner Araya</t>
        </is>
      </c>
      <c r="C127" s="6" t="n">
        <v>17062</v>
      </c>
      <c r="D127" s="6" t="n">
        <v>-7.9343448</v>
      </c>
      <c r="E127" s="6" t="n">
        <v>112.651083</v>
      </c>
      <c r="F127" s="6" t="inlineStr">
        <is>
          <t>Murah</t>
        </is>
      </c>
    </row>
    <row r="128">
      <c r="A128" s="6" t="n">
        <v>130</v>
      </c>
      <c r="B128" s="6" t="inlineStr">
        <is>
          <t>Kampung Kuliner</t>
        </is>
      </c>
      <c r="C128" s="6" t="n">
        <v>14584</v>
      </c>
      <c r="D128" s="6" t="n">
        <v>-7.9444444</v>
      </c>
      <c r="E128" s="6" t="n">
        <v>112.61</v>
      </c>
      <c r="F128" s="6" t="inlineStr">
        <is>
          <t>Murah</t>
        </is>
      </c>
    </row>
    <row r="129">
      <c r="A129" s="6" t="n">
        <v>131</v>
      </c>
      <c r="B129" s="6" t="inlineStr">
        <is>
          <t>Kuliner serba10ribu UM Malang (Pusat)</t>
        </is>
      </c>
      <c r="C129" s="6" t="n">
        <v>26251</v>
      </c>
      <c r="D129" s="6" t="n">
        <v>-7.9657643</v>
      </c>
      <c r="E129" s="6" t="n">
        <v>112.6174013</v>
      </c>
      <c r="F129" s="6" t="inlineStr">
        <is>
          <t>Murah</t>
        </is>
      </c>
    </row>
    <row r="130">
      <c r="A130" s="6" t="n">
        <v>132</v>
      </c>
      <c r="B130" s="6" t="inlineStr">
        <is>
          <t>Es Tawon Kidul Dalem</t>
        </is>
      </c>
      <c r="C130" s="6" t="n">
        <v>29499</v>
      </c>
      <c r="D130" s="6" t="n">
        <v>-7.9825873</v>
      </c>
      <c r="E130" s="6" t="n">
        <v>112.6346097</v>
      </c>
      <c r="F130" s="6" t="inlineStr">
        <is>
          <t>Murah</t>
        </is>
      </c>
    </row>
    <row r="131">
      <c r="A131" s="6" t="n">
        <v>133</v>
      </c>
      <c r="B131" s="6" t="inlineStr">
        <is>
          <t>Warung Sate Gebug 1920</t>
        </is>
      </c>
      <c r="C131" s="6" t="n">
        <v>28470</v>
      </c>
      <c r="D131" s="6" t="n">
        <v>-7.9748959</v>
      </c>
      <c r="E131" s="6" t="n">
        <v>112.6294162</v>
      </c>
      <c r="F131" s="6" t="inlineStr">
        <is>
          <t>Murah</t>
        </is>
      </c>
    </row>
    <row r="132">
      <c r="A132" s="6" t="n">
        <v>134</v>
      </c>
      <c r="B132" s="6" t="inlineStr">
        <is>
          <t>Sengkaling Kuliner</t>
        </is>
      </c>
      <c r="C132" s="6" t="n">
        <v>28640</v>
      </c>
      <c r="D132" s="6" t="n">
        <v>-7.915095</v>
      </c>
      <c r="E132" s="6" t="n">
        <v>112.5874946</v>
      </c>
      <c r="F132" s="6" t="inlineStr">
        <is>
          <t>Murah</t>
        </is>
      </c>
    </row>
    <row r="133">
      <c r="A133" s="6" t="n">
        <v>135</v>
      </c>
      <c r="B133" s="6" t="inlineStr">
        <is>
          <t>Tahwa Mas Agus</t>
        </is>
      </c>
      <c r="C133" s="6" t="n">
        <v>20499</v>
      </c>
      <c r="D133" s="6" t="n">
        <v>-7.9816906</v>
      </c>
      <c r="E133" s="6" t="n">
        <v>112.6337404</v>
      </c>
      <c r="F133" s="6" t="inlineStr">
        <is>
          <t>Murah</t>
        </is>
      </c>
    </row>
    <row r="134">
      <c r="A134" s="6" t="n">
        <v>136</v>
      </c>
      <c r="B134" s="6" t="inlineStr">
        <is>
          <t>Sambal Bawang Mbok Jayus</t>
        </is>
      </c>
      <c r="C134" s="6" t="n">
        <v>25716</v>
      </c>
      <c r="D134" s="6" t="n">
        <v>-7.9394315</v>
      </c>
      <c r="E134" s="6" t="n">
        <v>112.63522</v>
      </c>
      <c r="F134" s="6" t="inlineStr">
        <is>
          <t>Murah</t>
        </is>
      </c>
    </row>
    <row r="135">
      <c r="A135" s="6" t="n">
        <v>138</v>
      </c>
      <c r="B135" s="6" t="inlineStr">
        <is>
          <t>Tahu Campur Pak Iwan</t>
        </is>
      </c>
      <c r="C135" s="6" t="n">
        <v>21100</v>
      </c>
      <c r="D135" s="6" t="n">
        <v>-7.9872739</v>
      </c>
      <c r="E135" s="6" t="n">
        <v>112.6302915</v>
      </c>
      <c r="F135" s="6" t="inlineStr">
        <is>
          <t>Murah</t>
        </is>
      </c>
    </row>
    <row r="136">
      <c r="A136" s="6" t="n">
        <v>139</v>
      </c>
      <c r="B136" s="6" t="inlineStr">
        <is>
          <t>Hot Cui Mie</t>
        </is>
      </c>
      <c r="C136" s="6" t="n">
        <v>29501</v>
      </c>
      <c r="D136" s="6" t="n">
        <v>-7.9513367</v>
      </c>
      <c r="E136" s="6" t="n">
        <v>112.6395376</v>
      </c>
      <c r="F136" s="6" t="inlineStr">
        <is>
          <t>Murah</t>
        </is>
      </c>
    </row>
    <row r="137">
      <c r="A137" s="6" t="n">
        <v>140</v>
      </c>
      <c r="B137" s="6" t="inlineStr">
        <is>
          <t>Ocean Garden Stasiun</t>
        </is>
      </c>
      <c r="C137" s="6" t="n">
        <v>25778</v>
      </c>
      <c r="D137" s="6" t="n">
        <v>-7.9792557</v>
      </c>
      <c r="E137" s="6" t="n">
        <v>112.6368548</v>
      </c>
      <c r="F137" s="6" t="inlineStr">
        <is>
          <t>Murah</t>
        </is>
      </c>
    </row>
    <row r="138">
      <c r="A138" s="6" t="n">
        <v>141</v>
      </c>
      <c r="B138" s="6" t="inlineStr">
        <is>
          <t>Kupang Kraton Hj. Qomariyah</t>
        </is>
      </c>
      <c r="C138" s="6" t="n">
        <v>16938</v>
      </c>
      <c r="D138" s="6" t="n">
        <v>-7.9676007</v>
      </c>
      <c r="E138" s="6" t="n">
        <v>112.6338707</v>
      </c>
      <c r="F138" s="6" t="inlineStr">
        <is>
          <t>Murah</t>
        </is>
      </c>
    </row>
    <row r="139">
      <c r="A139" s="6" t="n">
        <v>142</v>
      </c>
      <c r="B139" s="6" t="inlineStr">
        <is>
          <t>Sego Sambel Cak UUT</t>
        </is>
      </c>
      <c r="C139" s="6" t="n">
        <v>21575</v>
      </c>
      <c r="D139" s="6" t="n">
        <v>-7.9789535</v>
      </c>
      <c r="E139" s="6" t="n">
        <v>112.6113044</v>
      </c>
      <c r="F139" s="6" t="inlineStr">
        <is>
          <t>Murah</t>
        </is>
      </c>
    </row>
    <row r="140">
      <c r="A140" s="6" t="n">
        <v>143</v>
      </c>
      <c r="B140" s="6" t="inlineStr">
        <is>
          <t>Rawon Djenggot</t>
        </is>
      </c>
      <c r="C140" s="6" t="n">
        <v>23071</v>
      </c>
      <c r="D140" s="6" t="n">
        <v>-7.9752142</v>
      </c>
      <c r="E140" s="6" t="n">
        <v>112.6179601</v>
      </c>
      <c r="F140" s="6" t="inlineStr">
        <is>
          <t>Murah</t>
        </is>
      </c>
    </row>
    <row r="141">
      <c r="A141" s="6" t="n">
        <v>144</v>
      </c>
      <c r="B141" s="6" t="inlineStr">
        <is>
          <t>Madame Wang Secret Garden</t>
        </is>
      </c>
      <c r="C141" s="6" t="n">
        <v>13472</v>
      </c>
      <c r="D141" s="6" t="n">
        <v>-7.9728399</v>
      </c>
      <c r="E141" s="6" t="n">
        <v>112.6189956</v>
      </c>
      <c r="F141" s="6" t="inlineStr">
        <is>
          <t>Murah</t>
        </is>
      </c>
    </row>
    <row r="142">
      <c r="A142" s="6" t="n">
        <v>145</v>
      </c>
      <c r="B142" s="6" t="inlineStr">
        <is>
          <t>Burger Buto Sarangan</t>
        </is>
      </c>
      <c r="C142" s="6" t="n">
        <v>21645</v>
      </c>
      <c r="D142" s="6" t="n">
        <v>-7.959849</v>
      </c>
      <c r="E142" s="6" t="n">
        <v>112.6321433</v>
      </c>
      <c r="F142" s="6" t="inlineStr">
        <is>
          <t>Murah</t>
        </is>
      </c>
    </row>
    <row r="143">
      <c r="A143" s="6" t="n">
        <v>146</v>
      </c>
      <c r="B143" s="6" t="inlineStr">
        <is>
          <t>Bakso Bakar Pak Man</t>
        </is>
      </c>
      <c r="C143" s="6" t="n">
        <v>29787</v>
      </c>
      <c r="D143" s="6" t="n">
        <v>-7.9687729</v>
      </c>
      <c r="E143" s="6" t="n">
        <v>112.6339725</v>
      </c>
      <c r="F143" s="6" t="inlineStr">
        <is>
          <t>Murah</t>
        </is>
      </c>
    </row>
    <row r="144">
      <c r="A144" s="6" t="n">
        <v>147</v>
      </c>
      <c r="B144" s="6" t="inlineStr">
        <is>
          <t>Nasi Bhug Matirah</t>
        </is>
      </c>
      <c r="C144" s="6" t="n">
        <v>13183</v>
      </c>
      <c r="D144" s="6" t="n">
        <v>-7.9767672</v>
      </c>
      <c r="E144" s="6" t="n">
        <v>112.6368768</v>
      </c>
      <c r="F144" s="6" t="inlineStr">
        <is>
          <t>Murah</t>
        </is>
      </c>
    </row>
    <row r="145">
      <c r="A145" s="6" t="n">
        <v>148</v>
      </c>
      <c r="B145" s="6" t="inlineStr">
        <is>
          <t>orem-orem AREMA</t>
        </is>
      </c>
      <c r="C145" s="6" t="n">
        <v>17633</v>
      </c>
      <c r="D145" s="6" t="n">
        <v>-7.9680927</v>
      </c>
      <c r="E145" s="6" t="n">
        <v>112.613661</v>
      </c>
      <c r="F145" s="6" t="inlineStr">
        <is>
          <t>Murah</t>
        </is>
      </c>
    </row>
    <row r="146">
      <c r="A146" s="6" t="n">
        <v>149</v>
      </c>
      <c r="B146" s="6" t="inlineStr">
        <is>
          <t>Foodcourt MOG</t>
        </is>
      </c>
      <c r="C146" s="6" t="n">
        <v>19853</v>
      </c>
      <c r="D146" s="6" t="n">
        <v>-7.9769385</v>
      </c>
      <c r="E146" s="6" t="n">
        <v>112.6240616</v>
      </c>
      <c r="F146" s="6" t="inlineStr">
        <is>
          <t>Murah</t>
        </is>
      </c>
    </row>
    <row r="147">
      <c r="A147" s="6" t="n">
        <v>150</v>
      </c>
      <c r="B147" s="6" t="inlineStr">
        <is>
          <t>Toko Kue Sara</t>
        </is>
      </c>
      <c r="C147" s="6" t="n">
        <v>21970</v>
      </c>
      <c r="D147" s="6" t="n">
        <v>-7.9686936</v>
      </c>
      <c r="E147" s="6" t="n">
        <v>112.6349944</v>
      </c>
      <c r="F147" s="6" t="inlineStr">
        <is>
          <t>Murah</t>
        </is>
      </c>
    </row>
    <row r="148">
      <c r="A148" s="6" t="n">
        <v>151</v>
      </c>
      <c r="B148" s="6" t="inlineStr">
        <is>
          <t>BIJI CABE eatery</t>
        </is>
      </c>
      <c r="C148" s="6" t="n">
        <v>25164</v>
      </c>
      <c r="D148" s="6" t="n">
        <v>-7.9410463</v>
      </c>
      <c r="E148" s="6" t="n">
        <v>112.6228173</v>
      </c>
      <c r="F148" s="6" t="inlineStr">
        <is>
          <t>Murah</t>
        </is>
      </c>
    </row>
    <row r="149">
      <c r="A149" s="6" t="n">
        <v>152</v>
      </c>
      <c r="B149" s="6" t="inlineStr">
        <is>
          <t>Dapur Cecebuncit (Gyoza - Gohyong - Sambel Tempong - Ceker Pedas - Sayap Pedas - Makanan Serba Pedas - Kota Malang)</t>
        </is>
      </c>
      <c r="C149" s="6" t="n">
        <v>28126</v>
      </c>
      <c r="D149" s="6" t="n">
        <v>-7.9525052</v>
      </c>
      <c r="E149" s="6" t="n">
        <v>112.6066865</v>
      </c>
      <c r="F149" s="6" t="inlineStr">
        <is>
          <t>Murah</t>
        </is>
      </c>
    </row>
    <row r="150">
      <c r="A150" s="6" t="n">
        <v>153</v>
      </c>
      <c r="B150" s="6" t="inlineStr">
        <is>
          <t>Jajanan Pedas Malang</t>
        </is>
      </c>
      <c r="C150" s="6" t="n">
        <v>23686</v>
      </c>
      <c r="D150" s="6" t="n">
        <v>-8.0129003</v>
      </c>
      <c r="E150" s="6" t="n">
        <v>112.6295426</v>
      </c>
      <c r="F150" s="6" t="inlineStr">
        <is>
          <t>Murah</t>
        </is>
      </c>
    </row>
    <row r="151">
      <c r="A151" s="6" t="n">
        <v>154</v>
      </c>
      <c r="B151" s="6" t="inlineStr">
        <is>
          <t>Kajoetangan Food Court</t>
        </is>
      </c>
      <c r="C151" s="6" t="n">
        <v>13867</v>
      </c>
      <c r="D151" s="6" t="n">
        <v>-7.9775278</v>
      </c>
      <c r="E151" s="6" t="n">
        <v>112.6294992</v>
      </c>
      <c r="F151" s="6" t="inlineStr">
        <is>
          <t>Murah</t>
        </is>
      </c>
    </row>
    <row r="152">
      <c r="A152" s="6" t="n">
        <v>155</v>
      </c>
      <c r="B152" s="6" t="inlineStr">
        <is>
          <t>Pojok Kuliner Mas Gendoet</t>
        </is>
      </c>
      <c r="C152" s="6" t="n">
        <v>21720</v>
      </c>
      <c r="D152" s="6" t="n">
        <v>-7.9334654</v>
      </c>
      <c r="E152" s="6" t="n">
        <v>112.6613175</v>
      </c>
      <c r="F152" s="6" t="inlineStr">
        <is>
          <t>Murah</t>
        </is>
      </c>
    </row>
    <row r="153">
      <c r="A153" s="6" t="n">
        <v>156</v>
      </c>
      <c r="B153" s="6" t="inlineStr">
        <is>
          <t>Sentra Jajanan Pasar Soekarno Hatta Malang</t>
        </is>
      </c>
      <c r="C153" s="6" t="n">
        <v>20197</v>
      </c>
      <c r="D153" s="6" t="n">
        <v>-7.9406463</v>
      </c>
      <c r="E153" s="6" t="n">
        <v>112.6233223</v>
      </c>
      <c r="F153" s="6" t="inlineStr">
        <is>
          <t>Murah</t>
        </is>
      </c>
    </row>
    <row r="154">
      <c r="A154" s="6" t="n">
        <v>157</v>
      </c>
      <c r="B154" s="6" t="inlineStr">
        <is>
          <t>CHAIYOO Eatery &amp; Playground</t>
        </is>
      </c>
      <c r="C154" s="6" t="n">
        <v>22302</v>
      </c>
      <c r="D154" s="6" t="n">
        <v>-7.95575</v>
      </c>
      <c r="E154" s="6" t="n">
        <v>112.6317052</v>
      </c>
      <c r="F154" s="6" t="inlineStr">
        <is>
          <t>Murah</t>
        </is>
      </c>
    </row>
    <row r="155">
      <c r="A155" s="6" t="n">
        <v>158</v>
      </c>
      <c r="B155" s="6" t="inlineStr">
        <is>
          <t>Rawon Cak Wot</t>
        </is>
      </c>
      <c r="C155" s="6" t="n">
        <v>22023</v>
      </c>
      <c r="D155" s="6" t="n">
        <v>-7.9442772</v>
      </c>
      <c r="E155" s="6" t="n">
        <v>112.6194422</v>
      </c>
      <c r="F155" s="6" t="inlineStr">
        <is>
          <t>Murah</t>
        </is>
      </c>
    </row>
    <row r="156">
      <c r="A156" s="6" t="n">
        <v>159</v>
      </c>
      <c r="B156" s="6" t="inlineStr">
        <is>
          <t>Loopi Hoopi Dessert &amp; Bakery</t>
        </is>
      </c>
      <c r="C156" s="6" t="n">
        <v>13484</v>
      </c>
      <c r="D156" s="6" t="n">
        <v>-7.9575381</v>
      </c>
      <c r="E156" s="6" t="n">
        <v>112.6224326</v>
      </c>
      <c r="F156" s="6" t="inlineStr">
        <is>
          <t>Murah</t>
        </is>
      </c>
    </row>
    <row r="157">
      <c r="A157" s="6" t="n">
        <v>160</v>
      </c>
      <c r="B157" s="6" t="inlineStr">
        <is>
          <t>Pasar Oro Oro Dowo</t>
        </is>
      </c>
      <c r="C157" s="6" t="n">
        <v>12753</v>
      </c>
      <c r="D157" s="6" t="n">
        <v>-7.9687762</v>
      </c>
      <c r="E157" s="6" t="n">
        <v>112.6283218</v>
      </c>
      <c r="F157" s="6" t="inlineStr">
        <is>
          <t>Murah</t>
        </is>
      </c>
    </row>
    <row r="158">
      <c r="A158" s="6" t="n">
        <v>161</v>
      </c>
      <c r="B158" s="6" t="inlineStr">
        <is>
          <t>Mie ‎Setan Noodle N Dimsum - Malang</t>
        </is>
      </c>
      <c r="C158" s="6" t="n">
        <v>27888</v>
      </c>
      <c r="D158" s="6" t="n">
        <v>-7.9789675</v>
      </c>
      <c r="E158" s="6" t="n">
        <v>112.625314</v>
      </c>
      <c r="F158" s="6" t="inlineStr">
        <is>
          <t>Murah</t>
        </is>
      </c>
    </row>
    <row r="159">
      <c r="A159" s="6" t="n">
        <v>162</v>
      </c>
      <c r="B159" s="6" t="inlineStr">
        <is>
          <t>Oleh Oleh Khas Malang</t>
        </is>
      </c>
      <c r="C159" s="6" t="n">
        <v>25886</v>
      </c>
      <c r="D159" s="6" t="n">
        <v>-7.9425574</v>
      </c>
      <c r="E159" s="6" t="n">
        <v>112.6308365</v>
      </c>
      <c r="F159" s="6" t="inlineStr">
        <is>
          <t>Murah</t>
        </is>
      </c>
    </row>
    <row r="160">
      <c r="A160" s="6" t="n">
        <v>163</v>
      </c>
      <c r="B160" s="6" t="inlineStr">
        <is>
          <t>Putu Pojok Lawas Jl. Gajayana</t>
        </is>
      </c>
      <c r="C160" s="6" t="n">
        <v>14449</v>
      </c>
      <c r="D160" s="6" t="n">
        <v>-7.9454354</v>
      </c>
      <c r="E160" s="6" t="n">
        <v>112.609418</v>
      </c>
      <c r="F160" s="6" t="inlineStr">
        <is>
          <t>Murah</t>
        </is>
      </c>
    </row>
    <row r="161">
      <c r="A161" s="6" t="n">
        <v>164</v>
      </c>
      <c r="B161" s="6" t="inlineStr">
        <is>
          <t>Lumpia Ciliwung</t>
        </is>
      </c>
      <c r="C161" s="6" t="n">
        <v>12359</v>
      </c>
      <c r="D161" s="6" t="n">
        <v>-7.9542527</v>
      </c>
      <c r="E161" s="6" t="n">
        <v>112.6439069</v>
      </c>
      <c r="F161" s="6" t="inlineStr">
        <is>
          <t>Murah</t>
        </is>
      </c>
    </row>
    <row r="162">
      <c r="A162" s="6" t="n">
        <v>165</v>
      </c>
      <c r="B162" s="6" t="inlineStr">
        <is>
          <t>Bagortalik</t>
        </is>
      </c>
      <c r="C162" s="6" t="n">
        <v>26118</v>
      </c>
      <c r="D162" s="6" t="n">
        <v>-7.9691509</v>
      </c>
      <c r="E162" s="6" t="n">
        <v>112.6181761</v>
      </c>
      <c r="F162" s="6" t="inlineStr">
        <is>
          <t>Murah</t>
        </is>
      </c>
    </row>
    <row r="163">
      <c r="A163" s="6" t="n">
        <v>166</v>
      </c>
      <c r="B163" s="6" t="inlineStr">
        <is>
          <t>Nasi Goreng Pak Dji porsi Jumbo</t>
        </is>
      </c>
      <c r="C163" s="6" t="n">
        <v>14598</v>
      </c>
      <c r="D163" s="6" t="n">
        <v>-7.9765129</v>
      </c>
      <c r="E163" s="6" t="n">
        <v>112.6383122</v>
      </c>
      <c r="F163" s="6" t="inlineStr">
        <is>
          <t>Murah</t>
        </is>
      </c>
    </row>
    <row r="164">
      <c r="A164" s="6" t="n">
        <v>167</v>
      </c>
      <c r="B164" s="6" t="inlineStr">
        <is>
          <t>TimTong</t>
        </is>
      </c>
      <c r="C164" s="6" t="n">
        <v>24646</v>
      </c>
      <c r="D164" s="6" t="n">
        <v>-7.9752731</v>
      </c>
      <c r="E164" s="6" t="n">
        <v>112.6191305</v>
      </c>
      <c r="F164" s="6" t="inlineStr">
        <is>
          <t>Murah</t>
        </is>
      </c>
    </row>
    <row r="165">
      <c r="A165" s="6" t="n">
        <v>168</v>
      </c>
      <c r="B165" s="6" t="inlineStr">
        <is>
          <t>Molly Molen</t>
        </is>
      </c>
      <c r="C165" s="6" t="n">
        <v>13961</v>
      </c>
      <c r="D165" s="6" t="n">
        <v>-7.9612122</v>
      </c>
      <c r="E165" s="6" t="n">
        <v>112.6105845</v>
      </c>
      <c r="F165" s="6" t="inlineStr">
        <is>
          <t>Murah</t>
        </is>
      </c>
    </row>
    <row r="166">
      <c r="A166" s="6" t="n">
        <v>169</v>
      </c>
      <c r="B166" s="6" t="inlineStr">
        <is>
          <t>Coto Makassar Sop Konro Daeng Rudi</t>
        </is>
      </c>
      <c r="C166" s="6" t="n">
        <v>12598</v>
      </c>
      <c r="D166" s="6" t="n">
        <v>-7.967292</v>
      </c>
      <c r="E166" s="6" t="n">
        <v>112.613395</v>
      </c>
      <c r="F166" s="6" t="inlineStr">
        <is>
          <t>Murah</t>
        </is>
      </c>
    </row>
    <row r="167">
      <c r="A167" s="6" t="n">
        <v>170</v>
      </c>
      <c r="B167" s="6" t="inlineStr">
        <is>
          <t>Soto Ayam Ambengan Bu Keni</t>
        </is>
      </c>
      <c r="C167" s="6" t="n">
        <v>24145</v>
      </c>
      <c r="D167" s="6" t="n">
        <v>-7.972115</v>
      </c>
      <c r="E167" s="6" t="n">
        <v>112.6331012</v>
      </c>
      <c r="F167" s="6" t="inlineStr">
        <is>
          <t>Murah</t>
        </is>
      </c>
    </row>
    <row r="168">
      <c r="A168" s="6" t="n">
        <v>171</v>
      </c>
      <c r="B168" s="6" t="inlineStr">
        <is>
          <t>Tempat Kuliner</t>
        </is>
      </c>
      <c r="C168" s="6" t="n">
        <v>14206</v>
      </c>
      <c r="D168" s="6" t="n">
        <v>-7.9098044</v>
      </c>
      <c r="E168" s="6" t="n">
        <v>112.6280016</v>
      </c>
      <c r="F168" s="6" t="inlineStr">
        <is>
          <t>Murah</t>
        </is>
      </c>
    </row>
    <row r="169">
      <c r="A169" s="6" t="n">
        <v>172</v>
      </c>
      <c r="B169" s="6" t="inlineStr">
        <is>
          <t>CAK TOMO CABANG SANAN</t>
        </is>
      </c>
      <c r="C169" s="6" t="n">
        <v>13020</v>
      </c>
      <c r="D169" s="6" t="n">
        <v>-7.9582994</v>
      </c>
      <c r="E169" s="6" t="n">
        <v>112.6437638</v>
      </c>
      <c r="F169" s="6" t="inlineStr">
        <is>
          <t>Murah</t>
        </is>
      </c>
    </row>
    <row r="170">
      <c r="A170" s="6" t="n">
        <v>173</v>
      </c>
      <c r="B170" s="6" t="inlineStr">
        <is>
          <t>Soehat Street Food</t>
        </is>
      </c>
      <c r="C170" s="6" t="n">
        <v>16315</v>
      </c>
      <c r="D170" s="6" t="n">
        <v>-7.9418562</v>
      </c>
      <c r="E170" s="6" t="n">
        <v>112.622374</v>
      </c>
      <c r="F170" s="6" t="inlineStr">
        <is>
          <t>Murah</t>
        </is>
      </c>
    </row>
    <row r="171">
      <c r="A171" s="6" t="n">
        <v>174</v>
      </c>
      <c r="B171" s="6" t="inlineStr">
        <is>
          <t>Soto Daging Pak Markeso (Sejak 1987)</t>
        </is>
      </c>
      <c r="C171" s="6" t="n">
        <v>13543</v>
      </c>
      <c r="D171" s="6" t="n">
        <v>-7.9749456</v>
      </c>
      <c r="E171" s="6" t="n">
        <v>112.6223537</v>
      </c>
      <c r="F171" s="6" t="inlineStr">
        <is>
          <t>Murah</t>
        </is>
      </c>
    </row>
    <row r="172">
      <c r="A172" s="6" t="n">
        <v>175</v>
      </c>
      <c r="B172" s="6" t="inlineStr">
        <is>
          <t>Lalapan dan Sea Food Bang Husein</t>
        </is>
      </c>
      <c r="C172" s="6" t="n">
        <v>22651</v>
      </c>
      <c r="D172" s="6" t="n">
        <v>-7.9711957</v>
      </c>
      <c r="E172" s="6" t="n">
        <v>112.628542</v>
      </c>
      <c r="F172" s="6" t="inlineStr">
        <is>
          <t>Murah</t>
        </is>
      </c>
    </row>
    <row r="173">
      <c r="A173" s="6" t="n">
        <v>176</v>
      </c>
      <c r="B173" s="6" t="inlineStr">
        <is>
          <t>Tahwa "ING" MALANG</t>
        </is>
      </c>
      <c r="C173" s="6" t="n">
        <v>15324</v>
      </c>
      <c r="D173" s="6" t="n">
        <v>-7.9487052</v>
      </c>
      <c r="E173" s="6" t="n">
        <v>112.6316768</v>
      </c>
      <c r="F173" s="6" t="inlineStr">
        <is>
          <t>Murah</t>
        </is>
      </c>
    </row>
    <row r="174">
      <c r="A174" s="6" t="n">
        <v>177</v>
      </c>
      <c r="B174" s="6" t="inlineStr">
        <is>
          <t>Bubur Ayam AGUS</t>
        </is>
      </c>
      <c r="C174" s="6" t="n">
        <v>24054</v>
      </c>
      <c r="D174" s="6" t="n">
        <v>-7.9706239</v>
      </c>
      <c r="E174" s="6" t="n">
        <v>112.6163361</v>
      </c>
      <c r="F174" s="6" t="inlineStr">
        <is>
          <t>Murah</t>
        </is>
      </c>
    </row>
    <row r="175">
      <c r="A175" s="6" t="n">
        <v>178</v>
      </c>
      <c r="B175" s="6" t="inlineStr">
        <is>
          <t>Mie Gacoan Stasiun Kota Malang</t>
        </is>
      </c>
      <c r="C175" s="6" t="n">
        <v>16569</v>
      </c>
      <c r="D175" s="6" t="n">
        <v>-7.975803</v>
      </c>
      <c r="E175" s="6" t="n">
        <v>112.6364057</v>
      </c>
      <c r="F175" s="6" t="inlineStr">
        <is>
          <t>Murah</t>
        </is>
      </c>
    </row>
    <row r="176">
      <c r="A176" s="6" t="n">
        <v>179</v>
      </c>
      <c r="B176" s="6" t="inlineStr">
        <is>
          <t>Nasi Gendut Malang</t>
        </is>
      </c>
      <c r="C176" s="6" t="n">
        <v>12618</v>
      </c>
      <c r="D176" s="6" t="n">
        <v>-7.9477094</v>
      </c>
      <c r="E176" s="6" t="n">
        <v>112.6248006</v>
      </c>
      <c r="F176" s="6" t="inlineStr">
        <is>
          <t>Murah</t>
        </is>
      </c>
    </row>
    <row r="177">
      <c r="A177" s="6" t="n">
        <v>180</v>
      </c>
      <c r="B177" s="6" t="inlineStr">
        <is>
          <t>Toko Riang</t>
        </is>
      </c>
      <c r="C177" s="6" t="n">
        <v>28325</v>
      </c>
      <c r="D177" s="6" t="n">
        <v>-7.9795781</v>
      </c>
      <c r="E177" s="6" t="n">
        <v>112.6299031</v>
      </c>
      <c r="F177" s="6" t="inlineStr">
        <is>
          <t>Murah</t>
        </is>
      </c>
    </row>
    <row r="178">
      <c r="A178" s="6" t="n">
        <v>181</v>
      </c>
      <c r="B178" s="6" t="inlineStr">
        <is>
          <t>Hot Cui Mie MOG l Since 2000</t>
        </is>
      </c>
      <c r="C178" s="6" t="n">
        <v>29214</v>
      </c>
      <c r="D178" s="6" t="n">
        <v>-7.9773276</v>
      </c>
      <c r="E178" s="6" t="n">
        <v>112.6240139</v>
      </c>
      <c r="F178" s="6" t="inlineStr">
        <is>
          <t>Murah</t>
        </is>
      </c>
    </row>
    <row r="179">
      <c r="A179" s="6" t="n">
        <v>182</v>
      </c>
      <c r="B179" s="6" t="inlineStr">
        <is>
          <t>Bakmi Jawa Mbah Sri</t>
        </is>
      </c>
      <c r="C179" s="6" t="n">
        <v>15684</v>
      </c>
      <c r="D179" s="6" t="n">
        <v>-7.9514537</v>
      </c>
      <c r="E179" s="6" t="n">
        <v>112.6227034</v>
      </c>
      <c r="F179" s="6" t="inlineStr">
        <is>
          <t>Murah</t>
        </is>
      </c>
    </row>
    <row r="180">
      <c r="A180" s="6" t="n">
        <v>183</v>
      </c>
      <c r="B180" s="6" t="inlineStr">
        <is>
          <t>Warung Makan Dan Jajanan Poharin</t>
        </is>
      </c>
      <c r="C180" s="6" t="n">
        <v>14002</v>
      </c>
      <c r="D180" s="6" t="n">
        <v>-7.960751</v>
      </c>
      <c r="E180" s="6" t="n">
        <v>112.6061549</v>
      </c>
      <c r="F180" s="6" t="inlineStr">
        <is>
          <t>Murah</t>
        </is>
      </c>
    </row>
    <row r="181">
      <c r="A181" s="6" t="n">
        <v>184</v>
      </c>
      <c r="B181" s="6" t="inlineStr">
        <is>
          <t>Bikang Mekar Sari Sawojajar</t>
        </is>
      </c>
      <c r="C181" s="6" t="n">
        <v>14298</v>
      </c>
      <c r="D181" s="6" t="n">
        <v>-7.9756018</v>
      </c>
      <c r="E181" s="6" t="n">
        <v>112.662081</v>
      </c>
      <c r="F181" s="6" t="inlineStr">
        <is>
          <t>Murah</t>
        </is>
      </c>
    </row>
    <row r="182">
      <c r="A182" s="6" t="n">
        <v>185</v>
      </c>
      <c r="B182" s="6" t="inlineStr">
        <is>
          <t>Jajan Sunda</t>
        </is>
      </c>
      <c r="C182" s="6" t="n">
        <v>18346</v>
      </c>
      <c r="D182" s="6" t="n">
        <v>-7.9775106</v>
      </c>
      <c r="E182" s="6" t="n">
        <v>112.6590938</v>
      </c>
      <c r="F182" s="6" t="inlineStr">
        <is>
          <t>Murah</t>
        </is>
      </c>
    </row>
    <row r="183">
      <c r="A183" s="6" t="n">
        <v>186</v>
      </c>
      <c r="B183" s="6" t="inlineStr">
        <is>
          <t>Primasari Terang Bulan</t>
        </is>
      </c>
      <c r="C183" s="6" t="n">
        <v>22111</v>
      </c>
      <c r="D183" s="6" t="n">
        <v>-7.9250553</v>
      </c>
      <c r="E183" s="6" t="n">
        <v>112.6372386</v>
      </c>
      <c r="F183" s="6" t="inlineStr">
        <is>
          <t>Murah</t>
        </is>
      </c>
    </row>
    <row r="184">
      <c r="A184" s="6" t="n">
        <v>187</v>
      </c>
      <c r="B184" s="6" t="inlineStr">
        <is>
          <t>Cwi Mie Isor Uwit</t>
        </is>
      </c>
      <c r="C184" s="6" t="n">
        <v>12787</v>
      </c>
      <c r="D184" s="6" t="n">
        <v>-7.9680562</v>
      </c>
      <c r="E184" s="6" t="n">
        <v>112.6265966</v>
      </c>
      <c r="F184" s="6" t="inlineStr">
        <is>
          <t>Murah</t>
        </is>
      </c>
    </row>
    <row r="185">
      <c r="A185" s="6" t="n">
        <v>188</v>
      </c>
      <c r="B185" s="6" t="inlineStr">
        <is>
          <t>Bakso Priangan Mang Yayat</t>
        </is>
      </c>
      <c r="C185" s="6" t="n">
        <v>20887</v>
      </c>
      <c r="D185" s="6" t="n">
        <v>-7.9740551</v>
      </c>
      <c r="E185" s="6" t="n">
        <v>112.636535</v>
      </c>
      <c r="F185" s="6" t="inlineStr">
        <is>
          <t>Murah</t>
        </is>
      </c>
    </row>
    <row r="186">
      <c r="A186" s="6" t="n">
        <v>189</v>
      </c>
      <c r="B186" s="6" t="inlineStr">
        <is>
          <t>Warung Legendaris</t>
        </is>
      </c>
      <c r="C186" s="6" t="n">
        <v>25782</v>
      </c>
      <c r="D186" s="6" t="n">
        <v>-8.0102703</v>
      </c>
      <c r="E186" s="6" t="n">
        <v>112.6307784</v>
      </c>
      <c r="F186" s="6" t="inlineStr">
        <is>
          <t>Murah</t>
        </is>
      </c>
    </row>
    <row r="187">
      <c r="A187" s="6" t="n">
        <v>190</v>
      </c>
      <c r="B187" s="6" t="inlineStr">
        <is>
          <t>Warung Tressel</t>
        </is>
      </c>
      <c r="C187" s="6" t="n">
        <v>17364</v>
      </c>
      <c r="D187" s="6" t="n">
        <v>-7.9642029</v>
      </c>
      <c r="E187" s="6" t="n">
        <v>112.6320515</v>
      </c>
      <c r="F187" s="6" t="inlineStr">
        <is>
          <t>Murah</t>
        </is>
      </c>
    </row>
    <row r="188">
      <c r="A188" s="6" t="n">
        <v>191</v>
      </c>
      <c r="B188" s="6" t="inlineStr">
        <is>
          <t>Tahu Petis Lesehan "Mbah Soe"</t>
        </is>
      </c>
      <c r="C188" s="6" t="n">
        <v>22128</v>
      </c>
      <c r="D188" s="6" t="n">
        <v>-7.962044</v>
      </c>
      <c r="E188" s="6" t="n">
        <v>112.630675</v>
      </c>
      <c r="F188" s="6" t="inlineStr">
        <is>
          <t>Murah</t>
        </is>
      </c>
    </row>
    <row r="189">
      <c r="A189" s="6" t="n">
        <v>193</v>
      </c>
      <c r="B189" s="6" t="inlineStr">
        <is>
          <t>Rujak manis semeru</t>
        </is>
      </c>
      <c r="C189" s="6" t="n">
        <v>15500</v>
      </c>
      <c r="D189" s="6" t="n">
        <v>-7.9740926</v>
      </c>
      <c r="E189" s="6" t="n">
        <v>112.6171005</v>
      </c>
      <c r="F189" s="6" t="inlineStr">
        <is>
          <t>Murah</t>
        </is>
      </c>
    </row>
    <row r="190">
      <c r="A190" s="6" t="n">
        <v>194</v>
      </c>
      <c r="B190" s="6" t="inlineStr">
        <is>
          <t>Bakso Bakar Pahlawan Trip (BABATRIP)</t>
        </is>
      </c>
      <c r="C190" s="6" t="n">
        <v>22532</v>
      </c>
      <c r="D190" s="6" t="n">
        <v>-7.9683174</v>
      </c>
      <c r="E190" s="6" t="n">
        <v>112.6221902</v>
      </c>
      <c r="F190" s="6" t="inlineStr">
        <is>
          <t>Murah</t>
        </is>
      </c>
    </row>
    <row r="191">
      <c r="A191" s="6" t="n">
        <v>198</v>
      </c>
      <c r="B191" s="6" t="inlineStr">
        <is>
          <t>Hindia Koffie En Eaten</t>
        </is>
      </c>
      <c r="C191" s="6" t="n">
        <v>23961</v>
      </c>
      <c r="D191" s="6" t="n">
        <v>-7.9639094</v>
      </c>
      <c r="E191" s="6" t="n">
        <v>112.6220598</v>
      </c>
      <c r="F191" s="6" t="inlineStr">
        <is>
          <t>Murah</t>
        </is>
      </c>
    </row>
    <row r="192">
      <c r="A192" s="6" t="n">
        <v>200</v>
      </c>
      <c r="B192" s="6" t="inlineStr">
        <is>
          <t>11:12 sebelasduabelaskopi</t>
        </is>
      </c>
      <c r="C192" s="6" t="n">
        <v>36844</v>
      </c>
      <c r="D192" s="6" t="n">
        <v>-7.9374224</v>
      </c>
      <c r="E192" s="6" t="n">
        <v>112.6250887</v>
      </c>
      <c r="F192" s="6" t="inlineStr">
        <is>
          <t>Murah</t>
        </is>
      </c>
    </row>
    <row r="193">
      <c r="A193" s="6" t="n">
        <v>202</v>
      </c>
      <c r="B193" s="6" t="inlineStr">
        <is>
          <t>Niwa Garden</t>
        </is>
      </c>
      <c r="C193" s="6" t="n">
        <v>18596</v>
      </c>
      <c r="D193" s="6" t="n">
        <v>-7.9522957</v>
      </c>
      <c r="E193" s="6" t="n">
        <v>112.6354751</v>
      </c>
      <c r="F193" s="6" t="inlineStr">
        <is>
          <t>Murah</t>
        </is>
      </c>
    </row>
    <row r="194">
      <c r="A194" s="6" t="n">
        <v>203</v>
      </c>
      <c r="B194" s="6" t="inlineStr">
        <is>
          <t>Distrik Coffee Roaster</t>
        </is>
      </c>
      <c r="C194" s="6" t="n">
        <v>42906</v>
      </c>
      <c r="D194" s="6" t="n">
        <v>-7.9490868</v>
      </c>
      <c r="E194" s="6" t="n">
        <v>112.632005</v>
      </c>
      <c r="F194" s="6" t="inlineStr">
        <is>
          <t>Murah</t>
        </is>
      </c>
    </row>
    <row r="195">
      <c r="A195" s="6" t="n">
        <v>207</v>
      </c>
      <c r="B195" s="6" t="inlineStr">
        <is>
          <t>CW Coffee &amp; Eatery - Simpang Ijen</t>
        </is>
      </c>
      <c r="C195" s="6" t="n">
        <v>40970</v>
      </c>
      <c r="D195" s="6" t="n">
        <v>-7.9657766</v>
      </c>
      <c r="E195" s="6" t="n">
        <v>112.6202307</v>
      </c>
      <c r="F195" s="6" t="inlineStr">
        <is>
          <t>Murah</t>
        </is>
      </c>
    </row>
    <row r="196">
      <c r="A196" s="6" t="n">
        <v>208</v>
      </c>
      <c r="B196" s="6" t="inlineStr">
        <is>
          <t>Tematik Coffee Bar HQ</t>
        </is>
      </c>
      <c r="C196" s="6" t="n">
        <v>37943</v>
      </c>
      <c r="D196" s="6" t="n">
        <v>-7.9929368</v>
      </c>
      <c r="E196" s="6" t="n">
        <v>112.6241608</v>
      </c>
      <c r="F196" s="6" t="inlineStr">
        <is>
          <t>Murah</t>
        </is>
      </c>
    </row>
    <row r="197">
      <c r="A197" s="6" t="n">
        <v>209</v>
      </c>
      <c r="B197" s="6" t="inlineStr">
        <is>
          <t>JOKOPI - Malang</t>
        </is>
      </c>
      <c r="C197" s="6" t="n">
        <v>36636</v>
      </c>
      <c r="D197" s="6" t="n">
        <v>-7.9629648</v>
      </c>
      <c r="E197" s="6" t="n">
        <v>112.6226969</v>
      </c>
      <c r="F197" s="6" t="inlineStr">
        <is>
          <t>Murah</t>
        </is>
      </c>
    </row>
    <row r="198">
      <c r="A198" s="6" t="n">
        <v>214</v>
      </c>
      <c r="B198" s="6" t="inlineStr">
        <is>
          <t>Lataroma</t>
        </is>
      </c>
      <c r="C198" s="6" t="n">
        <v>27469</v>
      </c>
      <c r="D198" s="6" t="n">
        <v>-7.942929</v>
      </c>
      <c r="E198" s="6" t="n">
        <v>112.5852973</v>
      </c>
      <c r="F198" s="6" t="inlineStr">
        <is>
          <t>Murah</t>
        </is>
      </c>
    </row>
    <row r="199">
      <c r="A199" s="6" t="n">
        <v>218</v>
      </c>
      <c r="B199" s="6" t="inlineStr">
        <is>
          <t>GOLDEN HERITAGE KOFFIE</t>
        </is>
      </c>
      <c r="C199" s="6" t="n">
        <v>28885</v>
      </c>
      <c r="D199" s="6" t="n">
        <v>-7.9657391</v>
      </c>
      <c r="E199" s="6" t="n">
        <v>112.6087291</v>
      </c>
      <c r="F199" s="6" t="inlineStr">
        <is>
          <t>Murah</t>
        </is>
      </c>
    </row>
    <row r="200">
      <c r="A200" s="6" t="n">
        <v>221</v>
      </c>
      <c r="B200" s="6" t="inlineStr">
        <is>
          <t>Sorai Kedai Kopi &amp; Teh</t>
        </is>
      </c>
      <c r="C200" s="6" t="n">
        <v>38426</v>
      </c>
      <c r="D200" s="6" t="n">
        <v>-7.9628407</v>
      </c>
      <c r="E200" s="6" t="n">
        <v>112.6368217</v>
      </c>
      <c r="F200" s="6" t="inlineStr">
        <is>
          <t>Murah</t>
        </is>
      </c>
    </row>
    <row r="201">
      <c r="A201" s="6" t="n">
        <v>222</v>
      </c>
      <c r="B201" s="6" t="inlineStr">
        <is>
          <t>Baja</t>
        </is>
      </c>
      <c r="C201" s="6" t="n">
        <v>12320</v>
      </c>
      <c r="D201" s="6" t="n">
        <v>-7.9476346</v>
      </c>
      <c r="E201" s="6" t="n">
        <v>112.6419965</v>
      </c>
      <c r="F201" s="6" t="inlineStr">
        <is>
          <t>Murah</t>
        </is>
      </c>
    </row>
    <row r="202">
      <c r="A202" s="6" t="n">
        <v>223</v>
      </c>
      <c r="B202" s="6" t="inlineStr">
        <is>
          <t>Eight Ounces</t>
        </is>
      </c>
      <c r="C202" s="6" t="n">
        <v>25618</v>
      </c>
      <c r="D202" s="6" t="n">
        <v>-7.9570712</v>
      </c>
      <c r="E202" s="6" t="n">
        <v>112.6433178</v>
      </c>
      <c r="F202" s="6" t="inlineStr">
        <is>
          <t>Murah</t>
        </is>
      </c>
    </row>
    <row r="203">
      <c r="A203" s="6" t="n">
        <v>224</v>
      </c>
      <c r="B203" s="6" t="inlineStr">
        <is>
          <t>KOPI STUDIO 24 SARANGAN</t>
        </is>
      </c>
      <c r="C203" s="6" t="n">
        <v>42721</v>
      </c>
      <c r="D203" s="6" t="n">
        <v>-7.9601586</v>
      </c>
      <c r="E203" s="6" t="n">
        <v>112.6329195</v>
      </c>
      <c r="F203" s="6" t="inlineStr">
        <is>
          <t>Murah</t>
        </is>
      </c>
    </row>
    <row r="204">
      <c r="A204" s="6" t="n">
        <v>227</v>
      </c>
      <c r="B204" s="6" t="inlineStr">
        <is>
          <t>Kotäsk Kaffe Co.</t>
        </is>
      </c>
      <c r="C204" s="6" t="n">
        <v>16376</v>
      </c>
      <c r="D204" s="6" t="n">
        <v>-7.9755645</v>
      </c>
      <c r="E204" s="6" t="n">
        <v>112.6125007</v>
      </c>
      <c r="F204" s="6" t="inlineStr">
        <is>
          <t>Murah</t>
        </is>
      </c>
    </row>
    <row r="205">
      <c r="A205" s="6" t="n">
        <v>231</v>
      </c>
      <c r="B205" s="6" t="inlineStr">
        <is>
          <t>Klodjen Djaja 1956</t>
        </is>
      </c>
      <c r="C205" s="6" t="n">
        <v>19916</v>
      </c>
      <c r="D205" s="6" t="n">
        <v>-7.9732172</v>
      </c>
      <c r="E205" s="6" t="n">
        <v>112.6368377</v>
      </c>
      <c r="F205" s="6" t="inlineStr">
        <is>
          <t>Murah</t>
        </is>
      </c>
    </row>
    <row r="206">
      <c r="A206" s="6" t="n">
        <v>241</v>
      </c>
      <c r="B206" s="6" t="inlineStr">
        <is>
          <t>Tumbazz Kopi Malang</t>
        </is>
      </c>
      <c r="C206" s="6" t="n">
        <v>41723</v>
      </c>
      <c r="D206" s="6" t="n">
        <v>-7.9724629</v>
      </c>
      <c r="E206" s="6" t="n">
        <v>112.6171911</v>
      </c>
      <c r="F206" s="6" t="inlineStr">
        <is>
          <t>Murah</t>
        </is>
      </c>
    </row>
    <row r="207">
      <c r="A207" s="6" t="n">
        <v>242</v>
      </c>
      <c r="B207" s="6" t="inlineStr">
        <is>
          <t>OR Traffic</t>
        </is>
      </c>
      <c r="C207" s="6" t="n">
        <v>28905</v>
      </c>
      <c r="D207" s="6" t="n">
        <v>-7.913671</v>
      </c>
      <c r="E207" s="6" t="n">
        <v>112.5849502</v>
      </c>
      <c r="F207" s="6" t="inlineStr">
        <is>
          <t>Murah</t>
        </is>
      </c>
    </row>
    <row r="208">
      <c r="A208" s="6" t="n">
        <v>244</v>
      </c>
      <c r="B208" s="6" t="inlineStr">
        <is>
          <t>Omah Semeru (Toko Kopi)</t>
        </is>
      </c>
      <c r="C208" s="6" t="n">
        <v>41418</v>
      </c>
      <c r="D208" s="6" t="n">
        <v>-7.9779318</v>
      </c>
      <c r="E208" s="6" t="n">
        <v>112.6283844</v>
      </c>
      <c r="F208" s="6" t="inlineStr">
        <is>
          <t>Murah</t>
        </is>
      </c>
    </row>
    <row r="209">
      <c r="A209" s="6" t="n">
        <v>248</v>
      </c>
      <c r="B209" s="6" t="inlineStr">
        <is>
          <t>Huize Jon Coffee Malang</t>
        </is>
      </c>
      <c r="C209" s="6" t="n">
        <v>38022</v>
      </c>
      <c r="D209" s="6" t="n">
        <v>-7.9796032</v>
      </c>
      <c r="E209" s="6" t="n">
        <v>112.6308829</v>
      </c>
      <c r="F209" s="6" t="inlineStr">
        <is>
          <t>Murah</t>
        </is>
      </c>
    </row>
    <row r="210">
      <c r="A210" s="6" t="n">
        <v>251</v>
      </c>
      <c r="B210" s="6" t="inlineStr">
        <is>
          <t>Zocco Heritage</t>
        </is>
      </c>
      <c r="C210" s="6" t="n">
        <v>17963</v>
      </c>
      <c r="D210" s="6" t="n">
        <v>-7.9675614</v>
      </c>
      <c r="E210" s="6" t="n">
        <v>112.6333456</v>
      </c>
      <c r="F210" s="6" t="inlineStr">
        <is>
          <t>Murah</t>
        </is>
      </c>
    </row>
    <row r="211">
      <c r="A211" s="6" t="n">
        <v>254</v>
      </c>
      <c r="B211" s="6" t="inlineStr">
        <is>
          <t>Gartenhaus Co</t>
        </is>
      </c>
      <c r="C211" s="6" t="n">
        <v>15876</v>
      </c>
      <c r="D211" s="6" t="n">
        <v>-7.9352124</v>
      </c>
      <c r="E211" s="6" t="n">
        <v>112.6119441</v>
      </c>
      <c r="F211" s="6" t="inlineStr">
        <is>
          <t>Murah</t>
        </is>
      </c>
    </row>
    <row r="212">
      <c r="A212" s="6" t="n">
        <v>257</v>
      </c>
      <c r="B212" s="6" t="inlineStr">
        <is>
          <t>critasena</t>
        </is>
      </c>
      <c r="C212" s="6" t="n">
        <v>15459</v>
      </c>
      <c r="D212" s="6" t="n">
        <v>-7.9758078</v>
      </c>
      <c r="E212" s="6" t="n">
        <v>112.6316331</v>
      </c>
      <c r="F212" s="6" t="inlineStr">
        <is>
          <t>Murah</t>
        </is>
      </c>
    </row>
    <row r="213">
      <c r="A213" s="6" t="n">
        <v>258</v>
      </c>
      <c r="B213" s="6" t="inlineStr">
        <is>
          <t>Fertisoil Coffee and Eatery</t>
        </is>
      </c>
      <c r="C213" s="6" t="n">
        <v>37591</v>
      </c>
      <c r="D213" s="6" t="n">
        <v>-7.9415727</v>
      </c>
      <c r="E213" s="6" t="n">
        <v>112.6230075</v>
      </c>
      <c r="F213" s="6" t="inlineStr">
        <is>
          <t>Murah</t>
        </is>
      </c>
    </row>
    <row r="214">
      <c r="A214" s="6" t="n">
        <v>260</v>
      </c>
      <c r="B214" s="6" t="inlineStr">
        <is>
          <t>BARAKA.MALANG</t>
        </is>
      </c>
      <c r="C214" s="6" t="n">
        <v>24579</v>
      </c>
      <c r="D214" s="6" t="n">
        <v>-7.9626665</v>
      </c>
      <c r="E214" s="6" t="n">
        <v>112.6315188</v>
      </c>
      <c r="F214" s="6" t="inlineStr">
        <is>
          <t>Murah</t>
        </is>
      </c>
    </row>
    <row r="215">
      <c r="A215" s="6" t="n">
        <v>262</v>
      </c>
      <c r="B215" s="6" t="inlineStr">
        <is>
          <t>Kopi Dampit "Cangkir Dampit"</t>
        </is>
      </c>
      <c r="C215" s="6" t="n">
        <v>41306</v>
      </c>
      <c r="D215" s="6" t="n">
        <v>-8.001445500000001</v>
      </c>
      <c r="E215" s="6" t="n">
        <v>112.627648</v>
      </c>
      <c r="F215" s="6" t="inlineStr">
        <is>
          <t>Murah</t>
        </is>
      </c>
    </row>
    <row r="216">
      <c r="A216" s="6" t="n">
        <v>267</v>
      </c>
      <c r="B216" s="6" t="inlineStr">
        <is>
          <t>Selak Caffe</t>
        </is>
      </c>
      <c r="C216" s="6" t="n">
        <v>12174</v>
      </c>
      <c r="D216" s="6" t="n">
        <v>-7.9519861</v>
      </c>
      <c r="E216" s="6" t="n">
        <v>112.6406474</v>
      </c>
      <c r="F216" s="6" t="inlineStr">
        <is>
          <t>Murah</t>
        </is>
      </c>
    </row>
    <row r="217">
      <c r="A217" s="6" t="n">
        <v>268</v>
      </c>
      <c r="B217" s="6" t="inlineStr">
        <is>
          <t>Kopi Dampit / Toko Nava</t>
        </is>
      </c>
      <c r="C217" s="6" t="n">
        <v>41681</v>
      </c>
      <c r="D217" s="6" t="n">
        <v>-7.946182</v>
      </c>
      <c r="E217" s="6" t="n">
        <v>112.6321538</v>
      </c>
      <c r="F217" s="6" t="inlineStr">
        <is>
          <t>Murah</t>
        </is>
      </c>
    </row>
    <row r="218">
      <c r="A218" s="6" t="n">
        <v>270</v>
      </c>
      <c r="B218" s="6" t="inlineStr">
        <is>
          <t>kedai 90 rohani</t>
        </is>
      </c>
      <c r="C218" s="6" t="n">
        <v>26321</v>
      </c>
      <c r="D218" s="6" t="n">
        <v>-7.9599702</v>
      </c>
      <c r="E218" s="6" t="n">
        <v>112.6428413</v>
      </c>
      <c r="F218" s="6" t="inlineStr">
        <is>
          <t>Murah</t>
        </is>
      </c>
    </row>
    <row r="219">
      <c r="A219" s="6" t="n">
        <v>272</v>
      </c>
      <c r="B219" s="6" t="inlineStr">
        <is>
          <t>Kedai Kopi Kalimetro</t>
        </is>
      </c>
      <c r="C219" s="6" t="n">
        <v>42578</v>
      </c>
      <c r="D219" s="6" t="n">
        <v>-7.9494707</v>
      </c>
      <c r="E219" s="6" t="n">
        <v>112.6022691</v>
      </c>
      <c r="F219" s="6" t="inlineStr">
        <is>
          <t>Murah</t>
        </is>
      </c>
    </row>
    <row r="220">
      <c r="A220" s="6" t="n">
        <v>273</v>
      </c>
      <c r="B220" s="6" t="inlineStr">
        <is>
          <t>Berkat Terang Jaya</t>
        </is>
      </c>
      <c r="C220" s="6" t="n">
        <v>27382</v>
      </c>
      <c r="D220" s="6" t="n">
        <v>-7.9708599</v>
      </c>
      <c r="E220" s="6" t="n">
        <v>112.631363</v>
      </c>
      <c r="F220" s="6" t="inlineStr">
        <is>
          <t>Murah</t>
        </is>
      </c>
    </row>
    <row r="221">
      <c r="A221" s="6" t="n">
        <v>274</v>
      </c>
      <c r="B221" s="6" t="inlineStr">
        <is>
          <t>Legi Pait</t>
        </is>
      </c>
      <c r="C221" s="6" t="n">
        <v>18104</v>
      </c>
      <c r="D221" s="6" t="n">
        <v>-7.9733703</v>
      </c>
      <c r="E221" s="6" t="n">
        <v>112.6346425</v>
      </c>
      <c r="F221" s="6" t="inlineStr">
        <is>
          <t>Murah</t>
        </is>
      </c>
    </row>
    <row r="222">
      <c r="A222" s="6" t="n">
        <v>275</v>
      </c>
      <c r="B222" s="6" t="inlineStr">
        <is>
          <t>Bedjana Tiny House Coffee</t>
        </is>
      </c>
      <c r="C222" s="6" t="n">
        <v>40589</v>
      </c>
      <c r="D222" s="6" t="n">
        <v>-7.9623915</v>
      </c>
      <c r="E222" s="6" t="n">
        <v>112.629712</v>
      </c>
      <c r="F222" s="6" t="inlineStr">
        <is>
          <t>Murah</t>
        </is>
      </c>
    </row>
    <row r="223">
      <c r="A223" s="6" t="n">
        <v>277</v>
      </c>
      <c r="B223" s="6" t="inlineStr">
        <is>
          <t>Fajar Baru</t>
        </is>
      </c>
      <c r="C223" s="6" t="n">
        <v>29627</v>
      </c>
      <c r="D223" s="6" t="n">
        <v>-7.968808</v>
      </c>
      <c r="E223" s="6" t="n">
        <v>112.6322146</v>
      </c>
      <c r="F223" s="6" t="inlineStr">
        <is>
          <t>Murah</t>
        </is>
      </c>
    </row>
    <row r="224">
      <c r="A224" s="6" t="n">
        <v>279</v>
      </c>
      <c r="B224" s="6" t="inlineStr">
        <is>
          <t>WARUNG TENANG</t>
        </is>
      </c>
      <c r="C224" s="6" t="n">
        <v>26938</v>
      </c>
      <c r="D224" s="6" t="n">
        <v>-7.9769308</v>
      </c>
      <c r="E224" s="6" t="n">
        <v>112.6308016</v>
      </c>
      <c r="F224" s="6" t="inlineStr">
        <is>
          <t>Murah</t>
        </is>
      </c>
    </row>
    <row r="225">
      <c r="A225" s="6" t="n">
        <v>280</v>
      </c>
      <c r="B225" s="6" t="inlineStr">
        <is>
          <t>OMAH KANAKOPI</t>
        </is>
      </c>
      <c r="C225" s="6" t="n">
        <v>37970</v>
      </c>
      <c r="D225" s="6" t="n">
        <v>-7.9734826</v>
      </c>
      <c r="E225" s="6" t="n">
        <v>112.6288742</v>
      </c>
      <c r="F225" s="6" t="inlineStr">
        <is>
          <t>Murah</t>
        </is>
      </c>
    </row>
    <row r="226">
      <c r="A226" s="6" t="n">
        <v>287</v>
      </c>
      <c r="B226" s="6" t="inlineStr">
        <is>
          <t>Starbucks Malang Ijen</t>
        </is>
      </c>
      <c r="C226" s="6" t="n">
        <v>24487</v>
      </c>
      <c r="D226" s="6" t="n">
        <v>-7.9646236</v>
      </c>
      <c r="E226" s="6" t="n">
        <v>112.6252156</v>
      </c>
      <c r="F226" s="6" t="inlineStr">
        <is>
          <t>Murah</t>
        </is>
      </c>
    </row>
    <row r="227">
      <c r="A227" s="6" t="n">
        <v>291</v>
      </c>
      <c r="B227" s="6" t="inlineStr">
        <is>
          <t>Nogo Keling</t>
        </is>
      </c>
      <c r="C227" s="6" t="n">
        <v>16220</v>
      </c>
      <c r="D227" s="6" t="n">
        <v>-7.9861902</v>
      </c>
      <c r="E227" s="6" t="n">
        <v>112.6330785</v>
      </c>
      <c r="F227" s="6" t="inlineStr">
        <is>
          <t>Murah</t>
        </is>
      </c>
    </row>
    <row r="228">
      <c r="A228" s="6" t="n">
        <v>293</v>
      </c>
      <c r="B228" s="6" t="inlineStr">
        <is>
          <t>Kedai Pendjoeal Kopi</t>
        </is>
      </c>
      <c r="C228" s="6" t="n">
        <v>43052</v>
      </c>
      <c r="D228" s="6" t="n">
        <v>-7.9630007</v>
      </c>
      <c r="E228" s="6" t="n">
        <v>112.6324473</v>
      </c>
      <c r="F228" s="6" t="inlineStr">
        <is>
          <t>Murah</t>
        </is>
      </c>
    </row>
    <row r="229">
      <c r="A229" s="6" t="n">
        <v>296</v>
      </c>
      <c r="B229" s="6" t="inlineStr">
        <is>
          <t>Swara Malang</t>
        </is>
      </c>
      <c r="C229" s="6" t="n">
        <v>18238</v>
      </c>
      <c r="D229" s="6" t="n">
        <v>-7.9459517</v>
      </c>
      <c r="E229" s="6" t="n">
        <v>112.6124339</v>
      </c>
      <c r="F229" s="6" t="inlineStr">
        <is>
          <t>Murah</t>
        </is>
      </c>
    </row>
    <row r="230">
      <c r="A230" s="6" t="n">
        <v>297</v>
      </c>
      <c r="B230" s="6" t="inlineStr">
        <is>
          <t>Toko Sido Mulia sejak 1953</t>
        </is>
      </c>
      <c r="C230" s="6" t="n">
        <v>13662</v>
      </c>
      <c r="D230" s="6" t="n">
        <v>-7.9731345</v>
      </c>
      <c r="E230" s="6" t="n">
        <v>112.6367749</v>
      </c>
      <c r="F230" s="6" t="inlineStr">
        <is>
          <t>Murah</t>
        </is>
      </c>
    </row>
    <row r="231">
      <c r="A231" s="6" t="n">
        <v>298</v>
      </c>
      <c r="B231" s="6" t="inlineStr">
        <is>
          <t>KEDAI DARAT COFFEE</t>
        </is>
      </c>
      <c r="C231" s="6" t="n">
        <v>42902</v>
      </c>
      <c r="D231" s="6" t="n">
        <v>-7.9650882</v>
      </c>
      <c r="E231" s="6" t="n">
        <v>112.6327033</v>
      </c>
      <c r="F231" s="6" t="inlineStr">
        <is>
          <t>Murah</t>
        </is>
      </c>
    </row>
    <row r="232">
      <c r="A232" s="6" t="n">
        <v>299</v>
      </c>
      <c r="B232" s="6" t="inlineStr">
        <is>
          <t>Kedai Kopi “ CAHAYA BARU “</t>
        </is>
      </c>
      <c r="C232" s="6" t="n">
        <v>37693</v>
      </c>
      <c r="D232" s="6" t="n">
        <v>-7.9736125</v>
      </c>
      <c r="E232" s="6" t="n">
        <v>112.6693141</v>
      </c>
      <c r="F232" s="6" t="inlineStr">
        <is>
          <t>Murah</t>
        </is>
      </c>
    </row>
    <row r="233">
      <c r="A233" s="6" t="n">
        <v>308</v>
      </c>
      <c r="B233" s="6" t="inlineStr">
        <is>
          <t>Kedai Kopi Hwie - Klojen</t>
        </is>
      </c>
      <c r="C233" s="6" t="n">
        <v>42886</v>
      </c>
      <c r="D233" s="6" t="n">
        <v>-7.9729332</v>
      </c>
      <c r="E233" s="6" t="n">
        <v>112.6366934</v>
      </c>
      <c r="F233" s="6" t="inlineStr">
        <is>
          <t>Murah</t>
        </is>
      </c>
    </row>
    <row r="234">
      <c r="A234" s="6" t="n">
        <v>310</v>
      </c>
      <c r="B234" s="6" t="inlineStr">
        <is>
          <t>Kedai Kopi &amp; Buku Bintang Kecil</t>
        </is>
      </c>
      <c r="C234" s="6" t="n">
        <v>42030</v>
      </c>
      <c r="D234" s="6" t="n">
        <v>-7.9613586</v>
      </c>
      <c r="E234" s="6" t="n">
        <v>112.6135642</v>
      </c>
      <c r="F234" s="6" t="inlineStr">
        <is>
          <t>Murah</t>
        </is>
      </c>
    </row>
    <row r="235">
      <c r="A235" s="6" t="n">
        <v>314</v>
      </c>
      <c r="B235" s="6" t="inlineStr">
        <is>
          <t>Warteg Sari Rasa 24 Jam Non Stop</t>
        </is>
      </c>
      <c r="C235" s="6" t="n">
        <v>26664</v>
      </c>
      <c r="D235" s="6" t="n">
        <v>-7.9638297</v>
      </c>
      <c r="E235" s="6" t="n">
        <v>112.6136241</v>
      </c>
      <c r="F235" s="6" t="inlineStr">
        <is>
          <t>Murah</t>
        </is>
      </c>
    </row>
    <row r="236">
      <c r="A236" s="6" t="n">
        <v>315</v>
      </c>
      <c r="B236" s="6" t="inlineStr">
        <is>
          <t>Warteg Sahabat</t>
        </is>
      </c>
      <c r="C236" s="6" t="n">
        <v>29969</v>
      </c>
      <c r="D236" s="6" t="n">
        <v>-7.931382</v>
      </c>
      <c r="E236" s="6" t="n">
        <v>112.5909108</v>
      </c>
      <c r="F236" s="6" t="inlineStr">
        <is>
          <t>Murah</t>
        </is>
      </c>
    </row>
    <row r="237">
      <c r="A237" s="6" t="n">
        <v>316</v>
      </c>
      <c r="B237" s="6" t="inlineStr">
        <is>
          <t>Warteg Sari Rasa 24 Jam</t>
        </is>
      </c>
      <c r="C237" s="6" t="n">
        <v>28578</v>
      </c>
      <c r="D237" s="6" t="n">
        <v>-7.9593975</v>
      </c>
      <c r="E237" s="6" t="n">
        <v>112.6137169</v>
      </c>
      <c r="F237" s="6" t="inlineStr">
        <is>
          <t>Murah</t>
        </is>
      </c>
    </row>
    <row r="238">
      <c r="A238" s="6" t="n">
        <v>317</v>
      </c>
      <c r="B238" s="6" t="inlineStr">
        <is>
          <t>WARTEG depan ABM</t>
        </is>
      </c>
      <c r="C238" s="6" t="n">
        <v>12366</v>
      </c>
      <c r="D238" s="6" t="n">
        <v>-7.9419456</v>
      </c>
      <c r="E238" s="6" t="n">
        <v>112.6381312</v>
      </c>
      <c r="F238" s="6" t="inlineStr">
        <is>
          <t>Murah</t>
        </is>
      </c>
    </row>
    <row r="239">
      <c r="A239" s="6" t="n">
        <v>318</v>
      </c>
      <c r="B239" s="6" t="inlineStr">
        <is>
          <t>Warteg Candi Panggung Bahari Malang</t>
        </is>
      </c>
      <c r="C239" s="6" t="n">
        <v>13810</v>
      </c>
      <c r="D239" s="6" t="n">
        <v>-7.9377047</v>
      </c>
      <c r="E239" s="6" t="n">
        <v>112.6210545</v>
      </c>
      <c r="F239" s="6" t="inlineStr">
        <is>
          <t>Murah</t>
        </is>
      </c>
    </row>
    <row r="240">
      <c r="A240" s="6" t="n">
        <v>319</v>
      </c>
      <c r="B240" s="6" t="inlineStr">
        <is>
          <t>Warteg Sarirasa Cab. Simpang Gajayana</t>
        </is>
      </c>
      <c r="C240" s="6" t="n">
        <v>14004</v>
      </c>
      <c r="D240" s="6" t="n">
        <v>-7.9472632</v>
      </c>
      <c r="E240" s="6" t="n">
        <v>112.6055947</v>
      </c>
      <c r="F240" s="6" t="inlineStr">
        <is>
          <t>Murah</t>
        </is>
      </c>
    </row>
    <row r="241">
      <c r="A241" s="6" t="n">
        <v>320</v>
      </c>
      <c r="B241" s="6" t="inlineStr">
        <is>
          <t>Warung Tegal</t>
        </is>
      </c>
      <c r="C241" s="6" t="n">
        <v>12849</v>
      </c>
      <c r="D241" s="6" t="n">
        <v>-7.9580361</v>
      </c>
      <c r="E241" s="6" t="n">
        <v>112.6098426</v>
      </c>
      <c r="F241" s="6" t="inlineStr">
        <is>
          <t>Murah</t>
        </is>
      </c>
    </row>
    <row r="242">
      <c r="A242" s="6" t="n">
        <v>321</v>
      </c>
      <c r="B242" s="6" t="inlineStr">
        <is>
          <t>WARTEG DO'I</t>
        </is>
      </c>
      <c r="C242" s="6" t="n">
        <v>15521</v>
      </c>
      <c r="D242" s="6" t="n">
        <v>-7.9530265</v>
      </c>
      <c r="E242" s="6" t="n">
        <v>112.6232169</v>
      </c>
      <c r="F242" s="6" t="inlineStr">
        <is>
          <t>Murah</t>
        </is>
      </c>
    </row>
    <row r="243">
      <c r="A243" s="6" t="n">
        <v>322</v>
      </c>
      <c r="B243" s="6" t="inlineStr">
        <is>
          <t>Warung Tegal (Warteg) bu marni</t>
        </is>
      </c>
      <c r="C243" s="6" t="n">
        <v>21791</v>
      </c>
      <c r="D243" s="6" t="n">
        <v>-7.9288916</v>
      </c>
      <c r="E243" s="6" t="n">
        <v>112.6080414</v>
      </c>
      <c r="F243" s="6" t="inlineStr">
        <is>
          <t>Murah</t>
        </is>
      </c>
    </row>
    <row r="244">
      <c r="A244" s="6" t="n">
        <v>323</v>
      </c>
      <c r="B244" s="6" t="inlineStr">
        <is>
          <t>Warteg 24 Jam</t>
        </is>
      </c>
      <c r="C244" s="6" t="n">
        <v>18384</v>
      </c>
      <c r="D244" s="6" t="n">
        <v>-7.9580946</v>
      </c>
      <c r="E244" s="6" t="n">
        <v>112.609875</v>
      </c>
      <c r="F244" s="6" t="inlineStr">
        <is>
          <t>Murah</t>
        </is>
      </c>
    </row>
    <row r="245">
      <c r="A245" s="6" t="n">
        <v>324</v>
      </c>
      <c r="B245" s="6" t="inlineStr">
        <is>
          <t>Warteg Sari Rasa</t>
        </is>
      </c>
      <c r="C245" s="6" t="n">
        <v>16332</v>
      </c>
      <c r="D245" s="6" t="n">
        <v>-7.9448281</v>
      </c>
      <c r="E245" s="6" t="n">
        <v>112.6067841</v>
      </c>
      <c r="F245" s="6" t="inlineStr">
        <is>
          <t>Murah</t>
        </is>
      </c>
    </row>
    <row r="246">
      <c r="A246" s="6" t="n">
        <v>325</v>
      </c>
      <c r="B246" s="6" t="inlineStr">
        <is>
          <t>Warteg sarirasa merjosari 24 jam</t>
        </is>
      </c>
      <c r="C246" s="6" t="n">
        <v>16324</v>
      </c>
      <c r="D246" s="6" t="n">
        <v>-7.942525</v>
      </c>
      <c r="E246" s="6" t="n">
        <v>112.6020425</v>
      </c>
      <c r="F246" s="6" t="inlineStr">
        <is>
          <t>Murah</t>
        </is>
      </c>
    </row>
    <row r="247">
      <c r="A247" s="6" t="n">
        <v>326</v>
      </c>
      <c r="B247" s="6" t="inlineStr">
        <is>
          <t>ALMEERA WARTEG</t>
        </is>
      </c>
      <c r="C247" s="6" t="n">
        <v>16436</v>
      </c>
      <c r="D247" s="6" t="n">
        <v>-7.9198328</v>
      </c>
      <c r="E247" s="6" t="n">
        <v>112.5976214</v>
      </c>
      <c r="F247" s="6" t="inlineStr">
        <is>
          <t>Murah</t>
        </is>
      </c>
    </row>
    <row r="248">
      <c r="A248" s="6" t="n">
        <v>327</v>
      </c>
      <c r="B248" s="6" t="inlineStr">
        <is>
          <t>Warteg mamoka bahari 288</t>
        </is>
      </c>
      <c r="C248" s="6" t="n">
        <v>24751</v>
      </c>
      <c r="D248" s="6" t="n">
        <v>-7.9378561</v>
      </c>
      <c r="E248" s="6" t="n">
        <v>112.6441945</v>
      </c>
      <c r="F248" s="6" t="inlineStr">
        <is>
          <t>Murah</t>
        </is>
      </c>
    </row>
    <row r="249">
      <c r="A249" s="6" t="n">
        <v>328</v>
      </c>
      <c r="B249" s="6" t="inlineStr">
        <is>
          <t>WARTEG CITRA BARU BAHARI</t>
        </is>
      </c>
      <c r="C249" s="6" t="n">
        <v>22928</v>
      </c>
      <c r="D249" s="6" t="n">
        <v>-7.9247397</v>
      </c>
      <c r="E249" s="6" t="n">
        <v>112.5997255</v>
      </c>
      <c r="F249" s="6" t="inlineStr">
        <is>
          <t>Murah</t>
        </is>
      </c>
    </row>
    <row r="250">
      <c r="A250" s="6" t="n">
        <v>329</v>
      </c>
      <c r="B250" s="6" t="inlineStr">
        <is>
          <t>Warung Bu Marni Prasmanan</t>
        </is>
      </c>
      <c r="C250" s="6" t="n">
        <v>25421</v>
      </c>
      <c r="D250" s="6" t="n">
        <v>-7.9411244</v>
      </c>
      <c r="E250" s="6" t="n">
        <v>112.6233193</v>
      </c>
      <c r="F250" s="6" t="inlineStr">
        <is>
          <t>Murah</t>
        </is>
      </c>
    </row>
    <row r="251">
      <c r="A251" s="6" t="n">
        <v>330</v>
      </c>
      <c r="B251" s="6" t="inlineStr">
        <is>
          <t>Warung TEMA</t>
        </is>
      </c>
      <c r="C251" s="6" t="n">
        <v>22505</v>
      </c>
      <c r="D251" s="6" t="n">
        <v>-7.9446846</v>
      </c>
      <c r="E251" s="6" t="n">
        <v>112.6190566</v>
      </c>
      <c r="F251" s="6" t="inlineStr">
        <is>
          <t>Murah</t>
        </is>
      </c>
    </row>
    <row r="252">
      <c r="A252" s="6" t="n">
        <v>331</v>
      </c>
      <c r="B252" s="6" t="inlineStr">
        <is>
          <t>WARTEG BINTANG RASA</t>
        </is>
      </c>
      <c r="C252" s="6" t="n">
        <v>23859</v>
      </c>
      <c r="D252" s="6" t="n">
        <v>-7.929722</v>
      </c>
      <c r="E252" s="6" t="n">
        <v>112.6340813</v>
      </c>
      <c r="F252" s="6" t="inlineStr">
        <is>
          <t>Murah</t>
        </is>
      </c>
    </row>
    <row r="253">
      <c r="A253" s="6" t="n">
        <v>332</v>
      </c>
      <c r="B253" s="6" t="inlineStr">
        <is>
          <t>Warteg Nasional Bahari 58</t>
        </is>
      </c>
      <c r="C253" s="6" t="n">
        <v>20315</v>
      </c>
      <c r="D253" s="6" t="n">
        <v>-7.9680694</v>
      </c>
      <c r="E253" s="6" t="n">
        <v>112.6652453</v>
      </c>
      <c r="F253" s="6" t="inlineStr">
        <is>
          <t>Murah</t>
        </is>
      </c>
    </row>
    <row r="254">
      <c r="A254" s="6" t="n">
        <v>333</v>
      </c>
      <c r="B254" s="6" t="inlineStr">
        <is>
          <t>Warteg Mamoka 245 Dinoyo Malang</t>
        </is>
      </c>
      <c r="C254" s="6" t="n">
        <v>26662</v>
      </c>
      <c r="D254" s="6" t="n">
        <v>-7.9450406</v>
      </c>
      <c r="E254" s="6" t="n">
        <v>112.6074873</v>
      </c>
      <c r="F254" s="6" t="inlineStr">
        <is>
          <t>Murah</t>
        </is>
      </c>
    </row>
    <row r="255">
      <c r="A255" s="6" t="n">
        <v>334</v>
      </c>
      <c r="B255" s="6" t="inlineStr">
        <is>
          <t>WARTEG MAMOKA BAHARI</t>
        </is>
      </c>
      <c r="C255" s="6" t="n">
        <v>21930</v>
      </c>
      <c r="D255" s="6" t="n">
        <v>-7.955887</v>
      </c>
      <c r="E255" s="6" t="n">
        <v>112.6392404</v>
      </c>
      <c r="F255" s="6" t="inlineStr">
        <is>
          <t>Murah</t>
        </is>
      </c>
    </row>
    <row r="256">
      <c r="A256" s="6" t="n">
        <v>335</v>
      </c>
      <c r="B256" s="6" t="inlineStr">
        <is>
          <t>Warteg Nasional Bahari 57</t>
        </is>
      </c>
      <c r="C256" s="6" t="n">
        <v>15940</v>
      </c>
      <c r="D256" s="6" t="n">
        <v>-7.936085</v>
      </c>
      <c r="E256" s="6" t="n">
        <v>112.6005172</v>
      </c>
      <c r="F256" s="6" t="inlineStr">
        <is>
          <t>Murah</t>
        </is>
      </c>
    </row>
    <row r="257">
      <c r="A257" s="6" t="n">
        <v>336</v>
      </c>
      <c r="B257" s="6" t="inlineStr">
        <is>
          <t>Warteg Aruna Bahari Grup</t>
        </is>
      </c>
      <c r="C257" s="6" t="n">
        <v>18548</v>
      </c>
      <c r="D257" s="6" t="n">
        <v>-7.9627317</v>
      </c>
      <c r="E257" s="6" t="n">
        <v>112.6319345</v>
      </c>
      <c r="F257" s="6" t="inlineStr">
        <is>
          <t>Murah</t>
        </is>
      </c>
    </row>
    <row r="258">
      <c r="A258" s="6" t="n">
        <v>337</v>
      </c>
      <c r="B258" s="6" t="inlineStr">
        <is>
          <t>Warung Surgawi Bahari</t>
        </is>
      </c>
      <c r="C258" s="6" t="n">
        <v>29690</v>
      </c>
      <c r="D258" s="6" t="n">
        <v>-7.9364634</v>
      </c>
      <c r="E258" s="6" t="n">
        <v>112.625388</v>
      </c>
      <c r="F258" s="6" t="inlineStr">
        <is>
          <t>Murah</t>
        </is>
      </c>
    </row>
    <row r="259">
      <c r="A259" s="6" t="n">
        <v>338</v>
      </c>
      <c r="B259" s="6" t="inlineStr">
        <is>
          <t>Warteg Orens Bahari WOB 152 Dinoyo</t>
        </is>
      </c>
      <c r="C259" s="6" t="n">
        <v>19036</v>
      </c>
      <c r="D259" s="6" t="n">
        <v>-7.9408709</v>
      </c>
      <c r="E259" s="6" t="n">
        <v>112.6086344</v>
      </c>
      <c r="F259" s="6" t="inlineStr">
        <is>
          <t>Murah</t>
        </is>
      </c>
    </row>
    <row r="260">
      <c r="A260" s="6" t="n">
        <v>339</v>
      </c>
      <c r="B260" s="6" t="inlineStr">
        <is>
          <t>WARTEG SARIRASA BAHARI</t>
        </is>
      </c>
      <c r="C260" s="6" t="n">
        <v>23970</v>
      </c>
      <c r="D260" s="6" t="n">
        <v>-7.9411174</v>
      </c>
      <c r="E260" s="6" t="n">
        <v>112.6041009</v>
      </c>
      <c r="F260" s="6" t="inlineStr">
        <is>
          <t>Murah</t>
        </is>
      </c>
    </row>
    <row r="261">
      <c r="A261" s="6" t="n">
        <v>340</v>
      </c>
      <c r="B261" s="6" t="inlineStr">
        <is>
          <t>Warung Prasmanan Ayah 24 jam</t>
        </is>
      </c>
      <c r="C261" s="6" t="n">
        <v>26000</v>
      </c>
      <c r="D261" s="6" t="n">
        <v>-7.9568637</v>
      </c>
      <c r="E261" s="6" t="n">
        <v>112.6057936</v>
      </c>
      <c r="F261" s="6" t="inlineStr">
        <is>
          <t>Murah</t>
        </is>
      </c>
    </row>
    <row r="262">
      <c r="A262" s="6" t="n">
        <v>341</v>
      </c>
      <c r="B262" s="6" t="inlineStr">
        <is>
          <t>Warteg Orens Bahari</t>
        </is>
      </c>
      <c r="C262" s="6" t="n">
        <v>21794</v>
      </c>
      <c r="D262" s="6" t="n">
        <v>-7.9644982</v>
      </c>
      <c r="E262" s="6" t="n">
        <v>112.635299</v>
      </c>
      <c r="F262" s="6" t="inlineStr">
        <is>
          <t>Murah</t>
        </is>
      </c>
    </row>
    <row r="263">
      <c r="A263" s="6" t="n">
        <v>342</v>
      </c>
      <c r="B263" s="6" t="inlineStr">
        <is>
          <t>Warteg Bahari Sentosa</t>
        </is>
      </c>
      <c r="C263" s="6" t="n">
        <v>22053</v>
      </c>
      <c r="D263" s="6" t="n">
        <v>-7.975036</v>
      </c>
      <c r="E263" s="6" t="n">
        <v>112.661503</v>
      </c>
      <c r="F263" s="6" t="inlineStr">
        <is>
          <t>Murah</t>
        </is>
      </c>
    </row>
    <row r="264">
      <c r="A264" s="6" t="n">
        <v>343</v>
      </c>
      <c r="B264" s="6" t="inlineStr">
        <is>
          <t>Warteg Nasional Bahari 81 Mayjend Sungkono</t>
        </is>
      </c>
      <c r="C264" s="6" t="n">
        <v>21133</v>
      </c>
      <c r="D264" s="6" t="n">
        <v>-7.9938871</v>
      </c>
      <c r="E264" s="6" t="n">
        <v>112.6472929</v>
      </c>
      <c r="F264" s="6" t="inlineStr">
        <is>
          <t>Murah</t>
        </is>
      </c>
    </row>
    <row r="265">
      <c r="A265" s="6" t="n">
        <v>344</v>
      </c>
      <c r="B265" s="6" t="inlineStr">
        <is>
          <t>Warteg Nasional Bahari (Satsui Tubun)</t>
        </is>
      </c>
      <c r="C265" s="6" t="n">
        <v>18537</v>
      </c>
      <c r="D265" s="6" t="n">
        <v>-8.0204191</v>
      </c>
      <c r="E265" s="6" t="n">
        <v>112.6200087</v>
      </c>
      <c r="F265" s="6" t="inlineStr">
        <is>
          <t>Murah</t>
        </is>
      </c>
    </row>
    <row r="266">
      <c r="A266" s="6" t="n">
        <v>345</v>
      </c>
      <c r="B266" s="6" t="inlineStr">
        <is>
          <t>Warteg Nasional Bahari 101</t>
        </is>
      </c>
      <c r="C266" s="6" t="n">
        <v>15386</v>
      </c>
      <c r="D266" s="6" t="n">
        <v>-7.9548052</v>
      </c>
      <c r="E266" s="6" t="n">
        <v>112.6205029</v>
      </c>
      <c r="F266" s="6" t="inlineStr">
        <is>
          <t>Murah</t>
        </is>
      </c>
    </row>
    <row r="267">
      <c r="A267" s="6" t="n">
        <v>346</v>
      </c>
      <c r="B267" s="6" t="inlineStr">
        <is>
          <t>WARTEG NASIONAL</t>
        </is>
      </c>
      <c r="C267" s="6" t="n">
        <v>17306</v>
      </c>
      <c r="D267" s="6" t="n">
        <v>-7.9005653</v>
      </c>
      <c r="E267" s="6" t="n">
        <v>112.6035687</v>
      </c>
      <c r="F267" s="6" t="inlineStr">
        <is>
          <t>Murah</t>
        </is>
      </c>
    </row>
    <row r="268">
      <c r="A268" s="6" t="n">
        <v>347</v>
      </c>
      <c r="B268" s="6" t="inlineStr">
        <is>
          <t>WARTEG BOROBUDUR</t>
        </is>
      </c>
      <c r="C268" s="6" t="n">
        <v>12738</v>
      </c>
      <c r="D268" s="6" t="n">
        <v>-7.940488</v>
      </c>
      <c r="E268" s="6" t="n">
        <v>112.6386627</v>
      </c>
      <c r="F268" s="6" t="inlineStr">
        <is>
          <t>Murah</t>
        </is>
      </c>
    </row>
    <row r="269">
      <c r="A269" s="6" t="n">
        <v>348</v>
      </c>
      <c r="B269" s="6" t="inlineStr">
        <is>
          <t>Warteg Mamoka Bahari</t>
        </is>
      </c>
      <c r="C269" s="6" t="n">
        <v>22552</v>
      </c>
      <c r="D269" s="6" t="n">
        <v>-7.9662866</v>
      </c>
      <c r="E269" s="6" t="n">
        <v>112.6134706</v>
      </c>
      <c r="F269" s="6" t="inlineStr">
        <is>
          <t>Murah</t>
        </is>
      </c>
    </row>
    <row r="270">
      <c r="A270" s="6" t="n">
        <v>349</v>
      </c>
      <c r="B270" s="6" t="inlineStr">
        <is>
          <t>Warung Nasi Matos Bu Kesy</t>
        </is>
      </c>
      <c r="C270" s="6" t="n">
        <v>25242</v>
      </c>
      <c r="D270" s="6" t="n">
        <v>-7.9481502</v>
      </c>
      <c r="E270" s="6" t="n">
        <v>112.6088763</v>
      </c>
      <c r="F270" s="6" t="inlineStr">
        <is>
          <t>Murah</t>
        </is>
      </c>
    </row>
    <row r="271">
      <c r="A271" s="6" t="n">
        <v>350</v>
      </c>
      <c r="B271" s="6" t="inlineStr">
        <is>
          <t>Warung Pudji Mulyo</t>
        </is>
      </c>
      <c r="C271" s="6" t="n">
        <v>29566</v>
      </c>
      <c r="D271" s="6" t="n">
        <v>-7.9463499</v>
      </c>
      <c r="E271" s="6" t="n">
        <v>112.6109167</v>
      </c>
      <c r="F271" s="6" t="inlineStr">
        <is>
          <t>Murah</t>
        </is>
      </c>
    </row>
    <row r="272">
      <c r="A272" s="6" t="n">
        <v>351</v>
      </c>
      <c r="B272" s="6" t="inlineStr">
        <is>
          <t>Warteg paradise bahari</t>
        </is>
      </c>
      <c r="C272" s="6" t="n">
        <v>25103</v>
      </c>
      <c r="D272" s="6" t="n">
        <v>-7.9839838</v>
      </c>
      <c r="E272" s="6" t="n">
        <v>112.6599488</v>
      </c>
      <c r="F272" s="6" t="inlineStr">
        <is>
          <t>Murah</t>
        </is>
      </c>
    </row>
    <row r="273">
      <c r="A273" s="6" t="n">
        <v>352</v>
      </c>
      <c r="B273" s="6" t="inlineStr">
        <is>
          <t>Warteg citra baru</t>
        </is>
      </c>
      <c r="C273" s="6" t="n">
        <v>19315</v>
      </c>
      <c r="D273" s="6" t="n">
        <v>-7.9232037</v>
      </c>
      <c r="E273" s="6" t="n">
        <v>112.5814693</v>
      </c>
      <c r="F273" s="6" t="inlineStr">
        <is>
          <t>Murah</t>
        </is>
      </c>
    </row>
    <row r="274">
      <c r="A274" s="6" t="n">
        <v>353</v>
      </c>
      <c r="B274" s="6" t="inlineStr">
        <is>
          <t>Warung Anda</t>
        </is>
      </c>
      <c r="C274" s="6" t="n">
        <v>13529</v>
      </c>
      <c r="D274" s="6" t="n">
        <v>-7.952645</v>
      </c>
      <c r="E274" s="6" t="n">
        <v>112.618785</v>
      </c>
      <c r="F274" s="6" t="inlineStr">
        <is>
          <t>Murah</t>
        </is>
      </c>
    </row>
    <row r="275">
      <c r="A275" s="6" t="n">
        <v>354</v>
      </c>
      <c r="B275" s="6" t="inlineStr">
        <is>
          <t>Warteg Jie</t>
        </is>
      </c>
      <c r="C275" s="6" t="n">
        <v>16349</v>
      </c>
      <c r="D275" s="6" t="n">
        <v>-7.9464129</v>
      </c>
      <c r="E275" s="6" t="n">
        <v>112.6220926</v>
      </c>
      <c r="F275" s="6" t="inlineStr">
        <is>
          <t>Murah</t>
        </is>
      </c>
    </row>
    <row r="276">
      <c r="A276" s="6" t="n">
        <v>355</v>
      </c>
      <c r="B276" s="6" t="inlineStr">
        <is>
          <t>Warteg Dimas</t>
        </is>
      </c>
      <c r="C276" s="6" t="n">
        <v>27915</v>
      </c>
      <c r="D276" s="6" t="n">
        <v>-7.9903396</v>
      </c>
      <c r="E276" s="6" t="n">
        <v>112.6180907</v>
      </c>
      <c r="F276" s="6" t="inlineStr">
        <is>
          <t>Murah</t>
        </is>
      </c>
    </row>
    <row r="277">
      <c r="A277" s="6" t="n">
        <v>356</v>
      </c>
      <c r="B277" s="6" t="inlineStr">
        <is>
          <t>WARTEG MAMOKA BAHARI 273</t>
        </is>
      </c>
      <c r="C277" s="6" t="n">
        <v>24648</v>
      </c>
      <c r="D277" s="6" t="n">
        <v>-7.9875062</v>
      </c>
      <c r="E277" s="6" t="n">
        <v>112.6227263</v>
      </c>
      <c r="F277" s="6" t="inlineStr">
        <is>
          <t>Murah</t>
        </is>
      </c>
    </row>
    <row r="278">
      <c r="A278" s="6" t="n">
        <v>357</v>
      </c>
      <c r="B278" s="6" t="inlineStr">
        <is>
          <t>Rumah Makan Prasmanan Bu Marni</t>
        </is>
      </c>
      <c r="C278" s="6" t="n">
        <v>20335</v>
      </c>
      <c r="D278" s="6" t="n">
        <v>-7.9631957</v>
      </c>
      <c r="E278" s="6" t="n">
        <v>112.613541</v>
      </c>
      <c r="F278" s="6" t="inlineStr">
        <is>
          <t>Murah</t>
        </is>
      </c>
    </row>
    <row r="279">
      <c r="A279" s="6" t="n">
        <v>358</v>
      </c>
      <c r="B279" s="6" t="inlineStr">
        <is>
          <t>Warung Wareg</t>
        </is>
      </c>
      <c r="C279" s="6" t="n">
        <v>28012</v>
      </c>
      <c r="D279" s="6" t="n">
        <v>-7.9110753</v>
      </c>
      <c r="E279" s="6" t="n">
        <v>112.6222169</v>
      </c>
      <c r="F279" s="6" t="inlineStr">
        <is>
          <t>Murah</t>
        </is>
      </c>
    </row>
    <row r="280">
      <c r="A280" s="6" t="n">
        <v>359</v>
      </c>
      <c r="B280" s="6" t="inlineStr">
        <is>
          <t>Warung kuning</t>
        </is>
      </c>
      <c r="C280" s="6" t="n">
        <v>18138</v>
      </c>
      <c r="D280" s="6" t="n">
        <v>-7.9706122</v>
      </c>
      <c r="E280" s="6" t="n">
        <v>112.6148383</v>
      </c>
      <c r="F280" s="6" t="inlineStr">
        <is>
          <t>Murah</t>
        </is>
      </c>
    </row>
    <row r="281">
      <c r="A281" s="6" t="n">
        <v>360</v>
      </c>
      <c r="B281" s="6" t="inlineStr">
        <is>
          <t>Warteg Citra Baru Bahari Kerto</t>
        </is>
      </c>
      <c r="C281" s="6" t="n">
        <v>18055</v>
      </c>
      <c r="D281" s="6" t="n">
        <v>-7.9466079</v>
      </c>
      <c r="E281" s="6" t="n">
        <v>112.6107099</v>
      </c>
      <c r="F281" s="6" t="inlineStr">
        <is>
          <t>Murah</t>
        </is>
      </c>
    </row>
    <row r="282">
      <c r="A282" s="6" t="n">
        <v>361</v>
      </c>
      <c r="B282" s="6" t="inlineStr">
        <is>
          <t>WARTEG ORENS BAHARI</t>
        </is>
      </c>
      <c r="C282" s="6" t="n">
        <v>24986</v>
      </c>
      <c r="D282" s="6" t="n">
        <v>-7.9385065</v>
      </c>
      <c r="E282" s="6" t="n">
        <v>112.6231507</v>
      </c>
      <c r="F282" s="6" t="inlineStr">
        <is>
          <t>Murah</t>
        </is>
      </c>
    </row>
    <row r="283">
      <c r="A283" s="6" t="n">
        <v>362</v>
      </c>
      <c r="B283" s="6" t="inlineStr">
        <is>
          <t>Warung Makan 24 Jam Masakan Jawa</t>
        </is>
      </c>
      <c r="C283" s="6" t="n">
        <v>25252</v>
      </c>
      <c r="D283" s="6" t="n">
        <v>-7.9628778</v>
      </c>
      <c r="E283" s="6" t="n">
        <v>112.6135211</v>
      </c>
      <c r="F283" s="6" t="inlineStr">
        <is>
          <t>Murah</t>
        </is>
      </c>
    </row>
    <row r="284">
      <c r="A284" s="6" t="n">
        <v>363</v>
      </c>
      <c r="B284" s="6" t="inlineStr">
        <is>
          <t>Warteg Putra Bahari 249</t>
        </is>
      </c>
      <c r="C284" s="6" t="n">
        <v>22609</v>
      </c>
      <c r="D284" s="6" t="n">
        <v>-7.9757383</v>
      </c>
      <c r="E284" s="6" t="n">
        <v>112.6618676</v>
      </c>
      <c r="F284" s="6" t="inlineStr">
        <is>
          <t>Murah</t>
        </is>
      </c>
    </row>
    <row r="285">
      <c r="A285" s="6" t="n">
        <v>364</v>
      </c>
      <c r="B285" s="6" t="inlineStr">
        <is>
          <t>warteg orens bahari</t>
        </is>
      </c>
      <c r="C285" s="6" t="n">
        <v>24287</v>
      </c>
      <c r="D285" s="6" t="n">
        <v>-7.9519465</v>
      </c>
      <c r="E285" s="6" t="n">
        <v>112.6396451</v>
      </c>
      <c r="F285" s="6" t="inlineStr">
        <is>
          <t>Murah</t>
        </is>
      </c>
    </row>
    <row r="286">
      <c r="A286" s="6" t="n">
        <v>365</v>
      </c>
      <c r="B286" s="6" t="inlineStr">
        <is>
          <t>Warteg Yonada bahari</t>
        </is>
      </c>
      <c r="C286" s="6" t="n">
        <v>18658</v>
      </c>
      <c r="D286" s="6" t="n">
        <v>-7.9769998</v>
      </c>
      <c r="E286" s="6" t="n">
        <v>112.6643131</v>
      </c>
      <c r="F286" s="6" t="inlineStr">
        <is>
          <t>Murah</t>
        </is>
      </c>
    </row>
    <row r="287">
      <c r="A287" s="6" t="n">
        <v>366</v>
      </c>
      <c r="B287" s="6" t="inlineStr">
        <is>
          <t>WARTEG JAYA BAHARU</t>
        </is>
      </c>
      <c r="C287" s="6" t="n">
        <v>16740</v>
      </c>
      <c r="D287" s="6" t="n">
        <v>-7.9371728</v>
      </c>
      <c r="E287" s="6" t="n">
        <v>112.6199991</v>
      </c>
      <c r="F287" s="6" t="inlineStr">
        <is>
          <t>Murah</t>
        </is>
      </c>
    </row>
    <row r="288">
      <c r="A288" s="6" t="n">
        <v>367</v>
      </c>
      <c r="B288" s="6" t="inlineStr">
        <is>
          <t>WARTEG NASIONAL 24 JAM</t>
        </is>
      </c>
      <c r="C288" s="6" t="n">
        <v>19796</v>
      </c>
      <c r="D288" s="6" t="n">
        <v>-7.9845741</v>
      </c>
      <c r="E288" s="6" t="n">
        <v>112.6145004</v>
      </c>
      <c r="F288" s="6" t="inlineStr">
        <is>
          <t>Murah</t>
        </is>
      </c>
    </row>
    <row r="289">
      <c r="A289" s="6" t="n">
        <v>368</v>
      </c>
      <c r="B289" s="6" t="inlineStr">
        <is>
          <t>Warung Pojok</t>
        </is>
      </c>
      <c r="C289" s="6" t="n">
        <v>17791</v>
      </c>
      <c r="D289" s="6" t="n">
        <v>-7.9936244</v>
      </c>
      <c r="E289" s="6" t="n">
        <v>112.6243291</v>
      </c>
      <c r="F289" s="6" t="inlineStr">
        <is>
          <t>Murah</t>
        </is>
      </c>
    </row>
    <row r="290">
      <c r="A290" s="6" t="n">
        <v>369</v>
      </c>
      <c r="B290" s="6" t="inlineStr">
        <is>
          <t>Warteg putra bahari</t>
        </is>
      </c>
      <c r="C290" s="6" t="n">
        <v>26175</v>
      </c>
      <c r="D290" s="6" t="n">
        <v>-7.9217929</v>
      </c>
      <c r="E290" s="6" t="n">
        <v>112.60075</v>
      </c>
      <c r="F290" s="6" t="inlineStr">
        <is>
          <t>Murah</t>
        </is>
      </c>
    </row>
    <row r="291">
      <c r="A291" s="6" t="n">
        <v>370</v>
      </c>
      <c r="B291" s="6" t="inlineStr">
        <is>
          <t>Warteg Fadli Bahari</t>
        </is>
      </c>
      <c r="C291" s="6" t="n">
        <v>28951</v>
      </c>
      <c r="D291" s="6" t="n">
        <v>-7.9467722</v>
      </c>
      <c r="E291" s="6" t="n">
        <v>112.6256226</v>
      </c>
      <c r="F291" s="6" t="inlineStr">
        <is>
          <t>Murah</t>
        </is>
      </c>
    </row>
    <row r="292">
      <c r="A292" s="6" t="n">
        <v>371</v>
      </c>
      <c r="B292" s="6" t="inlineStr">
        <is>
          <t>WARTEG NASIONAL BAHARI 96</t>
        </is>
      </c>
      <c r="C292" s="6" t="n">
        <v>14553</v>
      </c>
      <c r="D292" s="6" t="n">
        <v>-7.9832419</v>
      </c>
      <c r="E292" s="6" t="n">
        <v>112.6607181</v>
      </c>
      <c r="F292" s="6" t="inlineStr">
        <is>
          <t>Murah</t>
        </is>
      </c>
    </row>
    <row r="293">
      <c r="A293" s="6" t="n">
        <v>372</v>
      </c>
      <c r="B293" s="6" t="inlineStr">
        <is>
          <t>Warteg sari bahari</t>
        </is>
      </c>
      <c r="C293" s="6" t="n">
        <v>24549</v>
      </c>
      <c r="D293" s="6" t="n">
        <v>-7.9524268</v>
      </c>
      <c r="E293" s="6" t="n">
        <v>112.6810612</v>
      </c>
      <c r="F293" s="6" t="inlineStr">
        <is>
          <t>Murah</t>
        </is>
      </c>
    </row>
    <row r="294">
      <c r="A294" s="6" t="n">
        <v>373</v>
      </c>
      <c r="B294" s="6" t="inlineStr">
        <is>
          <t>Warung Prasmanan Andong</t>
        </is>
      </c>
      <c r="C294" s="6" t="n">
        <v>20963</v>
      </c>
      <c r="D294" s="6" t="n">
        <v>-7.949006</v>
      </c>
      <c r="E294" s="6" t="n">
        <v>112.618743</v>
      </c>
      <c r="F294" s="6" t="inlineStr">
        <is>
          <t>Murah</t>
        </is>
      </c>
    </row>
    <row r="295">
      <c r="A295" s="6" t="n">
        <v>374</v>
      </c>
      <c r="B295" s="6" t="inlineStr">
        <is>
          <t>Warung Biru Cak Matos</t>
        </is>
      </c>
      <c r="C295" s="6" t="n">
        <v>23286</v>
      </c>
      <c r="D295" s="6" t="n">
        <v>-7.9578532</v>
      </c>
      <c r="E295" s="6" t="n">
        <v>112.6191826</v>
      </c>
      <c r="F295" s="6" t="inlineStr">
        <is>
          <t>Murah</t>
        </is>
      </c>
    </row>
    <row r="296">
      <c r="A296" s="6" t="n">
        <v>375</v>
      </c>
      <c r="B296" s="6" t="inlineStr">
        <is>
          <t>Warung Warteg Barokah</t>
        </is>
      </c>
      <c r="C296" s="6" t="n">
        <v>12643</v>
      </c>
      <c r="D296" s="6" t="n">
        <v>-7.9358248</v>
      </c>
      <c r="E296" s="6" t="n">
        <v>112.6157345</v>
      </c>
      <c r="F296" s="6" t="inlineStr">
        <is>
          <t>Murah</t>
        </is>
      </c>
    </row>
    <row r="297">
      <c r="A297" s="6" t="n">
        <v>376</v>
      </c>
      <c r="B297" s="6" t="inlineStr">
        <is>
          <t>Warteg Paradise Bahari 046</t>
        </is>
      </c>
      <c r="C297" s="6" t="n">
        <v>27557</v>
      </c>
      <c r="D297" s="6" t="n">
        <v>-7.9739561</v>
      </c>
      <c r="E297" s="6" t="n">
        <v>112.6624323</v>
      </c>
      <c r="F297" s="6" t="inlineStr">
        <is>
          <t>Murah</t>
        </is>
      </c>
    </row>
    <row r="298">
      <c r="A298" s="6" t="n">
        <v>377</v>
      </c>
      <c r="B298" s="6" t="inlineStr">
        <is>
          <t>WARTEG OI BAHARI</t>
        </is>
      </c>
      <c r="C298" s="6" t="n">
        <v>20385</v>
      </c>
      <c r="D298" s="6" t="n">
        <v>-7.9432355</v>
      </c>
      <c r="E298" s="6" t="n">
        <v>112.6164325</v>
      </c>
      <c r="F298" s="6" t="inlineStr">
        <is>
          <t>Murah</t>
        </is>
      </c>
    </row>
    <row r="299">
      <c r="A299" s="6" t="n">
        <v>378</v>
      </c>
      <c r="B299" s="6" t="inlineStr">
        <is>
          <t>Warung Sumber Rejeki</t>
        </is>
      </c>
      <c r="C299" s="6" t="n">
        <v>20356</v>
      </c>
      <c r="D299" s="6" t="n">
        <v>-7.9596657</v>
      </c>
      <c r="E299" s="6" t="n">
        <v>112.6116941</v>
      </c>
      <c r="F299" s="6" t="inlineStr">
        <is>
          <t>Murah</t>
        </is>
      </c>
    </row>
    <row r="300">
      <c r="A300" s="6" t="n">
        <v>379</v>
      </c>
      <c r="B300" s="6" t="inlineStr">
        <is>
          <t>Warteg Kalijogo</t>
        </is>
      </c>
      <c r="C300" s="6" t="n">
        <v>25207</v>
      </c>
      <c r="D300" s="6" t="n">
        <v>-7.9526387</v>
      </c>
      <c r="E300" s="6" t="n">
        <v>112.6068649</v>
      </c>
      <c r="F300" s="6" t="inlineStr">
        <is>
          <t>Murah</t>
        </is>
      </c>
    </row>
    <row r="301">
      <c r="A301" s="6" t="n">
        <v>380</v>
      </c>
      <c r="B301" s="6" t="inlineStr">
        <is>
          <t>Warteg Bolapelangi2</t>
        </is>
      </c>
      <c r="C301" s="6" t="n">
        <v>15322</v>
      </c>
      <c r="D301" s="6" t="n">
        <v>-7.9841988</v>
      </c>
      <c r="E301" s="6" t="n">
        <v>112.6283419</v>
      </c>
      <c r="F301" s="6" t="inlineStr">
        <is>
          <t>Murah</t>
        </is>
      </c>
    </row>
    <row r="302">
      <c r="A302" s="6" t="n">
        <v>381</v>
      </c>
      <c r="B302" s="6" t="inlineStr">
        <is>
          <t>WARTEG KHARISMA BAHARI</t>
        </is>
      </c>
      <c r="C302" s="6" t="n">
        <v>29382</v>
      </c>
      <c r="D302" s="6" t="n">
        <v>-7.957037</v>
      </c>
      <c r="E302" s="6" t="n">
        <v>112.6129901</v>
      </c>
      <c r="F302" s="6" t="inlineStr">
        <is>
          <t>Murah</t>
        </is>
      </c>
    </row>
    <row r="303">
      <c r="A303" s="6" t="n">
        <v>382</v>
      </c>
      <c r="B303" s="6" t="inlineStr">
        <is>
          <t>WARTEG AR</t>
        </is>
      </c>
      <c r="C303" s="6" t="n">
        <v>12809</v>
      </c>
      <c r="D303" s="6" t="n">
        <v>-7.9392481</v>
      </c>
      <c r="E303" s="6" t="n">
        <v>112.6242372</v>
      </c>
      <c r="F303" s="6" t="inlineStr">
        <is>
          <t>Murah</t>
        </is>
      </c>
    </row>
    <row r="304">
      <c r="A304" s="6" t="n">
        <v>383</v>
      </c>
      <c r="B304" s="6" t="inlineStr">
        <is>
          <t>WARTEG OMAHAN</t>
        </is>
      </c>
      <c r="C304" s="6" t="n">
        <v>18011</v>
      </c>
      <c r="D304" s="6" t="n">
        <v>-7.9635876</v>
      </c>
      <c r="E304" s="6" t="n">
        <v>112.62303</v>
      </c>
      <c r="F304" s="6" t="inlineStr">
        <is>
          <t>Murah</t>
        </is>
      </c>
    </row>
    <row r="305">
      <c r="A305" s="6" t="n">
        <v>384</v>
      </c>
      <c r="B305" s="6" t="inlineStr">
        <is>
          <t>WARTEG BU MARNI 2</t>
        </is>
      </c>
      <c r="C305" s="6" t="n">
        <v>28908</v>
      </c>
      <c r="D305" s="6" t="n">
        <v>-7.9354596</v>
      </c>
      <c r="E305" s="6" t="n">
        <v>112.6125542</v>
      </c>
      <c r="F305" s="6" t="inlineStr">
        <is>
          <t>Murah</t>
        </is>
      </c>
    </row>
    <row r="306">
      <c r="A306" s="6" t="n">
        <v>385</v>
      </c>
      <c r="B306" s="6" t="inlineStr">
        <is>
          <t>Warung Mak Toen</t>
        </is>
      </c>
      <c r="C306" s="6" t="n">
        <v>20140</v>
      </c>
      <c r="D306" s="6" t="n">
        <v>-7.9728742</v>
      </c>
      <c r="E306" s="6" t="n">
        <v>112.6333416</v>
      </c>
      <c r="F306" s="6" t="inlineStr">
        <is>
          <t>Murah</t>
        </is>
      </c>
    </row>
    <row r="307">
      <c r="A307" s="6" t="n">
        <v>386</v>
      </c>
      <c r="B307" s="6" t="inlineStr">
        <is>
          <t>Warung Mak Par</t>
        </is>
      </c>
      <c r="C307" s="6" t="n">
        <v>23163</v>
      </c>
      <c r="D307" s="6" t="n">
        <v>-7.9423788</v>
      </c>
      <c r="E307" s="6" t="n">
        <v>112.5971231</v>
      </c>
      <c r="F307" s="6" t="inlineStr">
        <is>
          <t>Murah</t>
        </is>
      </c>
    </row>
    <row r="308">
      <c r="A308" s="6" t="n">
        <v>387</v>
      </c>
      <c r="B308" s="6" t="inlineStr">
        <is>
          <t>Warung Rizky</t>
        </is>
      </c>
      <c r="C308" s="6" t="n">
        <v>16793</v>
      </c>
      <c r="D308" s="6" t="n">
        <v>-7.9390632</v>
      </c>
      <c r="E308" s="6" t="n">
        <v>112.6244237</v>
      </c>
      <c r="F308" s="6" t="inlineStr">
        <is>
          <t>Murah</t>
        </is>
      </c>
    </row>
    <row r="309">
      <c r="A309" s="6" t="n">
        <v>388</v>
      </c>
      <c r="B309" s="6" t="inlineStr">
        <is>
          <t>Warung Makan 24 Jam Rawon Cak Wan</t>
        </is>
      </c>
      <c r="C309" s="6" t="n">
        <v>16818</v>
      </c>
      <c r="D309" s="6" t="n">
        <v>-7.9396841</v>
      </c>
      <c r="E309" s="6" t="n">
        <v>112.6495234</v>
      </c>
      <c r="F309" s="6" t="inlineStr">
        <is>
          <t>Murah</t>
        </is>
      </c>
    </row>
    <row r="310">
      <c r="A310" s="6" t="n">
        <v>389</v>
      </c>
      <c r="B310" s="6" t="inlineStr">
        <is>
          <t>Warung Pagi</t>
        </is>
      </c>
      <c r="C310" s="6" t="n">
        <v>29748</v>
      </c>
      <c r="D310" s="6" t="n">
        <v>-7.9439807</v>
      </c>
      <c r="E310" s="6" t="n">
        <v>112.6102536</v>
      </c>
      <c r="F310" s="6" t="inlineStr">
        <is>
          <t>Murah</t>
        </is>
      </c>
    </row>
    <row r="311">
      <c r="A311" s="6" t="n">
        <v>390</v>
      </c>
      <c r="B311" s="6" t="inlineStr">
        <is>
          <t>Warteg Yonada Bahari Jalan Bondowoso</t>
        </is>
      </c>
      <c r="C311" s="6" t="n">
        <v>12799</v>
      </c>
      <c r="D311" s="6" t="n">
        <v>-7.9673881</v>
      </c>
      <c r="E311" s="6" t="n">
        <v>112.6152742</v>
      </c>
      <c r="F311" s="6" t="inlineStr">
        <is>
          <t>Murah</t>
        </is>
      </c>
    </row>
    <row r="312">
      <c r="A312" s="6" t="n">
        <v>391</v>
      </c>
      <c r="B312" s="6" t="inlineStr">
        <is>
          <t>Warung Tegal Barokah</t>
        </is>
      </c>
      <c r="C312" s="6" t="n">
        <v>25926</v>
      </c>
      <c r="D312" s="6" t="n">
        <v>-7.927016</v>
      </c>
      <c r="E312" s="6" t="n">
        <v>112.5946095</v>
      </c>
      <c r="F312" s="6" t="inlineStr">
        <is>
          <t>Murah</t>
        </is>
      </c>
    </row>
    <row r="313">
      <c r="A313" s="6" t="n">
        <v>392</v>
      </c>
      <c r="B313" s="6" t="inlineStr">
        <is>
          <t>WARUNG BU' WARNI - KLOJEN</t>
        </is>
      </c>
      <c r="C313" s="6" t="n">
        <v>13915</v>
      </c>
      <c r="D313" s="6" t="n">
        <v>-7.9748483</v>
      </c>
      <c r="E313" s="6" t="n">
        <v>112.6368235</v>
      </c>
      <c r="F313" s="6" t="inlineStr">
        <is>
          <t>Murah</t>
        </is>
      </c>
    </row>
    <row r="314">
      <c r="A314" s="6" t="n">
        <v>393</v>
      </c>
      <c r="B314" s="6" t="inlineStr">
        <is>
          <t>Warteg sarirasa cab tlogomas</t>
        </is>
      </c>
      <c r="C314" s="6" t="n">
        <v>20283</v>
      </c>
      <c r="D314" s="6" t="n">
        <v>-7.9331802</v>
      </c>
      <c r="E314" s="6" t="n">
        <v>112.6037031</v>
      </c>
      <c r="F314" s="6" t="inlineStr">
        <is>
          <t>Murah</t>
        </is>
      </c>
    </row>
    <row r="315">
      <c r="A315" s="6" t="n">
        <v>394</v>
      </c>
      <c r="B315" s="6" t="inlineStr">
        <is>
          <t>Omah Wareg</t>
        </is>
      </c>
      <c r="C315" s="6" t="n">
        <v>18493</v>
      </c>
      <c r="D315" s="6" t="n">
        <v>-7.8958904</v>
      </c>
      <c r="E315" s="6" t="n">
        <v>112.5982948</v>
      </c>
      <c r="F315" s="6" t="inlineStr">
        <is>
          <t>Murah</t>
        </is>
      </c>
    </row>
    <row r="316">
      <c r="A316" s="6" t="n">
        <v>395</v>
      </c>
      <c r="B316" s="6" t="inlineStr">
        <is>
          <t>warteg citra baru bahari</t>
        </is>
      </c>
      <c r="C316" s="6" t="n">
        <v>23031</v>
      </c>
      <c r="D316" s="6" t="n">
        <v>-7.9453365</v>
      </c>
      <c r="E316" s="6" t="n">
        <v>112.6174489</v>
      </c>
      <c r="F316" s="6" t="inlineStr">
        <is>
          <t>Murah</t>
        </is>
      </c>
    </row>
    <row r="317">
      <c r="A317" s="6" t="n">
        <v>396</v>
      </c>
      <c r="B317" s="6" t="inlineStr">
        <is>
          <t>WARTEG YONADA BAHARI</t>
        </is>
      </c>
      <c r="C317" s="6" t="n">
        <v>26717</v>
      </c>
      <c r="D317" s="6" t="n">
        <v>-7.940252</v>
      </c>
      <c r="E317" s="6" t="n">
        <v>112.6496395</v>
      </c>
      <c r="F317" s="6" t="inlineStr">
        <is>
          <t>Murah</t>
        </is>
      </c>
    </row>
    <row r="318">
      <c r="A318" s="6" t="n">
        <v>397</v>
      </c>
      <c r="B318" s="6" t="inlineStr">
        <is>
          <t>Warung Makan Ma'Nia</t>
        </is>
      </c>
      <c r="C318" s="6" t="n">
        <v>17920</v>
      </c>
      <c r="D318" s="6" t="n">
        <v>-7.9595707</v>
      </c>
      <c r="E318" s="6" t="n">
        <v>112.6142223</v>
      </c>
      <c r="F318" s="6" t="inlineStr">
        <is>
          <t>Murah</t>
        </is>
      </c>
    </row>
    <row r="319">
      <c r="A319" s="6" t="n">
        <v>398</v>
      </c>
      <c r="B319" s="6" t="inlineStr">
        <is>
          <t>Warung Hajah Sarah</t>
        </is>
      </c>
      <c r="C319" s="6" t="n">
        <v>20306</v>
      </c>
      <c r="D319" s="6" t="n">
        <v>-7.9542426</v>
      </c>
      <c r="E319" s="6" t="n">
        <v>112.6095135</v>
      </c>
      <c r="F319" s="6" t="inlineStr">
        <is>
          <t>Murah</t>
        </is>
      </c>
    </row>
    <row r="320">
      <c r="A320" s="6" t="n">
        <v>399</v>
      </c>
      <c r="B320" s="6" t="inlineStr">
        <is>
          <t>Warung Nasi Bu Pah</t>
        </is>
      </c>
      <c r="C320" s="6" t="n">
        <v>19277</v>
      </c>
      <c r="D320" s="6" t="n">
        <v>-7.9479565</v>
      </c>
      <c r="E320" s="6" t="n">
        <v>112.6088939</v>
      </c>
      <c r="F320" s="6" t="inlineStr">
        <is>
          <t>Murah</t>
        </is>
      </c>
    </row>
    <row r="321">
      <c r="A321" s="6" t="n">
        <v>400</v>
      </c>
      <c r="B321" s="6" t="inlineStr">
        <is>
          <t>Warteg Nakamora</t>
        </is>
      </c>
      <c r="C321" s="6" t="n">
        <v>15138</v>
      </c>
      <c r="D321" s="6" t="n">
        <v>-7.9393265</v>
      </c>
      <c r="E321" s="6" t="n">
        <v>112.6366698</v>
      </c>
      <c r="F321" s="6" t="inlineStr">
        <is>
          <t>Murah</t>
        </is>
      </c>
    </row>
    <row r="322">
      <c r="A322" s="6" t="n">
        <v>401</v>
      </c>
      <c r="B322" s="6" t="inlineStr">
        <is>
          <t>Warung AE</t>
        </is>
      </c>
      <c r="C322" s="6" t="n">
        <v>22464</v>
      </c>
      <c r="D322" s="6" t="n">
        <v>-7.9728697</v>
      </c>
      <c r="E322" s="6" t="n">
        <v>112.6669677</v>
      </c>
      <c r="F322" s="6" t="inlineStr">
        <is>
          <t>Murah</t>
        </is>
      </c>
    </row>
    <row r="323">
      <c r="A323" s="6" t="n">
        <v>402</v>
      </c>
      <c r="B323" s="6" t="inlineStr">
        <is>
          <t>WARUNG WAREG KEPANJEN MALANG</t>
        </is>
      </c>
      <c r="C323" s="6" t="n">
        <v>15706</v>
      </c>
      <c r="D323" s="6" t="n">
        <v>-8.0921368</v>
      </c>
      <c r="E323" s="6" t="n">
        <v>112.5856323</v>
      </c>
      <c r="F323" s="6" t="inlineStr">
        <is>
          <t>Murah</t>
        </is>
      </c>
    </row>
    <row r="324">
      <c r="A324" s="6" t="n">
        <v>403</v>
      </c>
      <c r="B324" s="6" t="inlineStr">
        <is>
          <t>Mini Warteg Kanjeng Mommy</t>
        </is>
      </c>
      <c r="C324" s="6" t="n">
        <v>27287</v>
      </c>
      <c r="D324" s="6" t="n">
        <v>-7.9443174</v>
      </c>
      <c r="E324" s="6" t="n">
        <v>112.6198626</v>
      </c>
      <c r="F324" s="6" t="inlineStr">
        <is>
          <t>Murah</t>
        </is>
      </c>
    </row>
    <row r="325">
      <c r="A325" s="6" t="n">
        <v>404</v>
      </c>
      <c r="B325" s="6" t="inlineStr">
        <is>
          <t>Warung Prasmanan Bu Widya</t>
        </is>
      </c>
      <c r="C325" s="6" t="n">
        <v>28509</v>
      </c>
      <c r="D325" s="6" t="n">
        <v>-7.9674079</v>
      </c>
      <c r="E325" s="6" t="n">
        <v>112.6589897</v>
      </c>
      <c r="F325" s="6" t="inlineStr">
        <is>
          <t>Murah</t>
        </is>
      </c>
    </row>
    <row r="326">
      <c r="A326" s="6" t="n">
        <v>405</v>
      </c>
      <c r="B326" s="6" t="inlineStr">
        <is>
          <t>Warteg 24</t>
        </is>
      </c>
      <c r="C326" s="6" t="n">
        <v>25236</v>
      </c>
      <c r="D326" s="6" t="n">
        <v>-7.942856</v>
      </c>
      <c r="E326" s="6" t="n">
        <v>112.6376745</v>
      </c>
      <c r="F326" s="6" t="inlineStr">
        <is>
          <t>Murah</t>
        </is>
      </c>
    </row>
    <row r="327">
      <c r="A327" s="6" t="n">
        <v>406</v>
      </c>
      <c r="B327" s="6" t="inlineStr">
        <is>
          <t>Warung Makan Bu diyah</t>
        </is>
      </c>
      <c r="C327" s="6" t="n">
        <v>14177</v>
      </c>
      <c r="D327" s="6" t="n">
        <v>-7.9766344</v>
      </c>
      <c r="E327" s="6" t="n">
        <v>112.6123799</v>
      </c>
      <c r="F327" s="6" t="inlineStr">
        <is>
          <t>Murah</t>
        </is>
      </c>
    </row>
    <row r="328">
      <c r="A328" s="6" t="n">
        <v>407</v>
      </c>
      <c r="B328" s="6" t="inlineStr">
        <is>
          <t>Warung Rezeki</t>
        </is>
      </c>
      <c r="C328" s="6" t="n">
        <v>22077</v>
      </c>
      <c r="D328" s="6" t="n">
        <v>-7.9731321</v>
      </c>
      <c r="E328" s="6" t="n">
        <v>112.6170317</v>
      </c>
      <c r="F328" s="6" t="inlineStr">
        <is>
          <t>Murah</t>
        </is>
      </c>
    </row>
    <row r="329">
      <c r="A329" s="6" t="n">
        <v>408</v>
      </c>
      <c r="B329" s="6" t="inlineStr">
        <is>
          <t>Warteg Mamoka Akordion</t>
        </is>
      </c>
      <c r="C329" s="6" t="n">
        <v>15677</v>
      </c>
      <c r="D329" s="6" t="n">
        <v>-7.9282813</v>
      </c>
      <c r="E329" s="6" t="n">
        <v>112.6149764</v>
      </c>
      <c r="F329" s="6" t="inlineStr">
        <is>
          <t>Murah</t>
        </is>
      </c>
    </row>
    <row r="330">
      <c r="A330" s="6" t="n">
        <v>409</v>
      </c>
      <c r="B330" s="6" t="inlineStr">
        <is>
          <t>Warung Sederhana</t>
        </is>
      </c>
      <c r="C330" s="6" t="n">
        <v>12768</v>
      </c>
      <c r="D330" s="6" t="n">
        <v>-7.9456656</v>
      </c>
      <c r="E330" s="6" t="n">
        <v>112.6167327</v>
      </c>
      <c r="F330" s="6" t="inlineStr">
        <is>
          <t>Murah</t>
        </is>
      </c>
    </row>
    <row r="331">
      <c r="A331" s="6" t="n">
        <v>410</v>
      </c>
      <c r="B331" s="6" t="inlineStr">
        <is>
          <t>Warteg 46</t>
        </is>
      </c>
      <c r="C331" s="6" t="n">
        <v>27939</v>
      </c>
      <c r="D331" s="6" t="n">
        <v>-7.9403194</v>
      </c>
      <c r="E331" s="6" t="n">
        <v>112.6210784</v>
      </c>
      <c r="F331" s="6" t="inlineStr">
        <is>
          <t>Murah</t>
        </is>
      </c>
    </row>
    <row r="332">
      <c r="A332" s="6" t="n">
        <v>411</v>
      </c>
      <c r="B332" s="6" t="inlineStr">
        <is>
          <t>Wisata Warung Wareg</t>
        </is>
      </c>
      <c r="C332" s="6" t="n">
        <v>14928</v>
      </c>
      <c r="D332" s="6" t="n">
        <v>-7.8628503</v>
      </c>
      <c r="E332" s="6" t="n">
        <v>112.5288779</v>
      </c>
      <c r="F332" s="6" t="inlineStr">
        <is>
          <t>Murah</t>
        </is>
      </c>
    </row>
    <row r="333">
      <c r="A333" s="6" t="n">
        <v>412</v>
      </c>
      <c r="B333" s="6" t="inlineStr">
        <is>
          <t>Catering Rumah Madinah</t>
        </is>
      </c>
      <c r="C333" s="6" t="n">
        <v>24593</v>
      </c>
      <c r="D333" s="6" t="n">
        <v>-7.948918</v>
      </c>
      <c r="E333" s="6" t="n">
        <v>112.617436</v>
      </c>
      <c r="F333" s="6" t="inlineStr">
        <is>
          <t>Murah</t>
        </is>
      </c>
    </row>
    <row r="334">
      <c r="A334" s="6" t="n">
        <v>413</v>
      </c>
      <c r="B334" s="6" t="inlineStr">
        <is>
          <t>Titik Koma Buring</t>
        </is>
      </c>
      <c r="C334" s="6" t="n">
        <v>21201</v>
      </c>
      <c r="D334" s="6" t="n">
        <v>-7.9698273</v>
      </c>
      <c r="E334" s="6" t="n">
        <v>112.624714</v>
      </c>
      <c r="F334" s="6" t="inlineStr">
        <is>
          <t>Murah</t>
        </is>
      </c>
    </row>
    <row r="335">
      <c r="A335" s="6" t="n">
        <v>419</v>
      </c>
      <c r="B335" s="6" t="inlineStr">
        <is>
          <t>Kedai Pipir Lepen</t>
        </is>
      </c>
      <c r="C335" s="6" t="n">
        <v>28152</v>
      </c>
      <c r="D335" s="6" t="n">
        <v>-7.9768631</v>
      </c>
      <c r="E335" s="6" t="n">
        <v>112.6308225</v>
      </c>
      <c r="F335" s="6" t="inlineStr">
        <is>
          <t>Murah</t>
        </is>
      </c>
    </row>
    <row r="336">
      <c r="A336" s="6" t="n">
        <v>420</v>
      </c>
      <c r="B336" s="6" t="inlineStr">
        <is>
          <t>Warung kopi Bambu</t>
        </is>
      </c>
      <c r="C336" s="6" t="n">
        <v>37712</v>
      </c>
      <c r="D336" s="6" t="n">
        <v>-7.9775096</v>
      </c>
      <c r="E336" s="6" t="n">
        <v>112.6604038</v>
      </c>
      <c r="F336" s="6" t="inlineStr">
        <is>
          <t>Murah</t>
        </is>
      </c>
    </row>
    <row r="337">
      <c r="A337" s="6" t="n">
        <v>421</v>
      </c>
      <c r="B337" s="6" t="inlineStr">
        <is>
          <t>My Kopi O! Malang</t>
        </is>
      </c>
      <c r="C337" s="6" t="n">
        <v>36372</v>
      </c>
      <c r="D337" s="6" t="n">
        <v>-7.9748034</v>
      </c>
      <c r="E337" s="6" t="n">
        <v>112.6235308</v>
      </c>
      <c r="F337" s="6" t="inlineStr">
        <is>
          <t>Murah</t>
        </is>
      </c>
    </row>
    <row r="338">
      <c r="A338" s="6" t="n">
        <v>425</v>
      </c>
      <c r="B338" s="6" t="inlineStr">
        <is>
          <t>Kedai Ramah Djiwa</t>
        </is>
      </c>
      <c r="C338" s="6" t="n">
        <v>29783</v>
      </c>
      <c r="D338" s="6" t="n">
        <v>-7.9575113</v>
      </c>
      <c r="E338" s="6" t="n">
        <v>112.634563</v>
      </c>
      <c r="F338" s="6" t="inlineStr">
        <is>
          <t>Murah</t>
        </is>
      </c>
    </row>
    <row r="339">
      <c r="A339" s="6" t="n">
        <v>426</v>
      </c>
      <c r="B339" s="6" t="inlineStr">
        <is>
          <t>Warkofi Comboran Malang</t>
        </is>
      </c>
      <c r="C339" s="6" t="n">
        <v>15568</v>
      </c>
      <c r="D339" s="6" t="n">
        <v>-7.9932658</v>
      </c>
      <c r="E339" s="6" t="n">
        <v>112.633165</v>
      </c>
      <c r="F339" s="6" t="inlineStr">
        <is>
          <t>Murah</t>
        </is>
      </c>
    </row>
    <row r="340">
      <c r="A340" s="6" t="n">
        <v>431</v>
      </c>
      <c r="B340" s="6" t="inlineStr">
        <is>
          <t>Oppa Express</t>
        </is>
      </c>
      <c r="C340" s="6" t="n">
        <v>26573</v>
      </c>
      <c r="D340" s="6" t="n">
        <v>-7.9786261</v>
      </c>
      <c r="E340" s="6" t="n">
        <v>112.6293696</v>
      </c>
      <c r="F340" s="6" t="inlineStr">
        <is>
          <t>Murah</t>
        </is>
      </c>
    </row>
    <row r="341">
      <c r="A341" s="6" t="n">
        <v>435</v>
      </c>
      <c r="B341" s="6" t="inlineStr">
        <is>
          <t>barreallo</t>
        </is>
      </c>
      <c r="C341" s="6" t="n">
        <v>14297</v>
      </c>
      <c r="D341" s="6" t="n">
        <v>-7.9618211</v>
      </c>
      <c r="E341" s="6" t="n">
        <v>112.6372647</v>
      </c>
      <c r="F341" s="6" t="inlineStr">
        <is>
          <t>Murah</t>
        </is>
      </c>
    </row>
    <row r="342">
      <c r="A342" s="6" t="n">
        <v>436</v>
      </c>
      <c r="B342" s="6" t="inlineStr">
        <is>
          <t>rata.space</t>
        </is>
      </c>
      <c r="C342" s="6" t="n">
        <v>14581</v>
      </c>
      <c r="D342" s="6" t="n">
        <v>-7.9629997</v>
      </c>
      <c r="E342" s="6" t="n">
        <v>112.6243492</v>
      </c>
      <c r="F342" s="6" t="inlineStr">
        <is>
          <t>Murah</t>
        </is>
      </c>
    </row>
    <row r="343">
      <c r="A343" s="6" t="n">
        <v>438</v>
      </c>
      <c r="B343" s="6" t="inlineStr">
        <is>
          <t>RANDAB IPOK</t>
        </is>
      </c>
      <c r="C343" s="6" t="n">
        <v>17058</v>
      </c>
      <c r="D343" s="6" t="n">
        <v>-7.9654256</v>
      </c>
      <c r="E343" s="6" t="n">
        <v>112.6134696</v>
      </c>
      <c r="F343" s="6" t="inlineStr">
        <is>
          <t>Murah</t>
        </is>
      </c>
    </row>
    <row r="344">
      <c r="A344" s="6" t="n">
        <v>441</v>
      </c>
      <c r="B344" s="6" t="inlineStr">
        <is>
          <t>Ladang Coffee</t>
        </is>
      </c>
      <c r="C344" s="6" t="n">
        <v>38681</v>
      </c>
      <c r="D344" s="6" t="n">
        <v>-7.9682658</v>
      </c>
      <c r="E344" s="6" t="n">
        <v>112.6275655</v>
      </c>
      <c r="F344" s="6" t="inlineStr">
        <is>
          <t>Murah</t>
        </is>
      </c>
    </row>
    <row r="345">
      <c r="A345" s="6" t="n">
        <v>442</v>
      </c>
      <c r="B345" s="6" t="inlineStr">
        <is>
          <t>Kedai Sebastien</t>
        </is>
      </c>
      <c r="C345" s="6" t="n">
        <v>28022</v>
      </c>
      <c r="D345" s="6" t="n">
        <v>-7.9748998</v>
      </c>
      <c r="E345" s="6" t="n">
        <v>112.6286744</v>
      </c>
      <c r="F345" s="6" t="inlineStr">
        <is>
          <t>Murah</t>
        </is>
      </c>
    </row>
    <row r="346">
      <c r="A346" s="6" t="n">
        <v>444</v>
      </c>
      <c r="B346" s="6" t="inlineStr">
        <is>
          <t>L</t>
        </is>
      </c>
      <c r="C346" s="6" t="n">
        <v>16346</v>
      </c>
      <c r="D346" s="6" t="n">
        <v>-7.954567</v>
      </c>
      <c r="E346" s="6" t="n">
        <v>112.640789</v>
      </c>
      <c r="F346" s="6" t="inlineStr">
        <is>
          <t>Murah</t>
        </is>
      </c>
    </row>
    <row r="347">
      <c r="A347" s="6" t="n">
        <v>445</v>
      </c>
      <c r="B347" s="6" t="inlineStr">
        <is>
          <t>Workshop Kopi</t>
        </is>
      </c>
      <c r="C347" s="6" t="n">
        <v>40363</v>
      </c>
      <c r="D347" s="6" t="n">
        <v>-8.051133099999999</v>
      </c>
      <c r="E347" s="6" t="n">
        <v>112.6425826</v>
      </c>
      <c r="F347" s="6" t="inlineStr">
        <is>
          <t>Murah</t>
        </is>
      </c>
    </row>
    <row r="348">
      <c r="A348" s="6" t="n">
        <v>447</v>
      </c>
      <c r="B348" s="6" t="inlineStr">
        <is>
          <t>gingsul kopi &amp; kudapan</t>
        </is>
      </c>
      <c r="C348" s="6" t="n">
        <v>43070</v>
      </c>
      <c r="D348" s="6" t="n">
        <v>-7.9644883</v>
      </c>
      <c r="E348" s="6" t="n">
        <v>112.624798</v>
      </c>
      <c r="F348" s="6" t="inlineStr">
        <is>
          <t>Murah</t>
        </is>
      </c>
    </row>
    <row r="349">
      <c r="A349" s="6" t="n">
        <v>462</v>
      </c>
      <c r="B349" s="6" t="inlineStr">
        <is>
          <t>Bohemian Cafe</t>
        </is>
      </c>
      <c r="C349" s="6" t="n">
        <v>36469</v>
      </c>
      <c r="D349" s="6" t="n">
        <v>-7.9747424</v>
      </c>
      <c r="E349" s="6" t="n">
        <v>112.6168467</v>
      </c>
      <c r="F349" s="6" t="inlineStr">
        <is>
          <t>Murah</t>
        </is>
      </c>
    </row>
    <row r="350">
      <c r="A350" s="6" t="n">
        <v>464</v>
      </c>
      <c r="B350" s="6" t="inlineStr">
        <is>
          <t>Ruca Koffie</t>
        </is>
      </c>
      <c r="C350" s="6" t="n">
        <v>20673</v>
      </c>
      <c r="D350" s="6" t="n">
        <v>-7.9710492</v>
      </c>
      <c r="E350" s="6" t="n">
        <v>112.6353339</v>
      </c>
      <c r="F350" s="6" t="inlineStr">
        <is>
          <t>Murah</t>
        </is>
      </c>
    </row>
    <row r="351">
      <c r="A351" s="6" t="n">
        <v>466</v>
      </c>
      <c r="B351" s="6" t="inlineStr">
        <is>
          <t>Sugar Room Cafe</t>
        </is>
      </c>
      <c r="C351" s="6" t="n">
        <v>40710</v>
      </c>
      <c r="D351" s="6" t="n">
        <v>-7.9687515</v>
      </c>
      <c r="E351" s="6" t="n">
        <v>112.6255314</v>
      </c>
      <c r="F351" s="6" t="inlineStr">
        <is>
          <t>Murah</t>
        </is>
      </c>
    </row>
    <row r="352">
      <c r="A352" s="6" t="n">
        <v>467</v>
      </c>
      <c r="B352" s="6" t="inlineStr">
        <is>
          <t>Dekker Koffie</t>
        </is>
      </c>
      <c r="C352" s="6" t="n">
        <v>26428</v>
      </c>
      <c r="D352" s="6" t="n">
        <v>-7.9627919</v>
      </c>
      <c r="E352" s="6" t="n">
        <v>112.6201583</v>
      </c>
      <c r="F352" s="6" t="inlineStr">
        <is>
          <t>Murah</t>
        </is>
      </c>
    </row>
    <row r="353">
      <c r="A353" s="6" t="n">
        <v>468</v>
      </c>
      <c r="B353" s="6" t="inlineStr">
        <is>
          <t>Robucca</t>
        </is>
      </c>
      <c r="C353" s="6" t="n">
        <v>25515</v>
      </c>
      <c r="D353" s="6" t="n">
        <v>-7.9794879</v>
      </c>
      <c r="E353" s="6" t="n">
        <v>112.6173849</v>
      </c>
      <c r="F353" s="6" t="inlineStr">
        <is>
          <t>Murah</t>
        </is>
      </c>
    </row>
    <row r="354">
      <c r="A354" s="6" t="n">
        <v>469</v>
      </c>
      <c r="B354" s="6" t="inlineStr">
        <is>
          <t>KAF Cafe</t>
        </is>
      </c>
      <c r="C354" s="6" t="n">
        <v>35248</v>
      </c>
      <c r="D354" s="6" t="n">
        <v>-7.9450156</v>
      </c>
      <c r="E354" s="6" t="n">
        <v>112.6115516</v>
      </c>
      <c r="F354" s="6" t="inlineStr">
        <is>
          <t>Murah</t>
        </is>
      </c>
    </row>
    <row r="355">
      <c r="A355" s="6" t="n">
        <v>473</v>
      </c>
      <c r="B355" s="6" t="inlineStr">
        <is>
          <t>All About Koffie by Kawisari</t>
        </is>
      </c>
      <c r="C355" s="6" t="n">
        <v>26819</v>
      </c>
      <c r="D355" s="6" t="n">
        <v>-7.9782753</v>
      </c>
      <c r="E355" s="6" t="n">
        <v>112.6291264</v>
      </c>
      <c r="F355" s="6" t="inlineStr">
        <is>
          <t>Murah</t>
        </is>
      </c>
    </row>
    <row r="356">
      <c r="A356" s="6" t="n">
        <v>475</v>
      </c>
      <c r="B356" s="6" t="inlineStr">
        <is>
          <t>De Historien Koffie Malang</t>
        </is>
      </c>
      <c r="C356" s="6" t="n">
        <v>28033</v>
      </c>
      <c r="D356" s="6" t="n">
        <v>-7.9336821</v>
      </c>
      <c r="E356" s="6" t="n">
        <v>112.6499203</v>
      </c>
      <c r="F356" s="6" t="inlineStr">
        <is>
          <t>Murah</t>
        </is>
      </c>
    </row>
    <row r="357">
      <c r="A357" s="6" t="n">
        <v>476</v>
      </c>
      <c r="B357" s="6" t="inlineStr">
        <is>
          <t>coffee story</t>
        </is>
      </c>
      <c r="C357" s="6" t="n">
        <v>39280</v>
      </c>
      <c r="D357" s="6" t="n">
        <v>-7.9825009</v>
      </c>
      <c r="E357" s="6" t="n">
        <v>112.6365566</v>
      </c>
      <c r="F357" s="6" t="inlineStr">
        <is>
          <t>Murah</t>
        </is>
      </c>
    </row>
    <row r="358">
      <c r="A358" s="6" t="n">
        <v>478</v>
      </c>
      <c r="B358" s="6" t="inlineStr">
        <is>
          <t>Calathea Garden</t>
        </is>
      </c>
      <c r="C358" s="6" t="n">
        <v>27488</v>
      </c>
      <c r="D358" s="6" t="n">
        <v>-7.9807485</v>
      </c>
      <c r="E358" s="6" t="n">
        <v>112.629032</v>
      </c>
      <c r="F358" s="6" t="inlineStr">
        <is>
          <t>Murah</t>
        </is>
      </c>
    </row>
    <row r="359">
      <c r="A359" s="6" t="n">
        <v>480</v>
      </c>
      <c r="B359" s="6" t="inlineStr">
        <is>
          <t>Sixteenhaus</t>
        </is>
      </c>
      <c r="C359" s="6" t="n">
        <v>22965</v>
      </c>
      <c r="D359" s="6" t="n">
        <v>-7.9758449</v>
      </c>
      <c r="E359" s="6" t="n">
        <v>112.6171499</v>
      </c>
      <c r="F359" s="6" t="inlineStr">
        <is>
          <t>Murah</t>
        </is>
      </c>
    </row>
    <row r="360">
      <c r="A360" s="6" t="n">
        <v>481</v>
      </c>
      <c r="B360" s="6" t="inlineStr">
        <is>
          <t>Muraco Headquarter</t>
        </is>
      </c>
      <c r="C360" s="6" t="n">
        <v>14493</v>
      </c>
      <c r="D360" s="6" t="n">
        <v>-7.9323925</v>
      </c>
      <c r="E360" s="6" t="n">
        <v>112.6293727</v>
      </c>
      <c r="F360" s="6" t="inlineStr">
        <is>
          <t>Murah</t>
        </is>
      </c>
    </row>
    <row r="361">
      <c r="A361" s="6" t="n">
        <v>487</v>
      </c>
      <c r="B361" s="6" t="inlineStr">
        <is>
          <t>VLDC Roastery</t>
        </is>
      </c>
      <c r="C361" s="6" t="n">
        <v>29334</v>
      </c>
      <c r="D361" s="6" t="n">
        <v>-7.9761184</v>
      </c>
      <c r="E361" s="6" t="n">
        <v>112.6164934</v>
      </c>
      <c r="F361" s="6" t="inlineStr">
        <is>
          <t>Murah</t>
        </is>
      </c>
    </row>
    <row r="362">
      <c r="A362" s="6" t="n">
        <v>489</v>
      </c>
      <c r="B362" s="6" t="inlineStr">
        <is>
          <t>LA MANOR</t>
        </is>
      </c>
      <c r="C362" s="6" t="n">
        <v>19220</v>
      </c>
      <c r="D362" s="6" t="n">
        <v>-7.9445412</v>
      </c>
      <c r="E362" s="6" t="n">
        <v>112.6405568</v>
      </c>
      <c r="F362" s="6" t="inlineStr">
        <is>
          <t>Murah</t>
        </is>
      </c>
    </row>
    <row r="363">
      <c r="A363" s="6" t="n">
        <v>493</v>
      </c>
      <c r="B363" s="6" t="inlineStr">
        <is>
          <t>LaLeite Coffee</t>
        </is>
      </c>
      <c r="C363" s="6" t="n">
        <v>37507</v>
      </c>
      <c r="D363" s="6" t="n">
        <v>-7.9410234</v>
      </c>
      <c r="E363" s="6" t="n">
        <v>112.637541</v>
      </c>
      <c r="F363" s="6" t="inlineStr">
        <is>
          <t>Murah</t>
        </is>
      </c>
    </row>
    <row r="364">
      <c r="A364" s="6" t="n">
        <v>494</v>
      </c>
      <c r="B364" s="6" t="inlineStr">
        <is>
          <t>Grain Alley</t>
        </is>
      </c>
      <c r="C364" s="6" t="n">
        <v>18697</v>
      </c>
      <c r="D364" s="6" t="n">
        <v>-7.967947</v>
      </c>
      <c r="E364" s="6" t="n">
        <v>112.6253293</v>
      </c>
      <c r="F364" s="6" t="inlineStr">
        <is>
          <t>Murah</t>
        </is>
      </c>
    </row>
    <row r="365">
      <c r="A365" s="6" t="n">
        <v>496</v>
      </c>
      <c r="B365" s="6" t="inlineStr">
        <is>
          <t>La Luna Space</t>
        </is>
      </c>
      <c r="C365" s="6" t="n">
        <v>19465</v>
      </c>
      <c r="D365" s="6" t="n">
        <v>-7.9557214</v>
      </c>
      <c r="E365" s="6" t="n">
        <v>112.6057954</v>
      </c>
      <c r="F365" s="6" t="inlineStr">
        <is>
          <t>Murah</t>
        </is>
      </c>
    </row>
    <row r="366">
      <c r="A366" s="6" t="n">
        <v>498</v>
      </c>
      <c r="B366" s="6" t="inlineStr">
        <is>
          <t>Tuin by Carik Cenik</t>
        </is>
      </c>
      <c r="C366" s="6" t="n">
        <v>14952</v>
      </c>
      <c r="D366" s="6" t="n">
        <v>-7.9555733</v>
      </c>
      <c r="E366" s="6" t="n">
        <v>112.6362767</v>
      </c>
      <c r="F366" s="6" t="inlineStr">
        <is>
          <t>Murah</t>
        </is>
      </c>
    </row>
    <row r="367">
      <c r="A367" s="6" t="n">
        <v>502</v>
      </c>
      <c r="B367" s="6" t="inlineStr">
        <is>
          <t>MORSTEIN.CO</t>
        </is>
      </c>
      <c r="C367" s="6" t="n">
        <v>25306</v>
      </c>
      <c r="D367" s="6" t="n">
        <v>-7.9636245</v>
      </c>
      <c r="E367" s="6" t="n">
        <v>112.6369157</v>
      </c>
      <c r="F367" s="6" t="inlineStr">
        <is>
          <t>Murah</t>
        </is>
      </c>
    </row>
    <row r="368">
      <c r="A368" s="6" t="n">
        <v>504</v>
      </c>
      <c r="B368" s="6" t="inlineStr">
        <is>
          <t>Retawu Deli</t>
        </is>
      </c>
      <c r="C368" s="6" t="n">
        <v>29408</v>
      </c>
      <c r="D368" s="6" t="n">
        <v>-7.9710993</v>
      </c>
      <c r="E368" s="6" t="n">
        <v>112.6208851</v>
      </c>
      <c r="F368" s="6" t="inlineStr">
        <is>
          <t>Murah</t>
        </is>
      </c>
    </row>
    <row r="369">
      <c r="A369" s="6" t="n">
        <v>31</v>
      </c>
      <c r="B369" s="6" t="inlineStr">
        <is>
          <t>Resto 52</t>
        </is>
      </c>
      <c r="C369" s="6" t="n">
        <v>117331</v>
      </c>
      <c r="D369" s="6" t="n">
        <v>-7.9839649</v>
      </c>
      <c r="E369" s="6" t="n">
        <v>112.6330882</v>
      </c>
      <c r="F369" s="6" t="inlineStr">
        <is>
          <t>Sedang</t>
        </is>
      </c>
    </row>
    <row r="370">
      <c r="A370" s="6" t="n">
        <v>47</v>
      </c>
      <c r="B370" s="6" t="inlineStr">
        <is>
          <t>Green Leaf Hall and Restaurant Malang</t>
        </is>
      </c>
      <c r="C370" s="6" t="n">
        <v>124321</v>
      </c>
      <c r="D370" s="6" t="n">
        <v>-7.967587</v>
      </c>
      <c r="E370" s="6" t="n">
        <v>112.621198</v>
      </c>
      <c r="F370" s="6" t="inlineStr">
        <is>
          <t>Sedang</t>
        </is>
      </c>
    </row>
    <row r="371">
      <c r="A371" s="6" t="n">
        <v>54</v>
      </c>
      <c r="B371" s="6" t="inlineStr">
        <is>
          <t>Resto Mie Gang Jangkrik (halal)</t>
        </is>
      </c>
      <c r="C371" s="6" t="n">
        <v>113614</v>
      </c>
      <c r="D371" s="6" t="n">
        <v>-7.9429938</v>
      </c>
      <c r="E371" s="6" t="n">
        <v>112.6204612</v>
      </c>
      <c r="F371" s="6" t="inlineStr">
        <is>
          <t>Sedang</t>
        </is>
      </c>
    </row>
    <row r="372">
      <c r="A372" s="6" t="n">
        <v>60</v>
      </c>
      <c r="B372" s="6" t="inlineStr">
        <is>
          <t>Baegopa? House Of Hungry Kandang Malang</t>
        </is>
      </c>
      <c r="C372" s="6" t="n">
        <v>62409</v>
      </c>
      <c r="D372" s="6" t="n">
        <v>-7.9409705</v>
      </c>
      <c r="E372" s="6" t="n">
        <v>112.6286686</v>
      </c>
      <c r="F372" s="6" t="inlineStr">
        <is>
          <t>Sedang</t>
        </is>
      </c>
    </row>
    <row r="373">
      <c r="A373" s="6" t="n">
        <v>137</v>
      </c>
      <c r="B373" s="6" t="inlineStr">
        <is>
          <t>Niki Kopitiam Malang</t>
        </is>
      </c>
      <c r="C373" s="6" t="n">
        <v>61735</v>
      </c>
      <c r="D373" s="6" t="n">
        <v>-7.9679686</v>
      </c>
      <c r="E373" s="6" t="n">
        <v>112.6170482</v>
      </c>
      <c r="F373" s="6" t="inlineStr">
        <is>
          <t>Sedang</t>
        </is>
      </c>
    </row>
    <row r="374">
      <c r="A374" s="6" t="n">
        <v>195</v>
      </c>
      <c r="B374" s="6" t="inlineStr">
        <is>
          <t>Elinor Coffee and Eatery</t>
        </is>
      </c>
      <c r="C374" s="6" t="n">
        <v>51614</v>
      </c>
      <c r="D374" s="6" t="n">
        <v>-7.9049375</v>
      </c>
      <c r="E374" s="6" t="n">
        <v>112.5713441</v>
      </c>
      <c r="F374" s="6" t="inlineStr">
        <is>
          <t>Sedang</t>
        </is>
      </c>
    </row>
    <row r="375">
      <c r="A375" s="6" t="n">
        <v>196</v>
      </c>
      <c r="B375" s="6" t="inlineStr">
        <is>
          <t>MAHBOEN Coffee</t>
        </is>
      </c>
      <c r="C375" s="6" t="n">
        <v>54024</v>
      </c>
      <c r="D375" s="6" t="n">
        <v>-7.9328424</v>
      </c>
      <c r="E375" s="6" t="n">
        <v>112.6518306</v>
      </c>
      <c r="F375" s="6" t="inlineStr">
        <is>
          <t>Sedang</t>
        </is>
      </c>
    </row>
    <row r="376">
      <c r="A376" s="6" t="n">
        <v>197</v>
      </c>
      <c r="B376" s="6" t="inlineStr">
        <is>
          <t>Amstirdam Coffee &amp; Roastery</t>
        </is>
      </c>
      <c r="C376" s="6" t="n">
        <v>77822</v>
      </c>
      <c r="D376" s="6" t="n">
        <v>-7.9401773</v>
      </c>
      <c r="E376" s="6" t="n">
        <v>112.6321863</v>
      </c>
      <c r="F376" s="6" t="inlineStr">
        <is>
          <t>Sedang</t>
        </is>
      </c>
    </row>
    <row r="377">
      <c r="A377" s="6" t="n">
        <v>199</v>
      </c>
      <c r="B377" s="6" t="inlineStr">
        <is>
          <t>Malbourne Coffee Co</t>
        </is>
      </c>
      <c r="C377" s="6" t="n">
        <v>57102</v>
      </c>
      <c r="D377" s="6" t="n">
        <v>-7.9498201</v>
      </c>
      <c r="E377" s="6" t="n">
        <v>112.6388059</v>
      </c>
      <c r="F377" s="6" t="inlineStr">
        <is>
          <t>Sedang</t>
        </is>
      </c>
    </row>
    <row r="378">
      <c r="A378" s="6" t="n">
        <v>201</v>
      </c>
      <c r="B378" s="6" t="inlineStr">
        <is>
          <t>Toko Kopi Kongca</t>
        </is>
      </c>
      <c r="C378" s="6" t="n">
        <v>74573</v>
      </c>
      <c r="D378" s="6" t="n">
        <v>-7.9747411</v>
      </c>
      <c r="E378" s="6" t="n">
        <v>112.6366019</v>
      </c>
      <c r="F378" s="6" t="inlineStr">
        <is>
          <t>Sedang</t>
        </is>
      </c>
    </row>
    <row r="379">
      <c r="A379" s="6" t="n">
        <v>204</v>
      </c>
      <c r="B379" s="6" t="inlineStr">
        <is>
          <t>TOKO KOPI KOOPEN</t>
        </is>
      </c>
      <c r="C379" s="6" t="n">
        <v>60211</v>
      </c>
      <c r="D379" s="6" t="n">
        <v>-7.9735484</v>
      </c>
      <c r="E379" s="6" t="n">
        <v>112.6367135</v>
      </c>
      <c r="F379" s="6" t="inlineStr">
        <is>
          <t>Sedang</t>
        </is>
      </c>
    </row>
    <row r="380">
      <c r="A380" s="6" t="n">
        <v>205</v>
      </c>
      <c r="B380" s="6" t="inlineStr">
        <is>
          <t>Toko Kopi TUKU - Malang</t>
        </is>
      </c>
      <c r="C380" s="6" t="n">
        <v>72977</v>
      </c>
      <c r="D380" s="6" t="n">
        <v>-7.9672699</v>
      </c>
      <c r="E380" s="6" t="n">
        <v>112.6156149</v>
      </c>
      <c r="F380" s="6" t="inlineStr">
        <is>
          <t>Sedang</t>
        </is>
      </c>
    </row>
    <row r="381">
      <c r="A381" s="6" t="n">
        <v>206</v>
      </c>
      <c r="B381" s="6" t="inlineStr">
        <is>
          <t>Kopi tuju</t>
        </is>
      </c>
      <c r="C381" s="6" t="n">
        <v>48915</v>
      </c>
      <c r="D381" s="6" t="n">
        <v>-7.9857157</v>
      </c>
      <c r="E381" s="6" t="n">
        <v>112.6309564</v>
      </c>
      <c r="F381" s="6" t="inlineStr">
        <is>
          <t>Sedang</t>
        </is>
      </c>
    </row>
    <row r="382">
      <c r="A382" s="6" t="n">
        <v>210</v>
      </c>
      <c r="B382" s="6" t="inlineStr">
        <is>
          <t>Cale Cafe Malang</t>
        </is>
      </c>
      <c r="C382" s="6" t="n">
        <v>76417</v>
      </c>
      <c r="D382" s="6" t="n">
        <v>-7.9734226</v>
      </c>
      <c r="E382" s="6" t="n">
        <v>112.6680828</v>
      </c>
      <c r="F382" s="6" t="inlineStr">
        <is>
          <t>Sedang</t>
        </is>
      </c>
    </row>
    <row r="383">
      <c r="A383" s="6" t="n">
        <v>211</v>
      </c>
      <c r="B383" s="6" t="inlineStr">
        <is>
          <t>Labore coffee eatery</t>
        </is>
      </c>
      <c r="C383" s="6" t="n">
        <v>60503</v>
      </c>
      <c r="D383" s="6" t="n">
        <v>-7.9392489</v>
      </c>
      <c r="E383" s="6" t="n">
        <v>112.6306143</v>
      </c>
      <c r="F383" s="6" t="inlineStr">
        <is>
          <t>Sedang</t>
        </is>
      </c>
    </row>
    <row r="384">
      <c r="A384" s="6" t="n">
        <v>212</v>
      </c>
      <c r="B384" s="6" t="inlineStr">
        <is>
          <t>Roketto Coffee &amp; Co</t>
        </is>
      </c>
      <c r="C384" s="6" t="n">
        <v>75249</v>
      </c>
      <c r="D384" s="6" t="n">
        <v>-7.9465495</v>
      </c>
      <c r="E384" s="6" t="n">
        <v>112.6258067</v>
      </c>
      <c r="F384" s="6" t="inlineStr">
        <is>
          <t>Sedang</t>
        </is>
      </c>
    </row>
    <row r="385">
      <c r="A385" s="6" t="n">
        <v>213</v>
      </c>
      <c r="B385" s="6" t="inlineStr">
        <is>
          <t>Kopi Handall</t>
        </is>
      </c>
      <c r="C385" s="6" t="n">
        <v>54463</v>
      </c>
      <c r="D385" s="6" t="n">
        <v>-7.947581</v>
      </c>
      <c r="E385" s="6" t="n">
        <v>112.6203695</v>
      </c>
      <c r="F385" s="6" t="inlineStr">
        <is>
          <t>Sedang</t>
        </is>
      </c>
    </row>
    <row r="386">
      <c r="A386" s="6" t="n">
        <v>215</v>
      </c>
      <c r="B386" s="6" t="inlineStr">
        <is>
          <t>Baratimur Kopi</t>
        </is>
      </c>
      <c r="C386" s="6" t="n">
        <v>45319</v>
      </c>
      <c r="D386" s="6" t="n">
        <v>-7.960235</v>
      </c>
      <c r="E386" s="6" t="n">
        <v>112.6347713</v>
      </c>
      <c r="F386" s="6" t="inlineStr">
        <is>
          <t>Sedang</t>
        </is>
      </c>
    </row>
    <row r="387">
      <c r="A387" s="6" t="n">
        <v>216</v>
      </c>
      <c r="B387" s="6" t="inlineStr">
        <is>
          <t>Dialoogi Space &amp; Coffee</t>
        </is>
      </c>
      <c r="C387" s="6" t="n">
        <v>73878</v>
      </c>
      <c r="D387" s="6" t="n">
        <v>-7.9402221</v>
      </c>
      <c r="E387" s="6" t="n">
        <v>112.6237769</v>
      </c>
      <c r="F387" s="6" t="inlineStr">
        <is>
          <t>Sedang</t>
        </is>
      </c>
    </row>
    <row r="388">
      <c r="A388" s="6" t="n">
        <v>217</v>
      </c>
      <c r="B388" s="6" t="inlineStr">
        <is>
          <t>Toko Kopi Abah</t>
        </is>
      </c>
      <c r="C388" s="6" t="n">
        <v>60312</v>
      </c>
      <c r="D388" s="6" t="n">
        <v>-7.9727486</v>
      </c>
      <c r="E388" s="6" t="n">
        <v>112.6367082</v>
      </c>
      <c r="F388" s="6" t="inlineStr">
        <is>
          <t>Sedang</t>
        </is>
      </c>
    </row>
    <row r="389">
      <c r="A389" s="6" t="n">
        <v>219</v>
      </c>
      <c r="B389" s="6" t="inlineStr">
        <is>
          <t>Ruang Rindu Kopi</t>
        </is>
      </c>
      <c r="C389" s="6" t="n">
        <v>57501</v>
      </c>
      <c r="D389" s="6" t="n">
        <v>-7.9451334</v>
      </c>
      <c r="E389" s="6" t="n">
        <v>112.6120065</v>
      </c>
      <c r="F389" s="6" t="inlineStr">
        <is>
          <t>Sedang</t>
        </is>
      </c>
    </row>
    <row r="390">
      <c r="A390" s="6" t="n">
        <v>220</v>
      </c>
      <c r="B390" s="6" t="inlineStr">
        <is>
          <t>Ada Apa Dengan Kopi (AADK) Bandung Malang - Coffee &amp; Eatery</t>
        </is>
      </c>
      <c r="C390" s="6" t="n">
        <v>57065</v>
      </c>
      <c r="D390" s="6" t="n">
        <v>-7.9607566</v>
      </c>
      <c r="E390" s="6" t="n">
        <v>112.62299</v>
      </c>
      <c r="F390" s="6" t="inlineStr">
        <is>
          <t>Sedang</t>
        </is>
      </c>
    </row>
    <row r="391">
      <c r="A391" s="6" t="n">
        <v>225</v>
      </c>
      <c r="B391" s="6" t="inlineStr">
        <is>
          <t>Sejenak Coffee</t>
        </is>
      </c>
      <c r="C391" s="6" t="n">
        <v>61563</v>
      </c>
      <c r="D391" s="6" t="n">
        <v>-7.9494825</v>
      </c>
      <c r="E391" s="6" t="n">
        <v>112.6247244</v>
      </c>
      <c r="F391" s="6" t="inlineStr">
        <is>
          <t>Sedang</t>
        </is>
      </c>
    </row>
    <row r="392">
      <c r="A392" s="6" t="n">
        <v>226</v>
      </c>
      <c r="B392" s="6" t="inlineStr">
        <is>
          <t>Kopi Studio 24</t>
        </is>
      </c>
      <c r="C392" s="6" t="n">
        <v>78662</v>
      </c>
      <c r="D392" s="6" t="n">
        <v>-7.9468286</v>
      </c>
      <c r="E392" s="6" t="n">
        <v>112.6179213</v>
      </c>
      <c r="F392" s="6" t="inlineStr">
        <is>
          <t>Sedang</t>
        </is>
      </c>
    </row>
    <row r="393">
      <c r="A393" s="6" t="n">
        <v>228</v>
      </c>
      <c r="B393" s="6" t="inlineStr">
        <is>
          <t>Vosco Coffee</t>
        </is>
      </c>
      <c r="C393" s="6" t="n">
        <v>46250</v>
      </c>
      <c r="D393" s="6" t="n">
        <v>-7.940185</v>
      </c>
      <c r="E393" s="6" t="n">
        <v>112.637716</v>
      </c>
      <c r="F393" s="6" t="inlineStr">
        <is>
          <t>Sedang</t>
        </is>
      </c>
    </row>
    <row r="394">
      <c r="A394" s="6" t="n">
        <v>229</v>
      </c>
      <c r="B394" s="6" t="inlineStr">
        <is>
          <t>NARA Coffee</t>
        </is>
      </c>
      <c r="C394" s="6" t="n">
        <v>49068</v>
      </c>
      <c r="D394" s="6" t="n">
        <v>-7.9533283</v>
      </c>
      <c r="E394" s="6" t="n">
        <v>112.5644515</v>
      </c>
      <c r="F394" s="6" t="inlineStr">
        <is>
          <t>Sedang</t>
        </is>
      </c>
    </row>
    <row r="395">
      <c r="A395" s="6" t="n">
        <v>230</v>
      </c>
      <c r="B395" s="6" t="inlineStr">
        <is>
          <t>Katamichi Coffee</t>
        </is>
      </c>
      <c r="C395" s="6" t="n">
        <v>65719</v>
      </c>
      <c r="D395" s="6" t="n">
        <v>-7.9679301</v>
      </c>
      <c r="E395" s="6" t="n">
        <v>112.6288818</v>
      </c>
      <c r="F395" s="6" t="inlineStr">
        <is>
          <t>Sedang</t>
        </is>
      </c>
    </row>
    <row r="396">
      <c r="A396" s="6" t="n">
        <v>232</v>
      </c>
      <c r="B396" s="6" t="inlineStr">
        <is>
          <t>Equal Coffee Roastery</t>
        </is>
      </c>
      <c r="C396" s="6" t="n">
        <v>71903</v>
      </c>
      <c r="D396" s="6" t="n">
        <v>-7.924035</v>
      </c>
      <c r="E396" s="6" t="n">
        <v>112.5839582</v>
      </c>
      <c r="F396" s="6" t="inlineStr">
        <is>
          <t>Sedang</t>
        </is>
      </c>
    </row>
    <row r="397">
      <c r="A397" s="6" t="n">
        <v>233</v>
      </c>
      <c r="B397" s="6" t="inlineStr">
        <is>
          <t>Toko Kopi Jaya, Soehat</t>
        </is>
      </c>
      <c r="C397" s="6" t="n">
        <v>63995</v>
      </c>
      <c r="D397" s="6" t="n">
        <v>-7.9353421</v>
      </c>
      <c r="E397" s="6" t="n">
        <v>112.6238145</v>
      </c>
      <c r="F397" s="6" t="inlineStr">
        <is>
          <t>Sedang</t>
        </is>
      </c>
    </row>
    <row r="398">
      <c r="A398" s="6" t="n">
        <v>234</v>
      </c>
      <c r="B398" s="6" t="inlineStr">
        <is>
          <t>Foursense Coffee</t>
        </is>
      </c>
      <c r="C398" s="6" t="n">
        <v>63443</v>
      </c>
      <c r="D398" s="6" t="n">
        <v>-7.9631342</v>
      </c>
      <c r="E398" s="6" t="n">
        <v>112.6326078</v>
      </c>
      <c r="F398" s="6" t="inlineStr">
        <is>
          <t>Sedang</t>
        </is>
      </c>
    </row>
    <row r="399">
      <c r="A399" s="6" t="n">
        <v>235</v>
      </c>
      <c r="B399" s="6" t="inlineStr">
        <is>
          <t>Toko Kopi Makmur (Malang)</t>
        </is>
      </c>
      <c r="C399" s="6" t="n">
        <v>56671</v>
      </c>
      <c r="D399" s="6" t="n">
        <v>-7.9456569</v>
      </c>
      <c r="E399" s="6" t="n">
        <v>112.6208499</v>
      </c>
      <c r="F399" s="6" t="inlineStr">
        <is>
          <t>Sedang</t>
        </is>
      </c>
    </row>
    <row r="400">
      <c r="A400" s="6" t="n">
        <v>236</v>
      </c>
      <c r="B400" s="6" t="inlineStr">
        <is>
          <t>Tilik Kawan Cafe and Eatery</t>
        </is>
      </c>
      <c r="C400" s="6" t="n">
        <v>69531</v>
      </c>
      <c r="D400" s="6" t="n">
        <v>-7.9764022</v>
      </c>
      <c r="E400" s="6" t="n">
        <v>112.6816867</v>
      </c>
      <c r="F400" s="6" t="inlineStr">
        <is>
          <t>Sedang</t>
        </is>
      </c>
    </row>
    <row r="401">
      <c r="A401" s="6" t="n">
        <v>237</v>
      </c>
      <c r="B401" s="6" t="inlineStr">
        <is>
          <t>Bureau Coffee &amp; Dine</t>
        </is>
      </c>
      <c r="C401" s="6" t="n">
        <v>61633</v>
      </c>
      <c r="D401" s="6" t="n">
        <v>-7.9406969</v>
      </c>
      <c r="E401" s="6" t="n">
        <v>112.6233112</v>
      </c>
      <c r="F401" s="6" t="inlineStr">
        <is>
          <t>Sedang</t>
        </is>
      </c>
    </row>
    <row r="402">
      <c r="A402" s="6" t="n">
        <v>238</v>
      </c>
      <c r="B402" s="6" t="inlineStr">
        <is>
          <t>Apresio Kopi</t>
        </is>
      </c>
      <c r="C402" s="6" t="n">
        <v>73464</v>
      </c>
      <c r="D402" s="6" t="n">
        <v>-7.945527</v>
      </c>
      <c r="E402" s="6" t="n">
        <v>112.612347</v>
      </c>
      <c r="F402" s="6" t="inlineStr">
        <is>
          <t>Sedang</t>
        </is>
      </c>
    </row>
    <row r="403">
      <c r="A403" s="6" t="n">
        <v>239</v>
      </c>
      <c r="B403" s="6" t="inlineStr">
        <is>
          <t>Toko kopi ong</t>
        </is>
      </c>
      <c r="C403" s="6" t="n">
        <v>58787</v>
      </c>
      <c r="D403" s="6" t="n">
        <v>-7.9512287</v>
      </c>
      <c r="E403" s="6" t="n">
        <v>112.6409309</v>
      </c>
      <c r="F403" s="6" t="inlineStr">
        <is>
          <t>Sedang</t>
        </is>
      </c>
    </row>
    <row r="404">
      <c r="A404" s="6" t="n">
        <v>240</v>
      </c>
      <c r="B404" s="6" t="inlineStr">
        <is>
          <t>Kopi Langit Tuju</t>
        </is>
      </c>
      <c r="C404" s="6" t="n">
        <v>48614</v>
      </c>
      <c r="D404" s="6" t="n">
        <v>-8.001571999999999</v>
      </c>
      <c r="E404" s="6" t="n">
        <v>112.6224141</v>
      </c>
      <c r="F404" s="6" t="inlineStr">
        <is>
          <t>Sedang</t>
        </is>
      </c>
    </row>
    <row r="405">
      <c r="A405" s="6" t="n">
        <v>243</v>
      </c>
      <c r="B405" s="6" t="inlineStr">
        <is>
          <t>Java Dancer Coffee - Jakarta</t>
        </is>
      </c>
      <c r="C405" s="6" t="n">
        <v>61653</v>
      </c>
      <c r="D405" s="6" t="n">
        <v>-7.9654235</v>
      </c>
      <c r="E405" s="6" t="n">
        <v>112.6204469</v>
      </c>
      <c r="F405" s="6" t="inlineStr">
        <is>
          <t>Sedang</t>
        </is>
      </c>
    </row>
    <row r="406">
      <c r="A406" s="6" t="n">
        <v>245</v>
      </c>
      <c r="B406" s="6" t="inlineStr">
        <is>
          <t>Kopi Jokotole</t>
        </is>
      </c>
      <c r="C406" s="6" t="n">
        <v>74915</v>
      </c>
      <c r="D406" s="6" t="n">
        <v>-7.9541526</v>
      </c>
      <c r="E406" s="6" t="n">
        <v>112.6072078</v>
      </c>
      <c r="F406" s="6" t="inlineStr">
        <is>
          <t>Sedang</t>
        </is>
      </c>
    </row>
    <row r="407">
      <c r="A407" s="6" t="n">
        <v>246</v>
      </c>
      <c r="B407" s="6" t="inlineStr">
        <is>
          <t>Toko Kopi Sumber Rejeki Malang</t>
        </is>
      </c>
      <c r="C407" s="6" t="n">
        <v>53912</v>
      </c>
      <c r="D407" s="6" t="n">
        <v>-7.9778812</v>
      </c>
      <c r="E407" s="6" t="n">
        <v>112.62919</v>
      </c>
      <c r="F407" s="6" t="inlineStr">
        <is>
          <t>Sedang</t>
        </is>
      </c>
    </row>
    <row r="408">
      <c r="A408" s="6" t="n">
        <v>247</v>
      </c>
      <c r="B408" s="6" t="inlineStr">
        <is>
          <t>Arah Coffee Gunungan Malang</t>
        </is>
      </c>
      <c r="C408" s="6" t="n">
        <v>48096</v>
      </c>
      <c r="D408" s="6" t="n">
        <v>-7.9712946</v>
      </c>
      <c r="E408" s="6" t="n">
        <v>112.6250533</v>
      </c>
      <c r="F408" s="6" t="inlineStr">
        <is>
          <t>Sedang</t>
        </is>
      </c>
    </row>
    <row r="409">
      <c r="A409" s="6" t="n">
        <v>249</v>
      </c>
      <c r="B409" s="6" t="inlineStr">
        <is>
          <t>toko kopi jaya, klojen</t>
        </is>
      </c>
      <c r="C409" s="6" t="n">
        <v>61906</v>
      </c>
      <c r="D409" s="6" t="n">
        <v>-7.9756</v>
      </c>
      <c r="E409" s="6" t="n">
        <v>112.6366136</v>
      </c>
      <c r="F409" s="6" t="inlineStr">
        <is>
          <t>Sedang</t>
        </is>
      </c>
    </row>
    <row r="410">
      <c r="A410" s="6" t="n">
        <v>250</v>
      </c>
      <c r="B410" s="6" t="inlineStr">
        <is>
          <t>Kopi 1922</t>
        </is>
      </c>
      <c r="C410" s="6" t="n">
        <v>79301</v>
      </c>
      <c r="D410" s="6" t="n">
        <v>-7.9772711</v>
      </c>
      <c r="E410" s="6" t="n">
        <v>112.6276659</v>
      </c>
      <c r="F410" s="6" t="inlineStr">
        <is>
          <t>Sedang</t>
        </is>
      </c>
    </row>
    <row r="411">
      <c r="A411" s="6" t="n">
        <v>252</v>
      </c>
      <c r="B411" s="6" t="inlineStr">
        <is>
          <t>Rodjo.Kopi</t>
        </is>
      </c>
      <c r="C411" s="6" t="n">
        <v>68854</v>
      </c>
      <c r="D411" s="6" t="n">
        <v>-7.9626916</v>
      </c>
      <c r="E411" s="6" t="n">
        <v>112.6368764</v>
      </c>
      <c r="F411" s="6" t="inlineStr">
        <is>
          <t>Sedang</t>
        </is>
      </c>
    </row>
    <row r="412">
      <c r="A412" s="6" t="n">
        <v>253</v>
      </c>
      <c r="B412" s="6" t="inlineStr">
        <is>
          <t>Toko Kopi Jaya, Ijen</t>
        </is>
      </c>
      <c r="C412" s="6" t="n">
        <v>71072</v>
      </c>
      <c r="D412" s="6" t="n">
        <v>-7.9695022</v>
      </c>
      <c r="E412" s="6" t="n">
        <v>112.6241142</v>
      </c>
      <c r="F412" s="6" t="inlineStr">
        <is>
          <t>Sedang</t>
        </is>
      </c>
    </row>
    <row r="413">
      <c r="A413" s="6" t="n">
        <v>255</v>
      </c>
      <c r="B413" s="6" t="inlineStr">
        <is>
          <t>Simpang Luwe Cafe &amp; Resto</t>
        </is>
      </c>
      <c r="C413" s="6" t="n">
        <v>126058</v>
      </c>
      <c r="D413" s="6" t="n">
        <v>-7.9644613</v>
      </c>
      <c r="E413" s="6" t="n">
        <v>112.6352943</v>
      </c>
      <c r="F413" s="6" t="inlineStr">
        <is>
          <t>Sedang</t>
        </is>
      </c>
    </row>
    <row r="414">
      <c r="A414" s="6" t="n">
        <v>256</v>
      </c>
      <c r="B414" s="6" t="inlineStr">
        <is>
          <t>The Arbanat Kitchen Cafe Lounge</t>
        </is>
      </c>
      <c r="C414" s="6" t="n">
        <v>101963</v>
      </c>
      <c r="D414" s="6" t="n">
        <v>-7.9721959</v>
      </c>
      <c r="E414" s="6" t="n">
        <v>112.6071336</v>
      </c>
      <c r="F414" s="6" t="inlineStr">
        <is>
          <t>Sedang</t>
        </is>
      </c>
    </row>
    <row r="415">
      <c r="A415" s="6" t="n">
        <v>259</v>
      </c>
      <c r="B415" s="6" t="inlineStr">
        <is>
          <t>Koat Kopi Malang</t>
        </is>
      </c>
      <c r="C415" s="6" t="n">
        <v>68696</v>
      </c>
      <c r="D415" s="6" t="n">
        <v>-7.9512165</v>
      </c>
      <c r="E415" s="6" t="n">
        <v>112.6059918</v>
      </c>
      <c r="F415" s="6" t="inlineStr">
        <is>
          <t>Sedang</t>
        </is>
      </c>
    </row>
    <row r="416">
      <c r="A416" s="6" t="n">
        <v>261</v>
      </c>
      <c r="B416" s="6" t="inlineStr">
        <is>
          <t>Semusim Cafe</t>
        </is>
      </c>
      <c r="C416" s="6" t="n">
        <v>77678</v>
      </c>
      <c r="D416" s="6" t="n">
        <v>-7.9471786</v>
      </c>
      <c r="E416" s="6" t="n">
        <v>112.6134383</v>
      </c>
      <c r="F416" s="6" t="inlineStr">
        <is>
          <t>Sedang</t>
        </is>
      </c>
    </row>
    <row r="417">
      <c r="A417" s="6" t="n">
        <v>263</v>
      </c>
      <c r="B417" s="6" t="inlineStr">
        <is>
          <t>Kedai Kopi Rumah 1870</t>
        </is>
      </c>
      <c r="C417" s="6" t="n">
        <v>49917</v>
      </c>
      <c r="D417" s="6" t="n">
        <v>-7.9784349</v>
      </c>
      <c r="E417" s="6" t="n">
        <v>112.6287448</v>
      </c>
      <c r="F417" s="6" t="inlineStr">
        <is>
          <t>Sedang</t>
        </is>
      </c>
    </row>
    <row r="418">
      <c r="A418" s="6" t="n">
        <v>264</v>
      </c>
      <c r="B418" s="6" t="inlineStr">
        <is>
          <t>Kopi Wojo Malang</t>
        </is>
      </c>
      <c r="C418" s="6" t="n">
        <v>43642</v>
      </c>
      <c r="D418" s="6" t="n">
        <v>-7.9789938</v>
      </c>
      <c r="E418" s="6" t="n">
        <v>112.6287977</v>
      </c>
      <c r="F418" s="6" t="inlineStr">
        <is>
          <t>Sedang</t>
        </is>
      </c>
    </row>
    <row r="419">
      <c r="A419" s="6" t="n">
        <v>265</v>
      </c>
      <c r="B419" s="6" t="inlineStr">
        <is>
          <t>Love Coffee</t>
        </is>
      </c>
      <c r="C419" s="6" t="n">
        <v>70426</v>
      </c>
      <c r="D419" s="6" t="n">
        <v>-8.037651200000001</v>
      </c>
      <c r="E419" s="6" t="n">
        <v>112.639769</v>
      </c>
      <c r="F419" s="6" t="inlineStr">
        <is>
          <t>Sedang</t>
        </is>
      </c>
    </row>
    <row r="420">
      <c r="A420" s="6" t="n">
        <v>266</v>
      </c>
      <c r="B420" s="6" t="inlineStr">
        <is>
          <t>Kedai Kopi Hwie - Kayutangan</t>
        </is>
      </c>
      <c r="C420" s="6" t="n">
        <v>49022</v>
      </c>
      <c r="D420" s="6" t="n">
        <v>-7.9787471</v>
      </c>
      <c r="E420" s="6" t="n">
        <v>112.6292614</v>
      </c>
      <c r="F420" s="6" t="inlineStr">
        <is>
          <t>Sedang</t>
        </is>
      </c>
    </row>
    <row r="421">
      <c r="A421" s="6" t="n">
        <v>269</v>
      </c>
      <c r="B421" s="6" t="inlineStr">
        <is>
          <t>Kedai Kopi Omah Kayu</t>
        </is>
      </c>
      <c r="C421" s="6" t="n">
        <v>74869</v>
      </c>
      <c r="D421" s="6" t="n">
        <v>-7.9553164</v>
      </c>
      <c r="E421" s="6" t="n">
        <v>112.607666</v>
      </c>
      <c r="F421" s="6" t="inlineStr">
        <is>
          <t>Sedang</t>
        </is>
      </c>
    </row>
    <row r="422">
      <c r="A422" s="6" t="n">
        <v>271</v>
      </c>
      <c r="B422" s="6" t="inlineStr">
        <is>
          <t>Toko Kopi Sidomukti</t>
        </is>
      </c>
      <c r="C422" s="6" t="n">
        <v>73798</v>
      </c>
      <c r="D422" s="6" t="n">
        <v>-7.9855007</v>
      </c>
      <c r="E422" s="6" t="n">
        <v>112.630972</v>
      </c>
      <c r="F422" s="6" t="inlineStr">
        <is>
          <t>Sedang</t>
        </is>
      </c>
    </row>
    <row r="423">
      <c r="A423" s="6" t="n">
        <v>276</v>
      </c>
      <c r="B423" s="6" t="inlineStr">
        <is>
          <t>Kedai Kopi Sudah Buka</t>
        </is>
      </c>
      <c r="C423" s="6" t="n">
        <v>61911</v>
      </c>
      <c r="D423" s="6" t="n">
        <v>-7.9853351</v>
      </c>
      <c r="E423" s="6" t="n">
        <v>112.6457775</v>
      </c>
      <c r="F423" s="6" t="inlineStr">
        <is>
          <t>Sedang</t>
        </is>
      </c>
    </row>
    <row r="424">
      <c r="A424" s="6" t="n">
        <v>278</v>
      </c>
      <c r="B424" s="6" t="inlineStr">
        <is>
          <t>K70 Kopi Rumah Eyang</t>
        </is>
      </c>
      <c r="C424" s="6" t="n">
        <v>63643</v>
      </c>
      <c r="D424" s="6" t="n">
        <v>-7.9622295</v>
      </c>
      <c r="E424" s="6" t="n">
        <v>112.6309807</v>
      </c>
      <c r="F424" s="6" t="inlineStr">
        <is>
          <t>Sedang</t>
        </is>
      </c>
    </row>
    <row r="425">
      <c r="A425" s="6" t="n">
        <v>281</v>
      </c>
      <c r="B425" s="6" t="inlineStr">
        <is>
          <t>Toko Kopi Padma Malang</t>
        </is>
      </c>
      <c r="C425" s="6" t="n">
        <v>65399</v>
      </c>
      <c r="D425" s="6" t="n">
        <v>-7.9787477</v>
      </c>
      <c r="E425" s="6" t="n">
        <v>112.6296264</v>
      </c>
      <c r="F425" s="6" t="inlineStr">
        <is>
          <t>Sedang</t>
        </is>
      </c>
    </row>
    <row r="426">
      <c r="A426" s="6" t="n">
        <v>282</v>
      </c>
      <c r="B426" s="6" t="inlineStr">
        <is>
          <t>Bento Kopi UIN Malang</t>
        </is>
      </c>
      <c r="C426" s="6" t="n">
        <v>60949</v>
      </c>
      <c r="D426" s="6" t="n">
        <v>-7.9506244</v>
      </c>
      <c r="E426" s="6" t="n">
        <v>112.6060431</v>
      </c>
      <c r="F426" s="6" t="inlineStr">
        <is>
          <t>Sedang</t>
        </is>
      </c>
    </row>
    <row r="427">
      <c r="A427" s="6" t="n">
        <v>283</v>
      </c>
      <c r="B427" s="6" t="inlineStr">
        <is>
          <t>Kedaikopi_sinarmandiri</t>
        </is>
      </c>
      <c r="C427" s="6" t="n">
        <v>67599</v>
      </c>
      <c r="D427" s="6" t="n">
        <v>-7.9500888</v>
      </c>
      <c r="E427" s="6" t="n">
        <v>112.6390988</v>
      </c>
      <c r="F427" s="6" t="inlineStr">
        <is>
          <t>Sedang</t>
        </is>
      </c>
    </row>
    <row r="428">
      <c r="A428" s="6" t="n">
        <v>284</v>
      </c>
      <c r="B428" s="6" t="inlineStr">
        <is>
          <t>Kopi Satoe Djiwa</t>
        </is>
      </c>
      <c r="C428" s="6" t="n">
        <v>43551</v>
      </c>
      <c r="D428" s="6" t="n">
        <v>-7.9626067</v>
      </c>
      <c r="E428" s="6" t="n">
        <v>112.6136177</v>
      </c>
      <c r="F428" s="6" t="inlineStr">
        <is>
          <t>Sedang</t>
        </is>
      </c>
    </row>
    <row r="429">
      <c r="A429" s="6" t="n">
        <v>285</v>
      </c>
      <c r="B429" s="6" t="inlineStr">
        <is>
          <t>Kopi Letek</t>
        </is>
      </c>
      <c r="C429" s="6" t="n">
        <v>62677</v>
      </c>
      <c r="D429" s="6" t="n">
        <v>-7.8713192</v>
      </c>
      <c r="E429" s="6" t="n">
        <v>112.527729</v>
      </c>
      <c r="F429" s="6" t="inlineStr">
        <is>
          <t>Sedang</t>
        </is>
      </c>
    </row>
    <row r="430">
      <c r="A430" s="6" t="n">
        <v>286</v>
      </c>
      <c r="B430" s="6" t="inlineStr">
        <is>
          <t>Toko Kopi Mandala - Tidar</t>
        </is>
      </c>
      <c r="C430" s="6" t="n">
        <v>52728</v>
      </c>
      <c r="D430" s="6" t="n">
        <v>-7.9654282</v>
      </c>
      <c r="E430" s="6" t="n">
        <v>112.6036744</v>
      </c>
      <c r="F430" s="6" t="inlineStr">
        <is>
          <t>Sedang</t>
        </is>
      </c>
    </row>
    <row r="431">
      <c r="A431" s="6" t="n">
        <v>288</v>
      </c>
      <c r="B431" s="6" t="inlineStr">
        <is>
          <t>KEDAI KOPI BUK PON MALANG</t>
        </is>
      </c>
      <c r="C431" s="6" t="n">
        <v>50170</v>
      </c>
      <c r="D431" s="6" t="n">
        <v>-7.9439818</v>
      </c>
      <c r="E431" s="6" t="n">
        <v>112.6455576</v>
      </c>
      <c r="F431" s="6" t="inlineStr">
        <is>
          <t>Sedang</t>
        </is>
      </c>
    </row>
    <row r="432">
      <c r="A432" s="6" t="n">
        <v>289</v>
      </c>
      <c r="B432" s="6" t="inlineStr">
        <is>
          <t>Markas kopi ngalam asli</t>
        </is>
      </c>
      <c r="C432" s="6" t="n">
        <v>67124</v>
      </c>
      <c r="D432" s="6" t="n">
        <v>-7.9652478</v>
      </c>
      <c r="E432" s="6" t="n">
        <v>112.6327684</v>
      </c>
      <c r="F432" s="6" t="inlineStr">
        <is>
          <t>Sedang</t>
        </is>
      </c>
    </row>
    <row r="433">
      <c r="A433" s="6" t="n">
        <v>290</v>
      </c>
      <c r="B433" s="6" t="inlineStr">
        <is>
          <t>Kopi Lokal</t>
        </is>
      </c>
      <c r="C433" s="6" t="n">
        <v>71491</v>
      </c>
      <c r="D433" s="6" t="n">
        <v>-7.9338316</v>
      </c>
      <c r="E433" s="6" t="n">
        <v>112.6295485</v>
      </c>
      <c r="F433" s="6" t="inlineStr">
        <is>
          <t>Sedang</t>
        </is>
      </c>
    </row>
    <row r="434">
      <c r="A434" s="6" t="n">
        <v>292</v>
      </c>
      <c r="B434" s="6" t="inlineStr">
        <is>
          <t>HEYDAY KOPI</t>
        </is>
      </c>
      <c r="C434" s="6" t="n">
        <v>68129</v>
      </c>
      <c r="D434" s="6" t="n">
        <v>-7.9637359</v>
      </c>
      <c r="E434" s="6" t="n">
        <v>112.6370004</v>
      </c>
      <c r="F434" s="6" t="inlineStr">
        <is>
          <t>Sedang</t>
        </is>
      </c>
    </row>
    <row r="435">
      <c r="A435" s="6" t="n">
        <v>294</v>
      </c>
      <c r="B435" s="6" t="inlineStr">
        <is>
          <t>Kedai Kopi Tumapel</t>
        </is>
      </c>
      <c r="C435" s="6" t="n">
        <v>79806</v>
      </c>
      <c r="D435" s="6" t="n">
        <v>-7.9780159</v>
      </c>
      <c r="E435" s="6" t="n">
        <v>112.6319489</v>
      </c>
      <c r="F435" s="6" t="inlineStr">
        <is>
          <t>Sedang</t>
        </is>
      </c>
    </row>
    <row r="436">
      <c r="A436" s="6" t="n">
        <v>295</v>
      </c>
      <c r="B436" s="6" t="inlineStr">
        <is>
          <t>Kedai Kopi Oro,oro</t>
        </is>
      </c>
      <c r="C436" s="6" t="n">
        <v>70994</v>
      </c>
      <c r="D436" s="6" t="n">
        <v>-7.9665839</v>
      </c>
      <c r="E436" s="6" t="n">
        <v>112.6286445</v>
      </c>
      <c r="F436" s="6" t="inlineStr">
        <is>
          <t>Sedang</t>
        </is>
      </c>
    </row>
    <row r="437">
      <c r="A437" s="6" t="n">
        <v>300</v>
      </c>
      <c r="B437" s="6" t="inlineStr">
        <is>
          <t>SUJIWA KOPI</t>
        </is>
      </c>
      <c r="C437" s="6" t="n">
        <v>62308</v>
      </c>
      <c r="D437" s="6" t="n">
        <v>-7.9571661</v>
      </c>
      <c r="E437" s="6" t="n">
        <v>112.6387779</v>
      </c>
      <c r="F437" s="6" t="inlineStr">
        <is>
          <t>Sedang</t>
        </is>
      </c>
    </row>
    <row r="438">
      <c r="A438" s="6" t="n">
        <v>301</v>
      </c>
      <c r="B438" s="6" t="inlineStr">
        <is>
          <t>Toko Kopi SWJ</t>
        </is>
      </c>
      <c r="C438" s="6" t="n">
        <v>66475</v>
      </c>
      <c r="D438" s="6" t="n">
        <v>-7.9691747</v>
      </c>
      <c r="E438" s="6" t="n">
        <v>112.6365003</v>
      </c>
      <c r="F438" s="6" t="inlineStr">
        <is>
          <t>Sedang</t>
        </is>
      </c>
    </row>
    <row r="439">
      <c r="A439" s="6" t="n">
        <v>302</v>
      </c>
      <c r="B439" s="6" t="inlineStr">
        <is>
          <t>POS KOPI 58</t>
        </is>
      </c>
      <c r="C439" s="6" t="n">
        <v>68243</v>
      </c>
      <c r="D439" s="6" t="n">
        <v>-7.971476</v>
      </c>
      <c r="E439" s="6" t="n">
        <v>112.6403702</v>
      </c>
      <c r="F439" s="6" t="inlineStr">
        <is>
          <t>Sedang</t>
        </is>
      </c>
    </row>
    <row r="440">
      <c r="A440" s="6" t="n">
        <v>303</v>
      </c>
      <c r="B440" s="6" t="inlineStr">
        <is>
          <t>WARUNG KOPI JON</t>
        </is>
      </c>
      <c r="C440" s="6" t="n">
        <v>67018</v>
      </c>
      <c r="D440" s="6" t="n">
        <v>-7.9970448</v>
      </c>
      <c r="E440" s="6" t="n">
        <v>112.6191967</v>
      </c>
      <c r="F440" s="6" t="inlineStr">
        <is>
          <t>Sedang</t>
        </is>
      </c>
    </row>
    <row r="441">
      <c r="A441" s="6" t="n">
        <v>304</v>
      </c>
      <c r="B441" s="6" t="inlineStr">
        <is>
          <t>Kopi Maeda Malang</t>
        </is>
      </c>
      <c r="C441" s="6" t="n">
        <v>64205</v>
      </c>
      <c r="D441" s="6" t="n">
        <v>-7.9897247</v>
      </c>
      <c r="E441" s="6" t="n">
        <v>112.6169266</v>
      </c>
      <c r="F441" s="6" t="inlineStr">
        <is>
          <t>Sedang</t>
        </is>
      </c>
    </row>
    <row r="442">
      <c r="A442" s="6" t="n">
        <v>305</v>
      </c>
      <c r="B442" s="6" t="inlineStr">
        <is>
          <t>Kedai Kopi K26</t>
        </is>
      </c>
      <c r="C442" s="6" t="n">
        <v>49510</v>
      </c>
      <c r="D442" s="6" t="n">
        <v>-7.9722817</v>
      </c>
      <c r="E442" s="6" t="n">
        <v>112.6415935</v>
      </c>
      <c r="F442" s="6" t="inlineStr">
        <is>
          <t>Sedang</t>
        </is>
      </c>
    </row>
    <row r="443">
      <c r="A443" s="6" t="n">
        <v>306</v>
      </c>
      <c r="B443" s="6" t="inlineStr">
        <is>
          <t>Biji Kopi Malang</t>
        </is>
      </c>
      <c r="C443" s="6" t="n">
        <v>74325</v>
      </c>
      <c r="D443" s="6" t="n">
        <v>-7.9549148</v>
      </c>
      <c r="E443" s="6" t="n">
        <v>112.6609754</v>
      </c>
      <c r="F443" s="6" t="inlineStr">
        <is>
          <t>Sedang</t>
        </is>
      </c>
    </row>
    <row r="444">
      <c r="A444" s="6" t="n">
        <v>307</v>
      </c>
      <c r="B444" s="6" t="inlineStr">
        <is>
          <t>Tempat Kopi</t>
        </is>
      </c>
      <c r="C444" s="6" t="n">
        <v>66975</v>
      </c>
      <c r="D444" s="6" t="n">
        <v>-7.9950911</v>
      </c>
      <c r="E444" s="6" t="n">
        <v>112.6202581</v>
      </c>
      <c r="F444" s="6" t="inlineStr">
        <is>
          <t>Sedang</t>
        </is>
      </c>
    </row>
    <row r="445">
      <c r="A445" s="6" t="n">
        <v>309</v>
      </c>
      <c r="B445" s="6" t="inlineStr">
        <is>
          <t>Kedai Kopi Cahaya Baru 2</t>
        </is>
      </c>
      <c r="C445" s="6" t="n">
        <v>70838</v>
      </c>
      <c r="D445" s="6" t="n">
        <v>-7.9758239</v>
      </c>
      <c r="E445" s="6" t="n">
        <v>112.6368805</v>
      </c>
      <c r="F445" s="6" t="inlineStr">
        <is>
          <t>Sedang</t>
        </is>
      </c>
    </row>
    <row r="446">
      <c r="A446" s="6" t="n">
        <v>311</v>
      </c>
      <c r="B446" s="6" t="inlineStr">
        <is>
          <t>Kedai Kopi Sriwedari</t>
        </is>
      </c>
      <c r="C446" s="6" t="n">
        <v>53997</v>
      </c>
      <c r="D446" s="6" t="n">
        <v>-7.9638781</v>
      </c>
      <c r="E446" s="6" t="n">
        <v>112.6271649</v>
      </c>
      <c r="F446" s="6" t="inlineStr">
        <is>
          <t>Sedang</t>
        </is>
      </c>
    </row>
    <row r="447">
      <c r="A447" s="6" t="n">
        <v>312</v>
      </c>
      <c r="B447" s="6" t="inlineStr">
        <is>
          <t>Sukses Jaya. Supermarket Bahan Makanan dan Mesin Kopi</t>
        </is>
      </c>
      <c r="C447" s="6" t="n">
        <v>69246</v>
      </c>
      <c r="D447" s="6" t="n">
        <v>-7.969491</v>
      </c>
      <c r="E447" s="6" t="n">
        <v>112.608923</v>
      </c>
      <c r="F447" s="6" t="inlineStr">
        <is>
          <t>Sedang</t>
        </is>
      </c>
    </row>
    <row r="448">
      <c r="A448" s="6" t="n">
        <v>313</v>
      </c>
      <c r="B448" s="6" t="inlineStr">
        <is>
          <t>Kopi Perempat</t>
        </is>
      </c>
      <c r="C448" s="6" t="n">
        <v>51840</v>
      </c>
      <c r="D448" s="6" t="n">
        <v>-7.9762898</v>
      </c>
      <c r="E448" s="6" t="n">
        <v>112.6286736</v>
      </c>
      <c r="F448" s="6" t="inlineStr">
        <is>
          <t>Sedang</t>
        </is>
      </c>
    </row>
    <row r="449">
      <c r="A449" s="6" t="n">
        <v>414</v>
      </c>
      <c r="B449" s="6" t="inlineStr">
        <is>
          <t>Toko Kopi Remboeg Pawon</t>
        </is>
      </c>
      <c r="C449" s="6" t="n">
        <v>43860</v>
      </c>
      <c r="D449" s="6" t="n">
        <v>-7.9802343</v>
      </c>
      <c r="E449" s="6" t="n">
        <v>112.6263608</v>
      </c>
      <c r="F449" s="6" t="inlineStr">
        <is>
          <t>Sedang</t>
        </is>
      </c>
    </row>
    <row r="450">
      <c r="A450" s="6" t="n">
        <v>415</v>
      </c>
      <c r="B450" s="6" t="inlineStr">
        <is>
          <t>Warung Sarkop (Sarung Kopi)</t>
        </is>
      </c>
      <c r="C450" s="6" t="n">
        <v>68582</v>
      </c>
      <c r="D450" s="6" t="n">
        <v>-7.9389316</v>
      </c>
      <c r="E450" s="6" t="n">
        <v>112.6090504</v>
      </c>
      <c r="F450" s="6" t="inlineStr">
        <is>
          <t>Sedang</t>
        </is>
      </c>
    </row>
    <row r="451">
      <c r="A451" s="6" t="n">
        <v>416</v>
      </c>
      <c r="B451" s="6" t="inlineStr">
        <is>
          <t>Cafe LaiLai</t>
        </is>
      </c>
      <c r="C451" s="6" t="n">
        <v>60597</v>
      </c>
      <c r="D451" s="6" t="n">
        <v>-7.9767538</v>
      </c>
      <c r="E451" s="6" t="n">
        <v>112.6276991</v>
      </c>
      <c r="F451" s="6" t="inlineStr">
        <is>
          <t>Sedang</t>
        </is>
      </c>
    </row>
    <row r="452">
      <c r="A452" s="6" t="n">
        <v>417</v>
      </c>
      <c r="B452" s="6" t="inlineStr">
        <is>
          <t>Kopi Ortu</t>
        </is>
      </c>
      <c r="C452" s="6" t="n">
        <v>72027</v>
      </c>
      <c r="D452" s="6" t="n">
        <v>-7.9742061</v>
      </c>
      <c r="E452" s="6" t="n">
        <v>112.6162998</v>
      </c>
      <c r="F452" s="6" t="inlineStr">
        <is>
          <t>Sedang</t>
        </is>
      </c>
    </row>
    <row r="453">
      <c r="A453" s="6" t="n">
        <v>418</v>
      </c>
      <c r="B453" s="6" t="inlineStr">
        <is>
          <t>Kedai Kopi tjapGiling</t>
        </is>
      </c>
      <c r="C453" s="6" t="n">
        <v>58559</v>
      </c>
      <c r="D453" s="6" t="n">
        <v>-7.957461</v>
      </c>
      <c r="E453" s="6" t="n">
        <v>112.60124</v>
      </c>
      <c r="F453" s="6" t="inlineStr">
        <is>
          <t>Sedang</t>
        </is>
      </c>
    </row>
    <row r="454">
      <c r="A454" s="6" t="n">
        <v>422</v>
      </c>
      <c r="B454" s="6" t="inlineStr">
        <is>
          <t>Robusto Coffee</t>
        </is>
      </c>
      <c r="C454" s="6" t="n">
        <v>78103</v>
      </c>
      <c r="D454" s="6" t="n">
        <v>-7.936619</v>
      </c>
      <c r="E454" s="6" t="n">
        <v>112.605606</v>
      </c>
      <c r="F454" s="6" t="inlineStr">
        <is>
          <t>Sedang</t>
        </is>
      </c>
    </row>
    <row r="455">
      <c r="A455" s="6" t="n">
        <v>423</v>
      </c>
      <c r="B455" s="6" t="inlineStr">
        <is>
          <t>Mifeng Kopitiam</t>
        </is>
      </c>
      <c r="C455" s="6" t="n">
        <v>45890</v>
      </c>
      <c r="D455" s="6" t="n">
        <v>-7.962855</v>
      </c>
      <c r="E455" s="6" t="n">
        <v>112.62582</v>
      </c>
      <c r="F455" s="6" t="inlineStr">
        <is>
          <t>Sedang</t>
        </is>
      </c>
    </row>
    <row r="456">
      <c r="A456" s="6" t="n">
        <v>424</v>
      </c>
      <c r="B456" s="6" t="inlineStr">
        <is>
          <t>Kopi Serut</t>
        </is>
      </c>
      <c r="C456" s="6" t="n">
        <v>68927</v>
      </c>
      <c r="D456" s="6" t="n">
        <v>-7.8836933</v>
      </c>
      <c r="E456" s="6" t="n">
        <v>112.6536527</v>
      </c>
      <c r="F456" s="6" t="inlineStr">
        <is>
          <t>Sedang</t>
        </is>
      </c>
    </row>
    <row r="457">
      <c r="A457" s="6" t="n">
        <v>427</v>
      </c>
      <c r="B457" s="6" t="inlineStr">
        <is>
          <t>Beryl Coffee</t>
        </is>
      </c>
      <c r="C457" s="6" t="n">
        <v>53899</v>
      </c>
      <c r="D457" s="6" t="n">
        <v>-7.9612922</v>
      </c>
      <c r="E457" s="6" t="n">
        <v>112.6312716</v>
      </c>
      <c r="F457" s="6" t="inlineStr">
        <is>
          <t>Sedang</t>
        </is>
      </c>
    </row>
    <row r="458">
      <c r="A458" s="6" t="n">
        <v>428</v>
      </c>
      <c r="B458" s="6" t="inlineStr">
        <is>
          <t>Toko Kopi Jaya, Sukun</t>
        </is>
      </c>
      <c r="C458" s="6" t="n">
        <v>69984</v>
      </c>
      <c r="D458" s="6" t="n">
        <v>-7.9920686</v>
      </c>
      <c r="E458" s="6" t="n">
        <v>112.6208302</v>
      </c>
      <c r="F458" s="6" t="inlineStr">
        <is>
          <t>Sedang</t>
        </is>
      </c>
    </row>
    <row r="459">
      <c r="A459" s="6" t="n">
        <v>429</v>
      </c>
      <c r="B459" s="6" t="inlineStr">
        <is>
          <t>Warung Kopi 69 - Kedai69 - Cafe69</t>
        </is>
      </c>
      <c r="C459" s="6" t="n">
        <v>66081</v>
      </c>
      <c r="D459" s="6" t="n">
        <v>-7.9444957</v>
      </c>
      <c r="E459" s="6" t="n">
        <v>112.6318192</v>
      </c>
      <c r="F459" s="6" t="inlineStr">
        <is>
          <t>Sedang</t>
        </is>
      </c>
    </row>
    <row r="460">
      <c r="A460" s="6" t="n">
        <v>430</v>
      </c>
      <c r="B460" s="6" t="inlineStr">
        <is>
          <t>Cak Ril Kopi</t>
        </is>
      </c>
      <c r="C460" s="6" t="n">
        <v>69691</v>
      </c>
      <c r="D460" s="6" t="n">
        <v>-7.9531979</v>
      </c>
      <c r="E460" s="6" t="n">
        <v>112.6067663</v>
      </c>
      <c r="F460" s="6" t="inlineStr">
        <is>
          <t>Sedang</t>
        </is>
      </c>
    </row>
    <row r="461">
      <c r="A461" s="6" t="n">
        <v>432</v>
      </c>
      <c r="B461" s="6" t="inlineStr">
        <is>
          <t>Kopi Hamur Mbah Ndut</t>
        </is>
      </c>
      <c r="C461" s="6" t="n">
        <v>55279</v>
      </c>
      <c r="D461" s="6" t="n">
        <v>-7.9789427</v>
      </c>
      <c r="E461" s="6" t="n">
        <v>112.6282282</v>
      </c>
      <c r="F461" s="6" t="inlineStr">
        <is>
          <t>Sedang</t>
        </is>
      </c>
    </row>
    <row r="462">
      <c r="A462" s="6" t="n">
        <v>433</v>
      </c>
      <c r="B462" s="6" t="inlineStr">
        <is>
          <t>Kedai Kopi Kembang</t>
        </is>
      </c>
      <c r="C462" s="6" t="n">
        <v>57367</v>
      </c>
      <c r="D462" s="6" t="n">
        <v>-7.9248101</v>
      </c>
      <c r="E462" s="6" t="n">
        <v>112.6212925</v>
      </c>
      <c r="F462" s="6" t="inlineStr">
        <is>
          <t>Sedang</t>
        </is>
      </c>
    </row>
    <row r="463">
      <c r="A463" s="6" t="n">
        <v>434</v>
      </c>
      <c r="B463" s="6" t="inlineStr">
        <is>
          <t>Toko kopi sudawirat</t>
        </is>
      </c>
      <c r="C463" s="6" t="n">
        <v>65552</v>
      </c>
      <c r="D463" s="6" t="n">
        <v>-7.9526961</v>
      </c>
      <c r="E463" s="6" t="n">
        <v>112.6367035</v>
      </c>
      <c r="F463" s="6" t="inlineStr">
        <is>
          <t>Sedang</t>
        </is>
      </c>
    </row>
    <row r="464">
      <c r="A464" s="6" t="n">
        <v>437</v>
      </c>
      <c r="B464" s="6" t="inlineStr">
        <is>
          <t>Warung Kopi Aroma Spesial Mie Bangladesh</t>
        </is>
      </c>
      <c r="C464" s="6" t="n">
        <v>67889</v>
      </c>
      <c r="D464" s="6" t="n">
        <v>-7.9618021</v>
      </c>
      <c r="E464" s="6" t="n">
        <v>112.6210638</v>
      </c>
      <c r="F464" s="6" t="inlineStr">
        <is>
          <t>Sedang</t>
        </is>
      </c>
    </row>
    <row r="465">
      <c r="A465" s="6" t="n">
        <v>439</v>
      </c>
      <c r="B465" s="6" t="inlineStr">
        <is>
          <t>Hambre Coffee</t>
        </is>
      </c>
      <c r="C465" s="6" t="n">
        <v>53197</v>
      </c>
      <c r="D465" s="6" t="n">
        <v>-8.0128839</v>
      </c>
      <c r="E465" s="6" t="n">
        <v>112.6194948</v>
      </c>
      <c r="F465" s="6" t="inlineStr">
        <is>
          <t>Sedang</t>
        </is>
      </c>
    </row>
    <row r="466">
      <c r="A466" s="6" t="n">
        <v>440</v>
      </c>
      <c r="B466" s="6" t="inlineStr">
        <is>
          <t>Halter Coffee</t>
        </is>
      </c>
      <c r="C466" s="6" t="n">
        <v>49443</v>
      </c>
      <c r="D466" s="6" t="n">
        <v>-7.960639</v>
      </c>
      <c r="E466" s="6" t="n">
        <v>112.632243</v>
      </c>
      <c r="F466" s="6" t="inlineStr">
        <is>
          <t>Sedang</t>
        </is>
      </c>
    </row>
    <row r="467">
      <c r="A467" s="6" t="n">
        <v>443</v>
      </c>
      <c r="B467" s="6" t="inlineStr">
        <is>
          <t>Kedai Kopi WB</t>
        </is>
      </c>
      <c r="C467" s="6" t="n">
        <v>70186</v>
      </c>
      <c r="D467" s="6" t="n">
        <v>-7.9627899</v>
      </c>
      <c r="E467" s="6" t="n">
        <v>112.64013</v>
      </c>
      <c r="F467" s="6" t="inlineStr">
        <is>
          <t>Sedang</t>
        </is>
      </c>
    </row>
    <row r="468">
      <c r="A468" s="6" t="n">
        <v>446</v>
      </c>
      <c r="B468" s="6" t="inlineStr">
        <is>
          <t>Hi Kopi Malang Tlogo Indah</t>
        </is>
      </c>
      <c r="C468" s="6" t="n">
        <v>44191</v>
      </c>
      <c r="D468" s="6" t="n">
        <v>-7.9386624</v>
      </c>
      <c r="E468" s="6" t="n">
        <v>112.6021117</v>
      </c>
      <c r="F468" s="6" t="inlineStr">
        <is>
          <t>Sedang</t>
        </is>
      </c>
    </row>
    <row r="469">
      <c r="A469" s="6" t="n">
        <v>448</v>
      </c>
      <c r="B469" s="6" t="inlineStr">
        <is>
          <t>The Grove Cafe Malang</t>
        </is>
      </c>
      <c r="C469" s="6" t="n">
        <v>51063</v>
      </c>
      <c r="D469" s="6" t="n">
        <v>-7.9724171</v>
      </c>
      <c r="E469" s="6" t="n">
        <v>112.6184917</v>
      </c>
      <c r="F469" s="6" t="inlineStr">
        <is>
          <t>Sedang</t>
        </is>
      </c>
    </row>
    <row r="470">
      <c r="A470" s="6" t="n">
        <v>449</v>
      </c>
      <c r="B470" s="6" t="inlineStr">
        <is>
          <t>Lapidoth Cafe and Patisserie</t>
        </is>
      </c>
      <c r="C470" s="6" t="n">
        <v>51966</v>
      </c>
      <c r="D470" s="6" t="n">
        <v>-7.9833241</v>
      </c>
      <c r="E470" s="6" t="n">
        <v>112.6298451</v>
      </c>
      <c r="F470" s="6" t="inlineStr">
        <is>
          <t>Sedang</t>
        </is>
      </c>
    </row>
    <row r="471">
      <c r="A471" s="6" t="n">
        <v>450</v>
      </c>
      <c r="B471" s="6" t="inlineStr">
        <is>
          <t>Lafayette Coffee &amp; Eatery</t>
        </is>
      </c>
      <c r="C471" s="6" t="n">
        <v>46002</v>
      </c>
      <c r="D471" s="6" t="n">
        <v>-7.9762568</v>
      </c>
      <c r="E471" s="6" t="n">
        <v>112.6291195</v>
      </c>
      <c r="F471" s="6" t="inlineStr">
        <is>
          <t>Sedang</t>
        </is>
      </c>
    </row>
    <row r="472">
      <c r="A472" s="6" t="n">
        <v>451</v>
      </c>
      <c r="B472" s="6" t="inlineStr">
        <is>
          <t>Koppi Asia Malang | Coffee &amp; Eatery Malang</t>
        </is>
      </c>
      <c r="C472" s="6" t="n">
        <v>44762</v>
      </c>
      <c r="D472" s="6" t="n">
        <v>-7.9576795</v>
      </c>
      <c r="E472" s="6" t="n">
        <v>112.6073449</v>
      </c>
      <c r="F472" s="6" t="inlineStr">
        <is>
          <t>Sedang</t>
        </is>
      </c>
    </row>
    <row r="473">
      <c r="A473" s="6" t="n">
        <v>452</v>
      </c>
      <c r="B473" s="6" t="inlineStr">
        <is>
          <t>Oui Coffee Malang</t>
        </is>
      </c>
      <c r="C473" s="6" t="n">
        <v>48603</v>
      </c>
      <c r="D473" s="6" t="n">
        <v>-7.9267033</v>
      </c>
      <c r="E473" s="6" t="n">
        <v>112.6453935</v>
      </c>
      <c r="F473" s="6" t="inlineStr">
        <is>
          <t>Sedang</t>
        </is>
      </c>
    </row>
    <row r="474">
      <c r="A474" s="6" t="n">
        <v>453</v>
      </c>
      <c r="B474" s="6" t="inlineStr">
        <is>
          <t>And Coffee Space</t>
        </is>
      </c>
      <c r="C474" s="6" t="n">
        <v>69638</v>
      </c>
      <c r="D474" s="6" t="n">
        <v>-7.9631751</v>
      </c>
      <c r="E474" s="6" t="n">
        <v>112.6220671</v>
      </c>
      <c r="F474" s="6" t="inlineStr">
        <is>
          <t>Sedang</t>
        </is>
      </c>
    </row>
    <row r="475">
      <c r="A475" s="6" t="n">
        <v>454</v>
      </c>
      <c r="B475" s="6" t="inlineStr">
        <is>
          <t>Bataputi Coffee House</t>
        </is>
      </c>
      <c r="C475" s="6" t="n">
        <v>68051</v>
      </c>
      <c r="D475" s="6" t="n">
        <v>-7.9401249</v>
      </c>
      <c r="E475" s="6" t="n">
        <v>112.6642684</v>
      </c>
      <c r="F475" s="6" t="inlineStr">
        <is>
          <t>Sedang</t>
        </is>
      </c>
    </row>
    <row r="476">
      <c r="A476" s="6" t="n">
        <v>455</v>
      </c>
      <c r="B476" s="6" t="inlineStr">
        <is>
          <t>Henshin Coffee Cafe</t>
        </is>
      </c>
      <c r="C476" s="6" t="n">
        <v>64448</v>
      </c>
      <c r="D476" s="6" t="n">
        <v>-7.9394617</v>
      </c>
      <c r="E476" s="6" t="n">
        <v>112.5938292</v>
      </c>
      <c r="F476" s="6" t="inlineStr">
        <is>
          <t>Sedang</t>
        </is>
      </c>
    </row>
    <row r="477">
      <c r="A477" s="6" t="n">
        <v>456</v>
      </c>
      <c r="B477" s="6" t="inlineStr">
        <is>
          <t>Coffee Cafe Malang , Grand Mercure Malang</t>
        </is>
      </c>
      <c r="C477" s="6" t="n">
        <v>66395</v>
      </c>
      <c r="D477" s="6" t="n">
        <v>-7.9413458</v>
      </c>
      <c r="E477" s="6" t="n">
        <v>112.6485666</v>
      </c>
      <c r="F477" s="6" t="inlineStr">
        <is>
          <t>Sedang</t>
        </is>
      </c>
    </row>
    <row r="478">
      <c r="A478" s="6" t="n">
        <v>457</v>
      </c>
      <c r="B478" s="6" t="inlineStr">
        <is>
          <t>Naiki Cafe</t>
        </is>
      </c>
      <c r="C478" s="6" t="n">
        <v>79715</v>
      </c>
      <c r="D478" s="6" t="n">
        <v>-7.974972</v>
      </c>
      <c r="E478" s="6" t="n">
        <v>112.626137</v>
      </c>
      <c r="F478" s="6" t="inlineStr">
        <is>
          <t>Sedang</t>
        </is>
      </c>
    </row>
    <row r="479">
      <c r="A479" s="6" t="n">
        <v>458</v>
      </c>
      <c r="B479" s="6" t="inlineStr">
        <is>
          <t>Capella Coffee &amp; Eatery</t>
        </is>
      </c>
      <c r="C479" s="6" t="n">
        <v>75774</v>
      </c>
      <c r="D479" s="6" t="n">
        <v>-7.9408646</v>
      </c>
      <c r="E479" s="6" t="n">
        <v>112.5794296</v>
      </c>
      <c r="F479" s="6" t="inlineStr">
        <is>
          <t>Sedang</t>
        </is>
      </c>
    </row>
    <row r="480">
      <c r="A480" s="6" t="n">
        <v>459</v>
      </c>
      <c r="B480" s="6" t="inlineStr">
        <is>
          <t>Forenoon Coffee</t>
        </is>
      </c>
      <c r="C480" s="6" t="n">
        <v>75125</v>
      </c>
      <c r="D480" s="6" t="n">
        <v>-7.9418084</v>
      </c>
      <c r="E480" s="6" t="n">
        <v>112.6610201</v>
      </c>
      <c r="F480" s="6" t="inlineStr">
        <is>
          <t>Sedang</t>
        </is>
      </c>
    </row>
    <row r="481">
      <c r="A481" s="6" t="n">
        <v>460</v>
      </c>
      <c r="B481" s="6" t="inlineStr">
        <is>
          <t>Roewang Tamoe Coffee &amp; Space</t>
        </is>
      </c>
      <c r="C481" s="6" t="n">
        <v>77511</v>
      </c>
      <c r="D481" s="6" t="n">
        <v>-7.9861563</v>
      </c>
      <c r="E481" s="6" t="n">
        <v>112.6530101</v>
      </c>
      <c r="F481" s="6" t="inlineStr">
        <is>
          <t>Sedang</t>
        </is>
      </c>
    </row>
    <row r="482">
      <c r="A482" s="6" t="n">
        <v>461</v>
      </c>
      <c r="B482" s="6" t="inlineStr">
        <is>
          <t>nowhere coffee</t>
        </is>
      </c>
      <c r="C482" s="6" t="n">
        <v>62821</v>
      </c>
      <c r="D482" s="6" t="n">
        <v>-7.9572232</v>
      </c>
      <c r="E482" s="6" t="n">
        <v>112.617358</v>
      </c>
      <c r="F482" s="6" t="inlineStr">
        <is>
          <t>Sedang</t>
        </is>
      </c>
    </row>
    <row r="483">
      <c r="A483" s="6" t="n">
        <v>463</v>
      </c>
      <c r="B483" s="6" t="inlineStr">
        <is>
          <t>Nakoa Cafe Bondowoso</t>
        </is>
      </c>
      <c r="C483" s="6" t="n">
        <v>52457</v>
      </c>
      <c r="D483" s="6" t="n">
        <v>-7.9674742</v>
      </c>
      <c r="E483" s="6" t="n">
        <v>112.6163677</v>
      </c>
      <c r="F483" s="6" t="inlineStr">
        <is>
          <t>Sedang</t>
        </is>
      </c>
    </row>
    <row r="484">
      <c r="A484" s="6" t="n">
        <v>465</v>
      </c>
      <c r="B484" s="6" t="inlineStr">
        <is>
          <t>Brick Lane Coffee Malang</t>
        </is>
      </c>
      <c r="C484" s="6" t="n">
        <v>46058</v>
      </c>
      <c r="D484" s="6" t="n">
        <v>-7.9645091</v>
      </c>
      <c r="E484" s="6" t="n">
        <v>112.6189659</v>
      </c>
      <c r="F484" s="6" t="inlineStr">
        <is>
          <t>Sedang</t>
        </is>
      </c>
    </row>
    <row r="485">
      <c r="A485" s="6" t="n">
        <v>470</v>
      </c>
      <c r="B485" s="6" t="inlineStr">
        <is>
          <t>the lust coffee &amp; co</t>
        </is>
      </c>
      <c r="C485" s="6" t="n">
        <v>45880</v>
      </c>
      <c r="D485" s="6" t="n">
        <v>-7.9409434</v>
      </c>
      <c r="E485" s="6" t="n">
        <v>112.6606436</v>
      </c>
      <c r="F485" s="6" t="inlineStr">
        <is>
          <t>Sedang</t>
        </is>
      </c>
    </row>
    <row r="486">
      <c r="A486" s="6" t="n">
        <v>471</v>
      </c>
      <c r="B486" s="6" t="inlineStr">
        <is>
          <t>Hidden Leaf Coffee &amp; Roastery</t>
        </is>
      </c>
      <c r="C486" s="6" t="n">
        <v>67860</v>
      </c>
      <c r="D486" s="6" t="n">
        <v>-8.023792800000001</v>
      </c>
      <c r="E486" s="6" t="n">
        <v>112.6427065</v>
      </c>
      <c r="F486" s="6" t="inlineStr">
        <is>
          <t>Sedang</t>
        </is>
      </c>
    </row>
    <row r="487">
      <c r="A487" s="6" t="n">
        <v>472</v>
      </c>
      <c r="B487" s="6" t="inlineStr">
        <is>
          <t>Soma Coffee - Malang</t>
        </is>
      </c>
      <c r="C487" s="6" t="n">
        <v>71823</v>
      </c>
      <c r="D487" s="6" t="n">
        <v>-7.9787275</v>
      </c>
      <c r="E487" s="6" t="n">
        <v>112.6292464</v>
      </c>
      <c r="F487" s="6" t="inlineStr">
        <is>
          <t>Sedang</t>
        </is>
      </c>
    </row>
    <row r="488">
      <c r="A488" s="6" t="n">
        <v>474</v>
      </c>
      <c r="B488" s="6" t="inlineStr">
        <is>
          <t>Lupa Lelah Cafe</t>
        </is>
      </c>
      <c r="C488" s="6" t="n">
        <v>76228</v>
      </c>
      <c r="D488" s="6" t="n">
        <v>-7.9344841</v>
      </c>
      <c r="E488" s="6" t="n">
        <v>112.6291273</v>
      </c>
      <c r="F488" s="6" t="inlineStr">
        <is>
          <t>Sedang</t>
        </is>
      </c>
    </row>
    <row r="489">
      <c r="A489" s="6" t="n">
        <v>477</v>
      </c>
      <c r="B489" s="6" t="inlineStr">
        <is>
          <t>Motiv Coffee</t>
        </is>
      </c>
      <c r="C489" s="6" t="n">
        <v>76518</v>
      </c>
      <c r="D489" s="6" t="n">
        <v>-7.9462133</v>
      </c>
      <c r="E489" s="6" t="n">
        <v>112.6131483</v>
      </c>
      <c r="F489" s="6" t="inlineStr">
        <is>
          <t>Sedang</t>
        </is>
      </c>
    </row>
    <row r="490">
      <c r="A490" s="6" t="n">
        <v>479</v>
      </c>
      <c r="B490" s="6" t="inlineStr">
        <is>
          <t>Kopi Zocco</t>
        </is>
      </c>
      <c r="C490" s="6" t="n">
        <v>47819</v>
      </c>
      <c r="D490" s="6" t="n">
        <v>-7.9575219</v>
      </c>
      <c r="E490" s="6" t="n">
        <v>112.6451674</v>
      </c>
      <c r="F490" s="6" t="inlineStr">
        <is>
          <t>Sedang</t>
        </is>
      </c>
    </row>
    <row r="491">
      <c r="A491" s="6" t="n">
        <v>482</v>
      </c>
      <c r="B491" s="6" t="inlineStr">
        <is>
          <t>KOZI Coffee Malang</t>
        </is>
      </c>
      <c r="C491" s="6" t="n">
        <v>60562</v>
      </c>
      <c r="D491" s="6" t="n">
        <v>-7.9618078</v>
      </c>
      <c r="E491" s="6" t="n">
        <v>112.6242126</v>
      </c>
      <c r="F491" s="6" t="inlineStr">
        <is>
          <t>Sedang</t>
        </is>
      </c>
    </row>
    <row r="492">
      <c r="A492" s="6" t="n">
        <v>483</v>
      </c>
      <c r="B492" s="6" t="inlineStr">
        <is>
          <t>Queen coffee malang</t>
        </is>
      </c>
      <c r="C492" s="6" t="n">
        <v>75739</v>
      </c>
      <c r="D492" s="6" t="n">
        <v>-7.9725129</v>
      </c>
      <c r="E492" s="6" t="n">
        <v>112.6418945</v>
      </c>
      <c r="F492" s="6" t="inlineStr">
        <is>
          <t>Sedang</t>
        </is>
      </c>
    </row>
    <row r="493">
      <c r="A493" s="6" t="n">
        <v>484</v>
      </c>
      <c r="B493" s="6" t="inlineStr">
        <is>
          <t>Vianota Coffee</t>
        </is>
      </c>
      <c r="C493" s="6" t="n">
        <v>57594</v>
      </c>
      <c r="D493" s="6" t="n">
        <v>-7.9767704</v>
      </c>
      <c r="E493" s="6" t="n">
        <v>112.6637201</v>
      </c>
      <c r="F493" s="6" t="inlineStr">
        <is>
          <t>Sedang</t>
        </is>
      </c>
    </row>
    <row r="494">
      <c r="A494" s="6" t="n">
        <v>485</v>
      </c>
      <c r="B494" s="6" t="inlineStr">
        <is>
          <t>Kopi Sontoloyo</t>
        </is>
      </c>
      <c r="C494" s="6" t="n">
        <v>61959</v>
      </c>
      <c r="D494" s="6" t="n">
        <v>-7.938053</v>
      </c>
      <c r="E494" s="6" t="n">
        <v>112.5849777</v>
      </c>
      <c r="F494" s="6" t="inlineStr">
        <is>
          <t>Sedang</t>
        </is>
      </c>
    </row>
    <row r="495">
      <c r="A495" s="6" t="n">
        <v>486</v>
      </c>
      <c r="B495" s="6" t="inlineStr">
        <is>
          <t>Kismo Coffee House</t>
        </is>
      </c>
      <c r="C495" s="6" t="n">
        <v>68977</v>
      </c>
      <c r="D495" s="6" t="n">
        <v>-7.9298338</v>
      </c>
      <c r="E495" s="6" t="n">
        <v>112.6034905</v>
      </c>
      <c r="F495" s="6" t="inlineStr">
        <is>
          <t>Sedang</t>
        </is>
      </c>
    </row>
    <row r="496">
      <c r="A496" s="6" t="n">
        <v>488</v>
      </c>
      <c r="B496" s="6" t="inlineStr">
        <is>
          <t>Jeda Cafe Rooftop</t>
        </is>
      </c>
      <c r="C496" s="6" t="n">
        <v>69283</v>
      </c>
      <c r="D496" s="6" t="n">
        <v>-7.9276466</v>
      </c>
      <c r="E496" s="6" t="n">
        <v>112.6063469</v>
      </c>
      <c r="F496" s="6" t="inlineStr">
        <is>
          <t>Sedang</t>
        </is>
      </c>
    </row>
    <row r="497">
      <c r="A497" s="6" t="n">
        <v>490</v>
      </c>
      <c r="B497" s="6" t="inlineStr">
        <is>
          <t>OURA - Cafe &amp; Restaurant</t>
        </is>
      </c>
      <c r="C497" s="6" t="n">
        <v>122461</v>
      </c>
      <c r="D497" s="6" t="n">
        <v>-7.9678288</v>
      </c>
      <c r="E497" s="6" t="n">
        <v>112.6217853</v>
      </c>
      <c r="F497" s="6" t="inlineStr">
        <is>
          <t>Sedang</t>
        </is>
      </c>
    </row>
    <row r="498">
      <c r="A498" s="6" t="n">
        <v>491</v>
      </c>
      <c r="B498" s="6" t="inlineStr">
        <is>
          <t>Amstirdam Coffee Mergan</t>
        </is>
      </c>
      <c r="C498" s="6" t="n">
        <v>52777</v>
      </c>
      <c r="D498" s="6" t="n">
        <v>-7.983007</v>
      </c>
      <c r="E498" s="6" t="n">
        <v>112.6160149</v>
      </c>
      <c r="F498" s="6" t="inlineStr">
        <is>
          <t>Sedang</t>
        </is>
      </c>
    </row>
    <row r="499">
      <c r="A499" s="6" t="n">
        <v>492</v>
      </c>
      <c r="B499" s="6" t="inlineStr">
        <is>
          <t>MoMo's Coffee &amp; Bakery</t>
        </is>
      </c>
      <c r="C499" s="6" t="n">
        <v>72146</v>
      </c>
      <c r="D499" s="6" t="n">
        <v>-7.9799596</v>
      </c>
      <c r="E499" s="6" t="n">
        <v>112.6299359</v>
      </c>
      <c r="F499" s="6" t="inlineStr">
        <is>
          <t>Sedang</t>
        </is>
      </c>
    </row>
    <row r="500">
      <c r="A500" s="6" t="n">
        <v>495</v>
      </c>
      <c r="B500" s="6" t="inlineStr">
        <is>
          <t>MMMM Coffee</t>
        </is>
      </c>
      <c r="C500" s="6" t="n">
        <v>44875</v>
      </c>
      <c r="D500" s="6" t="n">
        <v>-7.9755356</v>
      </c>
      <c r="E500" s="6" t="n">
        <v>112.6228085</v>
      </c>
      <c r="F500" s="6" t="inlineStr">
        <is>
          <t>Sedang</t>
        </is>
      </c>
    </row>
    <row r="501">
      <c r="A501" s="6" t="n">
        <v>497</v>
      </c>
      <c r="B501" s="6" t="inlineStr">
        <is>
          <t>UB Coffee - Coffee &amp; Eatery</t>
        </is>
      </c>
      <c r="C501" s="6" t="n">
        <v>59648</v>
      </c>
      <c r="D501" s="6" t="n">
        <v>-7.9477396</v>
      </c>
      <c r="E501" s="6" t="n">
        <v>112.6132613</v>
      </c>
      <c r="F501" s="6" t="inlineStr">
        <is>
          <t>Sedang</t>
        </is>
      </c>
    </row>
    <row r="502">
      <c r="A502" s="6" t="n">
        <v>499</v>
      </c>
      <c r="B502" s="6" t="inlineStr">
        <is>
          <t>Droomhaven Coffee Shop</t>
        </is>
      </c>
      <c r="C502" s="6" t="n">
        <v>46258</v>
      </c>
      <c r="D502" s="6" t="n">
        <v>-7.9641398</v>
      </c>
      <c r="E502" s="6" t="n">
        <v>112.6428931</v>
      </c>
      <c r="F502" s="6" t="inlineStr">
        <is>
          <t>Sedang</t>
        </is>
      </c>
    </row>
    <row r="503">
      <c r="A503" s="6" t="n">
        <v>500</v>
      </c>
      <c r="B503" s="6" t="inlineStr">
        <is>
          <t>Tenthirty coffee and eatery</t>
        </is>
      </c>
      <c r="C503" s="6" t="n">
        <v>78722</v>
      </c>
      <c r="D503" s="6" t="n">
        <v>-7.9360908</v>
      </c>
      <c r="E503" s="6" t="n">
        <v>112.6247192</v>
      </c>
      <c r="F503" s="6" t="inlineStr">
        <is>
          <t>Sedang</t>
        </is>
      </c>
    </row>
    <row r="504">
      <c r="A504" s="6" t="n">
        <v>501</v>
      </c>
      <c r="B504" s="6" t="inlineStr">
        <is>
          <t>SWAG COFFEE Co. Space</t>
        </is>
      </c>
      <c r="C504" s="6" t="n">
        <v>46676</v>
      </c>
      <c r="D504" s="6" t="n">
        <v>-7.9703752</v>
      </c>
      <c r="E504" s="6" t="n">
        <v>112.6607042</v>
      </c>
      <c r="F504" s="6" t="inlineStr">
        <is>
          <t>Sedang</t>
        </is>
      </c>
    </row>
    <row r="505">
      <c r="A505" s="6" t="n">
        <v>503</v>
      </c>
      <c r="B505" s="6" t="inlineStr">
        <is>
          <t>Gin-Gin Cafe, Pool, and Rooftop</t>
        </is>
      </c>
      <c r="C505" s="6" t="n">
        <v>79097</v>
      </c>
      <c r="D505" s="6" t="n">
        <v>-7.965764</v>
      </c>
      <c r="E505" s="6" t="n">
        <v>112.6337294</v>
      </c>
      <c r="F505" s="6" t="inlineStr">
        <is>
          <t>Sedang</t>
        </is>
      </c>
    </row>
    <row r="506">
      <c r="A506" s="6" t="n">
        <v>505</v>
      </c>
      <c r="B506" s="6" t="inlineStr">
        <is>
          <t>Partikular Coffee</t>
        </is>
      </c>
      <c r="C506" s="6" t="n">
        <v>62744</v>
      </c>
      <c r="D506" s="6" t="n">
        <v>-7.9810387</v>
      </c>
      <c r="E506" s="6" t="n">
        <v>112.6278531</v>
      </c>
      <c r="F506" s="6" t="inlineStr">
        <is>
          <t>Sedang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00"/>
  <sheetViews>
    <sheetView zoomScale="75" workbookViewId="0">
      <selection activeCell="E41" sqref="E41"/>
    </sheetView>
  </sheetViews>
  <sheetFormatPr baseColWidth="10" defaultRowHeight="16"/>
  <cols>
    <col width="30" bestFit="1" customWidth="1" style="21" min="2" max="2"/>
    <col width="25" bestFit="1" customWidth="1" style="21" min="3" max="3"/>
    <col width="25" bestFit="1" customWidth="1" style="21" min="4" max="4"/>
    <col width="25" bestFit="1" customWidth="1" style="21" min="5" max="5"/>
    <col width="23.33203125" bestFit="1" customWidth="1" style="21" min="7" max="7"/>
    <col width="19.5" bestFit="1" customWidth="1" style="21" min="8" max="8"/>
    <col width="28.5" bestFit="1" customWidth="1" style="21" min="9" max="9"/>
    <col width="26.33203125" bestFit="1" customWidth="1" style="21" min="11" max="11"/>
    <col width="10.1640625" bestFit="1" customWidth="1" style="21" min="12" max="12"/>
    <col width="38.83203125" bestFit="1" customWidth="1" style="21" min="13" max="13"/>
  </cols>
  <sheetData>
    <row r="1">
      <c r="A1" s="75" t="n"/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J1" s="75" t="n"/>
      <c r="AK1" s="75" t="n"/>
    </row>
    <row r="2">
      <c r="A2" s="75" t="n"/>
      <c r="B2" s="76" t="inlineStr">
        <is>
          <t>FORMULIR PENCARIAN PAKET WISATA</t>
        </is>
      </c>
      <c r="G2" s="75" t="n"/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5" t="n"/>
    </row>
    <row r="3">
      <c r="A3" s="75" t="n"/>
      <c r="B3" s="75" t="n"/>
      <c r="C3" s="77" t="n"/>
      <c r="D3" s="75" t="n"/>
      <c r="E3" s="75" t="n"/>
      <c r="F3" s="75" t="n"/>
      <c r="G3" s="75" t="n"/>
      <c r="H3" s="75" t="n"/>
      <c r="I3" s="75" t="n"/>
      <c r="J3" s="75" t="n"/>
      <c r="K3" s="75" t="n"/>
      <c r="L3" s="77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  <c r="AA3" s="75" t="n"/>
      <c r="AB3" s="75" t="n"/>
      <c r="AC3" s="75" t="n"/>
      <c r="AD3" s="75" t="n"/>
      <c r="AE3" s="75" t="n"/>
      <c r="AF3" s="75" t="n"/>
      <c r="AG3" s="75" t="n"/>
      <c r="AH3" s="75" t="n"/>
      <c r="AI3" s="75" t="n"/>
      <c r="AJ3" s="75" t="n"/>
      <c r="AK3" s="75" t="n"/>
    </row>
    <row r="4">
      <c r="A4" s="75" t="n"/>
      <c r="B4" s="75" t="inlineStr">
        <is>
          <t>Total Anggaran (Rupiah):</t>
        </is>
      </c>
      <c r="C4" s="78" t="n">
        <v>4500000</v>
      </c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  <c r="AA4" s="75" t="n"/>
      <c r="AB4" s="75" t="n"/>
      <c r="AC4" s="75" t="n"/>
      <c r="AD4" s="75" t="n"/>
      <c r="AE4" s="75" t="n"/>
      <c r="AF4" s="75" t="n"/>
      <c r="AG4" s="75" t="n"/>
      <c r="AH4" s="75" t="n"/>
      <c r="AI4" s="75" t="n"/>
      <c r="AJ4" s="75" t="n"/>
      <c r="AK4" s="75" t="n"/>
    </row>
    <row r="5">
      <c r="A5" s="75" t="n"/>
      <c r="B5" s="75" t="inlineStr">
        <is>
          <t>Jumlah Peserta (Orang):</t>
        </is>
      </c>
      <c r="C5" s="79" t="n">
        <v>2</v>
      </c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5" t="n"/>
      <c r="AH5" s="75" t="n"/>
      <c r="AI5" s="75" t="n"/>
      <c r="AJ5" s="75" t="n"/>
      <c r="AK5" s="75" t="n"/>
    </row>
    <row r="6">
      <c r="A6" s="75" t="n"/>
      <c r="B6" s="75" t="inlineStr">
        <is>
          <t>Durasi Liburan (Hari):</t>
        </is>
      </c>
      <c r="C6" s="79" t="n">
        <v>2</v>
      </c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  <c r="AE6" s="75" t="n"/>
      <c r="AF6" s="75" t="n"/>
      <c r="AG6" s="75" t="n"/>
      <c r="AH6" s="75" t="n"/>
      <c r="AI6" s="75" t="n"/>
      <c r="AJ6" s="75" t="n"/>
      <c r="AK6" s="75" t="n"/>
    </row>
    <row r="7">
      <c r="A7" s="75" t="n"/>
      <c r="B7" s="75" t="n"/>
      <c r="C7" s="75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  <c r="AE7" s="75" t="n"/>
      <c r="AF7" s="75" t="n"/>
      <c r="AG7" s="75" t="n"/>
      <c r="AH7" s="75" t="n"/>
      <c r="AI7" s="75" t="n"/>
      <c r="AJ7" s="75" t="n"/>
      <c r="AK7" s="75" t="n"/>
    </row>
    <row r="8">
      <c r="A8" s="75" t="n"/>
      <c r="B8" s="80" t="inlineStr">
        <is>
          <t>KALKULASI OTOMATIS</t>
        </is>
      </c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 t="n"/>
      <c r="AG8" s="75" t="n"/>
      <c r="AH8" s="75" t="n"/>
      <c r="AI8" s="75" t="n"/>
      <c r="AJ8" s="75" t="n"/>
      <c r="AK8" s="75" t="n"/>
    </row>
    <row r="9">
      <c r="A9" s="75" t="n"/>
      <c r="B9" s="75" t="inlineStr">
        <is>
          <t>Budget Per Orang</t>
        </is>
      </c>
      <c r="C9" s="81">
        <f>C4/C5</f>
        <v/>
      </c>
      <c r="D9" s="82" t="inlineStr">
        <is>
          <t>(Total Anggaran ÷ Jumlah Peserta)</t>
        </is>
      </c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  <c r="AE9" s="75" t="n"/>
      <c r="AF9" s="75" t="n"/>
      <c r="AG9" s="75" t="n"/>
      <c r="AH9" s="75" t="n"/>
      <c r="AI9" s="75" t="n"/>
      <c r="AJ9" s="75" t="n"/>
      <c r="AK9" s="75" t="n"/>
    </row>
    <row r="10">
      <c r="A10" s="75" t="n"/>
      <c r="B10" s="75" t="inlineStr">
        <is>
          <t>Kebutuhan Kamar Hotel</t>
        </is>
      </c>
      <c r="C10" s="83">
        <f>ROUNDUP(C5/2, 0)</f>
        <v/>
      </c>
      <c r="D10" s="82" t="inlineStr">
        <is>
          <t>(1 kamar maks 2 orang)</t>
        </is>
      </c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  <c r="AE10" s="75" t="n"/>
      <c r="AF10" s="75" t="n"/>
      <c r="AG10" s="75" t="n"/>
      <c r="AH10" s="75" t="n"/>
      <c r="AI10" s="75" t="n"/>
      <c r="AJ10" s="75" t="n"/>
      <c r="AK10" s="75" t="n"/>
    </row>
    <row r="11">
      <c r="A11" s="75" t="n"/>
      <c r="B11" s="75" t="inlineStr">
        <is>
          <t>Total Kebutuhan Makan</t>
        </is>
      </c>
      <c r="C11" s="83">
        <f>C5 * C6 * 3</f>
        <v/>
      </c>
      <c r="D11" s="82" t="inlineStr">
        <is>
          <t>(Peserta Hari 3 kali makan)</t>
        </is>
      </c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  <c r="AE11" s="75" t="n"/>
      <c r="AF11" s="75" t="n"/>
      <c r="AG11" s="75" t="n"/>
      <c r="AH11" s="75" t="n"/>
      <c r="AI11" s="75" t="n"/>
      <c r="AJ11" s="75" t="n"/>
      <c r="AK11" s="75" t="n"/>
    </row>
    <row r="12">
      <c r="A12" s="75" t="n"/>
      <c r="B12" s="75" t="n"/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75" t="n"/>
      <c r="AI12" s="75" t="n"/>
      <c r="AJ12" s="75" t="n"/>
      <c r="AK12" s="75" t="n"/>
    </row>
    <row r="13">
      <c r="A13" s="75" t="n"/>
      <c r="B13" s="80" t="inlineStr">
        <is>
          <t>STRATEGI ALOKASI BUDGET (berdasarkan Marigallang et al., 2024)</t>
        </is>
      </c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  <c r="AE13" s="75" t="n"/>
      <c r="AF13" s="75" t="n"/>
      <c r="AG13" s="75" t="n"/>
      <c r="AH13" s="75" t="n"/>
      <c r="AI13" s="75" t="n"/>
      <c r="AJ13" s="75" t="n"/>
      <c r="AK13" s="75" t="n"/>
    </row>
    <row r="14">
      <c r="A14" s="75" t="n"/>
      <c r="B14" s="84" t="inlineStr">
        <is>
          <t>Catatan: Pembagian budget berbeda untuk setiap paket</t>
        </is>
      </c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  <c r="AE14" s="75" t="n"/>
      <c r="AF14" s="75" t="n"/>
      <c r="AG14" s="75" t="n"/>
      <c r="AH14" s="75" t="n"/>
      <c r="AI14" s="75" t="n"/>
      <c r="AJ14" s="75" t="n"/>
      <c r="AK14" s="75" t="n"/>
    </row>
    <row r="15">
      <c r="A15" s="75" t="n"/>
      <c r="B15" s="75" t="n"/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  <c r="AE15" s="75" t="n"/>
      <c r="AF15" s="75" t="n"/>
      <c r="AG15" s="75" t="n"/>
      <c r="AH15" s="75" t="n"/>
      <c r="AI15" s="75" t="n"/>
      <c r="AJ15" s="75" t="n"/>
      <c r="AK15" s="75" t="n"/>
    </row>
    <row r="16" ht="17" customHeight="1" s="21" thickBot="1">
      <c r="A16" s="75" t="n"/>
      <c r="B16" s="85" t="inlineStr">
        <is>
          <t>Komponen</t>
        </is>
      </c>
      <c r="C16" s="85" t="inlineStr">
        <is>
          <t>PAKET HEMAT</t>
        </is>
      </c>
      <c r="D16" s="85" t="inlineStr">
        <is>
          <t>PAKET BALANCED</t>
        </is>
      </c>
      <c r="E16" s="85" t="inlineStr">
        <is>
          <t>PAKET PREMIUM</t>
        </is>
      </c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  <c r="AF16" s="75" t="n"/>
      <c r="AG16" s="75" t="n"/>
      <c r="AH16" s="75" t="n"/>
      <c r="AI16" s="75" t="n"/>
      <c r="AJ16" s="75" t="n"/>
      <c r="AK16" s="75" t="n"/>
    </row>
    <row r="17">
      <c r="A17" s="75" t="n"/>
      <c r="B17" s="75" t="inlineStr">
        <is>
          <t>Hotel (% dari total budget)</t>
        </is>
      </c>
      <c r="C17" s="86" t="inlineStr">
        <is>
          <t>12%</t>
        </is>
      </c>
      <c r="D17" s="86" t="inlineStr">
        <is>
          <t>16%</t>
        </is>
      </c>
      <c r="E17" s="86" t="inlineStr">
        <is>
          <t>25%</t>
        </is>
      </c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  <c r="AA17" s="75" t="n"/>
      <c r="AB17" s="75" t="n"/>
      <c r="AC17" s="75" t="n"/>
      <c r="AD17" s="75" t="n"/>
      <c r="AE17" s="75" t="n"/>
      <c r="AF17" s="75" t="n"/>
      <c r="AG17" s="75" t="n"/>
      <c r="AH17" s="75" t="n"/>
      <c r="AI17" s="75" t="n"/>
      <c r="AJ17" s="75" t="n"/>
      <c r="AK17" s="75" t="n"/>
    </row>
    <row r="18">
      <c r="A18" s="75" t="n"/>
      <c r="B18" s="75" t="inlineStr">
        <is>
          <t>Budget Hotel</t>
        </is>
      </c>
      <c r="C18" s="87">
        <f>C4*12%</f>
        <v/>
      </c>
      <c r="D18" s="87">
        <f>C4*16%</f>
        <v/>
      </c>
      <c r="E18" s="87">
        <f>C4*25%</f>
        <v/>
      </c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  <c r="AF18" s="75" t="n"/>
      <c r="AG18" s="75" t="n"/>
      <c r="AH18" s="75" t="n"/>
      <c r="AI18" s="75" t="n"/>
      <c r="AJ18" s="75" t="n"/>
      <c r="AK18" s="75" t="n"/>
    </row>
    <row r="19" ht="17" customHeight="1" s="21" thickBot="1">
      <c r="A19" s="75" t="n"/>
      <c r="B19" s="75" t="inlineStr">
        <is>
          <t>Budget Hotel per Malam</t>
        </is>
      </c>
      <c r="C19" s="87">
        <f>C18/C6/C10</f>
        <v/>
      </c>
      <c r="D19" s="87">
        <f>D18/C6/C10</f>
        <v/>
      </c>
      <c r="E19" s="87">
        <f>E18/C6/C10</f>
        <v/>
      </c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75" t="n"/>
      <c r="AK19" s="75" t="n"/>
    </row>
    <row r="20" ht="17" customHeight="1" s="21" thickBot="1">
      <c r="A20" s="75" t="n"/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 t="n"/>
      <c r="AG20" s="75" t="n"/>
      <c r="AH20" s="75" t="n"/>
      <c r="AI20" s="75" t="n"/>
      <c r="AJ20" s="75" t="n"/>
      <c r="AK20" s="75" t="n"/>
    </row>
    <row r="21">
      <c r="A21" s="75" t="n"/>
      <c r="B21" s="75" t="inlineStr">
        <is>
          <t>Wisata (% dari total budget)</t>
        </is>
      </c>
      <c r="C21" s="86" t="inlineStr">
        <is>
          <t>15%</t>
        </is>
      </c>
      <c r="D21" s="86" t="inlineStr">
        <is>
          <t>22%</t>
        </is>
      </c>
      <c r="E21" s="86" t="inlineStr">
        <is>
          <t>25%</t>
        </is>
      </c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  <c r="AF21" s="75" t="n"/>
      <c r="AG21" s="75" t="n"/>
      <c r="AH21" s="75" t="n"/>
      <c r="AI21" s="75" t="n"/>
      <c r="AJ21" s="75" t="n"/>
      <c r="AK21" s="75" t="n"/>
    </row>
    <row r="22">
      <c r="A22" s="75" t="n"/>
      <c r="B22" s="75" t="inlineStr">
        <is>
          <t>Budget Wisata</t>
        </is>
      </c>
      <c r="C22" s="87">
        <f>C4*15%</f>
        <v/>
      </c>
      <c r="D22" s="87">
        <f>C4*22%</f>
        <v/>
      </c>
      <c r="E22" s="87">
        <f>C4*25%</f>
        <v/>
      </c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  <c r="AE22" s="75" t="n"/>
      <c r="AF22" s="75" t="n"/>
      <c r="AG22" s="75" t="n"/>
      <c r="AH22" s="75" t="n"/>
      <c r="AI22" s="75" t="n"/>
      <c r="AJ22" s="75" t="n"/>
      <c r="AK22" s="75" t="n"/>
    </row>
    <row r="23" ht="17" customHeight="1" s="21" thickBot="1">
      <c r="A23" s="75" t="n"/>
      <c r="B23" s="75" t="inlineStr">
        <is>
          <t>Budget Wisata per Orang</t>
        </is>
      </c>
      <c r="C23" s="87">
        <f>C22/C5</f>
        <v/>
      </c>
      <c r="D23" s="87">
        <f>D22/C5</f>
        <v/>
      </c>
      <c r="E23" s="87">
        <f>E22/C5</f>
        <v/>
      </c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  <c r="AF23" s="75" t="n"/>
      <c r="AG23" s="75" t="n"/>
      <c r="AH23" s="75" t="n"/>
      <c r="AI23" s="75" t="n"/>
      <c r="AJ23" s="75" t="n"/>
      <c r="AK23" s="75" t="n"/>
    </row>
    <row r="24" ht="17" customHeight="1" s="21" thickBot="1">
      <c r="A24" s="75" t="n"/>
      <c r="B24" s="75" t="n"/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  <c r="AF24" s="75" t="n"/>
      <c r="AG24" s="75" t="n"/>
      <c r="AH24" s="75" t="n"/>
      <c r="AI24" s="75" t="n"/>
      <c r="AJ24" s="75" t="n"/>
      <c r="AK24" s="75" t="n"/>
    </row>
    <row r="25">
      <c r="A25" s="75" t="n"/>
      <c r="B25" s="75" t="inlineStr">
        <is>
          <t>Makan (% dari total budget)</t>
        </is>
      </c>
      <c r="C25" s="86" t="inlineStr">
        <is>
          <t>25%</t>
        </is>
      </c>
      <c r="D25" s="86" t="inlineStr">
        <is>
          <t>30%</t>
        </is>
      </c>
      <c r="E25" s="86" t="inlineStr">
        <is>
          <t>35%</t>
        </is>
      </c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  <c r="AF25" s="75" t="n"/>
      <c r="AG25" s="75" t="n"/>
      <c r="AH25" s="75" t="n"/>
      <c r="AI25" s="75" t="n"/>
      <c r="AJ25" s="75" t="n"/>
      <c r="AK25" s="75" t="n"/>
    </row>
    <row r="26">
      <c r="A26" s="75" t="n"/>
      <c r="B26" s="75" t="inlineStr">
        <is>
          <t>Budget Makan</t>
        </is>
      </c>
      <c r="C26" s="87">
        <f>C4*25%</f>
        <v/>
      </c>
      <c r="D26" s="87">
        <f>C4*30%</f>
        <v/>
      </c>
      <c r="E26" s="87">
        <f>C4*35%</f>
        <v/>
      </c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  <c r="AF26" s="75" t="n"/>
      <c r="AG26" s="75" t="n"/>
      <c r="AH26" s="75" t="n"/>
      <c r="AI26" s="75" t="n"/>
      <c r="AJ26" s="75" t="n"/>
      <c r="AK26" s="75" t="n"/>
    </row>
    <row r="27">
      <c r="A27" s="75" t="n"/>
      <c r="B27" s="75" t="inlineStr">
        <is>
          <t>Budget Makan per Porsi</t>
        </is>
      </c>
      <c r="C27" s="87">
        <f>C26/C11</f>
        <v/>
      </c>
      <c r="D27" s="87">
        <f>D26/C11</f>
        <v/>
      </c>
      <c r="E27" s="87">
        <f>E26/C11</f>
        <v/>
      </c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  <c r="AF27" s="75" t="n"/>
      <c r="AG27" s="75" t="n"/>
      <c r="AH27" s="75" t="n"/>
      <c r="AI27" s="75" t="n"/>
      <c r="AJ27" s="75" t="n"/>
      <c r="AK27" s="75" t="n"/>
    </row>
    <row r="28">
      <c r="A28" s="75" t="n"/>
      <c r="B28" s="75" t="n"/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  <c r="AF28" s="75" t="n"/>
      <c r="AG28" s="75" t="n"/>
      <c r="AH28" s="75" t="n"/>
      <c r="AI28" s="75" t="n"/>
      <c r="AJ28" s="75" t="n"/>
      <c r="AK28" s="75" t="n"/>
    </row>
    <row r="29">
      <c r="A29" s="75" t="n"/>
      <c r="B29" s="88" t="inlineStr">
        <is>
          <t>Total Budget Dialokasikan</t>
        </is>
      </c>
      <c r="C29" s="89">
        <f>C18+C22+C26</f>
        <v/>
      </c>
      <c r="D29" s="89">
        <f>D18+D22+D26</f>
        <v/>
      </c>
      <c r="E29" s="89">
        <f>E18+E22+E26</f>
        <v/>
      </c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  <c r="AG29" s="75" t="n"/>
      <c r="AH29" s="75" t="n"/>
      <c r="AI29" s="75" t="n"/>
      <c r="AJ29" s="75" t="n"/>
      <c r="AK29" s="75" t="n"/>
    </row>
    <row r="30">
      <c r="A30" s="75" t="n"/>
      <c r="B30" s="88" t="inlineStr">
        <is>
          <t>Sisa Budget (Buffer)</t>
        </is>
      </c>
      <c r="C30" s="90">
        <f>C4-C29</f>
        <v/>
      </c>
      <c r="D30" s="90">
        <f>C4-D29</f>
        <v/>
      </c>
      <c r="E30" s="90">
        <f>C4-E29</f>
        <v/>
      </c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 t="n"/>
      <c r="AG30" s="75" t="n"/>
      <c r="AH30" s="75" t="n"/>
      <c r="AI30" s="75" t="n"/>
      <c r="AJ30" s="75" t="n"/>
      <c r="AK30" s="75" t="n"/>
    </row>
    <row r="31" ht="17" customHeight="1" s="21" thickBot="1">
      <c r="A31" s="75" t="n"/>
      <c r="B31" s="75" t="n"/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 t="n"/>
      <c r="AG31" s="75" t="n"/>
      <c r="AH31" s="75" t="n"/>
      <c r="AI31" s="75" t="n"/>
      <c r="AJ31" s="75" t="n"/>
      <c r="AK31" s="75" t="n"/>
    </row>
    <row r="32">
      <c r="A32" s="75" t="n"/>
      <c r="B32" s="91" t="inlineStr">
        <is>
          <t>REKOMENDASI PAKET WISATA</t>
        </is>
      </c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5" t="n"/>
    </row>
    <row r="33">
      <c r="A33" s="75" t="n"/>
      <c r="B33" s="84" t="inlineStr">
        <is>
          <t>Catatan: Rekomendasi berdasarkan hasil clustering FCM dan budget allocation</t>
        </is>
      </c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  <c r="AG33" s="75" t="n"/>
      <c r="AH33" s="75" t="n"/>
      <c r="AI33" s="75" t="n"/>
      <c r="AJ33" s="75" t="n"/>
      <c r="AK33" s="75" t="n"/>
    </row>
    <row r="34">
      <c r="A34" s="75" t="n"/>
      <c r="B34" s="75" t="n"/>
      <c r="C34" s="92" t="n"/>
      <c r="D34" s="92" t="n"/>
      <c r="E34" s="92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  <c r="AF34" s="75" t="n"/>
      <c r="AG34" s="75" t="n"/>
      <c r="AH34" s="75" t="n"/>
      <c r="AI34" s="75" t="n"/>
      <c r="AJ34" s="75" t="n"/>
      <c r="AK34" s="75" t="n"/>
    </row>
    <row r="35">
      <c r="A35" s="75" t="n"/>
      <c r="B35" s="93" t="inlineStr">
        <is>
          <t>Komponen</t>
        </is>
      </c>
      <c r="C35" s="94" t="inlineStr">
        <is>
          <t>PAKET HEMAT</t>
        </is>
      </c>
      <c r="D35" s="95" t="inlineStr">
        <is>
          <t>PAKET BALANCED</t>
        </is>
      </c>
      <c r="E35" s="96" t="inlineStr">
        <is>
          <t>PAKET PREMIUM</t>
        </is>
      </c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92" t="n"/>
      <c r="AE35" s="92" t="n"/>
      <c r="AF35" s="92" t="n"/>
      <c r="AG35" s="75" t="n"/>
      <c r="AH35" s="75" t="n"/>
      <c r="AI35" s="77" t="n"/>
      <c r="AJ35" s="77" t="n"/>
      <c r="AK35" s="75" t="n"/>
    </row>
    <row r="36">
      <c r="A36" s="75" t="n"/>
      <c r="B36" s="75" t="n"/>
      <c r="C36" s="92" t="n"/>
      <c r="D36" s="92" t="n"/>
      <c r="E36" s="92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92" t="n"/>
      <c r="AE36" s="92" t="n"/>
      <c r="AF36" s="92" t="n"/>
      <c r="AG36" s="75" t="n"/>
      <c r="AH36" s="75" t="n"/>
      <c r="AI36" s="77" t="n"/>
      <c r="AJ36" s="77" t="n"/>
      <c r="AK36" s="75" t="n"/>
    </row>
    <row r="37">
      <c r="A37" s="75" t="n"/>
      <c r="B37" s="97" t="inlineStr">
        <is>
          <t>HOTEL</t>
        </is>
      </c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92" t="n"/>
      <c r="AE37" s="92" t="n"/>
      <c r="AF37" s="92" t="n"/>
      <c r="AG37" s="75" t="n"/>
      <c r="AH37" s="75" t="n"/>
      <c r="AI37" s="77" t="n"/>
      <c r="AJ37" s="77" t="n"/>
      <c r="AK37" s="75" t="n"/>
    </row>
    <row r="38">
      <c r="A38" s="75" t="n"/>
      <c r="B38" s="75" t="inlineStr">
        <is>
          <t>Nama Hotel</t>
        </is>
      </c>
      <c r="C38" s="98">
        <f>INDEX(HOTEL_KAT!$B:$B, MATCH("Murah", HOTEL_KAT!$F:$F, 0))</f>
        <v/>
      </c>
      <c r="D38" s="98">
        <f>INDEX(HOTEL_KAT!B:B, SUMPRODUCT(MAX((HOTEL_KAT!F:F="Sedang")*(HOTEL_KAT!C:C&lt;=D19)*(HOTEL_KAT!C:C&gt;0)*ROW(HOTEL_KAT!C:C))))</f>
        <v/>
      </c>
      <c r="E38" s="98">
        <f>INDEX(HOTEL_KAT!B:B, SUMPRODUCT(MAX((HOTEL_KAT!F:F="Mahal")*(HOTEL_KAT!C:C&gt;0)*ROW(HOTEL_KAT!C:C))))</f>
        <v/>
      </c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  <c r="AF38" s="75" t="n"/>
      <c r="AG38" s="75" t="n"/>
      <c r="AH38" s="75" t="n"/>
      <c r="AI38" s="98" t="n"/>
      <c r="AJ38" s="98" t="n"/>
      <c r="AK38" s="98" t="n"/>
    </row>
    <row r="39">
      <c r="A39" s="75" t="n"/>
      <c r="B39" s="75" t="inlineStr">
        <is>
          <t>Harga per Malam</t>
        </is>
      </c>
      <c r="C39" s="87">
        <f>INDEX(HOTEL_KAT!$C:$C, MATCH("Murah", HOTEL_KAT!$F:$F, 0))</f>
        <v/>
      </c>
      <c r="D39" s="87">
        <f>INDEX(HOTEL_KAT!$C:$C, SUMPRODUCT(MAX((HOTEL_KAT!$F:$F="Sedang")*(HOTEL_KAT!$C:$C&lt;=D19)*(HOTEL_KAT!$C:$C&gt;0)*ROW(HOTEL_KAT!$C:$C))))</f>
        <v/>
      </c>
      <c r="E39" s="87">
        <f>INDEX(HOTEL_KAT!$C:$C, SUMPRODUCT(MAX((HOTEL_KAT!$F:$F="Mahal")*(HOTEL_KAT!$C:$C&gt;0)*ROW(HOTEL_KAT!$C:$C))))</f>
        <v/>
      </c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  <c r="AF39" s="75" t="n"/>
      <c r="AG39" s="75" t="n"/>
      <c r="AH39" s="75" t="n"/>
      <c r="AI39" s="75" t="n"/>
      <c r="AJ39" s="75" t="n"/>
      <c r="AK39" s="75" t="n"/>
    </row>
    <row r="40">
      <c r="A40" s="75" t="n"/>
      <c r="B40" s="75" t="inlineStr">
        <is>
          <t>Total Biaya Hotel</t>
        </is>
      </c>
      <c r="C40" s="99">
        <f>C39*C6*C10</f>
        <v/>
      </c>
      <c r="D40" s="99">
        <f>D39*C6*C10</f>
        <v/>
      </c>
      <c r="E40" s="99">
        <f>E39*C6*C10</f>
        <v/>
      </c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7" t="n"/>
      <c r="AE40" s="77" t="n"/>
      <c r="AF40" s="77" t="n"/>
      <c r="AG40" s="75" t="n"/>
      <c r="AH40" s="75" t="n"/>
      <c r="AI40" s="77" t="n"/>
      <c r="AJ40" s="77" t="n"/>
      <c r="AK40" s="75" t="n"/>
    </row>
    <row r="41">
      <c r="A41" s="75" t="n"/>
      <c r="B41" s="75" t="inlineStr">
        <is>
          <t>Koordinat Hotel (Lat, Long)</t>
        </is>
      </c>
      <c r="C41" s="105">
        <f>INDEX(HOTEL_KAT!$D:$D, MATCH(C38, HOTEL_KAT!$B:$B, 0))</f>
        <v/>
      </c>
      <c r="D41" s="105">
        <f>INDEX(HOTEL_KAT!$D:$D, MATCH(D38, HOTEL_KAT!$B:$B, 0))</f>
        <v/>
      </c>
      <c r="E41" s="105">
        <f>INDEX(HOTEL_KAT!$D:$D, MATCH(E38, HOTEL_KAT!$B:$B, 0))</f>
        <v/>
      </c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  <c r="AF41" s="75" t="n"/>
      <c r="AG41" s="75" t="n"/>
      <c r="AH41" s="75" t="n"/>
      <c r="AI41" s="75" t="n"/>
      <c r="AJ41" s="75" t="n"/>
      <c r="AK41" s="75" t="n"/>
    </row>
    <row r="42">
      <c r="A42" s="75" t="n"/>
      <c r="B42" s="75" t="inlineStr"/>
      <c r="C42" s="105">
        <f>INDEX(HOTEL_KAT!$E:$E, MATCH(C38, HOTEL_KAT!$B:$B, 0))</f>
        <v/>
      </c>
      <c r="D42" s="105">
        <f>INDEX(HOTEL_KAT!$E:$E, MATCH(D38, HOTEL_KAT!$B:$B, 0))</f>
        <v/>
      </c>
      <c r="E42" s="105">
        <f>INDEX(HOTEL_KAT!$E:$E, MATCH(E38, HOTEL_KAT!$B:$B, 0))</f>
        <v/>
      </c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  <c r="AF42" s="75" t="n"/>
      <c r="AG42" s="75" t="n"/>
      <c r="AH42" s="75" t="n"/>
      <c r="AI42" s="75" t="n"/>
      <c r="AJ42" s="75" t="n"/>
      <c r="AK42" s="75" t="n"/>
    </row>
    <row r="43">
      <c r="A43" s="75" t="n"/>
      <c r="B43" s="97" t="inlineStr">
        <is>
          <t>WISATA</t>
        </is>
      </c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  <c r="AF43" s="75" t="n"/>
      <c r="AG43" s="75" t="n"/>
      <c r="AH43" s="75" t="n"/>
      <c r="AI43" s="75" t="n"/>
      <c r="AJ43" s="75" t="n"/>
      <c r="AK43" s="75" t="n"/>
    </row>
    <row r="44">
      <c r="A44" s="75" t="n"/>
      <c r="B44" s="75" t="inlineStr">
        <is>
          <t>Nama Wisata</t>
        </is>
      </c>
      <c r="C44" s="75">
        <f>INDEX(WISATA_KAT!$B:$B, MATCH("Murah", WISATA_KAT!$F:$F, 0))</f>
        <v/>
      </c>
      <c r="D44" s="75">
        <f>INDEX(WISATA_KAT!B:B, SUMPRODUCT(MAX((WISATA_KAT!F:F="Sedang")*(WISATA_KAT!C:C&lt;=D23)*(WISATA_KAT!C:C&gt;0)*ROW(WISATA_KAT!C:C))))</f>
        <v/>
      </c>
      <c r="E44" s="75">
        <f>INDEX(WISATA_KAT!B:B, SUMPRODUCT(MAX((WISATA_KAT!F:F="Mahal")*(WISATA_KAT!C:C&gt;0)*ROW(WISATA_KAT!C:C))))</f>
        <v/>
      </c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  <c r="AE44" s="75" t="n"/>
      <c r="AF44" s="75" t="n"/>
      <c r="AG44" s="75" t="n"/>
      <c r="AH44" s="75" t="n"/>
      <c r="AI44" s="75" t="n"/>
      <c r="AJ44" s="75" t="n"/>
      <c r="AK44" s="75" t="n"/>
    </row>
    <row r="45">
      <c r="A45" s="75" t="n"/>
      <c r="B45" s="75" t="inlineStr">
        <is>
          <t>Harga Tiket per Orang</t>
        </is>
      </c>
      <c r="C45" s="87">
        <f>INDEX(WISATA_KAT!$C:$C, MATCH("Murah", WISATA_KAT!$F:$F, 0))</f>
        <v/>
      </c>
      <c r="D45" s="87">
        <f>INDEX(WISATA_KAT!$C:$C, SUMPRODUCT(MAX((WISATA_KAT!$F:$F="Sedang")*(WISATA_KAT!$C:$C&lt;=D23)*(WISATA_KAT!$C:$C&gt;0)*ROW(WISATA_KAT!$C:$C))))</f>
        <v/>
      </c>
      <c r="E45" s="87">
        <f>INDEX(WISATA_KAT!$C:$C, SUMPRODUCT(MAX((WISATA_KAT!$F:$F="Mahal")*(WISATA_KAT!$C:$C&gt;0)*ROW(WISATA_KAT!$C:$C))))</f>
        <v/>
      </c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  <c r="AF45" s="75" t="n"/>
      <c r="AG45" s="75" t="n"/>
      <c r="AH45" s="75" t="n"/>
      <c r="AI45" s="75" t="n"/>
      <c r="AJ45" s="75" t="n"/>
      <c r="AK45" s="75" t="n"/>
    </row>
    <row r="46">
      <c r="A46" s="75" t="n"/>
      <c r="B46" s="75" t="inlineStr">
        <is>
          <t>Total Biaya Wisata</t>
        </is>
      </c>
      <c r="C46" s="99">
        <f>C45*C5</f>
        <v/>
      </c>
      <c r="D46" s="99">
        <f>D45*C5</f>
        <v/>
      </c>
      <c r="E46" s="99">
        <f>E45*C5</f>
        <v/>
      </c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  <c r="AE46" s="75" t="n"/>
      <c r="AF46" s="75" t="n"/>
      <c r="AG46" s="75" t="n"/>
      <c r="AH46" s="75" t="n"/>
      <c r="AI46" s="75" t="n"/>
      <c r="AJ46" s="75" t="n"/>
      <c r="AK46" s="75" t="n"/>
    </row>
    <row r="47">
      <c r="A47" s="75" t="n"/>
      <c r="B47" s="75" t="inlineStr">
        <is>
          <t>Status Budget Wisata</t>
        </is>
      </c>
      <c r="C47" s="100">
        <f>IF(C46&lt;=C22, " Sesuai Budget", " Melebihi Budget")</f>
        <v/>
      </c>
      <c r="D47" s="100">
        <f>IF(D46&lt;=D22, " Sesuai Budget", " Melebihi Budget")</f>
        <v/>
      </c>
      <c r="E47" s="100">
        <f>IF(E46&lt;=E22, " Sesuai Budget", " Melebihi Budget")</f>
        <v/>
      </c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  <c r="AF47" s="75" t="n"/>
      <c r="AG47" s="75" t="n"/>
      <c r="AH47" s="75" t="n"/>
      <c r="AI47" s="75" t="n"/>
      <c r="AJ47" s="75" t="n"/>
      <c r="AK47" s="75" t="n"/>
    </row>
    <row r="48">
      <c r="A48" s="75" t="n"/>
      <c r="B48" s="75" t="inlineStr">
        <is>
          <t>Koordinat Wisata (Lat, Long)</t>
        </is>
      </c>
      <c r="C48" s="105">
        <f>INDEX(WISATA_KAT!$D:$D, MATCH(C44, WISATA_KAT!$B:$B, 0))</f>
        <v/>
      </c>
      <c r="D48" s="105">
        <f>INDEX(WISATA_KAT!$D:$D, MATCH(D44, WISATA_KAT!$B:$B, 0))</f>
        <v/>
      </c>
      <c r="E48" s="105">
        <f>INDEX(WISATA_KAT!$D:$D, MATCH(E44, WISATA_KAT!$B:$B, 0))</f>
        <v/>
      </c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  <c r="AJ48" s="75" t="n"/>
      <c r="AK48" s="75" t="n"/>
    </row>
    <row r="49">
      <c r="A49" s="75" t="n"/>
      <c r="B49" s="97" t="inlineStr"/>
      <c r="C49" s="105">
        <f>INDEX(WISATA_KAT!$E:$E, MATCH(C44, WISATA_KAT!$B:$B, 0))</f>
        <v/>
      </c>
      <c r="D49" s="105">
        <f>INDEX(WISATA_KAT!$E:$E, MATCH(D44, WISATA_KAT!$B:$B, 0))</f>
        <v/>
      </c>
      <c r="E49" s="105">
        <f>INDEX(WISATA_KAT!$E:$E, MATCH(E44, WISATA_KAT!$B:$B, 0))</f>
        <v/>
      </c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  <c r="AE49" s="75" t="n"/>
      <c r="AF49" s="75" t="n"/>
      <c r="AG49" s="75" t="n"/>
      <c r="AH49" s="75" t="n"/>
      <c r="AI49" s="75" t="n"/>
      <c r="AJ49" s="75" t="n"/>
      <c r="AK49" s="75" t="n"/>
    </row>
    <row r="50">
      <c r="A50" s="75" t="n"/>
      <c r="B50" s="75" t="inlineStr">
        <is>
          <t>Nama Tempat Makan</t>
        </is>
      </c>
      <c r="C50" s="75">
        <f>INDEX(MAKAN_KAT!$B:$B, MATCH("Murah", MAKAN_KAT!$F:$F, 0))</f>
        <v/>
      </c>
      <c r="D50" s="75">
        <f>INDEX(MAKAN_KAT!B:B, SUMPRODUCT(MAX((MAKAN_KAT!F:F="Sedang")*(MAKAN_KAT!C:C&lt;=D27)*(MAKAN_KAT!C:C&gt;0)*ROW(MAKAN_KAT!C:C))))</f>
        <v/>
      </c>
      <c r="E50" s="75">
        <f>INDEX(MAKAN_KAT!B:B, SUMPRODUCT(MAX((MAKAN_KAT!F:F="Mahal")*(MAKAN_KAT!C:C&gt;0)*ROW(MAKAN_KAT!C:C))))</f>
        <v/>
      </c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  <c r="AE50" s="75" t="n"/>
      <c r="AF50" s="75" t="n"/>
      <c r="AG50" s="75" t="n"/>
      <c r="AH50" s="75" t="n"/>
      <c r="AI50" s="75" t="n"/>
      <c r="AJ50" s="75" t="n"/>
      <c r="AK50" s="75" t="n"/>
    </row>
    <row r="51">
      <c r="A51" s="75" t="n"/>
      <c r="B51" s="75" t="inlineStr">
        <is>
          <t>Harga per Porsi</t>
        </is>
      </c>
      <c r="C51" s="87">
        <f>INDEX(MAKAN_KAT!$C:$C, MATCH("Murah", MAKAN_KAT!$F:$F, 0))</f>
        <v/>
      </c>
      <c r="D51" s="87">
        <f>INDEX(MAKAN_KAT!$C:$C, SUMPRODUCT(MAX((MAKAN_KAT!$F:$F="Sedang")*(MAKAN_KAT!$C:$C&lt;=D27)*(MAKAN_KAT!$C:$C&gt;0)*ROW(MAKAN_KAT!$C:$C))))</f>
        <v/>
      </c>
      <c r="E51" s="87">
        <f>INDEX(MAKAN_KAT!$C:$C, SUMPRODUCT(MAX((MAKAN_KAT!$F:$F="Mahal")*(MAKAN_KAT!$C:$C&gt;0)*ROW(MAKAN_KAT!$C:$C))))</f>
        <v/>
      </c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  <c r="AE51" s="75" t="n"/>
      <c r="AF51" s="75" t="n"/>
      <c r="AG51" s="75" t="n"/>
      <c r="AH51" s="75" t="n"/>
      <c r="AI51" s="75" t="n"/>
      <c r="AJ51" s="75" t="n"/>
      <c r="AK51" s="75" t="n"/>
    </row>
    <row r="52">
      <c r="A52" s="75" t="n"/>
      <c r="B52" s="75" t="inlineStr">
        <is>
          <t>Total Biaya Makan</t>
        </is>
      </c>
      <c r="C52" s="99">
        <f>C51*C11</f>
        <v/>
      </c>
      <c r="D52" s="99">
        <f>D51*C11</f>
        <v/>
      </c>
      <c r="E52" s="99">
        <f>E51*C11</f>
        <v/>
      </c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  <c r="AE52" s="75" t="n"/>
      <c r="AF52" s="75" t="n"/>
      <c r="AG52" s="75" t="n"/>
      <c r="AH52" s="75" t="n"/>
      <c r="AI52" s="75" t="n"/>
      <c r="AJ52" s="75" t="n"/>
      <c r="AK52" s="75" t="n"/>
    </row>
    <row r="53">
      <c r="A53" s="75" t="n"/>
      <c r="B53" s="75" t="inlineStr">
        <is>
          <t>Status Budget Makan</t>
        </is>
      </c>
      <c r="C53" s="100">
        <f>IF(C52&lt;=C26, " Sesuai Budget", " Melebihi Budget")</f>
        <v/>
      </c>
      <c r="D53" s="100">
        <f>IF(D52&lt;=D26, " Sesuai Budget", " Melebihi Budget")</f>
        <v/>
      </c>
      <c r="E53" s="100">
        <f>IF(E52&lt;=E26, " Sesuai Budget", " Melebihi Budget")</f>
        <v/>
      </c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  <c r="AE53" s="75" t="n"/>
      <c r="AF53" s="75" t="n"/>
      <c r="AG53" s="75" t="n"/>
      <c r="AH53" s="75" t="n"/>
      <c r="AI53" s="75" t="n"/>
      <c r="AJ53" s="75" t="n"/>
      <c r="AK53" s="75" t="n"/>
    </row>
    <row r="54">
      <c r="A54" s="75" t="n"/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  <c r="AE54" s="75" t="n"/>
      <c r="AF54" s="75" t="n"/>
      <c r="AG54" s="75" t="n"/>
      <c r="AH54" s="75" t="n"/>
      <c r="AI54" s="75" t="n"/>
      <c r="AJ54" s="75" t="n"/>
      <c r="AK54" s="75" t="n"/>
    </row>
    <row r="55">
      <c r="A55" s="75" t="n"/>
      <c r="B55" s="101" t="inlineStr">
        <is>
          <t>Koordinat Makan (Lat, Long)</t>
        </is>
      </c>
      <c r="C55" s="105">
        <f>INDEX(MAKAN_KAT!$D:$D, MATCH(C50, MAKAN_KAT!$B:$B, 0))</f>
        <v/>
      </c>
      <c r="D55" s="105">
        <f>INDEX(MAKAN_KAT!$D:$D, MATCH(D50, MAKAN_KAT!$B:$B, 0))</f>
        <v/>
      </c>
      <c r="E55" s="105">
        <f>INDEX(MAKAN_KAT!$D:$D, MATCH(E50, MAKAN_KAT!$B:$B, 0))</f>
        <v/>
      </c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  <c r="AE55" s="75" t="n"/>
      <c r="AF55" s="75" t="n"/>
      <c r="AG55" s="75" t="n"/>
      <c r="AH55" s="75" t="n"/>
      <c r="AI55" s="75" t="n"/>
      <c r="AJ55" s="75" t="n"/>
      <c r="AK55" s="75" t="n"/>
    </row>
    <row r="56">
      <c r="A56" s="75" t="n"/>
      <c r="B56" s="88" t="inlineStr"/>
      <c r="C56" s="106">
        <f>INDEX(MAKAN_KAT!$E:$E, MATCH(C50, MAKAN_KAT!$B:$B, 0))</f>
        <v/>
      </c>
      <c r="D56" s="107">
        <f>INDEX(MAKAN_KAT!$E:$E, MATCH(D50, MAKAN_KAT!$B:$B, 0))</f>
        <v/>
      </c>
      <c r="E56" s="108">
        <f>INDEX(MAKAN_KAT!$E:$E, MATCH(E50, MAKAN_KAT!$B:$B, 0))</f>
        <v/>
      </c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  <c r="AE56" s="75" t="n"/>
      <c r="AF56" s="75" t="n"/>
      <c r="AG56" s="75" t="n"/>
      <c r="AH56" s="75" t="n"/>
      <c r="AI56" s="75" t="n"/>
      <c r="AJ56" s="75" t="n"/>
      <c r="AK56" s="75" t="n"/>
    </row>
    <row r="57">
      <c r="A57" s="75" t="n"/>
      <c r="B57" s="75" t="inlineStr">
        <is>
          <t>Budget User</t>
        </is>
      </c>
      <c r="C57" s="87">
        <f>C4</f>
        <v/>
      </c>
      <c r="D57" s="87">
        <f>C4</f>
        <v/>
      </c>
      <c r="E57" s="87">
        <f>C4</f>
        <v/>
      </c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  <c r="AE57" s="75" t="n"/>
      <c r="AF57" s="75" t="n"/>
      <c r="AG57" s="75" t="n"/>
      <c r="AH57" s="75" t="n"/>
      <c r="AI57" s="75" t="n"/>
      <c r="AJ57" s="75" t="n"/>
      <c r="AK57" s="75" t="n"/>
    </row>
    <row r="58">
      <c r="A58" s="75" t="n"/>
      <c r="B58" s="109" t="inlineStr">
        <is>
          <t>ANALISIS JARAK PERJALANAN</t>
        </is>
      </c>
      <c r="C58" s="110" t="n"/>
      <c r="D58" s="110" t="n"/>
      <c r="E58" s="111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  <c r="AJ58" s="75" t="n"/>
      <c r="AK58" s="75" t="n"/>
    </row>
    <row r="59">
      <c r="A59" s="75" t="n"/>
      <c r="B59" s="112" t="inlineStr">
        <is>
          <t>Menggunakan formula Haversine untuk efisiensi rute</t>
        </is>
      </c>
      <c r="C59" s="110" t="n"/>
      <c r="D59" s="110" t="n"/>
      <c r="E59" s="111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  <c r="AE59" s="75" t="n"/>
      <c r="AF59" s="75" t="n"/>
      <c r="AG59" s="75" t="n"/>
      <c r="AH59" s="75" t="n"/>
      <c r="AI59" s="75" t="n"/>
      <c r="AJ59" s="75" t="n"/>
      <c r="AK59" s="75" t="n"/>
    </row>
    <row r="60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  <c r="AE60" s="75" t="n"/>
      <c r="AF60" s="75" t="n"/>
      <c r="AG60" s="75" t="n"/>
      <c r="AH60" s="75" t="n"/>
      <c r="AI60" s="75" t="n"/>
      <c r="AJ60" s="75" t="n"/>
      <c r="AK60" s="75" t="n"/>
    </row>
    <row r="61">
      <c r="A61" s="75" t="n"/>
      <c r="B61" s="113" t="inlineStr">
        <is>
          <t>Rute</t>
        </is>
      </c>
      <c r="C61" s="113" t="inlineStr">
        <is>
          <t>PAKET HEMAT</t>
        </is>
      </c>
      <c r="D61" s="113" t="inlineStr">
        <is>
          <t>PAKET BALANCED</t>
        </is>
      </c>
      <c r="E61" s="113" t="inlineStr">
        <is>
          <t>PAKET PREMIUM</t>
        </is>
      </c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  <c r="AE61" s="75" t="n"/>
      <c r="AF61" s="75" t="n"/>
      <c r="AG61" s="75" t="n"/>
      <c r="AH61" s="75" t="n"/>
      <c r="AI61" s="75" t="n"/>
      <c r="AJ61" s="75" t="n"/>
      <c r="AK61" s="75" t="n"/>
    </row>
    <row r="62">
      <c r="A62" s="75" t="n"/>
      <c r="B62" s="75" t="inlineStr">
        <is>
          <t>Hotel Wisata</t>
        </is>
      </c>
      <c r="C62" s="114">
        <f>6371*2*ASIN(SQRT( POWER(SIN(RADIANS(C48-C41)/2),2) + COS(RADIANS(C41))*COS(RADIANS(C48))* POWER(SIN(RADIANS(C49-C42)/2),2) ))</f>
        <v/>
      </c>
      <c r="D62" s="114">
        <f>6371*2*ASIN(SQRT( POWER(SIN(RADIANS(D48-D41)/2),2) + COS(RADIANS(D41))*COS(RADIANS(D48))* POWER(SIN(RADIANS(D49-D42)/2),2) ))</f>
        <v/>
      </c>
      <c r="E62" s="114">
        <f>6371*2*ASIN(SQRT( POWER(SIN(RADIANS(E48-E41)/2),2) + COS(RADIANS(E41))*COS(RADIANS(E48))* POWER(SIN(RADIANS(E49-E42)/2),2) ))</f>
        <v/>
      </c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  <c r="AE62" s="75" t="n"/>
      <c r="AF62" s="75" t="n"/>
      <c r="AG62" s="75" t="n"/>
      <c r="AH62" s="75" t="n"/>
      <c r="AI62" s="75" t="n"/>
      <c r="AJ62" s="75" t="n"/>
      <c r="AK62" s="75" t="n"/>
    </row>
    <row r="63">
      <c r="A63" s="75" t="n"/>
      <c r="B63" s="75" t="inlineStr">
        <is>
          <t>Wisata Makan</t>
        </is>
      </c>
      <c r="C63" s="114">
        <f>6371*2*ASIN(SQRT( POWER(SIN(RADIANS(C55-C48)/2),2) + COS(RADIANS(C48))*COS(RADIANS(C55))* POWER(SIN(RADIANS(C56-C49)/2),2) ))</f>
        <v/>
      </c>
      <c r="D63" s="114">
        <f>6371*2*ASIN(SQRT( POWER(SIN(RADIANS(D55-D48)/2),2) + COS(RADIANS(D48))*COS(RADIANS(D55))* POWER(SIN(RADIANS(D56-D49)/2),2) ))</f>
        <v/>
      </c>
      <c r="E63" s="114">
        <f>6371*2*ASIN(SQRT( POWER(SIN(RADIANS(E55-E48)/2),2) + COS(RADIANS(E48))*COS(RADIANS(E55))* POWER(SIN(RADIANS(E56-E49)/2),2) ))</f>
        <v/>
      </c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  <c r="AE63" s="75" t="n"/>
      <c r="AF63" s="75" t="n"/>
      <c r="AG63" s="75" t="n"/>
      <c r="AH63" s="75" t="n"/>
      <c r="AI63" s="75" t="n"/>
      <c r="AJ63" s="75" t="n"/>
      <c r="AK63" s="75" t="n"/>
    </row>
    <row r="64">
      <c r="A64" s="75" t="n"/>
      <c r="B64" s="75" t="inlineStr">
        <is>
          <t>Makan Hotel</t>
        </is>
      </c>
      <c r="C64" s="114">
        <f>6371*2*ASIN(SQRT( POWER(SIN(RADIANS(C41-C55)/2),2) + COS(RADIANS(C55))*COS(RADIANS(C41))* POWER(SIN(RADIANS(C42-C56)/2),2) ))</f>
        <v/>
      </c>
      <c r="D64" s="114">
        <f>6371*2*ASIN(SQRT( POWER(SIN(RADIANS(D41-D55)/2),2) + COS(RADIANS(D55))*COS(RADIANS(D41))* POWER(SIN(RADIANS(D42-D56)/2),2) ))</f>
        <v/>
      </c>
      <c r="E64" s="114">
        <f>6371*2*ASIN(SQRT( POWER(SIN(RADIANS(E41-E55)/2),2) + COS(RADIANS(E55))*COS(RADIANS(E41))* POWER(SIN(RADIANS(E42-E56)/2),2) ))</f>
        <v/>
      </c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  <c r="AE64" s="75" t="n"/>
      <c r="AF64" s="75" t="n"/>
      <c r="AG64" s="75" t="n"/>
      <c r="AH64" s="75" t="n"/>
      <c r="AI64" s="75" t="n"/>
      <c r="AJ64" s="75" t="n"/>
      <c r="AK64" s="75" t="n"/>
    </row>
    <row r="65">
      <c r="A65" s="75" t="n"/>
      <c r="B65" s="88" t="inlineStr">
        <is>
          <t>Total Jarak Perjalanan</t>
        </is>
      </c>
      <c r="C65" s="115">
        <f>C62+C63+C64</f>
        <v/>
      </c>
      <c r="D65" s="115">
        <f>D62+D63+D64</f>
        <v/>
      </c>
      <c r="E65" s="115">
        <f>E62+E63+E64</f>
        <v/>
      </c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  <c r="AJ65" s="75" t="n"/>
      <c r="AK65" s="75" t="n"/>
    </row>
    <row r="66">
      <c r="A66" s="75" t="n"/>
      <c r="B66" s="75" t="inlineStr">
        <is>
          <t>Status Efisiensi Rute</t>
        </is>
      </c>
      <c r="C66" s="100">
        <f>IF(C65&lt;10, " Sangat Efisien", IF(C65&lt;20, " Efisien", IF(C65&lt;30, " Cukup Jauh", " Jauh")))</f>
        <v/>
      </c>
      <c r="D66" s="100">
        <f>IF(D65&lt;10, " Sangat Efisien", IF(D65&lt;20, " Efisien", IF(D65&lt;30, " Cukup Jauh", " Jauh")))</f>
        <v/>
      </c>
      <c r="E66" s="100">
        <f>IF(E65&lt;10, " Sangat Efisien", IF(E65&lt;20, " Efisien", IF(E65&lt;30, " Cukup Jauh", " Jauh")))</f>
        <v/>
      </c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  <c r="AE66" s="75" t="n"/>
      <c r="AF66" s="75" t="n"/>
      <c r="AG66" s="75" t="n"/>
      <c r="AH66" s="75" t="n"/>
      <c r="AI66" s="75" t="n"/>
      <c r="AJ66" s="75" t="n"/>
      <c r="AK66" s="75" t="n"/>
    </row>
    <row r="67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  <c r="AE67" s="75" t="n"/>
      <c r="AF67" s="75" t="n"/>
      <c r="AG67" s="75" t="n"/>
      <c r="AH67" s="75" t="n"/>
      <c r="AI67" s="75" t="n"/>
      <c r="AJ67" s="75" t="n"/>
      <c r="AK67" s="75" t="n"/>
    </row>
    <row r="68">
      <c r="A68" s="75" t="n"/>
      <c r="B68" s="101" t="inlineStr">
        <is>
          <t>RINGKASAN TOTAL BIAYA</t>
        </is>
      </c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  <c r="AE68" s="75" t="n"/>
      <c r="AF68" s="75" t="n"/>
      <c r="AG68" s="75" t="n"/>
      <c r="AH68" s="75" t="n"/>
      <c r="AI68" s="75" t="n"/>
      <c r="AJ68" s="75" t="n"/>
      <c r="AK68" s="75" t="n"/>
    </row>
    <row r="69">
      <c r="A69" s="75" t="n"/>
      <c r="B69" s="88" t="inlineStr">
        <is>
          <t>Total Biaya Paket</t>
        </is>
      </c>
      <c r="C69" s="102">
        <f>C40+C46+C52</f>
        <v/>
      </c>
      <c r="D69" s="103">
        <f>D40+D46+D52</f>
        <v/>
      </c>
      <c r="E69" s="104">
        <f>E40+E46+E52</f>
        <v/>
      </c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  <c r="AE69" s="75" t="n"/>
      <c r="AF69" s="75" t="n"/>
      <c r="AG69" s="75" t="n"/>
      <c r="AH69" s="75" t="n"/>
      <c r="AI69" s="75" t="n"/>
      <c r="AJ69" s="75" t="n"/>
      <c r="AK69" s="75" t="n"/>
    </row>
    <row r="70">
      <c r="A70" s="75" t="n"/>
      <c r="B70" s="75" t="inlineStr">
        <is>
          <t>Budget User</t>
        </is>
      </c>
      <c r="C70" s="87">
        <f>C4</f>
        <v/>
      </c>
      <c r="D70" s="87">
        <f>C4</f>
        <v/>
      </c>
      <c r="E70" s="87">
        <f>C4</f>
        <v/>
      </c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  <c r="AE70" s="75" t="n"/>
      <c r="AF70" s="75" t="n"/>
      <c r="AG70" s="75" t="n"/>
      <c r="AH70" s="75" t="n"/>
      <c r="AI70" s="75" t="n"/>
      <c r="AJ70" s="75" t="n"/>
      <c r="AK70" s="75" t="n"/>
    </row>
    <row r="71">
      <c r="A71" s="75" t="n"/>
      <c r="B71" s="75" t="inlineStr">
        <is>
          <t>Selisih Budget</t>
        </is>
      </c>
      <c r="C71" s="90">
        <f>C70-C69</f>
        <v/>
      </c>
      <c r="D71" s="90">
        <f>D70-D69</f>
        <v/>
      </c>
      <c r="E71" s="90">
        <f>E70-E69</f>
        <v/>
      </c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  <c r="AA71" s="75" t="n"/>
      <c r="AB71" s="75" t="n"/>
      <c r="AC71" s="75" t="n"/>
      <c r="AD71" s="75" t="n"/>
      <c r="AE71" s="75" t="n"/>
      <c r="AF71" s="75" t="n"/>
      <c r="AG71" s="75" t="n"/>
      <c r="AH71" s="75" t="n"/>
      <c r="AI71" s="75" t="n"/>
      <c r="AJ71" s="75" t="n"/>
      <c r="AK71" s="75" t="n"/>
    </row>
    <row r="72">
      <c r="A72" s="75" t="n"/>
      <c r="B72" s="75" t="inlineStr">
        <is>
          <t>Status Akhir</t>
        </is>
      </c>
      <c r="C72" s="93">
        <f>IF(C71&gt;=0, " TERSEDIA", " OVER BUDGET")</f>
        <v/>
      </c>
      <c r="D72" s="93">
        <f>IF(D71&gt;=0, " TERSEDIA", " OVER BUDGET")</f>
        <v/>
      </c>
      <c r="E72" s="93">
        <f>IF(E71&gt;=0, " TERSEDIA", " OVER BUDGET")</f>
        <v/>
      </c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  <c r="AA72" s="75" t="n"/>
      <c r="AB72" s="75" t="n"/>
      <c r="AC72" s="75" t="n"/>
      <c r="AD72" s="75" t="n"/>
      <c r="AE72" s="75" t="n"/>
      <c r="AF72" s="75" t="n"/>
      <c r="AG72" s="75" t="n"/>
      <c r="AH72" s="75" t="n"/>
      <c r="AI72" s="75" t="n"/>
      <c r="AJ72" s="75" t="n"/>
      <c r="AK72" s="75" t="n"/>
    </row>
    <row r="73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  <c r="AA73" s="75" t="n"/>
      <c r="AB73" s="75" t="n"/>
      <c r="AC73" s="75" t="n"/>
      <c r="AD73" s="75" t="n"/>
      <c r="AE73" s="75" t="n"/>
      <c r="AF73" s="75" t="n"/>
      <c r="AG73" s="75" t="n"/>
      <c r="AH73" s="75" t="n"/>
      <c r="AI73" s="75" t="n"/>
      <c r="AJ73" s="75" t="n"/>
      <c r="AK73" s="75" t="n"/>
    </row>
    <row r="74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  <c r="AA74" s="75" t="n"/>
      <c r="AB74" s="75" t="n"/>
      <c r="AC74" s="75" t="n"/>
      <c r="AD74" s="75" t="n"/>
      <c r="AE74" s="75" t="n"/>
      <c r="AF74" s="75" t="n"/>
      <c r="AG74" s="75" t="n"/>
      <c r="AH74" s="75" t="n"/>
      <c r="AI74" s="75" t="n"/>
      <c r="AJ74" s="75" t="n"/>
      <c r="AK74" s="75" t="n"/>
    </row>
    <row r="75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5" t="n"/>
      <c r="AB75" s="75" t="n"/>
      <c r="AC75" s="75" t="n"/>
      <c r="AD75" s="75" t="n"/>
      <c r="AE75" s="75" t="n"/>
      <c r="AF75" s="75" t="n"/>
      <c r="AG75" s="75" t="n"/>
      <c r="AH75" s="75" t="n"/>
      <c r="AI75" s="75" t="n"/>
      <c r="AJ75" s="75" t="n"/>
      <c r="AK75" s="75" t="n"/>
    </row>
    <row r="7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  <c r="AA76" s="75" t="n"/>
      <c r="AB76" s="75" t="n"/>
      <c r="AC76" s="75" t="n"/>
      <c r="AD76" s="75" t="n"/>
      <c r="AE76" s="75" t="n"/>
      <c r="AF76" s="75" t="n"/>
      <c r="AG76" s="75" t="n"/>
      <c r="AH76" s="75" t="n"/>
      <c r="AI76" s="75" t="n"/>
      <c r="AJ76" s="75" t="n"/>
      <c r="AK76" s="75" t="n"/>
    </row>
    <row r="77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 t="n"/>
      <c r="AG77" s="75" t="n"/>
      <c r="AH77" s="75" t="n"/>
      <c r="AI77" s="75" t="n"/>
      <c r="AJ77" s="75" t="n"/>
      <c r="AK77" s="75" t="n"/>
    </row>
    <row r="78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  <c r="AA78" s="75" t="n"/>
      <c r="AB78" s="75" t="n"/>
      <c r="AC78" s="75" t="n"/>
      <c r="AD78" s="75" t="n"/>
      <c r="AE78" s="75" t="n"/>
      <c r="AF78" s="75" t="n"/>
      <c r="AG78" s="75" t="n"/>
      <c r="AH78" s="75" t="n"/>
      <c r="AI78" s="75" t="n"/>
      <c r="AJ78" s="75" t="n"/>
      <c r="AK78" s="75" t="n"/>
    </row>
    <row r="79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  <c r="AA79" s="75" t="n"/>
      <c r="AB79" s="75" t="n"/>
      <c r="AC79" s="75" t="n"/>
      <c r="AD79" s="75" t="n"/>
      <c r="AE79" s="75" t="n"/>
      <c r="AF79" s="75" t="n"/>
      <c r="AG79" s="75" t="n"/>
      <c r="AH79" s="75" t="n"/>
      <c r="AI79" s="75" t="n"/>
      <c r="AJ79" s="75" t="n"/>
      <c r="AK79" s="75" t="n"/>
    </row>
    <row r="80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  <c r="AA80" s="75" t="n"/>
      <c r="AB80" s="75" t="n"/>
      <c r="AC80" s="75" t="n"/>
      <c r="AD80" s="75" t="n"/>
      <c r="AE80" s="75" t="n"/>
      <c r="AF80" s="75" t="n"/>
      <c r="AG80" s="75" t="n"/>
      <c r="AH80" s="75" t="n"/>
      <c r="AI80" s="75" t="n"/>
      <c r="AJ80" s="75" t="n"/>
      <c r="AK80" s="75" t="n"/>
    </row>
    <row r="81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 t="n"/>
      <c r="AG81" s="75" t="n"/>
      <c r="AH81" s="75" t="n"/>
      <c r="AI81" s="75" t="n"/>
      <c r="AJ81" s="75" t="n"/>
      <c r="AK81" s="75" t="n"/>
    </row>
    <row r="82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  <c r="AA82" s="75" t="n"/>
      <c r="AB82" s="75" t="n"/>
      <c r="AC82" s="75" t="n"/>
      <c r="AD82" s="75" t="n"/>
      <c r="AE82" s="75" t="n"/>
      <c r="AF82" s="75" t="n"/>
      <c r="AG82" s="75" t="n"/>
      <c r="AH82" s="75" t="n"/>
      <c r="AI82" s="75" t="n"/>
      <c r="AJ82" s="75" t="n"/>
      <c r="AK82" s="75" t="n"/>
    </row>
    <row r="83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  <c r="AA83" s="75" t="n"/>
      <c r="AB83" s="75" t="n"/>
      <c r="AC83" s="75" t="n"/>
      <c r="AD83" s="75" t="n"/>
      <c r="AE83" s="75" t="n"/>
      <c r="AF83" s="75" t="n"/>
      <c r="AG83" s="75" t="n"/>
      <c r="AH83" s="75" t="n"/>
      <c r="AI83" s="75" t="n"/>
      <c r="AJ83" s="75" t="n"/>
      <c r="AK83" s="75" t="n"/>
    </row>
    <row r="84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  <c r="AA84" s="75" t="n"/>
      <c r="AB84" s="75" t="n"/>
      <c r="AC84" s="75" t="n"/>
      <c r="AD84" s="75" t="n"/>
      <c r="AE84" s="75" t="n"/>
      <c r="AF84" s="75" t="n"/>
      <c r="AG84" s="75" t="n"/>
      <c r="AH84" s="75" t="n"/>
      <c r="AI84" s="75" t="n"/>
      <c r="AJ84" s="75" t="n"/>
      <c r="AK84" s="75" t="n"/>
    </row>
    <row r="85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  <c r="AJ85" s="75" t="n"/>
      <c r="AK85" s="75" t="n"/>
    </row>
    <row r="8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  <c r="AA86" s="75" t="n"/>
      <c r="AB86" s="75" t="n"/>
      <c r="AC86" s="75" t="n"/>
      <c r="AD86" s="75" t="n"/>
      <c r="AE86" s="75" t="n"/>
      <c r="AF86" s="75" t="n"/>
      <c r="AG86" s="75" t="n"/>
      <c r="AH86" s="75" t="n"/>
      <c r="AI86" s="75" t="n"/>
      <c r="AJ86" s="75" t="n"/>
      <c r="AK86" s="75" t="n"/>
    </row>
    <row r="87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  <c r="AF87" s="75" t="n"/>
      <c r="AG87" s="75" t="n"/>
      <c r="AH87" s="75" t="n"/>
      <c r="AI87" s="75" t="n"/>
      <c r="AJ87" s="75" t="n"/>
      <c r="AK87" s="75" t="n"/>
    </row>
    <row r="88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/>
      <c r="AA88" s="75" t="n"/>
      <c r="AB88" s="75" t="n"/>
      <c r="AC88" s="75" t="n"/>
      <c r="AD88" s="75" t="n"/>
      <c r="AE88" s="75" t="n"/>
      <c r="AF88" s="75" t="n"/>
      <c r="AG88" s="75" t="n"/>
      <c r="AH88" s="75" t="n"/>
      <c r="AI88" s="75" t="n"/>
      <c r="AJ88" s="75" t="n"/>
      <c r="AK88" s="75" t="n"/>
    </row>
    <row r="89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  <c r="AA89" s="75" t="n"/>
      <c r="AB89" s="75" t="n"/>
      <c r="AC89" s="75" t="n"/>
      <c r="AD89" s="75" t="n"/>
      <c r="AE89" s="75" t="n"/>
      <c r="AF89" s="75" t="n"/>
      <c r="AG89" s="75" t="n"/>
      <c r="AH89" s="75" t="n"/>
      <c r="AI89" s="75" t="n"/>
      <c r="AJ89" s="75" t="n"/>
      <c r="AK89" s="75" t="n"/>
    </row>
    <row r="90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  <c r="AA90" s="75" t="n"/>
      <c r="AB90" s="75" t="n"/>
      <c r="AC90" s="75" t="n"/>
      <c r="AD90" s="75" t="n"/>
      <c r="AE90" s="75" t="n"/>
      <c r="AF90" s="75" t="n"/>
      <c r="AG90" s="75" t="n"/>
      <c r="AH90" s="75" t="n"/>
      <c r="AI90" s="75" t="n"/>
      <c r="AJ90" s="75" t="n"/>
      <c r="AK90" s="75" t="n"/>
    </row>
    <row r="91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  <c r="AA91" s="75" t="n"/>
      <c r="AB91" s="75" t="n"/>
      <c r="AC91" s="75" t="n"/>
      <c r="AD91" s="75" t="n"/>
      <c r="AE91" s="75" t="n"/>
      <c r="AF91" s="75" t="n"/>
      <c r="AG91" s="75" t="n"/>
      <c r="AH91" s="75" t="n"/>
      <c r="AI91" s="75" t="n"/>
      <c r="AJ91" s="75" t="n"/>
      <c r="AK91" s="75" t="n"/>
    </row>
    <row r="92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  <c r="AA92" s="75" t="n"/>
      <c r="AB92" s="75" t="n"/>
      <c r="AC92" s="75" t="n"/>
      <c r="AD92" s="75" t="n"/>
      <c r="AE92" s="75" t="n"/>
      <c r="AF92" s="75" t="n"/>
      <c r="AG92" s="75" t="n"/>
      <c r="AH92" s="75" t="n"/>
      <c r="AI92" s="75" t="n"/>
      <c r="AJ92" s="75" t="n"/>
      <c r="AK92" s="75" t="n"/>
    </row>
    <row r="93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  <c r="AA93" s="75" t="n"/>
      <c r="AB93" s="75" t="n"/>
      <c r="AC93" s="75" t="n"/>
      <c r="AD93" s="75" t="n"/>
      <c r="AE93" s="75" t="n"/>
      <c r="AF93" s="75" t="n"/>
      <c r="AG93" s="75" t="n"/>
      <c r="AH93" s="75" t="n"/>
      <c r="AI93" s="75" t="n"/>
      <c r="AJ93" s="75" t="n"/>
      <c r="AK93" s="75" t="n"/>
    </row>
    <row r="94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  <c r="AA94" s="75" t="n"/>
      <c r="AB94" s="75" t="n"/>
      <c r="AC94" s="75" t="n"/>
      <c r="AD94" s="75" t="n"/>
      <c r="AE94" s="75" t="n"/>
      <c r="AF94" s="75" t="n"/>
      <c r="AG94" s="75" t="n"/>
      <c r="AH94" s="75" t="n"/>
      <c r="AI94" s="75" t="n"/>
      <c r="AJ94" s="75" t="n"/>
      <c r="AK94" s="75" t="n"/>
    </row>
    <row r="95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  <c r="AA95" s="75" t="n"/>
      <c r="AB95" s="75" t="n"/>
      <c r="AC95" s="75" t="n"/>
      <c r="AD95" s="75" t="n"/>
      <c r="AE95" s="75" t="n"/>
      <c r="AF95" s="75" t="n"/>
      <c r="AG95" s="75" t="n"/>
      <c r="AH95" s="75" t="n"/>
      <c r="AI95" s="75" t="n"/>
      <c r="AJ95" s="75" t="n"/>
      <c r="AK95" s="75" t="n"/>
    </row>
    <row r="9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  <c r="AA96" s="75" t="n"/>
      <c r="AB96" s="75" t="n"/>
      <c r="AC96" s="75" t="n"/>
      <c r="AD96" s="75" t="n"/>
      <c r="AE96" s="75" t="n"/>
      <c r="AF96" s="75" t="n"/>
      <c r="AG96" s="75" t="n"/>
      <c r="AH96" s="75" t="n"/>
      <c r="AI96" s="75" t="n"/>
      <c r="AJ96" s="75" t="n"/>
      <c r="AK96" s="75" t="n"/>
    </row>
    <row r="97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  <c r="J97" s="75" t="n"/>
      <c r="K97" s="75" t="n"/>
      <c r="L97" s="75" t="n"/>
      <c r="M97" s="75" t="n"/>
      <c r="N97" s="75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  <c r="AA97" s="75" t="n"/>
      <c r="AB97" s="75" t="n"/>
      <c r="AC97" s="75" t="n"/>
      <c r="AD97" s="75" t="n"/>
      <c r="AE97" s="75" t="n"/>
      <c r="AF97" s="75" t="n"/>
      <c r="AG97" s="75" t="n"/>
      <c r="AH97" s="75" t="n"/>
      <c r="AI97" s="75" t="n"/>
      <c r="AJ97" s="75" t="n"/>
      <c r="AK97" s="75" t="n"/>
    </row>
    <row r="98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  <c r="J98" s="75" t="n"/>
      <c r="K98" s="75" t="n"/>
      <c r="L98" s="75" t="n"/>
      <c r="M98" s="75" t="n"/>
      <c r="N98" s="75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/>
      <c r="Z98" s="75" t="n"/>
      <c r="AA98" s="75" t="n"/>
      <c r="AB98" s="75" t="n"/>
      <c r="AC98" s="75" t="n"/>
      <c r="AD98" s="75" t="n"/>
      <c r="AE98" s="75" t="n"/>
      <c r="AF98" s="75" t="n"/>
      <c r="AG98" s="75" t="n"/>
      <c r="AH98" s="75" t="n"/>
      <c r="AI98" s="75" t="n"/>
      <c r="AJ98" s="75" t="n"/>
      <c r="AK98" s="75" t="n"/>
    </row>
    <row r="99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  <c r="J99" s="75" t="n"/>
      <c r="K99" s="75" t="n"/>
      <c r="L99" s="75" t="n"/>
      <c r="M99" s="75" t="n"/>
      <c r="N99" s="75" t="n"/>
      <c r="O99" s="75" t="n"/>
      <c r="P99" s="75" t="n"/>
      <c r="Q99" s="75" t="n"/>
      <c r="R99" s="75" t="n"/>
      <c r="S99" s="75" t="n"/>
      <c r="T99" s="75" t="n"/>
      <c r="U99" s="75" t="n"/>
      <c r="V99" s="75" t="n"/>
      <c r="W99" s="75" t="n"/>
      <c r="X99" s="75" t="n"/>
      <c r="Y99" s="75" t="n"/>
      <c r="Z99" s="75" t="n"/>
      <c r="AA99" s="75" t="n"/>
      <c r="AB99" s="75" t="n"/>
      <c r="AC99" s="75" t="n"/>
      <c r="AD99" s="75" t="n"/>
      <c r="AE99" s="75" t="n"/>
      <c r="AF99" s="75" t="n"/>
      <c r="AG99" s="75" t="n"/>
      <c r="AH99" s="75" t="n"/>
      <c r="AI99" s="75" t="n"/>
      <c r="AJ99" s="75" t="n"/>
      <c r="AK99" s="75" t="n"/>
    </row>
    <row r="100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  <c r="J100" s="75" t="n"/>
      <c r="K100" s="75" t="n"/>
      <c r="L100" s="75" t="n"/>
      <c r="M100" s="75" t="n"/>
      <c r="N100" s="75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75" t="n"/>
      <c r="Z100" s="75" t="n"/>
      <c r="AA100" s="75" t="n"/>
      <c r="AB100" s="75" t="n"/>
      <c r="AC100" s="75" t="n"/>
      <c r="AD100" s="75" t="n"/>
      <c r="AE100" s="75" t="n"/>
      <c r="AF100" s="75" t="n"/>
      <c r="AG100" s="75" t="n"/>
      <c r="AH100" s="75" t="n"/>
      <c r="AI100" s="75" t="n"/>
      <c r="AJ100" s="75" t="n"/>
      <c r="AK100" s="75" t="n"/>
    </row>
  </sheetData>
  <mergeCells count="10">
    <mergeCell ref="B2:F2"/>
    <mergeCell ref="B58:E58"/>
    <mergeCell ref="B33:F33"/>
    <mergeCell ref="B37:E37"/>
    <mergeCell ref="B68:E68"/>
    <mergeCell ref="B59:E59"/>
    <mergeCell ref="B14:F14"/>
    <mergeCell ref="B32:F32"/>
    <mergeCell ref="B8:F8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2025-12-15T05:08:32Z</dcterms:created>
  <dcterms:modified xmlns:dcterms="http://purl.org/dc/terms/" xmlns:xsi="http://www.w3.org/2001/XMLSchema-instance" xsi:type="dcterms:W3CDTF">2026-01-13T18:04:06Z</dcterms:modified>
  <cp:lastModifiedBy>Microsoft Office User</cp:lastModifiedBy>
</cp:coreProperties>
</file>