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_ZSCORE" sheetId="1" state="visible" r:id="rId1"/>
    <sheet xmlns:r="http://schemas.openxmlformats.org/officeDocument/2006/relationships" name="WISATA_ZSCORE" sheetId="2" state="visible" r:id="rId2"/>
    <sheet xmlns:r="http://schemas.openxmlformats.org/officeDocument/2006/relationships" name="MAKAN_ZSCORE" sheetId="3" state="visible" r:id="rId3"/>
    <sheet xmlns:r="http://schemas.openxmlformats.org/officeDocument/2006/relationships" name="PENJELAS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4472C4"/>
      <sz val="1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3" borderId="1" pivotButton="0" quotePrefix="0" xfId="0"/>
    <xf numFmtId="0" fontId="2" fillId="0" borderId="0" pivotButton="0" quotePrefix="0" xfId="0"/>
    <xf numFmtId="4" fontId="0" fillId="3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8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6" customWidth="1" min="3" max="3"/>
    <col width="12" customWidth="1" min="4" max="4"/>
    <col width="13" customWidth="1" min="5" max="5"/>
    <col width="27" customWidth="1" min="6" max="6"/>
    <col width="50" customWidth="1" min="7" max="7"/>
  </cols>
  <sheetData>
    <row r="1">
      <c r="A1" s="1" t="inlineStr">
        <is>
          <t>Id_Tempat</t>
        </is>
      </c>
      <c r="B1" s="1" t="inlineStr">
        <is>
          <t>Nama_Tempat</t>
        </is>
      </c>
      <c r="C1" s="1" t="inlineStr">
        <is>
          <t>Estimasi_Harga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Z_Score_Harga</t>
        </is>
      </c>
      <c r="G1" s="1" t="inlineStr">
        <is>
          <t>Interpretasi</t>
        </is>
      </c>
    </row>
    <row r="2">
      <c r="A2" s="2" t="n">
        <v>1</v>
      </c>
      <c r="B2" s="2" t="inlineStr">
        <is>
          <t>SUPER OYO Flagship 90502 Holistay Malang New</t>
        </is>
      </c>
      <c r="C2" s="2" t="n">
        <v>347052</v>
      </c>
      <c r="D2" s="2" t="n">
        <v>-7.9368115</v>
      </c>
      <c r="E2" s="2" t="n">
        <v>112.6486898</v>
      </c>
      <c r="F2" s="3">
        <f>(C2 - $B$367) / $B$368</f>
        <v/>
      </c>
      <c r="G2" s="2">
        <f>IF(F2&lt;-0.5,"Murah",IF(F2&lt;0.5,"Sedang","Mahal"))</f>
        <v/>
      </c>
    </row>
    <row r="3">
      <c r="A3" s="2" t="n">
        <v>2</v>
      </c>
      <c r="B3" s="2" t="inlineStr">
        <is>
          <t>Hotel OYO 709 Menjangan Residen</t>
        </is>
      </c>
      <c r="C3" s="2" t="n">
        <v>51823</v>
      </c>
      <c r="D3" s="2" t="n">
        <v>-8.0040178</v>
      </c>
      <c r="E3" s="2" t="n">
        <v>112.6139426</v>
      </c>
      <c r="F3" s="3">
        <f>(C3 - $B$367) / $B$368</f>
        <v/>
      </c>
      <c r="G3" s="2">
        <f>IF(F3&lt;-0.5,"Murah",IF(F3&lt;0.5,"Sedang","Mahal"))</f>
        <v/>
      </c>
    </row>
    <row r="4">
      <c r="A4" s="2" t="n">
        <v>3</v>
      </c>
      <c r="B4" s="2" t="inlineStr">
        <is>
          <t>Super OYO 1376 Kina Family Residence Syariah</t>
        </is>
      </c>
      <c r="C4" s="2" t="n">
        <v>158466</v>
      </c>
      <c r="D4" s="2" t="n">
        <v>-7.943296</v>
      </c>
      <c r="E4" s="2" t="n">
        <v>112.601376</v>
      </c>
      <c r="F4" s="3">
        <f>(C4 - $B$367) / $B$368</f>
        <v/>
      </c>
      <c r="G4" s="2">
        <f>IF(F4&lt;-0.5,"Murah",IF(F4&lt;0.5,"Sedang","Mahal"))</f>
        <v/>
      </c>
    </row>
    <row r="5">
      <c r="A5" s="2" t="n">
        <v>4</v>
      </c>
      <c r="B5" s="2" t="inlineStr">
        <is>
          <t>OYO Flagship 90723 Khalifi House Malang</t>
        </is>
      </c>
      <c r="C5" s="2" t="n">
        <v>220540</v>
      </c>
      <c r="D5" s="2" t="n">
        <v>-7.9694153</v>
      </c>
      <c r="E5" s="2" t="n">
        <v>112.6684127</v>
      </c>
      <c r="F5" s="3">
        <f>(C5 - $B$367) / $B$368</f>
        <v/>
      </c>
      <c r="G5" s="2">
        <f>IF(F5&lt;-0.5,"Murah",IF(F5&lt;0.5,"Sedang","Mahal"))</f>
        <v/>
      </c>
    </row>
    <row r="6">
      <c r="A6" s="2" t="n">
        <v>5</v>
      </c>
      <c r="B6" s="2" t="inlineStr">
        <is>
          <t>OYO 94769 Griya Djati Syariah 2</t>
        </is>
      </c>
      <c r="C6" s="2" t="n">
        <v>123967</v>
      </c>
      <c r="D6" s="2" t="n">
        <v>-7.9859953</v>
      </c>
      <c r="E6" s="2" t="n">
        <v>112.6597823</v>
      </c>
      <c r="F6" s="3">
        <f>(C6 - $B$367) / $B$368</f>
        <v/>
      </c>
      <c r="G6" s="2">
        <f>IF(F6&lt;-0.5,"Murah",IF(F6&lt;0.5,"Sedang","Mahal"))</f>
        <v/>
      </c>
    </row>
    <row r="7">
      <c r="A7" s="2" t="n">
        <v>6</v>
      </c>
      <c r="B7" s="2" t="inlineStr">
        <is>
          <t>SPOT ON 2689 Safira Family Residence</t>
        </is>
      </c>
      <c r="C7" s="2" t="n">
        <v>119934</v>
      </c>
      <c r="D7" s="2" t="n">
        <v>-7.8721185</v>
      </c>
      <c r="E7" s="2" t="n">
        <v>112.6790929</v>
      </c>
      <c r="F7" s="3">
        <f>(C7 - $B$367) / $B$368</f>
        <v/>
      </c>
      <c r="G7" s="2">
        <f>IF(F7&lt;-0.5,"Murah",IF(F7&lt;0.5,"Sedang","Mahal"))</f>
        <v/>
      </c>
    </row>
    <row r="8">
      <c r="A8" s="2" t="n">
        <v>7</v>
      </c>
      <c r="B8" s="2" t="inlineStr">
        <is>
          <t>OYO 90684 Happy Homestay Syariah</t>
        </is>
      </c>
      <c r="C8" s="2" t="n">
        <v>214198</v>
      </c>
      <c r="D8" s="2" t="n">
        <v>-7.9351406</v>
      </c>
      <c r="E8" s="2" t="n">
        <v>112.7005862</v>
      </c>
      <c r="F8" s="3">
        <f>(C8 - $B$367) / $B$368</f>
        <v/>
      </c>
      <c r="G8" s="2">
        <f>IF(F8&lt;-0.5,"Murah",IF(F8&lt;0.5,"Sedang","Mahal"))</f>
        <v/>
      </c>
    </row>
    <row r="9">
      <c r="A9" s="2" t="n">
        <v>8</v>
      </c>
      <c r="B9" s="2" t="inlineStr">
        <is>
          <t>OYO LIfe 1036 Hotel Palem 1 Syariah</t>
        </is>
      </c>
      <c r="C9" s="2" t="n">
        <v>353157</v>
      </c>
      <c r="D9" s="2" t="n">
        <v>-7.9689919</v>
      </c>
      <c r="E9" s="2" t="n">
        <v>112.6312719</v>
      </c>
      <c r="F9" s="3">
        <f>(C9 - $B$367) / $B$368</f>
        <v/>
      </c>
      <c r="G9" s="2">
        <f>IF(F9&lt;-0.5,"Murah",IF(F9&lt;0.5,"Sedang","Mahal"))</f>
        <v/>
      </c>
    </row>
    <row r="10">
      <c r="A10" s="2" t="n">
        <v>9</v>
      </c>
      <c r="B10" s="2" t="inlineStr">
        <is>
          <t>SPOT ON 90797 Sukun Syariah Homestay</t>
        </is>
      </c>
      <c r="C10" s="2" t="n">
        <v>154217</v>
      </c>
      <c r="D10" s="2" t="n">
        <v>-8.0091813</v>
      </c>
      <c r="E10" s="2" t="n">
        <v>112.6203767</v>
      </c>
      <c r="F10" s="3">
        <f>(C10 - $B$367) / $B$368</f>
        <v/>
      </c>
      <c r="G10" s="2">
        <f>IF(F10&lt;-0.5,"Murah",IF(F10&lt;0.5,"Sedang","Mahal"))</f>
        <v/>
      </c>
    </row>
    <row r="11">
      <c r="A11" s="2" t="n">
        <v>10</v>
      </c>
      <c r="B11" s="2" t="inlineStr">
        <is>
          <t>OYO 90383 Avisha Guest House Syariah</t>
        </is>
      </c>
      <c r="C11" s="2" t="n">
        <v>259001</v>
      </c>
      <c r="D11" s="2" t="n">
        <v>-7.9670985</v>
      </c>
      <c r="E11" s="2" t="n">
        <v>112.6428725</v>
      </c>
      <c r="F11" s="3">
        <f>(C11 - $B$367) / $B$368</f>
        <v/>
      </c>
      <c r="G11" s="2">
        <f>IF(F11&lt;-0.5,"Murah",IF(F11&lt;0.5,"Sedang","Mahal"))</f>
        <v/>
      </c>
    </row>
    <row r="12">
      <c r="A12" s="2" t="n">
        <v>11</v>
      </c>
      <c r="B12" s="2" t="inlineStr">
        <is>
          <t>OYO 353 Loesje Guest House Syariah</t>
        </is>
      </c>
      <c r="C12" s="2" t="n">
        <v>300000</v>
      </c>
      <c r="D12" s="2" t="n">
        <v>-7.9769477</v>
      </c>
      <c r="E12" s="2" t="n">
        <v>112.6252761</v>
      </c>
      <c r="F12" s="3">
        <f>(C12 - $B$367) / $B$368</f>
        <v/>
      </c>
      <c r="G12" s="2">
        <f>IF(F12&lt;-0.5,"Murah",IF(F12&lt;0.5,"Sedang","Mahal"))</f>
        <v/>
      </c>
    </row>
    <row r="13">
      <c r="A13" s="2" t="n">
        <v>12</v>
      </c>
      <c r="B13" s="2" t="inlineStr">
        <is>
          <t>BTC Syariah near RS Saiful Anwar</t>
        </is>
      </c>
      <c r="C13" s="2" t="n">
        <v>36239</v>
      </c>
      <c r="D13" s="2" t="n">
        <v>-7.9644232</v>
      </c>
      <c r="E13" s="2" t="n">
        <v>112.6310739</v>
      </c>
      <c r="F13" s="3">
        <f>(C13 - $B$367) / $B$368</f>
        <v/>
      </c>
      <c r="G13" s="2">
        <f>IF(F13&lt;-0.5,"Murah",IF(F13&lt;0.5,"Sedang","Mahal"))</f>
        <v/>
      </c>
    </row>
    <row r="14">
      <c r="A14" s="2" t="n">
        <v>13</v>
      </c>
      <c r="B14" s="2" t="inlineStr">
        <is>
          <t>OYO 778 Guest House Amalia Malang</t>
        </is>
      </c>
      <c r="C14" s="2" t="n">
        <v>281083</v>
      </c>
      <c r="D14" s="2" t="n">
        <v>-7.967616</v>
      </c>
      <c r="E14" s="2" t="n">
        <v>112.6262144</v>
      </c>
      <c r="F14" s="3">
        <f>(C14 - $B$367) / $B$368</f>
        <v/>
      </c>
      <c r="G14" s="2">
        <f>IF(F14&lt;-0.5,"Murah",IF(F14&lt;0.5,"Sedang","Mahal"))</f>
        <v/>
      </c>
    </row>
    <row r="15">
      <c r="A15" s="2" t="n">
        <v>14</v>
      </c>
      <c r="B15" s="2" t="inlineStr">
        <is>
          <t>OYO 3350 Cozy Residence</t>
        </is>
      </c>
      <c r="C15" s="2" t="n">
        <v>365618</v>
      </c>
      <c r="D15" s="2" t="n">
        <v>-7.9454091</v>
      </c>
      <c r="E15" s="2" t="n">
        <v>112.6348957</v>
      </c>
      <c r="F15" s="3">
        <f>(C15 - $B$367) / $B$368</f>
        <v/>
      </c>
      <c r="G15" s="2">
        <f>IF(F15&lt;-0.5,"Murah",IF(F15&lt;0.5,"Sedang","Mahal"))</f>
        <v/>
      </c>
    </row>
    <row r="16">
      <c r="A16" s="2" t="n">
        <v>15</v>
      </c>
      <c r="B16" s="2" t="inlineStr">
        <is>
          <t>Serayu Homestay Syariah</t>
        </is>
      </c>
      <c r="C16" s="2" t="n">
        <v>45892</v>
      </c>
      <c r="D16" s="2" t="n">
        <v>-7.9548405</v>
      </c>
      <c r="E16" s="2" t="n">
        <v>112.6112312</v>
      </c>
      <c r="F16" s="3">
        <f>(C16 - $B$367) / $B$368</f>
        <v/>
      </c>
      <c r="G16" s="2">
        <f>IF(F16&lt;-0.5,"Murah",IF(F16&lt;0.5,"Sedang","Mahal"))</f>
        <v/>
      </c>
    </row>
    <row r="17">
      <c r="A17" s="2" t="n">
        <v>16</v>
      </c>
      <c r="B17" s="2" t="inlineStr">
        <is>
          <t>OYO 90319 Angler Guest House Malang</t>
        </is>
      </c>
      <c r="C17" s="2" t="n">
        <v>36239</v>
      </c>
      <c r="D17" s="2" t="n">
        <v>-7.9642849</v>
      </c>
      <c r="E17" s="2" t="n">
        <v>112.6221525</v>
      </c>
      <c r="F17" s="3">
        <f>(C17 - $B$367) / $B$368</f>
        <v/>
      </c>
      <c r="G17" s="2">
        <f>IF(F17&lt;-0.5,"Murah",IF(F17&lt;0.5,"Sedang","Mahal"))</f>
        <v/>
      </c>
    </row>
    <row r="18">
      <c r="A18" s="2" t="n">
        <v>17</v>
      </c>
      <c r="B18" s="2" t="inlineStr">
        <is>
          <t>OYO Life 92568 Penginapan Joglo Syariah</t>
        </is>
      </c>
      <c r="C18" s="2" t="n">
        <v>103035</v>
      </c>
      <c r="D18" s="2" t="n">
        <v>-8.1186834</v>
      </c>
      <c r="E18" s="2" t="n">
        <v>112.5670108</v>
      </c>
      <c r="F18" s="3">
        <f>(C18 - $B$367) / $B$368</f>
        <v/>
      </c>
      <c r="G18" s="2">
        <f>IF(F18&lt;-0.5,"Murah",IF(F18&lt;0.5,"Sedang","Mahal"))</f>
        <v/>
      </c>
    </row>
    <row r="19">
      <c r="A19" s="2" t="n">
        <v>18</v>
      </c>
      <c r="B19" s="2" t="inlineStr">
        <is>
          <t>OYO 90303 Cafe &amp; Homestay Kolam Pancing Abah</t>
        </is>
      </c>
      <c r="C19" s="2" t="n">
        <v>142451</v>
      </c>
      <c r="D19" s="2" t="n">
        <v>-7.9133065</v>
      </c>
      <c r="E19" s="2" t="n">
        <v>112.6364432</v>
      </c>
      <c r="F19" s="3">
        <f>(C19 - $B$367) / $B$368</f>
        <v/>
      </c>
      <c r="G19" s="2">
        <f>IF(F19&lt;-0.5,"Murah",IF(F19&lt;0.5,"Sedang","Mahal"))</f>
        <v/>
      </c>
    </row>
    <row r="20">
      <c r="A20" s="2" t="n">
        <v>19</v>
      </c>
      <c r="B20" s="2" t="inlineStr">
        <is>
          <t>D Maktab Syariah Mitra RedDoorz Malang</t>
        </is>
      </c>
      <c r="C20" s="2" t="n">
        <v>233100</v>
      </c>
      <c r="D20" s="2" t="n">
        <v>-7.9510225</v>
      </c>
      <c r="E20" s="2" t="n">
        <v>112.6266283</v>
      </c>
      <c r="F20" s="3">
        <f>(C20 - $B$367) / $B$368</f>
        <v/>
      </c>
      <c r="G20" s="2">
        <f>IF(F20&lt;-0.5,"Murah",IF(F20&lt;0.5,"Sedang","Mahal"))</f>
        <v/>
      </c>
    </row>
    <row r="21">
      <c r="A21" s="2" t="n">
        <v>20</v>
      </c>
      <c r="B21" s="2" t="inlineStr">
        <is>
          <t>OYO 94148 Forzando Hotel</t>
        </is>
      </c>
      <c r="C21" s="2" t="n">
        <v>90344</v>
      </c>
      <c r="D21" s="2" t="n">
        <v>-7.9223935</v>
      </c>
      <c r="E21" s="2" t="n">
        <v>112.6084139</v>
      </c>
      <c r="F21" s="3">
        <f>(C21 - $B$367) / $B$368</f>
        <v/>
      </c>
      <c r="G21" s="2">
        <f>IF(F21&lt;-0.5,"Murah",IF(F21&lt;0.5,"Sedang","Mahal"))</f>
        <v/>
      </c>
    </row>
    <row r="22">
      <c r="A22" s="2" t="n">
        <v>21</v>
      </c>
      <c r="B22" s="2" t="inlineStr">
        <is>
          <t>Forzando House Redpartner near Universitas Muhammadiyah Malang</t>
        </is>
      </c>
      <c r="C22" s="2" t="n">
        <v>90344</v>
      </c>
      <c r="D22" s="2" t="n">
        <v>-7.9219222</v>
      </c>
      <c r="E22" s="2" t="n">
        <v>112.6084985</v>
      </c>
      <c r="F22" s="3">
        <f>(C22 - $B$367) / $B$368</f>
        <v/>
      </c>
      <c r="G22" s="2">
        <f>IF(F22&lt;-0.5,"Murah",IF(F22&lt;0.5,"Sedang","Mahal"))</f>
        <v/>
      </c>
    </row>
    <row r="23">
      <c r="A23" s="2" t="n">
        <v>22</v>
      </c>
      <c r="B23" s="2" t="inlineStr">
        <is>
          <t>OYO 2771 D'soetta</t>
        </is>
      </c>
      <c r="C23" s="2" t="n">
        <v>237920</v>
      </c>
      <c r="D23" s="2" t="n">
        <v>-7.9392536</v>
      </c>
      <c r="E23" s="2" t="n">
        <v>112.6252384</v>
      </c>
      <c r="F23" s="3">
        <f>(C23 - $B$367) / $B$368</f>
        <v/>
      </c>
      <c r="G23" s="2">
        <f>IF(F23&lt;-0.5,"Murah",IF(F23&lt;0.5,"Sedang","Mahal"))</f>
        <v/>
      </c>
    </row>
    <row r="24">
      <c r="A24" s="2" t="n">
        <v>23</v>
      </c>
      <c r="B24" s="2" t="inlineStr">
        <is>
          <t>OYO 1468 SM House</t>
        </is>
      </c>
      <c r="C24" s="2" t="n">
        <v>269126</v>
      </c>
      <c r="D24" s="2" t="n">
        <v>-7.9322681</v>
      </c>
      <c r="E24" s="2" t="n">
        <v>112.6294056</v>
      </c>
      <c r="F24" s="3">
        <f>(C24 - $B$367) / $B$368</f>
        <v/>
      </c>
      <c r="G24" s="2">
        <f>IF(F24&lt;-0.5,"Murah",IF(F24&lt;0.5,"Sedang","Mahal"))</f>
        <v/>
      </c>
    </row>
    <row r="25">
      <c r="A25" s="2" t="n">
        <v>24</v>
      </c>
      <c r="B25" s="2" t="inlineStr">
        <is>
          <t>OYO 91084 Oke Guest House</t>
        </is>
      </c>
      <c r="C25" s="2" t="n">
        <v>60000</v>
      </c>
      <c r="D25" s="2" t="n">
        <v>-8.014431</v>
      </c>
      <c r="E25" s="2" t="n">
        <v>112.6426109</v>
      </c>
      <c r="F25" s="3">
        <f>(C25 - $B$367) / $B$368</f>
        <v/>
      </c>
      <c r="G25" s="2">
        <f>IF(F25&lt;-0.5,"Murah",IF(F25&lt;0.5,"Sedang","Mahal"))</f>
        <v/>
      </c>
    </row>
    <row r="26">
      <c r="A26" s="2" t="n">
        <v>25</v>
      </c>
      <c r="B26" s="2" t="inlineStr">
        <is>
          <t>OYO Life 2760 Kost Simpang Borobudur 47</t>
        </is>
      </c>
      <c r="C26" s="2" t="n">
        <v>350000</v>
      </c>
      <c r="D26" s="2" t="n">
        <v>-7.9363803</v>
      </c>
      <c r="E26" s="2" t="n">
        <v>112.6379778</v>
      </c>
      <c r="F26" s="3">
        <f>(C26 - $B$367) / $B$368</f>
        <v/>
      </c>
      <c r="G26" s="2">
        <f>IF(F26&lt;-0.5,"Murah",IF(F26&lt;0.5,"Sedang","Mahal"))</f>
        <v/>
      </c>
    </row>
    <row r="27">
      <c r="A27" s="2" t="n">
        <v>26</v>
      </c>
      <c r="B27" s="2" t="inlineStr">
        <is>
          <t>OYO 90217 Cmb 37 Guest House</t>
        </is>
      </c>
      <c r="C27" s="2" t="n">
        <v>36239</v>
      </c>
      <c r="D27" s="2" t="n">
        <v>-7.9397741</v>
      </c>
      <c r="E27" s="2" t="n">
        <v>112.6266644</v>
      </c>
      <c r="F27" s="3">
        <f>(C27 - $B$367) / $B$368</f>
        <v/>
      </c>
      <c r="G27" s="2">
        <f>IF(F27&lt;-0.5,"Murah",IF(F27&lt;0.5,"Sedang","Mahal"))</f>
        <v/>
      </c>
    </row>
    <row r="28">
      <c r="A28" s="2" t="n">
        <v>27</v>
      </c>
      <c r="B28" s="2" t="inlineStr">
        <is>
          <t>Embun Pagi Syariah Bendungan Sempor 8 Malang</t>
        </is>
      </c>
      <c r="C28" s="2" t="n">
        <v>301928</v>
      </c>
      <c r="D28" s="2" t="n">
        <v>-7.9597593</v>
      </c>
      <c r="E28" s="2" t="n">
        <v>112.6124389</v>
      </c>
      <c r="F28" s="3">
        <f>(C28 - $B$367) / $B$368</f>
        <v/>
      </c>
      <c r="G28" s="2">
        <f>IF(F28&lt;-0.5,"Murah",IF(F28&lt;0.5,"Sedang","Mahal"))</f>
        <v/>
      </c>
    </row>
    <row r="29">
      <c r="A29" s="2" t="n">
        <v>28</v>
      </c>
      <c r="B29" s="2" t="inlineStr">
        <is>
          <t>OYO 94767 Griya Djati Syariah 1</t>
        </is>
      </c>
      <c r="C29" s="2" t="n">
        <v>146986</v>
      </c>
      <c r="D29" s="2" t="n">
        <v>-7.9857367</v>
      </c>
      <c r="E29" s="2" t="n">
        <v>112.6595192</v>
      </c>
      <c r="F29" s="3">
        <f>(C29 - $B$367) / $B$368</f>
        <v/>
      </c>
      <c r="G29" s="2">
        <f>IF(F29&lt;-0.5,"Murah",IF(F29&lt;0.5,"Sedang","Mahal"))</f>
        <v/>
      </c>
    </row>
    <row r="30">
      <c r="A30" s="2" t="n">
        <v>29</v>
      </c>
      <c r="B30" s="2" t="inlineStr">
        <is>
          <t>OYO 3510 Borobudur Townhouse</t>
        </is>
      </c>
      <c r="C30" s="2" t="n">
        <v>300000</v>
      </c>
      <c r="D30" s="2" t="n">
        <v>-7.937345</v>
      </c>
      <c r="E30" s="2" t="n">
        <v>112.6359318</v>
      </c>
      <c r="F30" s="3">
        <f>(C30 - $B$367) / $B$368</f>
        <v/>
      </c>
      <c r="G30" s="2">
        <f>IF(F30&lt;-0.5,"Murah",IF(F30&lt;0.5,"Sedang","Mahal"))</f>
        <v/>
      </c>
    </row>
    <row r="31">
      <c r="A31" s="2" t="n">
        <v>30</v>
      </c>
      <c r="B31" s="2" t="inlineStr">
        <is>
          <t>OYO 1110 Ijen Butik House</t>
        </is>
      </c>
      <c r="C31" s="2" t="n">
        <v>36239</v>
      </c>
      <c r="D31" s="2" t="n">
        <v>-7.9794481</v>
      </c>
      <c r="E31" s="2" t="n">
        <v>112.6157734</v>
      </c>
      <c r="F31" s="3">
        <f>(C31 - $B$367) / $B$368</f>
        <v/>
      </c>
      <c r="G31" s="2">
        <f>IF(F31&lt;-0.5,"Murah",IF(F31&lt;0.5,"Sedang","Mahal"))</f>
        <v/>
      </c>
    </row>
    <row r="32">
      <c r="A32" s="2" t="n">
        <v>31</v>
      </c>
      <c r="B32" s="2" t="inlineStr">
        <is>
          <t>Hotel Nugraha</t>
        </is>
      </c>
      <c r="C32" s="2" t="n">
        <v>146846</v>
      </c>
      <c r="D32" s="2" t="n">
        <v>-7.9354939</v>
      </c>
      <c r="E32" s="2" t="n">
        <v>112.6488756</v>
      </c>
      <c r="F32" s="3">
        <f>(C32 - $B$367) / $B$368</f>
        <v/>
      </c>
      <c r="G32" s="2">
        <f>IF(F32&lt;-0.5,"Murah",IF(F32&lt;0.5,"Sedang","Mahal"))</f>
        <v/>
      </c>
    </row>
    <row r="33">
      <c r="A33" s="2" t="n">
        <v>32</v>
      </c>
      <c r="B33" s="2" t="inlineStr">
        <is>
          <t>SPOT ON 92450 Homestay Simpang Panji Suroso Syariah</t>
        </is>
      </c>
      <c r="C33" s="2" t="n">
        <v>36239</v>
      </c>
      <c r="D33" s="2" t="n">
        <v>-7.9331001</v>
      </c>
      <c r="E33" s="2" t="n">
        <v>112.6479563</v>
      </c>
      <c r="F33" s="3">
        <f>(C33 - $B$367) / $B$368</f>
        <v/>
      </c>
      <c r="G33" s="2">
        <f>IF(F33&lt;-0.5,"Murah",IF(F33&lt;0.5,"Sedang","Mahal"))</f>
        <v/>
      </c>
    </row>
    <row r="34">
      <c r="A34" s="2" t="n">
        <v>33</v>
      </c>
      <c r="B34" s="2" t="inlineStr">
        <is>
          <t>OYO Life 2906 Rukost Larose</t>
        </is>
      </c>
      <c r="C34" s="2" t="n">
        <v>375007</v>
      </c>
      <c r="D34" s="2" t="n">
        <v>-7.9571165</v>
      </c>
      <c r="E34" s="2" t="n">
        <v>112.6337246</v>
      </c>
      <c r="F34" s="3">
        <f>(C34 - $B$367) / $B$368</f>
        <v/>
      </c>
      <c r="G34" s="2">
        <f>IF(F34&lt;-0.5,"Murah",IF(F34&lt;0.5,"Sedang","Mahal"))</f>
        <v/>
      </c>
    </row>
    <row r="35">
      <c r="A35" s="2" t="n">
        <v>34</v>
      </c>
      <c r="B35" s="2" t="inlineStr">
        <is>
          <t>OYO Life 414 Loji Rejo Guest House</t>
        </is>
      </c>
      <c r="C35" s="2" t="n">
        <v>36239</v>
      </c>
      <c r="D35" s="2" t="n">
        <v>-7.9573189</v>
      </c>
      <c r="E35" s="2" t="n">
        <v>112.5910027</v>
      </c>
      <c r="F35" s="3">
        <f>(C35 - $B$367) / $B$368</f>
        <v/>
      </c>
      <c r="G35" s="2">
        <f>IF(F35&lt;-0.5,"Murah",IF(F35&lt;0.5,"Sedang","Mahal"))</f>
        <v/>
      </c>
    </row>
    <row r="36">
      <c r="A36" s="2" t="n">
        <v>35</v>
      </c>
      <c r="B36" s="2" t="inlineStr">
        <is>
          <t>OYO 1293 Dei Residence Arjosari</t>
        </is>
      </c>
      <c r="C36" s="2" t="n">
        <v>36239</v>
      </c>
      <c r="D36" s="2" t="n">
        <v>-7.9303611</v>
      </c>
      <c r="E36" s="2" t="n">
        <v>112.6485267</v>
      </c>
      <c r="F36" s="3">
        <f>(C36 - $B$367) / $B$368</f>
        <v/>
      </c>
      <c r="G36" s="2">
        <f>IF(F36&lt;-0.5,"Murah",IF(F36&lt;0.5,"Sedang","Mahal"))</f>
        <v/>
      </c>
    </row>
    <row r="37">
      <c r="A37" s="2" t="n">
        <v>36</v>
      </c>
      <c r="B37" s="2" t="inlineStr">
        <is>
          <t>OYO 350 D' Maktab Homestay Syariah</t>
        </is>
      </c>
      <c r="C37" s="2" t="n">
        <v>179564</v>
      </c>
      <c r="D37" s="2" t="n">
        <v>-7.950944</v>
      </c>
      <c r="E37" s="2" t="n">
        <v>112.626521</v>
      </c>
      <c r="F37" s="3">
        <f>(C37 - $B$367) / $B$368</f>
        <v/>
      </c>
      <c r="G37" s="2">
        <f>IF(F37&lt;-0.5,"Murah",IF(F37&lt;0.5,"Sedang","Mahal"))</f>
        <v/>
      </c>
    </row>
    <row r="38">
      <c r="A38" s="2" t="n">
        <v>37</v>
      </c>
      <c r="B38" s="2" t="inlineStr">
        <is>
          <t>OYO 3371 Omah Saras Family</t>
        </is>
      </c>
      <c r="C38" s="2" t="n">
        <v>36239</v>
      </c>
      <c r="D38" s="2" t="n">
        <v>-7.962533</v>
      </c>
      <c r="E38" s="2" t="n">
        <v>112.622981</v>
      </c>
      <c r="F38" s="3">
        <f>(C38 - $B$367) / $B$368</f>
        <v/>
      </c>
      <c r="G38" s="2">
        <f>IF(F38&lt;-0.5,"Murah",IF(F38&lt;0.5,"Sedang","Mahal"))</f>
        <v/>
      </c>
    </row>
    <row r="39">
      <c r="A39" s="2" t="n">
        <v>38</v>
      </c>
      <c r="B39" s="2" t="inlineStr">
        <is>
          <t>SPOT ON 91530 Sumpil Syariah</t>
        </is>
      </c>
      <c r="C39" s="2" t="n">
        <v>211964</v>
      </c>
      <c r="D39" s="2" t="n">
        <v>-7.9343941</v>
      </c>
      <c r="E39" s="2" t="n">
        <v>112.6453402</v>
      </c>
      <c r="F39" s="3">
        <f>(C39 - $B$367) / $B$368</f>
        <v/>
      </c>
      <c r="G39" s="2">
        <f>IF(F39&lt;-0.5,"Murah",IF(F39&lt;0.5,"Sedang","Mahal"))</f>
        <v/>
      </c>
    </row>
    <row r="40">
      <c r="A40" s="2" t="n">
        <v>39</v>
      </c>
      <c r="B40" s="2" t="inlineStr">
        <is>
          <t>OYO 90734 Konzo Kostel Syariah Malang</t>
        </is>
      </c>
      <c r="C40" s="2" t="n">
        <v>179685</v>
      </c>
      <c r="D40" s="2" t="n">
        <v>-8.0061234</v>
      </c>
      <c r="E40" s="2" t="n">
        <v>112.6237223</v>
      </c>
      <c r="F40" s="3">
        <f>(C40 - $B$367) / $B$368</f>
        <v/>
      </c>
      <c r="G40" s="2">
        <f>IF(F40&lt;-0.5,"Murah",IF(F40&lt;0.5,"Sedang","Mahal"))</f>
        <v/>
      </c>
    </row>
    <row r="41">
      <c r="A41" s="2" t="n">
        <v>40</v>
      </c>
      <c r="B41" s="2" t="inlineStr">
        <is>
          <t>Victory Hotel</t>
        </is>
      </c>
      <c r="C41" s="2" t="n">
        <v>185377</v>
      </c>
      <c r="D41" s="2" t="n">
        <v>-7.8221247</v>
      </c>
      <c r="E41" s="2" t="n">
        <v>112.5297343</v>
      </c>
      <c r="F41" s="3">
        <f>(C41 - $B$367) / $B$368</f>
        <v/>
      </c>
      <c r="G41" s="2">
        <f>IF(F41&lt;-0.5,"Murah",IF(F41&lt;0.5,"Sedang","Mahal"))</f>
        <v/>
      </c>
    </row>
    <row r="42">
      <c r="A42" s="2" t="n">
        <v>41</v>
      </c>
      <c r="B42" s="2" t="inlineStr">
        <is>
          <t>Hotel Palem 2 Syariah Malang Redpartner</t>
        </is>
      </c>
      <c r="C42" s="2" t="n">
        <v>459007</v>
      </c>
      <c r="D42" s="2" t="n">
        <v>-7.9712784</v>
      </c>
      <c r="E42" s="2" t="n">
        <v>112.6356795</v>
      </c>
      <c r="F42" s="3">
        <f>(C42 - $B$367) / $B$368</f>
        <v/>
      </c>
      <c r="G42" s="2">
        <f>IF(F42&lt;-0.5,"Murah",IF(F42&lt;0.5,"Sedang","Mahal"))</f>
        <v/>
      </c>
    </row>
    <row r="43">
      <c r="A43" s="2" t="n">
        <v>42</v>
      </c>
      <c r="B43" s="2" t="inlineStr">
        <is>
          <t>OYO Life 91931 Permata Brantas Syariah Homestay</t>
        </is>
      </c>
      <c r="C43" s="2" t="n">
        <v>590409</v>
      </c>
      <c r="D43" s="2" t="n">
        <v>-7.9326945</v>
      </c>
      <c r="E43" s="2" t="n">
        <v>112.6113372</v>
      </c>
      <c r="F43" s="3">
        <f>(C43 - $B$367) / $B$368</f>
        <v/>
      </c>
      <c r="G43" s="2">
        <f>IF(F43&lt;-0.5,"Murah",IF(F43&lt;0.5,"Sedang","Mahal"))</f>
        <v/>
      </c>
    </row>
    <row r="44">
      <c r="A44" s="2" t="n">
        <v>43</v>
      </c>
      <c r="B44" s="2" t="inlineStr">
        <is>
          <t>OYO Life Hotel O Forzando Hotel</t>
        </is>
      </c>
      <c r="C44" s="2" t="n">
        <v>439562</v>
      </c>
      <c r="D44" s="2" t="n">
        <v>-7.9223948</v>
      </c>
      <c r="E44" s="2" t="n">
        <v>112.6084134</v>
      </c>
      <c r="F44" s="3">
        <f>(C44 - $B$367) / $B$368</f>
        <v/>
      </c>
      <c r="G44" s="2">
        <f>IF(F44&lt;-0.5,"Murah",IF(F44&lt;0.5,"Sedang","Mahal"))</f>
        <v/>
      </c>
    </row>
    <row r="45">
      <c r="A45" s="2" t="n">
        <v>44</v>
      </c>
      <c r="B45" s="2" t="inlineStr">
        <is>
          <t>Hotel Malang</t>
        </is>
      </c>
      <c r="C45" s="2" t="n">
        <v>36239</v>
      </c>
      <c r="D45" s="2" t="n">
        <v>-7.9853106</v>
      </c>
      <c r="E45" s="2" t="n">
        <v>112.6337779</v>
      </c>
      <c r="F45" s="3">
        <f>(C45 - $B$367) / $B$368</f>
        <v/>
      </c>
      <c r="G45" s="2">
        <f>IF(F45&lt;-0.5,"Murah",IF(F45&lt;0.5,"Sedang","Mahal"))</f>
        <v/>
      </c>
    </row>
    <row r="46">
      <c r="A46" s="2" t="n">
        <v>45</v>
      </c>
      <c r="B46" s="2" t="inlineStr">
        <is>
          <t>Warung ampiran Bromo</t>
        </is>
      </c>
      <c r="C46" s="2" t="n">
        <v>40394</v>
      </c>
      <c r="D46" s="2" t="n">
        <v>-8.0056545</v>
      </c>
      <c r="E46" s="2" t="n">
        <v>112.7465812</v>
      </c>
      <c r="F46" s="3">
        <f>(C46 - $B$367) / $B$368</f>
        <v/>
      </c>
      <c r="G46" s="2">
        <f>IF(F46&lt;-0.5,"Murah",IF(F46&lt;0.5,"Sedang","Mahal"))</f>
        <v/>
      </c>
    </row>
    <row r="47">
      <c r="A47" s="2" t="n">
        <v>46</v>
      </c>
      <c r="B47" s="2" t="inlineStr">
        <is>
          <t>OYO 90480 sultan palace guest house</t>
        </is>
      </c>
      <c r="C47" s="2" t="n">
        <v>36239</v>
      </c>
      <c r="D47" s="2" t="n">
        <v>-7.9268265</v>
      </c>
      <c r="E47" s="2" t="n">
        <v>112.6020383</v>
      </c>
      <c r="F47" s="3">
        <f>(C47 - $B$367) / $B$368</f>
        <v/>
      </c>
      <c r="G47" s="2">
        <f>IF(F47&lt;-0.5,"Murah",IF(F47&lt;0.5,"Sedang","Mahal"))</f>
        <v/>
      </c>
    </row>
    <row r="48">
      <c r="A48" s="2" t="n">
        <v>47</v>
      </c>
      <c r="B48" s="2" t="inlineStr">
        <is>
          <t>OYO 91137 Griya Cipu Syariah Guest House</t>
        </is>
      </c>
      <c r="C48" s="2" t="n">
        <v>36239</v>
      </c>
      <c r="D48" s="2" t="n">
        <v>-7.95535</v>
      </c>
      <c r="E48" s="2" t="n">
        <v>112.6412845</v>
      </c>
      <c r="F48" s="3">
        <f>(C48 - $B$367) / $B$368</f>
        <v/>
      </c>
      <c r="G48" s="2">
        <f>IF(F48&lt;-0.5,"Murah",IF(F48&lt;0.5,"Sedang","Mahal"))</f>
        <v/>
      </c>
    </row>
    <row r="49">
      <c r="A49" s="2" t="n">
        <v>48</v>
      </c>
      <c r="B49" s="2" t="inlineStr">
        <is>
          <t>Villa Unik Dau Malang</t>
        </is>
      </c>
      <c r="C49" s="2" t="n">
        <v>126000</v>
      </c>
      <c r="D49" s="2" t="n">
        <v>-7.9335299</v>
      </c>
      <c r="E49" s="2" t="n">
        <v>112.5731735</v>
      </c>
      <c r="F49" s="3">
        <f>(C49 - $B$367) / $B$368</f>
        <v/>
      </c>
      <c r="G49" s="2">
        <f>IF(F49&lt;-0.5,"Murah",IF(F49&lt;0.5,"Sedang","Mahal"))</f>
        <v/>
      </c>
    </row>
    <row r="50">
      <c r="A50" s="2" t="n">
        <v>49</v>
      </c>
      <c r="B50" s="2" t="inlineStr">
        <is>
          <t>Orange house Villa</t>
        </is>
      </c>
      <c r="C50" s="2" t="n">
        <v>780000</v>
      </c>
      <c r="D50" s="2" t="n">
        <v>-7.9332228</v>
      </c>
      <c r="E50" s="2" t="n">
        <v>112.5732727</v>
      </c>
      <c r="F50" s="3">
        <f>(C50 - $B$367) / $B$368</f>
        <v/>
      </c>
      <c r="G50" s="2">
        <f>IF(F50&lt;-0.5,"Murah",IF(F50&lt;0.5,"Sedang","Mahal"))</f>
        <v/>
      </c>
    </row>
    <row r="51">
      <c r="A51" s="2" t="n">
        <v>50</v>
      </c>
      <c r="B51" s="2" t="inlineStr">
        <is>
          <t>Villa FiFa</t>
        </is>
      </c>
      <c r="C51" s="2" t="n">
        <v>184000</v>
      </c>
      <c r="D51" s="2" t="n">
        <v>-7.9229698</v>
      </c>
      <c r="E51" s="2" t="n">
        <v>112.6198807</v>
      </c>
      <c r="F51" s="3">
        <f>(C51 - $B$367) / $B$368</f>
        <v/>
      </c>
      <c r="G51" s="2">
        <f>IF(F51&lt;-0.5,"Murah",IF(F51&lt;0.5,"Sedang","Mahal"))</f>
        <v/>
      </c>
    </row>
    <row r="52">
      <c r="A52" s="2" t="n">
        <v>51</v>
      </c>
      <c r="B52" s="2" t="inlineStr">
        <is>
          <t>Villa Nayyara</t>
        </is>
      </c>
      <c r="C52" s="2" t="n">
        <v>819001</v>
      </c>
      <c r="D52" s="2" t="n">
        <v>-7.9394898</v>
      </c>
      <c r="E52" s="2" t="n">
        <v>112.5730972</v>
      </c>
      <c r="F52" s="3">
        <f>(C52 - $B$367) / $B$368</f>
        <v/>
      </c>
      <c r="G52" s="2">
        <f>IF(F52&lt;-0.5,"Murah",IF(F52&lt;0.5,"Sedang","Mahal"))</f>
        <v/>
      </c>
    </row>
    <row r="53">
      <c r="A53" s="2" t="n">
        <v>52</v>
      </c>
      <c r="B53" s="2" t="inlineStr">
        <is>
          <t>Villa Tidar Van Java, Private PooL, Sejuk  Nyaman</t>
        </is>
      </c>
      <c r="C53" s="2" t="n">
        <v>36239</v>
      </c>
      <c r="D53" s="2" t="n">
        <v>-7.9491901</v>
      </c>
      <c r="E53" s="2" t="n">
        <v>112.593689</v>
      </c>
      <c r="F53" s="3">
        <f>(C53 - $B$367) / $B$368</f>
        <v/>
      </c>
      <c r="G53" s="2">
        <f>IF(F53&lt;-0.5,"Murah",IF(F53&lt;0.5,"Sedang","Mahal"))</f>
        <v/>
      </c>
    </row>
    <row r="54">
      <c r="A54" s="2" t="n">
        <v>53</v>
      </c>
      <c r="B54" s="2" t="inlineStr">
        <is>
          <t>Villa The Oz HE-05</t>
        </is>
      </c>
      <c r="C54" s="2" t="n">
        <v>637000</v>
      </c>
      <c r="D54" s="2" t="n">
        <v>-7.9516358</v>
      </c>
      <c r="E54" s="2" t="n">
        <v>112.5762482</v>
      </c>
      <c r="F54" s="3">
        <f>(C54 - $B$367) / $B$368</f>
        <v/>
      </c>
      <c r="G54" s="2">
        <f>IF(F54&lt;-0.5,"Murah",IF(F54&lt;0.5,"Sedang","Mahal"))</f>
        <v/>
      </c>
    </row>
    <row r="55">
      <c r="A55" s="2" t="n">
        <v>54</v>
      </c>
      <c r="B55" s="2" t="inlineStr">
        <is>
          <t>Huis Van Gustafine Floor 1</t>
        </is>
      </c>
      <c r="C55" s="2" t="n">
        <v>1652145</v>
      </c>
      <c r="D55" s="2" t="n">
        <v>-7.969512</v>
      </c>
      <c r="E55" s="2" t="n">
        <v>112.6310196</v>
      </c>
      <c r="F55" s="3">
        <f>(C55 - $B$367) / $B$368</f>
        <v/>
      </c>
      <c r="G55" s="2">
        <f>IF(F55&lt;-0.5,"Murah",IF(F55&lt;0.5,"Sedang","Mahal"))</f>
        <v/>
      </c>
    </row>
    <row r="56">
      <c r="A56" s="2" t="n">
        <v>55</v>
      </c>
      <c r="B56" s="2" t="inlineStr">
        <is>
          <t>Villa Harga Ekonomis di Malang</t>
        </is>
      </c>
      <c r="C56" s="2" t="n">
        <v>200000</v>
      </c>
      <c r="D56" s="2" t="n">
        <v>-7.9135885</v>
      </c>
      <c r="E56" s="2" t="n">
        <v>112.6102142</v>
      </c>
      <c r="F56" s="3">
        <f>(C56 - $B$367) / $B$368</f>
        <v/>
      </c>
      <c r="G56" s="2">
        <f>IF(F56&lt;-0.5,"Murah",IF(F56&lt;0.5,"Sedang","Mahal"))</f>
        <v/>
      </c>
    </row>
    <row r="57">
      <c r="A57" s="2" t="n">
        <v>56</v>
      </c>
      <c r="B57" s="2" t="inlineStr">
        <is>
          <t>Vila Shopie WonderHouz</t>
        </is>
      </c>
      <c r="C57" s="2" t="n">
        <v>1352287</v>
      </c>
      <c r="D57" s="2" t="n">
        <v>-7.9252272</v>
      </c>
      <c r="E57" s="2" t="n">
        <v>112.6468506</v>
      </c>
      <c r="F57" s="3">
        <f>(C57 - $B$367) / $B$368</f>
        <v/>
      </c>
      <c r="G57" s="2">
        <f>IF(F57&lt;-0.5,"Murah",IF(F57&lt;0.5,"Sedang","Mahal"))</f>
        <v/>
      </c>
    </row>
    <row r="58">
      <c r="A58" s="2" t="n">
        <v>57</v>
      </c>
      <c r="B58" s="2" t="inlineStr">
        <is>
          <t>Villa Griya Sumber Arum - 2 Bedrooms Privatepool</t>
        </is>
      </c>
      <c r="C58" s="2" t="n">
        <v>412890</v>
      </c>
      <c r="D58" s="2" t="n">
        <v>-7.9417987</v>
      </c>
      <c r="E58" s="2" t="n">
        <v>112.5721741</v>
      </c>
      <c r="F58" s="3">
        <f>(C58 - $B$367) / $B$368</f>
        <v/>
      </c>
      <c r="G58" s="2">
        <f>IF(F58&lt;-0.5,"Murah",IF(F58&lt;0.5,"Sedang","Mahal"))</f>
        <v/>
      </c>
    </row>
    <row r="59">
      <c r="A59" s="2" t="n">
        <v>58</v>
      </c>
      <c r="B59" s="2" t="inlineStr">
        <is>
          <t>Villa Griya Samara  Kolam Renang Pribadi</t>
        </is>
      </c>
      <c r="C59" s="2" t="n">
        <v>866503</v>
      </c>
      <c r="D59" s="2" t="n">
        <v>-7.9075298</v>
      </c>
      <c r="E59" s="2" t="n">
        <v>112.6331787</v>
      </c>
      <c r="F59" s="3">
        <f>(C59 - $B$367) / $B$368</f>
        <v/>
      </c>
      <c r="G59" s="2">
        <f>IF(F59&lt;-0.5,"Murah",IF(F59&lt;0.5,"Sedang","Mahal"))</f>
        <v/>
      </c>
    </row>
    <row r="60">
      <c r="A60" s="2" t="n">
        <v>59</v>
      </c>
      <c r="B60" s="2" t="inlineStr">
        <is>
          <t>Gerbera 4BR Villa Springhill Garden Malang</t>
        </is>
      </c>
      <c r="C60" s="2" t="n">
        <v>300000</v>
      </c>
      <c r="D60" s="2" t="n">
        <v>-7.9663482</v>
      </c>
      <c r="E60" s="2" t="n">
        <v>112.6679077</v>
      </c>
      <c r="F60" s="3">
        <f>(C60 - $B$367) / $B$368</f>
        <v/>
      </c>
      <c r="G60" s="2">
        <f>IF(F60&lt;-0.5,"Murah",IF(F60&lt;0.5,"Sedang","Mahal"))</f>
        <v/>
      </c>
    </row>
    <row r="61">
      <c r="A61" s="2" t="n">
        <v>60</v>
      </c>
      <c r="B61" s="2" t="inlineStr">
        <is>
          <t>Gerbera 4BR Springhill Garden Malang</t>
        </is>
      </c>
      <c r="C61" s="2" t="n">
        <v>500000</v>
      </c>
      <c r="D61" s="2" t="n">
        <v>-7.9661298</v>
      </c>
      <c r="E61" s="2" t="n">
        <v>112.6664505</v>
      </c>
      <c r="F61" s="3">
        <f>(C61 - $B$367) / $B$368</f>
        <v/>
      </c>
      <c r="G61" s="2">
        <f>IF(F61&lt;-0.5,"Murah",IF(F61&lt;0.5,"Sedang","Mahal"))</f>
        <v/>
      </c>
    </row>
    <row r="62">
      <c r="A62" s="2" t="n">
        <v>61</v>
      </c>
      <c r="B62" s="2" t="inlineStr">
        <is>
          <t>FLAZ Villa</t>
        </is>
      </c>
      <c r="C62" s="2" t="n">
        <v>331532</v>
      </c>
      <c r="D62" s="2" t="n">
        <v>-7.9251318</v>
      </c>
      <c r="E62" s="2" t="n">
        <v>112.5716629</v>
      </c>
      <c r="F62" s="3">
        <f>(C62 - $B$367) / $B$368</f>
        <v/>
      </c>
      <c r="G62" s="2">
        <f>IF(F62&lt;-0.5,"Murah",IF(F62&lt;0.5,"Sedang","Mahal"))</f>
        <v/>
      </c>
    </row>
    <row r="63">
      <c r="A63" s="2" t="n">
        <v>62</v>
      </c>
      <c r="B63" s="2" t="inlineStr">
        <is>
          <t>Kertavilla</t>
        </is>
      </c>
      <c r="C63" s="2" t="n">
        <v>71108</v>
      </c>
      <c r="D63" s="2" t="n">
        <v>-7.9067998</v>
      </c>
      <c r="E63" s="2" t="n">
        <v>112.6190033</v>
      </c>
      <c r="F63" s="3">
        <f>(C63 - $B$367) / $B$368</f>
        <v/>
      </c>
      <c r="G63" s="2">
        <f>IF(F63&lt;-0.5,"Murah",IF(F63&lt;0.5,"Sedang","Mahal"))</f>
        <v/>
      </c>
    </row>
    <row r="64">
      <c r="A64" s="2" t="n">
        <v>63</v>
      </c>
      <c r="B64" s="2" t="inlineStr">
        <is>
          <t>Villa Lisha Orolas</t>
        </is>
      </c>
      <c r="C64" s="2" t="n">
        <v>1767273</v>
      </c>
      <c r="D64" s="2" t="n">
        <v>-7.9228702</v>
      </c>
      <c r="E64" s="2" t="n">
        <v>112.6252136</v>
      </c>
      <c r="F64" s="3">
        <f>(C64 - $B$367) / $B$368</f>
        <v/>
      </c>
      <c r="G64" s="2">
        <f>IF(F64&lt;-0.5,"Murah",IF(F64&lt;0.5,"Sedang","Mahal"))</f>
        <v/>
      </c>
    </row>
    <row r="65">
      <c r="A65" s="2" t="n">
        <v>64</v>
      </c>
      <c r="B65" s="2" t="inlineStr">
        <is>
          <t>Derumah 35 Villa</t>
        </is>
      </c>
      <c r="C65" s="2" t="n">
        <v>396695</v>
      </c>
      <c r="D65" s="2" t="n">
        <v>-7.95643</v>
      </c>
      <c r="E65" s="2" t="n">
        <v>112.6206665</v>
      </c>
      <c r="F65" s="3">
        <f>(C65 - $B$367) / $B$368</f>
        <v/>
      </c>
      <c r="G65" s="2">
        <f>IF(F65&lt;-0.5,"Murah",IF(F65&lt;0.5,"Sedang","Mahal"))</f>
        <v/>
      </c>
    </row>
    <row r="66">
      <c r="A66" s="2" t="n">
        <v>65</v>
      </c>
      <c r="B66" s="2" t="inlineStr">
        <is>
          <t>Kateza Homestay by Yurooms-ID</t>
        </is>
      </c>
      <c r="C66" s="2" t="n">
        <v>196560</v>
      </c>
      <c r="D66" s="2" t="n">
        <v>-7.9612398</v>
      </c>
      <c r="E66" s="2" t="n">
        <v>112.6122513</v>
      </c>
      <c r="F66" s="3">
        <f>(C66 - $B$367) / $B$368</f>
        <v/>
      </c>
      <c r="G66" s="2">
        <f>IF(F66&lt;-0.5,"Murah",IF(F66&lt;0.5,"Sedang","Mahal"))</f>
        <v/>
      </c>
    </row>
    <row r="67">
      <c r="A67" s="2" t="n">
        <v>66</v>
      </c>
      <c r="B67" s="2" t="inlineStr">
        <is>
          <t>Gerbera Springhill 4BR Villa Springhill Garden Malang</t>
        </is>
      </c>
      <c r="C67" s="2" t="n">
        <v>300000</v>
      </c>
      <c r="D67" s="2" t="n">
        <v>-7.9664402</v>
      </c>
      <c r="E67" s="2" t="n">
        <v>112.667984</v>
      </c>
      <c r="F67" s="3">
        <f>(C67 - $B$367) / $B$368</f>
        <v/>
      </c>
      <c r="G67" s="2">
        <f>IF(F67&lt;-0.5,"Murah",IF(F67&lt;0.5,"Sedang","Mahal"))</f>
        <v/>
      </c>
    </row>
    <row r="68">
      <c r="A68" s="2" t="n">
        <v>67</v>
      </c>
      <c r="B68" s="2" t="inlineStr">
        <is>
          <t>Villa Malang MARRY IND Puncak Buring</t>
        </is>
      </c>
      <c r="C68" s="2" t="n">
        <v>3644629</v>
      </c>
      <c r="D68" s="2" t="n">
        <v>-8.0107985</v>
      </c>
      <c r="E68" s="2" t="n">
        <v>112.6551971</v>
      </c>
      <c r="F68" s="3">
        <f>(C68 - $B$367) / $B$368</f>
        <v/>
      </c>
      <c r="G68" s="2">
        <f>IF(F68&lt;-0.5,"Murah",IF(F68&lt;0.5,"Sedang","Mahal"))</f>
        <v/>
      </c>
    </row>
    <row r="69">
      <c r="A69" s="2" t="n">
        <v>68</v>
      </c>
      <c r="B69" s="2" t="inlineStr">
        <is>
          <t>Villa Jingga Joyogrand Malang</t>
        </is>
      </c>
      <c r="C69" s="2" t="n">
        <v>300000</v>
      </c>
      <c r="D69" s="2" t="n">
        <v>-7.9430299</v>
      </c>
      <c r="E69" s="2" t="n">
        <v>112.5905304</v>
      </c>
      <c r="F69" s="3">
        <f>(C69 - $B$367) / $B$368</f>
        <v/>
      </c>
      <c r="G69" s="2">
        <f>IF(F69&lt;-0.5,"Murah",IF(F69&lt;0.5,"Sedang","Mahal"))</f>
        <v/>
      </c>
    </row>
    <row r="70">
      <c r="A70" s="2" t="n">
        <v>69</v>
      </c>
      <c r="B70" s="2" t="inlineStr">
        <is>
          <t>Derumah 35 Univ Brawijaya</t>
        </is>
      </c>
      <c r="C70" s="2" t="n">
        <v>1000000</v>
      </c>
      <c r="D70" s="2" t="n">
        <v>-7.9564342</v>
      </c>
      <c r="E70" s="2" t="n">
        <v>112.6206665</v>
      </c>
      <c r="F70" s="3">
        <f>(C70 - $B$367) / $B$368</f>
        <v/>
      </c>
      <c r="G70" s="2">
        <f>IF(F70&lt;-0.5,"Murah",IF(F70&lt;0.5,"Sedang","Mahal"))</f>
        <v/>
      </c>
    </row>
    <row r="71">
      <c r="A71" s="2" t="n">
        <v>70</v>
      </c>
      <c r="B71" s="2" t="inlineStr">
        <is>
          <t>Entire 250m villa without other guests</t>
        </is>
      </c>
      <c r="C71" s="2" t="n">
        <v>941851</v>
      </c>
      <c r="D71" s="2" t="n">
        <v>-7.96665</v>
      </c>
      <c r="E71" s="2" t="n">
        <v>112.6060104</v>
      </c>
      <c r="F71" s="3">
        <f>(C71 - $B$367) / $B$368</f>
        <v/>
      </c>
      <c r="G71" s="2">
        <f>IF(F71&lt;-0.5,"Murah",IF(F71&lt;0.5,"Sedang","Mahal"))</f>
        <v/>
      </c>
    </row>
    <row r="72">
      <c r="A72" s="2" t="n">
        <v>71</v>
      </c>
      <c r="B72" s="2" t="inlineStr">
        <is>
          <t>Villa Sunrise F1</t>
        </is>
      </c>
      <c r="C72" s="2" t="n">
        <v>1000000</v>
      </c>
      <c r="D72" s="2" t="n">
        <v>-7.9253001</v>
      </c>
      <c r="E72" s="2" t="n">
        <v>112.5630112</v>
      </c>
      <c r="F72" s="3">
        <f>(C72 - $B$367) / $B$368</f>
        <v/>
      </c>
      <c r="G72" s="2">
        <f>IF(F72&lt;-0.5,"Murah",IF(F72&lt;0.5,"Sedang","Mahal"))</f>
        <v/>
      </c>
    </row>
    <row r="73">
      <c r="A73" s="2" t="n">
        <v>72</v>
      </c>
      <c r="B73" s="2" t="inlineStr">
        <is>
          <t>SULFAT INDAH HOME STAY SYARIAH</t>
        </is>
      </c>
      <c r="C73" s="2" t="n">
        <v>341229</v>
      </c>
      <c r="D73" s="2" t="n">
        <v>-7.9613299</v>
      </c>
      <c r="E73" s="2" t="n">
        <v>112.6539307</v>
      </c>
      <c r="F73" s="3">
        <f>(C73 - $B$367) / $B$368</f>
        <v/>
      </c>
      <c r="G73" s="2">
        <f>IF(F73&lt;-0.5,"Murah",IF(F73&lt;0.5,"Sedang","Mahal"))</f>
        <v/>
      </c>
    </row>
    <row r="74">
      <c r="A74" s="2" t="n">
        <v>73</v>
      </c>
      <c r="B74" s="2" t="inlineStr">
        <is>
          <t>Little Creek Lodge</t>
        </is>
      </c>
      <c r="C74" s="2" t="n">
        <v>2000000</v>
      </c>
      <c r="D74" s="2" t="n">
        <v>-7.94385</v>
      </c>
      <c r="E74" s="2" t="n">
        <v>112.6338501</v>
      </c>
      <c r="F74" s="3">
        <f>(C74 - $B$367) / $B$368</f>
        <v/>
      </c>
      <c r="G74" s="2">
        <f>IF(F74&lt;-0.5,"Murah",IF(F74&lt;0.5,"Sedang","Mahal"))</f>
        <v/>
      </c>
    </row>
    <row r="75">
      <c r="A75" s="2" t="n">
        <v>74</v>
      </c>
      <c r="B75" s="2" t="inlineStr">
        <is>
          <t>Omah Venus Homestay</t>
        </is>
      </c>
      <c r="C75" s="2" t="n">
        <v>36239</v>
      </c>
      <c r="D75" s="2" t="n">
        <v>-7.9334707</v>
      </c>
      <c r="E75" s="2" t="n">
        <v>112.6051025</v>
      </c>
      <c r="F75" s="3">
        <f>(C75 - $B$367) / $B$368</f>
        <v/>
      </c>
      <c r="G75" s="2">
        <f>IF(F75&lt;-0.5,"Murah",IF(F75&lt;0.5,"Sedang","Mahal"))</f>
        <v/>
      </c>
    </row>
    <row r="76">
      <c r="A76" s="2" t="n">
        <v>75</v>
      </c>
      <c r="B76" s="2" t="inlineStr">
        <is>
          <t>Villa Murah di Malang</t>
        </is>
      </c>
      <c r="C76" s="2" t="n">
        <v>941851</v>
      </c>
      <c r="D76" s="2" t="n">
        <v>-7.9139733</v>
      </c>
      <c r="E76" s="2" t="n">
        <v>112.61129</v>
      </c>
      <c r="F76" s="3">
        <f>(C76 - $B$367) / $B$368</f>
        <v/>
      </c>
      <c r="G76" s="2">
        <f>IF(F76&lt;-0.5,"Murah",IF(F76&lt;0.5,"Sedang","Mahal"))</f>
        <v/>
      </c>
    </row>
    <row r="77">
      <c r="A77" s="2" t="n">
        <v>76</v>
      </c>
      <c r="B77" s="2" t="inlineStr">
        <is>
          <t>Fendis Homestay</t>
        </is>
      </c>
      <c r="C77" s="2" t="n">
        <v>1000000</v>
      </c>
      <c r="D77" s="2" t="n">
        <v>-7.974824</v>
      </c>
      <c r="E77" s="2" t="n">
        <v>112.61866</v>
      </c>
      <c r="F77" s="3">
        <f>(C77 - $B$367) / $B$368</f>
        <v/>
      </c>
      <c r="G77" s="2">
        <f>IF(F77&lt;-0.5,"Murah",IF(F77&lt;0.5,"Sedang","Mahal"))</f>
        <v/>
      </c>
    </row>
    <row r="78">
      <c r="A78" s="2" t="n">
        <v>77</v>
      </c>
      <c r="B78" s="2" t="inlineStr">
        <is>
          <t>Inez Apartment 6</t>
        </is>
      </c>
      <c r="C78" s="2" t="n">
        <v>544636</v>
      </c>
      <c r="D78" s="2" t="n">
        <v>-7.9557748</v>
      </c>
      <c r="E78" s="2" t="n">
        <v>112.6218338</v>
      </c>
      <c r="F78" s="3">
        <f>(C78 - $B$367) / $B$368</f>
        <v/>
      </c>
      <c r="G78" s="2">
        <f>IF(F78&lt;-0.5,"Murah",IF(F78&lt;0.5,"Sedang","Mahal"))</f>
        <v/>
      </c>
    </row>
    <row r="79">
      <c r="A79" s="2" t="n">
        <v>78</v>
      </c>
      <c r="B79" s="2" t="inlineStr">
        <is>
          <t>Vintage 58 (Khusus PutriFemale only)</t>
        </is>
      </c>
      <c r="C79" s="2" t="n">
        <v>73710</v>
      </c>
      <c r="D79" s="2" t="n">
        <v>-7.9658031</v>
      </c>
      <c r="E79" s="2" t="n">
        <v>112.6303024</v>
      </c>
      <c r="F79" s="3">
        <f>(C79 - $B$367) / $B$368</f>
        <v/>
      </c>
      <c r="G79" s="2">
        <f>IF(F79&lt;-0.5,"Murah",IF(F79&lt;0.5,"Sedang","Mahal"))</f>
        <v/>
      </c>
    </row>
    <row r="80">
      <c r="A80" s="2" t="n">
        <v>79</v>
      </c>
      <c r="B80" s="2" t="inlineStr">
        <is>
          <t>The Kost Homestay Syariah</t>
        </is>
      </c>
      <c r="C80" s="2" t="n">
        <v>294840</v>
      </c>
      <c r="D80" s="2" t="n">
        <v>-7.9607</v>
      </c>
      <c r="E80" s="2" t="n">
        <v>112.6050034</v>
      </c>
      <c r="F80" s="3">
        <f>(C80 - $B$367) / $B$368</f>
        <v/>
      </c>
      <c r="G80" s="2">
        <f>IF(F80&lt;-0.5,"Murah",IF(F80&lt;0.5,"Sedang","Mahal"))</f>
        <v/>
      </c>
    </row>
    <row r="81">
      <c r="A81" s="2" t="n">
        <v>80</v>
      </c>
      <c r="B81" s="2" t="inlineStr">
        <is>
          <t>Cerita PAGI Villa</t>
        </is>
      </c>
      <c r="C81" s="2" t="n">
        <v>1559115</v>
      </c>
      <c r="D81" s="2" t="n">
        <v>-8.0238304</v>
      </c>
      <c r="E81" s="2" t="n">
        <v>112.6143951</v>
      </c>
      <c r="F81" s="3">
        <f>(C81 - $B$367) / $B$368</f>
        <v/>
      </c>
      <c r="G81" s="2">
        <f>IF(F81&lt;-0.5,"Murah",IF(F81&lt;0.5,"Sedang","Mahal"))</f>
        <v/>
      </c>
    </row>
    <row r="82">
      <c r="A82" s="2" t="n">
        <v>81</v>
      </c>
      <c r="B82" s="2" t="inlineStr">
        <is>
          <t>Villa Kebun Jeruk Syariah Malang by ecommerceloka</t>
        </is>
      </c>
      <c r="C82" s="2" t="n">
        <v>501523</v>
      </c>
      <c r="D82" s="2" t="n">
        <v>-7.9169502</v>
      </c>
      <c r="E82" s="2" t="n">
        <v>112.5846176</v>
      </c>
      <c r="F82" s="3">
        <f>(C82 - $B$367) / $B$368</f>
        <v/>
      </c>
      <c r="G82" s="2">
        <f>IF(F82&lt;-0.5,"Murah",IF(F82&lt;0.5,"Sedang","Mahal"))</f>
        <v/>
      </c>
    </row>
    <row r="83">
      <c r="A83" s="2" t="n">
        <v>82</v>
      </c>
      <c r="B83" s="2" t="inlineStr">
        <is>
          <t>PALMVIEW HOMESTAY GRIYA MERTOJOYO MALANG</t>
        </is>
      </c>
      <c r="C83" s="2" t="n">
        <v>36239</v>
      </c>
      <c r="D83" s="2" t="n">
        <v>-7.9403</v>
      </c>
      <c r="E83" s="2" t="n">
        <v>112.6036987</v>
      </c>
      <c r="F83" s="3">
        <f>(C83 - $B$367) / $B$368</f>
        <v/>
      </c>
      <c r="G83" s="2">
        <f>IF(F83&lt;-0.5,"Murah",IF(F83&lt;0.5,"Sedang","Mahal"))</f>
        <v/>
      </c>
    </row>
    <row r="84">
      <c r="A84" s="2" t="n">
        <v>83</v>
      </c>
      <c r="B84" s="2" t="inlineStr">
        <is>
          <t>Emka Villa</t>
        </is>
      </c>
      <c r="C84" s="2" t="n">
        <v>104125</v>
      </c>
      <c r="D84" s="2" t="n">
        <v>-7.9621658</v>
      </c>
      <c r="E84" s="2" t="n">
        <v>112.5856171</v>
      </c>
      <c r="F84" s="3">
        <f>(C84 - $B$367) / $B$368</f>
        <v/>
      </c>
      <c r="G84" s="2">
        <f>IF(F84&lt;-0.5,"Murah",IF(F84&lt;0.5,"Sedang","Mahal"))</f>
        <v/>
      </c>
    </row>
    <row r="85">
      <c r="A85" s="2" t="n">
        <v>84</v>
      </c>
      <c r="B85" s="2" t="inlineStr">
        <is>
          <t>puncak dieng private villa at malang, batu</t>
        </is>
      </c>
      <c r="C85" s="2" t="n">
        <v>412890</v>
      </c>
      <c r="D85" s="2" t="n">
        <v>-7.97261</v>
      </c>
      <c r="E85" s="2" t="n">
        <v>112.5959091</v>
      </c>
      <c r="F85" s="3">
        <f>(C85 - $B$367) / $B$368</f>
        <v/>
      </c>
      <c r="G85" s="2">
        <f>IF(F85&lt;-0.5,"Murah",IF(F85&lt;0.5,"Sedang","Mahal"))</f>
        <v/>
      </c>
    </row>
    <row r="86">
      <c r="A86" s="2" t="n">
        <v>85</v>
      </c>
      <c r="B86" s="2" t="inlineStr">
        <is>
          <t>Omahe Malang</t>
        </is>
      </c>
      <c r="C86" s="2" t="n">
        <v>100000</v>
      </c>
      <c r="D86" s="2" t="n">
        <v>-7.9637909</v>
      </c>
      <c r="E86" s="2" t="n">
        <v>112.6540756</v>
      </c>
      <c r="F86" s="3">
        <f>(C86 - $B$367) / $B$368</f>
        <v/>
      </c>
      <c r="G86" s="2">
        <f>IF(F86&lt;-0.5,"Murah",IF(F86&lt;0.5,"Sedang","Mahal"))</f>
        <v/>
      </c>
    </row>
    <row r="87">
      <c r="A87" s="2" t="n">
        <v>86</v>
      </c>
      <c r="B87" s="2" t="inlineStr">
        <is>
          <t>Villa Tidar Van Java, Private PooL, Sejuk &amp; Nyaman</t>
        </is>
      </c>
      <c r="C87" s="2" t="n">
        <v>941851</v>
      </c>
      <c r="D87" s="2" t="n">
        <v>-7.9489779</v>
      </c>
      <c r="E87" s="2" t="n">
        <v>112.5933685</v>
      </c>
      <c r="F87" s="3">
        <f>(C87 - $B$367) / $B$368</f>
        <v/>
      </c>
      <c r="G87" s="2">
        <f>IF(F87&lt;-0.5,"Murah",IF(F87&lt;0.5,"Sedang","Mahal"))</f>
        <v/>
      </c>
    </row>
    <row r="88">
      <c r="A88" s="2" t="n">
        <v>87</v>
      </c>
      <c r="B88" s="2" t="inlineStr">
        <is>
          <t>The Garden Homestay Syariah dekat Batu, pintu tol, UB, UMM</t>
        </is>
      </c>
      <c r="C88" s="2" t="n">
        <v>296950</v>
      </c>
      <c r="D88" s="2" t="n">
        <v>-7.9145498</v>
      </c>
      <c r="E88" s="2" t="n">
        <v>112.6145325</v>
      </c>
      <c r="F88" s="3">
        <f>(C88 - $B$367) / $B$368</f>
        <v/>
      </c>
      <c r="G88" s="2">
        <f>IF(F88&lt;-0.5,"Murah",IF(F88&lt;0.5,"Sedang","Mahal"))</f>
        <v/>
      </c>
    </row>
    <row r="89">
      <c r="A89" s="2" t="n">
        <v>88</v>
      </c>
      <c r="B89" s="2" t="inlineStr">
        <is>
          <t>Kusuma Pinus M12 by Kusuma Estate</t>
        </is>
      </c>
      <c r="C89" s="2" t="n">
        <v>1123967</v>
      </c>
      <c r="D89" s="2" t="n">
        <v>-7.97855</v>
      </c>
      <c r="E89" s="2" t="n">
        <v>112.6282272</v>
      </c>
      <c r="F89" s="3">
        <f>(C89 - $B$367) / $B$368</f>
        <v/>
      </c>
      <c r="G89" s="2">
        <f>IF(F89&lt;-0.5,"Murah",IF(F89&lt;0.5,"Sedang","Mahal"))</f>
        <v/>
      </c>
    </row>
    <row r="90">
      <c r="A90" s="2" t="n">
        <v>89</v>
      </c>
      <c r="B90" s="2" t="inlineStr">
        <is>
          <t>Rumah Oma Family</t>
        </is>
      </c>
      <c r="C90" s="2" t="n">
        <v>36239</v>
      </c>
      <c r="D90" s="2" t="n">
        <v>-7.9145508</v>
      </c>
      <c r="E90" s="2" t="n">
        <v>112.6145325</v>
      </c>
      <c r="F90" s="3">
        <f>(C90 - $B$367) / $B$368</f>
        <v/>
      </c>
      <c r="G90" s="2">
        <f>IF(F90&lt;-0.5,"Murah",IF(F90&lt;0.5,"Sedang","Mahal"))</f>
        <v/>
      </c>
    </row>
    <row r="91">
      <c r="A91" s="2" t="n">
        <v>90</v>
      </c>
      <c r="B91" s="2" t="inlineStr">
        <is>
          <t>Adyvan Villa</t>
        </is>
      </c>
      <c r="C91" s="2" t="n">
        <v>1059300</v>
      </c>
      <c r="D91" s="2" t="n">
        <v>-7.9241328</v>
      </c>
      <c r="E91" s="2" t="n">
        <v>112.6039429</v>
      </c>
      <c r="F91" s="3">
        <f>(C91 - $B$367) / $B$368</f>
        <v/>
      </c>
      <c r="G91" s="2">
        <f>IF(F91&lt;-0.5,"Murah",IF(F91&lt;0.5,"Sedang","Mahal"))</f>
        <v/>
      </c>
    </row>
    <row r="92">
      <c r="A92" s="2" t="n">
        <v>91</v>
      </c>
      <c r="B92" s="2" t="inlineStr">
        <is>
          <t>Urbanisia</t>
        </is>
      </c>
      <c r="C92" s="2" t="n">
        <v>36239</v>
      </c>
      <c r="D92" s="2" t="n">
        <v>-7.9604678</v>
      </c>
      <c r="E92" s="2" t="n">
        <v>112.624176</v>
      </c>
      <c r="F92" s="3">
        <f>(C92 - $B$367) / $B$368</f>
        <v/>
      </c>
      <c r="G92" s="2">
        <f>IF(F92&lt;-0.5,"Murah",IF(F92&lt;0.5,"Sedang","Mahal"))</f>
        <v/>
      </c>
    </row>
    <row r="93">
      <c r="A93" s="2" t="n">
        <v>92</v>
      </c>
      <c r="B93" s="2" t="inlineStr">
        <is>
          <t>Villa Sulfat</t>
        </is>
      </c>
      <c r="C93" s="2" t="n">
        <v>341229</v>
      </c>
      <c r="D93" s="2" t="n">
        <v>-7.9675899</v>
      </c>
      <c r="E93" s="2" t="n">
        <v>112.6525497</v>
      </c>
      <c r="F93" s="3">
        <f>(C93 - $B$367) / $B$368</f>
        <v/>
      </c>
      <c r="G93" s="2">
        <f>IF(F93&lt;-0.5,"Murah",IF(F93&lt;0.5,"Sedang","Mahal"))</f>
        <v/>
      </c>
    </row>
    <row r="94">
      <c r="A94" s="2" t="n">
        <v>93</v>
      </c>
      <c r="B94" s="2" t="inlineStr">
        <is>
          <t>Villa Dengan Kolam Renang di Malang</t>
        </is>
      </c>
      <c r="C94" s="2" t="n">
        <v>941851</v>
      </c>
      <c r="D94" s="2" t="n">
        <v>-7.9236002</v>
      </c>
      <c r="E94" s="2" t="n">
        <v>112.6027985</v>
      </c>
      <c r="F94" s="3">
        <f>(C94 - $B$367) / $B$368</f>
        <v/>
      </c>
      <c r="G94" s="2">
        <f>IF(F94&lt;-0.5,"Murah",IF(F94&lt;0.5,"Sedang","Mahal"))</f>
        <v/>
      </c>
    </row>
    <row r="95">
      <c r="A95" s="2" t="n">
        <v>94</v>
      </c>
      <c r="B95" s="2" t="inlineStr">
        <is>
          <t>Villa Coco4 Malang</t>
        </is>
      </c>
      <c r="C95" s="2" t="n">
        <v>791022</v>
      </c>
      <c r="D95" s="2" t="n">
        <v>-7.9757876</v>
      </c>
      <c r="E95" s="2" t="n">
        <v>112.6152802</v>
      </c>
      <c r="F95" s="3">
        <f>(C95 - $B$367) / $B$368</f>
        <v/>
      </c>
      <c r="G95" s="2">
        <f>IF(F95&lt;-0.5,"Murah",IF(F95&lt;0.5,"Sedang","Mahal"))</f>
        <v/>
      </c>
    </row>
    <row r="96">
      <c r="A96" s="2" t="n">
        <v>95</v>
      </c>
      <c r="B96" s="2" t="inlineStr">
        <is>
          <t>Villa Seventeen Araya</t>
        </is>
      </c>
      <c r="C96" s="2" t="n">
        <v>71108</v>
      </c>
      <c r="D96" s="2" t="n">
        <v>-7.94102</v>
      </c>
      <c r="E96" s="2" t="n">
        <v>112.6553268</v>
      </c>
      <c r="F96" s="3">
        <f>(C96 - $B$367) / $B$368</f>
        <v/>
      </c>
      <c r="G96" s="2">
        <f>IF(F96&lt;-0.5,"Murah",IF(F96&lt;0.5,"Sedang","Mahal"))</f>
        <v/>
      </c>
    </row>
    <row r="97">
      <c r="A97" s="2" t="n">
        <v>96</v>
      </c>
      <c r="B97" s="2" t="inlineStr">
        <is>
          <t>Samanea Villa</t>
        </is>
      </c>
      <c r="C97" s="2" t="n">
        <v>1363676</v>
      </c>
      <c r="D97" s="2" t="n">
        <v>-7.925693</v>
      </c>
      <c r="E97" s="2" t="n">
        <v>112.6468735</v>
      </c>
      <c r="F97" s="3">
        <f>(C97 - $B$367) / $B$368</f>
        <v/>
      </c>
      <c r="G97" s="2">
        <f>IF(F97&lt;-0.5,"Murah",IF(F97&lt;0.5,"Sedang","Mahal"))</f>
        <v/>
      </c>
    </row>
    <row r="98">
      <c r="A98" s="2" t="n">
        <v>97</v>
      </c>
      <c r="B98" s="2" t="inlineStr">
        <is>
          <t>Casa de Vie Homestay</t>
        </is>
      </c>
      <c r="C98" s="2" t="n">
        <v>393513</v>
      </c>
      <c r="D98" s="2" t="n">
        <v>-7.9257989</v>
      </c>
      <c r="E98" s="2" t="n">
        <v>112.6170578</v>
      </c>
      <c r="F98" s="3">
        <f>(C98 - $B$367) / $B$368</f>
        <v/>
      </c>
      <c r="G98" s="2">
        <f>IF(F98&lt;-0.5,"Murah",IF(F98&lt;0.5,"Sedang","Mahal"))</f>
        <v/>
      </c>
    </row>
    <row r="99">
      <c r="A99" s="2" t="n">
        <v>98</v>
      </c>
      <c r="B99" s="2" t="inlineStr">
        <is>
          <t>Villa Kalimaya - 3 Bedrooms</t>
        </is>
      </c>
      <c r="C99" s="2" t="n">
        <v>412890</v>
      </c>
      <c r="D99" s="2" t="n">
        <v>-7.9335899</v>
      </c>
      <c r="E99" s="2" t="n">
        <v>112.6017838</v>
      </c>
      <c r="F99" s="3">
        <f>(C99 - $B$367) / $B$368</f>
        <v/>
      </c>
      <c r="G99" s="2">
        <f>IF(F99&lt;-0.5,"Murah",IF(F99&lt;0.5,"Sedang","Mahal"))</f>
        <v/>
      </c>
    </row>
    <row r="100">
      <c r="A100" s="2" t="n">
        <v>99</v>
      </c>
      <c r="B100" s="2" t="inlineStr">
        <is>
          <t>MP Villa Permata Kencana 24A</t>
        </is>
      </c>
      <c r="C100" s="2" t="n">
        <v>1500000</v>
      </c>
      <c r="D100" s="2" t="n">
        <v>-7.9245701</v>
      </c>
      <c r="E100" s="2" t="n">
        <v>112.6037827</v>
      </c>
      <c r="F100" s="3">
        <f>(C100 - $B$367) / $B$368</f>
        <v/>
      </c>
      <c r="G100" s="2">
        <f>IF(F100&lt;-0.5,"Murah",IF(F100&lt;0.5,"Sedang","Mahal"))</f>
        <v/>
      </c>
    </row>
    <row r="101">
      <c r="A101" s="2" t="n">
        <v>100</v>
      </c>
      <c r="B101" s="2" t="inlineStr">
        <is>
          <t>Vila Bumi Madinah Dau-Malang</t>
        </is>
      </c>
      <c r="C101" s="2" t="n">
        <v>2892562</v>
      </c>
      <c r="D101" s="2" t="n">
        <v>-7.9349599</v>
      </c>
      <c r="E101" s="2" t="n">
        <v>112.5721664</v>
      </c>
      <c r="F101" s="3">
        <f>(C101 - $B$367) / $B$368</f>
        <v/>
      </c>
      <c r="G101" s="2">
        <f>IF(F101&lt;-0.5,"Murah",IF(F101&lt;0.5,"Sedang","Mahal"))</f>
        <v/>
      </c>
    </row>
    <row r="102">
      <c r="A102" s="2" t="n">
        <v>101</v>
      </c>
      <c r="B102" s="2" t="inlineStr">
        <is>
          <t>Rumah Fia (Villa kota Malang)</t>
        </is>
      </c>
      <c r="C102" s="2" t="n">
        <v>960000</v>
      </c>
      <c r="D102" s="2" t="n">
        <v>-7.9149499</v>
      </c>
      <c r="E102" s="2" t="n">
        <v>112.6080627</v>
      </c>
      <c r="F102" s="3">
        <f>(C102 - $B$367) / $B$368</f>
        <v/>
      </c>
      <c r="G102" s="2">
        <f>IF(F102&lt;-0.5,"Murah",IF(F102&lt;0.5,"Sedang","Mahal"))</f>
        <v/>
      </c>
    </row>
    <row r="103">
      <c r="A103" s="2" t="n">
        <v>102</v>
      </c>
      <c r="B103" s="2" t="inlineStr">
        <is>
          <t>Vila Bumi Madinah Landungsari Malang</t>
        </is>
      </c>
      <c r="C103" s="2" t="n">
        <v>36239</v>
      </c>
      <c r="D103" s="2" t="n">
        <v>-7.9349999</v>
      </c>
      <c r="E103" s="2" t="n">
        <v>112.5722733</v>
      </c>
      <c r="F103" s="3">
        <f>(C103 - $B$367) / $B$368</f>
        <v/>
      </c>
      <c r="G103" s="2">
        <f>IF(F103&lt;-0.5,"Murah",IF(F103&lt;0.5,"Sedang","Mahal"))</f>
        <v/>
      </c>
    </row>
    <row r="104">
      <c r="A104" s="2" t="n">
        <v>103</v>
      </c>
      <c r="B104" s="2" t="inlineStr">
        <is>
          <t>Villa Samawa</t>
        </is>
      </c>
      <c r="C104" s="2" t="n">
        <v>2500000</v>
      </c>
      <c r="D104" s="2" t="n">
        <v>-7.9312301</v>
      </c>
      <c r="E104" s="2" t="n">
        <v>112.6224518</v>
      </c>
      <c r="F104" s="3">
        <f>(C104 - $B$367) / $B$368</f>
        <v/>
      </c>
      <c r="G104" s="2">
        <f>IF(F104&lt;-0.5,"Murah",IF(F104&lt;0.5,"Sedang","Mahal"))</f>
        <v/>
      </c>
    </row>
    <row r="105">
      <c r="A105" s="2" t="n">
        <v>104</v>
      </c>
      <c r="B105" s="2" t="inlineStr">
        <is>
          <t>Dekaka Riverside</t>
        </is>
      </c>
      <c r="C105" s="2" t="n">
        <v>36239</v>
      </c>
      <c r="D105" s="2" t="n">
        <v>-7.9232998</v>
      </c>
      <c r="E105" s="2" t="n">
        <v>112.6472931</v>
      </c>
      <c r="F105" s="3">
        <f>(C105 - $B$367) / $B$368</f>
        <v/>
      </c>
      <c r="G105" s="2">
        <f>IF(F105&lt;-0.5,"Murah",IF(F105&lt;0.5,"Sedang","Mahal"))</f>
        <v/>
      </c>
    </row>
    <row r="106">
      <c r="A106" s="2" t="n">
        <v>105</v>
      </c>
      <c r="B106" s="2" t="inlineStr">
        <is>
          <t>AdyneVille - Syariah Premium HomeStay</t>
        </is>
      </c>
      <c r="C106" s="2" t="n">
        <v>235000</v>
      </c>
      <c r="D106" s="2" t="n">
        <v>-7.9196901</v>
      </c>
      <c r="E106" s="2" t="n">
        <v>112.6165771</v>
      </c>
      <c r="F106" s="3">
        <f>(C106 - $B$367) / $B$368</f>
        <v/>
      </c>
      <c r="G106" s="2">
        <f>IF(F106&lt;-0.5,"Murah",IF(F106&lt;0.5,"Sedang","Mahal"))</f>
        <v/>
      </c>
    </row>
    <row r="107">
      <c r="A107" s="2" t="n">
        <v>106</v>
      </c>
      <c r="B107" s="2" t="inlineStr">
        <is>
          <t>Villa Bromo</t>
        </is>
      </c>
      <c r="C107" s="2" t="n">
        <v>2936118</v>
      </c>
      <c r="D107" s="2" t="n">
        <v>-7.9658499</v>
      </c>
      <c r="E107" s="2" t="n">
        <v>112.5847168</v>
      </c>
      <c r="F107" s="3">
        <f>(C107 - $B$367) / $B$368</f>
        <v/>
      </c>
      <c r="G107" s="2">
        <f>IF(F107&lt;-0.5,"Murah",IF(F107&lt;0.5,"Sedang","Mahal"))</f>
        <v/>
      </c>
    </row>
    <row r="108">
      <c r="A108" s="2" t="n">
        <v>107</v>
      </c>
      <c r="B108" s="2" t="inlineStr">
        <is>
          <t>Sierra Villa Malang</t>
        </is>
      </c>
      <c r="C108" s="2" t="n">
        <v>75951</v>
      </c>
      <c r="D108" s="2" t="n">
        <v>-7.9662499</v>
      </c>
      <c r="E108" s="2" t="n">
        <v>112.6664963</v>
      </c>
      <c r="F108" s="3">
        <f>(C108 - $B$367) / $B$368</f>
        <v/>
      </c>
      <c r="G108" s="2">
        <f>IF(F108&lt;-0.5,"Murah",IF(F108&lt;0.5,"Sedang","Mahal"))</f>
        <v/>
      </c>
    </row>
    <row r="109">
      <c r="A109" s="2" t="n">
        <v>108</v>
      </c>
      <c r="B109" s="2" t="inlineStr">
        <is>
          <t>Villa Griya Samara &amp; Kolam Renang Pribadi</t>
        </is>
      </c>
      <c r="C109" s="2" t="n">
        <v>866503</v>
      </c>
      <c r="D109" s="2" t="n">
        <v>-7.9074845</v>
      </c>
      <c r="E109" s="2" t="n">
        <v>112.6331024</v>
      </c>
      <c r="F109" s="3">
        <f>(C109 - $B$367) / $B$368</f>
        <v/>
      </c>
      <c r="G109" s="2">
        <f>IF(F109&lt;-0.5,"Murah",IF(F109&lt;0.5,"Sedang","Mahal"))</f>
        <v/>
      </c>
    </row>
    <row r="110">
      <c r="A110" s="2" t="n">
        <v>109</v>
      </c>
      <c r="B110" s="2" t="inlineStr">
        <is>
          <t>Villa Greenland - 2 Bedrooms</t>
        </is>
      </c>
      <c r="C110" s="2" t="n">
        <v>440124</v>
      </c>
      <c r="D110" s="2" t="n">
        <v>-7.9502702</v>
      </c>
      <c r="E110" s="2" t="n">
        <v>112.5921783</v>
      </c>
      <c r="F110" s="3">
        <f>(C110 - $B$367) / $B$368</f>
        <v/>
      </c>
      <c r="G110" s="2">
        <f>IF(F110&lt;-0.5,"Murah",IF(F110&lt;0.5,"Sedang","Mahal"))</f>
        <v/>
      </c>
    </row>
    <row r="111">
      <c r="A111" s="2" t="n">
        <v>110</v>
      </c>
      <c r="B111" s="2" t="inlineStr">
        <is>
          <t>Villa Malang Puncak Buring</t>
        </is>
      </c>
      <c r="C111" s="2" t="n">
        <v>3644629</v>
      </c>
      <c r="D111" s="2" t="n">
        <v>-8.01192</v>
      </c>
      <c r="E111" s="2" t="n">
        <v>112.6549072</v>
      </c>
      <c r="F111" s="3">
        <f>(C111 - $B$367) / $B$368</f>
        <v/>
      </c>
      <c r="G111" s="2">
        <f>IF(F111&lt;-0.5,"Murah",IF(F111&lt;0.5,"Sedang","Mahal"))</f>
        <v/>
      </c>
    </row>
    <row r="112">
      <c r="A112" s="2" t="n">
        <v>111</v>
      </c>
      <c r="B112" s="2" t="inlineStr">
        <is>
          <t>Cozy villa @oma view malang</t>
        </is>
      </c>
      <c r="C112" s="2" t="n">
        <v>82000</v>
      </c>
      <c r="D112" s="2" t="n">
        <v>-7.9872999</v>
      </c>
      <c r="E112" s="2" t="n">
        <v>112.6746063</v>
      </c>
      <c r="F112" s="3">
        <f>(C112 - $B$367) / $B$368</f>
        <v/>
      </c>
      <c r="G112" s="2">
        <f>IF(F112&lt;-0.5,"Murah",IF(F112&lt;0.5,"Sedang","Mahal"))</f>
        <v/>
      </c>
    </row>
    <row r="113">
      <c r="A113" s="2" t="n">
        <v>112</v>
      </c>
      <c r="B113" s="2" t="inlineStr">
        <is>
          <t>Villa Strategis di Malang View Pegunungan</t>
        </is>
      </c>
      <c r="C113" s="2" t="n">
        <v>241818</v>
      </c>
      <c r="D113" s="2" t="n">
        <v>-7.9132199</v>
      </c>
      <c r="E113" s="2" t="n">
        <v>112.6111984</v>
      </c>
      <c r="F113" s="3">
        <f>(C113 - $B$367) / $B$368</f>
        <v/>
      </c>
      <c r="G113" s="2">
        <f>IF(F113&lt;-0.5,"Murah",IF(F113&lt;0.5,"Sedang","Mahal"))</f>
        <v/>
      </c>
    </row>
    <row r="114">
      <c r="A114" s="2" t="n">
        <v>113</v>
      </c>
      <c r="B114" s="2" t="inlineStr">
        <is>
          <t>Villa Griya Sumber Arum</t>
        </is>
      </c>
      <c r="C114" s="2" t="n">
        <v>412890</v>
      </c>
      <c r="D114" s="2" t="n">
        <v>-7.9432001</v>
      </c>
      <c r="E114" s="2" t="n">
        <v>112.5738525</v>
      </c>
      <c r="F114" s="3">
        <f>(C114 - $B$367) / $B$368</f>
        <v/>
      </c>
      <c r="G114" s="2">
        <f>IF(F114&lt;-0.5,"Murah",IF(F114&lt;0.5,"Sedang","Mahal"))</f>
        <v/>
      </c>
    </row>
    <row r="115">
      <c r="A115" s="2" t="n">
        <v>114</v>
      </c>
      <c r="B115" s="2" t="inlineStr">
        <is>
          <t>Villa Graha Dewata</t>
        </is>
      </c>
      <c r="C115" s="2" t="n">
        <v>36239</v>
      </c>
      <c r="D115" s="2" t="n">
        <v>-7.93431</v>
      </c>
      <c r="E115" s="2" t="n">
        <v>112.5769501</v>
      </c>
      <c r="F115" s="3">
        <f>(C115 - $B$367) / $B$368</f>
        <v/>
      </c>
      <c r="G115" s="2">
        <f>IF(F115&lt;-0.5,"Murah",IF(F115&lt;0.5,"Sedang","Mahal"))</f>
        <v/>
      </c>
    </row>
    <row r="116">
      <c r="A116" s="2" t="n">
        <v>115</v>
      </c>
      <c r="B116" s="2" t="inlineStr">
        <is>
          <t>The OZ HE-01, Villa Omah Dalem with Mountain View</t>
        </is>
      </c>
      <c r="C116" s="2" t="n">
        <v>100000</v>
      </c>
      <c r="D116" s="2" t="n">
        <v>-7.9517469</v>
      </c>
      <c r="E116" s="2" t="n">
        <v>112.576355</v>
      </c>
      <c r="F116" s="3">
        <f>(C116 - $B$367) / $B$368</f>
        <v/>
      </c>
      <c r="G116" s="2">
        <f>IF(F116&lt;-0.5,"Murah",IF(F116&lt;0.5,"Sedang","Mahal"))</f>
        <v/>
      </c>
    </row>
    <row r="117">
      <c r="A117" s="2" t="n">
        <v>116</v>
      </c>
      <c r="B117" s="2" t="inlineStr">
        <is>
          <t>Omah Joglo Bugis</t>
        </is>
      </c>
      <c r="C117" s="2" t="n">
        <v>360808</v>
      </c>
      <c r="D117" s="2" t="n">
        <v>-7.958848</v>
      </c>
      <c r="E117" s="2" t="n">
        <v>112.68396</v>
      </c>
      <c r="F117" s="3">
        <f>(C117 - $B$367) / $B$368</f>
        <v/>
      </c>
      <c r="G117" s="2">
        <f>IF(F117&lt;-0.5,"Murah",IF(F117&lt;0.5,"Sedang","Mahal"))</f>
        <v/>
      </c>
    </row>
    <row r="118">
      <c r="A118" s="2" t="n">
        <v>117</v>
      </c>
      <c r="B118" s="2" t="inlineStr">
        <is>
          <t>HS Villa</t>
        </is>
      </c>
      <c r="C118" s="2" t="n">
        <v>71108</v>
      </c>
      <c r="D118" s="2" t="n">
        <v>-7.9257102</v>
      </c>
      <c r="E118" s="2" t="n">
        <v>112.6537399</v>
      </c>
      <c r="F118" s="3">
        <f>(C118 - $B$367) / $B$368</f>
        <v/>
      </c>
      <c r="G118" s="2">
        <f>IF(F118&lt;-0.5,"Murah",IF(F118&lt;0.5,"Sedang","Mahal"))</f>
        <v/>
      </c>
    </row>
    <row r="119">
      <c r="A119" s="2" t="n">
        <v>118</v>
      </c>
      <c r="B119" s="2" t="inlineStr">
        <is>
          <t>Villa Awwa</t>
        </is>
      </c>
      <c r="C119" s="2" t="n">
        <v>36239</v>
      </c>
      <c r="D119" s="2" t="n">
        <v>-7.9840698</v>
      </c>
      <c r="E119" s="2" t="n">
        <v>112.6820068</v>
      </c>
      <c r="F119" s="3">
        <f>(C119 - $B$367) / $B$368</f>
        <v/>
      </c>
      <c r="G119" s="2">
        <f>IF(F119&lt;-0.5,"Murah",IF(F119&lt;0.5,"Sedang","Mahal"))</f>
        <v/>
      </c>
    </row>
    <row r="120">
      <c r="A120" s="2" t="n">
        <v>119</v>
      </c>
      <c r="B120" s="2" t="inlineStr">
        <is>
          <t>Homestay Villa Estetik di Malang</t>
        </is>
      </c>
      <c r="C120" s="2" t="n">
        <v>803604</v>
      </c>
      <c r="D120" s="2" t="n">
        <v>-7.91401</v>
      </c>
      <c r="E120" s="2" t="n">
        <v>112.6118317</v>
      </c>
      <c r="F120" s="3">
        <f>(C120 - $B$367) / $B$368</f>
        <v/>
      </c>
      <c r="G120" s="2">
        <f>IF(F120&lt;-0.5,"Murah",IF(F120&lt;0.5,"Sedang","Mahal"))</f>
        <v/>
      </c>
    </row>
    <row r="121">
      <c r="A121" s="2" t="n">
        <v>120</v>
      </c>
      <c r="B121" s="2" t="inlineStr">
        <is>
          <t>Villa naca</t>
        </is>
      </c>
      <c r="C121" s="2" t="n">
        <v>115233</v>
      </c>
      <c r="D121" s="2" t="n">
        <v>-7.97789</v>
      </c>
      <c r="E121" s="2" t="n">
        <v>112.6286316</v>
      </c>
      <c r="F121" s="3">
        <f>(C121 - $B$367) / $B$368</f>
        <v/>
      </c>
      <c r="G121" s="2">
        <f>IF(F121&lt;-0.5,"Murah",IF(F121&lt;0.5,"Sedang","Mahal"))</f>
        <v/>
      </c>
    </row>
    <row r="122">
      <c r="A122" s="2" t="n">
        <v>121</v>
      </c>
      <c r="B122" s="2" t="inlineStr">
        <is>
          <t>Villa Estetik di Malang</t>
        </is>
      </c>
      <c r="C122" s="2" t="n">
        <v>71108</v>
      </c>
      <c r="D122" s="2" t="n">
        <v>-7.9140902</v>
      </c>
      <c r="E122" s="2" t="n">
        <v>112.6112595</v>
      </c>
      <c r="F122" s="3">
        <f>(C122 - $B$367) / $B$368</f>
        <v/>
      </c>
      <c r="G122" s="2">
        <f>IF(F122&lt;-0.5,"Murah",IF(F122&lt;0.5,"Sedang","Mahal"))</f>
        <v/>
      </c>
    </row>
    <row r="123">
      <c r="A123" s="2" t="n">
        <v>122</v>
      </c>
      <c r="B123" s="2" t="inlineStr">
        <is>
          <t>Villa Murah Malang</t>
        </is>
      </c>
      <c r="C123" s="2" t="n">
        <v>941851</v>
      </c>
      <c r="D123" s="2" t="n">
        <v>-7.9138975</v>
      </c>
      <c r="E123" s="2" t="n">
        <v>112.6116867</v>
      </c>
      <c r="F123" s="3">
        <f>(C123 - $B$367) / $B$368</f>
        <v/>
      </c>
      <c r="G123" s="2">
        <f>IF(F123&lt;-0.5,"Murah",IF(F123&lt;0.5,"Sedang","Mahal"))</f>
        <v/>
      </c>
    </row>
    <row r="124">
      <c r="A124" s="2" t="n">
        <v>123</v>
      </c>
      <c r="B124" s="2" t="inlineStr">
        <is>
          <t>Lavah Guest House</t>
        </is>
      </c>
      <c r="C124" s="2" t="n">
        <v>1000000</v>
      </c>
      <c r="D124" s="2" t="n">
        <v>-7.9610872</v>
      </c>
      <c r="E124" s="2" t="n">
        <v>112.6638031</v>
      </c>
      <c r="F124" s="3">
        <f>(C124 - $B$367) / $B$368</f>
        <v/>
      </c>
      <c r="G124" s="2">
        <f>IF(F124&lt;-0.5,"Murah",IF(F124&lt;0.5,"Sedang","Mahal"))</f>
        <v/>
      </c>
    </row>
    <row r="125">
      <c r="A125" s="2" t="n">
        <v>124</v>
      </c>
      <c r="B125" s="2" t="inlineStr">
        <is>
          <t>Bellecrown Rooms</t>
        </is>
      </c>
      <c r="C125" s="2" t="n">
        <v>36239</v>
      </c>
      <c r="D125" s="2" t="n">
        <v>-7.970336</v>
      </c>
      <c r="E125" s="2" t="n">
        <v>112.6033554</v>
      </c>
      <c r="F125" s="3">
        <f>(C125 - $B$367) / $B$368</f>
        <v/>
      </c>
      <c r="G125" s="2">
        <f>IF(F125&lt;-0.5,"Murah",IF(F125&lt;0.5,"Sedang","Mahal"))</f>
        <v/>
      </c>
    </row>
    <row r="126">
      <c r="A126" s="2" t="n">
        <v>125</v>
      </c>
      <c r="B126" s="2" t="inlineStr">
        <is>
          <t>Adel Guest House</t>
        </is>
      </c>
      <c r="C126" s="2" t="n">
        <v>294840</v>
      </c>
      <c r="D126" s="2" t="n">
        <v>-7.9689288</v>
      </c>
      <c r="E126" s="2" t="n">
        <v>112.6077805</v>
      </c>
      <c r="F126" s="3">
        <f>(C126 - $B$367) / $B$368</f>
        <v/>
      </c>
      <c r="G126" s="2">
        <f>IF(F126&lt;-0.5,"Murah",IF(F126&lt;0.5,"Sedang","Mahal"))</f>
        <v/>
      </c>
    </row>
    <row r="127">
      <c r="A127" s="2" t="n">
        <v>126</v>
      </c>
      <c r="B127" s="2" t="inlineStr">
        <is>
          <t>rumah bea malang</t>
        </is>
      </c>
      <c r="C127" s="2" t="n">
        <v>490172</v>
      </c>
      <c r="D127" s="2" t="n">
        <v>-7.9389701</v>
      </c>
      <c r="E127" s="2" t="n">
        <v>112.57267</v>
      </c>
      <c r="F127" s="3">
        <f>(C127 - $B$367) / $B$368</f>
        <v/>
      </c>
      <c r="G127" s="2">
        <f>IF(F127&lt;-0.5,"Murah",IF(F127&lt;0.5,"Sedang","Mahal"))</f>
        <v/>
      </c>
    </row>
    <row r="128">
      <c r="A128" s="2" t="n">
        <v>127</v>
      </c>
      <c r="B128" s="2" t="inlineStr">
        <is>
          <t>Saraba Stays Syariah</t>
        </is>
      </c>
      <c r="C128" s="2" t="n">
        <v>36239</v>
      </c>
      <c r="D128" s="2" t="n">
        <v>-7.9636598</v>
      </c>
      <c r="E128" s="2" t="n">
        <v>112.6664886</v>
      </c>
      <c r="F128" s="3">
        <f>(C128 - $B$367) / $B$368</f>
        <v/>
      </c>
      <c r="G128" s="2">
        <f>IF(F128&lt;-0.5,"Murah",IF(F128&lt;0.5,"Sedang","Mahal"))</f>
        <v/>
      </c>
    </row>
    <row r="129">
      <c r="A129" s="2" t="n">
        <v>128</v>
      </c>
      <c r="B129" s="2" t="inlineStr">
        <is>
          <t>Privat Homestay Malang Oz HK 39</t>
        </is>
      </c>
      <c r="C129" s="2" t="n">
        <v>100000</v>
      </c>
      <c r="D129" s="2" t="n">
        <v>-7.9503999</v>
      </c>
      <c r="E129" s="2" t="n">
        <v>112.575592</v>
      </c>
      <c r="F129" s="3">
        <f>(C129 - $B$367) / $B$368</f>
        <v/>
      </c>
      <c r="G129" s="2">
        <f>IF(F129&lt;-0.5,"Murah",IF(F129&lt;0.5,"Sedang","Mahal"))</f>
        <v/>
      </c>
    </row>
    <row r="130">
      <c r="A130" s="2" t="n">
        <v>129</v>
      </c>
      <c r="B130" s="2" t="inlineStr">
        <is>
          <t>RJ Guest House</t>
        </is>
      </c>
      <c r="C130" s="2" t="n">
        <v>245518</v>
      </c>
      <c r="D130" s="2" t="n">
        <v>-7.9905601</v>
      </c>
      <c r="E130" s="2" t="n">
        <v>112.6805725</v>
      </c>
      <c r="F130" s="3">
        <f>(C130 - $B$367) / $B$368</f>
        <v/>
      </c>
      <c r="G130" s="2">
        <f>IF(F130&lt;-0.5,"Murah",IF(F130&lt;0.5,"Sedang","Mahal"))</f>
        <v/>
      </c>
    </row>
    <row r="131">
      <c r="A131" s="2" t="n">
        <v>130</v>
      </c>
      <c r="B131" s="2" t="inlineStr">
        <is>
          <t>omah venus homestay</t>
        </is>
      </c>
      <c r="C131" s="2" t="n">
        <v>726230</v>
      </c>
      <c r="D131" s="2" t="n">
        <v>-7.9330101</v>
      </c>
      <c r="E131" s="2" t="n">
        <v>112.6053314</v>
      </c>
      <c r="F131" s="3">
        <f>(C131 - $B$367) / $B$368</f>
        <v/>
      </c>
      <c r="G131" s="2">
        <f>IF(F131&lt;-0.5,"Murah",IF(F131&lt;0.5,"Sedang","Mahal"))</f>
        <v/>
      </c>
    </row>
    <row r="132">
      <c r="A132" s="2" t="n">
        <v>131</v>
      </c>
      <c r="B132" s="2" t="inlineStr">
        <is>
          <t>Closed</t>
        </is>
      </c>
      <c r="C132" s="2" t="n">
        <v>36239</v>
      </c>
      <c r="D132" s="2" t="n">
        <v>-7.9675756</v>
      </c>
      <c r="E132" s="2" t="n">
        <v>112.6661835</v>
      </c>
      <c r="F132" s="3">
        <f>(C132 - $B$367) / $B$368</f>
        <v/>
      </c>
      <c r="G132" s="2">
        <f>IF(F132&lt;-0.5,"Murah",IF(F132&lt;0.5,"Sedang","Mahal"))</f>
        <v/>
      </c>
    </row>
    <row r="133">
      <c r="A133" s="2" t="n">
        <v>132</v>
      </c>
      <c r="B133" s="2" t="inlineStr">
        <is>
          <t>The Garden Vila dekat Batu, UB, UMM</t>
        </is>
      </c>
      <c r="C133" s="2" t="n">
        <v>150000</v>
      </c>
      <c r="D133" s="2" t="n">
        <v>-7.9145498</v>
      </c>
      <c r="E133" s="2" t="n">
        <v>112.6145325</v>
      </c>
      <c r="F133" s="3">
        <f>(C133 - $B$367) / $B$368</f>
        <v/>
      </c>
      <c r="G133" s="2">
        <f>IF(F133&lt;-0.5,"Murah",IF(F133&lt;0.5,"Sedang","Mahal"))</f>
        <v/>
      </c>
    </row>
    <row r="134">
      <c r="A134" s="2" t="n">
        <v>133</v>
      </c>
      <c r="B134" s="2" t="inlineStr">
        <is>
          <t>De'Boutique Style Hotel</t>
        </is>
      </c>
      <c r="C134" s="2" t="n">
        <v>475020</v>
      </c>
      <c r="D134" s="2" t="n">
        <v>-7.962853</v>
      </c>
      <c r="E134" s="2" t="n">
        <v>112.631677</v>
      </c>
      <c r="F134" s="3">
        <f>(C134 - $B$367) / $B$368</f>
        <v/>
      </c>
      <c r="G134" s="2">
        <f>IF(F134&lt;-0.5,"Murah",IF(F134&lt;0.5,"Sedang","Mahal"))</f>
        <v/>
      </c>
    </row>
    <row r="135">
      <c r="A135" s="2" t="n">
        <v>134</v>
      </c>
      <c r="B135" s="2" t="inlineStr">
        <is>
          <t>Kapal Garden Hotel</t>
        </is>
      </c>
      <c r="C135" s="2" t="n">
        <v>581554</v>
      </c>
      <c r="D135" s="2" t="n">
        <v>-7.91512</v>
      </c>
      <c r="E135" s="2" t="n">
        <v>112.587018</v>
      </c>
      <c r="F135" s="3">
        <f>(C135 - $B$367) / $B$368</f>
        <v/>
      </c>
      <c r="G135" s="2">
        <f>IF(F135&lt;-0.5,"Murah",IF(F135&lt;0.5,"Sedang","Mahal"))</f>
        <v/>
      </c>
    </row>
    <row r="136">
      <c r="A136" s="2" t="n">
        <v>135</v>
      </c>
      <c r="B136" s="2" t="inlineStr">
        <is>
          <t>Ascent Hotel &amp; Cafe Malang</t>
        </is>
      </c>
      <c r="C136" s="2" t="n">
        <v>621488</v>
      </c>
      <c r="D136" s="2" t="n">
        <v>-7.9657854</v>
      </c>
      <c r="E136" s="2" t="n">
        <v>112.6338064</v>
      </c>
      <c r="F136" s="3">
        <f>(C136 - $B$367) / $B$368</f>
        <v/>
      </c>
      <c r="G136" s="2">
        <f>IF(F136&lt;-0.5,"Murah",IF(F136&lt;0.5,"Sedang","Mahal"))</f>
        <v/>
      </c>
    </row>
    <row r="137">
      <c r="A137" s="2" t="n">
        <v>136</v>
      </c>
      <c r="B137" s="2" t="inlineStr">
        <is>
          <t>The Grand Palace Hotel Malang</t>
        </is>
      </c>
      <c r="C137" s="2" t="n">
        <v>450189</v>
      </c>
      <c r="D137" s="2" t="n">
        <v>-7.985059</v>
      </c>
      <c r="E137" s="2" t="n">
        <v>112.6292983</v>
      </c>
      <c r="F137" s="3">
        <f>(C137 - $B$367) / $B$368</f>
        <v/>
      </c>
      <c r="G137" s="2">
        <f>IF(F137&lt;-0.5,"Murah",IF(F137&lt;0.5,"Sedang","Mahal"))</f>
        <v/>
      </c>
    </row>
    <row r="138">
      <c r="A138" s="2" t="n">
        <v>137</v>
      </c>
      <c r="B138" s="2" t="inlineStr">
        <is>
          <t>Sunrise Hotel</t>
        </is>
      </c>
      <c r="C138" s="2" t="n">
        <v>300000</v>
      </c>
      <c r="D138" s="2" t="n">
        <v>-7.9677298</v>
      </c>
      <c r="E138" s="2" t="n">
        <v>112.6349993</v>
      </c>
      <c r="F138" s="3">
        <f>(C138 - $B$367) / $B$368</f>
        <v/>
      </c>
      <c r="G138" s="2">
        <f>IF(F138&lt;-0.5,"Murah",IF(F138&lt;0.5,"Sedang","Mahal"))</f>
        <v/>
      </c>
    </row>
    <row r="139">
      <c r="A139" s="2" t="n">
        <v>138</v>
      </c>
      <c r="B139" s="2" t="inlineStr">
        <is>
          <t>Swiss-Belinn Malang</t>
        </is>
      </c>
      <c r="C139" s="2" t="n">
        <v>930134</v>
      </c>
      <c r="D139" s="2" t="n">
        <v>-7.9554679</v>
      </c>
      <c r="E139" s="2" t="n">
        <v>112.6187277</v>
      </c>
      <c r="F139" s="3">
        <f>(C139 - $B$367) / $B$368</f>
        <v/>
      </c>
      <c r="G139" s="2">
        <f>IF(F139&lt;-0.5,"Murah",IF(F139&lt;0.5,"Sedang","Mahal"))</f>
        <v/>
      </c>
    </row>
    <row r="140">
      <c r="A140" s="2" t="n">
        <v>139</v>
      </c>
      <c r="B140" s="2" t="inlineStr">
        <is>
          <t>Everyday Smart Hotel Malang</t>
        </is>
      </c>
      <c r="C140" s="2" t="n">
        <v>248342</v>
      </c>
      <c r="D140" s="2" t="n">
        <v>-7.9494421</v>
      </c>
      <c r="E140" s="2" t="n">
        <v>112.6166449</v>
      </c>
      <c r="F140" s="3">
        <f>(C140 - $B$367) / $B$368</f>
        <v/>
      </c>
      <c r="G140" s="2">
        <f>IF(F140&lt;-0.5,"Murah",IF(F140&lt;0.5,"Sedang","Mahal"))</f>
        <v/>
      </c>
    </row>
    <row r="141">
      <c r="A141" s="2" t="n">
        <v>140</v>
      </c>
      <c r="B141" s="2" t="inlineStr">
        <is>
          <t>Tuwuh Hotel at Kayutangan</t>
        </is>
      </c>
      <c r="C141" s="2" t="n">
        <v>278803</v>
      </c>
      <c r="D141" s="2" t="n">
        <v>-7.9769735</v>
      </c>
      <c r="E141" s="2" t="n">
        <v>112.6323513</v>
      </c>
      <c r="F141" s="3">
        <f>(C141 - $B$367) / $B$368</f>
        <v/>
      </c>
      <c r="G141" s="2">
        <f>IF(F141&lt;-0.5,"Murah",IF(F141&lt;0.5,"Sedang","Mahal"))</f>
        <v/>
      </c>
    </row>
    <row r="142">
      <c r="A142" s="2" t="n">
        <v>141</v>
      </c>
      <c r="B142" s="2" t="inlineStr">
        <is>
          <t>éL Hotel Malang</t>
        </is>
      </c>
      <c r="C142" s="2" t="n">
        <v>479279</v>
      </c>
      <c r="D142" s="2" t="n">
        <v>-7.9022006</v>
      </c>
      <c r="E142" s="2" t="n">
        <v>112.6056572</v>
      </c>
      <c r="F142" s="3">
        <f>(C142 - $B$367) / $B$368</f>
        <v/>
      </c>
      <c r="G142" s="2">
        <f>IF(F142&lt;-0.5,"Murah",IF(F142&lt;0.5,"Sedang","Mahal"))</f>
        <v/>
      </c>
    </row>
    <row r="143">
      <c r="A143" s="2" t="n">
        <v>142</v>
      </c>
      <c r="B143" s="2" t="inlineStr">
        <is>
          <t>Whiz Prime Hotel Basuki Rahmat Malang</t>
        </is>
      </c>
      <c r="C143" s="2" t="n">
        <v>375091</v>
      </c>
      <c r="D143" s="2" t="n">
        <v>-7.9760377</v>
      </c>
      <c r="E143" s="2" t="n">
        <v>112.6291313</v>
      </c>
      <c r="F143" s="3">
        <f>(C143 - $B$367) / $B$368</f>
        <v/>
      </c>
      <c r="G143" s="2">
        <f>IF(F143&lt;-0.5,"Murah",IF(F143&lt;0.5,"Sedang","Mahal"))</f>
        <v/>
      </c>
    </row>
    <row r="144">
      <c r="A144" s="2" t="n">
        <v>143</v>
      </c>
      <c r="B144" s="2" t="inlineStr">
        <is>
          <t>Hotel Wilis Indah Malang</t>
        </is>
      </c>
      <c r="C144" s="2" t="n">
        <v>239692</v>
      </c>
      <c r="D144" s="2" t="n">
        <v>-7.9686891</v>
      </c>
      <c r="E144" s="2" t="n">
        <v>112.6364406</v>
      </c>
      <c r="F144" s="3">
        <f>(C144 - $B$367) / $B$368</f>
        <v/>
      </c>
      <c r="G144" s="2">
        <f>IF(F144&lt;-0.5,"Murah",IF(F144&lt;0.5,"Sedang","Mahal"))</f>
        <v/>
      </c>
    </row>
    <row r="145">
      <c r="A145" s="2" t="n">
        <v>144</v>
      </c>
      <c r="B145" s="2" t="inlineStr">
        <is>
          <t>Solaris Hotel Malang</t>
        </is>
      </c>
      <c r="C145" s="2" t="n">
        <v>445285</v>
      </c>
      <c r="D145" s="2" t="n">
        <v>-7.913566</v>
      </c>
      <c r="E145" s="2" t="n">
        <v>112.655618</v>
      </c>
      <c r="F145" s="3">
        <f>(C145 - $B$367) / $B$368</f>
        <v/>
      </c>
      <c r="G145" s="2">
        <f>IF(F145&lt;-0.5,"Murah",IF(F145&lt;0.5,"Sedang","Mahal"))</f>
        <v/>
      </c>
    </row>
    <row r="146">
      <c r="A146" s="2" t="n">
        <v>145</v>
      </c>
      <c r="B146" s="2" t="inlineStr">
        <is>
          <t>Hotel Montana Dua Malang</t>
        </is>
      </c>
      <c r="C146" s="2" t="n">
        <v>449783</v>
      </c>
      <c r="D146" s="2" t="n">
        <v>-7.9387796</v>
      </c>
      <c r="E146" s="2" t="n">
        <v>112.6241621</v>
      </c>
      <c r="F146" s="3">
        <f>(C146 - $B$367) / $B$368</f>
        <v/>
      </c>
      <c r="G146" s="2">
        <f>IF(F146&lt;-0.5,"Murah",IF(F146&lt;0.5,"Sedang","Mahal"))</f>
        <v/>
      </c>
    </row>
    <row r="147">
      <c r="A147" s="2" t="n">
        <v>146</v>
      </c>
      <c r="B147" s="2" t="inlineStr">
        <is>
          <t>Victoria Boutique Residence</t>
        </is>
      </c>
      <c r="C147" s="2" t="n">
        <v>354605</v>
      </c>
      <c r="D147" s="2" t="n">
        <v>-7.9546064</v>
      </c>
      <c r="E147" s="2" t="n">
        <v>112.6404972</v>
      </c>
      <c r="F147" s="3">
        <f>(C147 - $B$367) / $B$368</f>
        <v/>
      </c>
      <c r="G147" s="2">
        <f>IF(F147&lt;-0.5,"Murah",IF(F147&lt;0.5,"Sedang","Mahal"))</f>
        <v/>
      </c>
    </row>
    <row r="148">
      <c r="A148" s="2" t="n">
        <v>147</v>
      </c>
      <c r="B148" s="2" t="inlineStr">
        <is>
          <t>The Alimar Hotel Malang</t>
        </is>
      </c>
      <c r="C148" s="2" t="n">
        <v>88500</v>
      </c>
      <c r="D148" s="2" t="n">
        <v>-7.9860364</v>
      </c>
      <c r="E148" s="2" t="n">
        <v>112.6323986</v>
      </c>
      <c r="F148" s="3">
        <f>(C148 - $B$367) / $B$368</f>
        <v/>
      </c>
      <c r="G148" s="2">
        <f>IF(F148&lt;-0.5,"Murah",IF(F148&lt;0.5,"Sedang","Mahal"))</f>
        <v/>
      </c>
    </row>
    <row r="149">
      <c r="A149" s="2" t="n">
        <v>148</v>
      </c>
      <c r="B149" s="2" t="inlineStr">
        <is>
          <t>Gets Hotel Malang</t>
        </is>
      </c>
      <c r="C149" s="2" t="n">
        <v>424144</v>
      </c>
      <c r="D149" s="2" t="n">
        <v>-7.9715171</v>
      </c>
      <c r="E149" s="2" t="n">
        <v>112.6288385</v>
      </c>
      <c r="F149" s="3">
        <f>(C149 - $B$367) / $B$368</f>
        <v/>
      </c>
      <c r="G149" s="2">
        <f>IF(F149&lt;-0.5,"Murah",IF(F149&lt;0.5,"Sedang","Mahal"))</f>
        <v/>
      </c>
    </row>
    <row r="150">
      <c r="A150" s="2" t="n">
        <v>149</v>
      </c>
      <c r="B150" s="2" t="inlineStr">
        <is>
          <t>Hotel Gajahmada Graha</t>
        </is>
      </c>
      <c r="C150" s="2" t="n">
        <v>556921</v>
      </c>
      <c r="D150" s="2" t="n">
        <v>-7.9687027</v>
      </c>
      <c r="E150" s="2" t="n">
        <v>112.6358411</v>
      </c>
      <c r="F150" s="3">
        <f>(C150 - $B$367) / $B$368</f>
        <v/>
      </c>
      <c r="G150" s="2">
        <f>IF(F150&lt;-0.5,"Murah",IF(F150&lt;0.5,"Sedang","Mahal"))</f>
        <v/>
      </c>
    </row>
    <row r="151">
      <c r="A151" s="2" t="n">
        <v>150</v>
      </c>
      <c r="B151" s="2" t="inlineStr">
        <is>
          <t>Shinta Guest House</t>
        </is>
      </c>
      <c r="C151" s="2" t="n">
        <v>533784</v>
      </c>
      <c r="D151" s="2" t="n">
        <v>-7.9674368</v>
      </c>
      <c r="E151" s="2" t="n">
        <v>112.6250796</v>
      </c>
      <c r="F151" s="3">
        <f>(C151 - $B$367) / $B$368</f>
        <v/>
      </c>
      <c r="G151" s="2">
        <f>IF(F151&lt;-0.5,"Murah",IF(F151&lt;0.5,"Sedang","Mahal"))</f>
        <v/>
      </c>
    </row>
    <row r="152">
      <c r="A152" s="2" t="n">
        <v>151</v>
      </c>
      <c r="B152" s="2" t="inlineStr">
        <is>
          <t>Sweet Garden Boutique Guest House</t>
        </is>
      </c>
      <c r="C152" s="2" t="n">
        <v>448500</v>
      </c>
      <c r="D152" s="2" t="n">
        <v>-7.9709026</v>
      </c>
      <c r="E152" s="2" t="n">
        <v>112.6204721</v>
      </c>
      <c r="F152" s="3">
        <f>(C152 - $B$367) / $B$368</f>
        <v/>
      </c>
      <c r="G152" s="2">
        <f>IF(F152&lt;-0.5,"Murah",IF(F152&lt;0.5,"Sedang","Mahal"))</f>
        <v/>
      </c>
    </row>
    <row r="153">
      <c r="A153" s="2" t="n">
        <v>152</v>
      </c>
      <c r="B153" s="2" t="inlineStr">
        <is>
          <t>Ibis Styles Malang</t>
        </is>
      </c>
      <c r="C153" s="2" t="n">
        <v>669796</v>
      </c>
      <c r="D153" s="2" t="n">
        <v>-7.9525394</v>
      </c>
      <c r="E153" s="2" t="n">
        <v>112.6386412</v>
      </c>
      <c r="F153" s="3">
        <f>(C153 - $B$367) / $B$368</f>
        <v/>
      </c>
      <c r="G153" s="2">
        <f>IF(F153&lt;-0.5,"Murah",IF(F153&lt;0.5,"Sedang","Mahal"))</f>
        <v/>
      </c>
    </row>
    <row r="154">
      <c r="A154" s="2" t="n">
        <v>153</v>
      </c>
      <c r="B154" s="2" t="inlineStr">
        <is>
          <t>Grand Citihub Hotel @Kajoetangan</t>
        </is>
      </c>
      <c r="C154" s="2" t="n">
        <v>605180</v>
      </c>
      <c r="D154" s="2" t="n">
        <v>-7.9770412</v>
      </c>
      <c r="E154" s="2" t="n">
        <v>112.6295652</v>
      </c>
      <c r="F154" s="3">
        <f>(C154 - $B$367) / $B$368</f>
        <v/>
      </c>
      <c r="G154" s="2">
        <f>IF(F154&lt;-0.5,"Murah",IF(F154&lt;0.5,"Sedang","Mahal"))</f>
        <v/>
      </c>
    </row>
    <row r="155">
      <c r="A155" s="2" t="n">
        <v>154</v>
      </c>
      <c r="B155" s="2" t="inlineStr">
        <is>
          <t>Same Hotel Malang</t>
        </is>
      </c>
      <c r="C155" s="2" t="n">
        <v>344791</v>
      </c>
      <c r="D155" s="2" t="n">
        <v>-7.9725046</v>
      </c>
      <c r="E155" s="2" t="n">
        <v>112.633799</v>
      </c>
      <c r="F155" s="3">
        <f>(C155 - $B$367) / $B$368</f>
        <v/>
      </c>
      <c r="G155" s="2">
        <f>IF(F155&lt;-0.5,"Murah",IF(F155&lt;0.5,"Sedang","Mahal"))</f>
        <v/>
      </c>
    </row>
    <row r="156">
      <c r="A156" s="2" t="n">
        <v>155</v>
      </c>
      <c r="B156" s="2" t="inlineStr">
        <is>
          <t>favehotel Malang</t>
        </is>
      </c>
      <c r="C156" s="2" t="n">
        <v>525619</v>
      </c>
      <c r="D156" s="2" t="n">
        <v>-7.9327936</v>
      </c>
      <c r="E156" s="2" t="n">
        <v>112.6035154</v>
      </c>
      <c r="F156" s="3">
        <f>(C156 - $B$367) / $B$368</f>
        <v/>
      </c>
      <c r="G156" s="2">
        <f>IF(F156&lt;-0.5,"Murah",IF(F156&lt;0.5,"Sedang","Mahal"))</f>
        <v/>
      </c>
    </row>
    <row r="157">
      <c r="A157" s="2" t="n">
        <v>156</v>
      </c>
      <c r="B157" s="2" t="inlineStr">
        <is>
          <t>Boutique B21 Malang, Azana Hotels Collection</t>
        </is>
      </c>
      <c r="C157" s="2" t="n">
        <v>502231</v>
      </c>
      <c r="D157" s="2" t="n">
        <v>-7.9661987</v>
      </c>
      <c r="E157" s="2" t="n">
        <v>112.6264097</v>
      </c>
      <c r="F157" s="3">
        <f>(C157 - $B$367) / $B$368</f>
        <v/>
      </c>
      <c r="G157" s="2">
        <f>IF(F157&lt;-0.5,"Murah",IF(F157&lt;0.5,"Sedang","Mahal"))</f>
        <v/>
      </c>
    </row>
    <row r="158">
      <c r="A158" s="2" t="n">
        <v>157</v>
      </c>
      <c r="B158" s="2" t="inlineStr">
        <is>
          <t>Ubud Cottages Malang</t>
        </is>
      </c>
      <c r="C158" s="2" t="n">
        <v>359316</v>
      </c>
      <c r="D158" s="2" t="n">
        <v>-7.9614215</v>
      </c>
      <c r="E158" s="2" t="n">
        <v>112.6049097</v>
      </c>
      <c r="F158" s="3">
        <f>(C158 - $B$367) / $B$368</f>
        <v/>
      </c>
      <c r="G158" s="2">
        <f>IF(F158&lt;-0.5,"Murah",IF(F158&lt;0.5,"Sedang","Mahal"))</f>
        <v/>
      </c>
    </row>
    <row r="159">
      <c r="A159" s="2" t="n">
        <v>158</v>
      </c>
      <c r="B159" s="2" t="inlineStr">
        <is>
          <t>Hotel Dewarna Sutoyo Malang</t>
        </is>
      </c>
      <c r="C159" s="2" t="n">
        <v>368550</v>
      </c>
      <c r="D159" s="2" t="n">
        <v>-7.963377</v>
      </c>
      <c r="E159" s="2" t="n">
        <v>112.636253</v>
      </c>
      <c r="F159" s="3">
        <f>(C159 - $B$367) / $B$368</f>
        <v/>
      </c>
      <c r="G159" s="2">
        <f>IF(F159&lt;-0.5,"Murah",IF(F159&lt;0.5,"Sedang","Mahal"))</f>
        <v/>
      </c>
    </row>
    <row r="160">
      <c r="A160" s="2" t="n">
        <v>159</v>
      </c>
      <c r="B160" s="2" t="inlineStr">
        <is>
          <t>Omahkoe guesthouse</t>
        </is>
      </c>
      <c r="C160" s="2" t="n">
        <v>45892</v>
      </c>
      <c r="D160" s="2" t="n">
        <v>-7.957439</v>
      </c>
      <c r="E160" s="2" t="n">
        <v>112.6100354</v>
      </c>
      <c r="F160" s="3">
        <f>(C160 - $B$367) / $B$368</f>
        <v/>
      </c>
      <c r="G160" s="2">
        <f>IF(F160&lt;-0.5,"Murah",IF(F160&lt;0.5,"Sedang","Mahal"))</f>
        <v/>
      </c>
    </row>
    <row r="161">
      <c r="A161" s="2" t="n">
        <v>160</v>
      </c>
      <c r="B161" s="2" t="inlineStr">
        <is>
          <t>Hotel Kartika Graha</t>
        </is>
      </c>
      <c r="C161" s="2" t="n">
        <v>36239</v>
      </c>
      <c r="D161" s="2" t="n">
        <v>-7.9733305</v>
      </c>
      <c r="E161" s="2" t="n">
        <v>112.6301706</v>
      </c>
      <c r="F161" s="3">
        <f>(C161 - $B$367) / $B$368</f>
        <v/>
      </c>
      <c r="G161" s="2">
        <f>IF(F161&lt;-0.5,"Murah",IF(F161&lt;0.5,"Sedang","Mahal"))</f>
        <v/>
      </c>
    </row>
    <row r="162">
      <c r="A162" s="2" t="n">
        <v>161</v>
      </c>
      <c r="B162" s="2" t="inlineStr">
        <is>
          <t>Padi Heritage Hotel</t>
        </is>
      </c>
      <c r="C162" s="2" t="n">
        <v>540541</v>
      </c>
      <c r="D162" s="2" t="n">
        <v>-7.9320172</v>
      </c>
      <c r="E162" s="2" t="n">
        <v>112.6066988</v>
      </c>
      <c r="F162" s="3">
        <f>(C162 - $B$367) / $B$368</f>
        <v/>
      </c>
      <c r="G162" s="2">
        <f>IF(F162&lt;-0.5,"Murah",IF(F162&lt;0.5,"Sedang","Mahal"))</f>
        <v/>
      </c>
    </row>
    <row r="163">
      <c r="A163" s="2" t="n">
        <v>162</v>
      </c>
      <c r="B163" s="2" t="inlineStr">
        <is>
          <t>DE LAIA INN MALANG</t>
        </is>
      </c>
      <c r="C163" s="2" t="n">
        <v>310835</v>
      </c>
      <c r="D163" s="2" t="n">
        <v>-7.9437376</v>
      </c>
      <c r="E163" s="2" t="n">
        <v>112.6181877</v>
      </c>
      <c r="F163" s="3">
        <f>(C163 - $B$367) / $B$368</f>
        <v/>
      </c>
      <c r="G163" s="2">
        <f>IF(F163&lt;-0.5,"Murah",IF(F163&lt;0.5,"Sedang","Mahal"))</f>
        <v/>
      </c>
    </row>
    <row r="164">
      <c r="A164" s="2" t="n">
        <v>163</v>
      </c>
      <c r="B164" s="2" t="inlineStr">
        <is>
          <t>De'Corner Guest House</t>
        </is>
      </c>
      <c r="C164" s="2" t="n">
        <v>601966</v>
      </c>
      <c r="D164" s="2" t="n">
        <v>-7.9731135</v>
      </c>
      <c r="E164" s="2" t="n">
        <v>112.6184562</v>
      </c>
      <c r="F164" s="3">
        <f>(C164 - $B$367) / $B$368</f>
        <v/>
      </c>
      <c r="G164" s="2">
        <f>IF(F164&lt;-0.5,"Murah",IF(F164&lt;0.5,"Sedang","Mahal"))</f>
        <v/>
      </c>
    </row>
    <row r="165">
      <c r="A165" s="2" t="n">
        <v>164</v>
      </c>
      <c r="B165" s="2" t="inlineStr">
        <is>
          <t>CLASS Premium Guest House Malang</t>
        </is>
      </c>
      <c r="C165" s="2" t="n">
        <v>525430</v>
      </c>
      <c r="D165" s="2" t="n">
        <v>-7.9696028</v>
      </c>
      <c r="E165" s="2" t="n">
        <v>112.6032744</v>
      </c>
      <c r="F165" s="3">
        <f>(C165 - $B$367) / $B$368</f>
        <v/>
      </c>
      <c r="G165" s="2">
        <f>IF(F165&lt;-0.5,"Murah",IF(F165&lt;0.5,"Sedang","Mahal"))</f>
        <v/>
      </c>
    </row>
    <row r="166">
      <c r="A166" s="2" t="n">
        <v>165</v>
      </c>
      <c r="B166" s="2" t="inlineStr">
        <is>
          <t>Regent's Park Hotel Malang</t>
        </is>
      </c>
      <c r="C166" s="2" t="n">
        <v>756495</v>
      </c>
      <c r="D166" s="2" t="n">
        <v>-7.9698434</v>
      </c>
      <c r="E166" s="2" t="n">
        <v>112.6327743</v>
      </c>
      <c r="F166" s="3">
        <f>(C166 - $B$367) / $B$368</f>
        <v/>
      </c>
      <c r="G166" s="2">
        <f>IF(F166&lt;-0.5,"Murah",IF(F166&lt;0.5,"Sedang","Mahal"))</f>
        <v/>
      </c>
    </row>
    <row r="167">
      <c r="A167" s="2" t="n">
        <v>166</v>
      </c>
      <c r="B167" s="2" t="inlineStr">
        <is>
          <t>Sans Hotel Fif Fa Syariah Premiere Malang</t>
        </is>
      </c>
      <c r="C167" s="2" t="n">
        <v>492888</v>
      </c>
      <c r="D167" s="2" t="n">
        <v>-7.9582704</v>
      </c>
      <c r="E167" s="2" t="n">
        <v>112.6111671</v>
      </c>
      <c r="F167" s="3">
        <f>(C167 - $B$367) / $B$368</f>
        <v/>
      </c>
      <c r="G167" s="2">
        <f>IF(F167&lt;-0.5,"Murah",IF(F167&lt;0.5,"Sedang","Mahal"))</f>
        <v/>
      </c>
    </row>
    <row r="168">
      <c r="A168" s="2" t="n">
        <v>167</v>
      </c>
      <c r="B168" s="2" t="inlineStr">
        <is>
          <t>Hotel Armi</t>
        </is>
      </c>
      <c r="C168" s="2" t="n">
        <v>410278</v>
      </c>
      <c r="D168" s="2" t="n">
        <v>-7.9624233</v>
      </c>
      <c r="E168" s="2" t="n">
        <v>112.6308822</v>
      </c>
      <c r="F168" s="3">
        <f>(C168 - $B$367) / $B$368</f>
        <v/>
      </c>
      <c r="G168" s="2">
        <f>IF(F168&lt;-0.5,"Murah",IF(F168&lt;0.5,"Sedang","Mahal"))</f>
        <v/>
      </c>
    </row>
    <row r="169">
      <c r="A169" s="2" t="n">
        <v>168</v>
      </c>
      <c r="B169" s="2" t="inlineStr">
        <is>
          <t>The Himana Malang</t>
        </is>
      </c>
      <c r="C169" s="2" t="n">
        <v>309521</v>
      </c>
      <c r="D169" s="2" t="n">
        <v>-7.9735328</v>
      </c>
      <c r="E169" s="2" t="n">
        <v>112.6120045</v>
      </c>
      <c r="F169" s="3">
        <f>(C169 - $B$367) / $B$368</f>
        <v/>
      </c>
      <c r="G169" s="2">
        <f>IF(F169&lt;-0.5,"Murah",IF(F169&lt;0.5,"Sedang","Mahal"))</f>
        <v/>
      </c>
    </row>
    <row r="170">
      <c r="A170" s="2" t="n">
        <v>169</v>
      </c>
      <c r="B170" s="2" t="inlineStr">
        <is>
          <t>Lovender Guest House</t>
        </is>
      </c>
      <c r="C170" s="2" t="n">
        <v>36239</v>
      </c>
      <c r="D170" s="2" t="n">
        <v>-7.9707444</v>
      </c>
      <c r="E170" s="2" t="n">
        <v>112.6240844</v>
      </c>
      <c r="F170" s="3">
        <f>(C170 - $B$367) / $B$368</f>
        <v/>
      </c>
      <c r="G170" s="2">
        <f>IF(F170&lt;-0.5,"Murah",IF(F170&lt;0.5,"Sedang","Mahal"))</f>
        <v/>
      </c>
    </row>
    <row r="171">
      <c r="A171" s="2" t="n">
        <v>170</v>
      </c>
      <c r="B171" s="2" t="inlineStr">
        <is>
          <t>Cozy Boutique Guesthouse</t>
        </is>
      </c>
      <c r="C171" s="2" t="n">
        <v>592049</v>
      </c>
      <c r="D171" s="2" t="n">
        <v>-7.9646781</v>
      </c>
      <c r="E171" s="2" t="n">
        <v>112.6259134</v>
      </c>
      <c r="F171" s="3">
        <f>(C171 - $B$367) / $B$368</f>
        <v/>
      </c>
      <c r="G171" s="2">
        <f>IF(F171&lt;-0.5,"Murah",IF(F171&lt;0.5,"Sedang","Mahal"))</f>
        <v/>
      </c>
    </row>
    <row r="172">
      <c r="A172" s="2" t="n">
        <v>171</v>
      </c>
      <c r="B172" s="2" t="inlineStr">
        <is>
          <t>Great Star Premium Homestay</t>
        </is>
      </c>
      <c r="C172" s="2" t="n">
        <v>182306</v>
      </c>
      <c r="D172" s="2" t="n">
        <v>-7.9623099</v>
      </c>
      <c r="E172" s="2" t="n">
        <v>112.6531753</v>
      </c>
      <c r="F172" s="3">
        <f>(C172 - $B$367) / $B$368</f>
        <v/>
      </c>
      <c r="G172" s="2">
        <f>IF(F172&lt;-0.5,"Murah",IF(F172&lt;0.5,"Sedang","Mahal"))</f>
        <v/>
      </c>
    </row>
    <row r="173">
      <c r="A173" s="2" t="n">
        <v>172</v>
      </c>
      <c r="B173" s="2" t="inlineStr">
        <is>
          <t>Ratu Boarding House &amp; Homestay</t>
        </is>
      </c>
      <c r="C173" s="2" t="n">
        <v>424893</v>
      </c>
      <c r="D173" s="2" t="n">
        <v>-7.958125</v>
      </c>
      <c r="E173" s="2" t="n">
        <v>112.623491</v>
      </c>
      <c r="F173" s="3">
        <f>(C173 - $B$367) / $B$368</f>
        <v/>
      </c>
      <c r="G173" s="2">
        <f>IF(F173&lt;-0.5,"Murah",IF(F173&lt;0.5,"Sedang","Mahal"))</f>
        <v/>
      </c>
    </row>
    <row r="174">
      <c r="A174" s="2" t="n">
        <v>173</v>
      </c>
      <c r="B174" s="2" t="inlineStr">
        <is>
          <t>Hotel Trio Indah 2</t>
        </is>
      </c>
      <c r="C174" s="2" t="n">
        <v>487305</v>
      </c>
      <c r="D174" s="2" t="n">
        <v>-7.9745158</v>
      </c>
      <c r="E174" s="2" t="n">
        <v>112.6295025</v>
      </c>
      <c r="F174" s="3">
        <f>(C174 - $B$367) / $B$368</f>
        <v/>
      </c>
      <c r="G174" s="2">
        <f>IF(F174&lt;-0.5,"Murah",IF(F174&lt;0.5,"Sedang","Mahal"))</f>
        <v/>
      </c>
    </row>
    <row r="175">
      <c r="A175" s="2" t="n">
        <v>174</v>
      </c>
      <c r="B175" s="2" t="inlineStr">
        <is>
          <t>Tlogomas Guest House</t>
        </is>
      </c>
      <c r="C175" s="2" t="n">
        <v>470925</v>
      </c>
      <c r="D175" s="2" t="n">
        <v>-7.9332646</v>
      </c>
      <c r="E175" s="2" t="n">
        <v>112.6035974</v>
      </c>
      <c r="F175" s="3">
        <f>(C175 - $B$367) / $B$368</f>
        <v/>
      </c>
      <c r="G175" s="2">
        <f>IF(F175&lt;-0.5,"Murah",IF(F175&lt;0.5,"Sedang","Mahal"))</f>
        <v/>
      </c>
    </row>
    <row r="176">
      <c r="A176" s="2" t="n">
        <v>175</v>
      </c>
      <c r="B176" s="2" t="inlineStr">
        <is>
          <t>Giri Palma Villa</t>
        </is>
      </c>
      <c r="C176" s="2" t="n">
        <v>395454</v>
      </c>
      <c r="D176" s="2" t="n">
        <v>-7.9561418</v>
      </c>
      <c r="E176" s="2" t="n">
        <v>112.5873277</v>
      </c>
      <c r="F176" s="3">
        <f>(C176 - $B$367) / $B$368</f>
        <v/>
      </c>
      <c r="G176" s="2">
        <f>IF(F176&lt;-0.5,"Murah",IF(F176&lt;0.5,"Sedang","Mahal"))</f>
        <v/>
      </c>
    </row>
    <row r="177">
      <c r="A177" s="2" t="n">
        <v>176</v>
      </c>
      <c r="B177" s="2" t="inlineStr">
        <is>
          <t>Urbanview Hotel de Kopen Malang by RedDoorz</t>
        </is>
      </c>
      <c r="C177" s="2" t="n">
        <v>329657</v>
      </c>
      <c r="D177" s="2" t="n">
        <v>-7.9661099</v>
      </c>
      <c r="E177" s="2" t="n">
        <v>112.6392394</v>
      </c>
      <c r="F177" s="3">
        <f>(C177 - $B$367) / $B$368</f>
        <v/>
      </c>
      <c r="G177" s="2">
        <f>IF(F177&lt;-0.5,"Murah",IF(F177&lt;0.5,"Sedang","Mahal"))</f>
        <v/>
      </c>
    </row>
    <row r="178">
      <c r="A178" s="2" t="n">
        <v>177</v>
      </c>
      <c r="B178" s="2" t="inlineStr">
        <is>
          <t>Kertanegara Premium Guest House</t>
        </is>
      </c>
      <c r="C178" s="2" t="n">
        <v>195234</v>
      </c>
      <c r="D178" s="2" t="n">
        <v>-7.972886</v>
      </c>
      <c r="E178" s="2" t="n">
        <v>112.6224259</v>
      </c>
      <c r="F178" s="3">
        <f>(C178 - $B$367) / $B$368</f>
        <v/>
      </c>
      <c r="G178" s="2">
        <f>IF(F178&lt;-0.5,"Murah",IF(F178&lt;0.5,"Sedang","Mahal"))</f>
        <v/>
      </c>
    </row>
    <row r="179">
      <c r="A179" s="2" t="n">
        <v>178</v>
      </c>
      <c r="B179" s="2" t="inlineStr">
        <is>
          <t>RedDoorz Syariah @ Jl Simpang Gajayana (Hasanah Guest House Gajayana)</t>
        </is>
      </c>
      <c r="C179" s="2" t="n">
        <v>269296</v>
      </c>
      <c r="D179" s="2" t="n">
        <v>-7.9469596</v>
      </c>
      <c r="E179" s="2" t="n">
        <v>112.6084752</v>
      </c>
      <c r="F179" s="3">
        <f>(C179 - $B$367) / $B$368</f>
        <v/>
      </c>
      <c r="G179" s="2">
        <f>IF(F179&lt;-0.5,"Murah",IF(F179&lt;0.5,"Sedang","Mahal"))</f>
        <v/>
      </c>
    </row>
    <row r="180">
      <c r="A180" s="2" t="n">
        <v>179</v>
      </c>
      <c r="B180" s="2" t="inlineStr">
        <is>
          <t>D'Fresh Guest House and Resto</t>
        </is>
      </c>
      <c r="C180" s="2" t="n">
        <v>327600</v>
      </c>
      <c r="D180" s="2" t="n">
        <v>-7.9396721</v>
      </c>
      <c r="E180" s="2" t="n">
        <v>112.633534</v>
      </c>
      <c r="F180" s="3">
        <f>(C180 - $B$367) / $B$368</f>
        <v/>
      </c>
      <c r="G180" s="2">
        <f>IF(F180&lt;-0.5,"Murah",IF(F180&lt;0.5,"Sedang","Mahal"))</f>
        <v/>
      </c>
    </row>
    <row r="181">
      <c r="A181" s="2" t="n">
        <v>180</v>
      </c>
      <c r="B181" s="2" t="inlineStr">
        <is>
          <t>Hotel Santosa</t>
        </is>
      </c>
      <c r="C181" s="2" t="n">
        <v>245700</v>
      </c>
      <c r="D181" s="2" t="n">
        <v>-7.9842159</v>
      </c>
      <c r="E181" s="2" t="n">
        <v>112.6325137</v>
      </c>
      <c r="F181" s="3">
        <f>(C181 - $B$367) / $B$368</f>
        <v/>
      </c>
      <c r="G181" s="2">
        <f>IF(F181&lt;-0.5,"Murah",IF(F181&lt;0.5,"Sedang","Mahal"))</f>
        <v/>
      </c>
    </row>
    <row r="182">
      <c r="A182" s="2" t="n">
        <v>181</v>
      </c>
      <c r="B182" s="2" t="inlineStr">
        <is>
          <t>RedDoorz near Plaza Araya</t>
        </is>
      </c>
      <c r="C182" s="2" t="n">
        <v>291809</v>
      </c>
      <c r="D182" s="2" t="n">
        <v>-7.9368317</v>
      </c>
      <c r="E182" s="2" t="n">
        <v>112.6489055</v>
      </c>
      <c r="F182" s="3">
        <f>(C182 - $B$367) / $B$368</f>
        <v/>
      </c>
      <c r="G182" s="2">
        <f>IF(F182&lt;-0.5,"Murah",IF(F182&lt;0.5,"Sedang","Mahal"))</f>
        <v/>
      </c>
    </row>
    <row r="183">
      <c r="A183" s="2" t="n">
        <v>182</v>
      </c>
      <c r="B183" s="2" t="inlineStr">
        <is>
          <t>Helena Guest House</t>
        </is>
      </c>
      <c r="C183" s="2" t="n">
        <v>255646</v>
      </c>
      <c r="D183" s="2" t="n">
        <v>-7.9705419</v>
      </c>
      <c r="E183" s="2" t="n">
        <v>112.6270175</v>
      </c>
      <c r="F183" s="3">
        <f>(C183 - $B$367) / $B$368</f>
        <v/>
      </c>
      <c r="G183" s="2">
        <f>IF(F183&lt;-0.5,"Murah",IF(F183&lt;0.5,"Sedang","Mahal"))</f>
        <v/>
      </c>
    </row>
    <row r="184">
      <c r="A184" s="2" t="n">
        <v>183</v>
      </c>
      <c r="B184" s="2" t="inlineStr">
        <is>
          <t>Esma Guest House</t>
        </is>
      </c>
      <c r="C184" s="2" t="n">
        <v>479115</v>
      </c>
      <c r="D184" s="2" t="n">
        <v>-7.9608927</v>
      </c>
      <c r="E184" s="2" t="n">
        <v>112.6353624</v>
      </c>
      <c r="F184" s="3">
        <f>(C184 - $B$367) / $B$368</f>
        <v/>
      </c>
      <c r="G184" s="2">
        <f>IF(F184&lt;-0.5,"Murah",IF(F184&lt;0.5,"Sedang","Mahal"))</f>
        <v/>
      </c>
    </row>
    <row r="185">
      <c r="A185" s="2" t="n">
        <v>184</v>
      </c>
      <c r="B185" s="2" t="inlineStr">
        <is>
          <t>Guest House Lily</t>
        </is>
      </c>
      <c r="C185" s="2" t="n">
        <v>202293</v>
      </c>
      <c r="D185" s="2" t="n">
        <v>-7.9877561</v>
      </c>
      <c r="E185" s="2" t="n">
        <v>112.6346953</v>
      </c>
      <c r="F185" s="3">
        <f>(C185 - $B$367) / $B$368</f>
        <v/>
      </c>
      <c r="G185" s="2">
        <f>IF(F185&lt;-0.5,"Murah",IF(F185&lt;0.5,"Sedang","Mahal"))</f>
        <v/>
      </c>
    </row>
    <row r="186">
      <c r="A186" s="2" t="n">
        <v>185</v>
      </c>
      <c r="B186" s="2" t="inlineStr">
        <is>
          <t>Griyo Sultan Agung Guest House (Book our rooms via WhatsApp Chat)</t>
        </is>
      </c>
      <c r="C186" s="2" t="n">
        <v>311220</v>
      </c>
      <c r="D186" s="2" t="n">
        <v>-7.978193</v>
      </c>
      <c r="E186" s="2" t="n">
        <v>112.635719</v>
      </c>
      <c r="F186" s="3">
        <f>(C186 - $B$367) / $B$368</f>
        <v/>
      </c>
      <c r="G186" s="2">
        <f>IF(F186&lt;-0.5,"Murah",IF(F186&lt;0.5,"Sedang","Mahal"))</f>
        <v/>
      </c>
    </row>
    <row r="187">
      <c r="A187" s="2" t="n">
        <v>186</v>
      </c>
      <c r="B187" s="2" t="inlineStr">
        <is>
          <t>Merbabu Guest House</t>
        </is>
      </c>
      <c r="C187" s="2" t="n">
        <v>396110</v>
      </c>
      <c r="D187" s="2" t="n">
        <v>-7.9669282</v>
      </c>
      <c r="E187" s="2" t="n">
        <v>112.6261686</v>
      </c>
      <c r="F187" s="3">
        <f>(C187 - $B$367) / $B$368</f>
        <v/>
      </c>
      <c r="G187" s="2">
        <f>IF(F187&lt;-0.5,"Murah",IF(F187&lt;0.5,"Sedang","Mahal"))</f>
        <v/>
      </c>
    </row>
    <row r="188">
      <c r="A188" s="2" t="n">
        <v>187</v>
      </c>
      <c r="B188" s="2" t="inlineStr">
        <is>
          <t>RedDoorz Plus near Politeknik Negeri Malang</t>
        </is>
      </c>
      <c r="C188" s="2" t="n">
        <v>468035</v>
      </c>
      <c r="D188" s="2" t="n">
        <v>-7.9430879</v>
      </c>
      <c r="E188" s="2" t="n">
        <v>112.619081</v>
      </c>
      <c r="F188" s="3">
        <f>(C188 - $B$367) / $B$368</f>
        <v/>
      </c>
      <c r="G188" s="2">
        <f>IF(F188&lt;-0.5,"Murah",IF(F188&lt;0.5,"Sedang","Mahal"))</f>
        <v/>
      </c>
    </row>
    <row r="189">
      <c r="A189" s="2" t="n">
        <v>188</v>
      </c>
      <c r="B189" s="2" t="inlineStr">
        <is>
          <t>Jardin Smart Residence</t>
        </is>
      </c>
      <c r="C189" s="2" t="n">
        <v>233463</v>
      </c>
      <c r="D189" s="2" t="n">
        <v>-7.9374241</v>
      </c>
      <c r="E189" s="2" t="n">
        <v>112.6404008</v>
      </c>
      <c r="F189" s="3">
        <f>(C189 - $B$367) / $B$368</f>
        <v/>
      </c>
      <c r="G189" s="2">
        <f>IF(F189&lt;-0.5,"Murah",IF(F189&lt;0.5,"Sedang","Mahal"))</f>
        <v/>
      </c>
    </row>
    <row r="190">
      <c r="A190" s="2" t="n">
        <v>189</v>
      </c>
      <c r="B190" s="2" t="inlineStr">
        <is>
          <t>RedDoorz near Cyber Mall</t>
        </is>
      </c>
      <c r="C190" s="2" t="n">
        <v>468035</v>
      </c>
      <c r="D190" s="2" t="n">
        <v>-7.9689192</v>
      </c>
      <c r="E190" s="2" t="n">
        <v>112.6077843</v>
      </c>
      <c r="F190" s="3">
        <f>(C190 - $B$367) / $B$368</f>
        <v/>
      </c>
      <c r="G190" s="2">
        <f>IF(F190&lt;-0.5,"Murah",IF(F190&lt;0.5,"Sedang","Mahal"))</f>
        <v/>
      </c>
    </row>
    <row r="191">
      <c r="A191" s="2" t="n">
        <v>190</v>
      </c>
      <c r="B191" s="2" t="inlineStr">
        <is>
          <t>Penginapan Omah Wetan Homestay Malang</t>
        </is>
      </c>
      <c r="C191" s="2" t="n">
        <v>78121</v>
      </c>
      <c r="D191" s="2" t="n">
        <v>-7.9818727</v>
      </c>
      <c r="E191" s="2" t="n">
        <v>112.6529763</v>
      </c>
      <c r="F191" s="3">
        <f>(C191 - $B$367) / $B$368</f>
        <v/>
      </c>
      <c r="G191" s="2">
        <f>IF(F191&lt;-0.5,"Murah",IF(F191&lt;0.5,"Sedang","Mahal"))</f>
        <v/>
      </c>
    </row>
    <row r="192">
      <c r="A192" s="2" t="n">
        <v>191</v>
      </c>
      <c r="B192" s="2" t="inlineStr">
        <is>
          <t>Hillside Suite Guest House</t>
        </is>
      </c>
      <c r="C192" s="2" t="n">
        <v>375921</v>
      </c>
      <c r="D192" s="2" t="n">
        <v>-7.9648264</v>
      </c>
      <c r="E192" s="2" t="n">
        <v>112.6055115</v>
      </c>
      <c r="F192" s="3">
        <f>(C192 - $B$367) / $B$368</f>
        <v/>
      </c>
      <c r="G192" s="2">
        <f>IF(F192&lt;-0.5,"Murah",IF(F192&lt;0.5,"Sedang","Mahal"))</f>
        <v/>
      </c>
    </row>
    <row r="193">
      <c r="A193" s="2" t="n">
        <v>192</v>
      </c>
      <c r="B193" s="2" t="inlineStr">
        <is>
          <t>Jacatra Homestay</t>
        </is>
      </c>
      <c r="C193" s="2" t="n">
        <v>334152</v>
      </c>
      <c r="D193" s="2" t="n">
        <v>-7.9655413</v>
      </c>
      <c r="E193" s="2" t="n">
        <v>112.6198718</v>
      </c>
      <c r="F193" s="3">
        <f>(C193 - $B$367) / $B$368</f>
        <v/>
      </c>
      <c r="G193" s="2">
        <f>IF(F193&lt;-0.5,"Murah",IF(F193&lt;0.5,"Sedang","Mahal"))</f>
        <v/>
      </c>
    </row>
    <row r="194">
      <c r="A194" s="2" t="n">
        <v>193</v>
      </c>
      <c r="B194" s="2" t="inlineStr">
        <is>
          <t>Hotel Tosari</t>
        </is>
      </c>
      <c r="C194" s="2" t="n">
        <v>220925</v>
      </c>
      <c r="D194" s="2" t="n">
        <v>-7.9847087</v>
      </c>
      <c r="E194" s="2" t="n">
        <v>112.6353291</v>
      </c>
      <c r="F194" s="3">
        <f>(C194 - $B$367) / $B$368</f>
        <v/>
      </c>
      <c r="G194" s="2">
        <f>IF(F194&lt;-0.5,"Murah",IF(F194&lt;0.5,"Sedang","Mahal"))</f>
        <v/>
      </c>
    </row>
    <row r="195">
      <c r="A195" s="2" t="n">
        <v>194</v>
      </c>
      <c r="B195" s="2" t="inlineStr">
        <is>
          <t>AUGUSTINA HOME</t>
        </is>
      </c>
      <c r="C195" s="2" t="n">
        <v>429975</v>
      </c>
      <c r="D195" s="2" t="n">
        <v>-7.9690167</v>
      </c>
      <c r="E195" s="2" t="n">
        <v>112.6254985</v>
      </c>
      <c r="F195" s="3">
        <f>(C195 - $B$367) / $B$368</f>
        <v/>
      </c>
      <c r="G195" s="2">
        <f>IF(F195&lt;-0.5,"Murah",IF(F195&lt;0.5,"Sedang","Mahal"))</f>
        <v/>
      </c>
    </row>
    <row r="196">
      <c r="A196" s="2" t="n">
        <v>195</v>
      </c>
      <c r="B196" s="2" t="inlineStr">
        <is>
          <t>Nat Nat Homestay</t>
        </is>
      </c>
      <c r="C196" s="2" t="n">
        <v>297672</v>
      </c>
      <c r="D196" s="2" t="n">
        <v>-7.9634963</v>
      </c>
      <c r="E196" s="2" t="n">
        <v>112.6255884</v>
      </c>
      <c r="F196" s="3">
        <f>(C196 - $B$367) / $B$368</f>
        <v/>
      </c>
      <c r="G196" s="2">
        <f>IF(F196&lt;-0.5,"Murah",IF(F196&lt;0.5,"Sedang","Mahal"))</f>
        <v/>
      </c>
    </row>
    <row r="197">
      <c r="A197" s="2" t="n">
        <v>196</v>
      </c>
      <c r="B197" s="2" t="inlineStr">
        <is>
          <t>nDalem Kilen Homestay</t>
        </is>
      </c>
      <c r="C197" s="2" t="n">
        <v>185967</v>
      </c>
      <c r="D197" s="2" t="n">
        <v>-7.9543372</v>
      </c>
      <c r="E197" s="2" t="n">
        <v>112.620001</v>
      </c>
      <c r="F197" s="3">
        <f>(C197 - $B$367) / $B$368</f>
        <v/>
      </c>
      <c r="G197" s="2">
        <f>IF(F197&lt;-0.5,"Murah",IF(F197&lt;0.5,"Sedang","Mahal"))</f>
        <v/>
      </c>
    </row>
    <row r="198">
      <c r="A198" s="2" t="n">
        <v>197</v>
      </c>
      <c r="B198" s="2" t="inlineStr">
        <is>
          <t>Jakarta 32 Homestay Syariah</t>
        </is>
      </c>
      <c r="C198" s="2" t="n">
        <v>450450</v>
      </c>
      <c r="D198" s="2" t="n">
        <v>-7.9631198</v>
      </c>
      <c r="E198" s="2" t="n">
        <v>112.6222954</v>
      </c>
      <c r="F198" s="3">
        <f>(C198 - $B$367) / $B$368</f>
        <v/>
      </c>
      <c r="G198" s="2">
        <f>IF(F198&lt;-0.5,"Murah",IF(F198&lt;0.5,"Sedang","Mahal"))</f>
        <v/>
      </c>
    </row>
    <row r="199">
      <c r="A199" s="2" t="n">
        <v>198</v>
      </c>
      <c r="B199" s="2" t="inlineStr">
        <is>
          <t>Hotel Aloha Malang</t>
        </is>
      </c>
      <c r="C199" s="2" t="n">
        <v>36239</v>
      </c>
      <c r="D199" s="2" t="n">
        <v>-7.9786929</v>
      </c>
      <c r="E199" s="2" t="n">
        <v>112.6354288</v>
      </c>
      <c r="F199" s="3">
        <f>(C199 - $B$367) / $B$368</f>
        <v/>
      </c>
      <c r="G199" s="2">
        <f>IF(F199&lt;-0.5,"Murah",IF(F199&lt;0.5,"Sedang","Mahal"))</f>
        <v/>
      </c>
    </row>
    <row r="200">
      <c r="A200" s="2" t="n">
        <v>199</v>
      </c>
      <c r="B200" s="2" t="inlineStr">
        <is>
          <t>Hotel Tidar</t>
        </is>
      </c>
      <c r="C200" s="2" t="n">
        <v>439132</v>
      </c>
      <c r="D200" s="2" t="n">
        <v>-7.9612861</v>
      </c>
      <c r="E200" s="2" t="n">
        <v>112.5973419</v>
      </c>
      <c r="F200" s="3">
        <f>(C200 - $B$367) / $B$368</f>
        <v/>
      </c>
      <c r="G200" s="2">
        <f>IF(F200&lt;-0.5,"Murah",IF(F200&lt;0.5,"Sedang","Mahal"))</f>
        <v/>
      </c>
    </row>
    <row r="201">
      <c r="A201" s="2" t="n">
        <v>200</v>
      </c>
      <c r="B201" s="2" t="inlineStr">
        <is>
          <t>Airy Lowokwaru Sutoyo 22 Malang</t>
        </is>
      </c>
      <c r="C201" s="2" t="n">
        <v>196545</v>
      </c>
      <c r="D201" s="2" t="n">
        <v>-7.9632718</v>
      </c>
      <c r="E201" s="2" t="n">
        <v>112.6361453</v>
      </c>
      <c r="F201" s="3">
        <f>(C201 - $B$367) / $B$368</f>
        <v/>
      </c>
      <c r="G201" s="2">
        <f>IF(F201&lt;-0.5,"Murah",IF(F201&lt;0.5,"Sedang","Mahal"))</f>
        <v/>
      </c>
    </row>
    <row r="202">
      <c r="A202" s="2" t="n">
        <v>201</v>
      </c>
      <c r="B202" s="2" t="inlineStr">
        <is>
          <t>Morse Hotel</t>
        </is>
      </c>
      <c r="C202" s="2" t="n">
        <v>339855</v>
      </c>
      <c r="D202" s="2" t="n">
        <v>-7.9789025</v>
      </c>
      <c r="E202" s="2" t="n">
        <v>112.6367121</v>
      </c>
      <c r="F202" s="3">
        <f>(C202 - $B$367) / $B$368</f>
        <v/>
      </c>
      <c r="G202" s="2">
        <f>IF(F202&lt;-0.5,"Murah",IF(F202&lt;0.5,"Sedang","Mahal"))</f>
        <v/>
      </c>
    </row>
    <row r="203">
      <c r="A203" s="2" t="n">
        <v>202</v>
      </c>
      <c r="B203" s="2" t="inlineStr">
        <is>
          <t>RedDoorz near Gajayana Stadium Malang</t>
        </is>
      </c>
      <c r="C203" s="2" t="n">
        <v>250000</v>
      </c>
      <c r="D203" s="2" t="n">
        <v>-7.970011</v>
      </c>
      <c r="E203" s="2" t="n">
        <v>112.6276018</v>
      </c>
      <c r="F203" s="3">
        <f>(C203 - $B$367) / $B$368</f>
        <v/>
      </c>
      <c r="G203" s="2">
        <f>IF(F203&lt;-0.5,"Murah",IF(F203&lt;0.5,"Sedang","Mahal"))</f>
        <v/>
      </c>
    </row>
    <row r="204">
      <c r="A204" s="2" t="n">
        <v>203</v>
      </c>
      <c r="B204" s="2" t="inlineStr">
        <is>
          <t>Armyn Luxury Guest House</t>
        </is>
      </c>
      <c r="C204" s="2" t="n">
        <v>200000</v>
      </c>
      <c r="D204" s="2" t="n">
        <v>-7.9728699</v>
      </c>
      <c r="E204" s="2" t="n">
        <v>112.6179886</v>
      </c>
      <c r="F204" s="3">
        <f>(C204 - $B$367) / $B$368</f>
        <v/>
      </c>
      <c r="G204" s="2">
        <f>IF(F204&lt;-0.5,"Murah",IF(F204&lt;0.5,"Sedang","Mahal"))</f>
        <v/>
      </c>
    </row>
    <row r="205">
      <c r="A205" s="2" t="n">
        <v>204</v>
      </c>
      <c r="B205" s="2" t="inlineStr">
        <is>
          <t>Airy Klojen Lamongan 12 Malang</t>
        </is>
      </c>
      <c r="C205" s="2" t="n">
        <v>424893</v>
      </c>
      <c r="D205" s="2" t="n">
        <v>-7.9707</v>
      </c>
      <c r="E205" s="2" t="n">
        <v>112.6241</v>
      </c>
      <c r="F205" s="3">
        <f>(C205 - $B$367) / $B$368</f>
        <v/>
      </c>
      <c r="G205" s="2">
        <f>IF(F205&lt;-0.5,"Murah",IF(F205&lt;0.5,"Sedang","Mahal"))</f>
        <v/>
      </c>
    </row>
    <row r="206">
      <c r="A206" s="2" t="n">
        <v>205</v>
      </c>
      <c r="B206" s="2" t="inlineStr">
        <is>
          <t>ZEN Rooms Basic Lamongan Malang</t>
        </is>
      </c>
      <c r="C206" s="2" t="n">
        <v>36239</v>
      </c>
      <c r="D206" s="2" t="n">
        <v>-7.9707108</v>
      </c>
      <c r="E206" s="2" t="n">
        <v>112.624103</v>
      </c>
      <c r="F206" s="3">
        <f>(C206 - $B$367) / $B$368</f>
        <v/>
      </c>
      <c r="G206" s="2">
        <f>IF(F206&lt;-0.5,"Murah",IF(F206&lt;0.5,"Sedang","Mahal"))</f>
        <v/>
      </c>
    </row>
    <row r="207">
      <c r="A207" s="2" t="n">
        <v>206</v>
      </c>
      <c r="B207" s="2" t="inlineStr">
        <is>
          <t>Airy Alun Alun Malang Zainul Arifin 55</t>
        </is>
      </c>
      <c r="C207" s="2" t="n">
        <v>45892</v>
      </c>
      <c r="D207" s="2" t="n">
        <v>-7.9841576</v>
      </c>
      <c r="E207" s="2" t="n">
        <v>112.6341095</v>
      </c>
      <c r="F207" s="3">
        <f>(C207 - $B$367) / $B$368</f>
        <v/>
      </c>
      <c r="G207" s="2">
        <f>IF(F207&lt;-0.5,"Murah",IF(F207&lt;0.5,"Sedang","Mahal"))</f>
        <v/>
      </c>
    </row>
    <row r="208">
      <c r="A208" s="2" t="n">
        <v>207</v>
      </c>
      <c r="B208" s="2" t="inlineStr">
        <is>
          <t>Guesthouse Syariah Cakalang 5</t>
        </is>
      </c>
      <c r="C208" s="2" t="n">
        <v>100000</v>
      </c>
      <c r="D208" s="2" t="n">
        <v>-7.9310472</v>
      </c>
      <c r="E208" s="2" t="n">
        <v>112.6441668</v>
      </c>
      <c r="F208" s="3">
        <f>(C208 - $B$367) / $B$368</f>
        <v/>
      </c>
      <c r="G208" s="2">
        <f>IF(F208&lt;-0.5,"Murah",IF(F208&lt;0.5,"Sedang","Mahal"))</f>
        <v/>
      </c>
    </row>
    <row r="209">
      <c r="A209" s="2" t="n">
        <v>208</v>
      </c>
      <c r="B209" s="2" t="inlineStr">
        <is>
          <t>mcb Homestay</t>
        </is>
      </c>
      <c r="C209" s="2" t="n">
        <v>243243</v>
      </c>
      <c r="D209" s="2" t="n">
        <v>-7.9736553</v>
      </c>
      <c r="E209" s="2" t="n">
        <v>112.6143808</v>
      </c>
      <c r="F209" s="3">
        <f>(C209 - $B$367) / $B$368</f>
        <v/>
      </c>
      <c r="G209" s="2">
        <f>IF(F209&lt;-0.5,"Murah",IF(F209&lt;0.5,"Sedang","Mahal"))</f>
        <v/>
      </c>
    </row>
    <row r="210">
      <c r="A210" s="2" t="n">
        <v>209</v>
      </c>
      <c r="B210" s="2" t="inlineStr">
        <is>
          <t>Homestay Villa Tidar</t>
        </is>
      </c>
      <c r="C210" s="2" t="n">
        <v>1000000</v>
      </c>
      <c r="D210" s="2" t="n">
        <v>-7.9575416</v>
      </c>
      <c r="E210" s="2" t="n">
        <v>112.5874199</v>
      </c>
      <c r="F210" s="3">
        <f>(C210 - $B$367) / $B$368</f>
        <v/>
      </c>
      <c r="G210" s="2">
        <f>IF(F210&lt;-0.5,"Murah",IF(F210&lt;0.5,"Sedang","Mahal"))</f>
        <v/>
      </c>
    </row>
    <row r="211">
      <c r="A211" s="2" t="n">
        <v>210</v>
      </c>
      <c r="B211" s="2" t="inlineStr">
        <is>
          <t>Homestay Borobudur Tbs</t>
        </is>
      </c>
      <c r="C211" s="2" t="n">
        <v>91631</v>
      </c>
      <c r="D211" s="2" t="n">
        <v>-7.9371981</v>
      </c>
      <c r="E211" s="2" t="n">
        <v>112.6351272</v>
      </c>
      <c r="F211" s="3">
        <f>(C211 - $B$367) / $B$368</f>
        <v/>
      </c>
      <c r="G211" s="2">
        <f>IF(F211&lt;-0.5,"Murah",IF(F211&lt;0.5,"Sedang","Mahal"))</f>
        <v/>
      </c>
    </row>
    <row r="212">
      <c r="A212" s="2" t="n">
        <v>211</v>
      </c>
      <c r="B212" s="2" t="inlineStr">
        <is>
          <t>de' Clove</t>
        </is>
      </c>
      <c r="C212" s="2" t="n">
        <v>36239</v>
      </c>
      <c r="D212" s="2" t="n">
        <v>-7.9453189</v>
      </c>
      <c r="E212" s="2" t="n">
        <v>112.6209688</v>
      </c>
      <c r="F212" s="3">
        <f>(C212 - $B$367) / $B$368</f>
        <v/>
      </c>
      <c r="G212" s="2">
        <f>IF(F212&lt;-0.5,"Murah",IF(F212&lt;0.5,"Sedang","Mahal"))</f>
        <v/>
      </c>
    </row>
    <row r="213">
      <c r="A213" s="2" t="n">
        <v>212</v>
      </c>
      <c r="B213" s="2" t="inlineStr">
        <is>
          <t>Airy Klojen</t>
        </is>
      </c>
      <c r="C213" s="2" t="n">
        <v>1000000</v>
      </c>
      <c r="D213" s="2" t="n">
        <v>-7.9736553</v>
      </c>
      <c r="E213" s="2" t="n">
        <v>112.6143808</v>
      </c>
      <c r="F213" s="3">
        <f>(C213 - $B$367) / $B$368</f>
        <v/>
      </c>
      <c r="G213" s="2">
        <f>IF(F213&lt;-0.5,"Murah",IF(F213&lt;0.5,"Sedang","Mahal"))</f>
        <v/>
      </c>
    </row>
    <row r="214">
      <c r="A214" s="2" t="n">
        <v>213</v>
      </c>
      <c r="B214" s="2" t="inlineStr">
        <is>
          <t>ZEN Rooms near Stasiun Kota Baru</t>
        </is>
      </c>
      <c r="C214" s="2" t="n">
        <v>36239</v>
      </c>
      <c r="D214" s="2" t="n">
        <v>-7.9790452</v>
      </c>
      <c r="E214" s="2" t="n">
        <v>112.6371335</v>
      </c>
      <c r="F214" s="3">
        <f>(C214 - $B$367) / $B$368</f>
        <v/>
      </c>
      <c r="G214" s="2">
        <f>IF(F214&lt;-0.5,"Murah",IF(F214&lt;0.5,"Sedang","Mahal"))</f>
        <v/>
      </c>
    </row>
    <row r="215">
      <c r="A215" s="2" t="n">
        <v>214</v>
      </c>
      <c r="B215" s="2" t="inlineStr">
        <is>
          <t>Airy Lowokwaru Candi Trowulan 12 Malang</t>
        </is>
      </c>
      <c r="C215" s="2" t="n">
        <v>196545</v>
      </c>
      <c r="D215" s="2" t="n">
        <v>-7.9396635</v>
      </c>
      <c r="E215" s="2" t="n">
        <v>112.6335556</v>
      </c>
      <c r="F215" s="3">
        <f>(C215 - $B$367) / $B$368</f>
        <v/>
      </c>
      <c r="G215" s="2">
        <f>IF(F215&lt;-0.5,"Murah",IF(F215&lt;0.5,"Sedang","Mahal"))</f>
        <v/>
      </c>
    </row>
    <row r="216">
      <c r="A216" s="2" t="n">
        <v>215</v>
      </c>
      <c r="B216" s="2" t="inlineStr">
        <is>
          <t>Airy Tunjungtirto Losawi Perusahaan 57 Malang</t>
        </is>
      </c>
      <c r="C216" s="2" t="n">
        <v>168785</v>
      </c>
      <c r="D216" s="2" t="n">
        <v>-7.91108</v>
      </c>
      <c r="E216" s="2" t="n">
        <v>112.635844</v>
      </c>
      <c r="F216" s="3">
        <f>(C216 - $B$367) / $B$368</f>
        <v/>
      </c>
      <c r="G216" s="2">
        <f>IF(F216&lt;-0.5,"Murah",IF(F216&lt;0.5,"Sedang","Mahal"))</f>
        <v/>
      </c>
    </row>
    <row r="217">
      <c r="A217" s="2" t="n">
        <v>216</v>
      </c>
      <c r="B217" s="2" t="inlineStr">
        <is>
          <t>RedDoorz Plus @ Riverside Malang</t>
        </is>
      </c>
      <c r="C217" s="2" t="n">
        <v>90000</v>
      </c>
      <c r="D217" s="2" t="n">
        <v>-7.927774</v>
      </c>
      <c r="E217" s="2" t="n">
        <v>112.6495483</v>
      </c>
      <c r="F217" s="3">
        <f>(C217 - $B$367) / $B$368</f>
        <v/>
      </c>
      <c r="G217" s="2">
        <f>IF(F217&lt;-0.5,"Murah",IF(F217&lt;0.5,"Sedang","Mahal"))</f>
        <v/>
      </c>
    </row>
    <row r="218">
      <c r="A218" s="2" t="n">
        <v>217</v>
      </c>
      <c r="B218" s="2" t="inlineStr">
        <is>
          <t>Emy's Guesthouse</t>
        </is>
      </c>
      <c r="C218" s="2" t="n">
        <v>286650</v>
      </c>
      <c r="D218" s="2" t="n">
        <v>-7.937839</v>
      </c>
      <c r="E218" s="2" t="n">
        <v>112.637019</v>
      </c>
      <c r="F218" s="3">
        <f>(C218 - $B$367) / $B$368</f>
        <v/>
      </c>
      <c r="G218" s="2">
        <f>IF(F218&lt;-0.5,"Murah",IF(F218&lt;0.5,"Sedang","Mahal"))</f>
        <v/>
      </c>
    </row>
    <row r="219">
      <c r="A219" s="2" t="n">
        <v>218</v>
      </c>
      <c r="B219" s="2" t="inlineStr">
        <is>
          <t>De'Vita Family Homestay</t>
        </is>
      </c>
      <c r="C219" s="2" t="n">
        <v>36239</v>
      </c>
      <c r="D219" s="2" t="n">
        <v>-7.9424252</v>
      </c>
      <c r="E219" s="2" t="n">
        <v>112.5826408</v>
      </c>
      <c r="F219" s="3">
        <f>(C219 - $B$367) / $B$368</f>
        <v/>
      </c>
      <c r="G219" s="2">
        <f>IF(F219&lt;-0.5,"Murah",IF(F219&lt;0.5,"Sedang","Mahal"))</f>
        <v/>
      </c>
    </row>
    <row r="220">
      <c r="A220" s="2" t="n">
        <v>219</v>
      </c>
      <c r="B220" s="2" t="inlineStr">
        <is>
          <t>RedDoorz Syariah @ Griya Shanta Malang</t>
        </is>
      </c>
      <c r="C220" s="2" t="n">
        <v>174038</v>
      </c>
      <c r="D220" s="2" t="n">
        <v>-7.9356673</v>
      </c>
      <c r="E220" s="2" t="n">
        <v>112.6211102</v>
      </c>
      <c r="F220" s="3">
        <f>(C220 - $B$367) / $B$368</f>
        <v/>
      </c>
      <c r="G220" s="2">
        <f>IF(F220&lt;-0.5,"Murah",IF(F220&lt;0.5,"Sedang","Mahal"))</f>
        <v/>
      </c>
    </row>
    <row r="221">
      <c r="A221" s="2" t="n">
        <v>220</v>
      </c>
      <c r="B221" s="2" t="inlineStr">
        <is>
          <t>Vintage 58 Penginapan khusus wanita</t>
        </is>
      </c>
      <c r="C221" s="2" t="n">
        <v>73710</v>
      </c>
      <c r="D221" s="2" t="n">
        <v>-7.9658229</v>
      </c>
      <c r="E221" s="2" t="n">
        <v>112.6302866</v>
      </c>
      <c r="F221" s="3">
        <f>(C221 - $B$367) / $B$368</f>
        <v/>
      </c>
      <c r="G221" s="2">
        <f>IF(F221&lt;-0.5,"Murah",IF(F221&lt;0.5,"Sedang","Mahal"))</f>
        <v/>
      </c>
    </row>
    <row r="222">
      <c r="A222" s="2" t="n">
        <v>221</v>
      </c>
      <c r="B222" s="2" t="inlineStr">
        <is>
          <t>Ador 46 Homestay Syariah &amp; Kost Harian Kota Malang</t>
        </is>
      </c>
      <c r="C222" s="2" t="n">
        <v>750000</v>
      </c>
      <c r="D222" s="2" t="n">
        <v>-7.9803697</v>
      </c>
      <c r="E222" s="2" t="n">
        <v>112.5993504</v>
      </c>
      <c r="F222" s="3">
        <f>(C222 - $B$367) / $B$368</f>
        <v/>
      </c>
      <c r="G222" s="2">
        <f>IF(F222&lt;-0.5,"Murah",IF(F222&lt;0.5,"Sedang","Mahal"))</f>
        <v/>
      </c>
    </row>
    <row r="223">
      <c r="A223" s="2" t="n">
        <v>222</v>
      </c>
      <c r="B223" s="2" t="inlineStr">
        <is>
          <t>Griya Backpacker Pak yon</t>
        </is>
      </c>
      <c r="C223" s="2" t="n">
        <v>36239</v>
      </c>
      <c r="D223" s="2" t="n">
        <v>-7.9633274</v>
      </c>
      <c r="E223" s="2" t="n">
        <v>112.6384545</v>
      </c>
      <c r="F223" s="3">
        <f>(C223 - $B$367) / $B$368</f>
        <v/>
      </c>
      <c r="G223" s="2">
        <f>IF(F223&lt;-0.5,"Murah",IF(F223&lt;0.5,"Sedang","Mahal"))</f>
        <v/>
      </c>
    </row>
    <row r="224">
      <c r="A224" s="2" t="n">
        <v>223</v>
      </c>
      <c r="B224" s="2" t="inlineStr">
        <is>
          <t>SO! Boutique Hostel</t>
        </is>
      </c>
      <c r="C224" s="2" t="n">
        <v>280735</v>
      </c>
      <c r="D224" s="2" t="n">
        <v>-7.9796921</v>
      </c>
      <c r="E224" s="2" t="n">
        <v>112.6312334</v>
      </c>
      <c r="F224" s="3">
        <f>(C224 - $B$367) / $B$368</f>
        <v/>
      </c>
      <c r="G224" s="2">
        <f>IF(F224&lt;-0.5,"Murah",IF(F224&lt;0.5,"Sedang","Mahal"))</f>
        <v/>
      </c>
    </row>
    <row r="225">
      <c r="A225" s="2" t="n">
        <v>224</v>
      </c>
      <c r="B225" s="2" t="inlineStr">
        <is>
          <t>Hotel Setia Budi</t>
        </is>
      </c>
      <c r="C225" s="2" t="n">
        <v>151075</v>
      </c>
      <c r="D225" s="2" t="n">
        <v>-7.9732101</v>
      </c>
      <c r="E225" s="2" t="n">
        <v>112.6374008</v>
      </c>
      <c r="F225" s="3">
        <f>(C225 - $B$367) / $B$368</f>
        <v/>
      </c>
      <c r="G225" s="2">
        <f>IF(F225&lt;-0.5,"Murah",IF(F225&lt;0.5,"Sedang","Mahal"))</f>
        <v/>
      </c>
    </row>
    <row r="226">
      <c r="A226" s="2" t="n">
        <v>225</v>
      </c>
      <c r="B226" s="2" t="inlineStr">
        <is>
          <t>Yutaka Inn Suhat Malang</t>
        </is>
      </c>
      <c r="C226" s="2" t="n">
        <v>140000</v>
      </c>
      <c r="D226" s="2" t="n">
        <v>-7.9336672</v>
      </c>
      <c r="E226" s="2" t="n">
        <v>112.6189484</v>
      </c>
      <c r="F226" s="3">
        <f>(C226 - $B$367) / $B$368</f>
        <v/>
      </c>
      <c r="G226" s="2">
        <f>IF(F226&lt;-0.5,"Murah",IF(F226&lt;0.5,"Sedang","Mahal"))</f>
        <v/>
      </c>
    </row>
    <row r="227">
      <c r="A227" s="2" t="n">
        <v>226</v>
      </c>
      <c r="B227" s="2" t="inlineStr">
        <is>
          <t>KOS Harian/blnan Murah-Linns house</t>
        </is>
      </c>
      <c r="C227" s="2" t="n">
        <v>203839</v>
      </c>
      <c r="D227" s="2" t="n">
        <v>-7.9352059</v>
      </c>
      <c r="E227" s="2" t="n">
        <v>112.6352951</v>
      </c>
      <c r="F227" s="3">
        <f>(C227 - $B$367) / $B$368</f>
        <v/>
      </c>
      <c r="G227" s="2">
        <f>IF(F227&lt;-0.5,"Murah",IF(F227&lt;0.5,"Sedang","Mahal"))</f>
        <v/>
      </c>
    </row>
    <row r="228">
      <c r="A228" s="2" t="n">
        <v>227</v>
      </c>
      <c r="B228" s="2" t="inlineStr">
        <is>
          <t>YUTAKA INN Araya Malang</t>
        </is>
      </c>
      <c r="C228" s="2" t="n">
        <v>132678</v>
      </c>
      <c r="D228" s="2" t="n">
        <v>-7.9359533</v>
      </c>
      <c r="E228" s="2" t="n">
        <v>112.6495324</v>
      </c>
      <c r="F228" s="3">
        <f>(C228 - $B$367) / $B$368</f>
        <v/>
      </c>
      <c r="G228" s="2">
        <f>IF(F228&lt;-0.5,"Murah",IF(F228&lt;0.5,"Sedang","Mahal"))</f>
        <v/>
      </c>
    </row>
    <row r="229">
      <c r="A229" s="2" t="n">
        <v>228</v>
      </c>
      <c r="B229" s="2" t="inlineStr">
        <is>
          <t>MADOR Malang Dorm Hostel</t>
        </is>
      </c>
      <c r="C229" s="2" t="n">
        <v>201102</v>
      </c>
      <c r="D229" s="2" t="n">
        <v>-7.9881738</v>
      </c>
      <c r="E229" s="2" t="n">
        <v>112.6351839</v>
      </c>
      <c r="F229" s="3">
        <f>(C229 - $B$367) / $B$368</f>
        <v/>
      </c>
      <c r="G229" s="2">
        <f>IF(F229&lt;-0.5,"Murah",IF(F229&lt;0.5,"Sedang","Mahal"))</f>
        <v/>
      </c>
    </row>
    <row r="230">
      <c r="A230" s="2" t="n">
        <v>229</v>
      </c>
      <c r="B230" s="2" t="inlineStr">
        <is>
          <t>Novon Family Hotel By Tripletree</t>
        </is>
      </c>
      <c r="C230" s="2" t="n">
        <v>300995</v>
      </c>
      <c r="D230" s="2" t="n">
        <v>-7.9308117</v>
      </c>
      <c r="E230" s="2" t="n">
        <v>112.6524642</v>
      </c>
      <c r="F230" s="3">
        <f>(C230 - $B$367) / $B$368</f>
        <v/>
      </c>
      <c r="G230" s="2">
        <f>IF(F230&lt;-0.5,"Murah",IF(F230&lt;0.5,"Sedang","Mahal"))</f>
        <v/>
      </c>
    </row>
    <row r="231">
      <c r="A231" s="2" t="n">
        <v>230</v>
      </c>
      <c r="B231" s="2" t="inlineStr">
        <is>
          <t>Terima Kasih Malang by Zzz (TKM)</t>
        </is>
      </c>
      <c r="C231" s="2" t="n">
        <v>265576</v>
      </c>
      <c r="D231" s="2" t="n">
        <v>-7.9659045</v>
      </c>
      <c r="E231" s="2" t="n">
        <v>112.649378</v>
      </c>
      <c r="F231" s="3">
        <f>(C231 - $B$367) / $B$368</f>
        <v/>
      </c>
      <c r="G231" s="2">
        <f>IF(F231&lt;-0.5,"Murah",IF(F231&lt;0.5,"Sedang","Mahal"))</f>
        <v/>
      </c>
    </row>
    <row r="232">
      <c r="A232" s="2" t="n">
        <v>231</v>
      </c>
      <c r="B232" s="2" t="inlineStr">
        <is>
          <t>Simple Stay</t>
        </is>
      </c>
      <c r="C232" s="2" t="n">
        <v>381517</v>
      </c>
      <c r="D232" s="2" t="n">
        <v>-7.9467613</v>
      </c>
      <c r="E232" s="2" t="n">
        <v>112.6327319</v>
      </c>
      <c r="F232" s="3">
        <f>(C232 - $B$367) / $B$368</f>
        <v/>
      </c>
      <c r="G232" s="2">
        <f>IF(F232&lt;-0.5,"Murah",IF(F232&lt;0.5,"Sedang","Mahal"))</f>
        <v/>
      </c>
    </row>
    <row r="233">
      <c r="A233" s="2" t="n">
        <v>232</v>
      </c>
      <c r="B233" s="2" t="inlineStr">
        <is>
          <t>Mahveen Family Guest House Syariah</t>
        </is>
      </c>
      <c r="C233" s="2" t="n">
        <v>36239</v>
      </c>
      <c r="D233" s="2" t="n">
        <v>-7.9337163</v>
      </c>
      <c r="E233" s="2" t="n">
        <v>112.6191161</v>
      </c>
      <c r="F233" s="3">
        <f>(C233 - $B$367) / $B$368</f>
        <v/>
      </c>
      <c r="G233" s="2">
        <f>IF(F233&lt;-0.5,"Murah",IF(F233&lt;0.5,"Sedang","Mahal"))</f>
        <v/>
      </c>
    </row>
    <row r="234">
      <c r="A234" s="2" t="n">
        <v>233</v>
      </c>
      <c r="B234" s="2" t="inlineStr">
        <is>
          <t>RedDoorz @ Simpang Borobudur</t>
        </is>
      </c>
      <c r="C234" s="2" t="n">
        <v>486333</v>
      </c>
      <c r="D234" s="2" t="n">
        <v>-7.9367994</v>
      </c>
      <c r="E234" s="2" t="n">
        <v>112.638996</v>
      </c>
      <c r="F234" s="3">
        <f>(C234 - $B$367) / $B$368</f>
        <v/>
      </c>
      <c r="G234" s="2">
        <f>IF(F234&lt;-0.5,"Murah",IF(F234&lt;0.5,"Sedang","Mahal"))</f>
        <v/>
      </c>
    </row>
    <row r="235">
      <c r="A235" s="2" t="n">
        <v>234</v>
      </c>
      <c r="B235" s="2" t="inlineStr">
        <is>
          <t>Smart Tlogomas Syariah</t>
        </is>
      </c>
      <c r="C235" s="2" t="n">
        <v>368550</v>
      </c>
      <c r="D235" s="2" t="n">
        <v>-7.9343441</v>
      </c>
      <c r="E235" s="2" t="n">
        <v>112.6031137</v>
      </c>
      <c r="F235" s="3">
        <f>(C235 - $B$367) / $B$368</f>
        <v/>
      </c>
      <c r="G235" s="2">
        <f>IF(F235&lt;-0.5,"Murah",IF(F235&lt;0.5,"Sedang","Mahal"))</f>
        <v/>
      </c>
    </row>
    <row r="236">
      <c r="A236" s="2" t="n">
        <v>235</v>
      </c>
      <c r="B236" s="2" t="inlineStr">
        <is>
          <t>RedDoorz Hostel near Malang Train Station 3</t>
        </is>
      </c>
      <c r="C236" s="2" t="n">
        <v>381971</v>
      </c>
      <c r="D236" s="2" t="n">
        <v>-7.9762923</v>
      </c>
      <c r="E236" s="2" t="n">
        <v>112.6300843</v>
      </c>
      <c r="F236" s="3">
        <f>(C236 - $B$367) / $B$368</f>
        <v/>
      </c>
      <c r="G236" s="2">
        <f>IF(F236&lt;-0.5,"Murah",IF(F236&lt;0.5,"Sedang","Mahal"))</f>
        <v/>
      </c>
    </row>
    <row r="237">
      <c r="A237" s="2" t="n">
        <v>236</v>
      </c>
      <c r="B237" s="2" t="inlineStr">
        <is>
          <t>Bobopod Alun-Alun, Malang</t>
        </is>
      </c>
      <c r="C237" s="2" t="n">
        <v>303362</v>
      </c>
      <c r="D237" s="2" t="n">
        <v>-7.9835318</v>
      </c>
      <c r="E237" s="2" t="n">
        <v>112.6301217</v>
      </c>
      <c r="F237" s="3">
        <f>(C237 - $B$367) / $B$368</f>
        <v/>
      </c>
      <c r="G237" s="2">
        <f>IF(F237&lt;-0.5,"Murah",IF(F237&lt;0.5,"Sedang","Mahal"))</f>
        <v/>
      </c>
    </row>
    <row r="238">
      <c r="A238" s="2" t="n">
        <v>237</v>
      </c>
      <c r="B238" s="2" t="inlineStr">
        <is>
          <t>Kedung Ombo Homestay</t>
        </is>
      </c>
      <c r="C238" s="2" t="n">
        <v>445430</v>
      </c>
      <c r="D238" s="2" t="n">
        <v>-7.9591389</v>
      </c>
      <c r="E238" s="2" t="n">
        <v>112.6118103</v>
      </c>
      <c r="F238" s="3">
        <f>(C238 - $B$367) / $B$368</f>
        <v/>
      </c>
      <c r="G238" s="2">
        <f>IF(F238&lt;-0.5,"Murah",IF(F238&lt;0.5,"Sedang","Mahal"))</f>
        <v/>
      </c>
    </row>
    <row r="239">
      <c r="A239" s="2" t="n">
        <v>238</v>
      </c>
      <c r="B239" s="2" t="inlineStr">
        <is>
          <t>RedDoorz Syariah near RRI Malang</t>
        </is>
      </c>
      <c r="C239" s="2" t="n">
        <v>254889</v>
      </c>
      <c r="D239" s="2" t="n">
        <v>-7.9352717</v>
      </c>
      <c r="E239" s="2" t="n">
        <v>112.6175183</v>
      </c>
      <c r="F239" s="3">
        <f>(C239 - $B$367) / $B$368</f>
        <v/>
      </c>
      <c r="G239" s="2">
        <f>IF(F239&lt;-0.5,"Murah",IF(F239&lt;0.5,"Sedang","Mahal"))</f>
        <v/>
      </c>
    </row>
    <row r="240">
      <c r="A240" s="2" t="n">
        <v>239</v>
      </c>
      <c r="B240" s="2" t="inlineStr">
        <is>
          <t>LUMIERE GUEST HOUSE</t>
        </is>
      </c>
      <c r="C240" s="2" t="n">
        <v>147420</v>
      </c>
      <c r="D240" s="2" t="n">
        <v>-7.9853322</v>
      </c>
      <c r="E240" s="2" t="n">
        <v>112.6298692</v>
      </c>
      <c r="F240" s="3">
        <f>(C240 - $B$367) / $B$368</f>
        <v/>
      </c>
      <c r="G240" s="2">
        <f>IF(F240&lt;-0.5,"Murah",IF(F240&lt;0.5,"Sedang","Mahal"))</f>
        <v/>
      </c>
    </row>
    <row r="241">
      <c r="A241" s="2" t="n">
        <v>240</v>
      </c>
      <c r="B241" s="2" t="inlineStr">
        <is>
          <t>YUTAKA INN Dinoyo Malang</t>
        </is>
      </c>
      <c r="C241" s="2" t="n">
        <v>128851</v>
      </c>
      <c r="D241" s="2" t="n">
        <v>-7.9398561</v>
      </c>
      <c r="E241" s="2" t="n">
        <v>112.6047319</v>
      </c>
      <c r="F241" s="3">
        <f>(C241 - $B$367) / $B$368</f>
        <v/>
      </c>
      <c r="G241" s="2">
        <f>IF(F241&lt;-0.5,"Murah",IF(F241&lt;0.5,"Sedang","Mahal"))</f>
        <v/>
      </c>
    </row>
    <row r="242">
      <c r="A242" s="2" t="n">
        <v>241</v>
      </c>
      <c r="B242" s="2" t="inlineStr">
        <is>
          <t>Sans Hotel La Vida Malang</t>
        </is>
      </c>
      <c r="C242" s="2" t="n">
        <v>398364</v>
      </c>
      <c r="D242" s="2" t="n">
        <v>-7.9745474</v>
      </c>
      <c r="E242" s="2" t="n">
        <v>112.6556206</v>
      </c>
      <c r="F242" s="3">
        <f>(C242 - $B$367) / $B$368</f>
        <v/>
      </c>
      <c r="G242" s="2">
        <f>IF(F242&lt;-0.5,"Murah",IF(F242&lt;0.5,"Sedang","Mahal"))</f>
        <v/>
      </c>
    </row>
    <row r="243">
      <c r="A243" s="2" t="n">
        <v>242</v>
      </c>
      <c r="B243" s="2" t="inlineStr">
        <is>
          <t>Roomy guesthouse</t>
        </is>
      </c>
      <c r="C243" s="2" t="n">
        <v>315000</v>
      </c>
      <c r="D243" s="2" t="n">
        <v>-7.9209675</v>
      </c>
      <c r="E243" s="2" t="n">
        <v>112.5946975</v>
      </c>
      <c r="F243" s="3">
        <f>(C243 - $B$367) / $B$368</f>
        <v/>
      </c>
      <c r="G243" s="2">
        <f>IF(F243&lt;-0.5,"Murah",IF(F243&lt;0.5,"Sedang","Mahal"))</f>
        <v/>
      </c>
    </row>
    <row r="244">
      <c r="A244" s="2" t="n">
        <v>243</v>
      </c>
      <c r="B244" s="2" t="inlineStr">
        <is>
          <t>Riche Heritage Hotel</t>
        </is>
      </c>
      <c r="C244" s="2" t="n">
        <v>294840</v>
      </c>
      <c r="D244" s="2" t="n">
        <v>-7.9813684</v>
      </c>
      <c r="E244" s="2" t="n">
        <v>112.630201</v>
      </c>
      <c r="F244" s="3">
        <f>(C244 - $B$367) / $B$368</f>
        <v/>
      </c>
      <c r="G244" s="2">
        <f>IF(F244&lt;-0.5,"Murah",IF(F244&lt;0.5,"Sedang","Mahal"))</f>
        <v/>
      </c>
    </row>
    <row r="245">
      <c r="A245" s="2" t="n">
        <v>244</v>
      </c>
      <c r="B245" s="2" t="inlineStr">
        <is>
          <t>Grand Kadaka Syariah</t>
        </is>
      </c>
      <c r="C245" s="2" t="n">
        <v>156634</v>
      </c>
      <c r="D245" s="2" t="n">
        <v>-7.9456395</v>
      </c>
      <c r="E245" s="2" t="n">
        <v>112.6197856</v>
      </c>
      <c r="F245" s="3">
        <f>(C245 - $B$367) / $B$368</f>
        <v/>
      </c>
      <c r="G245" s="2">
        <f>IF(F245&lt;-0.5,"Murah",IF(F245&lt;0.5,"Sedang","Mahal"))</f>
        <v/>
      </c>
    </row>
    <row r="246">
      <c r="A246" s="2" t="n">
        <v>245</v>
      </c>
      <c r="B246" s="2" t="inlineStr">
        <is>
          <t>Kalakoala by Zzz</t>
        </is>
      </c>
      <c r="C246" s="2" t="n">
        <v>265576</v>
      </c>
      <c r="D246" s="2" t="n">
        <v>-7.9560956</v>
      </c>
      <c r="E246" s="2" t="n">
        <v>112.6492091</v>
      </c>
      <c r="F246" s="3">
        <f>(C246 - $B$367) / $B$368</f>
        <v/>
      </c>
      <c r="G246" s="2">
        <f>IF(F246&lt;-0.5,"Murah",IF(F246&lt;0.5,"Sedang","Mahal"))</f>
        <v/>
      </c>
    </row>
    <row r="247">
      <c r="A247" s="2" t="n">
        <v>246</v>
      </c>
      <c r="B247" s="2" t="inlineStr">
        <is>
          <t>Condro Wulan Hostel</t>
        </is>
      </c>
      <c r="C247" s="2" t="n">
        <v>36239</v>
      </c>
      <c r="D247" s="2" t="n">
        <v>-7.9943298</v>
      </c>
      <c r="E247" s="2" t="n">
        <v>112.6800647</v>
      </c>
      <c r="F247" s="3">
        <f>(C247 - $B$367) / $B$368</f>
        <v/>
      </c>
      <c r="G247" s="2">
        <f>IF(F247&lt;-0.5,"Murah",IF(F247&lt;0.5,"Sedang","Mahal"))</f>
        <v/>
      </c>
    </row>
    <row r="248">
      <c r="A248" s="2" t="n">
        <v>247</v>
      </c>
      <c r="B248" s="2" t="inlineStr">
        <is>
          <t>RedDoorz near Malang Creative Center</t>
        </is>
      </c>
      <c r="C248" s="2" t="n">
        <v>387723</v>
      </c>
      <c r="D248" s="2" t="n">
        <v>-7.9352241</v>
      </c>
      <c r="E248" s="2" t="n">
        <v>112.6375664</v>
      </c>
      <c r="F248" s="3">
        <f>(C248 - $B$367) / $B$368</f>
        <v/>
      </c>
      <c r="G248" s="2">
        <f>IF(F248&lt;-0.5,"Murah",IF(F248&lt;0.5,"Sedang","Mahal"))</f>
        <v/>
      </c>
    </row>
    <row r="249">
      <c r="A249" s="2" t="n">
        <v>248</v>
      </c>
      <c r="B249" s="2" t="inlineStr">
        <is>
          <t>SIMPANG HOMESTAY &amp; KOZZ</t>
        </is>
      </c>
      <c r="C249" s="2" t="n">
        <v>184275</v>
      </c>
      <c r="D249" s="2" t="n">
        <v>-7.9370428</v>
      </c>
      <c r="E249" s="2" t="n">
        <v>112.6375024</v>
      </c>
      <c r="F249" s="3">
        <f>(C249 - $B$367) / $B$368</f>
        <v/>
      </c>
      <c r="G249" s="2">
        <f>IF(F249&lt;-0.5,"Murah",IF(F249&lt;0.5,"Sedang","Mahal"))</f>
        <v/>
      </c>
    </row>
    <row r="250">
      <c r="A250" s="2" t="n">
        <v>249</v>
      </c>
      <c r="B250" s="2" t="inlineStr">
        <is>
          <t>Neomi Homestay Malang (CV.Neomi perdana sukse)</t>
        </is>
      </c>
      <c r="C250" s="2" t="n">
        <v>266157</v>
      </c>
      <c r="D250" s="2" t="n">
        <v>-7.9419521</v>
      </c>
      <c r="E250" s="2" t="n">
        <v>112.6588887</v>
      </c>
      <c r="F250" s="3">
        <f>(C250 - $B$367) / $B$368</f>
        <v/>
      </c>
      <c r="G250" s="2">
        <f>IF(F250&lt;-0.5,"Murah",IF(F250&lt;0.5,"Sedang","Mahal"))</f>
        <v/>
      </c>
    </row>
    <row r="251">
      <c r="A251" s="2" t="n">
        <v>250</v>
      </c>
      <c r="B251" s="2" t="inlineStr">
        <is>
          <t>Hotel O Sumpil Syariah</t>
        </is>
      </c>
      <c r="C251" s="2" t="n">
        <v>211964</v>
      </c>
      <c r="D251" s="2" t="n">
        <v>-7.934397</v>
      </c>
      <c r="E251" s="2" t="n">
        <v>112.645338</v>
      </c>
      <c r="F251" s="3">
        <f>(C251 - $B$367) / $B$368</f>
        <v/>
      </c>
      <c r="G251" s="2">
        <f>IF(F251&lt;-0.5,"Murah",IF(F251&lt;0.5,"Sedang","Mahal"))</f>
        <v/>
      </c>
    </row>
    <row r="252">
      <c r="A252" s="2" t="n">
        <v>251</v>
      </c>
      <c r="B252" s="2" t="inlineStr">
        <is>
          <t>RedDoorz Syariah near Exit Tol Malang</t>
        </is>
      </c>
      <c r="C252" s="2" t="n">
        <v>387711</v>
      </c>
      <c r="D252" s="2" t="n">
        <v>-7.9815329</v>
      </c>
      <c r="E252" s="2" t="n">
        <v>112.6830877</v>
      </c>
      <c r="F252" s="3">
        <f>(C252 - $B$367) / $B$368</f>
        <v/>
      </c>
      <c r="G252" s="2">
        <f>IF(F252&lt;-0.5,"Murah",IF(F252&lt;0.5,"Sedang","Mahal"))</f>
        <v/>
      </c>
    </row>
    <row r="253">
      <c r="A253" s="2" t="n">
        <v>252</v>
      </c>
      <c r="B253" s="2" t="inlineStr">
        <is>
          <t>Townhouse Oak Malang near ITN Malang</t>
        </is>
      </c>
      <c r="C253" s="2" t="n">
        <v>204451</v>
      </c>
      <c r="D253" s="2" t="n">
        <v>-7.911063</v>
      </c>
      <c r="E253" s="2" t="n">
        <v>112.635804</v>
      </c>
      <c r="F253" s="3">
        <f>(C253 - $B$367) / $B$368</f>
        <v/>
      </c>
      <c r="G253" s="2">
        <f>IF(F253&lt;-0.5,"Murah",IF(F253&lt;0.5,"Sedang","Mahal"))</f>
        <v/>
      </c>
    </row>
    <row r="254">
      <c r="A254" s="2" t="n">
        <v>253</v>
      </c>
      <c r="B254" s="2" t="inlineStr">
        <is>
          <t>Linn's House Syariah</t>
        </is>
      </c>
      <c r="C254" s="2" t="n">
        <v>203839</v>
      </c>
      <c r="D254" s="2" t="n">
        <v>-7.9351032</v>
      </c>
      <c r="E254" s="2" t="n">
        <v>112.6353015</v>
      </c>
      <c r="F254" s="3">
        <f>(C254 - $B$367) / $B$368</f>
        <v/>
      </c>
      <c r="G254" s="2">
        <f>IF(F254&lt;-0.5,"Murah",IF(F254&lt;0.5,"Sedang","Mahal"))</f>
        <v/>
      </c>
    </row>
    <row r="255">
      <c r="A255" s="2" t="n">
        <v>254</v>
      </c>
      <c r="B255" s="2" t="inlineStr">
        <is>
          <t>Velodrome Family House</t>
        </is>
      </c>
      <c r="C255" s="2" t="n">
        <v>45892</v>
      </c>
      <c r="D255" s="2" t="n">
        <v>-7.9723858</v>
      </c>
      <c r="E255" s="2" t="n">
        <v>112.6709966</v>
      </c>
      <c r="F255" s="3">
        <f>(C255 - $B$367) / $B$368</f>
        <v/>
      </c>
      <c r="G255" s="2">
        <f>IF(F255&lt;-0.5,"Murah",IF(F255&lt;0.5,"Sedang","Mahal"))</f>
        <v/>
      </c>
    </row>
    <row r="256">
      <c r="A256" s="2" t="n">
        <v>255</v>
      </c>
      <c r="B256" s="2" t="inlineStr">
        <is>
          <t>RedDoorz near Sanan Malang</t>
        </is>
      </c>
      <c r="C256" s="2" t="n">
        <v>385421</v>
      </c>
      <c r="D256" s="2" t="n">
        <v>-7.9587634</v>
      </c>
      <c r="E256" s="2" t="n">
        <v>112.6431786</v>
      </c>
      <c r="F256" s="3">
        <f>(C256 - $B$367) / $B$368</f>
        <v/>
      </c>
      <c r="G256" s="2">
        <f>IF(F256&lt;-0.5,"Murah",IF(F256&lt;0.5,"Sedang","Mahal"))</f>
        <v/>
      </c>
    </row>
    <row r="257">
      <c r="A257" s="2" t="n">
        <v>256</v>
      </c>
      <c r="B257" s="2" t="inlineStr">
        <is>
          <t>SOWAN Boutique Guest House Syariah</t>
        </is>
      </c>
      <c r="C257" s="2" t="n">
        <v>238329</v>
      </c>
      <c r="D257" s="2" t="n">
        <v>-7.9697672</v>
      </c>
      <c r="E257" s="2" t="n">
        <v>112.6654621</v>
      </c>
      <c r="F257" s="3">
        <f>(C257 - $B$367) / $B$368</f>
        <v/>
      </c>
      <c r="G257" s="2">
        <f>IF(F257&lt;-0.5,"Murah",IF(F257&lt;0.5,"Sedang","Mahal"))</f>
        <v/>
      </c>
    </row>
    <row r="258">
      <c r="A258" s="2" t="n">
        <v>257</v>
      </c>
      <c r="B258" s="2" t="inlineStr">
        <is>
          <t>Homestay Kateza</t>
        </is>
      </c>
      <c r="C258" s="2" t="n">
        <v>196560</v>
      </c>
      <c r="D258" s="2" t="n">
        <v>-7.9612417</v>
      </c>
      <c r="E258" s="2" t="n">
        <v>112.6122526</v>
      </c>
      <c r="F258" s="3">
        <f>(C258 - $B$367) / $B$368</f>
        <v/>
      </c>
      <c r="G258" s="2">
        <f>IF(F258&lt;-0.5,"Murah",IF(F258&lt;0.5,"Sedang","Mahal"))</f>
        <v/>
      </c>
    </row>
    <row r="259">
      <c r="A259" s="2" t="n">
        <v>258</v>
      </c>
      <c r="B259" s="2" t="inlineStr">
        <is>
          <t>Nipa Guest House near Universitas Widyagama Mitra</t>
        </is>
      </c>
      <c r="C259" s="2" t="n">
        <v>115850</v>
      </c>
      <c r="D259" s="2" t="n">
        <v>-7.9367337</v>
      </c>
      <c r="E259" s="2" t="n">
        <v>112.6340937</v>
      </c>
      <c r="F259" s="3">
        <f>(C259 - $B$367) / $B$368</f>
        <v/>
      </c>
      <c r="G259" s="2">
        <f>IF(F259&lt;-0.5,"Murah",IF(F259&lt;0.5,"Sedang","Mahal"))</f>
        <v/>
      </c>
    </row>
    <row r="260">
      <c r="A260" s="2" t="n">
        <v>259</v>
      </c>
      <c r="B260" s="2" t="inlineStr">
        <is>
          <t>Rumah Larasati</t>
        </is>
      </c>
      <c r="C260" s="2" t="n">
        <v>301248</v>
      </c>
      <c r="D260" s="2" t="n">
        <v>-7.9762512</v>
      </c>
      <c r="E260" s="2" t="n">
        <v>112.6168217</v>
      </c>
      <c r="F260" s="3">
        <f>(C260 - $B$367) / $B$368</f>
        <v/>
      </c>
      <c r="G260" s="2">
        <f>IF(F260&lt;-0.5,"Murah",IF(F260&lt;0.5,"Sedang","Mahal"))</f>
        <v/>
      </c>
    </row>
    <row r="261">
      <c r="A261" s="2" t="n">
        <v>260</v>
      </c>
      <c r="B261" s="2" t="inlineStr">
        <is>
          <t>One &amp; Quin Guest House Syariah</t>
        </is>
      </c>
      <c r="C261" s="2" t="n">
        <v>435660</v>
      </c>
      <c r="D261" s="2" t="n">
        <v>-7.9520598</v>
      </c>
      <c r="E261" s="2" t="n">
        <v>112.6033975</v>
      </c>
      <c r="F261" s="3">
        <f>(C261 - $B$367) / $B$368</f>
        <v/>
      </c>
      <c r="G261" s="2">
        <f>IF(F261&lt;-0.5,"Murah",IF(F261&lt;0.5,"Sedang","Mahal"))</f>
        <v/>
      </c>
    </row>
    <row r="262">
      <c r="A262" s="2" t="n">
        <v>261</v>
      </c>
      <c r="B262" s="2" t="inlineStr">
        <is>
          <t>Fariz Hotel Malang</t>
        </is>
      </c>
      <c r="C262" s="2" t="n">
        <v>307051</v>
      </c>
      <c r="D262" s="2" t="n">
        <v>-7.9110727</v>
      </c>
      <c r="E262" s="2" t="n">
        <v>112.6358414</v>
      </c>
      <c r="F262" s="3">
        <f>(C262 - $B$367) / $B$368</f>
        <v/>
      </c>
      <c r="G262" s="2">
        <f>IF(F262&lt;-0.5,"Murah",IF(F262&lt;0.5,"Sedang","Mahal"))</f>
        <v/>
      </c>
    </row>
    <row r="263">
      <c r="A263" s="2" t="n">
        <v>262</v>
      </c>
      <c r="B263" s="2" t="inlineStr">
        <is>
          <t>RedDoorz raya tidar</t>
        </is>
      </c>
      <c r="C263" s="2" t="n">
        <v>404016</v>
      </c>
      <c r="D263" s="2" t="n">
        <v>-7.9669811</v>
      </c>
      <c r="E263" s="2" t="n">
        <v>112.6132614</v>
      </c>
      <c r="F263" s="3">
        <f>(C263 - $B$367) / $B$368</f>
        <v/>
      </c>
      <c r="G263" s="2">
        <f>IF(F263&lt;-0.5,"Murah",IF(F263&lt;0.5,"Sedang","Mahal"))</f>
        <v/>
      </c>
    </row>
    <row r="264">
      <c r="A264" s="2" t="n">
        <v>263</v>
      </c>
      <c r="B264" s="2" t="inlineStr">
        <is>
          <t>Tya Family Guest House</t>
        </is>
      </c>
      <c r="C264" s="2" t="n">
        <v>163800</v>
      </c>
      <c r="D264" s="2" t="n">
        <v>-7.9383559</v>
      </c>
      <c r="E264" s="2" t="n">
        <v>112.5885009</v>
      </c>
      <c r="F264" s="3">
        <f>(C264 - $B$367) / $B$368</f>
        <v/>
      </c>
      <c r="G264" s="2">
        <f>IF(F264&lt;-0.5,"Murah",IF(F264&lt;0.5,"Sedang","Mahal"))</f>
        <v/>
      </c>
    </row>
    <row r="265">
      <c r="A265" s="2" t="n">
        <v>264</v>
      </c>
      <c r="B265" s="2" t="inlineStr">
        <is>
          <t>OYO Life 92620 Syfa Kost</t>
        </is>
      </c>
      <c r="C265" s="2" t="n">
        <v>45892</v>
      </c>
      <c r="D265" s="2" t="n">
        <v>-7.9228265</v>
      </c>
      <c r="E265" s="2" t="n">
        <v>112.5986025</v>
      </c>
      <c r="F265" s="3">
        <f>(C265 - $B$367) / $B$368</f>
        <v/>
      </c>
      <c r="G265" s="2">
        <f>IF(F265&lt;-0.5,"Murah",IF(F265&lt;0.5,"Sedang","Mahal"))</f>
        <v/>
      </c>
    </row>
    <row r="266">
      <c r="A266" s="2" t="n">
        <v>265</v>
      </c>
      <c r="B266" s="2" t="inlineStr">
        <is>
          <t>Karjo Homestay</t>
        </is>
      </c>
      <c r="C266" s="2" t="n">
        <v>199017</v>
      </c>
      <c r="D266" s="2" t="n">
        <v>-7.9613829</v>
      </c>
      <c r="E266" s="2" t="n">
        <v>112.653596</v>
      </c>
      <c r="F266" s="3">
        <f>(C266 - $B$367) / $B$368</f>
        <v/>
      </c>
      <c r="G266" s="2">
        <f>IF(F266&lt;-0.5,"Murah",IF(F266&lt;0.5,"Sedang","Mahal"))</f>
        <v/>
      </c>
    </row>
    <row r="267">
      <c r="A267" s="2" t="n">
        <v>266</v>
      </c>
      <c r="B267" s="2" t="inlineStr">
        <is>
          <t>OYO 3825 Lavender Sawojajar</t>
        </is>
      </c>
      <c r="C267" s="2" t="n">
        <v>36239</v>
      </c>
      <c r="D267" s="2" t="n">
        <v>-7.9724022</v>
      </c>
      <c r="E267" s="2" t="n">
        <v>112.6591519</v>
      </c>
      <c r="F267" s="3">
        <f>(C267 - $B$367) / $B$368</f>
        <v/>
      </c>
      <c r="G267" s="2">
        <f>IF(F267&lt;-0.5,"Murah",IF(F267&lt;0.5,"Sedang","Mahal"))</f>
        <v/>
      </c>
    </row>
    <row r="268">
      <c r="A268" s="2" t="n">
        <v>267</v>
      </c>
      <c r="B268" s="2" t="inlineStr">
        <is>
          <t>Homestay Gayatri Sawojajar near Univ. Negeri Malang Kampus 2 Mitra RedDoorz</t>
        </is>
      </c>
      <c r="C268" s="2" t="n">
        <v>476914</v>
      </c>
      <c r="D268" s="2" t="n">
        <v>-7.9774828</v>
      </c>
      <c r="E268" s="2" t="n">
        <v>112.6673981</v>
      </c>
      <c r="F268" s="3">
        <f>(C268 - $B$367) / $B$368</f>
        <v/>
      </c>
      <c r="G268" s="2">
        <f>IF(F268&lt;-0.5,"Murah",IF(F268&lt;0.5,"Sedang","Mahal"))</f>
        <v/>
      </c>
    </row>
    <row r="269">
      <c r="A269" s="2" t="n">
        <v>268</v>
      </c>
      <c r="B269" s="2" t="inlineStr">
        <is>
          <t>SM Guest House Malang Mitra RedDoorz</t>
        </is>
      </c>
      <c r="C269" s="2" t="n">
        <v>589609</v>
      </c>
      <c r="D269" s="2" t="n">
        <v>-7.9322731</v>
      </c>
      <c r="E269" s="2" t="n">
        <v>112.629404</v>
      </c>
      <c r="F269" s="3">
        <f>(C269 - $B$367) / $B$368</f>
        <v/>
      </c>
      <c r="G269" s="2">
        <f>IF(F269&lt;-0.5,"Murah",IF(F269&lt;0.5,"Sedang","Mahal"))</f>
        <v/>
      </c>
    </row>
    <row r="270">
      <c r="A270" s="2" t="n">
        <v>269</v>
      </c>
      <c r="B270" s="2" t="inlineStr">
        <is>
          <t>Safa Guest House</t>
        </is>
      </c>
      <c r="C270" s="2" t="n">
        <v>117447</v>
      </c>
      <c r="D270" s="2" t="n">
        <v>-7.9723516</v>
      </c>
      <c r="E270" s="2" t="n">
        <v>112.6627635</v>
      </c>
      <c r="F270" s="3">
        <f>(C270 - $B$367) / $B$368</f>
        <v/>
      </c>
      <c r="G270" s="2">
        <f>IF(F270&lt;-0.5,"Murah",IF(F270&lt;0.5,"Sedang","Mahal"))</f>
        <v/>
      </c>
    </row>
    <row r="271">
      <c r="A271" s="2" t="n">
        <v>270</v>
      </c>
      <c r="B271" s="2" t="inlineStr">
        <is>
          <t>Urbanview Hotel Gangnam near Mall Olympic Garden</t>
        </is>
      </c>
      <c r="C271" s="2" t="n">
        <v>315490</v>
      </c>
      <c r="D271" s="2" t="n">
        <v>-7.9721283</v>
      </c>
      <c r="E271" s="2" t="n">
        <v>112.61349</v>
      </c>
      <c r="F271" s="3">
        <f>(C271 - $B$367) / $B$368</f>
        <v/>
      </c>
      <c r="G271" s="2">
        <f>IF(F271&lt;-0.5,"Murah",IF(F271&lt;0.5,"Sedang","Mahal"))</f>
        <v/>
      </c>
    </row>
    <row r="272">
      <c r="A272" s="2" t="n">
        <v>271</v>
      </c>
      <c r="B272" s="2" t="inlineStr">
        <is>
          <t>AMALIA Guest House &amp; Cafe</t>
        </is>
      </c>
      <c r="C272" s="2" t="n">
        <v>281083</v>
      </c>
      <c r="D272" s="2" t="n">
        <v>-7.9677916</v>
      </c>
      <c r="E272" s="2" t="n">
        <v>112.6262086</v>
      </c>
      <c r="F272" s="3">
        <f>(C272 - $B$367) / $B$368</f>
        <v/>
      </c>
      <c r="G272" s="2">
        <f>IF(F272&lt;-0.5,"Murah",IF(F272&lt;0.5,"Sedang","Mahal"))</f>
        <v/>
      </c>
    </row>
    <row r="273">
      <c r="A273" s="2" t="n">
        <v>272</v>
      </c>
      <c r="B273" s="2" t="inlineStr">
        <is>
          <t>Sans Hotel Bobosini Malang</t>
        </is>
      </c>
      <c r="C273" s="2" t="n">
        <v>479690</v>
      </c>
      <c r="D273" s="2" t="n">
        <v>-7.9384694</v>
      </c>
      <c r="E273" s="2" t="n">
        <v>112.6333312</v>
      </c>
      <c r="F273" s="3">
        <f>(C273 - $B$367) / $B$368</f>
        <v/>
      </c>
      <c r="G273" s="2">
        <f>IF(F273&lt;-0.5,"Murah",IF(F273&lt;0.5,"Sedang","Mahal"))</f>
        <v/>
      </c>
    </row>
    <row r="274">
      <c r="A274" s="2" t="n">
        <v>273</v>
      </c>
      <c r="B274" s="2" t="inlineStr">
        <is>
          <t>D'MAKTAB homestay &amp; cafe</t>
        </is>
      </c>
      <c r="C274" s="2" t="n">
        <v>36239</v>
      </c>
      <c r="D274" s="2" t="n">
        <v>-7.9509672</v>
      </c>
      <c r="E274" s="2" t="n">
        <v>112.6266273</v>
      </c>
      <c r="F274" s="3">
        <f>(C274 - $B$367) / $B$368</f>
        <v/>
      </c>
      <c r="G274" s="2">
        <f>IF(F274&lt;-0.5,"Murah",IF(F274&lt;0.5,"Sedang","Mahal"))</f>
        <v/>
      </c>
    </row>
    <row r="275">
      <c r="A275" s="2" t="n">
        <v>274</v>
      </c>
      <c r="B275" s="2" t="inlineStr">
        <is>
          <t>Plum Dreamscape Inan Malang</t>
        </is>
      </c>
      <c r="C275" s="2" t="n">
        <v>520661</v>
      </c>
      <c r="D275" s="2" t="n">
        <v>-7.9703265</v>
      </c>
      <c r="E275" s="2" t="n">
        <v>112.6352386</v>
      </c>
      <c r="F275" s="3">
        <f>(C275 - $B$367) / $B$368</f>
        <v/>
      </c>
      <c r="G275" s="2">
        <f>IF(F275&lt;-0.5,"Murah",IF(F275&lt;0.5,"Sedang","Mahal"))</f>
        <v/>
      </c>
    </row>
    <row r="276">
      <c r="A276" s="2" t="n">
        <v>275</v>
      </c>
      <c r="B276" s="2" t="inlineStr">
        <is>
          <t>Adisa Homestay</t>
        </is>
      </c>
      <c r="C276" s="2" t="n">
        <v>197188</v>
      </c>
      <c r="D276" s="2" t="n">
        <v>-7.9656722</v>
      </c>
      <c r="E276" s="2" t="n">
        <v>112.6319221</v>
      </c>
      <c r="F276" s="3">
        <f>(C276 - $B$367) / $B$368</f>
        <v/>
      </c>
      <c r="G276" s="2">
        <f>IF(F276&lt;-0.5,"Murah",IF(F276&lt;0.5,"Sedang","Mahal"))</f>
        <v/>
      </c>
    </row>
    <row r="277">
      <c r="A277" s="2" t="n">
        <v>276</v>
      </c>
      <c r="B277" s="2" t="inlineStr">
        <is>
          <t>Shelter Hostel Malang</t>
        </is>
      </c>
      <c r="C277" s="2" t="n">
        <v>300000</v>
      </c>
      <c r="D277" s="2" t="n">
        <v>-7.9734603</v>
      </c>
      <c r="E277" s="2" t="n">
        <v>112.634562</v>
      </c>
      <c r="F277" s="3">
        <f>(C277 - $B$367) / $B$368</f>
        <v/>
      </c>
      <c r="G277" s="2">
        <f>IF(F277&lt;-0.5,"Murah",IF(F277&lt;0.5,"Sedang","Mahal"))</f>
        <v/>
      </c>
    </row>
    <row r="278">
      <c r="A278" s="2" t="n">
        <v>277</v>
      </c>
      <c r="B278" s="2" t="inlineStr">
        <is>
          <t>OYO 90379 Holistay Malang</t>
        </is>
      </c>
      <c r="C278" s="2" t="n">
        <v>475007</v>
      </c>
      <c r="D278" s="2" t="n">
        <v>-7.9356437</v>
      </c>
      <c r="E278" s="2" t="n">
        <v>112.6495217</v>
      </c>
      <c r="F278" s="3">
        <f>(C278 - $B$367) / $B$368</f>
        <v/>
      </c>
      <c r="G278" s="2">
        <f>IF(F278&lt;-0.5,"Murah",IF(F278&lt;0.5,"Sedang","Mahal"))</f>
        <v/>
      </c>
    </row>
    <row r="279">
      <c r="A279" s="2" t="n">
        <v>278</v>
      </c>
      <c r="B279" s="2" t="inlineStr">
        <is>
          <t>RedDoorz @ Simple Stay Malang</t>
        </is>
      </c>
      <c r="C279" s="2" t="n">
        <v>381517</v>
      </c>
      <c r="D279" s="2" t="n">
        <v>-7.946813</v>
      </c>
      <c r="E279" s="2" t="n">
        <v>112.632688</v>
      </c>
      <c r="F279" s="3">
        <f>(C279 - $B$367) / $B$368</f>
        <v/>
      </c>
      <c r="G279" s="2">
        <f>IF(F279&lt;-0.5,"Murah",IF(F279&lt;0.5,"Sedang","Mahal"))</f>
        <v/>
      </c>
    </row>
    <row r="280">
      <c r="A280" s="2" t="n">
        <v>279</v>
      </c>
      <c r="B280" s="2" t="inlineStr">
        <is>
          <t>Reddoorz @ Ciliwung Guest House Syariah</t>
        </is>
      </c>
      <c r="C280" s="2" t="n">
        <v>486888</v>
      </c>
      <c r="D280" s="2" t="n">
        <v>-7.9526741</v>
      </c>
      <c r="E280" s="2" t="n">
        <v>112.6408287</v>
      </c>
      <c r="F280" s="3">
        <f>(C280 - $B$367) / $B$368</f>
        <v/>
      </c>
      <c r="G280" s="2">
        <f>IF(F280&lt;-0.5,"Murah",IF(F280&lt;0.5,"Sedang","Mahal"))</f>
        <v/>
      </c>
    </row>
    <row r="281">
      <c r="A281" s="2" t="n">
        <v>280</v>
      </c>
      <c r="B281" s="2" t="inlineStr">
        <is>
          <t>Yutaka Inn Suhat Raya Malang</t>
        </is>
      </c>
      <c r="C281" s="2" t="n">
        <v>124024</v>
      </c>
      <c r="D281" s="2" t="n">
        <v>-7.9392584</v>
      </c>
      <c r="E281" s="2" t="n">
        <v>112.625338</v>
      </c>
      <c r="F281" s="3">
        <f>(C281 - $B$367) / $B$368</f>
        <v/>
      </c>
      <c r="G281" s="2">
        <f>IF(F281&lt;-0.5,"Murah",IF(F281&lt;0.5,"Sedang","Mahal"))</f>
        <v/>
      </c>
    </row>
    <row r="282">
      <c r="A282" s="2" t="n">
        <v>281</v>
      </c>
      <c r="B282" s="2" t="inlineStr">
        <is>
          <t>D'Paragon Ijen Nirwana Malang</t>
        </is>
      </c>
      <c r="C282" s="2" t="n">
        <v>232546</v>
      </c>
      <c r="D282" s="2" t="n">
        <v>-7.9775474</v>
      </c>
      <c r="E282" s="2" t="n">
        <v>112.6195581</v>
      </c>
      <c r="F282" s="3">
        <f>(C282 - $B$367) / $B$368</f>
        <v/>
      </c>
      <c r="G282" s="2">
        <f>IF(F282&lt;-0.5,"Murah",IF(F282&lt;0.5,"Sedang","Mahal"))</f>
        <v/>
      </c>
    </row>
    <row r="283">
      <c r="A283" s="2" t="n">
        <v>282</v>
      </c>
      <c r="B283" s="2" t="inlineStr">
        <is>
          <t>Shini Guest House</t>
        </is>
      </c>
      <c r="C283" s="2" t="n">
        <v>36239</v>
      </c>
      <c r="D283" s="2" t="n">
        <v>-7.9347155</v>
      </c>
      <c r="E283" s="2" t="n">
        <v>112.6170637</v>
      </c>
      <c r="F283" s="3">
        <f>(C283 - $B$367) / $B$368</f>
        <v/>
      </c>
      <c r="G283" s="2">
        <f>IF(F283&lt;-0.5,"Murah",IF(F283&lt;0.5,"Sedang","Mahal"))</f>
        <v/>
      </c>
    </row>
    <row r="284">
      <c r="A284" s="2" t="n">
        <v>283</v>
      </c>
      <c r="B284" s="2" t="inlineStr">
        <is>
          <t>D'Paragon Songgolangit Malang</t>
        </is>
      </c>
      <c r="C284" s="2" t="n">
        <v>491400</v>
      </c>
      <c r="D284" s="2" t="n">
        <v>-7.946236</v>
      </c>
      <c r="E284" s="2" t="n">
        <v>112.623901</v>
      </c>
      <c r="F284" s="3">
        <f>(C284 - $B$367) / $B$368</f>
        <v/>
      </c>
      <c r="G284" s="2">
        <f>IF(F284&lt;-0.5,"Murah",IF(F284&lt;0.5,"Sedang","Mahal"))</f>
        <v/>
      </c>
    </row>
    <row r="285">
      <c r="A285" s="2" t="n">
        <v>284</v>
      </c>
      <c r="B285" s="2" t="inlineStr">
        <is>
          <t>Griya Kendedes Guest House &amp; Kos</t>
        </is>
      </c>
      <c r="C285" s="2" t="n">
        <v>414281</v>
      </c>
      <c r="D285" s="2" t="n">
        <v>-7.9447396</v>
      </c>
      <c r="E285" s="2" t="n">
        <v>112.6203666</v>
      </c>
      <c r="F285" s="3">
        <f>(C285 - $B$367) / $B$368</f>
        <v/>
      </c>
      <c r="G285" s="2">
        <f>IF(F285&lt;-0.5,"Murah",IF(F285&lt;0.5,"Sedang","Mahal"))</f>
        <v/>
      </c>
    </row>
    <row r="286">
      <c r="A286" s="2" t="n">
        <v>285</v>
      </c>
      <c r="B286" s="2" t="inlineStr">
        <is>
          <t>Fafana Syariah Mitra RedDoorz</t>
        </is>
      </c>
      <c r="C286" s="2" t="n">
        <v>156206</v>
      </c>
      <c r="D286" s="2" t="n">
        <v>-7.9572133</v>
      </c>
      <c r="E286" s="2" t="n">
        <v>112.6340556</v>
      </c>
      <c r="F286" s="3">
        <f>(C286 - $B$367) / $B$368</f>
        <v/>
      </c>
      <c r="G286" s="2">
        <f>IF(F286&lt;-0.5,"Murah",IF(F286&lt;0.5,"Sedang","Mahal"))</f>
        <v/>
      </c>
    </row>
    <row r="287">
      <c r="A287" s="2" t="n">
        <v>286</v>
      </c>
      <c r="B287" s="2" t="inlineStr">
        <is>
          <t>RedDoorz @ Jalan Kedawung</t>
        </is>
      </c>
      <c r="C287" s="2" t="n">
        <v>328462</v>
      </c>
      <c r="D287" s="2" t="n">
        <v>-7.9533803</v>
      </c>
      <c r="E287" s="2" t="n">
        <v>112.6370464</v>
      </c>
      <c r="F287" s="3">
        <f>(C287 - $B$367) / $B$368</f>
        <v/>
      </c>
      <c r="G287" s="2">
        <f>IF(F287&lt;-0.5,"Murah",IF(F287&lt;0.5,"Sedang","Mahal"))</f>
        <v/>
      </c>
    </row>
    <row r="288">
      <c r="A288" s="2" t="n">
        <v>287</v>
      </c>
      <c r="B288" s="2" t="inlineStr">
        <is>
          <t>Damar Boutique Hotel</t>
        </is>
      </c>
      <c r="C288" s="2" t="n">
        <v>253890</v>
      </c>
      <c r="D288" s="2" t="n">
        <v>-7.9526915</v>
      </c>
      <c r="E288" s="2" t="n">
        <v>112.6361312</v>
      </c>
      <c r="F288" s="3">
        <f>(C288 - $B$367) / $B$368</f>
        <v/>
      </c>
      <c r="G288" s="2">
        <f>IF(F288&lt;-0.5,"Murah",IF(F288&lt;0.5,"Sedang","Mahal"))</f>
        <v/>
      </c>
    </row>
    <row r="289">
      <c r="A289" s="2" t="n">
        <v>288</v>
      </c>
      <c r="B289" s="2" t="inlineStr">
        <is>
          <t>Little Malang Hostel</t>
        </is>
      </c>
      <c r="C289" s="2" t="n">
        <v>88219</v>
      </c>
      <c r="D289" s="2" t="n">
        <v>-7.9877661</v>
      </c>
      <c r="E289" s="2" t="n">
        <v>112.631538</v>
      </c>
      <c r="F289" s="3">
        <f>(C289 - $B$367) / $B$368</f>
        <v/>
      </c>
      <c r="G289" s="2">
        <f>IF(F289&lt;-0.5,"Murah",IF(F289&lt;0.5,"Sedang","Mahal"))</f>
        <v/>
      </c>
    </row>
    <row r="290">
      <c r="A290" s="2" t="n">
        <v>289</v>
      </c>
      <c r="B290" s="2" t="inlineStr">
        <is>
          <t>Reddoorz Near Universitas Widyagama Malang</t>
        </is>
      </c>
      <c r="C290" s="2" t="n">
        <v>329496</v>
      </c>
      <c r="D290" s="2" t="n">
        <v>-7.9366331</v>
      </c>
      <c r="E290" s="2" t="n">
        <v>112.6358111</v>
      </c>
      <c r="F290" s="3">
        <f>(C290 - $B$367) / $B$368</f>
        <v/>
      </c>
      <c r="G290" s="2">
        <f>IF(F290&lt;-0.5,"Murah",IF(F290&lt;0.5,"Sedang","Mahal"))</f>
        <v/>
      </c>
    </row>
    <row r="291">
      <c r="A291" s="2" t="n">
        <v>290</v>
      </c>
      <c r="B291" s="2" t="inlineStr">
        <is>
          <t>OYO Life 92621 Zain Kost</t>
        </is>
      </c>
      <c r="C291" s="2" t="n">
        <v>285714</v>
      </c>
      <c r="D291" s="2" t="n">
        <v>-7.9100314</v>
      </c>
      <c r="E291" s="2" t="n">
        <v>112.6368854</v>
      </c>
      <c r="F291" s="3">
        <f>(C291 - $B$367) / $B$368</f>
        <v/>
      </c>
      <c r="G291" s="2">
        <f>IF(F291&lt;-0.5,"Murah",IF(F291&lt;0.5,"Sedang","Mahal"))</f>
        <v/>
      </c>
    </row>
    <row r="292">
      <c r="A292" s="2" t="n">
        <v>291</v>
      </c>
      <c r="B292" s="2" t="inlineStr">
        <is>
          <t>Hotel O 94706 Rumah Kalimosodo</t>
        </is>
      </c>
      <c r="C292" s="2" t="n">
        <v>290083</v>
      </c>
      <c r="D292" s="2" t="n">
        <v>-7.98258</v>
      </c>
      <c r="E292" s="2" t="n">
        <v>112.649271</v>
      </c>
      <c r="F292" s="3">
        <f>(C292 - $B$367) / $B$368</f>
        <v/>
      </c>
      <c r="G292" s="2">
        <f>IF(F292&lt;-0.5,"Murah",IF(F292&lt;0.5,"Sedang","Mahal"))</f>
        <v/>
      </c>
    </row>
    <row r="293">
      <c r="A293" s="2" t="n">
        <v>292</v>
      </c>
      <c r="B293" s="2" t="inlineStr">
        <is>
          <t>RedDoorz near Universitas Widyagama Malang 2</t>
        </is>
      </c>
      <c r="C293" s="2" t="n">
        <v>479741</v>
      </c>
      <c r="D293" s="2" t="n">
        <v>-7.9370977</v>
      </c>
      <c r="E293" s="2" t="n">
        <v>112.635225</v>
      </c>
      <c r="F293" s="3">
        <f>(C293 - $B$367) / $B$368</f>
        <v/>
      </c>
      <c r="G293" s="2">
        <f>IF(F293&lt;-0.5,"Murah",IF(F293&lt;0.5,"Sedang","Mahal"))</f>
        <v/>
      </c>
    </row>
    <row r="294">
      <c r="A294" s="2" t="n">
        <v>293</v>
      </c>
      <c r="B294" s="2" t="inlineStr">
        <is>
          <t>Tree Homestay Mitra RedDoorz</t>
        </is>
      </c>
      <c r="C294" s="2" t="n">
        <v>509177</v>
      </c>
      <c r="D294" s="2" t="n">
        <v>-7.9608663</v>
      </c>
      <c r="E294" s="2" t="n">
        <v>112.6048963</v>
      </c>
      <c r="F294" s="3">
        <f>(C294 - $B$367) / $B$368</f>
        <v/>
      </c>
      <c r="G294" s="2">
        <f>IF(F294&lt;-0.5,"Murah",IF(F294&lt;0.5,"Sedang","Mahal"))</f>
        <v/>
      </c>
    </row>
    <row r="295">
      <c r="A295" s="2" t="n">
        <v>294</v>
      </c>
      <c r="B295" s="2" t="inlineStr">
        <is>
          <t>Youkata Stay Hotel Malang</t>
        </is>
      </c>
      <c r="C295" s="2" t="n">
        <v>36239</v>
      </c>
      <c r="D295" s="2" t="n">
        <v>-7.9658718</v>
      </c>
      <c r="E295" s="2" t="n">
        <v>112.6369394</v>
      </c>
      <c r="F295" s="3">
        <f>(C295 - $B$367) / $B$368</f>
        <v/>
      </c>
      <c r="G295" s="2">
        <f>IF(F295&lt;-0.5,"Murah",IF(F295&lt;0.5,"Sedang","Mahal"))</f>
        <v/>
      </c>
    </row>
    <row r="296">
      <c r="A296" s="2" t="n">
        <v>295</v>
      </c>
      <c r="B296" s="2" t="inlineStr">
        <is>
          <t>Bromo Breeze by Zzz</t>
        </is>
      </c>
      <c r="C296" s="2" t="n">
        <v>265576</v>
      </c>
      <c r="D296" s="2" t="n">
        <v>-7.9764613</v>
      </c>
      <c r="E296" s="2" t="n">
        <v>112.6566597</v>
      </c>
      <c r="F296" s="3">
        <f>(C296 - $B$367) / $B$368</f>
        <v/>
      </c>
      <c r="G296" s="2">
        <f>IF(F296&lt;-0.5,"Murah",IF(F296&lt;0.5,"Sedang","Mahal"))</f>
        <v/>
      </c>
    </row>
    <row r="297">
      <c r="A297" s="2" t="n">
        <v>296</v>
      </c>
      <c r="B297" s="2" t="inlineStr">
        <is>
          <t>dinoyo homestay syariah</t>
        </is>
      </c>
      <c r="C297" s="2" t="n">
        <v>71658</v>
      </c>
      <c r="D297" s="2" t="n">
        <v>-7.9395241</v>
      </c>
      <c r="E297" s="2" t="n">
        <v>112.6085081</v>
      </c>
      <c r="F297" s="3">
        <f>(C297 - $B$367) / $B$368</f>
        <v/>
      </c>
      <c r="G297" s="2">
        <f>IF(F297&lt;-0.5,"Murah",IF(F297&lt;0.5,"Sedang","Mahal"))</f>
        <v/>
      </c>
    </row>
    <row r="298">
      <c r="A298" s="2" t="n">
        <v>297</v>
      </c>
      <c r="B298" s="2" t="inlineStr">
        <is>
          <t>Griya Borobudur Malang RedPartner</t>
        </is>
      </c>
      <c r="C298" s="2" t="n">
        <v>553279</v>
      </c>
      <c r="D298" s="2" t="n">
        <v>-7.9365379</v>
      </c>
      <c r="E298" s="2" t="n">
        <v>112.6366452</v>
      </c>
      <c r="F298" s="3">
        <f>(C298 - $B$367) / $B$368</f>
        <v/>
      </c>
      <c r="G298" s="2">
        <f>IF(F298&lt;-0.5,"Murah",IF(F298&lt;0.5,"Sedang","Mahal"))</f>
        <v/>
      </c>
    </row>
    <row r="299">
      <c r="A299" s="2" t="n">
        <v>298</v>
      </c>
      <c r="B299" s="2" t="inlineStr">
        <is>
          <t>Dpavilion Guest House &amp; Resto</t>
        </is>
      </c>
      <c r="C299" s="2" t="n">
        <v>331695</v>
      </c>
      <c r="D299" s="2" t="n">
        <v>-7.9709438</v>
      </c>
      <c r="E299" s="2" t="n">
        <v>112.6251358</v>
      </c>
      <c r="F299" s="3">
        <f>(C299 - $B$367) / $B$368</f>
        <v/>
      </c>
      <c r="G299" s="2">
        <f>IF(F299&lt;-0.5,"Murah",IF(F299&lt;0.5,"Sedang","Mahal"))</f>
        <v/>
      </c>
    </row>
    <row r="300">
      <c r="A300" s="2" t="n">
        <v>299</v>
      </c>
      <c r="B300" s="2" t="inlineStr">
        <is>
          <t>Sentral homestay</t>
        </is>
      </c>
      <c r="C300" s="2" t="n">
        <v>286650</v>
      </c>
      <c r="D300" s="2" t="n">
        <v>-7.9813198</v>
      </c>
      <c r="E300" s="2" t="n">
        <v>112.6289104</v>
      </c>
      <c r="F300" s="3">
        <f>(C300 - $B$367) / $B$368</f>
        <v/>
      </c>
      <c r="G300" s="2">
        <f>IF(F300&lt;-0.5,"Murah",IF(F300&lt;0.5,"Sedang","Mahal"))</f>
        <v/>
      </c>
    </row>
    <row r="301">
      <c r="A301" s="2" t="n">
        <v>300</v>
      </c>
      <c r="B301" s="2" t="inlineStr">
        <is>
          <t>D'Paragon Bukit Dieng Malang</t>
        </is>
      </c>
      <c r="C301" s="2" t="n">
        <v>209752</v>
      </c>
      <c r="D301" s="2" t="n">
        <v>-7.9726885</v>
      </c>
      <c r="E301" s="2" t="n">
        <v>112.6008373</v>
      </c>
      <c r="F301" s="3">
        <f>(C301 - $B$367) / $B$368</f>
        <v/>
      </c>
      <c r="G301" s="2">
        <f>IF(F301&lt;-0.5,"Murah",IF(F301&lt;0.5,"Sedang","Mahal"))</f>
        <v/>
      </c>
    </row>
    <row r="302">
      <c r="A302" s="2" t="n">
        <v>301</v>
      </c>
      <c r="B302" s="2" t="inlineStr">
        <is>
          <t>Dei Kost</t>
        </is>
      </c>
      <c r="C302" s="2" t="n">
        <v>532350</v>
      </c>
      <c r="D302" s="2" t="n">
        <v>-7.9303611</v>
      </c>
      <c r="E302" s="2" t="n">
        <v>112.6485267</v>
      </c>
      <c r="F302" s="3">
        <f>(C302 - $B$367) / $B$368</f>
        <v/>
      </c>
      <c r="G302" s="2">
        <f>IF(F302&lt;-0.5,"Murah",IF(F302&lt;0.5,"Sedang","Mahal"))</f>
        <v/>
      </c>
    </row>
    <row r="303">
      <c r="A303" s="2" t="n">
        <v>302</v>
      </c>
      <c r="B303" s="2" t="inlineStr">
        <is>
          <t>RedDoorz Syariah near Gor Ken Arok</t>
        </is>
      </c>
      <c r="C303" s="2" t="n">
        <v>268305</v>
      </c>
      <c r="D303" s="2" t="n">
        <v>-8.0143109</v>
      </c>
      <c r="E303" s="2" t="n">
        <v>112.6421937</v>
      </c>
      <c r="F303" s="3">
        <f>(C303 - $B$367) / $B$368</f>
        <v/>
      </c>
      <c r="G303" s="2">
        <f>IF(F303&lt;-0.5,"Murah",IF(F303&lt;0.5,"Sedang","Mahal"))</f>
        <v/>
      </c>
    </row>
    <row r="304">
      <c r="A304" s="2" t="n">
        <v>303</v>
      </c>
      <c r="B304" s="2" t="inlineStr">
        <is>
          <t>Tini’s Guest House</t>
        </is>
      </c>
      <c r="C304" s="2" t="n">
        <v>176898</v>
      </c>
      <c r="D304" s="2" t="n">
        <v>-7.9728819</v>
      </c>
      <c r="E304" s="2" t="n">
        <v>112.618846</v>
      </c>
      <c r="F304" s="3">
        <f>(C304 - $B$367) / $B$368</f>
        <v/>
      </c>
      <c r="G304" s="2">
        <f>IF(F304&lt;-0.5,"Murah",IF(F304&lt;0.5,"Sedang","Mahal"))</f>
        <v/>
      </c>
    </row>
    <row r="305">
      <c r="A305" s="2" t="n">
        <v>304</v>
      </c>
      <c r="B305" s="2" t="inlineStr">
        <is>
          <t>CUBIC ONE CAPSULE</t>
        </is>
      </c>
      <c r="C305" s="2" t="n">
        <v>143735</v>
      </c>
      <c r="D305" s="2" t="n">
        <v>-7.9418552</v>
      </c>
      <c r="E305" s="2" t="n">
        <v>112.6320865</v>
      </c>
      <c r="F305" s="3">
        <f>(C305 - $B$367) / $B$368</f>
        <v/>
      </c>
      <c r="G305" s="2">
        <f>IF(F305&lt;-0.5,"Murah",IF(F305&lt;0.5,"Sedang","Mahal"))</f>
        <v/>
      </c>
    </row>
    <row r="306">
      <c r="A306" s="2" t="n">
        <v>305</v>
      </c>
      <c r="B306" s="2" t="inlineStr">
        <is>
          <t>Grand Mercure Malang Mirama</t>
        </is>
      </c>
      <c r="C306" s="2" t="n">
        <v>851695</v>
      </c>
      <c r="D306" s="2" t="n">
        <v>-7.941957</v>
      </c>
      <c r="E306" s="2" t="n">
        <v>112.648372</v>
      </c>
      <c r="F306" s="3">
        <f>(C306 - $B$367) / $B$368</f>
        <v/>
      </c>
      <c r="G306" s="2">
        <f>IF(F306&lt;-0.5,"Murah",IF(F306&lt;0.5,"Sedang","Mahal"))</f>
        <v/>
      </c>
    </row>
    <row r="307">
      <c r="A307" s="2" t="n">
        <v>306</v>
      </c>
      <c r="B307" s="2" t="inlineStr">
        <is>
          <t>The Singhasari Resort</t>
        </is>
      </c>
      <c r="C307" s="2" t="n">
        <v>1695332</v>
      </c>
      <c r="D307" s="2" t="n">
        <v>-7.893131</v>
      </c>
      <c r="E307" s="2" t="n">
        <v>112.550214</v>
      </c>
      <c r="F307" s="3">
        <f>(C307 - $B$367) / $B$368</f>
        <v/>
      </c>
      <c r="G307" s="2">
        <f>IF(F307&lt;-0.5,"Murah",IF(F307&lt;0.5,"Sedang","Mahal"))</f>
        <v/>
      </c>
    </row>
    <row r="308">
      <c r="A308" s="2" t="n">
        <v>307</v>
      </c>
      <c r="B308" s="2" t="inlineStr">
        <is>
          <t>Hotel Tugu Malang</t>
        </is>
      </c>
      <c r="C308" s="2" t="n">
        <v>1176767</v>
      </c>
      <c r="D308" s="2" t="n">
        <v>-7.9772124</v>
      </c>
      <c r="E308" s="2" t="n">
        <v>112.6331606</v>
      </c>
      <c r="F308" s="3">
        <f>(C308 - $B$367) / $B$368</f>
        <v/>
      </c>
      <c r="G308" s="2">
        <f>IF(F308&lt;-0.5,"Murah",IF(F308&lt;0.5,"Sedang","Mahal"))</f>
        <v/>
      </c>
    </row>
    <row r="309">
      <c r="A309" s="2" t="n">
        <v>308</v>
      </c>
      <c r="B309" s="2" t="inlineStr">
        <is>
          <t>The Shalimar Boutique Hotel Malang</t>
        </is>
      </c>
      <c r="C309" s="2" t="n">
        <v>870247</v>
      </c>
      <c r="D309" s="2" t="n">
        <v>-7.9700247</v>
      </c>
      <c r="E309" s="2" t="n">
        <v>112.6251707</v>
      </c>
      <c r="F309" s="3">
        <f>(C309 - $B$367) / $B$368</f>
        <v/>
      </c>
      <c r="G309" s="2">
        <f>IF(F309&lt;-0.5,"Murah",IF(F309&lt;0.5,"Sedang","Mahal"))</f>
        <v/>
      </c>
    </row>
    <row r="310">
      <c r="A310" s="2" t="n">
        <v>309</v>
      </c>
      <c r="B310" s="2" t="inlineStr">
        <is>
          <t>The Alana Hotel Malang</t>
        </is>
      </c>
      <c r="C310" s="2" t="n">
        <v>1097373</v>
      </c>
      <c r="D310" s="2" t="n">
        <v>-7.9439198</v>
      </c>
      <c r="E310" s="2" t="n">
        <v>112.6417984</v>
      </c>
      <c r="F310" s="3">
        <f>(C310 - $B$367) / $B$368</f>
        <v/>
      </c>
      <c r="G310" s="2">
        <f>IF(F310&lt;-0.5,"Murah",IF(F310&lt;0.5,"Sedang","Mahal"))</f>
        <v/>
      </c>
    </row>
    <row r="311">
      <c r="A311" s="2" t="n">
        <v>310</v>
      </c>
      <c r="B311" s="2" t="inlineStr">
        <is>
          <t>HARRIS Hotel and Conventions Malang</t>
        </is>
      </c>
      <c r="C311" s="2" t="n">
        <v>791405</v>
      </c>
      <c r="D311" s="2" t="n">
        <v>-7.9260345</v>
      </c>
      <c r="E311" s="2" t="n">
        <v>112.6452199</v>
      </c>
      <c r="F311" s="3">
        <f>(C311 - $B$367) / $B$368</f>
        <v/>
      </c>
      <c r="G311" s="2">
        <f>IF(F311&lt;-0.5,"Murah",IF(F311&lt;0.5,"Sedang","Mahal"))</f>
        <v/>
      </c>
    </row>
    <row r="312">
      <c r="A312" s="2" t="n">
        <v>311</v>
      </c>
      <c r="B312" s="2" t="inlineStr">
        <is>
          <t>Savana Hotel &amp; Convention</t>
        </is>
      </c>
      <c r="C312" s="2" t="n">
        <v>1185258</v>
      </c>
      <c r="D312" s="2" t="n">
        <v>-7.962378</v>
      </c>
      <c r="E312" s="2" t="n">
        <v>112.6362861</v>
      </c>
      <c r="F312" s="3">
        <f>(C312 - $B$367) / $B$368</f>
        <v/>
      </c>
      <c r="G312" s="2">
        <f>IF(F312&lt;-0.5,"Murah",IF(F312&lt;0.5,"Sedang","Mahal"))</f>
        <v/>
      </c>
    </row>
    <row r="313">
      <c r="A313" s="2" t="n">
        <v>312</v>
      </c>
      <c r="B313" s="2" t="inlineStr">
        <is>
          <t>Atria Hotel Malang</t>
        </is>
      </c>
      <c r="C313" s="2" t="n">
        <v>939651</v>
      </c>
      <c r="D313" s="2" t="n">
        <v>-7.9494317</v>
      </c>
      <c r="E313" s="2" t="n">
        <v>112.6392224</v>
      </c>
      <c r="F313" s="3">
        <f>(C313 - $B$367) / $B$368</f>
        <v/>
      </c>
      <c r="G313" s="2">
        <f>IF(F313&lt;-0.5,"Murah",IF(F313&lt;0.5,"Sedang","Mahal"))</f>
        <v/>
      </c>
    </row>
    <row r="314">
      <c r="A314" s="2" t="n">
        <v>313</v>
      </c>
      <c r="B314" s="2" t="inlineStr">
        <is>
          <t>Aria Gajayana Hotel</t>
        </is>
      </c>
      <c r="C314" s="2" t="n">
        <v>982801</v>
      </c>
      <c r="D314" s="2" t="n">
        <v>-7.977585</v>
      </c>
      <c r="E314" s="2" t="n">
        <v>112.624006</v>
      </c>
      <c r="F314" s="3">
        <f>(C314 - $B$367) / $B$368</f>
        <v/>
      </c>
      <c r="G314" s="2">
        <f>IF(F314&lt;-0.5,"Murah",IF(F314&lt;0.5,"Sedang","Mahal"))</f>
        <v/>
      </c>
    </row>
    <row r="315">
      <c r="A315" s="2" t="n">
        <v>314</v>
      </c>
      <c r="B315" s="2" t="inlineStr">
        <is>
          <t>Ascent Premiere Hotel and Convention</t>
        </is>
      </c>
      <c r="C315" s="2" t="n">
        <v>1260000</v>
      </c>
      <c r="D315" s="2" t="n">
        <v>-7.995367</v>
      </c>
      <c r="E315" s="2" t="n">
        <v>112.632932</v>
      </c>
      <c r="F315" s="3">
        <f>(C315 - $B$367) / $B$368</f>
        <v/>
      </c>
      <c r="G315" s="2">
        <f>IF(F315&lt;-0.5,"Murah",IF(F315&lt;0.5,"Sedang","Mahal"))</f>
        <v/>
      </c>
    </row>
    <row r="316">
      <c r="A316" s="2" t="n">
        <v>315</v>
      </c>
      <c r="B316" s="2" t="inlineStr">
        <is>
          <t>Hotel Grand Cakra</t>
        </is>
      </c>
      <c r="C316" s="2" t="n">
        <v>627485</v>
      </c>
      <c r="D316" s="2" t="n">
        <v>-7.9358583</v>
      </c>
      <c r="E316" s="2" t="n">
        <v>112.6512298</v>
      </c>
      <c r="F316" s="3">
        <f>(C316 - $B$367) / $B$368</f>
        <v/>
      </c>
      <c r="G316" s="2">
        <f>IF(F316&lt;-0.5,"Murah",IF(F316&lt;0.5,"Sedang","Mahal"))</f>
        <v/>
      </c>
    </row>
    <row r="317">
      <c r="A317" s="2" t="n">
        <v>316</v>
      </c>
      <c r="B317" s="2" t="inlineStr">
        <is>
          <t>Rayz UMM Hotel Malang</t>
        </is>
      </c>
      <c r="C317" s="2" t="n">
        <v>530617</v>
      </c>
      <c r="D317" s="2" t="n">
        <v>-7.9207036</v>
      </c>
      <c r="E317" s="2" t="n">
        <v>112.5937484</v>
      </c>
      <c r="F317" s="3">
        <f>(C317 - $B$367) / $B$368</f>
        <v/>
      </c>
      <c r="G317" s="2">
        <f>IF(F317&lt;-0.5,"Murah",IF(F317&lt;0.5,"Sedang","Mahal"))</f>
        <v/>
      </c>
    </row>
    <row r="318">
      <c r="A318" s="2" t="n">
        <v>317</v>
      </c>
      <c r="B318" s="2" t="inlineStr">
        <is>
          <t>Hotel Pelangi Malang, Kayutangan Heritage</t>
        </is>
      </c>
      <c r="C318" s="2" t="n">
        <v>379607</v>
      </c>
      <c r="D318" s="2" t="n">
        <v>-7.9836023</v>
      </c>
      <c r="E318" s="2" t="n">
        <v>112.6298098</v>
      </c>
      <c r="F318" s="3">
        <f>(C318 - $B$367) / $B$368</f>
        <v/>
      </c>
      <c r="G318" s="2">
        <f>IF(F318&lt;-0.5,"Murah",IF(F318&lt;0.5,"Sedang","Mahal"))</f>
        <v/>
      </c>
    </row>
    <row r="319">
      <c r="A319" s="2" t="n">
        <v>318</v>
      </c>
      <c r="B319" s="2" t="inlineStr">
        <is>
          <t>THE 1O1 Malang OJ</t>
        </is>
      </c>
      <c r="C319" s="2" t="n">
        <v>1309877</v>
      </c>
      <c r="D319" s="2" t="n">
        <v>-7.9680455</v>
      </c>
      <c r="E319" s="2" t="n">
        <v>112.6354553</v>
      </c>
      <c r="F319" s="3">
        <f>(C319 - $B$367) / $B$368</f>
        <v/>
      </c>
      <c r="G319" s="2">
        <f>IF(F319&lt;-0.5,"Murah",IF(F319&lt;0.5,"Sedang","Mahal"))</f>
        <v/>
      </c>
    </row>
    <row r="320">
      <c r="A320" s="2" t="n">
        <v>319</v>
      </c>
      <c r="B320" s="2" t="inlineStr">
        <is>
          <t>Hotel Tychi</t>
        </is>
      </c>
      <c r="C320" s="2" t="n">
        <v>516756</v>
      </c>
      <c r="D320" s="2" t="n">
        <v>-7.9729004</v>
      </c>
      <c r="E320" s="2" t="n">
        <v>112.6304453</v>
      </c>
      <c r="F320" s="3">
        <f>(C320 - $B$367) / $B$368</f>
        <v/>
      </c>
      <c r="G320" s="2">
        <f>IF(F320&lt;-0.5,"Murah",IF(F320&lt;0.5,"Sedang","Mahal"))</f>
        <v/>
      </c>
    </row>
    <row r="321">
      <c r="A321" s="2" t="n">
        <v>320</v>
      </c>
      <c r="B321" s="2" t="inlineStr">
        <is>
          <t>Hotel Santika Premiere Malang</t>
        </is>
      </c>
      <c r="C321" s="2" t="n">
        <v>728725</v>
      </c>
      <c r="D321" s="2" t="n">
        <v>-7.9581655</v>
      </c>
      <c r="E321" s="2" t="n">
        <v>112.63698</v>
      </c>
      <c r="F321" s="3">
        <f>(C321 - $B$367) / $B$368</f>
        <v/>
      </c>
      <c r="G321" s="2">
        <f>IF(F321&lt;-0.5,"Murah",IF(F321&lt;0.5,"Sedang","Mahal"))</f>
        <v/>
      </c>
    </row>
    <row r="322">
      <c r="A322" s="2" t="n">
        <v>321</v>
      </c>
      <c r="B322" s="2" t="inlineStr">
        <is>
          <t>Hotel Radho Syariah malang</t>
        </is>
      </c>
      <c r="C322" s="2" t="n">
        <v>480546</v>
      </c>
      <c r="D322" s="2" t="n">
        <v>-7.91585</v>
      </c>
      <c r="E322" s="2" t="n">
        <v>112.5869394</v>
      </c>
      <c r="F322" s="3">
        <f>(C322 - $B$367) / $B$368</f>
        <v/>
      </c>
      <c r="G322" s="2">
        <f>IF(F322&lt;-0.5,"Murah",IF(F322&lt;0.5,"Sedang","Mahal"))</f>
        <v/>
      </c>
    </row>
    <row r="323">
      <c r="A323" s="2" t="n">
        <v>322</v>
      </c>
      <c r="B323" s="2" t="inlineStr">
        <is>
          <t>Djoglo Luxury Bungalow</t>
        </is>
      </c>
      <c r="C323" s="2" t="n">
        <v>2342884</v>
      </c>
      <c r="D323" s="2" t="n">
        <v>-7.9319402</v>
      </c>
      <c r="E323" s="2" t="n">
        <v>112.6641896</v>
      </c>
      <c r="F323" s="3">
        <f>(C323 - $B$367) / $B$368</f>
        <v/>
      </c>
      <c r="G323" s="2">
        <f>IF(F323&lt;-0.5,"Murah",IF(F323&lt;0.5,"Sedang","Mahal"))</f>
        <v/>
      </c>
    </row>
    <row r="324">
      <c r="A324" s="2" t="n">
        <v>323</v>
      </c>
      <c r="B324" s="2" t="inlineStr">
        <is>
          <t>The Aliante Hotel &amp; Convention Center</t>
        </is>
      </c>
      <c r="C324" s="2" t="n">
        <v>573301</v>
      </c>
      <c r="D324" s="2" t="n">
        <v>-7.9815235</v>
      </c>
      <c r="E324" s="2" t="n">
        <v>112.6348243</v>
      </c>
      <c r="F324" s="3">
        <f>(C324 - $B$367) / $B$368</f>
        <v/>
      </c>
      <c r="G324" s="2">
        <f>IF(F324&lt;-0.5,"Murah",IF(F324&lt;0.5,"Sedang","Mahal"))</f>
        <v/>
      </c>
    </row>
    <row r="325">
      <c r="A325" s="2" t="n">
        <v>324</v>
      </c>
      <c r="B325" s="2" t="inlineStr">
        <is>
          <t>Ijen Suites Resort &amp; Convention Malang</t>
        </is>
      </c>
      <c r="C325" s="2" t="n">
        <v>721333</v>
      </c>
      <c r="D325" s="2" t="n">
        <v>-7.9806558</v>
      </c>
      <c r="E325" s="2" t="n">
        <v>112.615438</v>
      </c>
      <c r="F325" s="3">
        <f>(C325 - $B$367) / $B$368</f>
        <v/>
      </c>
      <c r="G325" s="2">
        <f>IF(F325&lt;-0.5,"Murah",IF(F325&lt;0.5,"Sedang","Mahal"))</f>
        <v/>
      </c>
    </row>
    <row r="326">
      <c r="A326" s="2" t="n">
        <v>325</v>
      </c>
      <c r="B326" s="2" t="inlineStr">
        <is>
          <t>RedDoorz near Balai Kota Malang</t>
        </is>
      </c>
      <c r="C326" s="2" t="n">
        <v>200771</v>
      </c>
      <c r="D326" s="2" t="n">
        <v>-7.9776647</v>
      </c>
      <c r="E326" s="2" t="n">
        <v>112.6331623</v>
      </c>
      <c r="F326" s="3">
        <f>(C326 - $B$367) / $B$368</f>
        <v/>
      </c>
      <c r="G326" s="2">
        <f>IF(F326&lt;-0.5,"Murah",IF(F326&lt;0.5,"Sedang","Mahal"))</f>
        <v/>
      </c>
    </row>
    <row r="327">
      <c r="A327" s="2" t="n">
        <v>326</v>
      </c>
      <c r="B327" s="2" t="inlineStr">
        <is>
          <t>RedDoorz Syariah near Universitas Negeri Malang</t>
        </is>
      </c>
      <c r="C327" s="2" t="n">
        <v>461290</v>
      </c>
      <c r="D327" s="2" t="n">
        <v>-7.9644382</v>
      </c>
      <c r="E327" s="2" t="n">
        <v>112.6191322</v>
      </c>
      <c r="F327" s="3">
        <f>(C327 - $B$367) / $B$368</f>
        <v/>
      </c>
      <c r="G327" s="2">
        <f>IF(F327&lt;-0.5,"Murah",IF(F327&lt;0.5,"Sedang","Mahal"))</f>
        <v/>
      </c>
    </row>
    <row r="328">
      <c r="A328" s="2" t="n">
        <v>327</v>
      </c>
      <c r="B328" s="2" t="inlineStr">
        <is>
          <t>RedDoorz Premium @ Jalan Cengkeh Malang</t>
        </is>
      </c>
      <c r="C328" s="2" t="n">
        <v>415488</v>
      </c>
      <c r="D328" s="2" t="n">
        <v>-7.9461178</v>
      </c>
      <c r="E328" s="2" t="n">
        <v>112.621726</v>
      </c>
      <c r="F328" s="3">
        <f>(C328 - $B$367) / $B$368</f>
        <v/>
      </c>
      <c r="G328" s="2">
        <f>IF(F328&lt;-0.5,"Murah",IF(F328&lt;0.5,"Sedang","Mahal"))</f>
        <v/>
      </c>
    </row>
    <row r="329">
      <c r="A329" s="2" t="n">
        <v>328</v>
      </c>
      <c r="B329" s="2" t="inlineStr">
        <is>
          <t>RedDoorz Plus near Malang Town Square</t>
        </is>
      </c>
      <c r="C329" s="2" t="n">
        <v>260084</v>
      </c>
      <c r="D329" s="2" t="n">
        <v>-7.9543768</v>
      </c>
      <c r="E329" s="2" t="n">
        <v>112.6204369</v>
      </c>
      <c r="F329" s="3">
        <f>(C329 - $B$367) / $B$368</f>
        <v/>
      </c>
      <c r="G329" s="2">
        <f>IF(F329&lt;-0.5,"Murah",IF(F329&lt;0.5,"Sedang","Mahal"))</f>
        <v/>
      </c>
    </row>
    <row r="330">
      <c r="A330" s="2" t="n">
        <v>329</v>
      </c>
      <c r="B330" s="2" t="inlineStr">
        <is>
          <t>RedDoorz @ Daffi Araya</t>
        </is>
      </c>
      <c r="C330" s="2" t="n">
        <v>140927</v>
      </c>
      <c r="D330" s="2" t="n">
        <v>-7.9413188</v>
      </c>
      <c r="E330" s="2" t="n">
        <v>112.6571294</v>
      </c>
      <c r="F330" s="3">
        <f>(C330 - $B$367) / $B$368</f>
        <v/>
      </c>
      <c r="G330" s="2">
        <f>IF(F330&lt;-0.5,"Murah",IF(F330&lt;0.5,"Sedang","Mahal"))</f>
        <v/>
      </c>
    </row>
    <row r="331">
      <c r="A331" s="2" t="n">
        <v>330</v>
      </c>
      <c r="B331" s="2" t="inlineStr">
        <is>
          <t>RedDoorz near Araya Family Club House</t>
        </is>
      </c>
      <c r="C331" s="2" t="n">
        <v>187198</v>
      </c>
      <c r="D331" s="2" t="n">
        <v>-7.9413584</v>
      </c>
      <c r="E331" s="2" t="n">
        <v>112.6668099</v>
      </c>
      <c r="F331" s="3">
        <f>(C331 - $B$367) / $B$368</f>
        <v/>
      </c>
      <c r="G331" s="2">
        <f>IF(F331&lt;-0.5,"Murah",IF(F331&lt;0.5,"Sedang","Mahal"))</f>
        <v/>
      </c>
    </row>
    <row r="332">
      <c r="A332" s="2" t="n">
        <v>331</v>
      </c>
      <c r="B332" s="2" t="inlineStr">
        <is>
          <t>RedDoorz Plus @ Swun Stay Raya Langsep</t>
        </is>
      </c>
      <c r="C332" s="2" t="n">
        <v>440989</v>
      </c>
      <c r="D332" s="2" t="n">
        <v>-7.9816774</v>
      </c>
      <c r="E332" s="2" t="n">
        <v>112.6144323</v>
      </c>
      <c r="F332" s="3">
        <f>(C332 - $B$367) / $B$368</f>
        <v/>
      </c>
      <c r="G332" s="2">
        <f>IF(F332&lt;-0.5,"Murah",IF(F332&lt;0.5,"Sedang","Mahal"))</f>
        <v/>
      </c>
    </row>
    <row r="333">
      <c r="A333" s="2" t="n">
        <v>332</v>
      </c>
      <c r="B333" s="2" t="inlineStr">
        <is>
          <t>RedDoorz @ Jalan Danau Limboto</t>
        </is>
      </c>
      <c r="C333" s="2" t="n">
        <v>345088</v>
      </c>
      <c r="D333" s="2" t="n">
        <v>-7.9698047</v>
      </c>
      <c r="E333" s="2" t="n">
        <v>112.6617484</v>
      </c>
      <c r="F333" s="3">
        <f>(C333 - $B$367) / $B$368</f>
        <v/>
      </c>
      <c r="G333" s="2">
        <f>IF(F333&lt;-0.5,"Murah",IF(F333&lt;0.5,"Sedang","Mahal"))</f>
        <v/>
      </c>
    </row>
    <row r="334">
      <c r="A334" s="2" t="n">
        <v>333</v>
      </c>
      <c r="B334" s="2" t="inlineStr">
        <is>
          <t>RedDoorz @ Soekarno Hatta Indah</t>
        </is>
      </c>
      <c r="C334" s="2" t="n">
        <v>343499</v>
      </c>
      <c r="D334" s="2" t="n">
        <v>-7.9393799</v>
      </c>
      <c r="E334" s="2" t="n">
        <v>112.6296212</v>
      </c>
      <c r="F334" s="3">
        <f>(C334 - $B$367) / $B$368</f>
        <v/>
      </c>
      <c r="G334" s="2">
        <f>IF(F334&lt;-0.5,"Murah",IF(F334&lt;0.5,"Sedang","Mahal"))</f>
        <v/>
      </c>
    </row>
    <row r="335">
      <c r="A335" s="2" t="n">
        <v>334</v>
      </c>
      <c r="B335" s="2" t="inlineStr">
        <is>
          <t>RedDoorz Plus near Brawijaya Museum</t>
        </is>
      </c>
      <c r="C335" s="2" t="n">
        <v>415604</v>
      </c>
      <c r="D335" s="2" t="n">
        <v>-7.9728937</v>
      </c>
      <c r="E335" s="2" t="n">
        <v>112.6179994</v>
      </c>
      <c r="F335" s="3">
        <f>(C335 - $B$367) / $B$368</f>
        <v/>
      </c>
      <c r="G335" s="2">
        <f>IF(F335&lt;-0.5,"Murah",IF(F335&lt;0.5,"Sedang","Mahal"))</f>
        <v/>
      </c>
    </row>
    <row r="336">
      <c r="A336" s="2" t="n">
        <v>335</v>
      </c>
      <c r="B336" s="2" t="inlineStr">
        <is>
          <t>RedDoorz Hostel @ Malang City Center 2</t>
        </is>
      </c>
      <c r="C336" s="2" t="n">
        <v>91032</v>
      </c>
      <c r="D336" s="2" t="n">
        <v>-7.9666938</v>
      </c>
      <c r="E336" s="2" t="n">
        <v>112.6338921</v>
      </c>
      <c r="F336" s="3">
        <f>(C336 - $B$367) / $B$368</f>
        <v/>
      </c>
      <c r="G336" s="2">
        <f>IF(F336&lt;-0.5,"Murah",IF(F336&lt;0.5,"Sedang","Mahal"))</f>
        <v/>
      </c>
    </row>
    <row r="337">
      <c r="A337" s="2" t="n">
        <v>336</v>
      </c>
      <c r="B337" s="2" t="inlineStr">
        <is>
          <t>RedDoorz @ Lowokwaru</t>
        </is>
      </c>
      <c r="C337" s="2" t="n">
        <v>138588</v>
      </c>
      <c r="D337" s="2" t="n">
        <v>-7.9610014</v>
      </c>
      <c r="E337" s="2" t="n">
        <v>112.6342137</v>
      </c>
      <c r="F337" s="3">
        <f>(C337 - $B$367) / $B$368</f>
        <v/>
      </c>
      <c r="G337" s="2">
        <f>IF(F337&lt;-0.5,"Murah",IF(F337&lt;0.5,"Sedang","Mahal"))</f>
        <v/>
      </c>
    </row>
    <row r="338">
      <c r="A338" s="2" t="n">
        <v>337</v>
      </c>
      <c r="B338" s="2" t="inlineStr">
        <is>
          <t>RedDoorz near Batik Tulis Celaket 2</t>
        </is>
      </c>
      <c r="C338" s="2" t="n">
        <v>51823</v>
      </c>
      <c r="D338" s="2" t="n">
        <v>-7.9643493</v>
      </c>
      <c r="E338" s="2" t="n">
        <v>112.6301868</v>
      </c>
      <c r="F338" s="3">
        <f>(C338 - $B$367) / $B$368</f>
        <v/>
      </c>
      <c r="G338" s="2">
        <f>IF(F338&lt;-0.5,"Murah",IF(F338&lt;0.5,"Sedang","Mahal"))</f>
        <v/>
      </c>
    </row>
    <row r="339">
      <c r="A339" s="2" t="n">
        <v>338</v>
      </c>
      <c r="B339" s="2" t="inlineStr">
        <is>
          <t>RedDoorz Syariah @ Klojen Malang</t>
        </is>
      </c>
      <c r="C339" s="2" t="n">
        <v>173565</v>
      </c>
      <c r="D339" s="2" t="n">
        <v>-7.9898665</v>
      </c>
      <c r="E339" s="2" t="n">
        <v>112.6272314</v>
      </c>
      <c r="F339" s="3">
        <f>(C339 - $B$367) / $B$368</f>
        <v/>
      </c>
      <c r="G339" s="2">
        <f>IF(F339&lt;-0.5,"Murah",IF(F339&lt;0.5,"Sedang","Mahal"))</f>
        <v/>
      </c>
    </row>
    <row r="340">
      <c r="A340" s="2" t="n">
        <v>339</v>
      </c>
      <c r="B340" s="2" t="inlineStr">
        <is>
          <t>RedDoorz near Jawa Timur Park 3</t>
        </is>
      </c>
      <c r="C340" s="2" t="n">
        <v>402423</v>
      </c>
      <c r="D340" s="2" t="n">
        <v>-7.904144</v>
      </c>
      <c r="E340" s="2" t="n">
        <v>112.5657147</v>
      </c>
      <c r="F340" s="3">
        <f>(C340 - $B$367) / $B$368</f>
        <v/>
      </c>
      <c r="G340" s="2">
        <f>IF(F340&lt;-0.5,"Murah",IF(F340&lt;0.5,"Sedang","Mahal"))</f>
        <v/>
      </c>
    </row>
    <row r="341">
      <c r="A341" s="2" t="n">
        <v>340</v>
      </c>
      <c r="B341" s="2" t="inlineStr">
        <is>
          <t>RedDoorz Plus @ Kalpataru</t>
        </is>
      </c>
      <c r="C341" s="2" t="n">
        <v>517523</v>
      </c>
      <c r="D341" s="2" t="n">
        <v>-7.9511644</v>
      </c>
      <c r="E341" s="2" t="n">
        <v>112.6331157</v>
      </c>
      <c r="F341" s="3">
        <f>(C341 - $B$367) / $B$368</f>
        <v/>
      </c>
      <c r="G341" s="2">
        <f>IF(F341&lt;-0.5,"Murah",IF(F341&lt;0.5,"Sedang","Mahal"))</f>
        <v/>
      </c>
    </row>
    <row r="342">
      <c r="A342" s="2" t="n">
        <v>341</v>
      </c>
      <c r="B342" s="2" t="inlineStr">
        <is>
          <t>RedDoorz Near Stasiun Lawang</t>
        </is>
      </c>
      <c r="C342" s="2" t="n">
        <v>528068</v>
      </c>
      <c r="D342" s="2" t="n">
        <v>-7.8301765</v>
      </c>
      <c r="E342" s="2" t="n">
        <v>112.6920854</v>
      </c>
      <c r="F342" s="3">
        <f>(C342 - $B$367) / $B$368</f>
        <v/>
      </c>
      <c r="G342" s="2">
        <f>IF(F342&lt;-0.5,"Murah",IF(F342&lt;0.5,"Sedang","Mahal"))</f>
        <v/>
      </c>
    </row>
    <row r="343">
      <c r="A343" s="2" t="n">
        <v>342</v>
      </c>
      <c r="B343" s="2" t="inlineStr">
        <is>
          <t>RedDoorz @ Blimbing Malang</t>
        </is>
      </c>
      <c r="C343" s="2" t="n">
        <v>123382</v>
      </c>
      <c r="D343" s="2" t="n">
        <v>-7.9424881</v>
      </c>
      <c r="E343" s="2" t="n">
        <v>112.6387228</v>
      </c>
      <c r="F343" s="3">
        <f>(C343 - $B$367) / $B$368</f>
        <v/>
      </c>
      <c r="G343" s="2">
        <f>IF(F343&lt;-0.5,"Murah",IF(F343&lt;0.5,"Sedang","Mahal"))</f>
        <v/>
      </c>
    </row>
    <row r="344">
      <c r="A344" s="2" t="n">
        <v>343</v>
      </c>
      <c r="B344" s="2" t="inlineStr">
        <is>
          <t>RedDoorz Plus @ Idjen Boulevard Malang</t>
        </is>
      </c>
      <c r="C344" s="2" t="n">
        <v>101275</v>
      </c>
      <c r="D344" s="2" t="n">
        <v>-7.9695437</v>
      </c>
      <c r="E344" s="2" t="n">
        <v>112.6241626</v>
      </c>
      <c r="F344" s="3">
        <f>(C344 - $B$367) / $B$368</f>
        <v/>
      </c>
      <c r="G344" s="2">
        <f>IF(F344&lt;-0.5,"Murah",IF(F344&lt;0.5,"Sedang","Mahal"))</f>
        <v/>
      </c>
    </row>
    <row r="345">
      <c r="A345" s="2" t="n">
        <v>344</v>
      </c>
      <c r="B345" s="2" t="inlineStr">
        <is>
          <t>RedDoorz near Brawijaya University</t>
        </is>
      </c>
      <c r="C345" s="2" t="n">
        <v>415604</v>
      </c>
      <c r="D345" s="2" t="n">
        <v>-7.9542533</v>
      </c>
      <c r="E345" s="2" t="n">
        <v>112.6199554</v>
      </c>
      <c r="F345" s="3">
        <f>(C345 - $B$367) / $B$368</f>
        <v/>
      </c>
      <c r="G345" s="2">
        <f>IF(F345&lt;-0.5,"Murah",IF(F345&lt;0.5,"Sedang","Mahal"))</f>
        <v/>
      </c>
    </row>
    <row r="346">
      <c r="A346" s="2" t="n">
        <v>345</v>
      </c>
      <c r="B346" s="2" t="inlineStr">
        <is>
          <t>RedDoorz Syariah @ Danau Kerinci Sawojajar</t>
        </is>
      </c>
      <c r="C346" s="2" t="n">
        <v>473363</v>
      </c>
      <c r="D346" s="2" t="n">
        <v>-7.9714902</v>
      </c>
      <c r="E346" s="2" t="n">
        <v>112.6641251</v>
      </c>
      <c r="F346" s="3">
        <f>(C346 - $B$367) / $B$368</f>
        <v/>
      </c>
      <c r="G346" s="2">
        <f>IF(F346&lt;-0.5,"Murah",IF(F346&lt;0.5,"Sedang","Mahal"))</f>
        <v/>
      </c>
    </row>
    <row r="347">
      <c r="A347" s="2" t="n">
        <v>346</v>
      </c>
      <c r="B347" s="2" t="inlineStr">
        <is>
          <t>RedDoorz Hostel @ Borobudur Street</t>
        </is>
      </c>
      <c r="C347" s="2" t="n">
        <v>486333</v>
      </c>
      <c r="D347" s="2" t="n">
        <v>-7.9390946</v>
      </c>
      <c r="E347" s="2" t="n">
        <v>112.6333189</v>
      </c>
      <c r="F347" s="3">
        <f>(C347 - $B$367) / $B$368</f>
        <v/>
      </c>
      <c r="G347" s="2">
        <f>IF(F347&lt;-0.5,"Murah",IF(F347&lt;0.5,"Sedang","Mahal"))</f>
        <v/>
      </c>
    </row>
    <row r="348">
      <c r="A348" s="2" t="n">
        <v>347</v>
      </c>
      <c r="B348" s="2" t="inlineStr">
        <is>
          <t>RedDoorz near Wisata Paribendo Lawang</t>
        </is>
      </c>
      <c r="C348" s="2" t="n">
        <v>459020</v>
      </c>
      <c r="D348" s="2" t="n">
        <v>-7.8359722</v>
      </c>
      <c r="E348" s="2" t="n">
        <v>112.6848278</v>
      </c>
      <c r="F348" s="3">
        <f>(C348 - $B$367) / $B$368</f>
        <v/>
      </c>
      <c r="G348" s="2">
        <f>IF(F348&lt;-0.5,"Murah",IF(F348&lt;0.5,"Sedang","Mahal"))</f>
        <v/>
      </c>
    </row>
    <row r="349">
      <c r="A349" s="2" t="n">
        <v>348</v>
      </c>
      <c r="B349" s="2" t="inlineStr">
        <is>
          <t>RedDoorz Syariah @ Jl. Cengger Ayam Dalam</t>
        </is>
      </c>
      <c r="C349" s="2" t="n">
        <v>480622</v>
      </c>
      <c r="D349" s="2" t="n">
        <v>-7.9464165</v>
      </c>
      <c r="E349" s="2" t="n">
        <v>112.629455</v>
      </c>
      <c r="F349" s="3">
        <f>(C349 - $B$367) / $B$368</f>
        <v/>
      </c>
      <c r="G349" s="2">
        <f>IF(F349&lt;-0.5,"Murah",IF(F349&lt;0.5,"Sedang","Mahal"))</f>
        <v/>
      </c>
    </row>
    <row r="350">
      <c r="A350" s="2" t="n">
        <v>349</v>
      </c>
      <c r="B350" s="2" t="inlineStr">
        <is>
          <t>Griya Gribig Guest House Mitra RedDoorz</t>
        </is>
      </c>
      <c r="C350" s="2" t="n">
        <v>347218</v>
      </c>
      <c r="D350" s="2" t="n">
        <v>-7.9803516</v>
      </c>
      <c r="E350" s="2" t="n">
        <v>112.6651629</v>
      </c>
      <c r="F350" s="3">
        <f>(C350 - $B$367) / $B$368</f>
        <v/>
      </c>
      <c r="G350" s="2">
        <f>IF(F350&lt;-0.5,"Murah",IF(F350&lt;0.5,"Sedang","Mahal"))</f>
        <v/>
      </c>
    </row>
    <row r="351">
      <c r="A351" s="2" t="n">
        <v>350</v>
      </c>
      <c r="B351" s="2" t="inlineStr">
        <is>
          <t>RedDoorz @ Bukit Dieng 2</t>
        </is>
      </c>
      <c r="C351" s="2" t="n">
        <v>458472</v>
      </c>
      <c r="D351" s="2" t="n">
        <v>-7.9713225</v>
      </c>
      <c r="E351" s="2" t="n">
        <v>112.5982818</v>
      </c>
      <c r="F351" s="3">
        <f>(C351 - $B$367) / $B$368</f>
        <v/>
      </c>
      <c r="G351" s="2">
        <f>IF(F351&lt;-0.5,"Murah",IF(F351&lt;0.5,"Sedang","Mahal"))</f>
        <v/>
      </c>
    </row>
    <row r="352">
      <c r="A352" s="2" t="n">
        <v>351</v>
      </c>
      <c r="B352" s="2" t="inlineStr">
        <is>
          <t>RedDoorz near Stasiun Malang Kota Lama 2</t>
        </is>
      </c>
      <c r="C352" s="2" t="n">
        <v>51823</v>
      </c>
      <c r="D352" s="2" t="n">
        <v>-7.9931945</v>
      </c>
      <c r="E352" s="2" t="n">
        <v>112.6314374</v>
      </c>
      <c r="F352" s="3">
        <f>(C352 - $B$367) / $B$368</f>
        <v/>
      </c>
      <c r="G352" s="2">
        <f>IF(F352&lt;-0.5,"Murah",IF(F352&lt;0.5,"Sedang","Mahal"))</f>
        <v/>
      </c>
    </row>
    <row r="353">
      <c r="A353" s="2" t="n">
        <v>352</v>
      </c>
      <c r="B353" s="2" t="inlineStr">
        <is>
          <t>RedDoorz Plus near Malang Airport</t>
        </is>
      </c>
      <c r="C353" s="2" t="n">
        <v>494266</v>
      </c>
      <c r="D353" s="2" t="n">
        <v>-7.9628788</v>
      </c>
      <c r="E353" s="2" t="n">
        <v>112.6821606</v>
      </c>
      <c r="F353" s="3">
        <f>(C353 - $B$367) / $B$368</f>
        <v/>
      </c>
      <c r="G353" s="2">
        <f>IF(F353&lt;-0.5,"Murah",IF(F353&lt;0.5,"Sedang","Mahal"))</f>
        <v/>
      </c>
    </row>
    <row r="354">
      <c r="A354" s="2" t="n">
        <v>353</v>
      </c>
      <c r="B354" s="2" t="inlineStr">
        <is>
          <t>Urbanview Hotel Griya Surya Malang by RedDoorz</t>
        </is>
      </c>
      <c r="C354" s="2" t="n">
        <v>387711</v>
      </c>
      <c r="D354" s="2" t="n">
        <v>-7.9700292</v>
      </c>
      <c r="E354" s="2" t="n">
        <v>112.6276169</v>
      </c>
      <c r="F354" s="3">
        <f>(C354 - $B$367) / $B$368</f>
        <v/>
      </c>
      <c r="G354" s="2">
        <f>IF(F354&lt;-0.5,"Murah",IF(F354&lt;0.5,"Sedang","Mahal"))</f>
        <v/>
      </c>
    </row>
    <row r="355">
      <c r="A355" s="2" t="n">
        <v>354</v>
      </c>
      <c r="B355" s="2" t="inlineStr">
        <is>
          <t>Reddoorz Syariah @ Jl. Candi Kalasan</t>
        </is>
      </c>
      <c r="C355" s="2" t="n">
        <v>446316</v>
      </c>
      <c r="D355" s="2" t="n">
        <v>-7.9434769</v>
      </c>
      <c r="E355" s="2" t="n">
        <v>112.6393035</v>
      </c>
      <c r="F355" s="3">
        <f>(C355 - $B$367) / $B$368</f>
        <v/>
      </c>
      <c r="G355" s="2">
        <f>IF(F355&lt;-0.5,"Murah",IF(F355&lt;0.5,"Sedang","Mahal"))</f>
        <v/>
      </c>
    </row>
    <row r="356">
      <c r="A356" s="2" t="n">
        <v>355</v>
      </c>
      <c r="B356" s="2" t="inlineStr">
        <is>
          <t>RedDoorz near Universitas PGRI Kanjuruhan</t>
        </is>
      </c>
      <c r="C356" s="2" t="n">
        <v>36239</v>
      </c>
      <c r="D356" s="2" t="n">
        <v>-8.0042951</v>
      </c>
      <c r="E356" s="2" t="n">
        <v>112.6138408</v>
      </c>
      <c r="F356" s="3">
        <f>(C356 - $B$367) / $B$368</f>
        <v/>
      </c>
      <c r="G356" s="2">
        <f>IF(F356&lt;-0.5,"Murah",IF(F356&lt;0.5,"Sedang","Mahal"))</f>
        <v/>
      </c>
    </row>
    <row r="357">
      <c r="A357" s="2" t="n">
        <v>356</v>
      </c>
      <c r="B357" s="2" t="inlineStr">
        <is>
          <t>RedDoorz @ Dinoyo</t>
        </is>
      </c>
      <c r="C357" s="2" t="n">
        <v>51823</v>
      </c>
      <c r="D357" s="2" t="n">
        <v>-7.9452503</v>
      </c>
      <c r="E357" s="2" t="n">
        <v>112.60967</v>
      </c>
      <c r="F357" s="3">
        <f>(C357 - $B$367) / $B$368</f>
        <v/>
      </c>
      <c r="G357" s="2">
        <f>IF(F357&lt;-0.5,"Murah",IF(F357&lt;0.5,"Sedang","Mahal"))</f>
        <v/>
      </c>
    </row>
    <row r="358">
      <c r="A358" s="2" t="n">
        <v>357</v>
      </c>
      <c r="B358" s="2" t="inlineStr">
        <is>
          <t>Reddoorz @ Homestay Gayatri</t>
        </is>
      </c>
      <c r="C358" s="2" t="n">
        <v>476914</v>
      </c>
      <c r="D358" s="2" t="n">
        <v>-8.005437499999999</v>
      </c>
      <c r="E358" s="2" t="n">
        <v>112.6208125</v>
      </c>
      <c r="F358" s="3">
        <f>(C358 - $B$367) / $B$368</f>
        <v/>
      </c>
      <c r="G358" s="2">
        <f>IF(F358&lt;-0.5,"Murah",IF(F358&lt;0.5,"Sedang","Mahal"))</f>
        <v/>
      </c>
    </row>
    <row r="359">
      <c r="A359" s="2" t="n">
        <v>358</v>
      </c>
      <c r="B359" s="2" t="inlineStr">
        <is>
          <t>RedDoorz at CBR Residence</t>
        </is>
      </c>
      <c r="C359" s="2" t="n">
        <v>123382</v>
      </c>
      <c r="D359" s="2" t="n">
        <v>-7.944632</v>
      </c>
      <c r="E359" s="2" t="n">
        <v>112.639119</v>
      </c>
      <c r="F359" s="3">
        <f>(C359 - $B$367) / $B$368</f>
        <v/>
      </c>
      <c r="G359" s="2">
        <f>IF(F359&lt;-0.5,"Murah",IF(F359&lt;0.5,"Sedang","Mahal"))</f>
        <v/>
      </c>
    </row>
    <row r="360">
      <c r="A360" s="2" t="n">
        <v>359</v>
      </c>
      <c r="B360" s="2" t="inlineStr">
        <is>
          <t>RedDoorz @ Soekarno Hatta 2</t>
        </is>
      </c>
      <c r="C360" s="2" t="n">
        <v>542125</v>
      </c>
      <c r="D360" s="2" t="n">
        <v>-7.9429058</v>
      </c>
      <c r="E360" s="2" t="n">
        <v>112.6172622</v>
      </c>
      <c r="F360" s="3">
        <f>(C360 - $B$367) / $B$368</f>
        <v/>
      </c>
      <c r="G360" s="2">
        <f>IF(F360&lt;-0.5,"Murah",IF(F360&lt;0.5,"Sedang","Mahal"))</f>
        <v/>
      </c>
    </row>
    <row r="361">
      <c r="A361" s="2" t="n">
        <v>360</v>
      </c>
      <c r="B361" s="2" t="inlineStr">
        <is>
          <t>Hotel Bintang</t>
        </is>
      </c>
      <c r="C361" s="2" t="n">
        <v>412890</v>
      </c>
      <c r="D361" s="2" t="n">
        <v>-7.9690786</v>
      </c>
      <c r="E361" s="2" t="n">
        <v>112.642657</v>
      </c>
      <c r="F361" s="3">
        <f>(C361 - $B$367) / $B$368</f>
        <v/>
      </c>
      <c r="G361" s="2">
        <f>IF(F361&lt;-0.5,"Murah",IF(F361&lt;0.5,"Sedang","Mahal"))</f>
        <v/>
      </c>
    </row>
    <row r="362">
      <c r="A362" s="2" t="n">
        <v>361</v>
      </c>
      <c r="B362" s="2" t="inlineStr">
        <is>
          <t>Amaris Hotel Malang</t>
        </is>
      </c>
      <c r="C362" s="2" t="n">
        <v>418919</v>
      </c>
      <c r="D362" s="2" t="n">
        <v>-7.960701</v>
      </c>
      <c r="E362" s="2" t="n">
        <v>112.63646</v>
      </c>
      <c r="F362" s="3">
        <f>(C362 - $B$367) / $B$368</f>
        <v/>
      </c>
      <c r="G362" s="2">
        <f>IF(F362&lt;-0.5,"Murah",IF(F362&lt;0.5,"Sedang","Mahal"))</f>
        <v/>
      </c>
    </row>
    <row r="363">
      <c r="A363" s="2" t="n">
        <v>362</v>
      </c>
      <c r="B363" s="2" t="inlineStr">
        <is>
          <t>Urbanview Hotel FiFFa Kauman Malang</t>
        </is>
      </c>
      <c r="C363" s="2" t="n">
        <v>492546</v>
      </c>
      <c r="D363" s="2" t="n">
        <v>-7.983278</v>
      </c>
      <c r="E363" s="2" t="n">
        <v>112.6290058</v>
      </c>
      <c r="F363" s="3">
        <f>(C363 - $B$367) / $B$368</f>
        <v/>
      </c>
      <c r="G363" s="2">
        <f>IF(F363&lt;-0.5,"Murah",IF(F363&lt;0.5,"Sedang","Mahal"))</f>
        <v/>
      </c>
    </row>
    <row r="364">
      <c r="A364" s="2" t="n">
        <v>363</v>
      </c>
      <c r="B364" s="2" t="inlineStr">
        <is>
          <t>My Dormy Hostel UMM</t>
        </is>
      </c>
      <c r="C364" s="2" t="n">
        <v>507806</v>
      </c>
      <c r="D364" s="2" t="n">
        <v>-7.9233879</v>
      </c>
      <c r="E364" s="2" t="n">
        <v>112.6015877</v>
      </c>
      <c r="F364" s="3">
        <f>(C364 - $B$367) / $B$368</f>
        <v/>
      </c>
      <c r="G364" s="2">
        <f>IF(F364&lt;-0.5,"Murah",IF(F364&lt;0.5,"Sedang","Mahal"))</f>
        <v/>
      </c>
    </row>
    <row r="365"/>
    <row r="366"/>
    <row r="367">
      <c r="A367" s="4" t="inlineStr">
        <is>
          <t>Mean (μ):</t>
        </is>
      </c>
      <c r="B367" s="5">
        <f>AVERAGE(C2:C364)</f>
        <v/>
      </c>
    </row>
    <row r="368">
      <c r="A368" s="4" t="inlineStr">
        <is>
          <t>Std Dev (σ):</t>
        </is>
      </c>
      <c r="B368" s="5">
        <f>STDEVP(C2:C364)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3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6" customWidth="1" min="3" max="3"/>
    <col width="12" customWidth="1" min="4" max="4"/>
    <col width="13" customWidth="1" min="5" max="5"/>
    <col width="27" customWidth="1" min="6" max="6"/>
    <col width="50" customWidth="1" min="7" max="7"/>
  </cols>
  <sheetData>
    <row r="1">
      <c r="A1" s="1" t="inlineStr">
        <is>
          <t>Id_Tempat</t>
        </is>
      </c>
      <c r="B1" s="1" t="inlineStr">
        <is>
          <t>Nama_Tempat</t>
        </is>
      </c>
      <c r="C1" s="1" t="inlineStr">
        <is>
          <t>Estimasi_Harga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Z_Score_Harga</t>
        </is>
      </c>
      <c r="G1" s="1" t="inlineStr">
        <is>
          <t>Interpretasi</t>
        </is>
      </c>
    </row>
    <row r="2">
      <c r="A2" s="2" t="n">
        <v>1</v>
      </c>
      <c r="B2" s="2" t="inlineStr">
        <is>
          <t>Masjid Tiban Malang (pp.Salafiah Bihaaru Bahri)</t>
        </is>
      </c>
      <c r="C2" s="2" t="n">
        <v>2000</v>
      </c>
      <c r="D2" s="2" t="n">
        <v>-8.150828499999999</v>
      </c>
      <c r="E2" s="2" t="n">
        <v>112.7131124</v>
      </c>
      <c r="F2" s="3">
        <f>(C2 - $B$192) / $B$193</f>
        <v/>
      </c>
      <c r="G2" s="2">
        <f>IF(F2&lt;-0.5,"Murah",IF(F2&lt;0.5,"Sedang","Mahal"))</f>
        <v/>
      </c>
    </row>
    <row r="3">
      <c r="A3" s="2" t="n">
        <v>2</v>
      </c>
      <c r="B3" s="2" t="inlineStr">
        <is>
          <t>Wisata Religi Gunung Mujur ꦒꦸꦤꦸꦁꦩꦸꦗꦸꦂ</t>
        </is>
      </c>
      <c r="C3" s="2" t="n">
        <v>10000</v>
      </c>
      <c r="D3" s="2" t="n">
        <v>-7.8263032</v>
      </c>
      <c r="E3" s="2" t="n">
        <v>112.5931148</v>
      </c>
      <c r="F3" s="3">
        <f>(C3 - $B$192) / $B$193</f>
        <v/>
      </c>
      <c r="G3" s="2">
        <f>IF(F3&lt;-0.5,"Murah",IF(F3&lt;0.5,"Sedang","Mahal"))</f>
        <v/>
      </c>
    </row>
    <row r="4">
      <c r="A4" s="2" t="n">
        <v>3</v>
      </c>
      <c r="B4" s="2" t="inlineStr">
        <is>
          <t>Masjid Agung Jami' Kota Malang</t>
        </is>
      </c>
      <c r="C4" s="2" t="n">
        <v>0</v>
      </c>
      <c r="D4" s="2" t="n">
        <v>-7.9823828</v>
      </c>
      <c r="E4" s="2" t="n">
        <v>112.6297224</v>
      </c>
      <c r="F4" s="3">
        <f>(C4 - $B$192) / $B$193</f>
        <v/>
      </c>
      <c r="G4" s="2">
        <f>IF(F4&lt;-0.5,"Murah",IF(F4&lt;0.5,"Sedang","Mahal"))</f>
        <v/>
      </c>
    </row>
    <row r="5">
      <c r="A5" s="2" t="n">
        <v>4</v>
      </c>
      <c r="B5" s="2" t="inlineStr">
        <is>
          <t>Makam Mbah Batu</t>
        </is>
      </c>
      <c r="C5" s="2" t="n">
        <v>3000</v>
      </c>
      <c r="D5" s="2" t="n">
        <v>-7.8563341</v>
      </c>
      <c r="E5" s="2" t="n">
        <v>112.5352355</v>
      </c>
      <c r="F5" s="3">
        <f>(C5 - $B$192) / $B$193</f>
        <v/>
      </c>
      <c r="G5" s="2">
        <f>IF(F5&lt;-0.5,"Murah",IF(F5&lt;0.5,"Sedang","Mahal"))</f>
        <v/>
      </c>
    </row>
    <row r="6">
      <c r="A6" s="2" t="n">
        <v>5</v>
      </c>
      <c r="B6" s="2" t="inlineStr">
        <is>
          <t>KWJ MALANG</t>
        </is>
      </c>
      <c r="C6" s="2" t="n">
        <v>5000</v>
      </c>
      <c r="D6" s="2" t="n">
        <v>-7.9831</v>
      </c>
      <c r="E6" s="2" t="n">
        <v>112.6374847</v>
      </c>
      <c r="F6" s="3">
        <f>(C6 - $B$192) / $B$193</f>
        <v/>
      </c>
      <c r="G6" s="2">
        <f>IF(F6&lt;-0.5,"Murah",IF(F6&lt;0.5,"Sedang","Mahal"))</f>
        <v/>
      </c>
    </row>
    <row r="7">
      <c r="A7" s="2" t="n">
        <v>6</v>
      </c>
      <c r="B7" s="2" t="inlineStr">
        <is>
          <t>Pesarean Gunung Kawi</t>
        </is>
      </c>
      <c r="C7" s="2" t="n">
        <v>3000</v>
      </c>
      <c r="D7" s="2" t="n">
        <v>-8.023200599999999</v>
      </c>
      <c r="E7" s="2" t="n">
        <v>112.4932677</v>
      </c>
      <c r="F7" s="3">
        <f>(C7 - $B$192) / $B$193</f>
        <v/>
      </c>
      <c r="G7" s="2">
        <f>IF(F7&lt;-0.5,"Murah",IF(F7&lt;0.5,"Sedang","Mahal"))</f>
        <v/>
      </c>
    </row>
    <row r="8">
      <c r="A8" s="2" t="n">
        <v>7</v>
      </c>
      <c r="B8" s="2" t="inlineStr">
        <is>
          <t>Makam Ki Ageng Gribig</t>
        </is>
      </c>
      <c r="C8" s="2" t="n">
        <v>48000</v>
      </c>
      <c r="D8" s="2" t="n">
        <v>-7.9809099</v>
      </c>
      <c r="E8" s="2" t="n">
        <v>112.6656522</v>
      </c>
      <c r="F8" s="3">
        <f>(C8 - $B$192) / $B$193</f>
        <v/>
      </c>
      <c r="G8" s="2">
        <f>IF(F8&lt;-0.5,"Murah",IF(F8&lt;0.5,"Sedang","Mahal"))</f>
        <v/>
      </c>
    </row>
    <row r="9">
      <c r="A9" s="2" t="n">
        <v>8</v>
      </c>
      <c r="B9" s="2" t="inlineStr">
        <is>
          <t>Pura Luhur Giri Arjuno</t>
        </is>
      </c>
      <c r="C9" s="2" t="n">
        <v>11000</v>
      </c>
      <c r="D9" s="2" t="n">
        <v>-7.7852789</v>
      </c>
      <c r="E9" s="2" t="n">
        <v>112.5473145</v>
      </c>
      <c r="F9" s="3">
        <f>(C9 - $B$192) / $B$193</f>
        <v/>
      </c>
      <c r="G9" s="2">
        <f>IF(F9&lt;-0.5,"Murah",IF(F9&lt;0.5,"Sedang","Mahal"))</f>
        <v/>
      </c>
    </row>
    <row r="10">
      <c r="A10" s="2" t="n">
        <v>9</v>
      </c>
      <c r="B10" s="2" t="inlineStr">
        <is>
          <t>Masjid An-Nur</t>
        </is>
      </c>
      <c r="C10" s="2" t="n">
        <v>10000</v>
      </c>
      <c r="D10" s="2" t="n">
        <v>-7.9639168</v>
      </c>
      <c r="E10" s="2" t="n">
        <v>112.6294924</v>
      </c>
      <c r="F10" s="3">
        <f>(C10 - $B$192) / $B$193</f>
        <v/>
      </c>
      <c r="G10" s="2">
        <f>IF(F10&lt;-0.5,"Murah",IF(F10&lt;0.5,"Sedang","Mahal"))</f>
        <v/>
      </c>
    </row>
    <row r="11">
      <c r="A11" s="2" t="n">
        <v>10</v>
      </c>
      <c r="B11" s="2" t="inlineStr">
        <is>
          <t>MAKAM MBAH JAGOPATI</t>
        </is>
      </c>
      <c r="C11" s="2" t="n">
        <v>0</v>
      </c>
      <c r="D11" s="2" t="n">
        <v>-8.0685875</v>
      </c>
      <c r="E11" s="2" t="n">
        <v>112.6595156</v>
      </c>
      <c r="F11" s="3">
        <f>(C11 - $B$192) / $B$193</f>
        <v/>
      </c>
      <c r="G11" s="2">
        <f>IF(F11&lt;-0.5,"Murah",IF(F11&lt;0.5,"Sedang","Mahal"))</f>
        <v/>
      </c>
    </row>
    <row r="12">
      <c r="A12" s="2" t="n">
        <v>11</v>
      </c>
      <c r="B12" s="2" t="inlineStr">
        <is>
          <t>Wisata Religi Sumber 9</t>
        </is>
      </c>
      <c r="C12" s="2" t="n">
        <v>5000</v>
      </c>
      <c r="D12" s="2" t="n">
        <v>-8.172191099999999</v>
      </c>
      <c r="E12" s="2" t="n">
        <v>112.5472822</v>
      </c>
      <c r="F12" s="3">
        <f>(C12 - $B$192) / $B$193</f>
        <v/>
      </c>
      <c r="G12" s="2">
        <f>IF(F12&lt;-0.5,"Murah",IF(F12&lt;0.5,"Sedang","Mahal"))</f>
        <v/>
      </c>
    </row>
    <row r="13">
      <c r="A13" s="2" t="n">
        <v>12</v>
      </c>
      <c r="B13" s="2" t="inlineStr">
        <is>
          <t>Parkir mobil gratis Masjid tiban turen</t>
        </is>
      </c>
      <c r="C13" s="2" t="n">
        <v>5000</v>
      </c>
      <c r="D13" s="2" t="n">
        <v>-8.1514495</v>
      </c>
      <c r="E13" s="2" t="n">
        <v>112.7123119</v>
      </c>
      <c r="F13" s="3">
        <f>(C13 - $B$192) / $B$193</f>
        <v/>
      </c>
      <c r="G13" s="2">
        <f>IF(F13&lt;-0.5,"Murah",IF(F13&lt;0.5,"Sedang","Mahal"))</f>
        <v/>
      </c>
    </row>
    <row r="14">
      <c r="A14" s="2" t="n">
        <v>13</v>
      </c>
      <c r="B14" s="2" t="inlineStr">
        <is>
          <t>Punden Mbah Mogok</t>
        </is>
      </c>
      <c r="C14" s="2" t="n">
        <v>10000</v>
      </c>
      <c r="D14" s="2" t="n">
        <v>-7.9619438</v>
      </c>
      <c r="E14" s="2" t="n">
        <v>112.6048652</v>
      </c>
      <c r="F14" s="3">
        <f>(C14 - $B$192) / $B$193</f>
        <v/>
      </c>
      <c r="G14" s="2">
        <f>IF(F14&lt;-0.5,"Murah",IF(F14&lt;0.5,"Sedang","Mahal"))</f>
        <v/>
      </c>
    </row>
    <row r="15">
      <c r="A15" s="2" t="n">
        <v>14</v>
      </c>
      <c r="B15" s="2" t="inlineStr">
        <is>
          <t>Maqam Al Habib Abdullah Bin Abdul Qadir Bilfaqih</t>
        </is>
      </c>
      <c r="C15" s="2" t="n">
        <v>20000</v>
      </c>
      <c r="D15" s="2" t="n">
        <v>-7.9890997</v>
      </c>
      <c r="E15" s="2" t="n">
        <v>112.6238595</v>
      </c>
      <c r="F15" s="3">
        <f>(C15 - $B$192) / $B$193</f>
        <v/>
      </c>
      <c r="G15" s="2">
        <f>IF(F15&lt;-0.5,"Murah",IF(F15&lt;0.5,"Sedang","Mahal"))</f>
        <v/>
      </c>
    </row>
    <row r="16">
      <c r="A16" s="2" t="n">
        <v>15</v>
      </c>
      <c r="B16" s="2" t="inlineStr">
        <is>
          <t>Pura Luhur Dwijawarsa</t>
        </is>
      </c>
      <c r="C16" s="2" t="n">
        <v>104500</v>
      </c>
      <c r="D16" s="2" t="n">
        <v>-7.9953961</v>
      </c>
      <c r="E16" s="2" t="n">
        <v>112.6610419</v>
      </c>
      <c r="F16" s="3">
        <f>(C16 - $B$192) / $B$193</f>
        <v/>
      </c>
      <c r="G16" s="2">
        <f>IF(F16&lt;-0.5,"Murah",IF(F16&lt;0.5,"Sedang","Mahal"))</f>
        <v/>
      </c>
    </row>
    <row r="17">
      <c r="A17" s="2" t="n">
        <v>16</v>
      </c>
      <c r="B17" s="2" t="inlineStr">
        <is>
          <t>TPU Kasin</t>
        </is>
      </c>
      <c r="C17" s="2" t="n">
        <v>30000</v>
      </c>
      <c r="D17" s="2" t="n">
        <v>-7.9896057</v>
      </c>
      <c r="E17" s="2" t="n">
        <v>112.6239566</v>
      </c>
      <c r="F17" s="3">
        <f>(C17 - $B$192) / $B$193</f>
        <v/>
      </c>
      <c r="G17" s="2">
        <f>IF(F17&lt;-0.5,"Murah",IF(F17&lt;0.5,"Sedang","Mahal"))</f>
        <v/>
      </c>
    </row>
    <row r="18">
      <c r="A18" s="2" t="n">
        <v>17</v>
      </c>
      <c r="B18" s="2" t="inlineStr">
        <is>
          <t>Puncak Gunung Banyak/paralayang</t>
        </is>
      </c>
      <c r="C18" s="2" t="n">
        <v>10000</v>
      </c>
      <c r="D18" s="2" t="n">
        <v>-7.8549572</v>
      </c>
      <c r="E18" s="2" t="n">
        <v>112.4963794</v>
      </c>
      <c r="F18" s="3">
        <f>(C18 - $B$192) / $B$193</f>
        <v/>
      </c>
      <c r="G18" s="2">
        <f>IF(F18&lt;-0.5,"Murah",IF(F18&lt;0.5,"Sedang","Mahal"))</f>
        <v/>
      </c>
    </row>
    <row r="19">
      <c r="A19" s="2" t="n">
        <v>18</v>
      </c>
      <c r="B19" s="2" t="inlineStr">
        <is>
          <t>Air Terjun Coban Rondo Pujon</t>
        </is>
      </c>
      <c r="C19" s="2" t="n">
        <v>35000</v>
      </c>
      <c r="D19" s="2" t="n">
        <v>-7.8846458</v>
      </c>
      <c r="E19" s="2" t="n">
        <v>112.4768237</v>
      </c>
      <c r="F19" s="3">
        <f>(C19 - $B$192) / $B$193</f>
        <v/>
      </c>
      <c r="G19" s="2">
        <f>IF(F19&lt;-0.5,"Murah",IF(F19&lt;0.5,"Sedang","Mahal"))</f>
        <v/>
      </c>
    </row>
    <row r="20">
      <c r="A20" s="2" t="n">
        <v>19</v>
      </c>
      <c r="B20" s="2" t="inlineStr">
        <is>
          <t>Agrowisata Teh Wonosari</t>
        </is>
      </c>
      <c r="C20" s="2" t="n">
        <v>15000</v>
      </c>
      <c r="D20" s="2" t="n">
        <v>-7.8204902</v>
      </c>
      <c r="E20" s="2" t="n">
        <v>112.6431502</v>
      </c>
      <c r="F20" s="3">
        <f>(C20 - $B$192) / $B$193</f>
        <v/>
      </c>
      <c r="G20" s="2">
        <f>IF(F20&lt;-0.5,"Murah",IF(F20&lt;0.5,"Sedang","Mahal"))</f>
        <v/>
      </c>
    </row>
    <row r="21">
      <c r="A21" s="2" t="n">
        <v>20</v>
      </c>
      <c r="B21" s="2" t="inlineStr">
        <is>
          <t>Puncak Budug Asu</t>
        </is>
      </c>
      <c r="C21" s="2" t="n">
        <v>10000</v>
      </c>
      <c r="D21" s="2" t="n">
        <v>-7.807287</v>
      </c>
      <c r="E21" s="2" t="n">
        <v>112.6214149</v>
      </c>
      <c r="F21" s="3">
        <f>(C21 - $B$192) / $B$193</f>
        <v/>
      </c>
      <c r="G21" s="2">
        <f>IF(F21&lt;-0.5,"Murah",IF(F21&lt;0.5,"Sedang","Mahal"))</f>
        <v/>
      </c>
    </row>
    <row r="22">
      <c r="A22" s="2" t="n">
        <v>21</v>
      </c>
      <c r="B22" s="2" t="inlineStr">
        <is>
          <t>Keraton Gunung Kawi</t>
        </is>
      </c>
      <c r="C22" s="2" t="n">
        <v>5000</v>
      </c>
      <c r="D22" s="2" t="n">
        <v>-8.0027708</v>
      </c>
      <c r="E22" s="2" t="n">
        <v>112.4860023</v>
      </c>
      <c r="F22" s="3">
        <f>(C22 - $B$192) / $B$193</f>
        <v/>
      </c>
      <c r="G22" s="2">
        <f>IF(F22&lt;-0.5,"Murah",IF(F22&lt;0.5,"Sedang","Mahal"))</f>
        <v/>
      </c>
    </row>
    <row r="23">
      <c r="A23" s="2" t="n">
        <v>22</v>
      </c>
      <c r="B23" s="2" t="inlineStr">
        <is>
          <t>Bukit Nirwana</t>
        </is>
      </c>
      <c r="C23" s="2" t="n">
        <v>10000</v>
      </c>
      <c r="D23" s="2" t="n">
        <v>-7.8617098</v>
      </c>
      <c r="E23" s="2" t="n">
        <v>112.4600165</v>
      </c>
      <c r="F23" s="3">
        <f>(C23 - $B$192) / $B$193</f>
        <v/>
      </c>
      <c r="G23" s="2">
        <f>IF(F23&lt;-0.5,"Murah",IF(F23&lt;0.5,"Sedang","Mahal"))</f>
        <v/>
      </c>
    </row>
    <row r="24">
      <c r="A24" s="2" t="n">
        <v>23</v>
      </c>
      <c r="B24" s="2" t="inlineStr">
        <is>
          <t>Gunung Geger</t>
        </is>
      </c>
      <c r="C24" s="2" t="n">
        <v>29000</v>
      </c>
      <c r="D24" s="2" t="n">
        <v>-8.229934500000001</v>
      </c>
      <c r="E24" s="2" t="n">
        <v>112.5526712</v>
      </c>
      <c r="F24" s="3">
        <f>(C24 - $B$192) / $B$193</f>
        <v/>
      </c>
      <c r="G24" s="2">
        <f>IF(F24&lt;-0.5,"Murah",IF(F24&lt;0.5,"Sedang","Mahal"))</f>
        <v/>
      </c>
    </row>
    <row r="25">
      <c r="A25" s="2" t="n">
        <v>24</v>
      </c>
      <c r="B25" s="2" t="inlineStr">
        <is>
          <t>Omah Kayu Gunung Banyak</t>
        </is>
      </c>
      <c r="C25" s="2" t="n">
        <v>10000</v>
      </c>
      <c r="D25" s="2" t="n">
        <v>-7.8549492</v>
      </c>
      <c r="E25" s="2" t="n">
        <v>112.4978051</v>
      </c>
      <c r="F25" s="3">
        <f>(C25 - $B$192) / $B$193</f>
        <v/>
      </c>
      <c r="G25" s="2">
        <f>IF(F25&lt;-0.5,"Murah",IF(F25&lt;0.5,"Sedang","Mahal"))</f>
        <v/>
      </c>
    </row>
    <row r="26">
      <c r="A26" s="2" t="n">
        <v>25</v>
      </c>
      <c r="B26" s="2" t="inlineStr">
        <is>
          <t>Wisata paralayang</t>
        </is>
      </c>
      <c r="C26" s="2" t="n">
        <v>10000</v>
      </c>
      <c r="D26" s="2" t="n">
        <v>-7.8550565</v>
      </c>
      <c r="E26" s="2" t="n">
        <v>112.4967558</v>
      </c>
      <c r="F26" s="3">
        <f>(C26 - $B$192) / $B$193</f>
        <v/>
      </c>
      <c r="G26" s="2">
        <f>IF(F26&lt;-0.5,"Murah",IF(F26&lt;0.5,"Sedang","Mahal"))</f>
        <v/>
      </c>
    </row>
    <row r="27">
      <c r="A27" s="2" t="n">
        <v>26</v>
      </c>
      <c r="B27" s="2" t="inlineStr">
        <is>
          <t>Air Terjun Sumber Pitu Pujon</t>
        </is>
      </c>
      <c r="C27" s="2" t="n">
        <v>10000</v>
      </c>
      <c r="D27" s="2" t="n">
        <v>-7.8955192</v>
      </c>
      <c r="E27" s="2" t="n">
        <v>112.4621553</v>
      </c>
      <c r="F27" s="3">
        <f>(C27 - $B$192) / $B$193</f>
        <v/>
      </c>
      <c r="G27" s="2">
        <f>IF(F27&lt;-0.5,"Murah",IF(F27&lt;0.5,"Sedang","Mahal"))</f>
        <v/>
      </c>
    </row>
    <row r="28">
      <c r="A28" s="2" t="n">
        <v>27</v>
      </c>
      <c r="B28" s="2" t="inlineStr">
        <is>
          <t>Wisata Alam Lembah Gunung Sari Desa Kucur</t>
        </is>
      </c>
      <c r="C28" s="2" t="n">
        <v>10000</v>
      </c>
      <c r="D28" s="2" t="n">
        <v>-7.9630258</v>
      </c>
      <c r="E28" s="2" t="n">
        <v>112.5556656</v>
      </c>
      <c r="F28" s="3">
        <f>(C28 - $B$192) / $B$193</f>
        <v/>
      </c>
      <c r="G28" s="2">
        <f>IF(F28&lt;-0.5,"Murah",IF(F28&lt;0.5,"Sedang","Mahal"))</f>
        <v/>
      </c>
    </row>
    <row r="29">
      <c r="A29" s="2" t="n">
        <v>28</v>
      </c>
      <c r="B29" s="2" t="inlineStr">
        <is>
          <t>Air Terjun Coban Supit Urang</t>
        </is>
      </c>
      <c r="C29" s="2" t="n">
        <v>5000</v>
      </c>
      <c r="D29" s="2" t="n">
        <v>-7.7910044</v>
      </c>
      <c r="E29" s="2" t="n">
        <v>112.4603522</v>
      </c>
      <c r="F29" s="3">
        <f>(C29 - $B$192) / $B$193</f>
        <v/>
      </c>
      <c r="G29" s="2">
        <f>IF(F29&lt;-0.5,"Murah",IF(F29&lt;0.5,"Sedang","Mahal"))</f>
        <v/>
      </c>
    </row>
    <row r="30">
      <c r="A30" s="2" t="n">
        <v>29</v>
      </c>
      <c r="B30" s="2" t="inlineStr">
        <is>
          <t>Coban Trisula</t>
        </is>
      </c>
      <c r="C30" s="2" t="n">
        <v>5000</v>
      </c>
      <c r="D30" s="2" t="n">
        <v>-7.999417</v>
      </c>
      <c r="E30" s="2" t="n">
        <v>112.8685364</v>
      </c>
      <c r="F30" s="3">
        <f>(C30 - $B$192) / $B$193</f>
        <v/>
      </c>
      <c r="G30" s="2">
        <f>IF(F30&lt;-0.5,"Murah",IF(F30&lt;0.5,"Sedang","Mahal"))</f>
        <v/>
      </c>
    </row>
    <row r="31">
      <c r="A31" s="2" t="n">
        <v>30</v>
      </c>
      <c r="B31" s="2" t="inlineStr">
        <is>
          <t>Perhutani Precet Lereng Gunung Kawi</t>
        </is>
      </c>
      <c r="C31" s="2" t="n">
        <v>5000</v>
      </c>
      <c r="D31" s="2" t="n">
        <v>-8.001235899999999</v>
      </c>
      <c r="E31" s="2" t="n">
        <v>112.5076674</v>
      </c>
      <c r="F31" s="3">
        <f>(C31 - $B$192) / $B$193</f>
        <v/>
      </c>
      <c r="G31" s="2">
        <f>IF(F31&lt;-0.5,"Murah",IF(F31&lt;0.5,"Sedang","Mahal"))</f>
        <v/>
      </c>
    </row>
    <row r="32">
      <c r="A32" s="2" t="n">
        <v>31</v>
      </c>
      <c r="B32" s="2" t="inlineStr">
        <is>
          <t>HUTAN KAWI &amp; BASCAM PUNCAK BATU TULIS</t>
        </is>
      </c>
      <c r="C32" s="2" t="n">
        <v>20000</v>
      </c>
      <c r="D32" s="2" t="n">
        <v>-8.0005001</v>
      </c>
      <c r="E32" s="2" t="n">
        <v>112.5083635</v>
      </c>
      <c r="F32" s="3">
        <f>(C32 - $B$192) / $B$193</f>
        <v/>
      </c>
      <c r="G32" s="2">
        <f>IF(F32&lt;-0.5,"Murah",IF(F32&lt;0.5,"Sedang","Mahal"))</f>
        <v/>
      </c>
    </row>
    <row r="33">
      <c r="A33" s="2" t="n">
        <v>32</v>
      </c>
      <c r="B33" s="2" t="inlineStr">
        <is>
          <t>Wisata Gunung Kombang</t>
        </is>
      </c>
      <c r="C33" s="2" t="n">
        <v>15000</v>
      </c>
      <c r="D33" s="2" t="n">
        <v>-8.3865186</v>
      </c>
      <c r="E33" s="2" t="n">
        <v>112.42574</v>
      </c>
      <c r="F33" s="3">
        <f>(C33 - $B$192) / $B$193</f>
        <v/>
      </c>
      <c r="G33" s="2">
        <f>IF(F33&lt;-0.5,"Murah",IF(F33&lt;0.5,"Sedang","Mahal"))</f>
        <v/>
      </c>
    </row>
    <row r="34">
      <c r="A34" s="2" t="n">
        <v>33</v>
      </c>
      <c r="B34" s="2" t="inlineStr">
        <is>
          <t>Bromo Transit Park Tumpang</t>
        </is>
      </c>
      <c r="C34" s="2" t="n">
        <v>20000</v>
      </c>
      <c r="D34" s="2" t="n">
        <v>-8.0199365</v>
      </c>
      <c r="E34" s="2" t="n">
        <v>112.778365</v>
      </c>
      <c r="F34" s="3">
        <f>(C34 - $B$192) / $B$193</f>
        <v/>
      </c>
      <c r="G34" s="2">
        <f>IF(F34&lt;-0.5,"Murah",IF(F34&lt;0.5,"Sedang","Mahal"))</f>
        <v/>
      </c>
    </row>
    <row r="35">
      <c r="A35" s="2" t="n">
        <v>34</v>
      </c>
      <c r="B35" s="2" t="inlineStr">
        <is>
          <t>Sumber Maron</t>
        </is>
      </c>
      <c r="C35" s="2" t="n">
        <v>10000</v>
      </c>
      <c r="D35" s="2" t="n">
        <v>-8.1656096</v>
      </c>
      <c r="E35" s="2" t="n">
        <v>112.5920333</v>
      </c>
      <c r="F35" s="3">
        <f>(C35 - $B$192) / $B$193</f>
        <v/>
      </c>
      <c r="G35" s="2">
        <f>IF(F35&lt;-0.5,"Murah",IF(F35&lt;0.5,"Sedang","Mahal"))</f>
        <v/>
      </c>
    </row>
    <row r="36">
      <c r="A36" s="2" t="n">
        <v>35</v>
      </c>
      <c r="B36" s="2" t="inlineStr">
        <is>
          <t>Wisata Rekreasi Kolam renang Lembah gunung sari</t>
        </is>
      </c>
      <c r="C36" s="2" t="n">
        <v>10000</v>
      </c>
      <c r="D36" s="2" t="n">
        <v>-7.9648866</v>
      </c>
      <c r="E36" s="2" t="n">
        <v>112.5548381</v>
      </c>
      <c r="F36" s="3">
        <f>(C36 - $B$192) / $B$193</f>
        <v/>
      </c>
      <c r="G36" s="2">
        <f>IF(F36&lt;-0.5,"Murah",IF(F36&lt;0.5,"Sedang","Mahal"))</f>
        <v/>
      </c>
    </row>
    <row r="37">
      <c r="A37" s="2" t="n">
        <v>36</v>
      </c>
      <c r="B37" s="2" t="inlineStr">
        <is>
          <t>Air Terjun Coban Pelangi, Malang</t>
        </is>
      </c>
      <c r="C37" s="2" t="n">
        <v>10000</v>
      </c>
      <c r="D37" s="2" t="n">
        <v>-8.011407999999999</v>
      </c>
      <c r="E37" s="2" t="n">
        <v>112.8603973</v>
      </c>
      <c r="F37" s="3">
        <f>(C37 - $B$192) / $B$193</f>
        <v/>
      </c>
      <c r="G37" s="2">
        <f>IF(F37&lt;-0.5,"Murah",IF(F37&lt;0.5,"Sedang","Mahal"))</f>
        <v/>
      </c>
    </row>
    <row r="38">
      <c r="A38" s="2" t="n">
        <v>37</v>
      </c>
      <c r="B38" s="2" t="inlineStr">
        <is>
          <t>GUNUNG KITIRAN</t>
        </is>
      </c>
      <c r="C38" s="2" t="n">
        <v>10000</v>
      </c>
      <c r="D38" s="2" t="n">
        <v>-8.319307</v>
      </c>
      <c r="E38" s="2" t="n">
        <v>112.6909911</v>
      </c>
      <c r="F38" s="3">
        <f>(C38 - $B$192) / $B$193</f>
        <v/>
      </c>
      <c r="G38" s="2">
        <f>IF(F38&lt;-0.5,"Murah",IF(F38&lt;0.5,"Sedang","Mahal"))</f>
        <v/>
      </c>
    </row>
    <row r="39">
      <c r="A39" s="2" t="n">
        <v>38</v>
      </c>
      <c r="B39" s="2" t="inlineStr">
        <is>
          <t>Geopark Gunung Cilik</t>
        </is>
      </c>
      <c r="C39" s="2" t="n">
        <v>51000</v>
      </c>
      <c r="D39" s="2" t="n">
        <v>-7.8260839</v>
      </c>
      <c r="E39" s="2" t="n">
        <v>112.4603061</v>
      </c>
      <c r="F39" s="3">
        <f>(C39 - $B$192) / $B$193</f>
        <v/>
      </c>
      <c r="G39" s="2">
        <f>IF(F39&lt;-0.5,"Murah",IF(F39&lt;0.5,"Sedang","Mahal"))</f>
        <v/>
      </c>
    </row>
    <row r="40">
      <c r="A40" s="2" t="n">
        <v>39</v>
      </c>
      <c r="B40" s="2" t="inlineStr">
        <is>
          <t>Bukit Mendek Wetan</t>
        </is>
      </c>
      <c r="C40" s="2" t="n">
        <v>10000</v>
      </c>
      <c r="D40" s="2" t="n">
        <v>-7.8550625</v>
      </c>
      <c r="E40" s="2" t="n">
        <v>112.7399375</v>
      </c>
      <c r="F40" s="3">
        <f>(C40 - $B$192) / $B$193</f>
        <v/>
      </c>
      <c r="G40" s="2">
        <f>IF(F40&lt;-0.5,"Murah",IF(F40&lt;0.5,"Sedang","Mahal"))</f>
        <v/>
      </c>
    </row>
    <row r="41">
      <c r="A41" s="2" t="n">
        <v>40</v>
      </c>
      <c r="B41" s="2" t="inlineStr">
        <is>
          <t>Arjuna Geopark</t>
        </is>
      </c>
      <c r="C41" s="2" t="n">
        <v>10000</v>
      </c>
      <c r="D41" s="2" t="n">
        <v>-7.8184952</v>
      </c>
      <c r="E41" s="2" t="n">
        <v>112.6463259</v>
      </c>
      <c r="F41" s="3">
        <f>(C41 - $B$192) / $B$193</f>
        <v/>
      </c>
      <c r="G41" s="2">
        <f>IF(F41&lt;-0.5,"Murah",IF(F41&lt;0.5,"Sedang","Mahal"))</f>
        <v/>
      </c>
    </row>
    <row r="42">
      <c r="A42" s="2" t="n">
        <v>41</v>
      </c>
      <c r="B42" s="2" t="inlineStr">
        <is>
          <t>Air Terjun Sumber Pitu Tumpang</t>
        </is>
      </c>
      <c r="C42" s="2" t="n">
        <v>5000</v>
      </c>
      <c r="D42" s="2" t="n">
        <v>-8.013583199999999</v>
      </c>
      <c r="E42" s="2" t="n">
        <v>112.8217266</v>
      </c>
      <c r="F42" s="3">
        <f>(C42 - $B$192) / $B$193</f>
        <v/>
      </c>
      <c r="G42" s="2">
        <f>IF(F42&lt;-0.5,"Murah",IF(F42&lt;0.5,"Sedang","Mahal"))</f>
        <v/>
      </c>
    </row>
    <row r="43">
      <c r="A43" s="2" t="n">
        <v>42</v>
      </c>
      <c r="B43" s="2" t="inlineStr">
        <is>
          <t>Hutan Kota Malabar Malang</t>
        </is>
      </c>
      <c r="C43" s="2" t="n">
        <v>2000</v>
      </c>
      <c r="D43" s="2" t="n">
        <v>-7.9685</v>
      </c>
      <c r="E43" s="2" t="n">
        <v>112.626514</v>
      </c>
      <c r="F43" s="3">
        <f>(C43 - $B$192) / $B$193</f>
        <v/>
      </c>
      <c r="G43" s="2">
        <f>IF(F43&lt;-0.5,"Murah",IF(F43&lt;0.5,"Sedang","Mahal"))</f>
        <v/>
      </c>
    </row>
    <row r="44">
      <c r="A44" s="2" t="n">
        <v>43</v>
      </c>
      <c r="B44" s="2" t="inlineStr">
        <is>
          <t>Wisata Alam Sumber Jenon</t>
        </is>
      </c>
      <c r="C44" s="2" t="n">
        <v>10000</v>
      </c>
      <c r="D44" s="2" t="n">
        <v>-8.0496699</v>
      </c>
      <c r="E44" s="2" t="n">
        <v>112.7164657</v>
      </c>
      <c r="F44" s="3">
        <f>(C44 - $B$192) / $B$193</f>
        <v/>
      </c>
      <c r="G44" s="2">
        <f>IF(F44&lt;-0.5,"Murah",IF(F44&lt;0.5,"Sedang","Mahal"))</f>
        <v/>
      </c>
    </row>
    <row r="45">
      <c r="A45" s="2" t="n">
        <v>44</v>
      </c>
      <c r="B45" s="2" t="inlineStr">
        <is>
          <t>Coban Bidadari</t>
        </is>
      </c>
      <c r="C45" s="2" t="n">
        <v>10000</v>
      </c>
      <c r="D45" s="2" t="n">
        <v>-8.006144000000001</v>
      </c>
      <c r="E45" s="2" t="n">
        <v>112.867754</v>
      </c>
      <c r="F45" s="3">
        <f>(C45 - $B$192) / $B$193</f>
        <v/>
      </c>
      <c r="G45" s="2">
        <f>IF(F45&lt;-0.5,"Murah",IF(F45&lt;0.5,"Sedang","Mahal"))</f>
        <v/>
      </c>
    </row>
    <row r="46">
      <c r="A46" s="2" t="n">
        <v>45</v>
      </c>
      <c r="B46" s="2" t="inlineStr">
        <is>
          <t>Budug Asu 1422 Mdpl</t>
        </is>
      </c>
      <c r="C46" s="2" t="n">
        <v>10000</v>
      </c>
      <c r="D46" s="2" t="n">
        <v>-7.8066024</v>
      </c>
      <c r="E46" s="2" t="n">
        <v>112.6192365</v>
      </c>
      <c r="F46" s="3">
        <f>(C46 - $B$192) / $B$193</f>
        <v/>
      </c>
      <c r="G46" s="2">
        <f>IF(F46&lt;-0.5,"Murah",IF(F46&lt;0.5,"Sedang","Mahal"))</f>
        <v/>
      </c>
    </row>
    <row r="47">
      <c r="A47" s="2" t="n">
        <v>46</v>
      </c>
      <c r="B47" s="2" t="inlineStr">
        <is>
          <t>Florawisata Santerra De Laponte</t>
        </is>
      </c>
      <c r="C47" s="2" t="n">
        <v>30000</v>
      </c>
      <c r="D47" s="2" t="n">
        <v>-7.8538694</v>
      </c>
      <c r="E47" s="2" t="n">
        <v>112.4851352</v>
      </c>
      <c r="F47" s="3">
        <f>(C47 - $B$192) / $B$193</f>
        <v/>
      </c>
      <c r="G47" s="2">
        <f>IF(F47&lt;-0.5,"Murah",IF(F47&lt;0.5,"Sedang","Mahal"))</f>
        <v/>
      </c>
    </row>
    <row r="48">
      <c r="A48" s="2" t="n">
        <v>47</v>
      </c>
      <c r="B48" s="2" t="inlineStr">
        <is>
          <t>Bukit Teletubbies Batu</t>
        </is>
      </c>
      <c r="C48" s="2" t="n">
        <v>10000</v>
      </c>
      <c r="D48" s="2" t="n">
        <v>-7.85376</v>
      </c>
      <c r="E48" s="2" t="n">
        <v>112.5395231</v>
      </c>
      <c r="F48" s="3">
        <f>(C48 - $B$192) / $B$193</f>
        <v/>
      </c>
      <c r="G48" s="2">
        <f>IF(F48&lt;-0.5,"Murah",IF(F48&lt;0.5,"Sedang","Mahal"))</f>
        <v/>
      </c>
    </row>
    <row r="49">
      <c r="A49" s="2" t="n">
        <v>48</v>
      </c>
      <c r="B49" s="2" t="inlineStr">
        <is>
          <t>Air Terjun Coban Glotak</t>
        </is>
      </c>
      <c r="C49" s="2" t="n">
        <v>4000</v>
      </c>
      <c r="D49" s="2" t="n">
        <v>-7.9821112</v>
      </c>
      <c r="E49" s="2" t="n">
        <v>112.5211667</v>
      </c>
      <c r="F49" s="3">
        <f>(C49 - $B$192) / $B$193</f>
        <v/>
      </c>
      <c r="G49" s="2">
        <f>IF(F49&lt;-0.5,"Murah",IF(F49&lt;0.5,"Sedang","Mahal"))</f>
        <v/>
      </c>
    </row>
    <row r="50">
      <c r="A50" s="2" t="n">
        <v>49</v>
      </c>
      <c r="B50" s="2" t="inlineStr">
        <is>
          <t>Air Terjun Coban Tengah</t>
        </is>
      </c>
      <c r="C50" s="2" t="n">
        <v>35000</v>
      </c>
      <c r="D50" s="2" t="n">
        <v>-7.8920601</v>
      </c>
      <c r="E50" s="2" t="n">
        <v>112.4751568</v>
      </c>
      <c r="F50" s="3">
        <f>(C50 - $B$192) / $B$193</f>
        <v/>
      </c>
      <c r="G50" s="2">
        <f>IF(F50&lt;-0.5,"Murah",IF(F50&lt;0.5,"Sedang","Mahal"))</f>
        <v/>
      </c>
    </row>
    <row r="51">
      <c r="A51" s="2" t="n">
        <v>50</v>
      </c>
      <c r="B51" s="2" t="inlineStr">
        <is>
          <t>Air Terjun Coban Jahe</t>
        </is>
      </c>
      <c r="C51" s="2" t="n">
        <v>5000</v>
      </c>
      <c r="D51" s="2" t="n">
        <v>-7.9705673</v>
      </c>
      <c r="E51" s="2" t="n">
        <v>112.8023017</v>
      </c>
      <c r="F51" s="3">
        <f>(C51 - $B$192) / $B$193</f>
        <v/>
      </c>
      <c r="G51" s="2">
        <f>IF(F51&lt;-0.5,"Murah",IF(F51&lt;0.5,"Sedang","Mahal"))</f>
        <v/>
      </c>
    </row>
    <row r="52">
      <c r="A52" s="2" t="n">
        <v>51</v>
      </c>
      <c r="B52" s="2" t="inlineStr">
        <is>
          <t>Desa Wisata Pujonkidul</t>
        </is>
      </c>
      <c r="C52" s="2" t="n">
        <v>12500</v>
      </c>
      <c r="D52" s="2" t="n">
        <v>-7.8557059</v>
      </c>
      <c r="E52" s="2" t="n">
        <v>112.4558603</v>
      </c>
      <c r="F52" s="3">
        <f>(C52 - $B$192) / $B$193</f>
        <v/>
      </c>
      <c r="G52" s="2">
        <f>IF(F52&lt;-0.5,"Murah",IF(F52&lt;0.5,"Sedang","Mahal"))</f>
        <v/>
      </c>
    </row>
    <row r="53">
      <c r="A53" s="2" t="n">
        <v>52</v>
      </c>
      <c r="B53" s="2" t="inlineStr">
        <is>
          <t>Gussari Goa Pinus Batu</t>
        </is>
      </c>
      <c r="C53" s="2" t="n">
        <v>10000</v>
      </c>
      <c r="D53" s="2" t="n">
        <v>-7.8480284</v>
      </c>
      <c r="E53" s="2" t="n">
        <v>112.4940029</v>
      </c>
      <c r="F53" s="3">
        <f>(C53 - $B$192) / $B$193</f>
        <v/>
      </c>
      <c r="G53" s="2">
        <f>IF(F53&lt;-0.5,"Murah",IF(F53&lt;0.5,"Sedang","Mahal"))</f>
        <v/>
      </c>
    </row>
    <row r="54">
      <c r="A54" s="2" t="n">
        <v>53</v>
      </c>
      <c r="B54" s="2" t="inlineStr">
        <is>
          <t>Pemandian Sumber Nyolo</t>
        </is>
      </c>
      <c r="C54" s="2" t="n">
        <v>5000</v>
      </c>
      <c r="D54" s="2" t="n">
        <v>-7.8801751</v>
      </c>
      <c r="E54" s="2" t="n">
        <v>112.6208013</v>
      </c>
      <c r="F54" s="3">
        <f>(C54 - $B$192) / $B$193</f>
        <v/>
      </c>
      <c r="G54" s="2">
        <f>IF(F54&lt;-0.5,"Murah",IF(F54&lt;0.5,"Sedang","Mahal"))</f>
        <v/>
      </c>
    </row>
    <row r="55">
      <c r="A55" s="2" t="n">
        <v>54</v>
      </c>
      <c r="B55" s="2" t="inlineStr">
        <is>
          <t>Agrowisata Telaga Madiredo</t>
        </is>
      </c>
      <c r="C55" s="2" t="n">
        <v>10000</v>
      </c>
      <c r="D55" s="2" t="n">
        <v>-7.8249722</v>
      </c>
      <c r="E55" s="2" t="n">
        <v>112.4598137</v>
      </c>
      <c r="F55" s="3">
        <f>(C55 - $B$192) / $B$193</f>
        <v/>
      </c>
      <c r="G55" s="2">
        <f>IF(F55&lt;-0.5,"Murah",IF(F55&lt;0.5,"Sedang","Mahal"))</f>
        <v/>
      </c>
    </row>
    <row r="56">
      <c r="A56" s="2" t="n">
        <v>55</v>
      </c>
      <c r="B56" s="2" t="inlineStr">
        <is>
          <t>Sumber Sira Putukrejo</t>
        </is>
      </c>
      <c r="C56" s="2" t="n">
        <v>5000</v>
      </c>
      <c r="D56" s="2" t="n">
        <v>-8.122829299999999</v>
      </c>
      <c r="E56" s="2" t="n">
        <v>112.6206066</v>
      </c>
      <c r="F56" s="3">
        <f>(C56 - $B$192) / $B$193</f>
        <v/>
      </c>
      <c r="G56" s="2">
        <f>IF(F56&lt;-0.5,"Murah",IF(F56&lt;0.5,"Sedang","Mahal"))</f>
        <v/>
      </c>
    </row>
    <row r="57">
      <c r="A57" s="2" t="n">
        <v>56</v>
      </c>
      <c r="B57" s="2" t="inlineStr">
        <is>
          <t>Bukit Jengkoang</t>
        </is>
      </c>
      <c r="C57" s="2" t="n">
        <v>150000</v>
      </c>
      <c r="D57" s="2" t="n">
        <v>-7.8263819</v>
      </c>
      <c r="E57" s="2" t="n">
        <v>112.5577718</v>
      </c>
      <c r="F57" s="3">
        <f>(C57 - $B$192) / $B$193</f>
        <v/>
      </c>
      <c r="G57" s="2">
        <f>IF(F57&lt;-0.5,"Murah",IF(F57&lt;0.5,"Sedang","Mahal"))</f>
        <v/>
      </c>
    </row>
    <row r="58">
      <c r="A58" s="2" t="n">
        <v>57</v>
      </c>
      <c r="B58" s="2" t="inlineStr">
        <is>
          <t>Desa Wisata Gubugklakah ꦒꦸꦧꦸꦏ꧀ꦏ꧀ꦭꦏꦃ</t>
        </is>
      </c>
      <c r="C58" s="2" t="n">
        <v>575000</v>
      </c>
      <c r="D58" s="2" t="n">
        <v>-8.0288179</v>
      </c>
      <c r="E58" s="2" t="n">
        <v>112.8234674</v>
      </c>
      <c r="F58" s="3">
        <f>(C58 - $B$192) / $B$193</f>
        <v/>
      </c>
      <c r="G58" s="2">
        <f>IF(F58&lt;-0.5,"Murah",IF(F58&lt;0.5,"Sedang","Mahal"))</f>
        <v/>
      </c>
    </row>
    <row r="59">
      <c r="A59" s="2" t="n">
        <v>58</v>
      </c>
      <c r="B59" s="2" t="inlineStr">
        <is>
          <t>LEMBAH BROMO</t>
        </is>
      </c>
      <c r="C59" s="2" t="n">
        <v>54000</v>
      </c>
      <c r="D59" s="2" t="n">
        <v>-8.032121999999999</v>
      </c>
      <c r="E59" s="2" t="n">
        <v>112.8273153</v>
      </c>
      <c r="F59" s="3">
        <f>(C59 - $B$192) / $B$193</f>
        <v/>
      </c>
      <c r="G59" s="2">
        <f>IF(F59&lt;-0.5,"Murah",IF(F59&lt;0.5,"Sedang","Mahal"))</f>
        <v/>
      </c>
    </row>
    <row r="60">
      <c r="A60" s="2" t="n">
        <v>59</v>
      </c>
      <c r="B60" s="2" t="inlineStr">
        <is>
          <t>Wonosari Tea Plantation</t>
        </is>
      </c>
      <c r="C60" s="2" t="n">
        <v>15000</v>
      </c>
      <c r="D60" s="2" t="n">
        <v>-7.8203975</v>
      </c>
      <c r="E60" s="2" t="n">
        <v>112.6446857</v>
      </c>
      <c r="F60" s="3">
        <f>(C60 - $B$192) / $B$193</f>
        <v/>
      </c>
      <c r="G60" s="2">
        <f>IF(F60&lt;-0.5,"Murah",IF(F60&lt;0.5,"Sedang","Mahal"))</f>
        <v/>
      </c>
    </row>
    <row r="61">
      <c r="A61" s="2" t="n">
        <v>60</v>
      </c>
      <c r="B61" s="2" t="inlineStr">
        <is>
          <t>Wisata Agro Selo Tumpeng (ꦮꦶꦱꦠꦱꦺꦭꦠꦸꦩ꧀ꦥꦁ)</t>
        </is>
      </c>
      <c r="C61" s="2" t="n">
        <v>25000</v>
      </c>
      <c r="D61" s="2" t="n">
        <v>-8.028335800000001</v>
      </c>
      <c r="E61" s="2" t="n">
        <v>112.4874322</v>
      </c>
      <c r="F61" s="3">
        <f>(C61 - $B$192) / $B$193</f>
        <v/>
      </c>
      <c r="G61" s="2">
        <f>IF(F61&lt;-0.5,"Murah",IF(F61&lt;0.5,"Sedang","Mahal"))</f>
        <v/>
      </c>
    </row>
    <row r="62">
      <c r="A62" s="2" t="n">
        <v>61</v>
      </c>
      <c r="B62" s="2" t="inlineStr">
        <is>
          <t>Wisata Malang Dreamland</t>
        </is>
      </c>
      <c r="C62" s="2" t="n">
        <v>5000</v>
      </c>
      <c r="D62" s="2" t="n">
        <v>-8.083138399999999</v>
      </c>
      <c r="E62" s="2" t="n">
        <v>112.7859356</v>
      </c>
      <c r="F62" s="3">
        <f>(C62 - $B$192) / $B$193</f>
        <v/>
      </c>
      <c r="G62" s="2">
        <f>IF(F62&lt;-0.5,"Murah",IF(F62&lt;0.5,"Sedang","Mahal"))</f>
        <v/>
      </c>
    </row>
    <row r="63">
      <c r="A63" s="2" t="n">
        <v>62</v>
      </c>
      <c r="B63" s="2" t="inlineStr">
        <is>
          <t>Air Terjun Coban Siuk</t>
        </is>
      </c>
      <c r="C63" s="2" t="n">
        <v>5000</v>
      </c>
      <c r="D63" s="2" t="n">
        <v>-7.9570911</v>
      </c>
      <c r="E63" s="2" t="n">
        <v>112.82087</v>
      </c>
      <c r="F63" s="3">
        <f>(C63 - $B$192) / $B$193</f>
        <v/>
      </c>
      <c r="G63" s="2">
        <f>IF(F63&lt;-0.5,"Murah",IF(F63&lt;0.5,"Sedang","Mahal"))</f>
        <v/>
      </c>
    </row>
    <row r="64">
      <c r="A64" s="2" t="n">
        <v>63</v>
      </c>
      <c r="B64" s="2" t="inlineStr">
        <is>
          <t>Pantai Batu Bengkung</t>
        </is>
      </c>
      <c r="C64" s="2" t="n">
        <v>10000</v>
      </c>
      <c r="D64" s="2" t="n">
        <v>-8.430187500000001</v>
      </c>
      <c r="E64" s="2" t="n">
        <v>112.6151875</v>
      </c>
      <c r="F64" s="3">
        <f>(C64 - $B$192) / $B$193</f>
        <v/>
      </c>
      <c r="G64" s="2">
        <f>IF(F64&lt;-0.5,"Murah",IF(F64&lt;0.5,"Sedang","Mahal"))</f>
        <v/>
      </c>
    </row>
    <row r="65">
      <c r="A65" s="2" t="n">
        <v>64</v>
      </c>
      <c r="B65" s="2" t="inlineStr">
        <is>
          <t>Coban Srengenge</t>
        </is>
      </c>
      <c r="C65" s="2" t="n">
        <v>10000</v>
      </c>
      <c r="D65" s="2" t="n">
        <v>-8.2507363</v>
      </c>
      <c r="E65" s="2" t="n">
        <v>112.8840752</v>
      </c>
      <c r="F65" s="3">
        <f>(C65 - $B$192) / $B$193</f>
        <v/>
      </c>
      <c r="G65" s="2">
        <f>IF(F65&lt;-0.5,"Murah",IF(F65&lt;0.5,"Sedang","Mahal"))</f>
        <v/>
      </c>
    </row>
    <row r="66">
      <c r="A66" s="2" t="n">
        <v>65</v>
      </c>
      <c r="B66" s="2" t="inlineStr">
        <is>
          <t>Wisata Alam "SUMBER GENTONG"</t>
        </is>
      </c>
      <c r="C66" s="2" t="n">
        <v>5000</v>
      </c>
      <c r="D66" s="2" t="n">
        <v>-7.9442783</v>
      </c>
      <c r="E66" s="2" t="n">
        <v>112.6734667</v>
      </c>
      <c r="F66" s="3">
        <f>(C66 - $B$192) / $B$193</f>
        <v/>
      </c>
      <c r="G66" s="2">
        <f>IF(F66&lt;-0.5,"Murah",IF(F66&lt;0.5,"Sedang","Mahal"))</f>
        <v/>
      </c>
    </row>
    <row r="67">
      <c r="A67" s="2" t="n">
        <v>66</v>
      </c>
      <c r="B67" s="2" t="inlineStr">
        <is>
          <t>Wisata Payung Batu</t>
        </is>
      </c>
      <c r="C67" s="2" t="n">
        <v>10000</v>
      </c>
      <c r="D67" s="2" t="n">
        <v>-7.8656156</v>
      </c>
      <c r="E67" s="2" t="n">
        <v>112.4888066</v>
      </c>
      <c r="F67" s="3">
        <f>(C67 - $B$192) / $B$193</f>
        <v/>
      </c>
      <c r="G67" s="2">
        <f>IF(F67&lt;-0.5,"Murah",IF(F67&lt;0.5,"Sedang","Mahal"))</f>
        <v/>
      </c>
    </row>
    <row r="68">
      <c r="A68" s="2" t="n">
        <v>67</v>
      </c>
      <c r="B68" s="2" t="inlineStr">
        <is>
          <t>Coban Tundo</t>
        </is>
      </c>
      <c r="C68" s="2" t="n">
        <v>5000</v>
      </c>
      <c r="D68" s="2" t="n">
        <v>-8.3411808</v>
      </c>
      <c r="E68" s="2" t="n">
        <v>112.7947731</v>
      </c>
      <c r="F68" s="3">
        <f>(C68 - $B$192) / $B$193</f>
        <v/>
      </c>
      <c r="G68" s="2">
        <f>IF(F68&lt;-0.5,"Murah",IF(F68&lt;0.5,"Sedang","Mahal"))</f>
        <v/>
      </c>
    </row>
    <row r="69">
      <c r="A69" s="2" t="n">
        <v>68</v>
      </c>
      <c r="B69" s="2" t="inlineStr">
        <is>
          <t>Bukit Waung</t>
        </is>
      </c>
      <c r="C69" s="2" t="n">
        <v>5000</v>
      </c>
      <c r="D69" s="2" t="n">
        <v>-8.3488921</v>
      </c>
      <c r="E69" s="2" t="n">
        <v>112.3677835</v>
      </c>
      <c r="F69" s="3">
        <f>(C69 - $B$192) / $B$193</f>
        <v/>
      </c>
      <c r="G69" s="2">
        <f>IF(F69&lt;-0.5,"Murah",IF(F69&lt;0.5,"Sedang","Mahal"))</f>
        <v/>
      </c>
    </row>
    <row r="70">
      <c r="A70" s="2" t="n">
        <v>69</v>
      </c>
      <c r="B70" s="2" t="inlineStr">
        <is>
          <t>Malang Skyland</t>
        </is>
      </c>
      <c r="C70" s="2" t="n">
        <v>35000</v>
      </c>
      <c r="D70" s="2" t="n">
        <v>-7.867401</v>
      </c>
      <c r="E70" s="2" t="n">
        <v>112.5760073</v>
      </c>
      <c r="F70" s="3">
        <f>(C70 - $B$192) / $B$193</f>
        <v/>
      </c>
      <c r="G70" s="2">
        <f>IF(F70&lt;-0.5,"Murah",IF(F70&lt;0.5,"Sedang","Mahal"))</f>
        <v/>
      </c>
    </row>
    <row r="71">
      <c r="A71" s="2" t="n">
        <v>70</v>
      </c>
      <c r="B71" s="2" t="inlineStr">
        <is>
          <t>Boonpring</t>
        </is>
      </c>
      <c r="C71" s="2" t="n">
        <v>10000</v>
      </c>
      <c r="D71" s="2" t="n">
        <v>-8.155770499999999</v>
      </c>
      <c r="E71" s="2" t="n">
        <v>112.7619607</v>
      </c>
      <c r="F71" s="3">
        <f>(C71 - $B$192) / $B$193</f>
        <v/>
      </c>
      <c r="G71" s="2">
        <f>IF(F71&lt;-0.5,"Murah",IF(F71&lt;0.5,"Sedang","Mahal"))</f>
        <v/>
      </c>
    </row>
    <row r="72">
      <c r="A72" s="2" t="n">
        <v>71</v>
      </c>
      <c r="B72" s="2" t="inlineStr">
        <is>
          <t>PUNCAK BINGLIS</t>
        </is>
      </c>
      <c r="C72" s="2" t="n">
        <v>10000</v>
      </c>
      <c r="D72" s="2" t="n">
        <v>-8.3204505</v>
      </c>
      <c r="E72" s="2" t="n">
        <v>112.8124499</v>
      </c>
      <c r="F72" s="3">
        <f>(C72 - $B$192) / $B$193</f>
        <v/>
      </c>
      <c r="G72" s="2">
        <f>IF(F72&lt;-0.5,"Murah",IF(F72&lt;0.5,"Sedang","Mahal"))</f>
        <v/>
      </c>
    </row>
    <row r="73">
      <c r="A73" s="2" t="n">
        <v>72</v>
      </c>
      <c r="B73" s="2" t="inlineStr">
        <is>
          <t>Wisata Umbulan Tanaka</t>
        </is>
      </c>
      <c r="C73" s="2" t="n">
        <v>5000</v>
      </c>
      <c r="D73" s="2" t="n">
        <v>-8.0850019</v>
      </c>
      <c r="E73" s="2" t="n">
        <v>112.4980953</v>
      </c>
      <c r="F73" s="3">
        <f>(C73 - $B$192) / $B$193</f>
        <v/>
      </c>
      <c r="G73" s="2">
        <f>IF(F73&lt;-0.5,"Murah",IF(F73&lt;0.5,"Sedang","Mahal"))</f>
        <v/>
      </c>
    </row>
    <row r="74">
      <c r="A74" s="2" t="n">
        <v>73</v>
      </c>
      <c r="B74" s="2" t="inlineStr">
        <is>
          <t>Bumi Perkemahan Gunung Katu ꦨꦸꦩꦶꦥꦼꦂꦏꦺꦩꦲꦤ꧀</t>
        </is>
      </c>
      <c r="C74" s="2" t="n">
        <v>10000</v>
      </c>
      <c r="D74" s="2" t="n">
        <v>-8.029849</v>
      </c>
      <c r="E74" s="2" t="n">
        <v>112.5635613</v>
      </c>
      <c r="F74" s="3">
        <f>(C74 - $B$192) / $B$193</f>
        <v/>
      </c>
      <c r="G74" s="2">
        <f>IF(F74&lt;-0.5,"Murah",IF(F74&lt;0.5,"Sedang","Mahal"))</f>
        <v/>
      </c>
    </row>
    <row r="75">
      <c r="A75" s="2" t="n">
        <v>74</v>
      </c>
      <c r="B75" s="2" t="inlineStr">
        <is>
          <t>Wisata Goa Pandawa</t>
        </is>
      </c>
      <c r="C75" s="2" t="n">
        <v>15000</v>
      </c>
      <c r="D75" s="2" t="n">
        <v>-7.8522618</v>
      </c>
      <c r="E75" s="2" t="n">
        <v>112.5016023</v>
      </c>
      <c r="F75" s="3">
        <f>(C75 - $B$192) / $B$193</f>
        <v/>
      </c>
      <c r="G75" s="2">
        <f>IF(F75&lt;-0.5,"Murah",IF(F75&lt;0.5,"Sedang","Mahal"))</f>
        <v/>
      </c>
    </row>
    <row r="76">
      <c r="A76" s="2" t="n">
        <v>75</v>
      </c>
      <c r="B76" s="2" t="inlineStr">
        <is>
          <t>Sumber Nagan</t>
        </is>
      </c>
      <c r="C76" s="2" t="n">
        <v>5000</v>
      </c>
      <c r="D76" s="2" t="n">
        <v>-7.875618</v>
      </c>
      <c r="E76" s="2" t="n">
        <v>112.653535</v>
      </c>
      <c r="F76" s="3">
        <f>(C76 - $B$192) / $B$193</f>
        <v/>
      </c>
      <c r="G76" s="2">
        <f>IF(F76&lt;-0.5,"Murah",IF(F76&lt;0.5,"Sedang","Mahal"))</f>
        <v/>
      </c>
    </row>
    <row r="77">
      <c r="A77" s="2" t="n">
        <v>76</v>
      </c>
      <c r="B77" s="2" t="inlineStr">
        <is>
          <t>Air Terjun Coban Kethak</t>
        </is>
      </c>
      <c r="C77" s="2" t="n">
        <v>10000</v>
      </c>
      <c r="D77" s="2" t="n">
        <v>-7.8028103</v>
      </c>
      <c r="E77" s="2" t="n">
        <v>112.3569176</v>
      </c>
      <c r="F77" s="3">
        <f>(C77 - $B$192) / $B$193</f>
        <v/>
      </c>
      <c r="G77" s="2">
        <f>IF(F77&lt;-0.5,"Murah",IF(F77&lt;0.5,"Sedang","Mahal"))</f>
        <v/>
      </c>
    </row>
    <row r="78">
      <c r="A78" s="2" t="n">
        <v>77</v>
      </c>
      <c r="B78" s="2" t="inlineStr">
        <is>
          <t>Air Terjun Grojogan Sewu Pujon</t>
        </is>
      </c>
      <c r="C78" s="2" t="n">
        <v>22000</v>
      </c>
      <c r="D78" s="2" t="n">
        <v>-7.8664128</v>
      </c>
      <c r="E78" s="2" t="n">
        <v>112.4233498</v>
      </c>
      <c r="F78" s="3">
        <f>(C78 - $B$192) / $B$193</f>
        <v/>
      </c>
      <c r="G78" s="2">
        <f>IF(F78&lt;-0.5,"Murah",IF(F78&lt;0.5,"Sedang","Mahal"))</f>
        <v/>
      </c>
    </row>
    <row r="79">
      <c r="A79" s="2" t="n">
        <v>78</v>
      </c>
      <c r="B79" s="2" t="inlineStr">
        <is>
          <t>Pari Bendo</t>
        </is>
      </c>
      <c r="C79" s="2" t="n">
        <v>20000</v>
      </c>
      <c r="D79" s="2" t="n">
        <v>-7.8354365</v>
      </c>
      <c r="E79" s="2" t="n">
        <v>112.6838566</v>
      </c>
      <c r="F79" s="3">
        <f>(C79 - $B$192) / $B$193</f>
        <v/>
      </c>
      <c r="G79" s="2">
        <f>IF(F79&lt;-0.5,"Murah",IF(F79&lt;0.5,"Sedang","Mahal"))</f>
        <v/>
      </c>
    </row>
    <row r="80">
      <c r="A80" s="2" t="n">
        <v>79</v>
      </c>
      <c r="B80" s="2" t="inlineStr">
        <is>
          <t>Coban Nirwana</t>
        </is>
      </c>
      <c r="C80" s="2" t="n">
        <v>5000</v>
      </c>
      <c r="D80" s="2" t="n">
        <v>-8.310087100000001</v>
      </c>
      <c r="E80" s="2" t="n">
        <v>112.667504</v>
      </c>
      <c r="F80" s="3">
        <f>(C80 - $B$192) / $B$193</f>
        <v/>
      </c>
      <c r="G80" s="2">
        <f>IF(F80&lt;-0.5,"Murah",IF(F80&lt;0.5,"Sedang","Mahal"))</f>
        <v/>
      </c>
    </row>
    <row r="81">
      <c r="A81" s="2" t="n">
        <v>80</v>
      </c>
      <c r="B81" s="2" t="inlineStr">
        <is>
          <t>Air Terjun Ciblungan</t>
        </is>
      </c>
      <c r="C81" s="2" t="n">
        <v>5000</v>
      </c>
      <c r="D81" s="2" t="n">
        <v>-8.2418175</v>
      </c>
      <c r="E81" s="2" t="n">
        <v>112.9065237</v>
      </c>
      <c r="F81" s="3">
        <f>(C81 - $B$192) / $B$193</f>
        <v/>
      </c>
      <c r="G81" s="2">
        <f>IF(F81&lt;-0.5,"Murah",IF(F81&lt;0.5,"Sedang","Mahal"))</f>
        <v/>
      </c>
    </row>
    <row r="82">
      <c r="A82" s="2" t="n">
        <v>81</v>
      </c>
      <c r="B82" s="2" t="inlineStr">
        <is>
          <t>Air Terjun Jidor</t>
        </is>
      </c>
      <c r="C82" s="2" t="n">
        <v>5000</v>
      </c>
      <c r="D82" s="2" t="n">
        <v>-8.000312900000001</v>
      </c>
      <c r="E82" s="2" t="n">
        <v>112.8075991</v>
      </c>
      <c r="F82" s="3">
        <f>(C82 - $B$192) / $B$193</f>
        <v/>
      </c>
      <c r="G82" s="2">
        <f>IF(F82&lt;-0.5,"Murah",IF(F82&lt;0.5,"Sedang","Mahal"))</f>
        <v/>
      </c>
    </row>
    <row r="83">
      <c r="A83" s="2" t="n">
        <v>82</v>
      </c>
      <c r="B83" s="2" t="inlineStr">
        <is>
          <t>Wiken Wisata Kampung Enem</t>
        </is>
      </c>
      <c r="C83" s="2" t="n">
        <v>5000</v>
      </c>
      <c r="D83" s="2" t="n">
        <v>-8.120277</v>
      </c>
      <c r="E83" s="2" t="n">
        <v>112.780281</v>
      </c>
      <c r="F83" s="3">
        <f>(C83 - $B$192) / $B$193</f>
        <v/>
      </c>
      <c r="G83" s="2">
        <f>IF(F83&lt;-0.5,"Murah",IF(F83&lt;0.5,"Sedang","Mahal"))</f>
        <v/>
      </c>
    </row>
    <row r="84">
      <c r="A84" s="2" t="n">
        <v>83</v>
      </c>
      <c r="B84" s="2" t="inlineStr">
        <is>
          <t>Gunung Sari Sunset</t>
        </is>
      </c>
      <c r="C84" s="2" t="n">
        <v>5000</v>
      </c>
      <c r="D84" s="2" t="n">
        <v>-8.013536200000001</v>
      </c>
      <c r="E84" s="2" t="n">
        <v>112.8534067</v>
      </c>
      <c r="F84" s="3">
        <f>(C84 - $B$192) / $B$193</f>
        <v/>
      </c>
      <c r="G84" s="2">
        <f>IF(F84&lt;-0.5,"Murah",IF(F84&lt;0.5,"Sedang","Mahal"))</f>
        <v/>
      </c>
    </row>
    <row r="85">
      <c r="A85" s="2" t="n">
        <v>84</v>
      </c>
      <c r="B85" s="2" t="inlineStr">
        <is>
          <t>WISATA GUNUNG MALANG</t>
        </is>
      </c>
      <c r="C85" s="2" t="n">
        <v>54000</v>
      </c>
      <c r="D85" s="2" t="n">
        <v>-8.309943199999999</v>
      </c>
      <c r="E85" s="2" t="n">
        <v>112.3932102</v>
      </c>
      <c r="F85" s="3">
        <f>(C85 - $B$192) / $B$193</f>
        <v/>
      </c>
      <c r="G85" s="2">
        <f>IF(F85&lt;-0.5,"Murah",IF(F85&lt;0.5,"Sedang","Mahal"))</f>
        <v/>
      </c>
    </row>
    <row r="86">
      <c r="A86" s="2" t="n">
        <v>85</v>
      </c>
      <c r="B86" s="2" t="inlineStr">
        <is>
          <t>Labirin Coban Rondo</t>
        </is>
      </c>
      <c r="C86" s="2" t="n">
        <v>35000</v>
      </c>
      <c r="D86" s="2" t="n">
        <v>-7.8682192</v>
      </c>
      <c r="E86" s="2" t="n">
        <v>112.4850916</v>
      </c>
      <c r="F86" s="3">
        <f>(C86 - $B$192) / $B$193</f>
        <v/>
      </c>
      <c r="G86" s="2">
        <f>IF(F86&lt;-0.5,"Murah",IF(F86&lt;0.5,"Sedang","Mahal"))</f>
        <v/>
      </c>
    </row>
    <row r="87">
      <c r="A87" s="2" t="n">
        <v>86</v>
      </c>
      <c r="B87" s="2" t="inlineStr">
        <is>
          <t>Meeting Point Pujon Rafting</t>
        </is>
      </c>
      <c r="C87" s="2" t="n">
        <v>150000</v>
      </c>
      <c r="D87" s="2" t="n">
        <v>-7.8396791</v>
      </c>
      <c r="E87" s="2" t="n">
        <v>112.4497747</v>
      </c>
      <c r="F87" s="3">
        <f>(C87 - $B$192) / $B$193</f>
        <v/>
      </c>
      <c r="G87" s="2">
        <f>IF(F87&lt;-0.5,"Murah",IF(F87&lt;0.5,"Sedang","Mahal"))</f>
        <v/>
      </c>
    </row>
    <row r="88">
      <c r="A88" s="2" t="n">
        <v>87</v>
      </c>
      <c r="B88" s="2" t="inlineStr">
        <is>
          <t>Petilasan Mbah Wali Besi, Mbah Endang Sari - Gunung Tanggung</t>
        </is>
      </c>
      <c r="C88" s="2" t="n">
        <v>30000</v>
      </c>
      <c r="D88" s="2" t="n">
        <v>-7.9251344</v>
      </c>
      <c r="E88" s="2" t="n">
        <v>112.8056887</v>
      </c>
      <c r="F88" s="3">
        <f>(C88 - $B$192) / $B$193</f>
        <v/>
      </c>
      <c r="G88" s="2">
        <f>IF(F88&lt;-0.5,"Murah",IF(F88&lt;0.5,"Sedang","Mahal"))</f>
        <v/>
      </c>
    </row>
    <row r="89">
      <c r="A89" s="2" t="n">
        <v>88</v>
      </c>
      <c r="B89" s="2" t="inlineStr">
        <is>
          <t>Desa Wisata Sidorejo Indah ( Dewi Sri )</t>
        </is>
      </c>
      <c r="C89" s="2" t="n">
        <v>5000</v>
      </c>
      <c r="D89" s="2" t="n">
        <v>-7.9727686</v>
      </c>
      <c r="E89" s="2" t="n">
        <v>112.7541743</v>
      </c>
      <c r="F89" s="3">
        <f>(C89 - $B$192) / $B$193</f>
        <v/>
      </c>
      <c r="G89" s="2">
        <f>IF(F89&lt;-0.5,"Murah",IF(F89&lt;0.5,"Sedang","Mahal"))</f>
        <v/>
      </c>
    </row>
    <row r="90">
      <c r="A90" s="2" t="n">
        <v>89</v>
      </c>
      <c r="B90" s="2" t="inlineStr">
        <is>
          <t>Alun Alun Tugu Malang</t>
        </is>
      </c>
      <c r="C90" s="2" t="n">
        <v>2000</v>
      </c>
      <c r="D90" s="2" t="n">
        <v>-7.977143</v>
      </c>
      <c r="E90" s="2" t="n">
        <v>112.6340478</v>
      </c>
      <c r="F90" s="3">
        <f>(C90 - $B$192) / $B$193</f>
        <v/>
      </c>
      <c r="G90" s="2">
        <f>IF(F90&lt;-0.5,"Murah",IF(F90&lt;0.5,"Sedang","Mahal"))</f>
        <v/>
      </c>
    </row>
    <row r="91">
      <c r="A91" s="2" t="n">
        <v>90</v>
      </c>
      <c r="B91" s="2" t="inlineStr">
        <is>
          <t>Pentungan Sari Waterpark</t>
        </is>
      </c>
      <c r="C91" s="2" t="n">
        <v>8000</v>
      </c>
      <c r="D91" s="2" t="n">
        <v>-7.8522273</v>
      </c>
      <c r="E91" s="2" t="n">
        <v>112.6583238</v>
      </c>
      <c r="F91" s="3">
        <f>(C91 - $B$192) / $B$193</f>
        <v/>
      </c>
      <c r="G91" s="2">
        <f>IF(F91&lt;-0.5,"Murah",IF(F91&lt;0.5,"Sedang","Mahal"))</f>
        <v/>
      </c>
    </row>
    <row r="92">
      <c r="A92" s="2" t="n">
        <v>91</v>
      </c>
      <c r="B92" s="2" t="inlineStr">
        <is>
          <t>Pondok Wisata Latar Ombo "L.O."</t>
        </is>
      </c>
      <c r="C92" s="2" t="n">
        <v>5000</v>
      </c>
      <c r="D92" s="2" t="n">
        <v>-7.9780562</v>
      </c>
      <c r="E92" s="2" t="n">
        <v>112.5617927</v>
      </c>
      <c r="F92" s="3">
        <f>(C92 - $B$192) / $B$193</f>
        <v/>
      </c>
      <c r="G92" s="2">
        <f>IF(F92&lt;-0.5,"Murah",IF(F92&lt;0.5,"Sedang","Mahal"))</f>
        <v/>
      </c>
    </row>
    <row r="93">
      <c r="A93" s="2" t="n">
        <v>92</v>
      </c>
      <c r="B93" s="2" t="inlineStr">
        <is>
          <t>Tlogo Land</t>
        </is>
      </c>
      <c r="C93" s="2" t="n">
        <v>5000</v>
      </c>
      <c r="D93" s="2" t="n">
        <v>-7.8272887</v>
      </c>
      <c r="E93" s="2" t="n">
        <v>112.6810779</v>
      </c>
      <c r="F93" s="3">
        <f>(C93 - $B$192) / $B$193</f>
        <v/>
      </c>
      <c r="G93" s="2">
        <f>IF(F93&lt;-0.5,"Murah",IF(F93&lt;0.5,"Sedang","Mahal"))</f>
        <v/>
      </c>
    </row>
    <row r="94">
      <c r="A94" s="2" t="n">
        <v>93</v>
      </c>
      <c r="B94" s="2" t="inlineStr">
        <is>
          <t>COBAN PANDAWA</t>
        </is>
      </c>
      <c r="C94" s="2" t="n">
        <v>2000</v>
      </c>
      <c r="D94" s="2" t="n">
        <v>-8.3106761</v>
      </c>
      <c r="E94" s="2" t="n">
        <v>112.7842676</v>
      </c>
      <c r="F94" s="3">
        <f>(C94 - $B$192) / $B$193</f>
        <v/>
      </c>
      <c r="G94" s="2">
        <f>IF(F94&lt;-0.5,"Murah",IF(F94&lt;0.5,"Sedang","Mahal"))</f>
        <v/>
      </c>
    </row>
    <row r="95">
      <c r="A95" s="2" t="n">
        <v>94</v>
      </c>
      <c r="B95" s="2" t="inlineStr">
        <is>
          <t>Wisata Petik Jeruk Dau</t>
        </is>
      </c>
      <c r="C95" s="2" t="n">
        <v>15000</v>
      </c>
      <c r="D95" s="2" t="n">
        <v>-7.938718</v>
      </c>
      <c r="E95" s="2" t="n">
        <v>112.5394091</v>
      </c>
      <c r="F95" s="3">
        <f>(C95 - $B$192) / $B$193</f>
        <v/>
      </c>
      <c r="G95" s="2">
        <f>IF(F95&lt;-0.5,"Murah",IF(F95&lt;0.5,"Sedang","Mahal"))</f>
        <v/>
      </c>
    </row>
    <row r="96">
      <c r="A96" s="2" t="n">
        <v>95</v>
      </c>
      <c r="B96" s="2" t="inlineStr">
        <is>
          <t>Pasir Berbisik</t>
        </is>
      </c>
      <c r="C96" s="2" t="n">
        <v>29000</v>
      </c>
      <c r="D96" s="2" t="n">
        <v>-7.9379202</v>
      </c>
      <c r="E96" s="2" t="n">
        <v>112.9704424</v>
      </c>
      <c r="F96" s="3">
        <f>(C96 - $B$192) / $B$193</f>
        <v/>
      </c>
      <c r="G96" s="2">
        <f>IF(F96&lt;-0.5,"Murah",IF(F96&lt;0.5,"Sedang","Mahal"))</f>
        <v/>
      </c>
    </row>
    <row r="97">
      <c r="A97" s="2" t="n">
        <v>96</v>
      </c>
      <c r="B97" s="2" t="inlineStr">
        <is>
          <t>Songgoriti Hot Springs</t>
        </is>
      </c>
      <c r="C97" s="2" t="n">
        <v>40000</v>
      </c>
      <c r="D97" s="2" t="n">
        <v>-7.8666705</v>
      </c>
      <c r="E97" s="2" t="n">
        <v>112.4942809</v>
      </c>
      <c r="F97" s="3">
        <f>(C97 - $B$192) / $B$193</f>
        <v/>
      </c>
      <c r="G97" s="2">
        <f>IF(F97&lt;-0.5,"Murah",IF(F97&lt;0.5,"Sedang","Mahal"))</f>
        <v/>
      </c>
    </row>
    <row r="98">
      <c r="A98" s="2" t="n">
        <v>97</v>
      </c>
      <c r="B98" s="2" t="inlineStr">
        <is>
          <t>Petik Apel Green Garden</t>
        </is>
      </c>
      <c r="C98" s="2" t="n">
        <v>25000</v>
      </c>
      <c r="D98" s="2" t="n">
        <v>-7.8230867</v>
      </c>
      <c r="E98" s="2" t="n">
        <v>112.5290217</v>
      </c>
      <c r="F98" s="3">
        <f>(C98 - $B$192) / $B$193</f>
        <v/>
      </c>
      <c r="G98" s="2">
        <f>IF(F98&lt;-0.5,"Murah",IF(F98&lt;0.5,"Sedang","Mahal"))</f>
        <v/>
      </c>
    </row>
    <row r="99">
      <c r="A99" s="2" t="n">
        <v>98</v>
      </c>
      <c r="B99" s="2" t="inlineStr">
        <is>
          <t>Target Terjun Payung</t>
        </is>
      </c>
      <c r="C99" s="2" t="n">
        <v>10000</v>
      </c>
      <c r="D99" s="2" t="n">
        <v>-7.8884713</v>
      </c>
      <c r="E99" s="2" t="n">
        <v>112.7442208</v>
      </c>
      <c r="F99" s="3">
        <f>(C99 - $B$192) / $B$193</f>
        <v/>
      </c>
      <c r="G99" s="2">
        <f>IF(F99&lt;-0.5,"Murah",IF(F99&lt;0.5,"Sedang","Mahal"))</f>
        <v/>
      </c>
    </row>
    <row r="100">
      <c r="A100" s="2" t="n">
        <v>99</v>
      </c>
      <c r="B100" s="2" t="inlineStr">
        <is>
          <t>Wisata Desa BONPI / de' Asmorondono</t>
        </is>
      </c>
      <c r="C100" s="2" t="n">
        <v>10000</v>
      </c>
      <c r="D100" s="2" t="n">
        <v>-7.8386369</v>
      </c>
      <c r="E100" s="2" t="n">
        <v>112.4540645</v>
      </c>
      <c r="F100" s="3">
        <f>(C100 - $B$192) / $B$193</f>
        <v/>
      </c>
      <c r="G100" s="2">
        <f>IF(F100&lt;-0.5,"Murah",IF(F100&lt;0.5,"Sedang","Mahal"))</f>
        <v/>
      </c>
    </row>
    <row r="101">
      <c r="A101" s="2" t="n">
        <v>100</v>
      </c>
      <c r="B101" s="2" t="inlineStr">
        <is>
          <t>Wisata Coban Rondo</t>
        </is>
      </c>
      <c r="C101" s="2" t="n">
        <v>35000</v>
      </c>
      <c r="D101" s="2" t="n">
        <v>-7.8703079</v>
      </c>
      <c r="E101" s="2" t="n">
        <v>112.4815685</v>
      </c>
      <c r="F101" s="3">
        <f>(C101 - $B$192) / $B$193</f>
        <v/>
      </c>
      <c r="G101" s="2">
        <f>IF(F101&lt;-0.5,"Murah",IF(F101&lt;0.5,"Sedang","Mahal"))</f>
        <v/>
      </c>
    </row>
    <row r="102">
      <c r="A102" s="2" t="n">
        <v>101</v>
      </c>
      <c r="B102" s="2" t="inlineStr">
        <is>
          <t>Rafting Kasembon</t>
        </is>
      </c>
      <c r="C102" s="2" t="n">
        <v>175000</v>
      </c>
      <c r="D102" s="2" t="n">
        <v>-7.950725</v>
      </c>
      <c r="E102" s="2" t="n">
        <v>112.619282</v>
      </c>
      <c r="F102" s="3">
        <f>(C102 - $B$192) / $B$193</f>
        <v/>
      </c>
      <c r="G102" s="2">
        <f>IF(F102&lt;-0.5,"Murah",IF(F102&lt;0.5,"Sedang","Mahal"))</f>
        <v/>
      </c>
    </row>
    <row r="103">
      <c r="A103" s="2" t="n">
        <v>102</v>
      </c>
      <c r="B103" s="2" t="inlineStr">
        <is>
          <t>Coban Sumber Papat ꦕꦺꦴꦧꦤ꧀ꦱꦸꦩ꧀ꦧꦼꦂꦥꦥꦠ꧀</t>
        </is>
      </c>
      <c r="C103" s="2" t="n">
        <v>10000</v>
      </c>
      <c r="D103" s="2" t="n">
        <v>-7.8962514</v>
      </c>
      <c r="E103" s="2" t="n">
        <v>112.4623389</v>
      </c>
      <c r="F103" s="3">
        <f>(C103 - $B$192) / $B$193</f>
        <v/>
      </c>
      <c r="G103" s="2">
        <f>IF(F103&lt;-0.5,"Murah",IF(F103&lt;0.5,"Sedang","Mahal"))</f>
        <v/>
      </c>
    </row>
    <row r="104">
      <c r="A104" s="2" t="n">
        <v>103</v>
      </c>
      <c r="B104" s="2" t="inlineStr">
        <is>
          <t>Gunung Ringgit</t>
        </is>
      </c>
      <c r="C104" s="2" t="n">
        <v>20000</v>
      </c>
      <c r="D104" s="2" t="n">
        <v>-7.9131508</v>
      </c>
      <c r="E104" s="2" t="n">
        <v>113.0049682</v>
      </c>
      <c r="F104" s="3">
        <f>(C104 - $B$192) / $B$193</f>
        <v/>
      </c>
      <c r="G104" s="2">
        <f>IF(F104&lt;-0.5,"Murah",IF(F104&lt;0.5,"Sedang","Mahal"))</f>
        <v/>
      </c>
    </row>
    <row r="105">
      <c r="A105" s="2" t="n">
        <v>104</v>
      </c>
      <c r="B105" s="2" t="inlineStr">
        <is>
          <t>Penanjakan Bromo</t>
        </is>
      </c>
      <c r="C105" s="2" t="n">
        <v>54000</v>
      </c>
      <c r="D105" s="2" t="n">
        <v>-7.9045913</v>
      </c>
      <c r="E105" s="2" t="n">
        <v>112.9510862</v>
      </c>
      <c r="F105" s="3">
        <f>(C105 - $B$192) / $B$193</f>
        <v/>
      </c>
      <c r="G105" s="2">
        <f>IF(F105&lt;-0.5,"Murah",IF(F105&lt;0.5,"Sedang","Mahal"))</f>
        <v/>
      </c>
    </row>
    <row r="106">
      <c r="A106" s="2" t="n">
        <v>105</v>
      </c>
      <c r="B106" s="2" t="inlineStr">
        <is>
          <t>Cafe Sawah Pujonkidul</t>
        </is>
      </c>
      <c r="C106" s="2" t="n">
        <v>12500</v>
      </c>
      <c r="D106" s="2" t="n">
        <v>-7.8545719</v>
      </c>
      <c r="E106" s="2" t="n">
        <v>112.4538339</v>
      </c>
      <c r="F106" s="3">
        <f>(C106 - $B$192) / $B$193</f>
        <v/>
      </c>
      <c r="G106" s="2">
        <f>IF(F106&lt;-0.5,"Murah",IF(F106&lt;0.5,"Sedang","Mahal"))</f>
        <v/>
      </c>
    </row>
    <row r="107">
      <c r="A107" s="2" t="n">
        <v>106</v>
      </c>
      <c r="B107" s="2" t="inlineStr">
        <is>
          <t>Kebun Rojo Camp</t>
        </is>
      </c>
      <c r="C107" s="2" t="n">
        <v>15000</v>
      </c>
      <c r="D107" s="2" t="n">
        <v>-7.928933</v>
      </c>
      <c r="E107" s="2" t="n">
        <v>112.5181222</v>
      </c>
      <c r="F107" s="3">
        <f>(C107 - $B$192) / $B$193</f>
        <v/>
      </c>
      <c r="G107" s="2">
        <f>IF(F107&lt;-0.5,"Murah",IF(F107&lt;0.5,"Sedang","Mahal"))</f>
        <v/>
      </c>
    </row>
    <row r="108">
      <c r="A108" s="2" t="n">
        <v>107</v>
      </c>
      <c r="B108" s="2" t="inlineStr">
        <is>
          <t>Batu Night Spectacular</t>
        </is>
      </c>
      <c r="C108" s="2" t="n">
        <v>35000</v>
      </c>
      <c r="D108" s="2" t="n">
        <v>-7.8965741</v>
      </c>
      <c r="E108" s="2" t="n">
        <v>112.5345361</v>
      </c>
      <c r="F108" s="3">
        <f>(C108 - $B$192) / $B$193</f>
        <v/>
      </c>
      <c r="G108" s="2">
        <f>IF(F108&lt;-0.5,"Murah",IF(F108&lt;0.5,"Sedang","Mahal"))</f>
        <v/>
      </c>
    </row>
    <row r="109">
      <c r="A109" s="2" t="n">
        <v>108</v>
      </c>
      <c r="B109" s="2" t="inlineStr">
        <is>
          <t>Museum Angkut</t>
        </is>
      </c>
      <c r="C109" s="2" t="n">
        <v>100000</v>
      </c>
      <c r="D109" s="2" t="n">
        <v>-7.8790652</v>
      </c>
      <c r="E109" s="2" t="n">
        <v>112.5187151</v>
      </c>
      <c r="F109" s="3">
        <f>(C109 - $B$192) / $B$193</f>
        <v/>
      </c>
      <c r="G109" s="2">
        <f>IF(F109&lt;-0.5,"Murah",IF(F109&lt;0.5,"Sedang","Mahal"))</f>
        <v/>
      </c>
    </row>
    <row r="110">
      <c r="A110" s="2" t="n">
        <v>109</v>
      </c>
      <c r="B110" s="2" t="inlineStr">
        <is>
          <t>Kampung Budaya Polowijen</t>
        </is>
      </c>
      <c r="C110" s="2" t="n">
        <v>15000</v>
      </c>
      <c r="D110" s="2" t="n">
        <v>-7.9293194</v>
      </c>
      <c r="E110" s="2" t="n">
        <v>112.6433852</v>
      </c>
      <c r="F110" s="3">
        <f>(C110 - $B$192) / $B$193</f>
        <v/>
      </c>
      <c r="G110" s="2">
        <f>IF(F110&lt;-0.5,"Murah",IF(F110&lt;0.5,"Sedang","Mahal"))</f>
        <v/>
      </c>
    </row>
    <row r="111">
      <c r="A111" s="2" t="n">
        <v>110</v>
      </c>
      <c r="B111" s="2" t="inlineStr">
        <is>
          <t>Sumber Air Wendit Lanang</t>
        </is>
      </c>
      <c r="C111" s="2" t="n">
        <v>40000</v>
      </c>
      <c r="D111" s="2" t="n">
        <v>-7.9476788</v>
      </c>
      <c r="E111" s="2" t="n">
        <v>112.678187</v>
      </c>
      <c r="F111" s="3">
        <f>(C111 - $B$192) / $B$193</f>
        <v/>
      </c>
      <c r="G111" s="2">
        <f>IF(F111&lt;-0.5,"Murah",IF(F111&lt;0.5,"Sedang","Mahal"))</f>
        <v/>
      </c>
    </row>
    <row r="112">
      <c r="A112" s="2" t="n">
        <v>111</v>
      </c>
      <c r="B112" s="2" t="inlineStr">
        <is>
          <t>Kampung Tridi</t>
        </is>
      </c>
      <c r="C112" s="2" t="n">
        <v>5000</v>
      </c>
      <c r="D112" s="2" t="n">
        <v>-7.9822081</v>
      </c>
      <c r="E112" s="2" t="n">
        <v>112.638085</v>
      </c>
      <c r="F112" s="3">
        <f>(C112 - $B$192) / $B$193</f>
        <v/>
      </c>
      <c r="G112" s="2">
        <f>IF(F112&lt;-0.5,"Murah",IF(F112&lt;0.5,"Sedang","Mahal"))</f>
        <v/>
      </c>
    </row>
    <row r="113">
      <c r="A113" s="2" t="n">
        <v>112</v>
      </c>
      <c r="B113" s="2" t="inlineStr">
        <is>
          <t>Wisata Kampung Putih Malang</t>
        </is>
      </c>
      <c r="C113" s="2" t="n">
        <v>5000</v>
      </c>
      <c r="D113" s="2" t="n">
        <v>-7.9727599</v>
      </c>
      <c r="E113" s="2" t="n">
        <v>112.6309237</v>
      </c>
      <c r="F113" s="3">
        <f>(C113 - $B$192) / $B$193</f>
        <v/>
      </c>
      <c r="G113" s="2">
        <f>IF(F113&lt;-0.5,"Murah",IF(F113&lt;0.5,"Sedang","Mahal"))</f>
        <v/>
      </c>
    </row>
    <row r="114">
      <c r="A114" s="2" t="n">
        <v>113</v>
      </c>
      <c r="B114" s="2" t="inlineStr">
        <is>
          <t>Alun-Alun Malang</t>
        </is>
      </c>
      <c r="C114" s="2" t="n">
        <v>2000</v>
      </c>
      <c r="D114" s="2" t="n">
        <v>-7.9826145</v>
      </c>
      <c r="E114" s="2" t="n">
        <v>112.6308113</v>
      </c>
      <c r="F114" s="3">
        <f>(C114 - $B$192) / $B$193</f>
        <v/>
      </c>
      <c r="G114" s="2">
        <f>IF(F114&lt;-0.5,"Murah",IF(F114&lt;0.5,"Sedang","Mahal"))</f>
        <v/>
      </c>
    </row>
    <row r="115">
      <c r="A115" s="2" t="n">
        <v>114</v>
      </c>
      <c r="B115" s="2" t="inlineStr">
        <is>
          <t>Monumen Juang</t>
        </is>
      </c>
      <c r="C115" s="2" t="n">
        <v>2000</v>
      </c>
      <c r="D115" s="2" t="n">
        <v>-7.9775531</v>
      </c>
      <c r="E115" s="2" t="n">
        <v>112.636329</v>
      </c>
      <c r="F115" s="3">
        <f>(C115 - $B$192) / $B$193</f>
        <v/>
      </c>
      <c r="G115" s="2">
        <f>IF(F115&lt;-0.5,"Murah",IF(F115&lt;0.5,"Sedang","Mahal"))</f>
        <v/>
      </c>
    </row>
    <row r="116">
      <c r="A116" s="2" t="n">
        <v>115</v>
      </c>
      <c r="B116" s="2" t="inlineStr">
        <is>
          <t>Graha Tumapel</t>
        </is>
      </c>
      <c r="C116" s="2" t="n">
        <v>5000</v>
      </c>
      <c r="D116" s="2" t="n">
        <v>-7.9782186</v>
      </c>
      <c r="E116" s="2" t="n">
        <v>112.6327729</v>
      </c>
      <c r="F116" s="3">
        <f>(C116 - $B$192) / $B$193</f>
        <v/>
      </c>
      <c r="G116" s="2">
        <f>IF(F116&lt;-0.5,"Murah",IF(F116&lt;0.5,"Sedang","Mahal"))</f>
        <v/>
      </c>
    </row>
    <row r="117">
      <c r="A117" s="2" t="n">
        <v>116</v>
      </c>
      <c r="B117" s="2" t="inlineStr">
        <is>
          <t>Kampoeng Heritage Kajoetangan</t>
        </is>
      </c>
      <c r="C117" s="2" t="n">
        <v>5000</v>
      </c>
      <c r="D117" s="2" t="n">
        <v>-7.978964</v>
      </c>
      <c r="E117" s="2" t="n">
        <v>112.6292965</v>
      </c>
      <c r="F117" s="3">
        <f>(C117 - $B$192) / $B$193</f>
        <v/>
      </c>
      <c r="G117" s="2">
        <f>IF(F117&lt;-0.5,"Murah",IF(F117&lt;0.5,"Sedang","Mahal"))</f>
        <v/>
      </c>
    </row>
    <row r="118">
      <c r="A118" s="2" t="n">
        <v>117</v>
      </c>
      <c r="B118" s="2" t="inlineStr">
        <is>
          <t>Air Terjun Parang Tejo</t>
        </is>
      </c>
      <c r="C118" s="2" t="n">
        <v>15000</v>
      </c>
      <c r="D118" s="2" t="n">
        <v>-7.9319978</v>
      </c>
      <c r="E118" s="2" t="n">
        <v>112.5128508</v>
      </c>
      <c r="F118" s="3">
        <f>(C118 - $B$192) / $B$193</f>
        <v/>
      </c>
      <c r="G118" s="2">
        <f>IF(F118&lt;-0.5,"Murah",IF(F118&lt;0.5,"Sedang","Mahal"))</f>
        <v/>
      </c>
    </row>
    <row r="119">
      <c r="A119" s="2" t="n">
        <v>118</v>
      </c>
      <c r="B119" s="2" t="inlineStr">
        <is>
          <t>"BAMBOO MEWEK PARK"</t>
        </is>
      </c>
      <c r="C119" s="2" t="n">
        <v>3000</v>
      </c>
      <c r="D119" s="2" t="n">
        <v>-7.9230017</v>
      </c>
      <c r="E119" s="2" t="n">
        <v>112.6361784</v>
      </c>
      <c r="F119" s="3">
        <f>(C119 - $B$192) / $B$193</f>
        <v/>
      </c>
      <c r="G119" s="2">
        <f>IF(F119&lt;-0.5,"Murah",IF(F119&lt;0.5,"Sedang","Mahal"))</f>
        <v/>
      </c>
    </row>
    <row r="120">
      <c r="A120" s="2" t="n">
        <v>119</v>
      </c>
      <c r="B120" s="2" t="inlineStr">
        <is>
          <t>Sevenfield Sport Wisata Air</t>
        </is>
      </c>
      <c r="C120" s="2" t="n">
        <v>20000</v>
      </c>
      <c r="D120" s="2" t="n">
        <v>-7.909525</v>
      </c>
      <c r="E120" s="2" t="n">
        <v>112.627203</v>
      </c>
      <c r="F120" s="3">
        <f>(C120 - $B$192) / $B$193</f>
        <v/>
      </c>
      <c r="G120" s="2">
        <f>IF(F120&lt;-0.5,"Murah",IF(F120&lt;0.5,"Sedang","Mahal"))</f>
        <v/>
      </c>
    </row>
    <row r="121">
      <c r="A121" s="2" t="n">
        <v>120</v>
      </c>
      <c r="B121" s="2" t="inlineStr">
        <is>
          <t>Brakseng</t>
        </is>
      </c>
      <c r="C121" s="2" t="n">
        <v>5000</v>
      </c>
      <c r="D121" s="2" t="n">
        <v>-7.7552845</v>
      </c>
      <c r="E121" s="2" t="n">
        <v>112.5405447</v>
      </c>
      <c r="F121" s="3">
        <f>(C121 - $B$192) / $B$193</f>
        <v/>
      </c>
      <c r="G121" s="2">
        <f>IF(F121&lt;-0.5,"Murah",IF(F121&lt;0.5,"Sedang","Mahal"))</f>
        <v/>
      </c>
    </row>
    <row r="122">
      <c r="A122" s="2" t="n">
        <v>121</v>
      </c>
      <c r="B122" s="2" t="inlineStr">
        <is>
          <t>Sumber Umbulan Singosari</t>
        </is>
      </c>
      <c r="C122" s="2" t="n">
        <v>2000</v>
      </c>
      <c r="D122" s="2" t="n">
        <v>-7.8952854</v>
      </c>
      <c r="E122" s="2" t="n">
        <v>112.6291233</v>
      </c>
      <c r="F122" s="3">
        <f>(C122 - $B$192) / $B$193</f>
        <v/>
      </c>
      <c r="G122" s="2">
        <f>IF(F122&lt;-0.5,"Murah",IF(F122&lt;0.5,"Sedang","Mahal"))</f>
        <v/>
      </c>
    </row>
    <row r="123">
      <c r="A123" s="2" t="n">
        <v>122</v>
      </c>
      <c r="B123" s="2" t="inlineStr">
        <is>
          <t>Eco Active Park</t>
        </is>
      </c>
      <c r="C123" s="2" t="n">
        <v>65000</v>
      </c>
      <c r="D123" s="2" t="n">
        <v>-7.8877752</v>
      </c>
      <c r="E123" s="2" t="n">
        <v>112.5266102</v>
      </c>
      <c r="F123" s="3">
        <f>(C123 - $B$192) / $B$193</f>
        <v/>
      </c>
      <c r="G123" s="2">
        <f>IF(F123&lt;-0.5,"Murah",IF(F123&lt;0.5,"Sedang","Mahal"))</f>
        <v/>
      </c>
    </row>
    <row r="124">
      <c r="A124" s="2" t="n">
        <v>123</v>
      </c>
      <c r="B124" s="2" t="inlineStr">
        <is>
          <t>Kampung Biru Arema</t>
        </is>
      </c>
      <c r="C124" s="2" t="n">
        <v>3000</v>
      </c>
      <c r="D124" s="2" t="n">
        <v>-7.9813051</v>
      </c>
      <c r="E124" s="2" t="n">
        <v>112.6376925</v>
      </c>
      <c r="F124" s="3">
        <f>(C124 - $B$192) / $B$193</f>
        <v/>
      </c>
      <c r="G124" s="2">
        <f>IF(F124&lt;-0.5,"Murah",IF(F124&lt;0.5,"Sedang","Mahal"))</f>
        <v/>
      </c>
    </row>
    <row r="125">
      <c r="A125" s="2" t="n">
        <v>124</v>
      </c>
      <c r="B125" s="2" t="inlineStr">
        <is>
          <t>Kampung Warna Warni Jodipan</t>
        </is>
      </c>
      <c r="C125" s="2" t="n">
        <v>2000</v>
      </c>
      <c r="D125" s="2" t="n">
        <v>-7.9828797</v>
      </c>
      <c r="E125" s="2" t="n">
        <v>112.6372548</v>
      </c>
      <c r="F125" s="3">
        <f>(C125 - $B$192) / $B$193</f>
        <v/>
      </c>
      <c r="G125" s="2">
        <f>IF(F125&lt;-0.5,"Murah",IF(F125&lt;0.5,"Sedang","Mahal"))</f>
        <v/>
      </c>
    </row>
    <row r="126">
      <c r="A126" s="2" t="n">
        <v>125</v>
      </c>
      <c r="B126" s="2" t="inlineStr">
        <is>
          <t>Idjen Boulevard</t>
        </is>
      </c>
      <c r="C126" s="2" t="n">
        <v>2000</v>
      </c>
      <c r="D126" s="2" t="n">
        <v>-7.9723826</v>
      </c>
      <c r="E126" s="2" t="n">
        <v>112.6218276</v>
      </c>
      <c r="F126" s="3">
        <f>(C126 - $B$192) / $B$193</f>
        <v/>
      </c>
      <c r="G126" s="2">
        <f>IF(F126&lt;-0.5,"Murah",IF(F126&lt;0.5,"Sedang","Mahal"))</f>
        <v/>
      </c>
    </row>
    <row r="127">
      <c r="A127" s="2" t="n">
        <v>126</v>
      </c>
      <c r="B127" s="2" t="inlineStr">
        <is>
          <t>Wisata Kali Cemplong</t>
        </is>
      </c>
      <c r="C127" s="2" t="n">
        <v>30000</v>
      </c>
      <c r="D127" s="2" t="n">
        <v>-7.9608731</v>
      </c>
      <c r="E127" s="2" t="n">
        <v>112.6612112</v>
      </c>
      <c r="F127" s="3">
        <f>(C127 - $B$192) / $B$193</f>
        <v/>
      </c>
      <c r="G127" s="2">
        <f>IF(F127&lt;-0.5,"Murah",IF(F127&lt;0.5,"Sedang","Mahal"))</f>
        <v/>
      </c>
    </row>
    <row r="128">
      <c r="A128" s="2" t="n">
        <v>127</v>
      </c>
      <c r="B128" s="2" t="inlineStr">
        <is>
          <t>Pemandian Kalireco</t>
        </is>
      </c>
      <c r="C128" s="2" t="n">
        <v>5000</v>
      </c>
      <c r="D128" s="2" t="n">
        <v>-7.8427</v>
      </c>
      <c r="E128" s="2" t="n">
        <v>112.700403</v>
      </c>
      <c r="F128" s="3">
        <f>(C128 - $B$192) / $B$193</f>
        <v/>
      </c>
      <c r="G128" s="2">
        <f>IF(F128&lt;-0.5,"Murah",IF(F128&lt;0.5,"Sedang","Mahal"))</f>
        <v/>
      </c>
    </row>
    <row r="129">
      <c r="A129" s="2" t="n">
        <v>128</v>
      </c>
      <c r="B129" s="2" t="inlineStr">
        <is>
          <t>Jawa Timur Park 3</t>
        </is>
      </c>
      <c r="C129" s="2" t="n">
        <v>30000</v>
      </c>
      <c r="D129" s="2" t="n">
        <v>-7.8971338</v>
      </c>
      <c r="E129" s="2" t="n">
        <v>112.5531027</v>
      </c>
      <c r="F129" s="3">
        <f>(C129 - $B$192) / $B$193</f>
        <v/>
      </c>
      <c r="G129" s="2">
        <f>IF(F129&lt;-0.5,"Murah",IF(F129&lt;0.5,"Sedang","Mahal"))</f>
        <v/>
      </c>
    </row>
    <row r="130">
      <c r="A130" s="2" t="n">
        <v>129</v>
      </c>
      <c r="B130" s="2" t="inlineStr">
        <is>
          <t>Jembatan Kaca Ngalam Indonesia</t>
        </is>
      </c>
      <c r="C130" s="2" t="n">
        <v>40000</v>
      </c>
      <c r="D130" s="2" t="n">
        <v>-7.9831936</v>
      </c>
      <c r="E130" s="2" t="n">
        <v>112.637773</v>
      </c>
      <c r="F130" s="3">
        <f>(C130 - $B$192) / $B$193</f>
        <v/>
      </c>
      <c r="G130" s="2">
        <f>IF(F130&lt;-0.5,"Murah",IF(F130&lt;0.5,"Sedang","Mahal"))</f>
        <v/>
      </c>
    </row>
    <row r="131">
      <c r="A131" s="2" t="n">
        <v>130</v>
      </c>
      <c r="B131" s="2" t="inlineStr">
        <is>
          <t>Coban Manten</t>
        </is>
      </c>
      <c r="C131" s="2" t="n">
        <v>10000</v>
      </c>
      <c r="D131" s="2" t="n">
        <v>-7.8996567</v>
      </c>
      <c r="E131" s="2" t="n">
        <v>112.4741847</v>
      </c>
      <c r="F131" s="3">
        <f>(C131 - $B$192) / $B$193</f>
        <v/>
      </c>
      <c r="G131" s="2">
        <f>IF(F131&lt;-0.5,"Murah",IF(F131&lt;0.5,"Sedang","Mahal"))</f>
        <v/>
      </c>
    </row>
    <row r="132">
      <c r="A132" s="2" t="n">
        <v>131</v>
      </c>
      <c r="B132" s="2" t="inlineStr">
        <is>
          <t>Patung Singo Edan Arema</t>
        </is>
      </c>
      <c r="C132" s="2" t="n">
        <v>2000</v>
      </c>
      <c r="D132" s="2" t="n">
        <v>-7.977314</v>
      </c>
      <c r="E132" s="2" t="n">
        <v>112.6366485</v>
      </c>
      <c r="F132" s="3">
        <f>(C132 - $B$192) / $B$193</f>
        <v/>
      </c>
      <c r="G132" s="2">
        <f>IF(F132&lt;-0.5,"Murah",IF(F132&lt;0.5,"Sedang","Mahal"))</f>
        <v/>
      </c>
    </row>
    <row r="133">
      <c r="A133" s="2" t="n">
        <v>132</v>
      </c>
      <c r="B133" s="2" t="inlineStr">
        <is>
          <t>Wisata Kampung Topeng</t>
        </is>
      </c>
      <c r="C133" s="2" t="n">
        <v>5000</v>
      </c>
      <c r="D133" s="2" t="n">
        <v>-8.027233300000001</v>
      </c>
      <c r="E133" s="2" t="n">
        <v>112.6749005</v>
      </c>
      <c r="F133" s="3">
        <f>(C133 - $B$192) / $B$193</f>
        <v/>
      </c>
      <c r="G133" s="2">
        <f>IF(F133&lt;-0.5,"Murah",IF(F133&lt;0.5,"Sedang","Mahal"))</f>
        <v/>
      </c>
    </row>
    <row r="134">
      <c r="A134" s="2" t="n">
        <v>133</v>
      </c>
      <c r="B134" s="2" t="inlineStr">
        <is>
          <t>Lapangan Rampal</t>
        </is>
      </c>
      <c r="C134" s="2" t="n">
        <v>10000</v>
      </c>
      <c r="D134" s="2" t="n">
        <v>-7.9737769</v>
      </c>
      <c r="E134" s="2" t="n">
        <v>112.6404197</v>
      </c>
      <c r="F134" s="3">
        <f>(C134 - $B$192) / $B$193</f>
        <v/>
      </c>
      <c r="G134" s="2">
        <f>IF(F134&lt;-0.5,"Murah",IF(F134&lt;0.5,"Sedang","Mahal"))</f>
        <v/>
      </c>
    </row>
    <row r="135">
      <c r="A135" s="2" t="n">
        <v>134</v>
      </c>
      <c r="B135" s="2" t="inlineStr">
        <is>
          <t>Brawijaya Edupark</t>
        </is>
      </c>
      <c r="C135" s="2" t="n">
        <v>20000</v>
      </c>
      <c r="D135" s="2" t="n">
        <v>-7.975767</v>
      </c>
      <c r="E135" s="2" t="n">
        <v>112.631746</v>
      </c>
      <c r="F135" s="3">
        <f>(C135 - $B$192) / $B$193</f>
        <v/>
      </c>
      <c r="G135" s="2">
        <f>IF(F135&lt;-0.5,"Murah",IF(F135&lt;0.5,"Sedang","Mahal"))</f>
        <v/>
      </c>
    </row>
    <row r="136">
      <c r="A136" s="2" t="n">
        <v>135</v>
      </c>
      <c r="B136" s="2" t="inlineStr">
        <is>
          <t>Malang Night Paradise</t>
        </is>
      </c>
      <c r="C136" s="2" t="n">
        <v>75000</v>
      </c>
      <c r="D136" s="2" t="n">
        <v>-7.9235099</v>
      </c>
      <c r="E136" s="2" t="n">
        <v>112.6580123</v>
      </c>
      <c r="F136" s="3">
        <f>(C136 - $B$192) / $B$193</f>
        <v/>
      </c>
      <c r="G136" s="2">
        <f>IF(F136&lt;-0.5,"Murah",IF(F136&lt;0.5,"Sedang","Mahal"))</f>
        <v/>
      </c>
    </row>
    <row r="137">
      <c r="A137" s="2" t="n">
        <v>136</v>
      </c>
      <c r="B137" s="2" t="inlineStr">
        <is>
          <t>Wisata Kayutangan Kota Malang</t>
        </is>
      </c>
      <c r="C137" s="2" t="n">
        <v>5000</v>
      </c>
      <c r="D137" s="2" t="n">
        <v>-7.9776301</v>
      </c>
      <c r="E137" s="2" t="n">
        <v>112.6293576</v>
      </c>
      <c r="F137" s="3">
        <f>(C137 - $B$192) / $B$193</f>
        <v/>
      </c>
      <c r="G137" s="2">
        <f>IF(F137&lt;-0.5,"Murah",IF(F137&lt;0.5,"Sedang","Mahal"))</f>
        <v/>
      </c>
    </row>
    <row r="138">
      <c r="A138" s="2" t="n">
        <v>137</v>
      </c>
      <c r="B138" s="2" t="inlineStr">
        <is>
          <t>Candi Badut</t>
        </is>
      </c>
      <c r="C138" s="2" t="n">
        <v>10000</v>
      </c>
      <c r="D138" s="2" t="n">
        <v>-7.9577761</v>
      </c>
      <c r="E138" s="2" t="n">
        <v>112.5986081</v>
      </c>
      <c r="F138" s="3">
        <f>(C138 - $B$192) / $B$193</f>
        <v/>
      </c>
      <c r="G138" s="2">
        <f>IF(F138&lt;-0.5,"Murah",IF(F138&lt;0.5,"Sedang","Mahal"))</f>
        <v/>
      </c>
    </row>
    <row r="139">
      <c r="A139" s="2" t="n">
        <v>138</v>
      </c>
      <c r="B139" s="2" t="inlineStr">
        <is>
          <t>Wana Wisata Perhutani Malang</t>
        </is>
      </c>
      <c r="C139" s="2" t="n">
        <v>35000</v>
      </c>
      <c r="D139" s="2" t="n">
        <v>-7.968701</v>
      </c>
      <c r="E139" s="2" t="n">
        <v>112.6351501</v>
      </c>
      <c r="F139" s="3">
        <f>(C139 - $B$192) / $B$193</f>
        <v/>
      </c>
      <c r="G139" s="2">
        <f>IF(F139&lt;-0.5,"Murah",IF(F139&lt;0.5,"Sedang","Mahal"))</f>
        <v/>
      </c>
    </row>
    <row r="140">
      <c r="A140" s="2" t="n">
        <v>139</v>
      </c>
      <c r="B140" s="2" t="inlineStr">
        <is>
          <t>Wisata Agro Petik Jeruk</t>
        </is>
      </c>
      <c r="C140" s="2" t="n">
        <v>15000</v>
      </c>
      <c r="D140" s="2" t="n">
        <v>-7.9390977</v>
      </c>
      <c r="E140" s="2" t="n">
        <v>112.5538888</v>
      </c>
      <c r="F140" s="3">
        <f>(C140 - $B$192) / $B$193</f>
        <v/>
      </c>
      <c r="G140" s="2">
        <f>IF(F140&lt;-0.5,"Murah",IF(F140&lt;0.5,"Sedang","Mahal"))</f>
        <v/>
      </c>
    </row>
    <row r="141">
      <c r="A141" s="2" t="n">
        <v>140</v>
      </c>
      <c r="B141" s="2" t="inlineStr">
        <is>
          <t>Wisata alam Lembah Ken Arok</t>
        </is>
      </c>
      <c r="C141" s="2" t="n">
        <v>20000</v>
      </c>
      <c r="D141" s="2" t="n">
        <v>-8.030439299999999</v>
      </c>
      <c r="E141" s="2" t="n">
        <v>112.5645138</v>
      </c>
      <c r="F141" s="3">
        <f>(C141 - $B$192) / $B$193</f>
        <v/>
      </c>
      <c r="G141" s="2">
        <f>IF(F141&lt;-0.5,"Murah",IF(F141&lt;0.5,"Sedang","Mahal"))</f>
        <v/>
      </c>
    </row>
    <row r="142">
      <c r="A142" s="2" t="n">
        <v>141</v>
      </c>
      <c r="B142" s="2" t="inlineStr">
        <is>
          <t>Air Terjun Coban Rais</t>
        </is>
      </c>
      <c r="C142" s="2" t="n">
        <v>10000</v>
      </c>
      <c r="D142" s="2" t="n">
        <v>-7.9116767</v>
      </c>
      <c r="E142" s="2" t="n">
        <v>112.5184342</v>
      </c>
      <c r="F142" s="3">
        <f>(C142 - $B$192) / $B$193</f>
        <v/>
      </c>
      <c r="G142" s="2">
        <f>IF(F142&lt;-0.5,"Murah",IF(F142&lt;0.5,"Sedang","Mahal"))</f>
        <v/>
      </c>
    </row>
    <row r="143">
      <c r="A143" s="2" t="n">
        <v>142</v>
      </c>
      <c r="B143" s="2" t="inlineStr">
        <is>
          <t>Tomboan Ngawonggo</t>
        </is>
      </c>
      <c r="C143" s="2" t="n">
        <v>5000</v>
      </c>
      <c r="D143" s="2" t="n">
        <v>-8.079630999999999</v>
      </c>
      <c r="E143" s="2" t="n">
        <v>112.704618</v>
      </c>
      <c r="F143" s="3">
        <f>(C143 - $B$192) / $B$193</f>
        <v/>
      </c>
      <c r="G143" s="2">
        <f>IF(F143&lt;-0.5,"Murah",IF(F143&lt;0.5,"Sedang","Mahal"))</f>
        <v/>
      </c>
    </row>
    <row r="144">
      <c r="A144" s="2" t="n">
        <v>143</v>
      </c>
      <c r="B144" s="2" t="inlineStr">
        <is>
          <t>Hawai Waterpark</t>
        </is>
      </c>
      <c r="C144" s="2" t="n">
        <v>85000</v>
      </c>
      <c r="D144" s="2" t="n">
        <v>-7.9234101</v>
      </c>
      <c r="E144" s="2" t="n">
        <v>112.657862</v>
      </c>
      <c r="F144" s="3">
        <f>(C144 - $B$192) / $B$193</f>
        <v/>
      </c>
      <c r="G144" s="2">
        <f>IF(F144&lt;-0.5,"Murah",IF(F144&lt;0.5,"Sedang","Mahal"))</f>
        <v/>
      </c>
    </row>
    <row r="145">
      <c r="A145" s="2" t="n">
        <v>144</v>
      </c>
      <c r="B145" s="2" t="inlineStr">
        <is>
          <t>Lembah Tumpang Resort</t>
        </is>
      </c>
      <c r="C145" s="2" t="n">
        <v>60000</v>
      </c>
      <c r="D145" s="2" t="n">
        <v>-7.9942415</v>
      </c>
      <c r="E145" s="2" t="n">
        <v>112.737865</v>
      </c>
      <c r="F145" s="3">
        <f>(C145 - $B$192) / $B$193</f>
        <v/>
      </c>
      <c r="G145" s="2">
        <f>IF(F145&lt;-0.5,"Murah",IF(F145&lt;0.5,"Sedang","Mahal"))</f>
        <v/>
      </c>
    </row>
    <row r="146">
      <c r="A146" s="2" t="n">
        <v>145</v>
      </c>
      <c r="B146" s="2" t="inlineStr">
        <is>
          <t>Alun-Alun Kota Wisata Batu</t>
        </is>
      </c>
      <c r="C146" s="2" t="n">
        <v>5000</v>
      </c>
      <c r="D146" s="2" t="n">
        <v>-7.8711714</v>
      </c>
      <c r="E146" s="2" t="n">
        <v>112.5269243</v>
      </c>
      <c r="F146" s="3">
        <f>(C146 - $B$192) / $B$193</f>
        <v/>
      </c>
      <c r="G146" s="2">
        <f>IF(F146&lt;-0.5,"Murah",IF(F146&lt;0.5,"Sedang","Mahal"))</f>
        <v/>
      </c>
    </row>
    <row r="147">
      <c r="A147" s="2" t="n">
        <v>146</v>
      </c>
      <c r="B147" s="2" t="inlineStr">
        <is>
          <t>Sweetmemoriesselfie</t>
        </is>
      </c>
      <c r="C147" s="2" t="n">
        <v>30000</v>
      </c>
      <c r="D147" s="2" t="n">
        <v>-7.983933</v>
      </c>
      <c r="E147" s="2" t="n">
        <v>112.6321102</v>
      </c>
      <c r="F147" s="3">
        <f>(C147 - $B$192) / $B$193</f>
        <v/>
      </c>
      <c r="G147" s="2">
        <f>IF(F147&lt;-0.5,"Murah",IF(F147&lt;0.5,"Sedang","Mahal"))</f>
        <v/>
      </c>
    </row>
    <row r="148">
      <c r="A148" s="2" t="n">
        <v>147</v>
      </c>
      <c r="B148" s="2" t="inlineStr">
        <is>
          <t>Pecinan Malang</t>
        </is>
      </c>
      <c r="C148" s="2" t="n">
        <v>30000</v>
      </c>
      <c r="D148" s="2" t="n">
        <v>-7.9860032</v>
      </c>
      <c r="E148" s="2" t="n">
        <v>112.6334661</v>
      </c>
      <c r="F148" s="3">
        <f>(C148 - $B$192) / $B$193</f>
        <v/>
      </c>
      <c r="G148" s="2">
        <f>IF(F148&lt;-0.5,"Murah",IF(F148&lt;0.5,"Sedang","Mahal"))</f>
        <v/>
      </c>
    </row>
    <row r="149">
      <c r="A149" s="2" t="n">
        <v>148</v>
      </c>
      <c r="B149" s="2" t="inlineStr">
        <is>
          <t>SANGGAR SEMAR</t>
        </is>
      </c>
      <c r="C149" s="2" t="n">
        <v>30000</v>
      </c>
      <c r="D149" s="2" t="n">
        <v>-7.9276929</v>
      </c>
      <c r="E149" s="2" t="n">
        <v>112.6554293</v>
      </c>
      <c r="F149" s="3">
        <f>(C149 - $B$192) / $B$193</f>
        <v/>
      </c>
      <c r="G149" s="2">
        <f>IF(F149&lt;-0.5,"Murah",IF(F149&lt;0.5,"Sedang","Mahal"))</f>
        <v/>
      </c>
    </row>
    <row r="150">
      <c r="A150" s="2" t="n">
        <v>149</v>
      </c>
      <c r="B150" s="2" t="inlineStr">
        <is>
          <t>Unimaz Rajut</t>
        </is>
      </c>
      <c r="C150" s="2" t="n">
        <v>36239</v>
      </c>
      <c r="D150" s="2" t="n">
        <v>-7.9649155</v>
      </c>
      <c r="E150" s="2" t="n">
        <v>112.5961882</v>
      </c>
      <c r="F150" s="3">
        <f>(C150 - $B$192) / $B$193</f>
        <v/>
      </c>
      <c r="G150" s="2">
        <f>IF(F150&lt;-0.5,"Murah",IF(F150&lt;0.5,"Sedang","Mahal"))</f>
        <v/>
      </c>
    </row>
    <row r="151">
      <c r="A151" s="2" t="n">
        <v>150</v>
      </c>
      <c r="B151" s="2" t="inlineStr">
        <is>
          <t>Coban Amprong</t>
        </is>
      </c>
      <c r="C151" s="2" t="n">
        <v>10000</v>
      </c>
      <c r="D151" s="2" t="n">
        <v>-7.99282</v>
      </c>
      <c r="E151" s="2" t="n">
        <v>112.6495368</v>
      </c>
      <c r="F151" s="3">
        <f>(C151 - $B$192) / $B$193</f>
        <v/>
      </c>
      <c r="G151" s="2">
        <f>IF(F151&lt;-0.5,"Murah",IF(F151&lt;0.5,"Sedang","Mahal"))</f>
        <v/>
      </c>
    </row>
    <row r="152">
      <c r="A152" s="2" t="n">
        <v>151</v>
      </c>
      <c r="B152" s="2" t="inlineStr">
        <is>
          <t>Pintu Masuk Kampoeng Heritage Kajoetangan</t>
        </is>
      </c>
      <c r="C152" s="2" t="n">
        <v>5000</v>
      </c>
      <c r="D152" s="2" t="n">
        <v>-7.9789835</v>
      </c>
      <c r="E152" s="2" t="n">
        <v>112.6276601</v>
      </c>
      <c r="F152" s="3">
        <f>(C152 - $B$192) / $B$193</f>
        <v/>
      </c>
      <c r="G152" s="2">
        <f>IF(F152&lt;-0.5,"Murah",IF(F152&lt;0.5,"Sedang","Mahal"))</f>
        <v/>
      </c>
    </row>
    <row r="153">
      <c r="A153" s="2" t="n">
        <v>152</v>
      </c>
      <c r="B153" s="2" t="inlineStr">
        <is>
          <t>bromoindonesia.id</t>
        </is>
      </c>
      <c r="C153" s="2" t="n">
        <v>54000</v>
      </c>
      <c r="D153" s="2" t="n">
        <v>-7.9676542</v>
      </c>
      <c r="E153" s="2" t="n">
        <v>112.6161205</v>
      </c>
      <c r="F153" s="3">
        <f>(C153 - $B$192) / $B$193</f>
        <v/>
      </c>
      <c r="G153" s="2">
        <f>IF(F153&lt;-0.5,"Murah",IF(F153&lt;0.5,"Sedang","Mahal"))</f>
        <v/>
      </c>
    </row>
    <row r="154">
      <c r="A154" s="2" t="n">
        <v>153</v>
      </c>
      <c r="B154" s="2" t="inlineStr">
        <is>
          <t>Wisata kali djaeng</t>
        </is>
      </c>
      <c r="C154" s="2" t="n">
        <v>35000</v>
      </c>
      <c r="D154" s="2" t="n">
        <v>-7.9105493</v>
      </c>
      <c r="E154" s="2" t="n">
        <v>112.6382561</v>
      </c>
      <c r="F154" s="3">
        <f>(C154 - $B$192) / $B$193</f>
        <v/>
      </c>
      <c r="G154" s="2">
        <f>IF(F154&lt;-0.5,"Murah",IF(F154&lt;0.5,"Sedang","Mahal"))</f>
        <v/>
      </c>
    </row>
    <row r="155">
      <c r="A155" s="2" t="n">
        <v>154</v>
      </c>
      <c r="B155" s="2" t="inlineStr">
        <is>
          <t>Bromo Midnight Tour</t>
        </is>
      </c>
      <c r="C155" s="2" t="n">
        <v>300000</v>
      </c>
      <c r="D155" s="2" t="n">
        <v>-7.95255</v>
      </c>
      <c r="E155" s="2" t="n">
        <v>112.6793106</v>
      </c>
      <c r="F155" s="3">
        <f>(C155 - $B$192) / $B$193</f>
        <v/>
      </c>
      <c r="G155" s="2">
        <f>IF(F155&lt;-0.5,"Murah",IF(F155&lt;0.5,"Sedang","Mahal"))</f>
        <v/>
      </c>
    </row>
    <row r="156">
      <c r="A156" s="2" t="n">
        <v>155</v>
      </c>
      <c r="B156" s="2" t="inlineStr">
        <is>
          <t>Kolam Pemancingan &amp; Lesehan Beran Sundeng</t>
        </is>
      </c>
      <c r="C156" s="2" t="n">
        <v>48000</v>
      </c>
      <c r="D156" s="2" t="n">
        <v>-7.9706652</v>
      </c>
      <c r="E156" s="2" t="n">
        <v>112.6559987</v>
      </c>
      <c r="F156" s="3">
        <f>(C156 - $B$192) / $B$193</f>
        <v/>
      </c>
      <c r="G156" s="2">
        <f>IF(F156&lt;-0.5,"Murah",IF(F156&lt;0.5,"Sedang","Mahal"))</f>
        <v/>
      </c>
    </row>
    <row r="157">
      <c r="A157" s="2" t="n">
        <v>156</v>
      </c>
      <c r="B157" s="2" t="inlineStr">
        <is>
          <t>Bis Wisata Malang (Macito)</t>
        </is>
      </c>
      <c r="C157" s="2" t="n">
        <v>30000</v>
      </c>
      <c r="D157" s="2" t="n">
        <v>-7.9766762</v>
      </c>
      <c r="E157" s="2" t="n">
        <v>112.6248925</v>
      </c>
      <c r="F157" s="3">
        <f>(C157 - $B$192) / $B$193</f>
        <v/>
      </c>
      <c r="G157" s="2">
        <f>IF(F157&lt;-0.5,"Murah",IF(F157&lt;0.5,"Sedang","Mahal"))</f>
        <v/>
      </c>
    </row>
    <row r="158">
      <c r="A158" s="2" t="n">
        <v>157</v>
      </c>
      <c r="B158" s="2" t="inlineStr">
        <is>
          <t>Monumen Melati Kadet Suropati</t>
        </is>
      </c>
      <c r="C158" s="2" t="n">
        <v>15000</v>
      </c>
      <c r="D158" s="2" t="n">
        <v>-7.9722947</v>
      </c>
      <c r="E158" s="2" t="n">
        <v>112.6216063</v>
      </c>
      <c r="F158" s="3">
        <f>(C158 - $B$192) / $B$193</f>
        <v/>
      </c>
      <c r="G158" s="2">
        <f>IF(F158&lt;-0.5,"Murah",IF(F158&lt;0.5,"Sedang","Mahal"))</f>
        <v/>
      </c>
    </row>
    <row r="159">
      <c r="A159" s="2" t="n">
        <v>158</v>
      </c>
      <c r="B159" s="2" t="inlineStr">
        <is>
          <t>Candi Sumberawan</t>
        </is>
      </c>
      <c r="C159" s="2" t="n">
        <v>5000</v>
      </c>
      <c r="D159" s="2" t="n">
        <v>-7.8553802</v>
      </c>
      <c r="E159" s="2" t="n">
        <v>112.6447984</v>
      </c>
      <c r="F159" s="3">
        <f>(C159 - $B$192) / $B$193</f>
        <v/>
      </c>
      <c r="G159" s="2">
        <f>IF(F159&lt;-0.5,"Murah",IF(F159&lt;0.5,"Sedang","Mahal"))</f>
        <v/>
      </c>
    </row>
    <row r="160">
      <c r="A160" s="2" t="n">
        <v>159</v>
      </c>
      <c r="B160" s="2" t="inlineStr">
        <is>
          <t>Candi Kidal</t>
        </is>
      </c>
      <c r="C160" s="2" t="n">
        <v>15000</v>
      </c>
      <c r="D160" s="2" t="n">
        <v>-8.0257936</v>
      </c>
      <c r="E160" s="2" t="n">
        <v>112.7089856</v>
      </c>
      <c r="F160" s="3">
        <f>(C160 - $B$192) / $B$193</f>
        <v/>
      </c>
      <c r="G160" s="2">
        <f>IF(F160&lt;-0.5,"Murah",IF(F160&lt;0.5,"Sedang","Mahal"))</f>
        <v/>
      </c>
    </row>
    <row r="161">
      <c r="A161" s="2" t="n">
        <v>160</v>
      </c>
      <c r="B161" s="2" t="inlineStr">
        <is>
          <t>Pantai Banyu Anjlok</t>
        </is>
      </c>
      <c r="C161" s="2" t="n">
        <v>5000</v>
      </c>
      <c r="D161" s="2" t="n">
        <v>-8.372068199999999</v>
      </c>
      <c r="E161" s="2" t="n">
        <v>112.8210105</v>
      </c>
      <c r="F161" s="3">
        <f>(C161 - $B$192) / $B$193</f>
        <v/>
      </c>
      <c r="G161" s="2">
        <f>IF(F161&lt;-0.5,"Murah",IF(F161&lt;0.5,"Sedang","Mahal"))</f>
        <v/>
      </c>
    </row>
    <row r="162">
      <c r="A162" s="2" t="n">
        <v>161</v>
      </c>
      <c r="B162" s="2" t="inlineStr">
        <is>
          <t>Kampung Semar Malang</t>
        </is>
      </c>
      <c r="C162" s="2" t="n">
        <v>75000</v>
      </c>
      <c r="D162" s="2" t="n">
        <v>-7.928837</v>
      </c>
      <c r="E162" s="2" t="n">
        <v>112.6547881</v>
      </c>
      <c r="F162" s="3">
        <f>(C162 - $B$192) / $B$193</f>
        <v/>
      </c>
      <c r="G162" s="2">
        <f>IF(F162&lt;-0.5,"Murah",IF(F162&lt;0.5,"Sedang","Mahal"))</f>
        <v/>
      </c>
    </row>
    <row r="163">
      <c r="A163" s="2" t="n">
        <v>162</v>
      </c>
      <c r="B163" s="2" t="inlineStr">
        <is>
          <t>Coban Putri</t>
        </is>
      </c>
      <c r="C163" s="2" t="n">
        <v>10000</v>
      </c>
      <c r="D163" s="2" t="n">
        <v>-7.9119954</v>
      </c>
      <c r="E163" s="2" t="n">
        <v>112.5302537</v>
      </c>
      <c r="F163" s="3">
        <f>(C163 - $B$192) / $B$193</f>
        <v/>
      </c>
      <c r="G163" s="2">
        <f>IF(F163&lt;-0.5,"Murah",IF(F163&lt;0.5,"Sedang","Mahal"))</f>
        <v/>
      </c>
    </row>
    <row r="164">
      <c r="A164" s="2" t="n">
        <v>163</v>
      </c>
      <c r="B164" s="2" t="inlineStr">
        <is>
          <t>Healing Tour Malang</t>
        </is>
      </c>
      <c r="C164" s="2" t="n">
        <v>18000</v>
      </c>
      <c r="D164" s="2" t="n">
        <v>-7.9384783</v>
      </c>
      <c r="E164" s="2" t="n">
        <v>112.6313415</v>
      </c>
      <c r="F164" s="3">
        <f>(C164 - $B$192) / $B$193</f>
        <v/>
      </c>
      <c r="G164" s="2">
        <f>IF(F164&lt;-0.5,"Murah",IF(F164&lt;0.5,"Sedang","Mahal"))</f>
        <v/>
      </c>
    </row>
    <row r="165">
      <c r="A165" s="2" t="n">
        <v>164</v>
      </c>
      <c r="B165" s="2" t="inlineStr">
        <is>
          <t>Museum Brawijaya</t>
        </is>
      </c>
      <c r="C165" s="2" t="n">
        <v>5000</v>
      </c>
      <c r="D165" s="2" t="n">
        <v>-7.9721325</v>
      </c>
      <c r="E165" s="2" t="n">
        <v>112.621209</v>
      </c>
      <c r="F165" s="3">
        <f>(C165 - $B$192) / $B$193</f>
        <v/>
      </c>
      <c r="G165" s="2">
        <f>IF(F165&lt;-0.5,"Murah",IF(F165&lt;0.5,"Sedang","Mahal"))</f>
        <v/>
      </c>
    </row>
    <row r="166">
      <c r="A166" s="2" t="n">
        <v>165</v>
      </c>
      <c r="B166" s="2" t="inlineStr">
        <is>
          <t>Khayangan Reflexology Malang</t>
        </is>
      </c>
      <c r="C166" s="2" t="n">
        <v>155000</v>
      </c>
      <c r="D166" s="2" t="n">
        <v>-7.9745653</v>
      </c>
      <c r="E166" s="2" t="n">
        <v>112.6236794</v>
      </c>
      <c r="F166" s="3">
        <f>(C166 - $B$192) / $B$193</f>
        <v/>
      </c>
      <c r="G166" s="2">
        <f>IF(F166&lt;-0.5,"Murah",IF(F166&lt;0.5,"Sedang","Mahal"))</f>
        <v/>
      </c>
    </row>
    <row r="167">
      <c r="A167" s="2" t="n">
        <v>166</v>
      </c>
      <c r="B167" s="2" t="inlineStr">
        <is>
          <t>Havanna Reflexology Malang</t>
        </is>
      </c>
      <c r="C167" s="2" t="n">
        <v>180500</v>
      </c>
      <c r="D167" s="2" t="n">
        <v>-7.9739649</v>
      </c>
      <c r="E167" s="2" t="n">
        <v>112.601416</v>
      </c>
      <c r="F167" s="3">
        <f>(C167 - $B$192) / $B$193</f>
        <v/>
      </c>
      <c r="G167" s="2">
        <f>IF(F167&lt;-0.5,"Murah",IF(F167&lt;0.5,"Sedang","Mahal"))</f>
        <v/>
      </c>
    </row>
    <row r="168">
      <c r="A168" s="2" t="n">
        <v>167</v>
      </c>
      <c r="B168" s="2" t="inlineStr">
        <is>
          <t>RELAXING Reflexology Massage Shiatsu</t>
        </is>
      </c>
      <c r="C168" s="2" t="n">
        <v>55000</v>
      </c>
      <c r="D168" s="2" t="n">
        <v>-7.976725</v>
      </c>
      <c r="E168" s="2" t="n">
        <v>112.630303</v>
      </c>
      <c r="F168" s="3">
        <f>(C168 - $B$192) / $B$193</f>
        <v/>
      </c>
      <c r="G168" s="2">
        <f>IF(F168&lt;-0.5,"Murah",IF(F168&lt;0.5,"Sedang","Mahal"))</f>
        <v/>
      </c>
    </row>
    <row r="169">
      <c r="A169" s="2" t="n">
        <v>168</v>
      </c>
      <c r="B169" s="2" t="inlineStr">
        <is>
          <t>Queen's Family Reflexology</t>
        </is>
      </c>
      <c r="C169" s="2" t="n">
        <v>75000</v>
      </c>
      <c r="D169" s="2" t="n">
        <v>-7.9778077</v>
      </c>
      <c r="E169" s="2" t="n">
        <v>112.6239371</v>
      </c>
      <c r="F169" s="3">
        <f>(C169 - $B$192) / $B$193</f>
        <v/>
      </c>
      <c r="G169" s="2">
        <f>IF(F169&lt;-0.5,"Murah",IF(F169&lt;0.5,"Sedang","Mahal"))</f>
        <v/>
      </c>
    </row>
    <row r="170">
      <c r="A170" s="2" t="n">
        <v>169</v>
      </c>
      <c r="B170" s="2" t="inlineStr">
        <is>
          <t>De WAVE Family Massage, Reflexology &amp; Beauty Bar Malang</t>
        </is>
      </c>
      <c r="C170" s="2" t="n">
        <v>60000</v>
      </c>
      <c r="D170" s="2" t="n">
        <v>-7.9654125</v>
      </c>
      <c r="E170" s="2" t="n">
        <v>112.5934393</v>
      </c>
      <c r="F170" s="3">
        <f>(C170 - $B$192) / $B$193</f>
        <v/>
      </c>
      <c r="G170" s="2">
        <f>IF(F170&lt;-0.5,"Murah",IF(F170&lt;0.5,"Sedang","Mahal"))</f>
        <v/>
      </c>
    </row>
    <row r="171">
      <c r="A171" s="2" t="n">
        <v>170</v>
      </c>
      <c r="B171" s="2" t="inlineStr">
        <is>
          <t>Akira Reflexology - Pijat Malang dan Home Service Massage</t>
        </is>
      </c>
      <c r="C171" s="2" t="n">
        <v>75000</v>
      </c>
      <c r="D171" s="2" t="n">
        <v>-7.9408679</v>
      </c>
      <c r="E171" s="2" t="n">
        <v>112.6604698</v>
      </c>
      <c r="F171" s="3">
        <f>(C171 - $B$192) / $B$193</f>
        <v/>
      </c>
      <c r="G171" s="2">
        <f>IF(F171&lt;-0.5,"Murah",IF(F171&lt;0.5,"Sedang","Mahal"))</f>
        <v/>
      </c>
    </row>
    <row r="172">
      <c r="A172" s="2" t="n">
        <v>171</v>
      </c>
      <c r="B172" s="2" t="inlineStr">
        <is>
          <t>Wisata Sumber Air " DAM COKRO " Lowoksari</t>
        </is>
      </c>
      <c r="C172" s="2" t="n">
        <v>3000</v>
      </c>
      <c r="D172" s="2" t="n">
        <v>-7.9000712</v>
      </c>
      <c r="E172" s="2" t="n">
        <v>112.6239566</v>
      </c>
      <c r="F172" s="3">
        <f>(C172 - $B$192) / $B$193</f>
        <v/>
      </c>
      <c r="G172" s="2">
        <f>IF(F172&lt;-0.5,"Murah",IF(F172&lt;0.5,"Sedang","Mahal"))</f>
        <v/>
      </c>
    </row>
    <row r="173">
      <c r="A173" s="2" t="n">
        <v>172</v>
      </c>
      <c r="B173" s="2" t="inlineStr">
        <is>
          <t>New Wisata Wendit by Nicole’s</t>
        </is>
      </c>
      <c r="C173" s="2" t="n">
        <v>70000</v>
      </c>
      <c r="D173" s="2" t="n">
        <v>-7.952657</v>
      </c>
      <c r="E173" s="2" t="n">
        <v>112.674464</v>
      </c>
      <c r="F173" s="3">
        <f>(C173 - $B$192) / $B$193</f>
        <v/>
      </c>
      <c r="G173" s="2">
        <f>IF(F173&lt;-0.5,"Murah",IF(F173&lt;0.5,"Sedang","Mahal"))</f>
        <v/>
      </c>
    </row>
    <row r="174">
      <c r="A174" s="2" t="n">
        <v>173</v>
      </c>
      <c r="B174" s="2" t="inlineStr">
        <is>
          <t>Tirta Nirwana Songgoriti</t>
        </is>
      </c>
      <c r="C174" s="2" t="n">
        <v>15000</v>
      </c>
      <c r="D174" s="2" t="n">
        <v>-7.865754</v>
      </c>
      <c r="E174" s="2" t="n">
        <v>112.4932518</v>
      </c>
      <c r="F174" s="3">
        <f>(C174 - $B$192) / $B$193</f>
        <v/>
      </c>
      <c r="G174" s="2">
        <f>IF(F174&lt;-0.5,"Murah",IF(F174&lt;0.5,"Sedang","Mahal"))</f>
        <v/>
      </c>
    </row>
    <row r="175">
      <c r="A175" s="2" t="n">
        <v>174</v>
      </c>
      <c r="B175" s="2" t="inlineStr">
        <is>
          <t>Pemandian Belakang Wendit Wakaf</t>
        </is>
      </c>
      <c r="C175" s="2" t="n">
        <v>35000</v>
      </c>
      <c r="D175" s="2" t="n">
        <v>-7.9553541</v>
      </c>
      <c r="E175" s="2" t="n">
        <v>112.6741869</v>
      </c>
      <c r="F175" s="3">
        <f>(C175 - $B$192) / $B$193</f>
        <v/>
      </c>
      <c r="G175" s="2">
        <f>IF(F175&lt;-0.5,"Murah",IF(F175&lt;0.5,"Sedang","Mahal"))</f>
        <v/>
      </c>
    </row>
    <row r="176">
      <c r="A176" s="2" t="n">
        <v>175</v>
      </c>
      <c r="B176" s="2" t="inlineStr">
        <is>
          <t>Sumber Air Ngembul</t>
        </is>
      </c>
      <c r="C176" s="2" t="n">
        <v>10000</v>
      </c>
      <c r="D176" s="2" t="n">
        <v>-8.058364900000001</v>
      </c>
      <c r="E176" s="2" t="n">
        <v>112.6757856</v>
      </c>
      <c r="F176" s="3">
        <f>(C176 - $B$192) / $B$193</f>
        <v/>
      </c>
      <c r="G176" s="2">
        <f>IF(F176&lt;-0.5,"Murah",IF(F176&lt;0.5,"Sedang","Mahal"))</f>
        <v/>
      </c>
    </row>
    <row r="177">
      <c r="A177" s="2" t="n">
        <v>176</v>
      </c>
      <c r="B177" s="2" t="inlineStr">
        <is>
          <t>Coban rondo malang jawa timur</t>
        </is>
      </c>
      <c r="C177" s="2" t="n">
        <v>35000</v>
      </c>
      <c r="D177" s="2" t="n">
        <v>-7.884994</v>
      </c>
      <c r="E177" s="2" t="n">
        <v>112.477319</v>
      </c>
      <c r="F177" s="3">
        <f>(C177 - $B$192) / $B$193</f>
        <v/>
      </c>
      <c r="G177" s="2">
        <f>IF(F177&lt;-0.5,"Murah",IF(F177&lt;0.5,"Sedang","Mahal"))</f>
        <v/>
      </c>
    </row>
    <row r="178">
      <c r="A178" s="2" t="n">
        <v>177</v>
      </c>
      <c r="B178" s="2" t="inlineStr">
        <is>
          <t>Bonderland Waterpark</t>
        </is>
      </c>
      <c r="C178" s="2" t="n">
        <v>30000</v>
      </c>
      <c r="D178" s="2" t="n">
        <v>-8.0493843</v>
      </c>
      <c r="E178" s="2" t="n">
        <v>112.6083431</v>
      </c>
      <c r="F178" s="3">
        <f>(C178 - $B$192) / $B$193</f>
        <v/>
      </c>
      <c r="G178" s="2">
        <f>IF(F178&lt;-0.5,"Murah",IF(F178&lt;0.5,"Sedang","Mahal"))</f>
        <v/>
      </c>
    </row>
    <row r="179">
      <c r="A179" s="2" t="n">
        <v>178</v>
      </c>
      <c r="B179" s="2" t="inlineStr">
        <is>
          <t>Kusuma Waterpark</t>
        </is>
      </c>
      <c r="C179" s="2" t="n">
        <v>25000</v>
      </c>
      <c r="D179" s="2" t="n">
        <v>-7.8816345</v>
      </c>
      <c r="E179" s="2" t="n">
        <v>112.5148178</v>
      </c>
      <c r="F179" s="3">
        <f>(C179 - $B$192) / $B$193</f>
        <v/>
      </c>
      <c r="G179" s="2">
        <f>IF(F179&lt;-0.5,"Murah",IF(F179&lt;0.5,"Sedang","Mahal"))</f>
        <v/>
      </c>
    </row>
    <row r="180">
      <c r="A180" s="2" t="n">
        <v>179</v>
      </c>
      <c r="B180" s="2" t="inlineStr">
        <is>
          <t>WISATA AIR MADYOPURO</t>
        </is>
      </c>
      <c r="C180" s="2" t="n">
        <v>20000</v>
      </c>
      <c r="D180" s="2" t="n">
        <v>-7.9767907</v>
      </c>
      <c r="E180" s="2" t="n">
        <v>112.6777845</v>
      </c>
      <c r="F180" s="3">
        <f>(C180 - $B$192) / $B$193</f>
        <v/>
      </c>
      <c r="G180" s="2">
        <f>IF(F180&lt;-0.5,"Murah",IF(F180&lt;0.5,"Sedang","Mahal"))</f>
        <v/>
      </c>
    </row>
    <row r="181">
      <c r="A181" s="2" t="n">
        <v>180</v>
      </c>
      <c r="B181" s="2" t="inlineStr">
        <is>
          <t>Pemandian Air Panas Cangar</t>
        </is>
      </c>
      <c r="C181" s="2" t="n">
        <v>15000</v>
      </c>
      <c r="D181" s="2" t="n">
        <v>-7.741749</v>
      </c>
      <c r="E181" s="2" t="n">
        <v>112.5343105</v>
      </c>
      <c r="F181" s="3">
        <f>(C181 - $B$192) / $B$193</f>
        <v/>
      </c>
      <c r="G181" s="2">
        <f>IF(F181&lt;-0.5,"Murah",IF(F181&lt;0.5,"Sedang","Mahal"))</f>
        <v/>
      </c>
    </row>
    <row r="182">
      <c r="A182" s="2" t="n">
        <v>181</v>
      </c>
      <c r="B182" s="2" t="inlineStr">
        <is>
          <t>Kolam Renang Pentungan Sari</t>
        </is>
      </c>
      <c r="C182" s="2" t="n">
        <v>8000</v>
      </c>
      <c r="D182" s="2" t="n">
        <v>-7.8518377</v>
      </c>
      <c r="E182" s="2" t="n">
        <v>112.6584696</v>
      </c>
      <c r="F182" s="3">
        <f>(C182 - $B$192) / $B$193</f>
        <v/>
      </c>
      <c r="G182" s="2">
        <f>IF(F182&lt;-0.5,"Murah",IF(F182&lt;0.5,"Sedang","Mahal"))</f>
        <v/>
      </c>
    </row>
    <row r="183">
      <c r="A183" s="2" t="n">
        <v>182</v>
      </c>
      <c r="B183" s="2" t="inlineStr">
        <is>
          <t>Coban Baung ꦕꦺꦴꦧꦤ꧀ꦧꦈꦁ</t>
        </is>
      </c>
      <c r="C183" s="2" t="n">
        <v>5000</v>
      </c>
      <c r="D183" s="2" t="n">
        <v>-8.032181100000001</v>
      </c>
      <c r="E183" s="2" t="n">
        <v>112.5000568</v>
      </c>
      <c r="F183" s="3">
        <f>(C183 - $B$192) / $B$193</f>
        <v/>
      </c>
      <c r="G183" s="2">
        <f>IF(F183&lt;-0.5,"Murah",IF(F183&lt;0.5,"Sedang","Mahal"))</f>
        <v/>
      </c>
    </row>
    <row r="184">
      <c r="A184" s="2" t="n">
        <v>183</v>
      </c>
      <c r="B184" s="2" t="inlineStr">
        <is>
          <t>Sumber Mata Air Tambakrejo</t>
        </is>
      </c>
      <c r="C184" s="2" t="n">
        <v>5000</v>
      </c>
      <c r="D184" s="2" t="n">
        <v>-8.0573222</v>
      </c>
      <c r="E184" s="2" t="n">
        <v>112.6300476</v>
      </c>
      <c r="F184" s="3">
        <f>(C184 - $B$192) / $B$193</f>
        <v/>
      </c>
      <c r="G184" s="2">
        <f>IF(F184&lt;-0.5,"Murah",IF(F184&lt;0.5,"Sedang","Mahal"))</f>
        <v/>
      </c>
    </row>
    <row r="185">
      <c r="A185" s="2" t="n">
        <v>184</v>
      </c>
      <c r="B185" s="2" t="inlineStr">
        <is>
          <t>Wisata Air PLPBK Sukun</t>
        </is>
      </c>
      <c r="C185" s="2" t="n">
        <v>20000</v>
      </c>
      <c r="D185" s="2" t="n">
        <v>-7.9968833</v>
      </c>
      <c r="E185" s="2" t="n">
        <v>112.6170074</v>
      </c>
      <c r="F185" s="3">
        <f>(C185 - $B$192) / $B$193</f>
        <v/>
      </c>
      <c r="G185" s="2">
        <f>IF(F185&lt;-0.5,"Murah",IF(F185&lt;0.5,"Sedang","Mahal"))</f>
        <v/>
      </c>
    </row>
    <row r="186">
      <c r="A186" s="2" t="n">
        <v>185</v>
      </c>
      <c r="B186" s="2" t="inlineStr">
        <is>
          <t>Jalan ke Wisata Air Terjun Coban Jahe Malang</t>
        </is>
      </c>
      <c r="C186" s="2" t="n">
        <v>12000</v>
      </c>
      <c r="D186" s="2" t="n">
        <v>-7.9763262</v>
      </c>
      <c r="E186" s="2" t="n">
        <v>112.7464766</v>
      </c>
      <c r="F186" s="3">
        <f>(C186 - $B$192) / $B$193</f>
        <v/>
      </c>
      <c r="G186" s="2">
        <f>IF(F186&lt;-0.5,"Murah",IF(F186&lt;0.5,"Sedang","Mahal"))</f>
        <v/>
      </c>
    </row>
    <row r="187">
      <c r="A187" s="2" t="n">
        <v>186</v>
      </c>
      <c r="B187" s="2" t="inlineStr">
        <is>
          <t>SUMBER MATA AIR PUNDEN BELIK KURUNG</t>
        </is>
      </c>
      <c r="C187" s="2" t="n">
        <v>5000</v>
      </c>
      <c r="D187" s="2" t="n">
        <v>-8.0707866</v>
      </c>
      <c r="E187" s="2" t="n">
        <v>112.589268</v>
      </c>
      <c r="F187" s="3">
        <f>(C187 - $B$192) / $B$193</f>
        <v/>
      </c>
      <c r="G187" s="2">
        <f>IF(F187&lt;-0.5,"Murah",IF(F187&lt;0.5,"Sedang","Mahal"))</f>
        <v/>
      </c>
    </row>
    <row r="188">
      <c r="A188" s="2" t="n">
        <v>187</v>
      </c>
      <c r="B188" s="2" t="inlineStr">
        <is>
          <t>WISATA AIR SUMBER UMBULAN</t>
        </is>
      </c>
      <c r="C188" s="2" t="n">
        <v>5000</v>
      </c>
      <c r="D188" s="2" t="n">
        <v>-8.048190699999999</v>
      </c>
      <c r="E188" s="2" t="n">
        <v>112.5279553</v>
      </c>
      <c r="F188" s="3">
        <f>(C188 - $B$192) / $B$193</f>
        <v/>
      </c>
      <c r="G188" s="2">
        <f>IF(F188&lt;-0.5,"Murah",IF(F188&lt;0.5,"Sedang","Mahal"))</f>
        <v/>
      </c>
    </row>
    <row r="189">
      <c r="A189" s="2" t="n">
        <v>188</v>
      </c>
      <c r="B189" s="2" t="inlineStr">
        <is>
          <t>Wisata Air Sumber Jenon</t>
        </is>
      </c>
      <c r="C189" s="2" t="n">
        <v>10000</v>
      </c>
      <c r="D189" s="2" t="n">
        <v>-8.050499500000001</v>
      </c>
      <c r="E189" s="2" t="n">
        <v>112.7163</v>
      </c>
      <c r="F189" s="3">
        <f>(C189 - $B$192) / $B$193</f>
        <v/>
      </c>
      <c r="G189" s="2">
        <f>IF(F189&lt;-0.5,"Murah",IF(F189&lt;0.5,"Sedang","Mahal"))</f>
        <v/>
      </c>
    </row>
    <row r="190"/>
    <row r="191"/>
    <row r="192">
      <c r="A192" s="4" t="inlineStr">
        <is>
          <t>Mean (μ):</t>
        </is>
      </c>
      <c r="B192" s="5">
        <f>AVERAGE(C2:C189)</f>
        <v/>
      </c>
    </row>
    <row r="193">
      <c r="A193" s="4" t="inlineStr">
        <is>
          <t>Std Dev (σ):</t>
        </is>
      </c>
      <c r="B193" s="5">
        <f>STDEVP(C2:C189)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6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6" customWidth="1" min="3" max="3"/>
    <col width="12" customWidth="1" min="4" max="4"/>
    <col width="13" customWidth="1" min="5" max="5"/>
    <col width="27" customWidth="1" min="6" max="6"/>
    <col width="50" customWidth="1" min="7" max="7"/>
  </cols>
  <sheetData>
    <row r="1">
      <c r="A1" s="1" t="inlineStr">
        <is>
          <t>Id_Tempat</t>
        </is>
      </c>
      <c r="B1" s="1" t="inlineStr">
        <is>
          <t>Nama_Tempat</t>
        </is>
      </c>
      <c r="C1" s="1" t="inlineStr">
        <is>
          <t>Estimasi_Harga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Z_Score_Harga</t>
        </is>
      </c>
      <c r="G1" s="1" t="inlineStr">
        <is>
          <t>Interpretasi</t>
        </is>
      </c>
    </row>
    <row r="2">
      <c r="A2" s="2" t="n">
        <v>1</v>
      </c>
      <c r="B2" s="2" t="inlineStr">
        <is>
          <t>Depot Cwimie Malang</t>
        </is>
      </c>
      <c r="C2" s="2" t="n">
        <v>17000</v>
      </c>
      <c r="D2" s="2" t="n">
        <v>-7.2943746</v>
      </c>
      <c r="E2" s="2" t="n">
        <v>112.7786154</v>
      </c>
      <c r="F2" s="3">
        <f>(C2 - $B$495) / $B$496</f>
        <v/>
      </c>
      <c r="G2" s="2">
        <f>IF(F2&lt;-0.5,"Murah",IF(F2&lt;0.5,"Sedang","Mahal"))</f>
        <v/>
      </c>
    </row>
    <row r="3">
      <c r="A3" s="2" t="n">
        <v>2</v>
      </c>
      <c r="B3" s="2" t="inlineStr">
        <is>
          <t>Depot Rawon Malang "MM"</t>
        </is>
      </c>
      <c r="C3" s="2" t="n">
        <v>102000</v>
      </c>
      <c r="D3" s="2" t="n">
        <v>-7.2785359</v>
      </c>
      <c r="E3" s="2" t="n">
        <v>112.7319792</v>
      </c>
      <c r="F3" s="3">
        <f>(C3 - $B$495) / $B$496</f>
        <v/>
      </c>
      <c r="G3" s="2">
        <f>IF(F3&lt;-0.5,"Murah",IF(F3&lt;0.5,"Sedang","Mahal"))</f>
        <v/>
      </c>
    </row>
    <row r="4">
      <c r="A4" s="2" t="n">
        <v>3</v>
      </c>
      <c r="B4" s="2" t="inlineStr">
        <is>
          <t>Depot J-One</t>
        </is>
      </c>
      <c r="C4" s="2" t="n">
        <v>85000</v>
      </c>
      <c r="D4" s="2" t="n">
        <v>-7.2874756</v>
      </c>
      <c r="E4" s="2" t="n">
        <v>112.794552</v>
      </c>
      <c r="F4" s="3">
        <f>(C4 - $B$495) / $B$496</f>
        <v/>
      </c>
      <c r="G4" s="2">
        <f>IF(F4&lt;-0.5,"Murah",IF(F4&lt;0.5,"Sedang","Mahal"))</f>
        <v/>
      </c>
    </row>
    <row r="5">
      <c r="A5" s="2" t="n">
        <v>4</v>
      </c>
      <c r="B5" s="2" t="inlineStr">
        <is>
          <t>Depot Gang Djangkrik Manyar Kertoarjo Surabaya</t>
        </is>
      </c>
      <c r="C5" s="2" t="n">
        <v>242000</v>
      </c>
      <c r="D5" s="2" t="n">
        <v>-7.280685</v>
      </c>
      <c r="E5" s="2" t="n">
        <v>112.770531</v>
      </c>
      <c r="F5" s="3">
        <f>(C5 - $B$495) / $B$496</f>
        <v/>
      </c>
      <c r="G5" s="2">
        <f>IF(F5&lt;-0.5,"Murah",IF(F5&lt;0.5,"Sedang","Mahal"))</f>
        <v/>
      </c>
    </row>
    <row r="6">
      <c r="A6" s="2" t="n">
        <v>5</v>
      </c>
      <c r="B6" s="2" t="inlineStr">
        <is>
          <t>Depot Gang Djangkrik Kawi Atas Malang</t>
        </is>
      </c>
      <c r="C6" s="2" t="n">
        <v>121000</v>
      </c>
      <c r="D6" s="2" t="n">
        <v>-7.9753699</v>
      </c>
      <c r="E6" s="2" t="n">
        <v>112.6192815</v>
      </c>
      <c r="F6" s="3">
        <f>(C6 - $B$495) / $B$496</f>
        <v/>
      </c>
      <c r="G6" s="2">
        <f>IF(F6&lt;-0.5,"Murah",IF(F6&lt;0.5,"Sedang","Mahal"))</f>
        <v/>
      </c>
    </row>
    <row r="7">
      <c r="A7" s="2" t="n">
        <v>6</v>
      </c>
      <c r="B7" s="2" t="inlineStr">
        <is>
          <t>Depot Pak Bas</t>
        </is>
      </c>
      <c r="C7" s="2" t="n">
        <v>51000</v>
      </c>
      <c r="D7" s="2" t="n">
        <v>-7.2815832</v>
      </c>
      <c r="E7" s="2" t="n">
        <v>112.7720778</v>
      </c>
      <c r="F7" s="3">
        <f>(C7 - $B$495) / $B$496</f>
        <v/>
      </c>
      <c r="G7" s="2">
        <f>IF(F7&lt;-0.5,"Murah",IF(F7&lt;0.5,"Sedang","Mahal"))</f>
        <v/>
      </c>
    </row>
    <row r="8">
      <c r="A8" s="2" t="n">
        <v>7</v>
      </c>
      <c r="B8" s="2" t="inlineStr">
        <is>
          <t>Depot Ny Kim</t>
        </is>
      </c>
      <c r="C8" s="2" t="n">
        <v>60000</v>
      </c>
      <c r="D8" s="2" t="n">
        <v>-7.2977129</v>
      </c>
      <c r="E8" s="2" t="n">
        <v>112.7745769</v>
      </c>
      <c r="F8" s="3">
        <f>(C8 - $B$495) / $B$496</f>
        <v/>
      </c>
      <c r="G8" s="2">
        <f>IF(F8&lt;-0.5,"Murah",IF(F8&lt;0.5,"Sedang","Mahal"))</f>
        <v/>
      </c>
    </row>
    <row r="9">
      <c r="A9" s="2" t="n">
        <v>8</v>
      </c>
      <c r="B9" s="2" t="inlineStr">
        <is>
          <t>Depot Gang Djangkrik</t>
        </is>
      </c>
      <c r="C9" s="2" t="n">
        <v>121000</v>
      </c>
      <c r="D9" s="2" t="n">
        <v>-7.9568232</v>
      </c>
      <c r="E9" s="2" t="n">
        <v>112.6384586</v>
      </c>
      <c r="F9" s="3">
        <f>(C9 - $B$495) / $B$496</f>
        <v/>
      </c>
      <c r="G9" s="2">
        <f>IF(F9&lt;-0.5,"Murah",IF(F9&lt;0.5,"Sedang","Mahal"))</f>
        <v/>
      </c>
    </row>
    <row r="10">
      <c r="A10" s="2" t="n">
        <v>9</v>
      </c>
      <c r="B10" s="2" t="inlineStr">
        <is>
          <t>Depot Tanjung Api Malang</t>
        </is>
      </c>
      <c r="C10" s="2" t="n">
        <v>60606</v>
      </c>
      <c r="D10" s="2" t="n">
        <v>-7.9650229</v>
      </c>
      <c r="E10" s="2" t="n">
        <v>112.626127</v>
      </c>
      <c r="F10" s="3">
        <f>(C10 - $B$495) / $B$496</f>
        <v/>
      </c>
      <c r="G10" s="2">
        <f>IF(F10&lt;-0.5,"Murah",IF(F10&lt;0.5,"Sedang","Mahal"))</f>
        <v/>
      </c>
    </row>
    <row r="11">
      <c r="A11" s="2" t="n">
        <v>10</v>
      </c>
      <c r="B11" s="2" t="inlineStr">
        <is>
          <t>Depot Sari Rasa</t>
        </is>
      </c>
      <c r="C11" s="2" t="n">
        <v>70000</v>
      </c>
      <c r="D11" s="2" t="n">
        <v>-7.9654019</v>
      </c>
      <c r="E11" s="2" t="n">
        <v>112.634112</v>
      </c>
      <c r="F11" s="3">
        <f>(C11 - $B$495) / $B$496</f>
        <v/>
      </c>
      <c r="G11" s="2">
        <f>IF(F11&lt;-0.5,"Murah",IF(F11&lt;0.5,"Sedang","Mahal"))</f>
        <v/>
      </c>
    </row>
    <row r="12">
      <c r="A12" s="2" t="n">
        <v>11</v>
      </c>
      <c r="B12" s="2" t="inlineStr">
        <is>
          <t>Depot Kayutangan</t>
        </is>
      </c>
      <c r="C12" s="2" t="n">
        <v>45000</v>
      </c>
      <c r="D12" s="2" t="n">
        <v>-7.9763697</v>
      </c>
      <c r="E12" s="2" t="n">
        <v>112.630331</v>
      </c>
      <c r="F12" s="3">
        <f>(C12 - $B$495) / $B$496</f>
        <v/>
      </c>
      <c r="G12" s="2">
        <f>IF(F12&lt;-0.5,"Murah",IF(F12&lt;0.5,"Sedang","Mahal"))</f>
        <v/>
      </c>
    </row>
    <row r="13">
      <c r="A13" s="2" t="n">
        <v>12</v>
      </c>
      <c r="B13" s="2" t="inlineStr">
        <is>
          <t>Depot Malang Kuliner</t>
        </is>
      </c>
      <c r="C13" s="2" t="n">
        <v>73700</v>
      </c>
      <c r="D13" s="2" t="n">
        <v>-7.9642673</v>
      </c>
      <c r="E13" s="2" t="n">
        <v>112.6400534</v>
      </c>
      <c r="F13" s="3">
        <f>(C13 - $B$495) / $B$496</f>
        <v/>
      </c>
      <c r="G13" s="2">
        <f>IF(F13&lt;-0.5,"Murah",IF(F13&lt;0.5,"Sedang","Mahal"))</f>
        <v/>
      </c>
    </row>
    <row r="14">
      <c r="A14" s="2" t="n">
        <v>13</v>
      </c>
      <c r="B14" s="2" t="inlineStr">
        <is>
          <t>Depot Djempolan</t>
        </is>
      </c>
      <c r="C14" s="2" t="n">
        <v>27000</v>
      </c>
      <c r="D14" s="2" t="n">
        <v>-7.987635</v>
      </c>
      <c r="E14" s="2" t="n">
        <v>112.6345405</v>
      </c>
      <c r="F14" s="3">
        <f>(C14 - $B$495) / $B$496</f>
        <v/>
      </c>
      <c r="G14" s="2">
        <f>IF(F14&lt;-0.5,"Murah",IF(F14&lt;0.5,"Sedang","Mahal"))</f>
        <v/>
      </c>
    </row>
    <row r="15">
      <c r="A15" s="2" t="n">
        <v>14</v>
      </c>
      <c r="B15" s="2" t="inlineStr">
        <is>
          <t>Depot 200</t>
        </is>
      </c>
      <c r="C15" s="2" t="n">
        <v>22000</v>
      </c>
      <c r="D15" s="2" t="n">
        <v>-7.9372434</v>
      </c>
      <c r="E15" s="2" t="n">
        <v>112.60608</v>
      </c>
      <c r="F15" s="3">
        <f>(C15 - $B$495) / $B$496</f>
        <v/>
      </c>
      <c r="G15" s="2">
        <f>IF(F15&lt;-0.5,"Murah",IF(F15&lt;0.5,"Sedang","Mahal"))</f>
        <v/>
      </c>
    </row>
    <row r="16">
      <c r="A16" s="2" t="n">
        <v>15</v>
      </c>
      <c r="B16" s="2" t="inlineStr">
        <is>
          <t>Gudeg Bu Toegijo</t>
        </is>
      </c>
      <c r="C16" s="2" t="n">
        <v>63000</v>
      </c>
      <c r="D16" s="2" t="n">
        <v>-7.2884712</v>
      </c>
      <c r="E16" s="2" t="n">
        <v>112.777043</v>
      </c>
      <c r="F16" s="3">
        <f>(C16 - $B$495) / $B$496</f>
        <v/>
      </c>
      <c r="G16" s="2">
        <f>IF(F16&lt;-0.5,"Murah",IF(F16&lt;0.5,"Sedang","Mahal"))</f>
        <v/>
      </c>
    </row>
    <row r="17">
      <c r="A17" s="2" t="n">
        <v>16</v>
      </c>
      <c r="B17" s="2" t="inlineStr">
        <is>
          <t>Depot Arema</t>
        </is>
      </c>
      <c r="C17" s="2" t="n">
        <v>28000</v>
      </c>
      <c r="D17" s="2" t="n">
        <v>-7.980489</v>
      </c>
      <c r="E17" s="2" t="n">
        <v>112.6564629</v>
      </c>
      <c r="F17" s="3">
        <f>(C17 - $B$495) / $B$496</f>
        <v/>
      </c>
      <c r="G17" s="2">
        <f>IF(F17&lt;-0.5,"Murah",IF(F17&lt;0.5,"Sedang","Mahal"))</f>
        <v/>
      </c>
    </row>
    <row r="18">
      <c r="A18" s="2" t="n">
        <v>17</v>
      </c>
      <c r="B18" s="2" t="inlineStr">
        <is>
          <t>Depot Cak Win</t>
        </is>
      </c>
      <c r="C18" s="2" t="n">
        <v>20000</v>
      </c>
      <c r="D18" s="2" t="n">
        <v>-7.2771498</v>
      </c>
      <c r="E18" s="2" t="n">
        <v>112.7613594</v>
      </c>
      <c r="F18" s="3">
        <f>(C18 - $B$495) / $B$496</f>
        <v/>
      </c>
      <c r="G18" s="2">
        <f>IF(F18&lt;-0.5,"Murah",IF(F18&lt;0.5,"Sedang","Mahal"))</f>
        <v/>
      </c>
    </row>
    <row r="19">
      <c r="A19" s="2" t="n">
        <v>18</v>
      </c>
      <c r="B19" s="2" t="inlineStr">
        <is>
          <t>Depot Widari</t>
        </is>
      </c>
      <c r="C19" s="2" t="n">
        <v>73700</v>
      </c>
      <c r="D19" s="2" t="n">
        <v>-7.9754065</v>
      </c>
      <c r="E19" s="2" t="n">
        <v>112.619517</v>
      </c>
      <c r="F19" s="3">
        <f>(C19 - $B$495) / $B$496</f>
        <v/>
      </c>
      <c r="G19" s="2">
        <f>IF(F19&lt;-0.5,"Murah",IF(F19&lt;0.5,"Sedang","Mahal"))</f>
        <v/>
      </c>
    </row>
    <row r="20">
      <c r="A20" s="2" t="n">
        <v>19</v>
      </c>
      <c r="B20" s="2" t="inlineStr">
        <is>
          <t>Depot 2 Legenda</t>
        </is>
      </c>
      <c r="C20" s="2" t="n">
        <v>41538</v>
      </c>
      <c r="D20" s="2" t="n">
        <v>-7.9399474</v>
      </c>
      <c r="E20" s="2" t="n">
        <v>112.6356553</v>
      </c>
      <c r="F20" s="3">
        <f>(C20 - $B$495) / $B$496</f>
        <v/>
      </c>
      <c r="G20" s="2">
        <f>IF(F20&lt;-0.5,"Murah",IF(F20&lt;0.5,"Sedang","Mahal"))</f>
        <v/>
      </c>
    </row>
    <row r="21">
      <c r="A21" s="2" t="n">
        <v>20</v>
      </c>
      <c r="B21" s="2" t="inlineStr">
        <is>
          <t>Depot Asri Bu Saeroen</t>
        </is>
      </c>
      <c r="C21" s="2" t="n">
        <v>25000</v>
      </c>
      <c r="D21" s="2" t="n">
        <v>-7.9673974</v>
      </c>
      <c r="E21" s="2" t="n">
        <v>112.6338399</v>
      </c>
      <c r="F21" s="3">
        <f>(C21 - $B$495) / $B$496</f>
        <v/>
      </c>
      <c r="G21" s="2">
        <f>IF(F21&lt;-0.5,"Murah",IF(F21&lt;0.5,"Sedang","Mahal"))</f>
        <v/>
      </c>
    </row>
    <row r="22">
      <c r="A22" s="2" t="n">
        <v>21</v>
      </c>
      <c r="B22" s="2" t="inlineStr">
        <is>
          <t>Rumah Makan Gloria l Since 1970</t>
        </is>
      </c>
      <c r="C22" s="2" t="n">
        <v>166100</v>
      </c>
      <c r="D22" s="2" t="n">
        <v>-7.9841646</v>
      </c>
      <c r="E22" s="2" t="n">
        <v>112.6335937</v>
      </c>
      <c r="F22" s="3">
        <f>(C22 - $B$495) / $B$496</f>
        <v/>
      </c>
      <c r="G22" s="2">
        <f>IF(F22&lt;-0.5,"Murah",IF(F22&lt;0.5,"Sedang","Mahal"))</f>
        <v/>
      </c>
    </row>
    <row r="23">
      <c r="A23" s="2" t="n">
        <v>22</v>
      </c>
      <c r="B23" s="2" t="inlineStr">
        <is>
          <t>Depot Kawanua 1 Malang</t>
        </is>
      </c>
      <c r="C23" s="2" t="n">
        <v>40000</v>
      </c>
      <c r="D23" s="2" t="n">
        <v>-7.980493</v>
      </c>
      <c r="E23" s="2" t="n">
        <v>112.640598</v>
      </c>
      <c r="F23" s="3">
        <f>(C23 - $B$495) / $B$496</f>
        <v/>
      </c>
      <c r="G23" s="2">
        <f>IF(F23&lt;-0.5,"Murah",IF(F23&lt;0.5,"Sedang","Mahal"))</f>
        <v/>
      </c>
    </row>
    <row r="24">
      <c r="A24" s="2" t="n">
        <v>23</v>
      </c>
      <c r="B24" s="2" t="inlineStr">
        <is>
          <t>Rumah Makan Hok Lay</t>
        </is>
      </c>
      <c r="C24" s="2" t="n">
        <v>187500</v>
      </c>
      <c r="D24" s="2" t="n">
        <v>-7.9845499</v>
      </c>
      <c r="E24" s="2" t="n">
        <v>112.6342841</v>
      </c>
      <c r="F24" s="3">
        <f>(C24 - $B$495) / $B$496</f>
        <v/>
      </c>
      <c r="G24" s="2">
        <f>IF(F24&lt;-0.5,"Murah",IF(F24&lt;0.5,"Sedang","Mahal"))</f>
        <v/>
      </c>
    </row>
    <row r="25">
      <c r="A25" s="2" t="n">
        <v>24</v>
      </c>
      <c r="B25" s="2" t="inlineStr">
        <is>
          <t>Depot Dua Satu</t>
        </is>
      </c>
      <c r="C25" s="2" t="n">
        <v>80000</v>
      </c>
      <c r="D25" s="2" t="n">
        <v>-7.9675082</v>
      </c>
      <c r="E25" s="2" t="n">
        <v>112.628995</v>
      </c>
      <c r="F25" s="3">
        <f>(C25 - $B$495) / $B$496</f>
        <v/>
      </c>
      <c r="G25" s="2">
        <f>IF(F25&lt;-0.5,"Murah",IF(F25&lt;0.5,"Sedang","Mahal"))</f>
        <v/>
      </c>
    </row>
    <row r="26">
      <c r="A26" s="2" t="n">
        <v>25</v>
      </c>
      <c r="B26" s="2" t="inlineStr">
        <is>
          <t>Depot Kanton</t>
        </is>
      </c>
      <c r="C26" s="2" t="n">
        <v>237500</v>
      </c>
      <c r="D26" s="2" t="n">
        <v>-7.9679762</v>
      </c>
      <c r="E26" s="2" t="n">
        <v>112.626693</v>
      </c>
      <c r="F26" s="3">
        <f>(C26 - $B$495) / $B$496</f>
        <v/>
      </c>
      <c r="G26" s="2">
        <f>IF(F26&lt;-0.5,"Murah",IF(F26&lt;0.5,"Sedang","Mahal"))</f>
        <v/>
      </c>
    </row>
    <row r="27">
      <c r="A27" s="2" t="n">
        <v>26</v>
      </c>
      <c r="B27" s="2" t="inlineStr">
        <is>
          <t>Depot Mie Gadjah Mada 1</t>
        </is>
      </c>
      <c r="C27" s="2" t="n">
        <v>65000</v>
      </c>
      <c r="D27" s="2" t="n">
        <v>-7.985248</v>
      </c>
      <c r="E27" s="2" t="n">
        <v>112.63158</v>
      </c>
      <c r="F27" s="3">
        <f>(C27 - $B$495) / $B$496</f>
        <v/>
      </c>
      <c r="G27" s="2">
        <f>IF(F27&lt;-0.5,"Murah",IF(F27&lt;0.5,"Sedang","Mahal"))</f>
        <v/>
      </c>
    </row>
    <row r="28">
      <c r="A28" s="2" t="n">
        <v>27</v>
      </c>
      <c r="B28" s="2" t="inlineStr">
        <is>
          <t>Depot 29</t>
        </is>
      </c>
      <c r="C28" s="2" t="n">
        <v>50000</v>
      </c>
      <c r="D28" s="2" t="n">
        <v>-7.865991</v>
      </c>
      <c r="E28" s="2" t="n">
        <v>112.6821414</v>
      </c>
      <c r="F28" s="3">
        <f>(C28 - $B$495) / $B$496</f>
        <v/>
      </c>
      <c r="G28" s="2">
        <f>IF(F28&lt;-0.5,"Murah",IF(F28&lt;0.5,"Sedang","Mahal"))</f>
        <v/>
      </c>
    </row>
    <row r="29">
      <c r="A29" s="2" t="n">
        <v>28</v>
      </c>
      <c r="B29" s="2" t="inlineStr">
        <is>
          <t>Depot Rawon Malang MM</t>
        </is>
      </c>
      <c r="C29" s="2" t="n">
        <v>102000</v>
      </c>
      <c r="D29" s="2" t="n">
        <v>-7.935648</v>
      </c>
      <c r="E29" s="2" t="n">
        <v>112.6540937</v>
      </c>
      <c r="F29" s="3">
        <f>(C29 - $B$495) / $B$496</f>
        <v/>
      </c>
      <c r="G29" s="2">
        <f>IF(F29&lt;-0.5,"Murah",IF(F29&lt;0.5,"Sedang","Mahal"))</f>
        <v/>
      </c>
    </row>
    <row r="30">
      <c r="A30" s="2" t="n">
        <v>29</v>
      </c>
      <c r="B30" s="2" t="inlineStr">
        <is>
          <t>Depot 88 - Araya</t>
        </is>
      </c>
      <c r="C30" s="2" t="n">
        <v>198750</v>
      </c>
      <c r="D30" s="2" t="n">
        <v>-7.9414605</v>
      </c>
      <c r="E30" s="2" t="n">
        <v>112.6604733</v>
      </c>
      <c r="F30" s="3">
        <f>(C30 - $B$495) / $B$496</f>
        <v/>
      </c>
      <c r="G30" s="2">
        <f>IF(F30&lt;-0.5,"Murah",IF(F30&lt;0.5,"Sedang","Mahal"))</f>
        <v/>
      </c>
    </row>
    <row r="31">
      <c r="A31" s="2" t="n">
        <v>30</v>
      </c>
      <c r="B31" s="2" t="inlineStr">
        <is>
          <t>Depot "Janur Kuning"</t>
        </is>
      </c>
      <c r="C31" s="2" t="n">
        <v>52400</v>
      </c>
      <c r="D31" s="2" t="n">
        <v>-7.9505172</v>
      </c>
      <c r="E31" s="2" t="n">
        <v>112.6395865</v>
      </c>
      <c r="F31" s="3">
        <f>(C31 - $B$495) / $B$496</f>
        <v/>
      </c>
      <c r="G31" s="2">
        <f>IF(F31&lt;-0.5,"Murah",IF(F31&lt;0.5,"Sedang","Mahal"))</f>
        <v/>
      </c>
    </row>
    <row r="32">
      <c r="A32" s="2" t="n">
        <v>31</v>
      </c>
      <c r="B32" s="2" t="inlineStr">
        <is>
          <t>Rawon Rampal</t>
        </is>
      </c>
      <c r="C32" s="2" t="n">
        <v>45000</v>
      </c>
      <c r="D32" s="2" t="n">
        <v>-7.97421</v>
      </c>
      <c r="E32" s="2" t="n">
        <v>112.6384068</v>
      </c>
      <c r="F32" s="3">
        <f>(C32 - $B$495) / $B$496</f>
        <v/>
      </c>
      <c r="G32" s="2">
        <f>IF(F32&lt;-0.5,"Murah",IF(F32&lt;0.5,"Sedang","Mahal"))</f>
        <v/>
      </c>
    </row>
    <row r="33">
      <c r="A33" s="2" t="n">
        <v>32</v>
      </c>
      <c r="B33" s="2" t="inlineStr">
        <is>
          <t>Depot Semeru</t>
        </is>
      </c>
      <c r="C33" s="2" t="n">
        <v>17000</v>
      </c>
      <c r="D33" s="2" t="n">
        <v>-7.9743427</v>
      </c>
      <c r="E33" s="2" t="n">
        <v>112.6254003</v>
      </c>
      <c r="F33" s="3">
        <f>(C33 - $B$495) / $B$496</f>
        <v/>
      </c>
      <c r="G33" s="2">
        <f>IF(F33&lt;-0.5,"Murah",IF(F33&lt;0.5,"Sedang","Mahal"))</f>
        <v/>
      </c>
    </row>
    <row r="34">
      <c r="A34" s="2" t="n">
        <v>33</v>
      </c>
      <c r="B34" s="2" t="inlineStr">
        <is>
          <t>Depot Chinesefood B2 Malang</t>
        </is>
      </c>
      <c r="C34" s="2" t="n">
        <v>92000</v>
      </c>
      <c r="D34" s="2" t="n">
        <v>-7.9351133</v>
      </c>
      <c r="E34" s="2" t="n">
        <v>112.6338916</v>
      </c>
      <c r="F34" s="3">
        <f>(C34 - $B$495) / $B$496</f>
        <v/>
      </c>
      <c r="G34" s="2">
        <f>IF(F34&lt;-0.5,"Murah",IF(F34&lt;0.5,"Sedang","Mahal"))</f>
        <v/>
      </c>
    </row>
    <row r="35">
      <c r="A35" s="2" t="n">
        <v>34</v>
      </c>
      <c r="B35" s="2" t="inlineStr">
        <is>
          <t>Harmoni Cafe &amp; Resto l Since 2010</t>
        </is>
      </c>
      <c r="C35" s="2" t="n">
        <v>104000</v>
      </c>
      <c r="D35" s="2" t="n">
        <v>-7.9744753</v>
      </c>
      <c r="E35" s="2" t="n">
        <v>112.6275379</v>
      </c>
      <c r="F35" s="3">
        <f>(C35 - $B$495) / $B$496</f>
        <v/>
      </c>
      <c r="G35" s="2">
        <f>IF(F35&lt;-0.5,"Murah",IF(F35&lt;0.5,"Sedang","Mahal"))</f>
        <v/>
      </c>
    </row>
    <row r="36">
      <c r="A36" s="2" t="n">
        <v>35</v>
      </c>
      <c r="B36" s="2" t="inlineStr">
        <is>
          <t>Depot Samsin</t>
        </is>
      </c>
      <c r="C36" s="2" t="n">
        <v>85000</v>
      </c>
      <c r="D36" s="2" t="n">
        <v>-7.9712318</v>
      </c>
      <c r="E36" s="2" t="n">
        <v>112.6284996</v>
      </c>
      <c r="F36" s="3">
        <f>(C36 - $B$495) / $B$496</f>
        <v/>
      </c>
      <c r="G36" s="2">
        <f>IF(F36&lt;-0.5,"Murah",IF(F36&lt;0.5,"Sedang","Mahal"))</f>
        <v/>
      </c>
    </row>
    <row r="37">
      <c r="A37" s="2" t="n">
        <v>36</v>
      </c>
      <c r="B37" s="2" t="inlineStr">
        <is>
          <t>Depot Idola</t>
        </is>
      </c>
      <c r="C37" s="2" t="n">
        <v>28000</v>
      </c>
      <c r="D37" s="2" t="n">
        <v>-7.947223</v>
      </c>
      <c r="E37" s="2" t="n">
        <v>112.6253095</v>
      </c>
      <c r="F37" s="3">
        <f>(C37 - $B$495) / $B$496</f>
        <v/>
      </c>
      <c r="G37" s="2">
        <f>IF(F37&lt;-0.5,"Murah",IF(F37&lt;0.5,"Sedang","Mahal"))</f>
        <v/>
      </c>
    </row>
    <row r="38">
      <c r="A38" s="2" t="n">
        <v>37</v>
      </c>
      <c r="B38" s="2" t="inlineStr">
        <is>
          <t>Depot Melati</t>
        </is>
      </c>
      <c r="C38" s="2" t="n">
        <v>60000</v>
      </c>
      <c r="D38" s="2" t="n">
        <v>-7.9898442</v>
      </c>
      <c r="E38" s="2" t="n">
        <v>112.6399863</v>
      </c>
      <c r="F38" s="3">
        <f>(C38 - $B$495) / $B$496</f>
        <v/>
      </c>
      <c r="G38" s="2">
        <f>IF(F38&lt;-0.5,"Murah",IF(F38&lt;0.5,"Sedang","Mahal"))</f>
        <v/>
      </c>
    </row>
    <row r="39">
      <c r="A39" s="2" t="n">
        <v>38</v>
      </c>
      <c r="B39" s="2" t="inlineStr">
        <is>
          <t>Depot Mie Sahadja Sigura-gura</t>
        </is>
      </c>
      <c r="C39" s="2" t="n">
        <v>67650</v>
      </c>
      <c r="D39" s="2" t="n">
        <v>-7.9567908</v>
      </c>
      <c r="E39" s="2" t="n">
        <v>112.6087122</v>
      </c>
      <c r="F39" s="3">
        <f>(C39 - $B$495) / $B$496</f>
        <v/>
      </c>
      <c r="G39" s="2">
        <f>IF(F39&lt;-0.5,"Murah",IF(F39&lt;0.5,"Sedang","Mahal"))</f>
        <v/>
      </c>
    </row>
    <row r="40">
      <c r="A40" s="2" t="n">
        <v>39</v>
      </c>
      <c r="B40" s="2" t="inlineStr">
        <is>
          <t>Resto 52</t>
        </is>
      </c>
      <c r="C40" s="2" t="n">
        <v>312000</v>
      </c>
      <c r="D40" s="2" t="n">
        <v>-7.9839649</v>
      </c>
      <c r="E40" s="2" t="n">
        <v>112.6330882</v>
      </c>
      <c r="F40" s="3">
        <f>(C40 - $B$495) / $B$496</f>
        <v/>
      </c>
      <c r="G40" s="2">
        <f>IF(F40&lt;-0.5,"Murah",IF(F40&lt;0.5,"Sedang","Mahal"))</f>
        <v/>
      </c>
    </row>
    <row r="41">
      <c r="A41" s="2" t="n">
        <v>40</v>
      </c>
      <c r="B41" s="2" t="inlineStr">
        <is>
          <t>Javanine Resto</t>
        </is>
      </c>
      <c r="C41" s="2" t="n">
        <v>66000</v>
      </c>
      <c r="D41" s="2" t="n">
        <v>-7.9672115</v>
      </c>
      <c r="E41" s="2" t="n">
        <v>112.6209049</v>
      </c>
      <c r="F41" s="3">
        <f>(C41 - $B$495) / $B$496</f>
        <v/>
      </c>
      <c r="G41" s="2">
        <f>IF(F41&lt;-0.5,"Murah",IF(F41&lt;0.5,"Sedang","Mahal"))</f>
        <v/>
      </c>
    </row>
    <row r="42">
      <c r="A42" s="2" t="n">
        <v>41</v>
      </c>
      <c r="B42" s="2" t="inlineStr">
        <is>
          <t>Depot Guntur</t>
        </is>
      </c>
      <c r="C42" s="2" t="n">
        <v>110500</v>
      </c>
      <c r="D42" s="2" t="n">
        <v>-7.9683431</v>
      </c>
      <c r="E42" s="2" t="n">
        <v>112.6250635</v>
      </c>
      <c r="F42" s="3">
        <f>(C42 - $B$495) / $B$496</f>
        <v/>
      </c>
      <c r="G42" s="2">
        <f>IF(F42&lt;-0.5,"Murah",IF(F42&lt;0.5,"Sedang","Mahal"))</f>
        <v/>
      </c>
    </row>
    <row r="43">
      <c r="A43" s="2" t="n">
        <v>42</v>
      </c>
      <c r="B43" s="2" t="inlineStr">
        <is>
          <t>Depot Es Talun sejak 1950</t>
        </is>
      </c>
      <c r="C43" s="2" t="n">
        <v>30000</v>
      </c>
      <c r="D43" s="2" t="n">
        <v>-7.9808418</v>
      </c>
      <c r="E43" s="2" t="n">
        <v>112.6275706</v>
      </c>
      <c r="F43" s="3">
        <f>(C43 - $B$495) / $B$496</f>
        <v/>
      </c>
      <c r="G43" s="2">
        <f>IF(F43&lt;-0.5,"Murah",IF(F43&lt;0.5,"Sedang","Mahal"))</f>
        <v/>
      </c>
    </row>
    <row r="44">
      <c r="A44" s="2" t="n">
        <v>43</v>
      </c>
      <c r="B44" s="2" t="inlineStr">
        <is>
          <t>Depot WS 7</t>
        </is>
      </c>
      <c r="C44" s="2" t="n">
        <v>21000</v>
      </c>
      <c r="D44" s="2" t="n">
        <v>-7.949414</v>
      </c>
      <c r="E44" s="2" t="n">
        <v>112.642155</v>
      </c>
      <c r="F44" s="3">
        <f>(C44 - $B$495) / $B$496</f>
        <v/>
      </c>
      <c r="G44" s="2">
        <f>IF(F44&lt;-0.5,"Murah",IF(F44&lt;0.5,"Sedang","Mahal"))</f>
        <v/>
      </c>
    </row>
    <row r="45">
      <c r="A45" s="2" t="n">
        <v>44</v>
      </c>
      <c r="B45" s="2" t="inlineStr">
        <is>
          <t>Resto Sambat Luwe</t>
        </is>
      </c>
      <c r="C45" s="2" t="n">
        <v>143750</v>
      </c>
      <c r="D45" s="2" t="n">
        <v>-8.022135199999999</v>
      </c>
      <c r="E45" s="2" t="n">
        <v>112.6410943</v>
      </c>
      <c r="F45" s="3">
        <f>(C45 - $B$495) / $B$496</f>
        <v/>
      </c>
      <c r="G45" s="2">
        <f>IF(F45&lt;-0.5,"Murah",IF(F45&lt;0.5,"Sedang","Mahal"))</f>
        <v/>
      </c>
    </row>
    <row r="46">
      <c r="A46" s="2" t="n">
        <v>45</v>
      </c>
      <c r="B46" s="2" t="inlineStr">
        <is>
          <t>Depot 59</t>
        </is>
      </c>
      <c r="C46" s="2" t="n">
        <v>112000</v>
      </c>
      <c r="D46" s="2" t="n">
        <v>-7.9840455</v>
      </c>
      <c r="E46" s="2" t="n">
        <v>112.6369202</v>
      </c>
      <c r="F46" s="3">
        <f>(C46 - $B$495) / $B$496</f>
        <v/>
      </c>
      <c r="G46" s="2">
        <f>IF(F46&lt;-0.5,"Murah",IF(F46&lt;0.5,"Sedang","Mahal"))</f>
        <v/>
      </c>
    </row>
    <row r="47">
      <c r="A47" s="2" t="n">
        <v>46</v>
      </c>
      <c r="B47" s="2" t="inlineStr">
        <is>
          <t>Depot Semangkok</t>
        </is>
      </c>
      <c r="C47" s="2" t="n">
        <v>35000</v>
      </c>
      <c r="D47" s="2" t="n">
        <v>-7.9385565</v>
      </c>
      <c r="E47" s="2" t="n">
        <v>112.6372841</v>
      </c>
      <c r="F47" s="3">
        <f>(C47 - $B$495) / $B$496</f>
        <v/>
      </c>
      <c r="G47" s="2">
        <f>IF(F47&lt;-0.5,"Murah",IF(F47&lt;0.5,"Sedang","Mahal"))</f>
        <v/>
      </c>
    </row>
    <row r="48">
      <c r="A48" s="2" t="n">
        <v>47</v>
      </c>
      <c r="B48" s="2" t="inlineStr">
        <is>
          <t>Depot Wiejen</t>
        </is>
      </c>
      <c r="C48" s="2" t="n">
        <v>35000</v>
      </c>
      <c r="D48" s="2" t="n">
        <v>-7.9766496</v>
      </c>
      <c r="E48" s="2" t="n">
        <v>112.636991</v>
      </c>
      <c r="F48" s="3">
        <f>(C48 - $B$495) / $B$496</f>
        <v/>
      </c>
      <c r="G48" s="2">
        <f>IF(F48&lt;-0.5,"Murah",IF(F48&lt;0.5,"Sedang","Mahal"))</f>
        <v/>
      </c>
    </row>
    <row r="49">
      <c r="A49" s="2" t="n">
        <v>48</v>
      </c>
      <c r="B49" s="2" t="inlineStr">
        <is>
          <t>Depot New Purnama</t>
        </is>
      </c>
      <c r="C49" s="2" t="n">
        <v>42000</v>
      </c>
      <c r="D49" s="2" t="n">
        <v>-7.9751511</v>
      </c>
      <c r="E49" s="2" t="n">
        <v>112.6188975</v>
      </c>
      <c r="F49" s="3">
        <f>(C49 - $B$495) / $B$496</f>
        <v/>
      </c>
      <c r="G49" s="2">
        <f>IF(F49&lt;-0.5,"Murah",IF(F49&lt;0.5,"Sedang","Mahal"))</f>
        <v/>
      </c>
    </row>
    <row r="50">
      <c r="A50" s="2" t="n">
        <v>49</v>
      </c>
      <c r="B50" s="2" t="inlineStr">
        <is>
          <t>Depot 77 Sawojajar Halalan Toyiban</t>
        </is>
      </c>
      <c r="C50" s="2" t="n">
        <v>54000</v>
      </c>
      <c r="D50" s="2" t="n">
        <v>-7.9783098</v>
      </c>
      <c r="E50" s="2" t="n">
        <v>112.6670743</v>
      </c>
      <c r="F50" s="3">
        <f>(C50 - $B$495) / $B$496</f>
        <v/>
      </c>
      <c r="G50" s="2">
        <f>IF(F50&lt;-0.5,"Murah",IF(F50&lt;0.5,"Sedang","Mahal"))</f>
        <v/>
      </c>
    </row>
    <row r="51">
      <c r="A51" s="2" t="n">
        <v>50</v>
      </c>
      <c r="B51" s="2" t="inlineStr">
        <is>
          <t>Rawon Nguling</t>
        </is>
      </c>
      <c r="C51" s="2" t="n">
        <v>147500</v>
      </c>
      <c r="D51" s="2" t="n">
        <v>-7.9838809</v>
      </c>
      <c r="E51" s="2" t="n">
        <v>112.6339791</v>
      </c>
      <c r="F51" s="3">
        <f>(C51 - $B$495) / $B$496</f>
        <v/>
      </c>
      <c r="G51" s="2">
        <f>IF(F51&lt;-0.5,"Murah",IF(F51&lt;0.5,"Sedang","Mahal"))</f>
        <v/>
      </c>
    </row>
    <row r="52">
      <c r="A52" s="2" t="n">
        <v>51</v>
      </c>
      <c r="B52" s="2" t="inlineStr">
        <is>
          <t>Depot 88 Tidar</t>
        </is>
      </c>
      <c r="C52" s="2" t="n">
        <v>198750</v>
      </c>
      <c r="D52" s="2" t="n">
        <v>-7.9666032</v>
      </c>
      <c r="E52" s="2" t="n">
        <v>112.6106002</v>
      </c>
      <c r="F52" s="3">
        <f>(C52 - $B$495) / $B$496</f>
        <v/>
      </c>
      <c r="G52" s="2">
        <f>IF(F52&lt;-0.5,"Murah",IF(F52&lt;0.5,"Sedang","Mahal"))</f>
        <v/>
      </c>
    </row>
    <row r="53">
      <c r="A53" s="2" t="n">
        <v>52</v>
      </c>
      <c r="B53" s="2" t="inlineStr">
        <is>
          <t>Depot Goyang Lidah 1987</t>
        </is>
      </c>
      <c r="C53" s="2" t="n">
        <v>35000</v>
      </c>
      <c r="D53" s="2" t="n">
        <v>-7.9641545</v>
      </c>
      <c r="E53" s="2" t="n">
        <v>112.6389724</v>
      </c>
      <c r="F53" s="3">
        <f>(C53 - $B$495) / $B$496</f>
        <v/>
      </c>
      <c r="G53" s="2">
        <f>IF(F53&lt;-0.5,"Murah",IF(F53&lt;0.5,"Sedang","Mahal"))</f>
        <v/>
      </c>
    </row>
    <row r="54">
      <c r="A54" s="2" t="n">
        <v>53</v>
      </c>
      <c r="B54" s="2" t="inlineStr">
        <is>
          <t>Rumah Makan Cairo</t>
        </is>
      </c>
      <c r="C54" s="2" t="n">
        <v>50000</v>
      </c>
      <c r="D54" s="2" t="n">
        <v>-7.9867217</v>
      </c>
      <c r="E54" s="2" t="n">
        <v>112.6284969</v>
      </c>
      <c r="F54" s="3">
        <f>(C54 - $B$495) / $B$496</f>
        <v/>
      </c>
      <c r="G54" s="2">
        <f>IF(F54&lt;-0.5,"Murah",IF(F54&lt;0.5,"Sedang","Mahal"))</f>
        <v/>
      </c>
    </row>
    <row r="55">
      <c r="A55" s="2" t="n">
        <v>54</v>
      </c>
      <c r="B55" s="2" t="inlineStr">
        <is>
          <t>Depot Santo Yusup</t>
        </is>
      </c>
      <c r="C55" s="2" t="n">
        <v>169400</v>
      </c>
      <c r="D55" s="2" t="n">
        <v>-7.9399733</v>
      </c>
      <c r="E55" s="2" t="n">
        <v>112.6385224</v>
      </c>
      <c r="F55" s="3">
        <f>(C55 - $B$495) / $B$496</f>
        <v/>
      </c>
      <c r="G55" s="2">
        <f>IF(F55&lt;-0.5,"Murah",IF(F55&lt;0.5,"Sedang","Mahal"))</f>
        <v/>
      </c>
    </row>
    <row r="56">
      <c r="A56" s="2" t="n">
        <v>55</v>
      </c>
      <c r="B56" s="2" t="inlineStr">
        <is>
          <t>Green Leaf Hall and Restaurant Malang</t>
        </is>
      </c>
      <c r="C56" s="2" t="n">
        <v>363000</v>
      </c>
      <c r="D56" s="2" t="n">
        <v>-7.967587</v>
      </c>
      <c r="E56" s="2" t="n">
        <v>112.621198</v>
      </c>
      <c r="F56" s="3">
        <f>(C56 - $B$495) / $B$496</f>
        <v/>
      </c>
      <c r="G56" s="2">
        <f>IF(F56&lt;-0.5,"Murah",IF(F56&lt;0.5,"Sedang","Mahal"))</f>
        <v/>
      </c>
    </row>
    <row r="57">
      <c r="A57" s="2" t="n">
        <v>56</v>
      </c>
      <c r="B57" s="2" t="inlineStr">
        <is>
          <t>Dapur 93</t>
        </is>
      </c>
      <c r="C57" s="2" t="n">
        <v>332000</v>
      </c>
      <c r="D57" s="2" t="n">
        <v>-7.9572495</v>
      </c>
      <c r="E57" s="2" t="n">
        <v>112.6276363</v>
      </c>
      <c r="F57" s="3">
        <f>(C57 - $B$495) / $B$496</f>
        <v/>
      </c>
      <c r="G57" s="2">
        <f>IF(F57&lt;-0.5,"Murah",IF(F57&lt;0.5,"Sedang","Mahal"))</f>
        <v/>
      </c>
    </row>
    <row r="58">
      <c r="A58" s="2" t="n">
        <v>57</v>
      </c>
      <c r="B58" s="2" t="inlineStr">
        <is>
          <t>Depot Ikana</t>
        </is>
      </c>
      <c r="C58" s="2" t="n">
        <v>80000</v>
      </c>
      <c r="D58" s="2" t="n">
        <v>-7.9704505</v>
      </c>
      <c r="E58" s="2" t="n">
        <v>112.6133452</v>
      </c>
      <c r="F58" s="3">
        <f>(C58 - $B$495) / $B$496</f>
        <v/>
      </c>
      <c r="G58" s="2">
        <f>IF(F58&lt;-0.5,"Murah",IF(F58&lt;0.5,"Sedang","Mahal"))</f>
        <v/>
      </c>
    </row>
    <row r="59">
      <c r="A59" s="2" t="n">
        <v>58</v>
      </c>
      <c r="B59" s="2" t="inlineStr">
        <is>
          <t>Depot Juang 45 Malang</t>
        </is>
      </c>
      <c r="C59" s="2" t="n">
        <v>63000</v>
      </c>
      <c r="D59" s="2" t="n">
        <v>-7.9787477</v>
      </c>
      <c r="E59" s="2" t="n">
        <v>112.6296264</v>
      </c>
      <c r="F59" s="3">
        <f>(C59 - $B$495) / $B$496</f>
        <v/>
      </c>
      <c r="G59" s="2">
        <f>IF(F59&lt;-0.5,"Murah",IF(F59&lt;0.5,"Sedang","Mahal"))</f>
        <v/>
      </c>
    </row>
    <row r="60">
      <c r="A60" s="2" t="n">
        <v>59</v>
      </c>
      <c r="B60" s="2" t="inlineStr">
        <is>
          <t>Rumah Makan Kertanegara</t>
        </is>
      </c>
      <c r="C60" s="2" t="n">
        <v>85000</v>
      </c>
      <c r="D60" s="2" t="n">
        <v>-7.977017</v>
      </c>
      <c r="E60" s="2" t="n">
        <v>112.6357955</v>
      </c>
      <c r="F60" s="3">
        <f>(C60 - $B$495) / $B$496</f>
        <v/>
      </c>
      <c r="G60" s="2">
        <f>IF(F60&lt;-0.5,"Murah",IF(F60&lt;0.5,"Sedang","Mahal"))</f>
        <v/>
      </c>
    </row>
    <row r="61">
      <c r="A61" s="2" t="n">
        <v>60</v>
      </c>
      <c r="B61" s="2" t="inlineStr">
        <is>
          <t>Ayam Goreng Tenes</t>
        </is>
      </c>
      <c r="C61" s="2" t="n">
        <v>117000</v>
      </c>
      <c r="D61" s="2" t="n">
        <v>-7.97467</v>
      </c>
      <c r="E61" s="2" t="n">
        <v>112.6236483</v>
      </c>
      <c r="F61" s="3">
        <f>(C61 - $B$495) / $B$496</f>
        <v/>
      </c>
      <c r="G61" s="2">
        <f>IF(F61&lt;-0.5,"Murah",IF(F61&lt;0.5,"Sedang","Mahal"))</f>
        <v/>
      </c>
    </row>
    <row r="62">
      <c r="A62" s="2" t="n">
        <v>61</v>
      </c>
      <c r="B62" s="2" t="inlineStr">
        <is>
          <t>Resto Mie Gang Jangkrik (halal)</t>
        </is>
      </c>
      <c r="C62" s="2" t="n">
        <v>125000</v>
      </c>
      <c r="D62" s="2" t="n">
        <v>-7.9429938</v>
      </c>
      <c r="E62" s="2" t="n">
        <v>112.6204612</v>
      </c>
      <c r="F62" s="3">
        <f>(C62 - $B$495) / $B$496</f>
        <v/>
      </c>
      <c r="G62" s="2">
        <f>IF(F62&lt;-0.5,"Murah",IF(F62&lt;0.5,"Sedang","Mahal"))</f>
        <v/>
      </c>
    </row>
    <row r="63">
      <c r="A63" s="2" t="n">
        <v>62</v>
      </c>
      <c r="B63" s="2" t="inlineStr">
        <is>
          <t>Depot Cahyen Enak</t>
        </is>
      </c>
      <c r="C63" s="2" t="n">
        <v>54000</v>
      </c>
      <c r="D63" s="2" t="n">
        <v>-7.9414562</v>
      </c>
      <c r="E63" s="2" t="n">
        <v>112.6607687</v>
      </c>
      <c r="F63" s="3">
        <f>(C63 - $B$495) / $B$496</f>
        <v/>
      </c>
      <c r="G63" s="2">
        <f>IF(F63&lt;-0.5,"Murah",IF(F63&lt;0.5,"Sedang","Mahal"))</f>
        <v/>
      </c>
    </row>
    <row r="64">
      <c r="A64" s="2" t="n">
        <v>63</v>
      </c>
      <c r="B64" s="2" t="inlineStr">
        <is>
          <t>Depot Mie Sawahan</t>
        </is>
      </c>
      <c r="C64" s="2" t="n">
        <v>35000</v>
      </c>
      <c r="D64" s="2" t="n">
        <v>-7.9863341</v>
      </c>
      <c r="E64" s="2" t="n">
        <v>112.6273519</v>
      </c>
      <c r="F64" s="3">
        <f>(C64 - $B$495) / $B$496</f>
        <v/>
      </c>
      <c r="G64" s="2">
        <f>IF(F64&lt;-0.5,"Murah",IF(F64&lt;0.5,"Sedang","Mahal"))</f>
        <v/>
      </c>
    </row>
    <row r="65">
      <c r="A65" s="2" t="n">
        <v>64</v>
      </c>
      <c r="B65" s="2" t="inlineStr">
        <is>
          <t>Depot Lo &amp; Mie</t>
        </is>
      </c>
      <c r="C65" s="2" t="n">
        <v>45000</v>
      </c>
      <c r="D65" s="2" t="n">
        <v>-7.9343403</v>
      </c>
      <c r="E65" s="2" t="n">
        <v>112.637426</v>
      </c>
      <c r="F65" s="3">
        <f>(C65 - $B$495) / $B$496</f>
        <v/>
      </c>
      <c r="G65" s="2">
        <f>IF(F65&lt;-0.5,"Murah",IF(F65&lt;0.5,"Sedang","Mahal"))</f>
        <v/>
      </c>
    </row>
    <row r="66">
      <c r="A66" s="2" t="n">
        <v>65</v>
      </c>
      <c r="B66" s="2" t="inlineStr">
        <is>
          <t>Depot Mie Atom</t>
        </is>
      </c>
      <c r="C66" s="2" t="n">
        <v>69000</v>
      </c>
      <c r="D66" s="2" t="n">
        <v>-7.9838123</v>
      </c>
      <c r="E66" s="2" t="n">
        <v>112.6315306</v>
      </c>
      <c r="F66" s="3">
        <f>(C66 - $B$495) / $B$496</f>
        <v/>
      </c>
      <c r="G66" s="2">
        <f>IF(F66&lt;-0.5,"Murah",IF(F66&lt;0.5,"Sedang","Mahal"))</f>
        <v/>
      </c>
    </row>
    <row r="67">
      <c r="A67" s="2" t="n">
        <v>66</v>
      </c>
      <c r="B67" s="2" t="inlineStr">
        <is>
          <t>Depot Panjang Umur</t>
        </is>
      </c>
      <c r="C67" s="2" t="n">
        <v>104000</v>
      </c>
      <c r="D67" s="2" t="n">
        <v>-7.9741513</v>
      </c>
      <c r="E67" s="2" t="n">
        <v>112.6148483</v>
      </c>
      <c r="F67" s="3">
        <f>(C67 - $B$495) / $B$496</f>
        <v/>
      </c>
      <c r="G67" s="2">
        <f>IF(F67&lt;-0.5,"Murah",IF(F67&lt;0.5,"Sedang","Mahal"))</f>
        <v/>
      </c>
    </row>
    <row r="68">
      <c r="A68" s="2" t="n">
        <v>67</v>
      </c>
      <c r="B68" s="2" t="inlineStr">
        <is>
          <t>Depot Barokah Cab. Mbah Riman Kediri</t>
        </is>
      </c>
      <c r="C68" s="2" t="n">
        <v>24000</v>
      </c>
      <c r="D68" s="2" t="n">
        <v>-7.9413099</v>
      </c>
      <c r="E68" s="2" t="n">
        <v>112.6377444</v>
      </c>
      <c r="F68" s="3">
        <f>(C68 - $B$495) / $B$496</f>
        <v/>
      </c>
      <c r="G68" s="2">
        <f>IF(F68&lt;-0.5,"Murah",IF(F68&lt;0.5,"Sedang","Mahal"))</f>
        <v/>
      </c>
    </row>
    <row r="69">
      <c r="A69" s="2" t="n">
        <v>68</v>
      </c>
      <c r="B69" s="2" t="inlineStr">
        <is>
          <t>Baegopa? House Of Hungry Kandang Malang</t>
        </is>
      </c>
      <c r="C69" s="2" t="n">
        <v>102350</v>
      </c>
      <c r="D69" s="2" t="n">
        <v>-7.9409705</v>
      </c>
      <c r="E69" s="2" t="n">
        <v>112.6286686</v>
      </c>
      <c r="F69" s="3">
        <f>(C69 - $B$495) / $B$496</f>
        <v/>
      </c>
      <c r="G69" s="2">
        <f>IF(F69&lt;-0.5,"Murah",IF(F69&lt;0.5,"Sedang","Mahal"))</f>
        <v/>
      </c>
    </row>
    <row r="70">
      <c r="A70" s="2" t="n">
        <v>69</v>
      </c>
      <c r="B70" s="2" t="inlineStr">
        <is>
          <t>Rumah Makan Pecel Kawi Hj Musilah Asli 1975</t>
        </is>
      </c>
      <c r="C70" s="2" t="n">
        <v>58750</v>
      </c>
      <c r="D70" s="2" t="n">
        <v>-7.9757225</v>
      </c>
      <c r="E70" s="2" t="n">
        <v>112.6200297</v>
      </c>
      <c r="F70" s="3">
        <f>(C70 - $B$495) / $B$496</f>
        <v/>
      </c>
      <c r="G70" s="2">
        <f>IF(F70&lt;-0.5,"Murah",IF(F70&lt;0.5,"Sedang","Mahal"))</f>
        <v/>
      </c>
    </row>
    <row r="71">
      <c r="A71" s="2" t="n">
        <v>70</v>
      </c>
      <c r="B71" s="2" t="inlineStr">
        <is>
          <t>Depot Bang Leo</t>
        </is>
      </c>
      <c r="C71" s="2" t="n">
        <v>25000</v>
      </c>
      <c r="D71" s="2" t="n">
        <v>-7.9762163</v>
      </c>
      <c r="E71" s="2" t="n">
        <v>112.6370277</v>
      </c>
      <c r="F71" s="3">
        <f>(C71 - $B$495) / $B$496</f>
        <v/>
      </c>
      <c r="G71" s="2">
        <f>IF(F71&lt;-0.5,"Murah",IF(F71&lt;0.5,"Sedang","Mahal"))</f>
        <v/>
      </c>
    </row>
    <row r="72">
      <c r="A72" s="2" t="n">
        <v>71</v>
      </c>
      <c r="B72" s="2" t="inlineStr">
        <is>
          <t>Depot Asem Djawa</t>
        </is>
      </c>
      <c r="C72" s="2" t="n">
        <v>32000</v>
      </c>
      <c r="D72" s="2" t="n">
        <v>-7.9373203</v>
      </c>
      <c r="E72" s="2" t="n">
        <v>112.5795874</v>
      </c>
      <c r="F72" s="3">
        <f>(C72 - $B$495) / $B$496</f>
        <v/>
      </c>
      <c r="G72" s="2">
        <f>IF(F72&lt;-0.5,"Murah",IF(F72&lt;0.5,"Sedang","Mahal"))</f>
        <v/>
      </c>
    </row>
    <row r="73">
      <c r="A73" s="2" t="n">
        <v>72</v>
      </c>
      <c r="B73" s="2" t="inlineStr">
        <is>
          <t>Depot Soto banjar Achmad Jais</t>
        </is>
      </c>
      <c r="C73" s="2" t="n">
        <v>63750</v>
      </c>
      <c r="D73" s="2" t="n">
        <v>-7.9756649</v>
      </c>
      <c r="E73" s="2" t="n">
        <v>112.6129343</v>
      </c>
      <c r="F73" s="3">
        <f>(C73 - $B$495) / $B$496</f>
        <v/>
      </c>
      <c r="G73" s="2">
        <f>IF(F73&lt;-0.5,"Murah",IF(F73&lt;0.5,"Sedang","Mahal"))</f>
        <v/>
      </c>
    </row>
    <row r="74">
      <c r="A74" s="2" t="n">
        <v>73</v>
      </c>
      <c r="B74" s="2" t="inlineStr">
        <is>
          <t>Depot Rahayu</t>
        </is>
      </c>
      <c r="C74" s="2" t="n">
        <v>25000</v>
      </c>
      <c r="D74" s="2" t="n">
        <v>-7.9929481</v>
      </c>
      <c r="E74" s="2" t="n">
        <v>112.6322262</v>
      </c>
      <c r="F74" s="3">
        <f>(C74 - $B$495) / $B$496</f>
        <v/>
      </c>
      <c r="G74" s="2">
        <f>IF(F74&lt;-0.5,"Murah",IF(F74&lt;0.5,"Sedang","Mahal"))</f>
        <v/>
      </c>
    </row>
    <row r="75">
      <c r="A75" s="2" t="n">
        <v>74</v>
      </c>
      <c r="B75" s="2" t="inlineStr">
        <is>
          <t>Ikan Bakar Cianjur - Malang</t>
        </is>
      </c>
      <c r="C75" s="2" t="n">
        <v>217000</v>
      </c>
      <c r="D75" s="2" t="n">
        <v>-7.9652338</v>
      </c>
      <c r="E75" s="2" t="n">
        <v>112.625472</v>
      </c>
      <c r="F75" s="3">
        <f>(C75 - $B$495) / $B$496</f>
        <v/>
      </c>
      <c r="G75" s="2">
        <f>IF(F75&lt;-0.5,"Murah",IF(F75&lt;0.5,"Sedang","Mahal"))</f>
        <v/>
      </c>
    </row>
    <row r="76">
      <c r="A76" s="2" t="n">
        <v>75</v>
      </c>
      <c r="B76" s="2" t="inlineStr">
        <is>
          <t>Depot Podo Seneng</t>
        </is>
      </c>
      <c r="C76" s="2" t="n">
        <v>14000</v>
      </c>
      <c r="D76" s="2" t="n">
        <v>-7.9893011</v>
      </c>
      <c r="E76" s="2" t="n">
        <v>112.6347419</v>
      </c>
      <c r="F76" s="3">
        <f>(C76 - $B$495) / $B$496</f>
        <v/>
      </c>
      <c r="G76" s="2">
        <f>IF(F76&lt;-0.5,"Murah",IF(F76&lt;0.5,"Sedang","Mahal"))</f>
        <v/>
      </c>
    </row>
    <row r="77">
      <c r="A77" s="2" t="n">
        <v>76</v>
      </c>
      <c r="B77" s="2" t="inlineStr">
        <is>
          <t>DEPOT ESELON SAWOJAJAR</t>
        </is>
      </c>
      <c r="C77" s="2" t="n">
        <v>18000</v>
      </c>
      <c r="D77" s="2" t="n">
        <v>-7.9791132</v>
      </c>
      <c r="E77" s="2" t="n">
        <v>112.6562322</v>
      </c>
      <c r="F77" s="3">
        <f>(C77 - $B$495) / $B$496</f>
        <v/>
      </c>
      <c r="G77" s="2">
        <f>IF(F77&lt;-0.5,"Murah",IF(F77&lt;0.5,"Sedang","Mahal"))</f>
        <v/>
      </c>
    </row>
    <row r="78">
      <c r="A78" s="2" t="n">
        <v>77</v>
      </c>
      <c r="B78" s="2" t="inlineStr">
        <is>
          <t>Depot Flamboyant</t>
        </is>
      </c>
      <c r="C78" s="2" t="n">
        <v>437500</v>
      </c>
      <c r="D78" s="2" t="n">
        <v>-7.9707764</v>
      </c>
      <c r="E78" s="2" t="n">
        <v>112.6232368</v>
      </c>
      <c r="F78" s="3">
        <f>(C78 - $B$495) / $B$496</f>
        <v/>
      </c>
      <c r="G78" s="2">
        <f>IF(F78&lt;-0.5,"Murah",IF(F78&lt;0.5,"Sedang","Mahal"))</f>
        <v/>
      </c>
    </row>
    <row r="79">
      <c r="A79" s="2" t="n">
        <v>78</v>
      </c>
      <c r="B79" s="2" t="inlineStr">
        <is>
          <t>Depot Pangsit Mie Bromo Pojok</t>
        </is>
      </c>
      <c r="C79" s="2" t="n">
        <v>38750</v>
      </c>
      <c r="D79" s="2" t="n">
        <v>-7.9734973</v>
      </c>
      <c r="E79" s="2" t="n">
        <v>112.6358489</v>
      </c>
      <c r="F79" s="3">
        <f>(C79 - $B$495) / $B$496</f>
        <v/>
      </c>
      <c r="G79" s="2">
        <f>IF(F79&lt;-0.5,"Murah",IF(F79&lt;0.5,"Sedang","Mahal"))</f>
        <v/>
      </c>
    </row>
    <row r="80">
      <c r="A80" s="2" t="n">
        <v>79</v>
      </c>
      <c r="B80" s="2" t="inlineStr">
        <is>
          <t>Depot Indah Jaya</t>
        </is>
      </c>
      <c r="C80" s="2" t="n">
        <v>43000</v>
      </c>
      <c r="D80" s="2" t="n">
        <v>-7.978643</v>
      </c>
      <c r="E80" s="2" t="n">
        <v>112.637149</v>
      </c>
      <c r="F80" s="3">
        <f>(C80 - $B$495) / $B$496</f>
        <v/>
      </c>
      <c r="G80" s="2">
        <f>IF(F80&lt;-0.5,"Murah",IF(F80&lt;0.5,"Sedang","Mahal"))</f>
        <v/>
      </c>
    </row>
    <row r="81">
      <c r="A81" s="2" t="n">
        <v>80</v>
      </c>
      <c r="B81" s="2" t="inlineStr">
        <is>
          <t>Rumah Makan Kaliurang</t>
        </is>
      </c>
      <c r="C81" s="2" t="n">
        <v>110000</v>
      </c>
      <c r="D81" s="2" t="n">
        <v>-7.9628768</v>
      </c>
      <c r="E81" s="2" t="n">
        <v>112.6321869</v>
      </c>
      <c r="F81" s="3">
        <f>(C81 - $B$495) / $B$496</f>
        <v/>
      </c>
      <c r="G81" s="2">
        <f>IF(F81&lt;-0.5,"Murah",IF(F81&lt;0.5,"Sedang","Mahal"))</f>
        <v/>
      </c>
    </row>
    <row r="82">
      <c r="A82" s="2" t="n">
        <v>81</v>
      </c>
      <c r="B82" s="2" t="inlineStr">
        <is>
          <t>Depot Santai</t>
        </is>
      </c>
      <c r="C82" s="2" t="n">
        <v>56000</v>
      </c>
      <c r="D82" s="2" t="n">
        <v>-7.9667822</v>
      </c>
      <c r="E82" s="2" t="n">
        <v>112.6289912</v>
      </c>
      <c r="F82" s="3">
        <f>(C82 - $B$495) / $B$496</f>
        <v/>
      </c>
      <c r="G82" s="2">
        <f>IF(F82&lt;-0.5,"Murah",IF(F82&lt;0.5,"Sedang","Mahal"))</f>
        <v/>
      </c>
    </row>
    <row r="83">
      <c r="A83" s="2" t="n">
        <v>82</v>
      </c>
      <c r="B83" s="2" t="inlineStr">
        <is>
          <t>Depot Es Selon</t>
        </is>
      </c>
      <c r="C83" s="2" t="n">
        <v>18000</v>
      </c>
      <c r="D83" s="2" t="n">
        <v>-7.9939045</v>
      </c>
      <c r="E83" s="2" t="n">
        <v>112.6338544</v>
      </c>
      <c r="F83" s="3">
        <f>(C83 - $B$495) / $B$496</f>
        <v/>
      </c>
      <c r="G83" s="2">
        <f>IF(F83&lt;-0.5,"Murah",IF(F83&lt;0.5,"Sedang","Mahal"))</f>
        <v/>
      </c>
    </row>
    <row r="84">
      <c r="A84" s="2" t="n">
        <v>83</v>
      </c>
      <c r="B84" s="2" t="inlineStr">
        <is>
          <t>Depot Kee Tjie</t>
        </is>
      </c>
      <c r="C84" s="2" t="n">
        <v>138500</v>
      </c>
      <c r="D84" s="2" t="n">
        <v>-7.9816049</v>
      </c>
      <c r="E84" s="2" t="n">
        <v>112.6338698</v>
      </c>
      <c r="F84" s="3">
        <f>(C84 - $B$495) / $B$496</f>
        <v/>
      </c>
      <c r="G84" s="2">
        <f>IF(F84&lt;-0.5,"Murah",IF(F84&lt;0.5,"Sedang","Mahal"))</f>
        <v/>
      </c>
    </row>
    <row r="85">
      <c r="A85" s="2" t="n">
        <v>84</v>
      </c>
      <c r="B85" s="2" t="inlineStr">
        <is>
          <t>Depot Jepun</t>
        </is>
      </c>
      <c r="C85" s="2" t="n">
        <v>80000</v>
      </c>
      <c r="D85" s="2" t="n">
        <v>-7.9789067</v>
      </c>
      <c r="E85" s="2" t="n">
        <v>112.6142479</v>
      </c>
      <c r="F85" s="3">
        <f>(C85 - $B$495) / $B$496</f>
        <v/>
      </c>
      <c r="G85" s="2">
        <f>IF(F85&lt;-0.5,"Murah",IF(F85&lt;0.5,"Sedang","Mahal"))</f>
        <v/>
      </c>
    </row>
    <row r="86">
      <c r="A86" s="2" t="n">
        <v>85</v>
      </c>
      <c r="B86" s="2" t="inlineStr">
        <is>
          <t>Depot Maninjau</t>
        </is>
      </c>
      <c r="C86" s="2" t="n">
        <v>33000</v>
      </c>
      <c r="D86" s="2" t="n">
        <v>-7.974303</v>
      </c>
      <c r="E86" s="2" t="n">
        <v>112.657869</v>
      </c>
      <c r="F86" s="3">
        <f>(C86 - $B$495) / $B$496</f>
        <v/>
      </c>
      <c r="G86" s="2">
        <f>IF(F86&lt;-0.5,"Murah",IF(F86&lt;0.5,"Sedang","Mahal"))</f>
        <v/>
      </c>
    </row>
    <row r="87">
      <c r="A87" s="2" t="n">
        <v>86</v>
      </c>
      <c r="B87" s="2" t="inlineStr">
        <is>
          <t>Warung Es dan Kue Mungil Malang</t>
        </is>
      </c>
      <c r="C87" s="2" t="n">
        <v>90000</v>
      </c>
      <c r="D87" s="2" t="n">
        <v>-7.9658477</v>
      </c>
      <c r="E87" s="2" t="n">
        <v>112.6344685</v>
      </c>
      <c r="F87" s="3">
        <f>(C87 - $B$495) / $B$496</f>
        <v/>
      </c>
      <c r="G87" s="2">
        <f>IF(F87&lt;-0.5,"Murah",IF(F87&lt;0.5,"Sedang","Mahal"))</f>
        <v/>
      </c>
    </row>
    <row r="88">
      <c r="A88" s="2" t="n">
        <v>87</v>
      </c>
      <c r="B88" s="2" t="inlineStr">
        <is>
          <t>Depot Tahu Lontong Lonceng</t>
        </is>
      </c>
      <c r="C88" s="2" t="n">
        <v>14000</v>
      </c>
      <c r="D88" s="2" t="n">
        <v>-7.9896076</v>
      </c>
      <c r="E88" s="2" t="n">
        <v>112.6346613</v>
      </c>
      <c r="F88" s="3">
        <f>(C88 - $B$495) / $B$496</f>
        <v/>
      </c>
      <c r="G88" s="2">
        <f>IF(F88&lt;-0.5,"Murah",IF(F88&lt;0.5,"Sedang","Mahal"))</f>
        <v/>
      </c>
    </row>
    <row r="89">
      <c r="A89" s="2" t="n">
        <v>88</v>
      </c>
      <c r="B89" s="2" t="inlineStr">
        <is>
          <t>Depot Bu Rudy - Dharmahusada</t>
        </is>
      </c>
      <c r="C89" s="2" t="n">
        <v>495000</v>
      </c>
      <c r="D89" s="2" t="n">
        <v>-7.2674503</v>
      </c>
      <c r="E89" s="2" t="n">
        <v>112.7700431</v>
      </c>
      <c r="F89" s="3">
        <f>(C89 - $B$495) / $B$496</f>
        <v/>
      </c>
      <c r="G89" s="2">
        <f>IF(F89&lt;-0.5,"Murah",IF(F89&lt;0.5,"Sedang","Mahal"))</f>
        <v/>
      </c>
    </row>
    <row r="90">
      <c r="A90" s="2" t="n">
        <v>89</v>
      </c>
      <c r="B90" s="2" t="inlineStr">
        <is>
          <t>Depot Jakarta</t>
        </is>
      </c>
      <c r="C90" s="2" t="n">
        <v>27000</v>
      </c>
      <c r="D90" s="2" t="n">
        <v>-7.9586642</v>
      </c>
      <c r="E90" s="2" t="n">
        <v>112.6487547</v>
      </c>
      <c r="F90" s="3">
        <f>(C90 - $B$495) / $B$496</f>
        <v/>
      </c>
      <c r="G90" s="2">
        <f>IF(F90&lt;-0.5,"Murah",IF(F90&lt;0.5,"Sedang","Mahal"))</f>
        <v/>
      </c>
    </row>
    <row r="91">
      <c r="A91" s="2" t="n">
        <v>90</v>
      </c>
      <c r="B91" s="2" t="inlineStr">
        <is>
          <t>Depot Asri Vegetarian</t>
        </is>
      </c>
      <c r="C91" s="2" t="n">
        <v>37500</v>
      </c>
      <c r="D91" s="2" t="n">
        <v>-7.9353235</v>
      </c>
      <c r="E91" s="2" t="n">
        <v>112.6420035</v>
      </c>
      <c r="F91" s="3">
        <f>(C91 - $B$495) / $B$496</f>
        <v/>
      </c>
      <c r="G91" s="2">
        <f>IF(F91&lt;-0.5,"Murah",IF(F91&lt;0.5,"Sedang","Mahal"))</f>
        <v/>
      </c>
    </row>
    <row r="92">
      <c r="A92" s="2" t="n">
        <v>91</v>
      </c>
      <c r="B92" s="2" t="inlineStr">
        <is>
          <t>Ayam Tulang Lunak MBOK SURIP, SP Sudarmo, Blimbing, Kota Malang</t>
        </is>
      </c>
      <c r="C92" s="2" t="n">
        <v>49000</v>
      </c>
      <c r="D92" s="2" t="n">
        <v>-7.9551651</v>
      </c>
      <c r="E92" s="2" t="n">
        <v>112.6446451</v>
      </c>
      <c r="F92" s="3">
        <f>(C92 - $B$495) / $B$496</f>
        <v/>
      </c>
      <c r="G92" s="2">
        <f>IF(F92&lt;-0.5,"Murah",IF(F92&lt;0.5,"Sedang","Mahal"))</f>
        <v/>
      </c>
    </row>
    <row r="93">
      <c r="A93" s="2" t="n">
        <v>92</v>
      </c>
      <c r="B93" s="2" t="inlineStr">
        <is>
          <t>Cita Rasa</t>
        </is>
      </c>
      <c r="C93" s="2" t="n">
        <v>56500</v>
      </c>
      <c r="D93" s="2" t="n">
        <v>-7.9501582</v>
      </c>
      <c r="E93" s="2" t="n">
        <v>112.6298272</v>
      </c>
      <c r="F93" s="3">
        <f>(C93 - $B$495) / $B$496</f>
        <v/>
      </c>
      <c r="G93" s="2">
        <f>IF(F93&lt;-0.5,"Murah",IF(F93&lt;0.5,"Sedang","Mahal"))</f>
        <v/>
      </c>
    </row>
    <row r="94">
      <c r="A94" s="2" t="n">
        <v>93</v>
      </c>
      <c r="B94" s="2" t="inlineStr">
        <is>
          <t>Soto Basket Stasiun</t>
        </is>
      </c>
      <c r="C94" s="2" t="n">
        <v>20000</v>
      </c>
      <c r="D94" s="2" t="n">
        <v>-7.9781666</v>
      </c>
      <c r="E94" s="2" t="n">
        <v>112.6370903</v>
      </c>
      <c r="F94" s="3">
        <f>(C94 - $B$495) / $B$496</f>
        <v/>
      </c>
      <c r="G94" s="2">
        <f>IF(F94&lt;-0.5,"Murah",IF(F94&lt;0.5,"Sedang","Mahal"))</f>
        <v/>
      </c>
    </row>
    <row r="95">
      <c r="A95" s="2" t="n">
        <v>94</v>
      </c>
      <c r="B95" s="2" t="inlineStr">
        <is>
          <t>Depot Agung 1952</t>
        </is>
      </c>
      <c r="C95" s="2" t="n">
        <v>71500</v>
      </c>
      <c r="D95" s="2" t="n">
        <v>-7.975578</v>
      </c>
      <c r="E95" s="2" t="n">
        <v>112.6296655</v>
      </c>
      <c r="F95" s="3">
        <f>(C95 - $B$495) / $B$496</f>
        <v/>
      </c>
      <c r="G95" s="2">
        <f>IF(F95&lt;-0.5,"Murah",IF(F95&lt;0.5,"Sedang","Mahal"))</f>
        <v/>
      </c>
    </row>
    <row r="96">
      <c r="A96" s="2" t="n">
        <v>95</v>
      </c>
      <c r="B96" s="2" t="inlineStr">
        <is>
          <t>Depot Goyang Lidah</t>
        </is>
      </c>
      <c r="C96" s="2" t="n">
        <v>72000</v>
      </c>
      <c r="D96" s="2" t="n">
        <v>-7.9409446</v>
      </c>
      <c r="E96" s="2" t="n">
        <v>112.6399007</v>
      </c>
      <c r="F96" s="3">
        <f>(C96 - $B$495) / $B$496</f>
        <v/>
      </c>
      <c r="G96" s="2">
        <f>IF(F96&lt;-0.5,"Murah",IF(F96&lt;0.5,"Sedang","Mahal"))</f>
        <v/>
      </c>
    </row>
    <row r="97">
      <c r="A97" s="2" t="n">
        <v>96</v>
      </c>
      <c r="B97" s="2" t="inlineStr">
        <is>
          <t>Pondok Desa</t>
        </is>
      </c>
      <c r="C97" s="2" t="n">
        <v>85000</v>
      </c>
      <c r="D97" s="2" t="n">
        <v>-7.977038</v>
      </c>
      <c r="E97" s="2" t="n">
        <v>112.623803</v>
      </c>
      <c r="F97" s="3">
        <f>(C97 - $B$495) / $B$496</f>
        <v/>
      </c>
      <c r="G97" s="2">
        <f>IF(F97&lt;-0.5,"Murah",IF(F97&lt;0.5,"Sedang","Mahal"))</f>
        <v/>
      </c>
    </row>
    <row r="98">
      <c r="A98" s="2" t="n">
        <v>97</v>
      </c>
      <c r="B98" s="2" t="inlineStr">
        <is>
          <t>Melati Restaurant</t>
        </is>
      </c>
      <c r="C98" s="2" t="n">
        <v>57000</v>
      </c>
      <c r="D98" s="2" t="n">
        <v>-7.9770541</v>
      </c>
      <c r="E98" s="2" t="n">
        <v>112.6328693</v>
      </c>
      <c r="F98" s="3">
        <f>(C98 - $B$495) / $B$496</f>
        <v/>
      </c>
      <c r="G98" s="2">
        <f>IF(F98&lt;-0.5,"Murah",IF(F98&lt;0.5,"Sedang","Mahal"))</f>
        <v/>
      </c>
    </row>
    <row r="99">
      <c r="A99" s="2" t="n">
        <v>98</v>
      </c>
      <c r="B99" s="2" t="inlineStr">
        <is>
          <t>Depot Mamujung</t>
        </is>
      </c>
      <c r="C99" s="2" t="n">
        <v>40000</v>
      </c>
      <c r="D99" s="2" t="n">
        <v>-7.9300353</v>
      </c>
      <c r="E99" s="2" t="n">
        <v>112.6292664</v>
      </c>
      <c r="F99" s="3">
        <f>(C99 - $B$495) / $B$496</f>
        <v/>
      </c>
      <c r="G99" s="2">
        <f>IF(F99&lt;-0.5,"Murah",IF(F99&lt;0.5,"Sedang","Mahal"))</f>
        <v/>
      </c>
    </row>
    <row r="100">
      <c r="A100" s="2" t="n">
        <v>99</v>
      </c>
      <c r="B100" s="2" t="inlineStr">
        <is>
          <t>Soto Ayam Lombok Sejak 1955</t>
        </is>
      </c>
      <c r="C100" s="2" t="n">
        <v>45000</v>
      </c>
      <c r="D100" s="2" t="n">
        <v>-7.9865723</v>
      </c>
      <c r="E100" s="2" t="n">
        <v>112.626213</v>
      </c>
      <c r="F100" s="3">
        <f>(C100 - $B$495) / $B$496</f>
        <v/>
      </c>
      <c r="G100" s="2">
        <f>IF(F100&lt;-0.5,"Murah",IF(F100&lt;0.5,"Sedang","Mahal"))</f>
        <v/>
      </c>
    </row>
    <row r="101">
      <c r="A101" s="2" t="n">
        <v>100</v>
      </c>
      <c r="B101" s="2" t="inlineStr">
        <is>
          <t>Pecel Berkah Malang</t>
        </is>
      </c>
      <c r="C101" s="2" t="n">
        <v>120000</v>
      </c>
      <c r="D101" s="2" t="n">
        <v>-7.9365777</v>
      </c>
      <c r="E101" s="2" t="n">
        <v>112.6255213</v>
      </c>
      <c r="F101" s="3">
        <f>(C101 - $B$495) / $B$496</f>
        <v/>
      </c>
      <c r="G101" s="2">
        <f>IF(F101&lt;-0.5,"Murah",IF(F101&lt;0.5,"Sedang","Mahal"))</f>
        <v/>
      </c>
    </row>
    <row r="102">
      <c r="A102" s="2" t="n">
        <v>101</v>
      </c>
      <c r="B102" s="2" t="inlineStr">
        <is>
          <t>Ayam Goreng Remaja</t>
        </is>
      </c>
      <c r="C102" s="2" t="n">
        <v>113000</v>
      </c>
      <c r="D102" s="2" t="n">
        <v>-7.954116</v>
      </c>
      <c r="E102" s="2" t="n">
        <v>112.6388662</v>
      </c>
      <c r="F102" s="3">
        <f>(C102 - $B$495) / $B$496</f>
        <v/>
      </c>
      <c r="G102" s="2">
        <f>IF(F102&lt;-0.5,"Murah",IF(F102&lt;0.5,"Sedang","Mahal"))</f>
        <v/>
      </c>
    </row>
    <row r="103">
      <c r="A103" s="2" t="n">
        <v>102</v>
      </c>
      <c r="B103" s="2" t="inlineStr">
        <is>
          <t>Depot Rujak Pojok</t>
        </is>
      </c>
      <c r="C103" s="2" t="n">
        <v>41250</v>
      </c>
      <c r="D103" s="2" t="n">
        <v>-7.975699</v>
      </c>
      <c r="E103" s="2" t="n">
        <v>112.6365503</v>
      </c>
      <c r="F103" s="3">
        <f>(C103 - $B$495) / $B$496</f>
        <v/>
      </c>
      <c r="G103" s="2">
        <f>IF(F103&lt;-0.5,"Murah",IF(F103&lt;0.5,"Sedang","Mahal"))</f>
        <v/>
      </c>
    </row>
    <row r="104">
      <c r="A104" s="2" t="n">
        <v>103</v>
      </c>
      <c r="B104" s="2" t="inlineStr">
        <is>
          <t>Waroeng Sampah</t>
        </is>
      </c>
      <c r="C104" s="2" t="n">
        <v>18000</v>
      </c>
      <c r="D104" s="2" t="n">
        <v>-7.9580759</v>
      </c>
      <c r="E104" s="2" t="n">
        <v>112.6202464</v>
      </c>
      <c r="F104" s="3">
        <f>(C104 - $B$495) / $B$496</f>
        <v/>
      </c>
      <c r="G104" s="2">
        <f>IF(F104&lt;-0.5,"Murah",IF(F104&lt;0.5,"Sedang","Mahal"))</f>
        <v/>
      </c>
    </row>
    <row r="105">
      <c r="A105" s="2" t="n">
        <v>104</v>
      </c>
      <c r="B105" s="2" t="inlineStr">
        <is>
          <t>Depot 51</t>
        </is>
      </c>
      <c r="C105" s="2" t="n">
        <v>62500</v>
      </c>
      <c r="D105" s="2" t="n">
        <v>-7.9527289</v>
      </c>
      <c r="E105" s="2" t="n">
        <v>112.6382405</v>
      </c>
      <c r="F105" s="3">
        <f>(C105 - $B$495) / $B$496</f>
        <v/>
      </c>
      <c r="G105" s="2">
        <f>IF(F105&lt;-0.5,"Murah",IF(F105&lt;0.5,"Sedang","Mahal"))</f>
        <v/>
      </c>
    </row>
    <row r="106">
      <c r="A106" s="2" t="n">
        <v>105</v>
      </c>
      <c r="B106" s="2" t="inlineStr">
        <is>
          <t>Taman Indie Resto</t>
        </is>
      </c>
      <c r="C106" s="2" t="n">
        <v>97500</v>
      </c>
      <c r="D106" s="2" t="n">
        <v>-7.939687</v>
      </c>
      <c r="E106" s="2" t="n">
        <v>112.664235</v>
      </c>
      <c r="F106" s="3">
        <f>(C106 - $B$495) / $B$496</f>
        <v/>
      </c>
      <c r="G106" s="2">
        <f>IF(F106&lt;-0.5,"Murah",IF(F106&lt;0.5,"Sedang","Mahal"))</f>
        <v/>
      </c>
    </row>
    <row r="107">
      <c r="A107" s="2" t="n">
        <v>106</v>
      </c>
      <c r="B107" s="2" t="inlineStr">
        <is>
          <t>Depot Lumayan</t>
        </is>
      </c>
      <c r="C107" s="2" t="n">
        <v>80000</v>
      </c>
      <c r="D107" s="2" t="n">
        <v>-7.9566628</v>
      </c>
      <c r="E107" s="2" t="n">
        <v>112.6306818</v>
      </c>
      <c r="F107" s="3">
        <f>(C107 - $B$495) / $B$496</f>
        <v/>
      </c>
      <c r="G107" s="2">
        <f>IF(F107&lt;-0.5,"Murah",IF(F107&lt;0.5,"Sedang","Mahal"))</f>
        <v/>
      </c>
    </row>
    <row r="108">
      <c r="A108" s="2" t="n">
        <v>107</v>
      </c>
      <c r="B108" s="2" t="inlineStr">
        <is>
          <t>Warung Manteb Bu Lanny</t>
        </is>
      </c>
      <c r="C108" s="2" t="n">
        <v>44000</v>
      </c>
      <c r="D108" s="2" t="n">
        <v>-7.9481574</v>
      </c>
      <c r="E108" s="2" t="n">
        <v>112.639789</v>
      </c>
      <c r="F108" s="3">
        <f>(C108 - $B$495) / $B$496</f>
        <v/>
      </c>
      <c r="G108" s="2">
        <f>IF(F108&lt;-0.5,"Murah",IF(F108&lt;0.5,"Sedang","Mahal"))</f>
        <v/>
      </c>
    </row>
    <row r="109">
      <c r="A109" s="2" t="n">
        <v>108</v>
      </c>
      <c r="B109" s="2" t="inlineStr">
        <is>
          <t>Depot Nasi Goreng Cak Koes</t>
        </is>
      </c>
      <c r="C109" s="2" t="n">
        <v>60000</v>
      </c>
      <c r="D109" s="2" t="n">
        <v>-7.9706933</v>
      </c>
      <c r="E109" s="2" t="n">
        <v>112.6608794</v>
      </c>
      <c r="F109" s="3">
        <f>(C109 - $B$495) / $B$496</f>
        <v/>
      </c>
      <c r="G109" s="2">
        <f>IF(F109&lt;-0.5,"Murah",IF(F109&lt;0.5,"Sedang","Mahal"))</f>
        <v/>
      </c>
    </row>
    <row r="110">
      <c r="A110" s="2" t="n">
        <v>109</v>
      </c>
      <c r="B110" s="2" t="inlineStr">
        <is>
          <t>Hot Cui Mie KAWI l Since 2000</t>
        </is>
      </c>
      <c r="C110" s="2" t="n">
        <v>64500</v>
      </c>
      <c r="D110" s="2" t="n">
        <v>-7.9748958</v>
      </c>
      <c r="E110" s="2" t="n">
        <v>112.6177057</v>
      </c>
      <c r="F110" s="3">
        <f>(C110 - $B$495) / $B$496</f>
        <v/>
      </c>
      <c r="G110" s="2">
        <f>IF(F110&lt;-0.5,"Murah",IF(F110&lt;0.5,"Sedang","Mahal"))</f>
        <v/>
      </c>
    </row>
    <row r="111">
      <c r="A111" s="2" t="n">
        <v>110</v>
      </c>
      <c r="B111" s="2" t="inlineStr">
        <is>
          <t>Potre Koneng Warisan Rasa Nusantara</t>
        </is>
      </c>
      <c r="C111" s="2" t="n">
        <v>172000</v>
      </c>
      <c r="D111" s="2" t="n">
        <v>-7.9691575</v>
      </c>
      <c r="E111" s="2" t="n">
        <v>112.6263417</v>
      </c>
      <c r="F111" s="3">
        <f>(C111 - $B$495) / $B$496</f>
        <v/>
      </c>
      <c r="G111" s="2">
        <f>IF(F111&lt;-0.5,"Murah",IF(F111&lt;0.5,"Sedang","Mahal"))</f>
        <v/>
      </c>
    </row>
    <row r="112">
      <c r="A112" s="2" t="n">
        <v>111</v>
      </c>
      <c r="B112" s="2" t="inlineStr">
        <is>
          <t>Depot Nasi Goreng Cak Mien</t>
        </is>
      </c>
      <c r="C112" s="2" t="n">
        <v>45000</v>
      </c>
      <c r="D112" s="2" t="n">
        <v>-7.9768977</v>
      </c>
      <c r="E112" s="2" t="n">
        <v>112.6438931</v>
      </c>
      <c r="F112" s="3">
        <f>(C112 - $B$495) / $B$496</f>
        <v/>
      </c>
      <c r="G112" s="2">
        <f>IF(F112&lt;-0.5,"Murah",IF(F112&lt;0.5,"Sedang","Mahal"))</f>
        <v/>
      </c>
    </row>
    <row r="113">
      <c r="A113" s="2" t="n">
        <v>112</v>
      </c>
      <c r="B113" s="2" t="inlineStr">
        <is>
          <t>Depot Kurnia Ria Ning Sul</t>
        </is>
      </c>
      <c r="C113" s="2" t="n">
        <v>137500</v>
      </c>
      <c r="D113" s="2" t="n">
        <v>-7.9752241</v>
      </c>
      <c r="E113" s="2" t="n">
        <v>112.6369285</v>
      </c>
      <c r="F113" s="3">
        <f>(C113 - $B$495) / $B$496</f>
        <v/>
      </c>
      <c r="G113" s="2">
        <f>IF(F113&lt;-0.5,"Murah",IF(F113&lt;0.5,"Sedang","Mahal"))</f>
        <v/>
      </c>
    </row>
    <row r="114">
      <c r="A114" s="2" t="n">
        <v>113</v>
      </c>
      <c r="B114" s="2" t="inlineStr">
        <is>
          <t>Rumah Makan Inggil</t>
        </is>
      </c>
      <c r="C114" s="2" t="n">
        <v>75000</v>
      </c>
      <c r="D114" s="2" t="n">
        <v>-7.9840501</v>
      </c>
      <c r="E114" s="2" t="n">
        <v>112.6341835</v>
      </c>
      <c r="F114" s="3">
        <f>(C114 - $B$495) / $B$496</f>
        <v/>
      </c>
      <c r="G114" s="2">
        <f>IF(F114&lt;-0.5,"Murah",IF(F114&lt;0.5,"Sedang","Mahal"))</f>
        <v/>
      </c>
    </row>
    <row r="115">
      <c r="A115" s="2" t="n">
        <v>114</v>
      </c>
      <c r="B115" s="2" t="inlineStr">
        <is>
          <t>Ronde Titoni</t>
        </is>
      </c>
      <c r="C115" s="2" t="n">
        <v>89000</v>
      </c>
      <c r="D115" s="2" t="n">
        <v>-7.9823434</v>
      </c>
      <c r="E115" s="2" t="n">
        <v>112.6347174</v>
      </c>
      <c r="F115" s="3">
        <f>(C115 - $B$495) / $B$496</f>
        <v/>
      </c>
      <c r="G115" s="2">
        <f>IF(F115&lt;-0.5,"Murah",IF(F115&lt;0.5,"Sedang","Mahal"))</f>
        <v/>
      </c>
    </row>
    <row r="116">
      <c r="A116" s="2" t="n">
        <v>115</v>
      </c>
      <c r="B116" s="2" t="inlineStr">
        <is>
          <t>Soto Ayam Lamongan CAK HAR</t>
        </is>
      </c>
      <c r="C116" s="2" t="n">
        <v>24000</v>
      </c>
      <c r="D116" s="2" t="n">
        <v>-7.2957171</v>
      </c>
      <c r="E116" s="2" t="n">
        <v>112.7813592</v>
      </c>
      <c r="F116" s="3">
        <f>(C116 - $B$495) / $B$496</f>
        <v/>
      </c>
      <c r="G116" s="2">
        <f>IF(F116&lt;-0.5,"Murah",IF(F116&lt;0.5,"Sedang","Mahal"))</f>
        <v/>
      </c>
    </row>
    <row r="117">
      <c r="A117" s="2" t="n">
        <v>116</v>
      </c>
      <c r="B117" s="2" t="inlineStr">
        <is>
          <t>Sentra Kuliner Sriwijaya</t>
        </is>
      </c>
      <c r="C117" s="2" t="n">
        <v>33000</v>
      </c>
      <c r="D117" s="2" t="n">
        <v>-7.9785158</v>
      </c>
      <c r="E117" s="2" t="n">
        <v>112.6364204</v>
      </c>
      <c r="F117" s="3">
        <f>(C117 - $B$495) / $B$496</f>
        <v/>
      </c>
      <c r="G117" s="2">
        <f>IF(F117&lt;-0.5,"Murah",IF(F117&lt;0.5,"Sedang","Mahal"))</f>
        <v/>
      </c>
    </row>
    <row r="118">
      <c r="A118" s="2" t="n">
        <v>117</v>
      </c>
      <c r="B118" s="2" t="inlineStr">
        <is>
          <t>Pos Ketan Legenda 1967 Suhat</t>
        </is>
      </c>
      <c r="C118" s="2" t="n">
        <v>25000</v>
      </c>
      <c r="D118" s="2" t="n">
        <v>-7.9419933</v>
      </c>
      <c r="E118" s="2" t="n">
        <v>112.6215775</v>
      </c>
      <c r="F118" s="3">
        <f>(C118 - $B$495) / $B$496</f>
        <v/>
      </c>
      <c r="G118" s="2">
        <f>IF(F118&lt;-0.5,"Murah",IF(F118&lt;0.5,"Sedang","Mahal"))</f>
        <v/>
      </c>
    </row>
    <row r="119">
      <c r="A119" s="2" t="n">
        <v>118</v>
      </c>
      <c r="B119" s="2" t="inlineStr">
        <is>
          <t>Taman Jajan Al Fatih</t>
        </is>
      </c>
      <c r="C119" s="2" t="n">
        <v>32400</v>
      </c>
      <c r="D119" s="2" t="n">
        <v>-7.9709804</v>
      </c>
      <c r="E119" s="2" t="n">
        <v>112.6605607</v>
      </c>
      <c r="F119" s="3">
        <f>(C119 - $B$495) / $B$496</f>
        <v/>
      </c>
      <c r="G119" s="2">
        <f>IF(F119&lt;-0.5,"Murah",IF(F119&lt;0.5,"Sedang","Mahal"))</f>
        <v/>
      </c>
    </row>
    <row r="120">
      <c r="A120" s="2" t="n">
        <v>119</v>
      </c>
      <c r="B120" s="2" t="inlineStr">
        <is>
          <t>Puthu Lanang</t>
        </is>
      </c>
      <c r="C120" s="2" t="n">
        <v>20000</v>
      </c>
      <c r="D120" s="2" t="n">
        <v>-7.9664473</v>
      </c>
      <c r="E120" s="2" t="n">
        <v>112.6336417</v>
      </c>
      <c r="F120" s="3">
        <f>(C120 - $B$495) / $B$496</f>
        <v/>
      </c>
      <c r="G120" s="2">
        <f>IF(F120&lt;-0.5,"Murah",IF(F120&lt;0.5,"Sedang","Mahal"))</f>
        <v/>
      </c>
    </row>
    <row r="121">
      <c r="A121" s="2" t="n">
        <v>120</v>
      </c>
      <c r="B121" s="2" t="inlineStr">
        <is>
          <t>Sego Goreng Resek (Pak Man)</t>
        </is>
      </c>
      <c r="C121" s="2" t="n">
        <v>10000</v>
      </c>
      <c r="D121" s="2" t="n">
        <v>-7.9840314</v>
      </c>
      <c r="E121" s="2" t="n">
        <v>112.625562</v>
      </c>
      <c r="F121" s="3">
        <f>(C121 - $B$495) / $B$496</f>
        <v/>
      </c>
      <c r="G121" s="2">
        <f>IF(F121&lt;-0.5,"Murah",IF(F121&lt;0.5,"Sedang","Mahal"))</f>
        <v/>
      </c>
    </row>
    <row r="122">
      <c r="A122" s="2" t="n">
        <v>121</v>
      </c>
      <c r="B122" s="2" t="inlineStr">
        <is>
          <t>Surabi Imut</t>
        </is>
      </c>
      <c r="C122" s="2" t="n">
        <v>20000</v>
      </c>
      <c r="D122" s="2" t="n">
        <v>-7.9726298</v>
      </c>
      <c r="E122" s="2" t="n">
        <v>112.636483</v>
      </c>
      <c r="F122" s="3">
        <f>(C122 - $B$495) / $B$496</f>
        <v/>
      </c>
      <c r="G122" s="2">
        <f>IF(F122&lt;-0.5,"Murah",IF(F122&lt;0.5,"Sedang","Mahal"))</f>
        <v/>
      </c>
    </row>
    <row r="123">
      <c r="A123" s="2" t="n">
        <v>122</v>
      </c>
      <c r="B123" s="2" t="inlineStr">
        <is>
          <t>Sego Ceker Glintung Malang</t>
        </is>
      </c>
      <c r="C123" s="2" t="n">
        <v>19500</v>
      </c>
      <c r="D123" s="2" t="n">
        <v>-7.9432385</v>
      </c>
      <c r="E123" s="2" t="n">
        <v>112.6417322</v>
      </c>
      <c r="F123" s="3">
        <f>(C123 - $B$495) / $B$496</f>
        <v/>
      </c>
      <c r="G123" s="2">
        <f>IF(F123&lt;-0.5,"Murah",IF(F123&lt;0.5,"Sedang","Mahal"))</f>
        <v/>
      </c>
    </row>
    <row r="124">
      <c r="A124" s="2" t="n">
        <v>123</v>
      </c>
      <c r="B124" s="2" t="inlineStr">
        <is>
          <t>Warung Lama H. Ridwan</t>
        </is>
      </c>
      <c r="C124" s="2" t="n">
        <v>9500</v>
      </c>
      <c r="D124" s="2" t="n">
        <v>-7.9873877</v>
      </c>
      <c r="E124" s="2" t="n">
        <v>112.6330822</v>
      </c>
      <c r="F124" s="3">
        <f>(C124 - $B$495) / $B$496</f>
        <v/>
      </c>
      <c r="G124" s="2">
        <f>IF(F124&lt;-0.5,"Murah",IF(F124&lt;0.5,"Sedang","Mahal"))</f>
        <v/>
      </c>
    </row>
    <row r="125">
      <c r="A125" s="2" t="n">
        <v>124</v>
      </c>
      <c r="B125" s="2" t="inlineStr">
        <is>
          <t>Kampoeng Kuliner</t>
        </is>
      </c>
      <c r="C125" s="2" t="n">
        <v>48000</v>
      </c>
      <c r="D125" s="2" t="n">
        <v>-7.9369101</v>
      </c>
      <c r="E125" s="2" t="n">
        <v>112.6376407</v>
      </c>
      <c r="F125" s="3">
        <f>(C125 - $B$495) / $B$496</f>
        <v/>
      </c>
      <c r="G125" s="2">
        <f>IF(F125&lt;-0.5,"Murah",IF(F125&lt;0.5,"Sedang","Mahal"))</f>
        <v/>
      </c>
    </row>
    <row r="126">
      <c r="A126" s="2" t="n">
        <v>125</v>
      </c>
      <c r="B126" s="2" t="inlineStr">
        <is>
          <t>Warung Mekar Jaya</t>
        </is>
      </c>
      <c r="C126" s="2" t="n">
        <v>20000</v>
      </c>
      <c r="D126" s="2" t="n">
        <v>-7.9454611</v>
      </c>
      <c r="E126" s="2" t="n">
        <v>112.6189345</v>
      </c>
      <c r="F126" s="3">
        <f>(C126 - $B$495) / $B$496</f>
        <v/>
      </c>
      <c r="G126" s="2">
        <f>IF(F126&lt;-0.5,"Murah",IF(F126&lt;0.5,"Sedang","Mahal"))</f>
        <v/>
      </c>
    </row>
    <row r="127">
      <c r="A127" s="2" t="n">
        <v>126</v>
      </c>
      <c r="B127" s="2" t="inlineStr">
        <is>
          <t>Toko Oen Malang</t>
        </is>
      </c>
      <c r="C127" s="2" t="n">
        <v>85000</v>
      </c>
      <c r="D127" s="2" t="n">
        <v>-7.980704</v>
      </c>
      <c r="E127" s="2" t="n">
        <v>112.630332</v>
      </c>
      <c r="F127" s="3">
        <f>(C127 - $B$495) / $B$496</f>
        <v/>
      </c>
      <c r="G127" s="2">
        <f>IF(F127&lt;-0.5,"Murah",IF(F127&lt;0.5,"Sedang","Mahal"))</f>
        <v/>
      </c>
    </row>
    <row r="128">
      <c r="A128" s="2" t="n">
        <v>127</v>
      </c>
      <c r="B128" s="2" t="inlineStr">
        <is>
          <t>Mbok Mesem Makanan Khas Kediri</t>
        </is>
      </c>
      <c r="C128" s="2" t="n">
        <v>29000</v>
      </c>
      <c r="D128" s="2" t="n">
        <v>-7.946422</v>
      </c>
      <c r="E128" s="2" t="n">
        <v>112.622256</v>
      </c>
      <c r="F128" s="3">
        <f>(C128 - $B$495) / $B$496</f>
        <v/>
      </c>
      <c r="G128" s="2">
        <f>IF(F128&lt;-0.5,"Murah",IF(F128&lt;0.5,"Sedang","Mahal"))</f>
        <v/>
      </c>
    </row>
    <row r="129">
      <c r="A129" s="2" t="n">
        <v>128</v>
      </c>
      <c r="B129" s="2" t="inlineStr">
        <is>
          <t>Rawon Tessy</t>
        </is>
      </c>
      <c r="C129" s="2" t="n">
        <v>55000</v>
      </c>
      <c r="D129" s="2" t="n">
        <v>-7.9799793</v>
      </c>
      <c r="E129" s="2" t="n">
        <v>112.6372032</v>
      </c>
      <c r="F129" s="3">
        <f>(C129 - $B$495) / $B$496</f>
        <v/>
      </c>
      <c r="G129" s="2">
        <f>IF(F129&lt;-0.5,"Murah",IF(F129&lt;0.5,"Sedang","Mahal"))</f>
        <v/>
      </c>
    </row>
    <row r="130">
      <c r="A130" s="2" t="n">
        <v>129</v>
      </c>
      <c r="B130" s="2" t="inlineStr">
        <is>
          <t>Warung Subuh</t>
        </is>
      </c>
      <c r="C130" s="2" t="n">
        <v>103000</v>
      </c>
      <c r="D130" s="2" t="n">
        <v>-7.976108</v>
      </c>
      <c r="E130" s="2" t="n">
        <v>112.6128452</v>
      </c>
      <c r="F130" s="3">
        <f>(C130 - $B$495) / $B$496</f>
        <v/>
      </c>
      <c r="G130" s="2">
        <f>IF(F130&lt;-0.5,"Murah",IF(F130&lt;0.5,"Sedang","Mahal"))</f>
        <v/>
      </c>
    </row>
    <row r="131">
      <c r="A131" s="2" t="n">
        <v>130</v>
      </c>
      <c r="B131" s="2" t="inlineStr">
        <is>
          <t>Warung Malam Pak Gatot</t>
        </is>
      </c>
      <c r="C131" s="2" t="n">
        <v>20000</v>
      </c>
      <c r="D131" s="2" t="n">
        <v>-7.9875673</v>
      </c>
      <c r="E131" s="2" t="n">
        <v>112.6225721</v>
      </c>
      <c r="F131" s="3">
        <f>(C131 - $B$495) / $B$496</f>
        <v/>
      </c>
      <c r="G131" s="2">
        <f>IF(F131&lt;-0.5,"Murah",IF(F131&lt;0.5,"Sedang","Mahal"))</f>
        <v/>
      </c>
    </row>
    <row r="132">
      <c r="A132" s="2" t="n">
        <v>131</v>
      </c>
      <c r="B132" s="2" t="inlineStr">
        <is>
          <t>Bakso President Malang</t>
        </is>
      </c>
      <c r="C132" s="2" t="n">
        <v>295000</v>
      </c>
      <c r="D132" s="2" t="n">
        <v>-7.962372</v>
      </c>
      <c r="E132" s="2" t="n">
        <v>112.6368701</v>
      </c>
      <c r="F132" s="3">
        <f>(C132 - $B$495) / $B$496</f>
        <v/>
      </c>
      <c r="G132" s="2">
        <f>IF(F132&lt;-0.5,"Murah",IF(F132&lt;0.5,"Sedang","Mahal"))</f>
        <v/>
      </c>
    </row>
    <row r="133">
      <c r="A133" s="2" t="n">
        <v>132</v>
      </c>
      <c r="B133" s="2" t="inlineStr">
        <is>
          <t>Kawasan Wisata Kuliner Merjosari</t>
        </is>
      </c>
      <c r="C133" s="2" t="n">
        <v>35500</v>
      </c>
      <c r="D133" s="2" t="n">
        <v>-7.9445211</v>
      </c>
      <c r="E133" s="2" t="n">
        <v>112.6038869</v>
      </c>
      <c r="F133" s="3">
        <f>(C133 - $B$495) / $B$496</f>
        <v/>
      </c>
      <c r="G133" s="2">
        <f>IF(F133&lt;-0.5,"Murah",IF(F133&lt;0.5,"Sedang","Mahal"))</f>
        <v/>
      </c>
    </row>
    <row r="134">
      <c r="A134" s="2" t="n">
        <v>133</v>
      </c>
      <c r="B134" s="2" t="inlineStr">
        <is>
          <t>Pos Ketan Legenda - 1967 Batu</t>
        </is>
      </c>
      <c r="C134" s="2" t="n">
        <v>27000</v>
      </c>
      <c r="D134" s="2" t="n">
        <v>-7.8709526</v>
      </c>
      <c r="E134" s="2" t="n">
        <v>112.5259953</v>
      </c>
      <c r="F134" s="3">
        <f>(C134 - $B$495) / $B$496</f>
        <v/>
      </c>
      <c r="G134" s="2">
        <f>IF(F134&lt;-0.5,"Murah",IF(F134&lt;0.5,"Sedang","Mahal"))</f>
        <v/>
      </c>
    </row>
    <row r="135">
      <c r="A135" s="2" t="n">
        <v>134</v>
      </c>
      <c r="B135" s="2" t="inlineStr">
        <is>
          <t>SAMBAL GAMI BU'SUM</t>
        </is>
      </c>
      <c r="C135" s="2" t="n">
        <v>45600</v>
      </c>
      <c r="D135" s="2" t="n">
        <v>-7.9753901</v>
      </c>
      <c r="E135" s="2" t="n">
        <v>112.6369541</v>
      </c>
      <c r="F135" s="3">
        <f>(C135 - $B$495) / $B$496</f>
        <v/>
      </c>
      <c r="G135" s="2">
        <f>IF(F135&lt;-0.5,"Murah",IF(F135&lt;0.5,"Sedang","Mahal"))</f>
        <v/>
      </c>
    </row>
    <row r="136">
      <c r="A136" s="2" t="n">
        <v>135</v>
      </c>
      <c r="B136" s="2" t="inlineStr">
        <is>
          <t>Pusat Kuliner Araya</t>
        </is>
      </c>
      <c r="C136" s="2" t="n">
        <v>14000</v>
      </c>
      <c r="D136" s="2" t="n">
        <v>-7.9343448</v>
      </c>
      <c r="E136" s="2" t="n">
        <v>112.651083</v>
      </c>
      <c r="F136" s="3">
        <f>(C136 - $B$495) / $B$496</f>
        <v/>
      </c>
      <c r="G136" s="2">
        <f>IF(F136&lt;-0.5,"Murah",IF(F136&lt;0.5,"Sedang","Mahal"))</f>
        <v/>
      </c>
    </row>
    <row r="137">
      <c r="A137" s="2" t="n">
        <v>136</v>
      </c>
      <c r="B137" s="2" t="inlineStr">
        <is>
          <t>Kampung Kuliner</t>
        </is>
      </c>
      <c r="C137" s="2" t="n">
        <v>45000</v>
      </c>
      <c r="D137" s="2" t="n">
        <v>-7.9444444</v>
      </c>
      <c r="E137" s="2" t="n">
        <v>112.61</v>
      </c>
      <c r="F137" s="3">
        <f>(C137 - $B$495) / $B$496</f>
        <v/>
      </c>
      <c r="G137" s="2">
        <f>IF(F137&lt;-0.5,"Murah",IF(F137&lt;0.5,"Sedang","Mahal"))</f>
        <v/>
      </c>
    </row>
    <row r="138">
      <c r="A138" s="2" t="n">
        <v>137</v>
      </c>
      <c r="B138" s="2" t="inlineStr">
        <is>
          <t>Es Tawon Kidul Dalem</t>
        </is>
      </c>
      <c r="C138" s="2" t="n">
        <v>8000</v>
      </c>
      <c r="D138" s="2" t="n">
        <v>-7.9825873</v>
      </c>
      <c r="E138" s="2" t="n">
        <v>112.6346097</v>
      </c>
      <c r="F138" s="3">
        <f>(C138 - $B$495) / $B$496</f>
        <v/>
      </c>
      <c r="G138" s="2">
        <f>IF(F138&lt;-0.5,"Murah",IF(F138&lt;0.5,"Sedang","Mahal"))</f>
        <v/>
      </c>
    </row>
    <row r="139">
      <c r="A139" s="2" t="n">
        <v>138</v>
      </c>
      <c r="B139" s="2" t="inlineStr">
        <is>
          <t>Warung Sate Gebug 1920</t>
        </is>
      </c>
      <c r="C139" s="2" t="n">
        <v>37000</v>
      </c>
      <c r="D139" s="2" t="n">
        <v>-7.9748959</v>
      </c>
      <c r="E139" s="2" t="n">
        <v>112.6294162</v>
      </c>
      <c r="F139" s="3">
        <f>(C139 - $B$495) / $B$496</f>
        <v/>
      </c>
      <c r="G139" s="2">
        <f>IF(F139&lt;-0.5,"Murah",IF(F139&lt;0.5,"Sedang","Mahal"))</f>
        <v/>
      </c>
    </row>
    <row r="140">
      <c r="A140" s="2" t="n">
        <v>139</v>
      </c>
      <c r="B140" s="2" t="inlineStr">
        <is>
          <t>Sengkaling Kuliner</t>
        </is>
      </c>
      <c r="C140" s="2" t="n">
        <v>58000</v>
      </c>
      <c r="D140" s="2" t="n">
        <v>-7.915095</v>
      </c>
      <c r="E140" s="2" t="n">
        <v>112.5874946</v>
      </c>
      <c r="F140" s="3">
        <f>(C140 - $B$495) / $B$496</f>
        <v/>
      </c>
      <c r="G140" s="2">
        <f>IF(F140&lt;-0.5,"Murah",IF(F140&lt;0.5,"Sedang","Mahal"))</f>
        <v/>
      </c>
    </row>
    <row r="141">
      <c r="A141" s="2" t="n">
        <v>140</v>
      </c>
      <c r="B141" s="2" t="inlineStr">
        <is>
          <t>Tahwa Mas Agus</t>
        </is>
      </c>
      <c r="C141" s="2" t="n">
        <v>14000</v>
      </c>
      <c r="D141" s="2" t="n">
        <v>-7.9816906</v>
      </c>
      <c r="E141" s="2" t="n">
        <v>112.6337404</v>
      </c>
      <c r="F141" s="3">
        <f>(C141 - $B$495) / $B$496</f>
        <v/>
      </c>
      <c r="G141" s="2">
        <f>IF(F141&lt;-0.5,"Murah",IF(F141&lt;0.5,"Sedang","Mahal"))</f>
        <v/>
      </c>
    </row>
    <row r="142">
      <c r="A142" s="2" t="n">
        <v>141</v>
      </c>
      <c r="B142" s="2" t="inlineStr">
        <is>
          <t>Sambal Bawang Mbok Jayus</t>
        </is>
      </c>
      <c r="C142" s="2" t="n">
        <v>25625</v>
      </c>
      <c r="D142" s="2" t="n">
        <v>-7.9394315</v>
      </c>
      <c r="E142" s="2" t="n">
        <v>112.63522</v>
      </c>
      <c r="F142" s="3">
        <f>(C142 - $B$495) / $B$496</f>
        <v/>
      </c>
      <c r="G142" s="2">
        <f>IF(F142&lt;-0.5,"Murah",IF(F142&lt;0.5,"Sedang","Mahal"))</f>
        <v/>
      </c>
    </row>
    <row r="143">
      <c r="A143" s="2" t="n">
        <v>142</v>
      </c>
      <c r="B143" s="2" t="inlineStr">
        <is>
          <t>Niki Kopitiam Malang</t>
        </is>
      </c>
      <c r="C143" s="2" t="n">
        <v>108000</v>
      </c>
      <c r="D143" s="2" t="n">
        <v>-7.9679686</v>
      </c>
      <c r="E143" s="2" t="n">
        <v>112.6170482</v>
      </c>
      <c r="F143" s="3">
        <f>(C143 - $B$495) / $B$496</f>
        <v/>
      </c>
      <c r="G143" s="2">
        <f>IF(F143&lt;-0.5,"Murah",IF(F143&lt;0.5,"Sedang","Mahal"))</f>
        <v/>
      </c>
    </row>
    <row r="144">
      <c r="A144" s="2" t="n">
        <v>143</v>
      </c>
      <c r="B144" s="2" t="inlineStr">
        <is>
          <t>Tahu Campur Pak Iwan</t>
        </is>
      </c>
      <c r="C144" s="2" t="n">
        <v>25000</v>
      </c>
      <c r="D144" s="2" t="n">
        <v>-7.9872739</v>
      </c>
      <c r="E144" s="2" t="n">
        <v>112.6302915</v>
      </c>
      <c r="F144" s="3">
        <f>(C144 - $B$495) / $B$496</f>
        <v/>
      </c>
      <c r="G144" s="2">
        <f>IF(F144&lt;-0.5,"Murah",IF(F144&lt;0.5,"Sedang","Mahal"))</f>
        <v/>
      </c>
    </row>
    <row r="145">
      <c r="A145" s="2" t="n">
        <v>144</v>
      </c>
      <c r="B145" s="2" t="inlineStr">
        <is>
          <t>Hot Cui Mie</t>
        </is>
      </c>
      <c r="C145" s="2" t="n">
        <v>64500</v>
      </c>
      <c r="D145" s="2" t="n">
        <v>-7.9513367</v>
      </c>
      <c r="E145" s="2" t="n">
        <v>112.6395376</v>
      </c>
      <c r="F145" s="3">
        <f>(C145 - $B$495) / $B$496</f>
        <v/>
      </c>
      <c r="G145" s="2">
        <f>IF(F145&lt;-0.5,"Murah",IF(F145&lt;0.5,"Sedang","Mahal"))</f>
        <v/>
      </c>
    </row>
    <row r="146">
      <c r="A146" s="2" t="n">
        <v>145</v>
      </c>
      <c r="B146" s="2" t="inlineStr">
        <is>
          <t>Ocean Garden Stasiun</t>
        </is>
      </c>
      <c r="C146" s="2" t="n">
        <v>195750</v>
      </c>
      <c r="D146" s="2" t="n">
        <v>-7.9792557</v>
      </c>
      <c r="E146" s="2" t="n">
        <v>112.6368548</v>
      </c>
      <c r="F146" s="3">
        <f>(C146 - $B$495) / $B$496</f>
        <v/>
      </c>
      <c r="G146" s="2">
        <f>IF(F146&lt;-0.5,"Murah",IF(F146&lt;0.5,"Sedang","Mahal"))</f>
        <v/>
      </c>
    </row>
    <row r="147">
      <c r="A147" s="2" t="n">
        <v>146</v>
      </c>
      <c r="B147" s="2" t="inlineStr">
        <is>
          <t>Kupang Kraton Hj. Qomariyah</t>
        </is>
      </c>
      <c r="C147" s="2" t="n">
        <v>30000</v>
      </c>
      <c r="D147" s="2" t="n">
        <v>-7.9676007</v>
      </c>
      <c r="E147" s="2" t="n">
        <v>112.6338707</v>
      </c>
      <c r="F147" s="3">
        <f>(C147 - $B$495) / $B$496</f>
        <v/>
      </c>
      <c r="G147" s="2">
        <f>IF(F147&lt;-0.5,"Murah",IF(F147&lt;0.5,"Sedang","Mahal"))</f>
        <v/>
      </c>
    </row>
    <row r="148">
      <c r="A148" s="2" t="n">
        <v>147</v>
      </c>
      <c r="B148" s="2" t="inlineStr">
        <is>
          <t>Sego Sambel Cak UUT</t>
        </is>
      </c>
      <c r="C148" s="2" t="n">
        <v>316000</v>
      </c>
      <c r="D148" s="2" t="n">
        <v>-7.9789535</v>
      </c>
      <c r="E148" s="2" t="n">
        <v>112.6113044</v>
      </c>
      <c r="F148" s="3">
        <f>(C148 - $B$495) / $B$496</f>
        <v/>
      </c>
      <c r="G148" s="2">
        <f>IF(F148&lt;-0.5,"Murah",IF(F148&lt;0.5,"Sedang","Mahal"))</f>
        <v/>
      </c>
    </row>
    <row r="149">
      <c r="A149" s="2" t="n">
        <v>148</v>
      </c>
      <c r="B149" s="2" t="inlineStr">
        <is>
          <t>Rawon Djenggot</t>
        </is>
      </c>
      <c r="C149" s="2" t="n">
        <v>58667</v>
      </c>
      <c r="D149" s="2" t="n">
        <v>-7.9752142</v>
      </c>
      <c r="E149" s="2" t="n">
        <v>112.6179601</v>
      </c>
      <c r="F149" s="3">
        <f>(C149 - $B$495) / $B$496</f>
        <v/>
      </c>
      <c r="G149" s="2">
        <f>IF(F149&lt;-0.5,"Murah",IF(F149&lt;0.5,"Sedang","Mahal"))</f>
        <v/>
      </c>
    </row>
    <row r="150">
      <c r="A150" s="2" t="n">
        <v>149</v>
      </c>
      <c r="B150" s="2" t="inlineStr">
        <is>
          <t>Madame Wang Secret Garden</t>
        </is>
      </c>
      <c r="C150" s="2" t="n">
        <v>60500</v>
      </c>
      <c r="D150" s="2" t="n">
        <v>-7.9728399</v>
      </c>
      <c r="E150" s="2" t="n">
        <v>112.6189956</v>
      </c>
      <c r="F150" s="3">
        <f>(C150 - $B$495) / $B$496</f>
        <v/>
      </c>
      <c r="G150" s="2">
        <f>IF(F150&lt;-0.5,"Murah",IF(F150&lt;0.5,"Sedang","Mahal"))</f>
        <v/>
      </c>
    </row>
    <row r="151">
      <c r="A151" s="2" t="n">
        <v>150</v>
      </c>
      <c r="B151" s="2" t="inlineStr">
        <is>
          <t>Burger Buto Sarangan</t>
        </is>
      </c>
      <c r="C151" s="2" t="n">
        <v>34750</v>
      </c>
      <c r="D151" s="2" t="n">
        <v>-7.959849</v>
      </c>
      <c r="E151" s="2" t="n">
        <v>112.6321433</v>
      </c>
      <c r="F151" s="3">
        <f>(C151 - $B$495) / $B$496</f>
        <v/>
      </c>
      <c r="G151" s="2">
        <f>IF(F151&lt;-0.5,"Murah",IF(F151&lt;0.5,"Sedang","Mahal"))</f>
        <v/>
      </c>
    </row>
    <row r="152">
      <c r="A152" s="2" t="n">
        <v>151</v>
      </c>
      <c r="B152" s="2" t="inlineStr">
        <is>
          <t>Bakso Bakar Pak Man</t>
        </is>
      </c>
      <c r="C152" s="2" t="n">
        <v>10000</v>
      </c>
      <c r="D152" s="2" t="n">
        <v>-7.9687729</v>
      </c>
      <c r="E152" s="2" t="n">
        <v>112.6339725</v>
      </c>
      <c r="F152" s="3">
        <f>(C152 - $B$495) / $B$496</f>
        <v/>
      </c>
      <c r="G152" s="2">
        <f>IF(F152&lt;-0.5,"Murah",IF(F152&lt;0.5,"Sedang","Mahal"))</f>
        <v/>
      </c>
    </row>
    <row r="153">
      <c r="A153" s="2" t="n">
        <v>152</v>
      </c>
      <c r="B153" s="2" t="inlineStr">
        <is>
          <t>Nasi Bhug Matirah</t>
        </is>
      </c>
      <c r="C153" s="2" t="n">
        <v>66000</v>
      </c>
      <c r="D153" s="2" t="n">
        <v>-7.9767672</v>
      </c>
      <c r="E153" s="2" t="n">
        <v>112.6368768</v>
      </c>
      <c r="F153" s="3">
        <f>(C153 - $B$495) / $B$496</f>
        <v/>
      </c>
      <c r="G153" s="2">
        <f>IF(F153&lt;-0.5,"Murah",IF(F153&lt;0.5,"Sedang","Mahal"))</f>
        <v/>
      </c>
    </row>
    <row r="154">
      <c r="A154" s="2" t="n">
        <v>153</v>
      </c>
      <c r="B154" s="2" t="inlineStr">
        <is>
          <t>orem-orem AREMA</t>
        </is>
      </c>
      <c r="C154" s="2" t="n">
        <v>27000</v>
      </c>
      <c r="D154" s="2" t="n">
        <v>-7.9680927</v>
      </c>
      <c r="E154" s="2" t="n">
        <v>112.613661</v>
      </c>
      <c r="F154" s="3">
        <f>(C154 - $B$495) / $B$496</f>
        <v/>
      </c>
      <c r="G154" s="2">
        <f>IF(F154&lt;-0.5,"Murah",IF(F154&lt;0.5,"Sedang","Mahal"))</f>
        <v/>
      </c>
    </row>
    <row r="155">
      <c r="A155" s="2" t="n">
        <v>154</v>
      </c>
      <c r="B155" s="2" t="inlineStr">
        <is>
          <t>Foodcourt MOG</t>
        </is>
      </c>
      <c r="C155" s="2" t="n">
        <v>58000</v>
      </c>
      <c r="D155" s="2" t="n">
        <v>-7.9769385</v>
      </c>
      <c r="E155" s="2" t="n">
        <v>112.6240616</v>
      </c>
      <c r="F155" s="3">
        <f>(C155 - $B$495) / $B$496</f>
        <v/>
      </c>
      <c r="G155" s="2">
        <f>IF(F155&lt;-0.5,"Murah",IF(F155&lt;0.5,"Sedang","Mahal"))</f>
        <v/>
      </c>
    </row>
    <row r="156">
      <c r="A156" s="2" t="n">
        <v>155</v>
      </c>
      <c r="B156" s="2" t="inlineStr">
        <is>
          <t>Toko Kue Sara</t>
        </is>
      </c>
      <c r="C156" s="2" t="n">
        <v>385000</v>
      </c>
      <c r="D156" s="2" t="n">
        <v>-7.9686936</v>
      </c>
      <c r="E156" s="2" t="n">
        <v>112.6349944</v>
      </c>
      <c r="F156" s="3">
        <f>(C156 - $B$495) / $B$496</f>
        <v/>
      </c>
      <c r="G156" s="2">
        <f>IF(F156&lt;-0.5,"Murah",IF(F156&lt;0.5,"Sedang","Mahal"))</f>
        <v/>
      </c>
    </row>
    <row r="157">
      <c r="A157" s="2" t="n">
        <v>156</v>
      </c>
      <c r="B157" s="2" t="inlineStr">
        <is>
          <t>BIJI CABE eatery</t>
        </is>
      </c>
      <c r="C157" s="2" t="n">
        <v>46500</v>
      </c>
      <c r="D157" s="2" t="n">
        <v>-7.9410463</v>
      </c>
      <c r="E157" s="2" t="n">
        <v>112.6228173</v>
      </c>
      <c r="F157" s="3">
        <f>(C157 - $B$495) / $B$496</f>
        <v/>
      </c>
      <c r="G157" s="2">
        <f>IF(F157&lt;-0.5,"Murah",IF(F157&lt;0.5,"Sedang","Mahal"))</f>
        <v/>
      </c>
    </row>
    <row r="158">
      <c r="A158" s="2" t="n">
        <v>157</v>
      </c>
      <c r="B158" s="2" t="inlineStr">
        <is>
          <t>Dapur Cecebuncit (Gyoza - Gohyong - Sambel Tempong - Ceker Pedas - Sayap Pedas - Makanan Serba Pedas - Kota Malang)</t>
        </is>
      </c>
      <c r="C158" s="2" t="n">
        <v>95000</v>
      </c>
      <c r="D158" s="2" t="n">
        <v>-7.9525052</v>
      </c>
      <c r="E158" s="2" t="n">
        <v>112.6066865</v>
      </c>
      <c r="F158" s="3">
        <f>(C158 - $B$495) / $B$496</f>
        <v/>
      </c>
      <c r="G158" s="2">
        <f>IF(F158&lt;-0.5,"Murah",IF(F158&lt;0.5,"Sedang","Mahal"))</f>
        <v/>
      </c>
    </row>
    <row r="159">
      <c r="A159" s="2" t="n">
        <v>158</v>
      </c>
      <c r="B159" s="2" t="inlineStr">
        <is>
          <t>Jajanan Pedas Malang</t>
        </is>
      </c>
      <c r="C159" s="2" t="n">
        <v>15000</v>
      </c>
      <c r="D159" s="2" t="n">
        <v>-8.0129003</v>
      </c>
      <c r="E159" s="2" t="n">
        <v>112.6295426</v>
      </c>
      <c r="F159" s="3">
        <f>(C159 - $B$495) / $B$496</f>
        <v/>
      </c>
      <c r="G159" s="2">
        <f>IF(F159&lt;-0.5,"Murah",IF(F159&lt;0.5,"Sedang","Mahal"))</f>
        <v/>
      </c>
    </row>
    <row r="160">
      <c r="A160" s="2" t="n">
        <v>159</v>
      </c>
      <c r="B160" s="2" t="inlineStr">
        <is>
          <t>Kajoetangan Food Court</t>
        </is>
      </c>
      <c r="C160" s="2" t="n">
        <v>40000</v>
      </c>
      <c r="D160" s="2" t="n">
        <v>-7.9775278</v>
      </c>
      <c r="E160" s="2" t="n">
        <v>112.6294992</v>
      </c>
      <c r="F160" s="3">
        <f>(C160 - $B$495) / $B$496</f>
        <v/>
      </c>
      <c r="G160" s="2">
        <f>IF(F160&lt;-0.5,"Murah",IF(F160&lt;0.5,"Sedang","Mahal"))</f>
        <v/>
      </c>
    </row>
    <row r="161">
      <c r="A161" s="2" t="n">
        <v>160</v>
      </c>
      <c r="B161" s="2" t="inlineStr">
        <is>
          <t>Pojok Kuliner Mas Gendoet</t>
        </is>
      </c>
      <c r="C161" s="2" t="n">
        <v>21000</v>
      </c>
      <c r="D161" s="2" t="n">
        <v>-7.9334654</v>
      </c>
      <c r="E161" s="2" t="n">
        <v>112.6613175</v>
      </c>
      <c r="F161" s="3">
        <f>(C161 - $B$495) / $B$496</f>
        <v/>
      </c>
      <c r="G161" s="2">
        <f>IF(F161&lt;-0.5,"Murah",IF(F161&lt;0.5,"Sedang","Mahal"))</f>
        <v/>
      </c>
    </row>
    <row r="162">
      <c r="A162" s="2" t="n">
        <v>161</v>
      </c>
      <c r="B162" s="2" t="inlineStr">
        <is>
          <t>Sentra Jajanan Pasar Soekarno Hatta Malang</t>
        </is>
      </c>
      <c r="C162" s="2" t="n">
        <v>56500</v>
      </c>
      <c r="D162" s="2" t="n">
        <v>-7.9406463</v>
      </c>
      <c r="E162" s="2" t="n">
        <v>112.6233223</v>
      </c>
      <c r="F162" s="3">
        <f>(C162 - $B$495) / $B$496</f>
        <v/>
      </c>
      <c r="G162" s="2">
        <f>IF(F162&lt;-0.5,"Murah",IF(F162&lt;0.5,"Sedang","Mahal"))</f>
        <v/>
      </c>
    </row>
    <row r="163">
      <c r="A163" s="2" t="n">
        <v>162</v>
      </c>
      <c r="B163" s="2" t="inlineStr">
        <is>
          <t>CHAIYOO Eatery &amp; Playground</t>
        </is>
      </c>
      <c r="C163" s="2" t="n">
        <v>31500</v>
      </c>
      <c r="D163" s="2" t="n">
        <v>-7.95575</v>
      </c>
      <c r="E163" s="2" t="n">
        <v>112.6317052</v>
      </c>
      <c r="F163" s="3">
        <f>(C163 - $B$495) / $B$496</f>
        <v/>
      </c>
      <c r="G163" s="2">
        <f>IF(F163&lt;-0.5,"Murah",IF(F163&lt;0.5,"Sedang","Mahal"))</f>
        <v/>
      </c>
    </row>
    <row r="164">
      <c r="A164" s="2" t="n">
        <v>163</v>
      </c>
      <c r="B164" s="2" t="inlineStr">
        <is>
          <t>Rawon Cak Wot</t>
        </is>
      </c>
      <c r="C164" s="2" t="n">
        <v>30000</v>
      </c>
      <c r="D164" s="2" t="n">
        <v>-7.9442772</v>
      </c>
      <c r="E164" s="2" t="n">
        <v>112.6194422</v>
      </c>
      <c r="F164" s="3">
        <f>(C164 - $B$495) / $B$496</f>
        <v/>
      </c>
      <c r="G164" s="2">
        <f>IF(F164&lt;-0.5,"Murah",IF(F164&lt;0.5,"Sedang","Mahal"))</f>
        <v/>
      </c>
    </row>
    <row r="165">
      <c r="A165" s="2" t="n">
        <v>164</v>
      </c>
      <c r="B165" s="2" t="inlineStr">
        <is>
          <t>Loopi Hoopi Dessert &amp; Bakery</t>
        </is>
      </c>
      <c r="C165" s="2" t="n">
        <v>125000</v>
      </c>
      <c r="D165" s="2" t="n">
        <v>-7.9575381</v>
      </c>
      <c r="E165" s="2" t="n">
        <v>112.6224326</v>
      </c>
      <c r="F165" s="3">
        <f>(C165 - $B$495) / $B$496</f>
        <v/>
      </c>
      <c r="G165" s="2">
        <f>IF(F165&lt;-0.5,"Murah",IF(F165&lt;0.5,"Sedang","Mahal"))</f>
        <v/>
      </c>
    </row>
    <row r="166">
      <c r="A166" s="2" t="n">
        <v>165</v>
      </c>
      <c r="B166" s="2" t="inlineStr">
        <is>
          <t>Pasar Oro Oro Dowo</t>
        </is>
      </c>
      <c r="C166" s="2" t="n">
        <v>30000</v>
      </c>
      <c r="D166" s="2" t="n">
        <v>-7.9687762</v>
      </c>
      <c r="E166" s="2" t="n">
        <v>112.6283218</v>
      </c>
      <c r="F166" s="3">
        <f>(C166 - $B$495) / $B$496</f>
        <v/>
      </c>
      <c r="G166" s="2">
        <f>IF(F166&lt;-0.5,"Murah",IF(F166&lt;0.5,"Sedang","Mahal"))</f>
        <v/>
      </c>
    </row>
    <row r="167">
      <c r="A167" s="2" t="n">
        <v>166</v>
      </c>
      <c r="B167" s="2" t="inlineStr">
        <is>
          <t>Mie ‎Setan Noodle N Dimsum - Malang</t>
        </is>
      </c>
      <c r="C167" s="2" t="n">
        <v>28500</v>
      </c>
      <c r="D167" s="2" t="n">
        <v>-7.9789675</v>
      </c>
      <c r="E167" s="2" t="n">
        <v>112.625314</v>
      </c>
      <c r="F167" s="3">
        <f>(C167 - $B$495) / $B$496</f>
        <v/>
      </c>
      <c r="G167" s="2">
        <f>IF(F167&lt;-0.5,"Murah",IF(F167&lt;0.5,"Sedang","Mahal"))</f>
        <v/>
      </c>
    </row>
    <row r="168">
      <c r="A168" s="2" t="n">
        <v>167</v>
      </c>
      <c r="B168" s="2" t="inlineStr">
        <is>
          <t>Oleh Oleh Khas Malang</t>
        </is>
      </c>
      <c r="C168" s="2" t="n">
        <v>62500</v>
      </c>
      <c r="D168" s="2" t="n">
        <v>-7.9425574</v>
      </c>
      <c r="E168" s="2" t="n">
        <v>112.6308365</v>
      </c>
      <c r="F168" s="3">
        <f>(C168 - $B$495) / $B$496</f>
        <v/>
      </c>
      <c r="G168" s="2">
        <f>IF(F168&lt;-0.5,"Murah",IF(F168&lt;0.5,"Sedang","Mahal"))</f>
        <v/>
      </c>
    </row>
    <row r="169">
      <c r="A169" s="2" t="n">
        <v>168</v>
      </c>
      <c r="B169" s="2" t="inlineStr">
        <is>
          <t>Putu Pojok Lawas Jl. Gajayana</t>
        </is>
      </c>
      <c r="C169" s="2" t="n">
        <v>20000</v>
      </c>
      <c r="D169" s="2" t="n">
        <v>-7.9454354</v>
      </c>
      <c r="E169" s="2" t="n">
        <v>112.609418</v>
      </c>
      <c r="F169" s="3">
        <f>(C169 - $B$495) / $B$496</f>
        <v/>
      </c>
      <c r="G169" s="2">
        <f>IF(F169&lt;-0.5,"Murah",IF(F169&lt;0.5,"Sedang","Mahal"))</f>
        <v/>
      </c>
    </row>
    <row r="170">
      <c r="A170" s="2" t="n">
        <v>169</v>
      </c>
      <c r="B170" s="2" t="inlineStr">
        <is>
          <t>Lumpia Ciliwung</t>
        </is>
      </c>
      <c r="C170" s="2" t="n">
        <v>141000</v>
      </c>
      <c r="D170" s="2" t="n">
        <v>-7.9542527</v>
      </c>
      <c r="E170" s="2" t="n">
        <v>112.6439069</v>
      </c>
      <c r="F170" s="3">
        <f>(C170 - $B$495) / $B$496</f>
        <v/>
      </c>
      <c r="G170" s="2">
        <f>IF(F170&lt;-0.5,"Murah",IF(F170&lt;0.5,"Sedang","Mahal"))</f>
        <v/>
      </c>
    </row>
    <row r="171">
      <c r="A171" s="2" t="n">
        <v>170</v>
      </c>
      <c r="B171" s="2" t="inlineStr">
        <is>
          <t>Bagortalik</t>
        </is>
      </c>
      <c r="C171" s="2" t="n">
        <v>12000</v>
      </c>
      <c r="D171" s="2" t="n">
        <v>-7.9691509</v>
      </c>
      <c r="E171" s="2" t="n">
        <v>112.6181761</v>
      </c>
      <c r="F171" s="3">
        <f>(C171 - $B$495) / $B$496</f>
        <v/>
      </c>
      <c r="G171" s="2">
        <f>IF(F171&lt;-0.5,"Murah",IF(F171&lt;0.5,"Sedang","Mahal"))</f>
        <v/>
      </c>
    </row>
    <row r="172">
      <c r="A172" s="2" t="n">
        <v>171</v>
      </c>
      <c r="B172" s="2" t="inlineStr">
        <is>
          <t>Nasi Goreng Pak Dji porsi Jumbo</t>
        </is>
      </c>
      <c r="C172" s="2" t="n">
        <v>19000</v>
      </c>
      <c r="D172" s="2" t="n">
        <v>-7.9765129</v>
      </c>
      <c r="E172" s="2" t="n">
        <v>112.6383122</v>
      </c>
      <c r="F172" s="3">
        <f>(C172 - $B$495) / $B$496</f>
        <v/>
      </c>
      <c r="G172" s="2">
        <f>IF(F172&lt;-0.5,"Murah",IF(F172&lt;0.5,"Sedang","Mahal"))</f>
        <v/>
      </c>
    </row>
    <row r="173">
      <c r="A173" s="2" t="n">
        <v>172</v>
      </c>
      <c r="B173" s="2" t="inlineStr">
        <is>
          <t>TimTong</t>
        </is>
      </c>
      <c r="C173" s="2" t="n">
        <v>56500</v>
      </c>
      <c r="D173" s="2" t="n">
        <v>-7.9752731</v>
      </c>
      <c r="E173" s="2" t="n">
        <v>112.6191305</v>
      </c>
      <c r="F173" s="3">
        <f>(C173 - $B$495) / $B$496</f>
        <v/>
      </c>
      <c r="G173" s="2">
        <f>IF(F173&lt;-0.5,"Murah",IF(F173&lt;0.5,"Sedang","Mahal"))</f>
        <v/>
      </c>
    </row>
    <row r="174">
      <c r="A174" s="2" t="n">
        <v>173</v>
      </c>
      <c r="B174" s="2" t="inlineStr">
        <is>
          <t>Molly Molen</t>
        </is>
      </c>
      <c r="C174" s="2" t="n">
        <v>70000</v>
      </c>
      <c r="D174" s="2" t="n">
        <v>-7.9612122</v>
      </c>
      <c r="E174" s="2" t="n">
        <v>112.6105845</v>
      </c>
      <c r="F174" s="3">
        <f>(C174 - $B$495) / $B$496</f>
        <v/>
      </c>
      <c r="G174" s="2">
        <f>IF(F174&lt;-0.5,"Murah",IF(F174&lt;0.5,"Sedang","Mahal"))</f>
        <v/>
      </c>
    </row>
    <row r="175">
      <c r="A175" s="2" t="n">
        <v>174</v>
      </c>
      <c r="B175" s="2" t="inlineStr">
        <is>
          <t>Coto Makassar Sop Konro Daeng Rudi</t>
        </is>
      </c>
      <c r="C175" s="2" t="n">
        <v>65000</v>
      </c>
      <c r="D175" s="2" t="n">
        <v>-7.967292</v>
      </c>
      <c r="E175" s="2" t="n">
        <v>112.613395</v>
      </c>
      <c r="F175" s="3">
        <f>(C175 - $B$495) / $B$496</f>
        <v/>
      </c>
      <c r="G175" s="2">
        <f>IF(F175&lt;-0.5,"Murah",IF(F175&lt;0.5,"Sedang","Mahal"))</f>
        <v/>
      </c>
    </row>
    <row r="176">
      <c r="A176" s="2" t="n">
        <v>175</v>
      </c>
      <c r="B176" s="2" t="inlineStr">
        <is>
          <t>Soto Ayam Ambengan Bu Keni</t>
        </is>
      </c>
      <c r="C176" s="2" t="n">
        <v>36000</v>
      </c>
      <c r="D176" s="2" t="n">
        <v>-7.972115</v>
      </c>
      <c r="E176" s="2" t="n">
        <v>112.6331012</v>
      </c>
      <c r="F176" s="3">
        <f>(C176 - $B$495) / $B$496</f>
        <v/>
      </c>
      <c r="G176" s="2">
        <f>IF(F176&lt;-0.5,"Murah",IF(F176&lt;0.5,"Sedang","Mahal"))</f>
        <v/>
      </c>
    </row>
    <row r="177">
      <c r="A177" s="2" t="n">
        <v>176</v>
      </c>
      <c r="B177" s="2" t="inlineStr">
        <is>
          <t>CAK TOMO CABANG SANAN</t>
        </is>
      </c>
      <c r="C177" s="2" t="n">
        <v>90000</v>
      </c>
      <c r="D177" s="2" t="n">
        <v>-7.9582994</v>
      </c>
      <c r="E177" s="2" t="n">
        <v>112.6437638</v>
      </c>
      <c r="F177" s="3">
        <f>(C177 - $B$495) / $B$496</f>
        <v/>
      </c>
      <c r="G177" s="2">
        <f>IF(F177&lt;-0.5,"Murah",IF(F177&lt;0.5,"Sedang","Mahal"))</f>
        <v/>
      </c>
    </row>
    <row r="178">
      <c r="A178" s="2" t="n">
        <v>177</v>
      </c>
      <c r="B178" s="2" t="inlineStr">
        <is>
          <t>Soehat Street Food</t>
        </is>
      </c>
      <c r="C178" s="2" t="n">
        <v>139000</v>
      </c>
      <c r="D178" s="2" t="n">
        <v>-7.9418562</v>
      </c>
      <c r="E178" s="2" t="n">
        <v>112.622374</v>
      </c>
      <c r="F178" s="3">
        <f>(C178 - $B$495) / $B$496</f>
        <v/>
      </c>
      <c r="G178" s="2">
        <f>IF(F178&lt;-0.5,"Murah",IF(F178&lt;0.5,"Sedang","Mahal"))</f>
        <v/>
      </c>
    </row>
    <row r="179">
      <c r="A179" s="2" t="n">
        <v>178</v>
      </c>
      <c r="B179" s="2" t="inlineStr">
        <is>
          <t>Soto Daging Pak Markeso (Sejak 1987)</t>
        </is>
      </c>
      <c r="C179" s="2" t="n">
        <v>25000</v>
      </c>
      <c r="D179" s="2" t="n">
        <v>-7.9749456</v>
      </c>
      <c r="E179" s="2" t="n">
        <v>112.6223537</v>
      </c>
      <c r="F179" s="3">
        <f>(C179 - $B$495) / $B$496</f>
        <v/>
      </c>
      <c r="G179" s="2">
        <f>IF(F179&lt;-0.5,"Murah",IF(F179&lt;0.5,"Sedang","Mahal"))</f>
        <v/>
      </c>
    </row>
    <row r="180">
      <c r="A180" s="2" t="n">
        <v>179</v>
      </c>
      <c r="B180" s="2" t="inlineStr">
        <is>
          <t>Lalapan dan Sea Food Bang Husein</t>
        </is>
      </c>
      <c r="C180" s="2" t="n">
        <v>62000</v>
      </c>
      <c r="D180" s="2" t="n">
        <v>-7.9711957</v>
      </c>
      <c r="E180" s="2" t="n">
        <v>112.628542</v>
      </c>
      <c r="F180" s="3">
        <f>(C180 - $B$495) / $B$496</f>
        <v/>
      </c>
      <c r="G180" s="2">
        <f>IF(F180&lt;-0.5,"Murah",IF(F180&lt;0.5,"Sedang","Mahal"))</f>
        <v/>
      </c>
    </row>
    <row r="181">
      <c r="A181" s="2" t="n">
        <v>180</v>
      </c>
      <c r="B181" s="2" t="inlineStr">
        <is>
          <t>Tahwa "ING" MALANG</t>
        </is>
      </c>
      <c r="C181" s="2" t="n">
        <v>14000</v>
      </c>
      <c r="D181" s="2" t="n">
        <v>-7.9487052</v>
      </c>
      <c r="E181" s="2" t="n">
        <v>112.6316768</v>
      </c>
      <c r="F181" s="3">
        <f>(C181 - $B$495) / $B$496</f>
        <v/>
      </c>
      <c r="G181" s="2">
        <f>IF(F181&lt;-0.5,"Murah",IF(F181&lt;0.5,"Sedang","Mahal"))</f>
        <v/>
      </c>
    </row>
    <row r="182">
      <c r="A182" s="2" t="n">
        <v>181</v>
      </c>
      <c r="B182" s="2" t="inlineStr">
        <is>
          <t>Bubur Ayam AGUS</t>
        </is>
      </c>
      <c r="C182" s="2" t="n">
        <v>70000</v>
      </c>
      <c r="D182" s="2" t="n">
        <v>-7.9706239</v>
      </c>
      <c r="E182" s="2" t="n">
        <v>112.6163361</v>
      </c>
      <c r="F182" s="3">
        <f>(C182 - $B$495) / $B$496</f>
        <v/>
      </c>
      <c r="G182" s="2">
        <f>IF(F182&lt;-0.5,"Murah",IF(F182&lt;0.5,"Sedang","Mahal"))</f>
        <v/>
      </c>
    </row>
    <row r="183">
      <c r="A183" s="2" t="n">
        <v>182</v>
      </c>
      <c r="B183" s="2" t="inlineStr">
        <is>
          <t>Mie Gacoan Stasiun Kota Malang</t>
        </is>
      </c>
      <c r="C183" s="2" t="n">
        <v>14500</v>
      </c>
      <c r="D183" s="2" t="n">
        <v>-7.975803</v>
      </c>
      <c r="E183" s="2" t="n">
        <v>112.6364057</v>
      </c>
      <c r="F183" s="3">
        <f>(C183 - $B$495) / $B$496</f>
        <v/>
      </c>
      <c r="G183" s="2">
        <f>IF(F183&lt;-0.5,"Murah",IF(F183&lt;0.5,"Sedang","Mahal"))</f>
        <v/>
      </c>
    </row>
    <row r="184">
      <c r="A184" s="2" t="n">
        <v>183</v>
      </c>
      <c r="B184" s="2" t="inlineStr">
        <is>
          <t>Nasi Gendut Malang</t>
        </is>
      </c>
      <c r="C184" s="2" t="n">
        <v>25000</v>
      </c>
      <c r="D184" s="2" t="n">
        <v>-7.9477094</v>
      </c>
      <c r="E184" s="2" t="n">
        <v>112.6248006</v>
      </c>
      <c r="F184" s="3">
        <f>(C184 - $B$495) / $B$496</f>
        <v/>
      </c>
      <c r="G184" s="2">
        <f>IF(F184&lt;-0.5,"Murah",IF(F184&lt;0.5,"Sedang","Mahal"))</f>
        <v/>
      </c>
    </row>
    <row r="185">
      <c r="A185" s="2" t="n">
        <v>184</v>
      </c>
      <c r="B185" s="2" t="inlineStr">
        <is>
          <t>Hot Cui Mie MOG l Since 2000</t>
        </is>
      </c>
      <c r="C185" s="2" t="n">
        <v>64500</v>
      </c>
      <c r="D185" s="2" t="n">
        <v>-7.9773276</v>
      </c>
      <c r="E185" s="2" t="n">
        <v>112.6240139</v>
      </c>
      <c r="F185" s="3">
        <f>(C185 - $B$495) / $B$496</f>
        <v/>
      </c>
      <c r="G185" s="2">
        <f>IF(F185&lt;-0.5,"Murah",IF(F185&lt;0.5,"Sedang","Mahal"))</f>
        <v/>
      </c>
    </row>
    <row r="186">
      <c r="A186" s="2" t="n">
        <v>185</v>
      </c>
      <c r="B186" s="2" t="inlineStr">
        <is>
          <t>Bakmi Jawa Mbah Sri</t>
        </is>
      </c>
      <c r="C186" s="2" t="n">
        <v>37000</v>
      </c>
      <c r="D186" s="2" t="n">
        <v>-7.9514537</v>
      </c>
      <c r="E186" s="2" t="n">
        <v>112.6227034</v>
      </c>
      <c r="F186" s="3">
        <f>(C186 - $B$495) / $B$496</f>
        <v/>
      </c>
      <c r="G186" s="2">
        <f>IF(F186&lt;-0.5,"Murah",IF(F186&lt;0.5,"Sedang","Mahal"))</f>
        <v/>
      </c>
    </row>
    <row r="187">
      <c r="A187" s="2" t="n">
        <v>186</v>
      </c>
      <c r="B187" s="2" t="inlineStr">
        <is>
          <t>Warung Makan Dan Jajanan Poharin</t>
        </is>
      </c>
      <c r="C187" s="2" t="n">
        <v>23000</v>
      </c>
      <c r="D187" s="2" t="n">
        <v>-7.960751</v>
      </c>
      <c r="E187" s="2" t="n">
        <v>112.6061549</v>
      </c>
      <c r="F187" s="3">
        <f>(C187 - $B$495) / $B$496</f>
        <v/>
      </c>
      <c r="G187" s="2">
        <f>IF(F187&lt;-0.5,"Murah",IF(F187&lt;0.5,"Sedang","Mahal"))</f>
        <v/>
      </c>
    </row>
    <row r="188">
      <c r="A188" s="2" t="n">
        <v>187</v>
      </c>
      <c r="B188" s="2" t="inlineStr">
        <is>
          <t>Bikang Mekar Sari Sawojajar</t>
        </is>
      </c>
      <c r="C188" s="2" t="n">
        <v>15500</v>
      </c>
      <c r="D188" s="2" t="n">
        <v>-7.9756018</v>
      </c>
      <c r="E188" s="2" t="n">
        <v>112.662081</v>
      </c>
      <c r="F188" s="3">
        <f>(C188 - $B$495) / $B$496</f>
        <v/>
      </c>
      <c r="G188" s="2">
        <f>IF(F188&lt;-0.5,"Murah",IF(F188&lt;0.5,"Sedang","Mahal"))</f>
        <v/>
      </c>
    </row>
    <row r="189">
      <c r="A189" s="2" t="n">
        <v>188</v>
      </c>
      <c r="B189" s="2" t="inlineStr">
        <is>
          <t>Jajan Sunda</t>
        </is>
      </c>
      <c r="C189" s="2" t="n">
        <v>23000</v>
      </c>
      <c r="D189" s="2" t="n">
        <v>-7.9775106</v>
      </c>
      <c r="E189" s="2" t="n">
        <v>112.6590938</v>
      </c>
      <c r="F189" s="3">
        <f>(C189 - $B$495) / $B$496</f>
        <v/>
      </c>
      <c r="G189" s="2">
        <f>IF(F189&lt;-0.5,"Murah",IF(F189&lt;0.5,"Sedang","Mahal"))</f>
        <v/>
      </c>
    </row>
    <row r="190">
      <c r="A190" s="2" t="n">
        <v>189</v>
      </c>
      <c r="B190" s="2" t="inlineStr">
        <is>
          <t>Primasari Terang Bulan</t>
        </is>
      </c>
      <c r="C190" s="2" t="n">
        <v>57000</v>
      </c>
      <c r="D190" s="2" t="n">
        <v>-7.9250553</v>
      </c>
      <c r="E190" s="2" t="n">
        <v>112.6372386</v>
      </c>
      <c r="F190" s="3">
        <f>(C190 - $B$495) / $B$496</f>
        <v/>
      </c>
      <c r="G190" s="2">
        <f>IF(F190&lt;-0.5,"Murah",IF(F190&lt;0.5,"Sedang","Mahal"))</f>
        <v/>
      </c>
    </row>
    <row r="191">
      <c r="A191" s="2" t="n">
        <v>190</v>
      </c>
      <c r="B191" s="2" t="inlineStr">
        <is>
          <t>Cwi Mie Isor Uwit</t>
        </is>
      </c>
      <c r="C191" s="2" t="n">
        <v>100000</v>
      </c>
      <c r="D191" s="2" t="n">
        <v>-7.9680562</v>
      </c>
      <c r="E191" s="2" t="n">
        <v>112.6265966</v>
      </c>
      <c r="F191" s="3">
        <f>(C191 - $B$495) / $B$496</f>
        <v/>
      </c>
      <c r="G191" s="2">
        <f>IF(F191&lt;-0.5,"Murah",IF(F191&lt;0.5,"Sedang","Mahal"))</f>
        <v/>
      </c>
    </row>
    <row r="192">
      <c r="A192" s="2" t="n">
        <v>191</v>
      </c>
      <c r="B192" s="2" t="inlineStr">
        <is>
          <t>Bakso Priangan Mang Yayat</t>
        </is>
      </c>
      <c r="C192" s="2" t="n">
        <v>36400</v>
      </c>
      <c r="D192" s="2" t="n">
        <v>-7.9740551</v>
      </c>
      <c r="E192" s="2" t="n">
        <v>112.636535</v>
      </c>
      <c r="F192" s="3">
        <f>(C192 - $B$495) / $B$496</f>
        <v/>
      </c>
      <c r="G192" s="2">
        <f>IF(F192&lt;-0.5,"Murah",IF(F192&lt;0.5,"Sedang","Mahal"))</f>
        <v/>
      </c>
    </row>
    <row r="193">
      <c r="A193" s="2" t="n">
        <v>192</v>
      </c>
      <c r="B193" s="2" t="inlineStr">
        <is>
          <t>Warung Legendaris</t>
        </is>
      </c>
      <c r="C193" s="2" t="n">
        <v>32500</v>
      </c>
      <c r="D193" s="2" t="n">
        <v>-8.0102703</v>
      </c>
      <c r="E193" s="2" t="n">
        <v>112.6307784</v>
      </c>
      <c r="F193" s="3">
        <f>(C193 - $B$495) / $B$496</f>
        <v/>
      </c>
      <c r="G193" s="2">
        <f>IF(F193&lt;-0.5,"Murah",IF(F193&lt;0.5,"Sedang","Mahal"))</f>
        <v/>
      </c>
    </row>
    <row r="194">
      <c r="A194" s="2" t="n">
        <v>193</v>
      </c>
      <c r="B194" s="2" t="inlineStr">
        <is>
          <t>Warung Tressel</t>
        </is>
      </c>
      <c r="C194" s="2" t="n">
        <v>19000</v>
      </c>
      <c r="D194" s="2" t="n">
        <v>-7.9642029</v>
      </c>
      <c r="E194" s="2" t="n">
        <v>112.6320515</v>
      </c>
      <c r="F194" s="3">
        <f>(C194 - $B$495) / $B$496</f>
        <v/>
      </c>
      <c r="G194" s="2">
        <f>IF(F194&lt;-0.5,"Murah",IF(F194&lt;0.5,"Sedang","Mahal"))</f>
        <v/>
      </c>
    </row>
    <row r="195">
      <c r="A195" s="2" t="n">
        <v>194</v>
      </c>
      <c r="B195" s="2" t="inlineStr">
        <is>
          <t>Dialoogi Signature Restaurant Malang</t>
        </is>
      </c>
      <c r="C195" s="2" t="n">
        <v>250000</v>
      </c>
      <c r="D195" s="2" t="n">
        <v>-7.960162</v>
      </c>
      <c r="E195" s="2" t="n">
        <v>112.622335</v>
      </c>
      <c r="F195" s="3">
        <f>(C195 - $B$495) / $B$496</f>
        <v/>
      </c>
      <c r="G195" s="2">
        <f>IF(F195&lt;-0.5,"Murah",IF(F195&lt;0.5,"Sedang","Mahal"))</f>
        <v/>
      </c>
    </row>
    <row r="196">
      <c r="A196" s="2" t="n">
        <v>195</v>
      </c>
      <c r="B196" s="2" t="inlineStr">
        <is>
          <t>Rujak manis semeru</t>
        </is>
      </c>
      <c r="C196" s="2" t="n">
        <v>37000</v>
      </c>
      <c r="D196" s="2" t="n">
        <v>-7.9740926</v>
      </c>
      <c r="E196" s="2" t="n">
        <v>112.6171005</v>
      </c>
      <c r="F196" s="3">
        <f>(C196 - $B$495) / $B$496</f>
        <v/>
      </c>
      <c r="G196" s="2">
        <f>IF(F196&lt;-0.5,"Murah",IF(F196&lt;0.5,"Sedang","Mahal"))</f>
        <v/>
      </c>
    </row>
    <row r="197">
      <c r="A197" s="2" t="n">
        <v>196</v>
      </c>
      <c r="B197" s="2" t="inlineStr">
        <is>
          <t>Bakso Bakar Pahlawan Trip (BABATRIP)</t>
        </is>
      </c>
      <c r="C197" s="2" t="n">
        <v>50000</v>
      </c>
      <c r="D197" s="2" t="n">
        <v>-7.9683174</v>
      </c>
      <c r="E197" s="2" t="n">
        <v>112.6221902</v>
      </c>
      <c r="F197" s="3">
        <f>(C197 - $B$495) / $B$496</f>
        <v/>
      </c>
      <c r="G197" s="2">
        <f>IF(F197&lt;-0.5,"Murah",IF(F197&lt;0.5,"Sedang","Mahal"))</f>
        <v/>
      </c>
    </row>
    <row r="198">
      <c r="A198" s="2" t="n">
        <v>197</v>
      </c>
      <c r="B198" s="2" t="inlineStr">
        <is>
          <t>Elinor Coffee and Eatery</t>
        </is>
      </c>
      <c r="C198" s="2" t="n">
        <v>39600</v>
      </c>
      <c r="D198" s="2" t="n">
        <v>-7.9049375</v>
      </c>
      <c r="E198" s="2" t="n">
        <v>112.5713441</v>
      </c>
      <c r="F198" s="3">
        <f>(C198 - $B$495) / $B$496</f>
        <v/>
      </c>
      <c r="G198" s="2">
        <f>IF(F198&lt;-0.5,"Murah",IF(F198&lt;0.5,"Sedang","Mahal"))</f>
        <v/>
      </c>
    </row>
    <row r="199">
      <c r="A199" s="2" t="n">
        <v>198</v>
      </c>
      <c r="B199" s="2" t="inlineStr">
        <is>
          <t>Amstirdam Coffee &amp; Roastery</t>
        </is>
      </c>
      <c r="C199" s="2" t="n">
        <v>250000</v>
      </c>
      <c r="D199" s="2" t="n">
        <v>-7.9401773</v>
      </c>
      <c r="E199" s="2" t="n">
        <v>112.6321863</v>
      </c>
      <c r="F199" s="3">
        <f>(C199 - $B$495) / $B$496</f>
        <v/>
      </c>
      <c r="G199" s="2">
        <f>IF(F199&lt;-0.5,"Murah",IF(F199&lt;0.5,"Sedang","Mahal"))</f>
        <v/>
      </c>
    </row>
    <row r="200">
      <c r="A200" s="2" t="n">
        <v>199</v>
      </c>
      <c r="B200" s="2" t="inlineStr">
        <is>
          <t>Hindia Koffie En Eaten</t>
        </is>
      </c>
      <c r="C200" s="2" t="n">
        <v>73000</v>
      </c>
      <c r="D200" s="2" t="n">
        <v>-7.9639094</v>
      </c>
      <c r="E200" s="2" t="n">
        <v>112.6220598</v>
      </c>
      <c r="F200" s="3">
        <f>(C200 - $B$495) / $B$496</f>
        <v/>
      </c>
      <c r="G200" s="2">
        <f>IF(F200&lt;-0.5,"Murah",IF(F200&lt;0.5,"Sedang","Mahal"))</f>
        <v/>
      </c>
    </row>
    <row r="201">
      <c r="A201" s="2" t="n">
        <v>200</v>
      </c>
      <c r="B201" s="2" t="inlineStr">
        <is>
          <t>Malbourne Coffee Co</t>
        </is>
      </c>
      <c r="C201" s="2" t="n">
        <v>66000</v>
      </c>
      <c r="D201" s="2" t="n">
        <v>-7.9498201</v>
      </c>
      <c r="E201" s="2" t="n">
        <v>112.6388059</v>
      </c>
      <c r="F201" s="3">
        <f>(C201 - $B$495) / $B$496</f>
        <v/>
      </c>
      <c r="G201" s="2">
        <f>IF(F201&lt;-0.5,"Murah",IF(F201&lt;0.5,"Sedang","Mahal"))</f>
        <v/>
      </c>
    </row>
    <row r="202">
      <c r="A202" s="2" t="n">
        <v>201</v>
      </c>
      <c r="B202" s="2" t="inlineStr">
        <is>
          <t>11:12 sebelasduabelaskopi</t>
        </is>
      </c>
      <c r="C202" s="2" t="n">
        <v>99000</v>
      </c>
      <c r="D202" s="2" t="n">
        <v>-7.9374224</v>
      </c>
      <c r="E202" s="2" t="n">
        <v>112.6250887</v>
      </c>
      <c r="F202" s="3">
        <f>(C202 - $B$495) / $B$496</f>
        <v/>
      </c>
      <c r="G202" s="2">
        <f>IF(F202&lt;-0.5,"Murah",IF(F202&lt;0.5,"Sedang","Mahal"))</f>
        <v/>
      </c>
    </row>
    <row r="203">
      <c r="A203" s="2" t="n">
        <v>202</v>
      </c>
      <c r="B203" s="2" t="inlineStr">
        <is>
          <t>Niwa Garden</t>
        </is>
      </c>
      <c r="C203" s="2" t="n">
        <v>30000</v>
      </c>
      <c r="D203" s="2" t="n">
        <v>-7.9522957</v>
      </c>
      <c r="E203" s="2" t="n">
        <v>112.6354751</v>
      </c>
      <c r="F203" s="3">
        <f>(C203 - $B$495) / $B$496</f>
        <v/>
      </c>
      <c r="G203" s="2">
        <f>IF(F203&lt;-0.5,"Murah",IF(F203&lt;0.5,"Sedang","Mahal"))</f>
        <v/>
      </c>
    </row>
    <row r="204">
      <c r="A204" s="2" t="n">
        <v>203</v>
      </c>
      <c r="B204" s="2" t="inlineStr">
        <is>
          <t>Distrik Coffee Roaster</t>
        </is>
      </c>
      <c r="C204" s="2" t="n">
        <v>12000</v>
      </c>
      <c r="D204" s="2" t="n">
        <v>-7.9490868</v>
      </c>
      <c r="E204" s="2" t="n">
        <v>112.632005</v>
      </c>
      <c r="F204" s="3">
        <f>(C204 - $B$495) / $B$496</f>
        <v/>
      </c>
      <c r="G204" s="2">
        <f>IF(F204&lt;-0.5,"Murah",IF(F204&lt;0.5,"Sedang","Mahal"))</f>
        <v/>
      </c>
    </row>
    <row r="205">
      <c r="A205" s="2" t="n">
        <v>204</v>
      </c>
      <c r="B205" s="2" t="inlineStr">
        <is>
          <t>TOKO KOPI KOOPEN</t>
        </is>
      </c>
      <c r="C205" s="2" t="n">
        <v>20000</v>
      </c>
      <c r="D205" s="2" t="n">
        <v>-7.9735484</v>
      </c>
      <c r="E205" s="2" t="n">
        <v>112.6367135</v>
      </c>
      <c r="F205" s="3">
        <f>(C205 - $B$495) / $B$496</f>
        <v/>
      </c>
      <c r="G205" s="2">
        <f>IF(F205&lt;-0.5,"Murah",IF(F205&lt;0.5,"Sedang","Mahal"))</f>
        <v/>
      </c>
    </row>
    <row r="206">
      <c r="A206" s="2" t="n">
        <v>205</v>
      </c>
      <c r="B206" s="2" t="inlineStr">
        <is>
          <t>Toko Kopi TUKU - Malang</t>
        </is>
      </c>
      <c r="C206" s="2" t="n">
        <v>225000</v>
      </c>
      <c r="D206" s="2" t="n">
        <v>-7.9672699</v>
      </c>
      <c r="E206" s="2" t="n">
        <v>112.6156149</v>
      </c>
      <c r="F206" s="3">
        <f>(C206 - $B$495) / $B$496</f>
        <v/>
      </c>
      <c r="G206" s="2">
        <f>IF(F206&lt;-0.5,"Murah",IF(F206&lt;0.5,"Sedang","Mahal"))</f>
        <v/>
      </c>
    </row>
    <row r="207">
      <c r="A207" s="2" t="n">
        <v>206</v>
      </c>
      <c r="B207" s="2" t="inlineStr">
        <is>
          <t>Kopi tuju</t>
        </is>
      </c>
      <c r="C207" s="2" t="n">
        <v>28000</v>
      </c>
      <c r="D207" s="2" t="n">
        <v>-7.9857157</v>
      </c>
      <c r="E207" s="2" t="n">
        <v>112.6309564</v>
      </c>
      <c r="F207" s="3">
        <f>(C207 - $B$495) / $B$496</f>
        <v/>
      </c>
      <c r="G207" s="2">
        <f>IF(F207&lt;-0.5,"Murah",IF(F207&lt;0.5,"Sedang","Mahal"))</f>
        <v/>
      </c>
    </row>
    <row r="208">
      <c r="A208" s="2" t="n">
        <v>207</v>
      </c>
      <c r="B208" s="2" t="inlineStr">
        <is>
          <t>CW Coffee &amp; Eatery - Simpang Ijen</t>
        </is>
      </c>
      <c r="C208" s="2" t="n">
        <v>109500</v>
      </c>
      <c r="D208" s="2" t="n">
        <v>-7.9657766</v>
      </c>
      <c r="E208" s="2" t="n">
        <v>112.6202307</v>
      </c>
      <c r="F208" s="3">
        <f>(C208 - $B$495) / $B$496</f>
        <v/>
      </c>
      <c r="G208" s="2">
        <f>IF(F208&lt;-0.5,"Murah",IF(F208&lt;0.5,"Sedang","Mahal"))</f>
        <v/>
      </c>
    </row>
    <row r="209">
      <c r="A209" s="2" t="n">
        <v>208</v>
      </c>
      <c r="B209" s="2" t="inlineStr">
        <is>
          <t>Tematik Coffee Bar HQ</t>
        </is>
      </c>
      <c r="C209" s="2" t="n">
        <v>49400</v>
      </c>
      <c r="D209" s="2" t="n">
        <v>-7.9929368</v>
      </c>
      <c r="E209" s="2" t="n">
        <v>112.6241608</v>
      </c>
      <c r="F209" s="3">
        <f>(C209 - $B$495) / $B$496</f>
        <v/>
      </c>
      <c r="G209" s="2">
        <f>IF(F209&lt;-0.5,"Murah",IF(F209&lt;0.5,"Sedang","Mahal"))</f>
        <v/>
      </c>
    </row>
    <row r="210">
      <c r="A210" s="2" t="n">
        <v>209</v>
      </c>
      <c r="B210" s="2" t="inlineStr">
        <is>
          <t>JOKOPI - Malang</t>
        </is>
      </c>
      <c r="C210" s="2" t="n">
        <v>156000</v>
      </c>
      <c r="D210" s="2" t="n">
        <v>-7.9629648</v>
      </c>
      <c r="E210" s="2" t="n">
        <v>112.6226969</v>
      </c>
      <c r="F210" s="3">
        <f>(C210 - $B$495) / $B$496</f>
        <v/>
      </c>
      <c r="G210" s="2">
        <f>IF(F210&lt;-0.5,"Murah",IF(F210&lt;0.5,"Sedang","Mahal"))</f>
        <v/>
      </c>
    </row>
    <row r="211">
      <c r="A211" s="2" t="n">
        <v>210</v>
      </c>
      <c r="B211" s="2" t="inlineStr">
        <is>
          <t>Cale Cafe Malang</t>
        </is>
      </c>
      <c r="C211" s="2" t="n">
        <v>120000</v>
      </c>
      <c r="D211" s="2" t="n">
        <v>-7.9734226</v>
      </c>
      <c r="E211" s="2" t="n">
        <v>112.6680828</v>
      </c>
      <c r="F211" s="3">
        <f>(C211 - $B$495) / $B$496</f>
        <v/>
      </c>
      <c r="G211" s="2">
        <f>IF(F211&lt;-0.5,"Murah",IF(F211&lt;0.5,"Sedang","Mahal"))</f>
        <v/>
      </c>
    </row>
    <row r="212">
      <c r="A212" s="2" t="n">
        <v>211</v>
      </c>
      <c r="B212" s="2" t="inlineStr">
        <is>
          <t>Labore coffee eatery</t>
        </is>
      </c>
      <c r="C212" s="2" t="n">
        <v>64800</v>
      </c>
      <c r="D212" s="2" t="n">
        <v>-7.9392489</v>
      </c>
      <c r="E212" s="2" t="n">
        <v>112.6306143</v>
      </c>
      <c r="F212" s="3">
        <f>(C212 - $B$495) / $B$496</f>
        <v/>
      </c>
      <c r="G212" s="2">
        <f>IF(F212&lt;-0.5,"Murah",IF(F212&lt;0.5,"Sedang","Mahal"))</f>
        <v/>
      </c>
    </row>
    <row r="213">
      <c r="A213" s="2" t="n">
        <v>212</v>
      </c>
      <c r="B213" s="2" t="inlineStr">
        <is>
          <t>Roketto Coffee &amp; Co</t>
        </is>
      </c>
      <c r="C213" s="2" t="n">
        <v>44400</v>
      </c>
      <c r="D213" s="2" t="n">
        <v>-7.9465495</v>
      </c>
      <c r="E213" s="2" t="n">
        <v>112.6258067</v>
      </c>
      <c r="F213" s="3">
        <f>(C213 - $B$495) / $B$496</f>
        <v/>
      </c>
      <c r="G213" s="2">
        <f>IF(F213&lt;-0.5,"Murah",IF(F213&lt;0.5,"Sedang","Mahal"))</f>
        <v/>
      </c>
    </row>
    <row r="214">
      <c r="A214" s="2" t="n">
        <v>213</v>
      </c>
      <c r="B214" s="2" t="inlineStr">
        <is>
          <t>Kopi Handall</t>
        </is>
      </c>
      <c r="C214" s="2" t="n">
        <v>173750</v>
      </c>
      <c r="D214" s="2" t="n">
        <v>-7.947581</v>
      </c>
      <c r="E214" s="2" t="n">
        <v>112.6203695</v>
      </c>
      <c r="F214" s="3">
        <f>(C214 - $B$495) / $B$496</f>
        <v/>
      </c>
      <c r="G214" s="2">
        <f>IF(F214&lt;-0.5,"Murah",IF(F214&lt;0.5,"Sedang","Mahal"))</f>
        <v/>
      </c>
    </row>
    <row r="215">
      <c r="A215" s="2" t="n">
        <v>214</v>
      </c>
      <c r="B215" s="2" t="inlineStr">
        <is>
          <t>Lataroma</t>
        </is>
      </c>
      <c r="C215" s="2" t="n">
        <v>12000</v>
      </c>
      <c r="D215" s="2" t="n">
        <v>-7.942929</v>
      </c>
      <c r="E215" s="2" t="n">
        <v>112.5852973</v>
      </c>
      <c r="F215" s="3">
        <f>(C215 - $B$495) / $B$496</f>
        <v/>
      </c>
      <c r="G215" s="2">
        <f>IF(F215&lt;-0.5,"Murah",IF(F215&lt;0.5,"Sedang","Mahal"))</f>
        <v/>
      </c>
    </row>
    <row r="216">
      <c r="A216" s="2" t="n">
        <v>215</v>
      </c>
      <c r="B216" s="2" t="inlineStr">
        <is>
          <t>Baratimur Kopi</t>
        </is>
      </c>
      <c r="C216" s="2" t="n">
        <v>198000</v>
      </c>
      <c r="D216" s="2" t="n">
        <v>-7.960235</v>
      </c>
      <c r="E216" s="2" t="n">
        <v>112.6347713</v>
      </c>
      <c r="F216" s="3">
        <f>(C216 - $B$495) / $B$496</f>
        <v/>
      </c>
      <c r="G216" s="2">
        <f>IF(F216&lt;-0.5,"Murah",IF(F216&lt;0.5,"Sedang","Mahal"))</f>
        <v/>
      </c>
    </row>
    <row r="217">
      <c r="A217" s="2" t="n">
        <v>216</v>
      </c>
      <c r="B217" s="2" t="inlineStr">
        <is>
          <t>Dialoogi Space &amp; Coffee</t>
        </is>
      </c>
      <c r="C217" s="2" t="n">
        <v>45600</v>
      </c>
      <c r="D217" s="2" t="n">
        <v>-7.9402221</v>
      </c>
      <c r="E217" s="2" t="n">
        <v>112.6237769</v>
      </c>
      <c r="F217" s="3">
        <f>(C217 - $B$495) / $B$496</f>
        <v/>
      </c>
      <c r="G217" s="2">
        <f>IF(F217&lt;-0.5,"Murah",IF(F217&lt;0.5,"Sedang","Mahal"))</f>
        <v/>
      </c>
    </row>
    <row r="218">
      <c r="A218" s="2" t="n">
        <v>217</v>
      </c>
      <c r="B218" s="2" t="inlineStr">
        <is>
          <t>Toko Kopi Abah</t>
        </is>
      </c>
      <c r="C218" s="2" t="n">
        <v>20000</v>
      </c>
      <c r="D218" s="2" t="n">
        <v>-7.9727486</v>
      </c>
      <c r="E218" s="2" t="n">
        <v>112.6367082</v>
      </c>
      <c r="F218" s="3">
        <f>(C218 - $B$495) / $B$496</f>
        <v/>
      </c>
      <c r="G218" s="2">
        <f>IF(F218&lt;-0.5,"Murah",IF(F218&lt;0.5,"Sedang","Mahal"))</f>
        <v/>
      </c>
    </row>
    <row r="219">
      <c r="A219" s="2" t="n">
        <v>218</v>
      </c>
      <c r="B219" s="2" t="inlineStr">
        <is>
          <t>GOLDEN HERITAGE KOFFIE</t>
        </is>
      </c>
      <c r="C219" s="2" t="n">
        <v>99000</v>
      </c>
      <c r="D219" s="2" t="n">
        <v>-7.9657391</v>
      </c>
      <c r="E219" s="2" t="n">
        <v>112.6087291</v>
      </c>
      <c r="F219" s="3">
        <f>(C219 - $B$495) / $B$496</f>
        <v/>
      </c>
      <c r="G219" s="2">
        <f>IF(F219&lt;-0.5,"Murah",IF(F219&lt;0.5,"Sedang","Mahal"))</f>
        <v/>
      </c>
    </row>
    <row r="220">
      <c r="A220" s="2" t="n">
        <v>219</v>
      </c>
      <c r="B220" s="2" t="inlineStr">
        <is>
          <t>Ruang Rindu Kopi</t>
        </is>
      </c>
      <c r="C220" s="2" t="n">
        <v>85000</v>
      </c>
      <c r="D220" s="2" t="n">
        <v>-7.9451334</v>
      </c>
      <c r="E220" s="2" t="n">
        <v>112.6120065</v>
      </c>
      <c r="F220" s="3">
        <f>(C220 - $B$495) / $B$496</f>
        <v/>
      </c>
      <c r="G220" s="2">
        <f>IF(F220&lt;-0.5,"Murah",IF(F220&lt;0.5,"Sedang","Mahal"))</f>
        <v/>
      </c>
    </row>
    <row r="221">
      <c r="A221" s="2" t="n">
        <v>220</v>
      </c>
      <c r="B221" s="2" t="inlineStr">
        <is>
          <t>Ada Apa Dengan Kopi (AADK) Bandung Malang - Coffee &amp; Eatery</t>
        </is>
      </c>
      <c r="C221" s="2" t="n">
        <v>48000</v>
      </c>
      <c r="D221" s="2" t="n">
        <v>-7.9607566</v>
      </c>
      <c r="E221" s="2" t="n">
        <v>112.62299</v>
      </c>
      <c r="F221" s="3">
        <f>(C221 - $B$495) / $B$496</f>
        <v/>
      </c>
      <c r="G221" s="2">
        <f>IF(F221&lt;-0.5,"Murah",IF(F221&lt;0.5,"Sedang","Mahal"))</f>
        <v/>
      </c>
    </row>
    <row r="222">
      <c r="A222" s="2" t="n">
        <v>221</v>
      </c>
      <c r="B222" s="2" t="inlineStr">
        <is>
          <t>Sorai Kedai Kopi &amp; Teh</t>
        </is>
      </c>
      <c r="C222" s="2" t="n">
        <v>22500</v>
      </c>
      <c r="D222" s="2" t="n">
        <v>-7.9628407</v>
      </c>
      <c r="E222" s="2" t="n">
        <v>112.6368217</v>
      </c>
      <c r="F222" s="3">
        <f>(C222 - $B$495) / $B$496</f>
        <v/>
      </c>
      <c r="G222" s="2">
        <f>IF(F222&lt;-0.5,"Murah",IF(F222&lt;0.5,"Sedang","Mahal"))</f>
        <v/>
      </c>
    </row>
    <row r="223">
      <c r="A223" s="2" t="n">
        <v>222</v>
      </c>
      <c r="B223" s="2" t="inlineStr">
        <is>
          <t>Baja</t>
        </is>
      </c>
      <c r="C223" s="2" t="n">
        <v>70000</v>
      </c>
      <c r="D223" s="2" t="n">
        <v>-7.9476346</v>
      </c>
      <c r="E223" s="2" t="n">
        <v>112.6419965</v>
      </c>
      <c r="F223" s="3">
        <f>(C223 - $B$495) / $B$496</f>
        <v/>
      </c>
      <c r="G223" s="2">
        <f>IF(F223&lt;-0.5,"Murah",IF(F223&lt;0.5,"Sedang","Mahal"))</f>
        <v/>
      </c>
    </row>
    <row r="224">
      <c r="A224" s="2" t="n">
        <v>223</v>
      </c>
      <c r="B224" s="2" t="inlineStr">
        <is>
          <t>Eight Ounces</t>
        </is>
      </c>
      <c r="C224" s="2" t="n">
        <v>52000</v>
      </c>
      <c r="D224" s="2" t="n">
        <v>-7.9570712</v>
      </c>
      <c r="E224" s="2" t="n">
        <v>112.6433178</v>
      </c>
      <c r="F224" s="3">
        <f>(C224 - $B$495) / $B$496</f>
        <v/>
      </c>
      <c r="G224" s="2">
        <f>IF(F224&lt;-0.5,"Murah",IF(F224&lt;0.5,"Sedang","Mahal"))</f>
        <v/>
      </c>
    </row>
    <row r="225">
      <c r="A225" s="2" t="n">
        <v>224</v>
      </c>
      <c r="B225" s="2" t="inlineStr">
        <is>
          <t>KOPI STUDIO 24 SARANGAN</t>
        </is>
      </c>
      <c r="C225" s="2" t="n">
        <v>60000</v>
      </c>
      <c r="D225" s="2" t="n">
        <v>-7.9601586</v>
      </c>
      <c r="E225" s="2" t="n">
        <v>112.6329195</v>
      </c>
      <c r="F225" s="3">
        <f>(C225 - $B$495) / $B$496</f>
        <v/>
      </c>
      <c r="G225" s="2">
        <f>IF(F225&lt;-0.5,"Murah",IF(F225&lt;0.5,"Sedang","Mahal"))</f>
        <v/>
      </c>
    </row>
    <row r="226">
      <c r="A226" s="2" t="n">
        <v>225</v>
      </c>
      <c r="B226" s="2" t="inlineStr">
        <is>
          <t>Sejenak Coffee</t>
        </is>
      </c>
      <c r="C226" s="2" t="n">
        <v>35000</v>
      </c>
      <c r="D226" s="2" t="n">
        <v>-7.9494825</v>
      </c>
      <c r="E226" s="2" t="n">
        <v>112.6247244</v>
      </c>
      <c r="F226" s="3">
        <f>(C226 - $B$495) / $B$496</f>
        <v/>
      </c>
      <c r="G226" s="2">
        <f>IF(F226&lt;-0.5,"Murah",IF(F226&lt;0.5,"Sedang","Mahal"))</f>
        <v/>
      </c>
    </row>
    <row r="227">
      <c r="A227" s="2" t="n">
        <v>226</v>
      </c>
      <c r="B227" s="2" t="inlineStr">
        <is>
          <t>Kopi Studio 24</t>
        </is>
      </c>
      <c r="C227" s="2" t="n">
        <v>60000</v>
      </c>
      <c r="D227" s="2" t="n">
        <v>-7.9468286</v>
      </c>
      <c r="E227" s="2" t="n">
        <v>112.6179213</v>
      </c>
      <c r="F227" s="3">
        <f>(C227 - $B$495) / $B$496</f>
        <v/>
      </c>
      <c r="G227" s="2">
        <f>IF(F227&lt;-0.5,"Murah",IF(F227&lt;0.5,"Sedang","Mahal"))</f>
        <v/>
      </c>
    </row>
    <row r="228">
      <c r="A228" s="2" t="n">
        <v>227</v>
      </c>
      <c r="B228" s="2" t="inlineStr">
        <is>
          <t>Kotäsk Kaffe Co.</t>
        </is>
      </c>
      <c r="C228" s="2" t="n">
        <v>180000</v>
      </c>
      <c r="D228" s="2" t="n">
        <v>-7.9755645</v>
      </c>
      <c r="E228" s="2" t="n">
        <v>112.6125007</v>
      </c>
      <c r="F228" s="3">
        <f>(C228 - $B$495) / $B$496</f>
        <v/>
      </c>
      <c r="G228" s="2">
        <f>IF(F228&lt;-0.5,"Murah",IF(F228&lt;0.5,"Sedang","Mahal"))</f>
        <v/>
      </c>
    </row>
    <row r="229">
      <c r="A229" s="2" t="n">
        <v>228</v>
      </c>
      <c r="B229" s="2" t="inlineStr">
        <is>
          <t>Vosco Coffee</t>
        </is>
      </c>
      <c r="C229" s="2" t="n">
        <v>62000</v>
      </c>
      <c r="D229" s="2" t="n">
        <v>-7.940185</v>
      </c>
      <c r="E229" s="2" t="n">
        <v>112.637716</v>
      </c>
      <c r="F229" s="3">
        <f>(C229 - $B$495) / $B$496</f>
        <v/>
      </c>
      <c r="G229" s="2">
        <f>IF(F229&lt;-0.5,"Murah",IF(F229&lt;0.5,"Sedang","Mahal"))</f>
        <v/>
      </c>
    </row>
    <row r="230">
      <c r="A230" s="2" t="n">
        <v>229</v>
      </c>
      <c r="B230" s="2" t="inlineStr">
        <is>
          <t>NARA Coffee</t>
        </is>
      </c>
      <c r="C230" s="2" t="n">
        <v>43000</v>
      </c>
      <c r="D230" s="2" t="n">
        <v>-7.9533283</v>
      </c>
      <c r="E230" s="2" t="n">
        <v>112.5644515</v>
      </c>
      <c r="F230" s="3">
        <f>(C230 - $B$495) / $B$496</f>
        <v/>
      </c>
      <c r="G230" s="2">
        <f>IF(F230&lt;-0.5,"Murah",IF(F230&lt;0.5,"Sedang","Mahal"))</f>
        <v/>
      </c>
    </row>
    <row r="231">
      <c r="A231" s="2" t="n">
        <v>230</v>
      </c>
      <c r="B231" s="2" t="inlineStr">
        <is>
          <t>Katamichi Coffee</t>
        </is>
      </c>
      <c r="C231" s="2" t="n">
        <v>55000</v>
      </c>
      <c r="D231" s="2" t="n">
        <v>-7.9679301</v>
      </c>
      <c r="E231" s="2" t="n">
        <v>112.6288818</v>
      </c>
      <c r="F231" s="3">
        <f>(C231 - $B$495) / $B$496</f>
        <v/>
      </c>
      <c r="G231" s="2">
        <f>IF(F231&lt;-0.5,"Murah",IF(F231&lt;0.5,"Sedang","Mahal"))</f>
        <v/>
      </c>
    </row>
    <row r="232">
      <c r="A232" s="2" t="n">
        <v>231</v>
      </c>
      <c r="B232" s="2" t="inlineStr">
        <is>
          <t>Klodjen Djaja 1956</t>
        </is>
      </c>
      <c r="C232" s="2" t="n">
        <v>24000</v>
      </c>
      <c r="D232" s="2" t="n">
        <v>-7.9732172</v>
      </c>
      <c r="E232" s="2" t="n">
        <v>112.6368377</v>
      </c>
      <c r="F232" s="3">
        <f>(C232 - $B$495) / $B$496</f>
        <v/>
      </c>
      <c r="G232" s="2">
        <f>IF(F232&lt;-0.5,"Murah",IF(F232&lt;0.5,"Sedang","Mahal"))</f>
        <v/>
      </c>
    </row>
    <row r="233">
      <c r="A233" s="2" t="n">
        <v>232</v>
      </c>
      <c r="B233" s="2" t="inlineStr">
        <is>
          <t>Equal Coffee Roastery</t>
        </is>
      </c>
      <c r="C233" s="2" t="n">
        <v>40000</v>
      </c>
      <c r="D233" s="2" t="n">
        <v>-7.924035</v>
      </c>
      <c r="E233" s="2" t="n">
        <v>112.5839582</v>
      </c>
      <c r="F233" s="3">
        <f>(C233 - $B$495) / $B$496</f>
        <v/>
      </c>
      <c r="G233" s="2">
        <f>IF(F233&lt;-0.5,"Murah",IF(F233&lt;0.5,"Sedang","Mahal"))</f>
        <v/>
      </c>
    </row>
    <row r="234">
      <c r="A234" s="2" t="n">
        <v>233</v>
      </c>
      <c r="B234" s="2" t="inlineStr">
        <is>
          <t>Toko Kopi Jaya, Soehat</t>
        </is>
      </c>
      <c r="C234" s="2" t="n">
        <v>98000</v>
      </c>
      <c r="D234" s="2" t="n">
        <v>-7.9353421</v>
      </c>
      <c r="E234" s="2" t="n">
        <v>112.6238145</v>
      </c>
      <c r="F234" s="3">
        <f>(C234 - $B$495) / $B$496</f>
        <v/>
      </c>
      <c r="G234" s="2">
        <f>IF(F234&lt;-0.5,"Murah",IF(F234&lt;0.5,"Sedang","Mahal"))</f>
        <v/>
      </c>
    </row>
    <row r="235">
      <c r="A235" s="2" t="n">
        <v>234</v>
      </c>
      <c r="B235" s="2" t="inlineStr">
        <is>
          <t>Foursense Coffee</t>
        </is>
      </c>
      <c r="C235" s="2" t="n">
        <v>44000</v>
      </c>
      <c r="D235" s="2" t="n">
        <v>-7.9631342</v>
      </c>
      <c r="E235" s="2" t="n">
        <v>112.6326078</v>
      </c>
      <c r="F235" s="3">
        <f>(C235 - $B$495) / $B$496</f>
        <v/>
      </c>
      <c r="G235" s="2">
        <f>IF(F235&lt;-0.5,"Murah",IF(F235&lt;0.5,"Sedang","Mahal"))</f>
        <v/>
      </c>
    </row>
    <row r="236">
      <c r="A236" s="2" t="n">
        <v>235</v>
      </c>
      <c r="B236" s="2" t="inlineStr">
        <is>
          <t>Toko Kopi Makmur (Malang)</t>
        </is>
      </c>
      <c r="C236" s="2" t="n">
        <v>18000</v>
      </c>
      <c r="D236" s="2" t="n">
        <v>-7.9456569</v>
      </c>
      <c r="E236" s="2" t="n">
        <v>112.6208499</v>
      </c>
      <c r="F236" s="3">
        <f>(C236 - $B$495) / $B$496</f>
        <v/>
      </c>
      <c r="G236" s="2">
        <f>IF(F236&lt;-0.5,"Murah",IF(F236&lt;0.5,"Sedang","Mahal"))</f>
        <v/>
      </c>
    </row>
    <row r="237">
      <c r="A237" s="2" t="n">
        <v>236</v>
      </c>
      <c r="B237" s="2" t="inlineStr">
        <is>
          <t>Tilik Kawan Cafe and Eatery</t>
        </is>
      </c>
      <c r="C237" s="2" t="n">
        <v>31250</v>
      </c>
      <c r="D237" s="2" t="n">
        <v>-7.9764022</v>
      </c>
      <c r="E237" s="2" t="n">
        <v>112.6816867</v>
      </c>
      <c r="F237" s="3">
        <f>(C237 - $B$495) / $B$496</f>
        <v/>
      </c>
      <c r="G237" s="2">
        <f>IF(F237&lt;-0.5,"Murah",IF(F237&lt;0.5,"Sedang","Mahal"))</f>
        <v/>
      </c>
    </row>
    <row r="238">
      <c r="A238" s="2" t="n">
        <v>237</v>
      </c>
      <c r="B238" s="2" t="inlineStr">
        <is>
          <t>Bureau Coffee &amp; Dine</t>
        </is>
      </c>
      <c r="C238" s="2" t="n">
        <v>198000</v>
      </c>
      <c r="D238" s="2" t="n">
        <v>-7.9406969</v>
      </c>
      <c r="E238" s="2" t="n">
        <v>112.6233112</v>
      </c>
      <c r="F238" s="3">
        <f>(C238 - $B$495) / $B$496</f>
        <v/>
      </c>
      <c r="G238" s="2">
        <f>IF(F238&lt;-0.5,"Murah",IF(F238&lt;0.5,"Sedang","Mahal"))</f>
        <v/>
      </c>
    </row>
    <row r="239">
      <c r="A239" s="2" t="n">
        <v>238</v>
      </c>
      <c r="B239" s="2" t="inlineStr">
        <is>
          <t>Apresio Kopi</t>
        </is>
      </c>
      <c r="C239" s="2" t="n">
        <v>22000</v>
      </c>
      <c r="D239" s="2" t="n">
        <v>-7.945527</v>
      </c>
      <c r="E239" s="2" t="n">
        <v>112.612347</v>
      </c>
      <c r="F239" s="3">
        <f>(C239 - $B$495) / $B$496</f>
        <v/>
      </c>
      <c r="G239" s="2">
        <f>IF(F239&lt;-0.5,"Murah",IF(F239&lt;0.5,"Sedang","Mahal"))</f>
        <v/>
      </c>
    </row>
    <row r="240">
      <c r="A240" s="2" t="n">
        <v>239</v>
      </c>
      <c r="B240" s="2" t="inlineStr">
        <is>
          <t>Toko kopi ong</t>
        </is>
      </c>
      <c r="C240" s="2" t="n">
        <v>25000</v>
      </c>
      <c r="D240" s="2" t="n">
        <v>-7.9512287</v>
      </c>
      <c r="E240" s="2" t="n">
        <v>112.6409309</v>
      </c>
      <c r="F240" s="3">
        <f>(C240 - $B$495) / $B$496</f>
        <v/>
      </c>
      <c r="G240" s="2">
        <f>IF(F240&lt;-0.5,"Murah",IF(F240&lt;0.5,"Sedang","Mahal"))</f>
        <v/>
      </c>
    </row>
    <row r="241">
      <c r="A241" s="2" t="n">
        <v>240</v>
      </c>
      <c r="B241" s="2" t="inlineStr">
        <is>
          <t>Kopi Langit Tuju</t>
        </is>
      </c>
      <c r="C241" s="2" t="n">
        <v>28000</v>
      </c>
      <c r="D241" s="2" t="n">
        <v>-8.001571999999999</v>
      </c>
      <c r="E241" s="2" t="n">
        <v>112.6224141</v>
      </c>
      <c r="F241" s="3">
        <f>(C241 - $B$495) / $B$496</f>
        <v/>
      </c>
      <c r="G241" s="2">
        <f>IF(F241&lt;-0.5,"Murah",IF(F241&lt;0.5,"Sedang","Mahal"))</f>
        <v/>
      </c>
    </row>
    <row r="242">
      <c r="A242" s="2" t="n">
        <v>241</v>
      </c>
      <c r="B242" s="2" t="inlineStr">
        <is>
          <t>Tumbazz Kopi Malang</t>
        </is>
      </c>
      <c r="C242" s="2" t="n">
        <v>31000</v>
      </c>
      <c r="D242" s="2" t="n">
        <v>-7.9724629</v>
      </c>
      <c r="E242" s="2" t="n">
        <v>112.6171911</v>
      </c>
      <c r="F242" s="3">
        <f>(C242 - $B$495) / $B$496</f>
        <v/>
      </c>
      <c r="G242" s="2">
        <f>IF(F242&lt;-0.5,"Murah",IF(F242&lt;0.5,"Sedang","Mahal"))</f>
        <v/>
      </c>
    </row>
    <row r="243">
      <c r="A243" s="2" t="n">
        <v>242</v>
      </c>
      <c r="B243" s="2" t="inlineStr">
        <is>
          <t>Java Dancer Coffee - Jakarta</t>
        </is>
      </c>
      <c r="C243" s="2" t="n">
        <v>150000</v>
      </c>
      <c r="D243" s="2" t="n">
        <v>-7.9654235</v>
      </c>
      <c r="E243" s="2" t="n">
        <v>112.6204469</v>
      </c>
      <c r="F243" s="3">
        <f>(C243 - $B$495) / $B$496</f>
        <v/>
      </c>
      <c r="G243" s="2">
        <f>IF(F243&lt;-0.5,"Murah",IF(F243&lt;0.5,"Sedang","Mahal"))</f>
        <v/>
      </c>
    </row>
    <row r="244">
      <c r="A244" s="2" t="n">
        <v>243</v>
      </c>
      <c r="B244" s="2" t="inlineStr">
        <is>
          <t>Omah Semeru (Toko Kopi)</t>
        </is>
      </c>
      <c r="C244" s="2" t="n">
        <v>20800</v>
      </c>
      <c r="D244" s="2" t="n">
        <v>-7.9779318</v>
      </c>
      <c r="E244" s="2" t="n">
        <v>112.6283844</v>
      </c>
      <c r="F244" s="3">
        <f>(C244 - $B$495) / $B$496</f>
        <v/>
      </c>
      <c r="G244" s="2">
        <f>IF(F244&lt;-0.5,"Murah",IF(F244&lt;0.5,"Sedang","Mahal"))</f>
        <v/>
      </c>
    </row>
    <row r="245">
      <c r="A245" s="2" t="n">
        <v>244</v>
      </c>
      <c r="B245" s="2" t="inlineStr">
        <is>
          <t>Kopi Jokotole</t>
        </is>
      </c>
      <c r="C245" s="2" t="n">
        <v>24000</v>
      </c>
      <c r="D245" s="2" t="n">
        <v>-7.9541526</v>
      </c>
      <c r="E245" s="2" t="n">
        <v>112.6072078</v>
      </c>
      <c r="F245" s="3">
        <f>(C245 - $B$495) / $B$496</f>
        <v/>
      </c>
      <c r="G245" s="2">
        <f>IF(F245&lt;-0.5,"Murah",IF(F245&lt;0.5,"Sedang","Mahal"))</f>
        <v/>
      </c>
    </row>
    <row r="246">
      <c r="A246" s="2" t="n">
        <v>245</v>
      </c>
      <c r="B246" s="2" t="inlineStr">
        <is>
          <t>Toko Kopi Sumber Rejeki Malang</t>
        </is>
      </c>
      <c r="C246" s="2" t="n">
        <v>78000</v>
      </c>
      <c r="D246" s="2" t="n">
        <v>-7.9778812</v>
      </c>
      <c r="E246" s="2" t="n">
        <v>112.62919</v>
      </c>
      <c r="F246" s="3">
        <f>(C246 - $B$495) / $B$496</f>
        <v/>
      </c>
      <c r="G246" s="2">
        <f>IF(F246&lt;-0.5,"Murah",IF(F246&lt;0.5,"Sedang","Mahal"))</f>
        <v/>
      </c>
    </row>
    <row r="247">
      <c r="A247" s="2" t="n">
        <v>246</v>
      </c>
      <c r="B247" s="2" t="inlineStr">
        <is>
          <t>Arah Coffee Gunungan Malang</t>
        </is>
      </c>
      <c r="C247" s="2" t="n">
        <v>418000</v>
      </c>
      <c r="D247" s="2" t="n">
        <v>-7.9712946</v>
      </c>
      <c r="E247" s="2" t="n">
        <v>112.6250533</v>
      </c>
      <c r="F247" s="3">
        <f>(C247 - $B$495) / $B$496</f>
        <v/>
      </c>
      <c r="G247" s="2">
        <f>IF(F247&lt;-0.5,"Murah",IF(F247&lt;0.5,"Sedang","Mahal"))</f>
        <v/>
      </c>
    </row>
    <row r="248">
      <c r="A248" s="2" t="n">
        <v>247</v>
      </c>
      <c r="B248" s="2" t="inlineStr">
        <is>
          <t>toko kopi jaya, klojen</t>
        </is>
      </c>
      <c r="C248" s="2" t="n">
        <v>45000</v>
      </c>
      <c r="D248" s="2" t="n">
        <v>-7.9756</v>
      </c>
      <c r="E248" s="2" t="n">
        <v>112.6366136</v>
      </c>
      <c r="F248" s="3">
        <f>(C248 - $B$495) / $B$496</f>
        <v/>
      </c>
      <c r="G248" s="2">
        <f>IF(F248&lt;-0.5,"Murah",IF(F248&lt;0.5,"Sedang","Mahal"))</f>
        <v/>
      </c>
    </row>
    <row r="249">
      <c r="A249" s="2" t="n">
        <v>248</v>
      </c>
      <c r="B249" s="2" t="inlineStr">
        <is>
          <t>Kopi 1922</t>
        </is>
      </c>
      <c r="C249" s="2" t="n">
        <v>30000</v>
      </c>
      <c r="D249" s="2" t="n">
        <v>-7.9772711</v>
      </c>
      <c r="E249" s="2" t="n">
        <v>112.6276659</v>
      </c>
      <c r="F249" s="3">
        <f>(C249 - $B$495) / $B$496</f>
        <v/>
      </c>
      <c r="G249" s="2">
        <f>IF(F249&lt;-0.5,"Murah",IF(F249&lt;0.5,"Sedang","Mahal"))</f>
        <v/>
      </c>
    </row>
    <row r="250">
      <c r="A250" s="2" t="n">
        <v>249</v>
      </c>
      <c r="B250" s="2" t="inlineStr">
        <is>
          <t>Zocco Heritage</t>
        </is>
      </c>
      <c r="C250" s="2" t="n">
        <v>74000</v>
      </c>
      <c r="D250" s="2" t="n">
        <v>-7.9675614</v>
      </c>
      <c r="E250" s="2" t="n">
        <v>112.6333456</v>
      </c>
      <c r="F250" s="3">
        <f>(C250 - $B$495) / $B$496</f>
        <v/>
      </c>
      <c r="G250" s="2">
        <f>IF(F250&lt;-0.5,"Murah",IF(F250&lt;0.5,"Sedang","Mahal"))</f>
        <v/>
      </c>
    </row>
    <row r="251">
      <c r="A251" s="2" t="n">
        <v>250</v>
      </c>
      <c r="B251" s="2" t="inlineStr">
        <is>
          <t>Rodjo.Kopi</t>
        </is>
      </c>
      <c r="C251" s="2" t="n">
        <v>17000</v>
      </c>
      <c r="D251" s="2" t="n">
        <v>-7.9626916</v>
      </c>
      <c r="E251" s="2" t="n">
        <v>112.6368764</v>
      </c>
      <c r="F251" s="3">
        <f>(C251 - $B$495) / $B$496</f>
        <v/>
      </c>
      <c r="G251" s="2">
        <f>IF(F251&lt;-0.5,"Murah",IF(F251&lt;0.5,"Sedang","Mahal"))</f>
        <v/>
      </c>
    </row>
    <row r="252">
      <c r="A252" s="2" t="n">
        <v>251</v>
      </c>
      <c r="B252" s="2" t="inlineStr">
        <is>
          <t>Toko Kopi Jaya, Ijen</t>
        </is>
      </c>
      <c r="C252" s="2" t="n">
        <v>62000</v>
      </c>
      <c r="D252" s="2" t="n">
        <v>-7.9695022</v>
      </c>
      <c r="E252" s="2" t="n">
        <v>112.6241142</v>
      </c>
      <c r="F252" s="3">
        <f>(C252 - $B$495) / $B$496</f>
        <v/>
      </c>
      <c r="G252" s="2">
        <f>IF(F252&lt;-0.5,"Murah",IF(F252&lt;0.5,"Sedang","Mahal"))</f>
        <v/>
      </c>
    </row>
    <row r="253">
      <c r="A253" s="2" t="n">
        <v>252</v>
      </c>
      <c r="B253" s="2" t="inlineStr">
        <is>
          <t>Gartenhaus Co</t>
        </is>
      </c>
      <c r="C253" s="2" t="n">
        <v>45000</v>
      </c>
      <c r="D253" s="2" t="n">
        <v>-7.9352124</v>
      </c>
      <c r="E253" s="2" t="n">
        <v>112.6119441</v>
      </c>
      <c r="F253" s="3">
        <f>(C253 - $B$495) / $B$496</f>
        <v/>
      </c>
      <c r="G253" s="2">
        <f>IF(F253&lt;-0.5,"Murah",IF(F253&lt;0.5,"Sedang","Mahal"))</f>
        <v/>
      </c>
    </row>
    <row r="254">
      <c r="A254" s="2" t="n">
        <v>253</v>
      </c>
      <c r="B254" s="2" t="inlineStr">
        <is>
          <t>Simpang Luwe Cafe &amp; Resto</t>
        </is>
      </c>
      <c r="C254" s="2" t="n">
        <v>121000</v>
      </c>
      <c r="D254" s="2" t="n">
        <v>-7.9644613</v>
      </c>
      <c r="E254" s="2" t="n">
        <v>112.6352943</v>
      </c>
      <c r="F254" s="3">
        <f>(C254 - $B$495) / $B$496</f>
        <v/>
      </c>
      <c r="G254" s="2">
        <f>IF(F254&lt;-0.5,"Murah",IF(F254&lt;0.5,"Sedang","Mahal"))</f>
        <v/>
      </c>
    </row>
    <row r="255">
      <c r="A255" s="2" t="n">
        <v>254</v>
      </c>
      <c r="B255" s="2" t="inlineStr">
        <is>
          <t>The Arbanat Kitchen Cafe Lounge</t>
        </is>
      </c>
      <c r="C255" s="2" t="n">
        <v>310200</v>
      </c>
      <c r="D255" s="2" t="n">
        <v>-7.9721959</v>
      </c>
      <c r="E255" s="2" t="n">
        <v>112.6071336</v>
      </c>
      <c r="F255" s="3">
        <f>(C255 - $B$495) / $B$496</f>
        <v/>
      </c>
      <c r="G255" s="2">
        <f>IF(F255&lt;-0.5,"Murah",IF(F255&lt;0.5,"Sedang","Mahal"))</f>
        <v/>
      </c>
    </row>
    <row r="256">
      <c r="A256" s="2" t="n">
        <v>255</v>
      </c>
      <c r="B256" s="2" t="inlineStr">
        <is>
          <t>critasena</t>
        </is>
      </c>
      <c r="C256" s="2" t="n">
        <v>87780</v>
      </c>
      <c r="D256" s="2" t="n">
        <v>-7.9758078</v>
      </c>
      <c r="E256" s="2" t="n">
        <v>112.6316331</v>
      </c>
      <c r="F256" s="3">
        <f>(C256 - $B$495) / $B$496</f>
        <v/>
      </c>
      <c r="G256" s="2">
        <f>IF(F256&lt;-0.5,"Murah",IF(F256&lt;0.5,"Sedang","Mahal"))</f>
        <v/>
      </c>
    </row>
    <row r="257">
      <c r="A257" s="2" t="n">
        <v>256</v>
      </c>
      <c r="B257" s="2" t="inlineStr">
        <is>
          <t>Koat Kopi Malang</t>
        </is>
      </c>
      <c r="C257" s="2" t="n">
        <v>41600</v>
      </c>
      <c r="D257" s="2" t="n">
        <v>-7.9512165</v>
      </c>
      <c r="E257" s="2" t="n">
        <v>112.6059918</v>
      </c>
      <c r="F257" s="3">
        <f>(C257 - $B$495) / $B$496</f>
        <v/>
      </c>
      <c r="G257" s="2">
        <f>IF(F257&lt;-0.5,"Murah",IF(F257&lt;0.5,"Sedang","Mahal"))</f>
        <v/>
      </c>
    </row>
    <row r="258">
      <c r="A258" s="2" t="n">
        <v>257</v>
      </c>
      <c r="B258" s="2" t="inlineStr">
        <is>
          <t>BARAKA.MALANG</t>
        </is>
      </c>
      <c r="C258" s="2" t="n">
        <v>20500</v>
      </c>
      <c r="D258" s="2" t="n">
        <v>-7.9626665</v>
      </c>
      <c r="E258" s="2" t="n">
        <v>112.6315188</v>
      </c>
      <c r="F258" s="3">
        <f>(C258 - $B$495) / $B$496</f>
        <v/>
      </c>
      <c r="G258" s="2">
        <f>IF(F258&lt;-0.5,"Murah",IF(F258&lt;0.5,"Sedang","Mahal"))</f>
        <v/>
      </c>
    </row>
    <row r="259">
      <c r="A259" s="2" t="n">
        <v>258</v>
      </c>
      <c r="B259" s="2" t="inlineStr">
        <is>
          <t>Semusim Cafe</t>
        </is>
      </c>
      <c r="C259" s="2" t="n">
        <v>63900</v>
      </c>
      <c r="D259" s="2" t="n">
        <v>-7.9471786</v>
      </c>
      <c r="E259" s="2" t="n">
        <v>112.6134383</v>
      </c>
      <c r="F259" s="3">
        <f>(C259 - $B$495) / $B$496</f>
        <v/>
      </c>
      <c r="G259" s="2">
        <f>IF(F259&lt;-0.5,"Murah",IF(F259&lt;0.5,"Sedang","Mahal"))</f>
        <v/>
      </c>
    </row>
    <row r="260">
      <c r="A260" s="2" t="n">
        <v>259</v>
      </c>
      <c r="B260" s="2" t="inlineStr">
        <is>
          <t>Kopi Wojo Malang</t>
        </is>
      </c>
      <c r="C260" s="2" t="n">
        <v>30000</v>
      </c>
      <c r="D260" s="2" t="n">
        <v>-7.9789938</v>
      </c>
      <c r="E260" s="2" t="n">
        <v>112.6287977</v>
      </c>
      <c r="F260" s="3">
        <f>(C260 - $B$495) / $B$496</f>
        <v/>
      </c>
      <c r="G260" s="2">
        <f>IF(F260&lt;-0.5,"Murah",IF(F260&lt;0.5,"Sedang","Mahal"))</f>
        <v/>
      </c>
    </row>
    <row r="261">
      <c r="A261" s="2" t="n">
        <v>260</v>
      </c>
      <c r="B261" s="2" t="inlineStr">
        <is>
          <t>Love Coffee</t>
        </is>
      </c>
      <c r="C261" s="2" t="n">
        <v>28000</v>
      </c>
      <c r="D261" s="2" t="n">
        <v>-8.037651200000001</v>
      </c>
      <c r="E261" s="2" t="n">
        <v>112.639769</v>
      </c>
      <c r="F261" s="3">
        <f>(C261 - $B$495) / $B$496</f>
        <v/>
      </c>
      <c r="G261" s="2">
        <f>IF(F261&lt;-0.5,"Murah",IF(F261&lt;0.5,"Sedang","Mahal"))</f>
        <v/>
      </c>
    </row>
    <row r="262">
      <c r="A262" s="2" t="n">
        <v>261</v>
      </c>
      <c r="B262" s="2" t="inlineStr">
        <is>
          <t>Kopi Dampit / Toko Nava</t>
        </is>
      </c>
      <c r="C262" s="2" t="n">
        <v>6000</v>
      </c>
      <c r="D262" s="2" t="n">
        <v>-7.946182</v>
      </c>
      <c r="E262" s="2" t="n">
        <v>112.6321538</v>
      </c>
      <c r="F262" s="3">
        <f>(C262 - $B$495) / $B$496</f>
        <v/>
      </c>
      <c r="G262" s="2">
        <f>IF(F262&lt;-0.5,"Murah",IF(F262&lt;0.5,"Sedang","Mahal"))</f>
        <v/>
      </c>
    </row>
    <row r="263">
      <c r="A263" s="2" t="n">
        <v>262</v>
      </c>
      <c r="B263" s="2" t="inlineStr">
        <is>
          <t>Kedai Kopi Omah Kayu</t>
        </is>
      </c>
      <c r="C263" s="2" t="n">
        <v>17500</v>
      </c>
      <c r="D263" s="2" t="n">
        <v>-7.9553164</v>
      </c>
      <c r="E263" s="2" t="n">
        <v>112.607666</v>
      </c>
      <c r="F263" s="3">
        <f>(C263 - $B$495) / $B$496</f>
        <v/>
      </c>
      <c r="G263" s="2">
        <f>IF(F263&lt;-0.5,"Murah",IF(F263&lt;0.5,"Sedang","Mahal"))</f>
        <v/>
      </c>
    </row>
    <row r="264">
      <c r="A264" s="2" t="n">
        <v>263</v>
      </c>
      <c r="B264" s="2" t="inlineStr">
        <is>
          <t>kedai 90 rohani</t>
        </is>
      </c>
      <c r="C264" s="2" t="n">
        <v>42000</v>
      </c>
      <c r="D264" s="2" t="n">
        <v>-7.9599702</v>
      </c>
      <c r="E264" s="2" t="n">
        <v>112.6428413</v>
      </c>
      <c r="F264" s="3">
        <f>(C264 - $B$495) / $B$496</f>
        <v/>
      </c>
      <c r="G264" s="2">
        <f>IF(F264&lt;-0.5,"Murah",IF(F264&lt;0.5,"Sedang","Mahal"))</f>
        <v/>
      </c>
    </row>
    <row r="265">
      <c r="A265" s="2" t="n">
        <v>264</v>
      </c>
      <c r="B265" s="2" t="inlineStr">
        <is>
          <t>Toko Kopi Sidomukti</t>
        </is>
      </c>
      <c r="C265" s="2" t="n">
        <v>10000</v>
      </c>
      <c r="D265" s="2" t="n">
        <v>-7.9855007</v>
      </c>
      <c r="E265" s="2" t="n">
        <v>112.630972</v>
      </c>
      <c r="F265" s="3">
        <f>(C265 - $B$495) / $B$496</f>
        <v/>
      </c>
      <c r="G265" s="2">
        <f>IF(F265&lt;-0.5,"Murah",IF(F265&lt;0.5,"Sedang","Mahal"))</f>
        <v/>
      </c>
    </row>
    <row r="266">
      <c r="A266" s="2" t="n">
        <v>265</v>
      </c>
      <c r="B266" s="2" t="inlineStr">
        <is>
          <t>Kedai Kopi Kalimetro</t>
        </is>
      </c>
      <c r="C266" s="2" t="n">
        <v>74000</v>
      </c>
      <c r="D266" s="2" t="n">
        <v>-7.9494707</v>
      </c>
      <c r="E266" s="2" t="n">
        <v>112.6022691</v>
      </c>
      <c r="F266" s="3">
        <f>(C266 - $B$495) / $B$496</f>
        <v/>
      </c>
      <c r="G266" s="2">
        <f>IF(F266&lt;-0.5,"Murah",IF(F266&lt;0.5,"Sedang","Mahal"))</f>
        <v/>
      </c>
    </row>
    <row r="267">
      <c r="A267" s="2" t="n">
        <v>266</v>
      </c>
      <c r="B267" s="2" t="inlineStr">
        <is>
          <t>Berkat Terang Jaya</t>
        </is>
      </c>
      <c r="C267" s="2" t="n">
        <v>30000</v>
      </c>
      <c r="D267" s="2" t="n">
        <v>-7.9708599</v>
      </c>
      <c r="E267" s="2" t="n">
        <v>112.631363</v>
      </c>
      <c r="F267" s="3">
        <f>(C267 - $B$495) / $B$496</f>
        <v/>
      </c>
      <c r="G267" s="2">
        <f>IF(F267&lt;-0.5,"Murah",IF(F267&lt;0.5,"Sedang","Mahal"))</f>
        <v/>
      </c>
    </row>
    <row r="268">
      <c r="A268" s="2" t="n">
        <v>267</v>
      </c>
      <c r="B268" s="2" t="inlineStr">
        <is>
          <t>Bedjana Tiny House Coffee</t>
        </is>
      </c>
      <c r="C268" s="2" t="n">
        <v>20000</v>
      </c>
      <c r="D268" s="2" t="n">
        <v>-7.9623915</v>
      </c>
      <c r="E268" s="2" t="n">
        <v>112.629712</v>
      </c>
      <c r="F268" s="3">
        <f>(C268 - $B$495) / $B$496</f>
        <v/>
      </c>
      <c r="G268" s="2">
        <f>IF(F268&lt;-0.5,"Murah",IF(F268&lt;0.5,"Sedang","Mahal"))</f>
        <v/>
      </c>
    </row>
    <row r="269">
      <c r="A269" s="2" t="n">
        <v>268</v>
      </c>
      <c r="B269" s="2" t="inlineStr">
        <is>
          <t>Kedai Kopi Sudah Buka</t>
        </is>
      </c>
      <c r="C269" s="2" t="n">
        <v>24000</v>
      </c>
      <c r="D269" s="2" t="n">
        <v>-7.9853351</v>
      </c>
      <c r="E269" s="2" t="n">
        <v>112.6457775</v>
      </c>
      <c r="F269" s="3">
        <f>(C269 - $B$495) / $B$496</f>
        <v/>
      </c>
      <c r="G269" s="2">
        <f>IF(F269&lt;-0.5,"Murah",IF(F269&lt;0.5,"Sedang","Mahal"))</f>
        <v/>
      </c>
    </row>
    <row r="270">
      <c r="A270" s="2" t="n">
        <v>269</v>
      </c>
      <c r="B270" s="2" t="inlineStr">
        <is>
          <t>Fajar Baru</t>
        </is>
      </c>
      <c r="C270" s="2" t="n">
        <v>18000</v>
      </c>
      <c r="D270" s="2" t="n">
        <v>-7.968808</v>
      </c>
      <c r="E270" s="2" t="n">
        <v>112.6322146</v>
      </c>
      <c r="F270" s="3">
        <f>(C270 - $B$495) / $B$496</f>
        <v/>
      </c>
      <c r="G270" s="2">
        <f>IF(F270&lt;-0.5,"Murah",IF(F270&lt;0.5,"Sedang","Mahal"))</f>
        <v/>
      </c>
    </row>
    <row r="271">
      <c r="A271" s="2" t="n">
        <v>270</v>
      </c>
      <c r="B271" s="2" t="inlineStr">
        <is>
          <t>WARUNG TENANG</t>
        </is>
      </c>
      <c r="C271" s="2" t="n">
        <v>16000</v>
      </c>
      <c r="D271" s="2" t="n">
        <v>-7.9769308</v>
      </c>
      <c r="E271" s="2" t="n">
        <v>112.6308016</v>
      </c>
      <c r="F271" s="3">
        <f>(C271 - $B$495) / $B$496</f>
        <v/>
      </c>
      <c r="G271" s="2">
        <f>IF(F271&lt;-0.5,"Murah",IF(F271&lt;0.5,"Sedang","Mahal"))</f>
        <v/>
      </c>
    </row>
    <row r="272">
      <c r="A272" s="2" t="n">
        <v>271</v>
      </c>
      <c r="B272" s="2" t="inlineStr">
        <is>
          <t>OMAH KANAKOPI</t>
        </is>
      </c>
      <c r="C272" s="2" t="n">
        <v>35000</v>
      </c>
      <c r="D272" s="2" t="n">
        <v>-7.9734826</v>
      </c>
      <c r="E272" s="2" t="n">
        <v>112.6288742</v>
      </c>
      <c r="F272" s="3">
        <f>(C272 - $B$495) / $B$496</f>
        <v/>
      </c>
      <c r="G272" s="2">
        <f>IF(F272&lt;-0.5,"Murah",IF(F272&lt;0.5,"Sedang","Mahal"))</f>
        <v/>
      </c>
    </row>
    <row r="273">
      <c r="A273" s="2" t="n">
        <v>272</v>
      </c>
      <c r="B273" s="2" t="inlineStr">
        <is>
          <t>Toko Kopi Padma Malang</t>
        </is>
      </c>
      <c r="C273" s="2" t="n">
        <v>45000</v>
      </c>
      <c r="D273" s="2" t="n">
        <v>-7.9787477</v>
      </c>
      <c r="E273" s="2" t="n">
        <v>112.6296264</v>
      </c>
      <c r="F273" s="3">
        <f>(C273 - $B$495) / $B$496</f>
        <v/>
      </c>
      <c r="G273" s="2">
        <f>IF(F273&lt;-0.5,"Murah",IF(F273&lt;0.5,"Sedang","Mahal"))</f>
        <v/>
      </c>
    </row>
    <row r="274">
      <c r="A274" s="2" t="n">
        <v>273</v>
      </c>
      <c r="B274" s="2" t="inlineStr">
        <is>
          <t>Bento Kopi UIN Malang</t>
        </is>
      </c>
      <c r="C274" s="2" t="n">
        <v>20500</v>
      </c>
      <c r="D274" s="2" t="n">
        <v>-7.9506244</v>
      </c>
      <c r="E274" s="2" t="n">
        <v>112.6060431</v>
      </c>
      <c r="F274" s="3">
        <f>(C274 - $B$495) / $B$496</f>
        <v/>
      </c>
      <c r="G274" s="2">
        <f>IF(F274&lt;-0.5,"Murah",IF(F274&lt;0.5,"Sedang","Mahal"))</f>
        <v/>
      </c>
    </row>
    <row r="275">
      <c r="A275" s="2" t="n">
        <v>274</v>
      </c>
      <c r="B275" s="2" t="inlineStr">
        <is>
          <t>Kedaikopi_sinarmandiri</t>
        </is>
      </c>
      <c r="C275" s="2" t="n">
        <v>54000</v>
      </c>
      <c r="D275" s="2" t="n">
        <v>-7.9500888</v>
      </c>
      <c r="E275" s="2" t="n">
        <v>112.6390988</v>
      </c>
      <c r="F275" s="3">
        <f>(C275 - $B$495) / $B$496</f>
        <v/>
      </c>
      <c r="G275" s="2">
        <f>IF(F275&lt;-0.5,"Murah",IF(F275&lt;0.5,"Sedang","Mahal"))</f>
        <v/>
      </c>
    </row>
    <row r="276">
      <c r="A276" s="2" t="n">
        <v>275</v>
      </c>
      <c r="B276" s="2" t="inlineStr">
        <is>
          <t>Kopi Satoe Djiwa</t>
        </is>
      </c>
      <c r="C276" s="2" t="n">
        <v>20000</v>
      </c>
      <c r="D276" s="2" t="n">
        <v>-7.9626067</v>
      </c>
      <c r="E276" s="2" t="n">
        <v>112.6136177</v>
      </c>
      <c r="F276" s="3">
        <f>(C276 - $B$495) / $B$496</f>
        <v/>
      </c>
      <c r="G276" s="2">
        <f>IF(F276&lt;-0.5,"Murah",IF(F276&lt;0.5,"Sedang","Mahal"))</f>
        <v/>
      </c>
    </row>
    <row r="277">
      <c r="A277" s="2" t="n">
        <v>276</v>
      </c>
      <c r="B277" s="2" t="inlineStr">
        <is>
          <t>Kopi Letek</t>
        </is>
      </c>
      <c r="C277" s="2" t="n">
        <v>25000</v>
      </c>
      <c r="D277" s="2" t="n">
        <v>-7.8713192</v>
      </c>
      <c r="E277" s="2" t="n">
        <v>112.527729</v>
      </c>
      <c r="F277" s="3">
        <f>(C277 - $B$495) / $B$496</f>
        <v/>
      </c>
      <c r="G277" s="2">
        <f>IF(F277&lt;-0.5,"Murah",IF(F277&lt;0.5,"Sedang","Mahal"))</f>
        <v/>
      </c>
    </row>
    <row r="278">
      <c r="A278" s="2" t="n">
        <v>277</v>
      </c>
      <c r="B278" s="2" t="inlineStr">
        <is>
          <t>Toko Kopi Mandala - Tidar</t>
        </is>
      </c>
      <c r="C278" s="2" t="n">
        <v>23000</v>
      </c>
      <c r="D278" s="2" t="n">
        <v>-7.9654282</v>
      </c>
      <c r="E278" s="2" t="n">
        <v>112.6036744</v>
      </c>
      <c r="F278" s="3">
        <f>(C278 - $B$495) / $B$496</f>
        <v/>
      </c>
      <c r="G278" s="2">
        <f>IF(F278&lt;-0.5,"Murah",IF(F278&lt;0.5,"Sedang","Mahal"))</f>
        <v/>
      </c>
    </row>
    <row r="279">
      <c r="A279" s="2" t="n">
        <v>278</v>
      </c>
      <c r="B279" s="2" t="inlineStr">
        <is>
          <t>Starbucks Malang Ijen</t>
        </is>
      </c>
      <c r="C279" s="2" t="n">
        <v>395000</v>
      </c>
      <c r="D279" s="2" t="n">
        <v>-7.9646236</v>
      </c>
      <c r="E279" s="2" t="n">
        <v>112.6252156</v>
      </c>
      <c r="F279" s="3">
        <f>(C279 - $B$495) / $B$496</f>
        <v/>
      </c>
      <c r="G279" s="2">
        <f>IF(F279&lt;-0.5,"Murah",IF(F279&lt;0.5,"Sedang","Mahal"))</f>
        <v/>
      </c>
    </row>
    <row r="280">
      <c r="A280" s="2" t="n">
        <v>279</v>
      </c>
      <c r="B280" s="2" t="inlineStr">
        <is>
          <t>Markas kopi ngalam asli</t>
        </is>
      </c>
      <c r="C280" s="2" t="n">
        <v>22000</v>
      </c>
      <c r="D280" s="2" t="n">
        <v>-7.9652478</v>
      </c>
      <c r="E280" s="2" t="n">
        <v>112.6327684</v>
      </c>
      <c r="F280" s="3">
        <f>(C280 - $B$495) / $B$496</f>
        <v/>
      </c>
      <c r="G280" s="2">
        <f>IF(F280&lt;-0.5,"Murah",IF(F280&lt;0.5,"Sedang","Mahal"))</f>
        <v/>
      </c>
    </row>
    <row r="281">
      <c r="A281" s="2" t="n">
        <v>280</v>
      </c>
      <c r="B281" s="2" t="inlineStr">
        <is>
          <t>Kopi Lokal</t>
        </is>
      </c>
      <c r="C281" s="2" t="n">
        <v>23000</v>
      </c>
      <c r="D281" s="2" t="n">
        <v>-7.9338316</v>
      </c>
      <c r="E281" s="2" t="n">
        <v>112.6295485</v>
      </c>
      <c r="F281" s="3">
        <f>(C281 - $B$495) / $B$496</f>
        <v/>
      </c>
      <c r="G281" s="2">
        <f>IF(F281&lt;-0.5,"Murah",IF(F281&lt;0.5,"Sedang","Mahal"))</f>
        <v/>
      </c>
    </row>
    <row r="282">
      <c r="A282" s="2" t="n">
        <v>281</v>
      </c>
      <c r="B282" s="2" t="inlineStr">
        <is>
          <t>Nogo Keling</t>
        </is>
      </c>
      <c r="C282" s="2" t="n">
        <v>31000</v>
      </c>
      <c r="D282" s="2" t="n">
        <v>-7.9861902</v>
      </c>
      <c r="E282" s="2" t="n">
        <v>112.6330785</v>
      </c>
      <c r="F282" s="3">
        <f>(C282 - $B$495) / $B$496</f>
        <v/>
      </c>
      <c r="G282" s="2">
        <f>IF(F282&lt;-0.5,"Murah",IF(F282&lt;0.5,"Sedang","Mahal"))</f>
        <v/>
      </c>
    </row>
    <row r="283">
      <c r="A283" s="2" t="n">
        <v>282</v>
      </c>
      <c r="B283" s="2" t="inlineStr">
        <is>
          <t>HEYDAY KOPI</t>
        </is>
      </c>
      <c r="C283" s="2" t="n">
        <v>56250</v>
      </c>
      <c r="D283" s="2" t="n">
        <v>-7.9637359</v>
      </c>
      <c r="E283" s="2" t="n">
        <v>112.6370004</v>
      </c>
      <c r="F283" s="3">
        <f>(C283 - $B$495) / $B$496</f>
        <v/>
      </c>
      <c r="G283" s="2">
        <f>IF(F283&lt;-0.5,"Murah",IF(F283&lt;0.5,"Sedang","Mahal"))</f>
        <v/>
      </c>
    </row>
    <row r="284">
      <c r="A284" s="2" t="n">
        <v>283</v>
      </c>
      <c r="B284" s="2" t="inlineStr">
        <is>
          <t>Kedai Pendjoeal Kopi</t>
        </is>
      </c>
      <c r="C284" s="2" t="n">
        <v>20000</v>
      </c>
      <c r="D284" s="2" t="n">
        <v>-7.9630007</v>
      </c>
      <c r="E284" s="2" t="n">
        <v>112.6324473</v>
      </c>
      <c r="F284" s="3">
        <f>(C284 - $B$495) / $B$496</f>
        <v/>
      </c>
      <c r="G284" s="2">
        <f>IF(F284&lt;-0.5,"Murah",IF(F284&lt;0.5,"Sedang","Mahal"))</f>
        <v/>
      </c>
    </row>
    <row r="285">
      <c r="A285" s="2" t="n">
        <v>284</v>
      </c>
      <c r="B285" s="2" t="inlineStr">
        <is>
          <t>Kedai Kopi Tumapel</t>
        </is>
      </c>
      <c r="C285" s="2" t="n">
        <v>13000</v>
      </c>
      <c r="D285" s="2" t="n">
        <v>-7.9780159</v>
      </c>
      <c r="E285" s="2" t="n">
        <v>112.6319489</v>
      </c>
      <c r="F285" s="3">
        <f>(C285 - $B$495) / $B$496</f>
        <v/>
      </c>
      <c r="G285" s="2">
        <f>IF(F285&lt;-0.5,"Murah",IF(F285&lt;0.5,"Sedang","Mahal"))</f>
        <v/>
      </c>
    </row>
    <row r="286">
      <c r="A286" s="2" t="n">
        <v>285</v>
      </c>
      <c r="B286" s="2" t="inlineStr">
        <is>
          <t>Kedai Kopi Oro,oro</t>
        </is>
      </c>
      <c r="C286" s="2" t="n">
        <v>30000</v>
      </c>
      <c r="D286" s="2" t="n">
        <v>-7.9665839</v>
      </c>
      <c r="E286" s="2" t="n">
        <v>112.6286445</v>
      </c>
      <c r="F286" s="3">
        <f>(C286 - $B$495) / $B$496</f>
        <v/>
      </c>
      <c r="G286" s="2">
        <f>IF(F286&lt;-0.5,"Murah",IF(F286&lt;0.5,"Sedang","Mahal"))</f>
        <v/>
      </c>
    </row>
    <row r="287">
      <c r="A287" s="2" t="n">
        <v>286</v>
      </c>
      <c r="B287" s="2" t="inlineStr">
        <is>
          <t>Swara Malang</t>
        </is>
      </c>
      <c r="C287" s="2" t="n">
        <v>19500</v>
      </c>
      <c r="D287" s="2" t="n">
        <v>-7.9459517</v>
      </c>
      <c r="E287" s="2" t="n">
        <v>112.6124339</v>
      </c>
      <c r="F287" s="3">
        <f>(C287 - $B$495) / $B$496</f>
        <v/>
      </c>
      <c r="G287" s="2">
        <f>IF(F287&lt;-0.5,"Murah",IF(F287&lt;0.5,"Sedang","Mahal"))</f>
        <v/>
      </c>
    </row>
    <row r="288">
      <c r="A288" s="2" t="n">
        <v>287</v>
      </c>
      <c r="B288" s="2" t="inlineStr">
        <is>
          <t>KEDAI DARAT COFFEE</t>
        </is>
      </c>
      <c r="C288" s="2" t="n">
        <v>12000</v>
      </c>
      <c r="D288" s="2" t="n">
        <v>-7.9650882</v>
      </c>
      <c r="E288" s="2" t="n">
        <v>112.6327033</v>
      </c>
      <c r="F288" s="3">
        <f>(C288 - $B$495) / $B$496</f>
        <v/>
      </c>
      <c r="G288" s="2">
        <f>IF(F288&lt;-0.5,"Murah",IF(F288&lt;0.5,"Sedang","Mahal"))</f>
        <v/>
      </c>
    </row>
    <row r="289">
      <c r="A289" s="2" t="n">
        <v>288</v>
      </c>
      <c r="B289" s="2" t="inlineStr">
        <is>
          <t>SUJIWA KOPI</t>
        </is>
      </c>
      <c r="C289" s="2" t="n">
        <v>16000</v>
      </c>
      <c r="D289" s="2" t="n">
        <v>-7.9571661</v>
      </c>
      <c r="E289" s="2" t="n">
        <v>112.6387779</v>
      </c>
      <c r="F289" s="3">
        <f>(C289 - $B$495) / $B$496</f>
        <v/>
      </c>
      <c r="G289" s="2">
        <f>IF(F289&lt;-0.5,"Murah",IF(F289&lt;0.5,"Sedang","Mahal"))</f>
        <v/>
      </c>
    </row>
    <row r="290">
      <c r="A290" s="2" t="n">
        <v>289</v>
      </c>
      <c r="B290" s="2" t="inlineStr">
        <is>
          <t>Toko Kopi SWJ</t>
        </is>
      </c>
      <c r="C290" s="2" t="n">
        <v>45000</v>
      </c>
      <c r="D290" s="2" t="n">
        <v>-7.9691747</v>
      </c>
      <c r="E290" s="2" t="n">
        <v>112.6365003</v>
      </c>
      <c r="F290" s="3">
        <f>(C290 - $B$495) / $B$496</f>
        <v/>
      </c>
      <c r="G290" s="2">
        <f>IF(F290&lt;-0.5,"Murah",IF(F290&lt;0.5,"Sedang","Mahal"))</f>
        <v/>
      </c>
    </row>
    <row r="291">
      <c r="A291" s="2" t="n">
        <v>290</v>
      </c>
      <c r="B291" s="2" t="inlineStr">
        <is>
          <t>POS KOPI 58</t>
        </is>
      </c>
      <c r="C291" s="2" t="n">
        <v>59000</v>
      </c>
      <c r="D291" s="2" t="n">
        <v>-7.971476</v>
      </c>
      <c r="E291" s="2" t="n">
        <v>112.6403702</v>
      </c>
      <c r="F291" s="3">
        <f>(C291 - $B$495) / $B$496</f>
        <v/>
      </c>
      <c r="G291" s="2">
        <f>IF(F291&lt;-0.5,"Murah",IF(F291&lt;0.5,"Sedang","Mahal"))</f>
        <v/>
      </c>
    </row>
    <row r="292">
      <c r="A292" s="2" t="n">
        <v>291</v>
      </c>
      <c r="B292" s="2" t="inlineStr">
        <is>
          <t>WARUNG KOPI JON</t>
        </is>
      </c>
      <c r="C292" s="2" t="n">
        <v>56000</v>
      </c>
      <c r="D292" s="2" t="n">
        <v>-7.9970448</v>
      </c>
      <c r="E292" s="2" t="n">
        <v>112.6191967</v>
      </c>
      <c r="F292" s="3">
        <f>(C292 - $B$495) / $B$496</f>
        <v/>
      </c>
      <c r="G292" s="2">
        <f>IF(F292&lt;-0.5,"Murah",IF(F292&lt;0.5,"Sedang","Mahal"))</f>
        <v/>
      </c>
    </row>
    <row r="293">
      <c r="A293" s="2" t="n">
        <v>292</v>
      </c>
      <c r="B293" s="2" t="inlineStr">
        <is>
          <t>Kopi Maeda Malang</t>
        </is>
      </c>
      <c r="C293" s="2" t="n">
        <v>30000</v>
      </c>
      <c r="D293" s="2" t="n">
        <v>-7.9897247</v>
      </c>
      <c r="E293" s="2" t="n">
        <v>112.6169266</v>
      </c>
      <c r="F293" s="3">
        <f>(C293 - $B$495) / $B$496</f>
        <v/>
      </c>
      <c r="G293" s="2">
        <f>IF(F293&lt;-0.5,"Murah",IF(F293&lt;0.5,"Sedang","Mahal"))</f>
        <v/>
      </c>
    </row>
    <row r="294">
      <c r="A294" s="2" t="n">
        <v>293</v>
      </c>
      <c r="B294" s="2" t="inlineStr">
        <is>
          <t>Kedai Kopi K26</t>
        </is>
      </c>
      <c r="C294" s="2" t="n">
        <v>53000</v>
      </c>
      <c r="D294" s="2" t="n">
        <v>-7.9722817</v>
      </c>
      <c r="E294" s="2" t="n">
        <v>112.6415935</v>
      </c>
      <c r="F294" s="3">
        <f>(C294 - $B$495) / $B$496</f>
        <v/>
      </c>
      <c r="G294" s="2">
        <f>IF(F294&lt;-0.5,"Murah",IF(F294&lt;0.5,"Sedang","Mahal"))</f>
        <v/>
      </c>
    </row>
    <row r="295">
      <c r="A295" s="2" t="n">
        <v>294</v>
      </c>
      <c r="B295" s="2" t="inlineStr">
        <is>
          <t>Biji Kopi Malang</t>
        </is>
      </c>
      <c r="C295" s="2" t="n">
        <v>225000</v>
      </c>
      <c r="D295" s="2" t="n">
        <v>-7.9549148</v>
      </c>
      <c r="E295" s="2" t="n">
        <v>112.6609754</v>
      </c>
      <c r="F295" s="3">
        <f>(C295 - $B$495) / $B$496</f>
        <v/>
      </c>
      <c r="G295" s="2">
        <f>IF(F295&lt;-0.5,"Murah",IF(F295&lt;0.5,"Sedang","Mahal"))</f>
        <v/>
      </c>
    </row>
    <row r="296">
      <c r="A296" s="2" t="n">
        <v>295</v>
      </c>
      <c r="B296" s="2" t="inlineStr">
        <is>
          <t>Kedai Kopi Cahaya Baru 2</t>
        </is>
      </c>
      <c r="C296" s="2" t="n">
        <v>42000</v>
      </c>
      <c r="D296" s="2" t="n">
        <v>-7.9758239</v>
      </c>
      <c r="E296" s="2" t="n">
        <v>112.6368805</v>
      </c>
      <c r="F296" s="3">
        <f>(C296 - $B$495) / $B$496</f>
        <v/>
      </c>
      <c r="G296" s="2">
        <f>IF(F296&lt;-0.5,"Murah",IF(F296&lt;0.5,"Sedang","Mahal"))</f>
        <v/>
      </c>
    </row>
    <row r="297">
      <c r="A297" s="2" t="n">
        <v>296</v>
      </c>
      <c r="B297" s="2" t="inlineStr">
        <is>
          <t>Kedai Kopi &amp; Buku Bintang Kecil</t>
        </is>
      </c>
      <c r="C297" s="2" t="n">
        <v>12000</v>
      </c>
      <c r="D297" s="2" t="n">
        <v>-7.9613586</v>
      </c>
      <c r="E297" s="2" t="n">
        <v>112.6135642</v>
      </c>
      <c r="F297" s="3">
        <f>(C297 - $B$495) / $B$496</f>
        <v/>
      </c>
      <c r="G297" s="2">
        <f>IF(F297&lt;-0.5,"Murah",IF(F297&lt;0.5,"Sedang","Mahal"))</f>
        <v/>
      </c>
    </row>
    <row r="298">
      <c r="A298" s="2" t="n">
        <v>297</v>
      </c>
      <c r="B298" s="2" t="inlineStr">
        <is>
          <t>Kedai Kopi Sriwedari</t>
        </is>
      </c>
      <c r="C298" s="2" t="n">
        <v>72000</v>
      </c>
      <c r="D298" s="2" t="n">
        <v>-7.9638781</v>
      </c>
      <c r="E298" s="2" t="n">
        <v>112.6271649</v>
      </c>
      <c r="F298" s="3">
        <f>(C298 - $B$495) / $B$496</f>
        <v/>
      </c>
      <c r="G298" s="2">
        <f>IF(F298&lt;-0.5,"Murah",IF(F298&lt;0.5,"Sedang","Mahal"))</f>
        <v/>
      </c>
    </row>
    <row r="299">
      <c r="A299" s="2" t="n">
        <v>298</v>
      </c>
      <c r="B299" s="2" t="inlineStr">
        <is>
          <t>Kopi Perempat</t>
        </is>
      </c>
      <c r="C299" s="2" t="n">
        <v>18000</v>
      </c>
      <c r="D299" s="2" t="n">
        <v>-7.9762898</v>
      </c>
      <c r="E299" s="2" t="n">
        <v>112.6286736</v>
      </c>
      <c r="F299" s="3">
        <f>(C299 - $B$495) / $B$496</f>
        <v/>
      </c>
      <c r="G299" s="2">
        <f>IF(F299&lt;-0.5,"Murah",IF(F299&lt;0.5,"Sedang","Mahal"))</f>
        <v/>
      </c>
    </row>
    <row r="300">
      <c r="A300" s="2" t="n">
        <v>299</v>
      </c>
      <c r="B300" s="2" t="inlineStr">
        <is>
          <t>Warteg Kharisma Bahari Signature - Arief Rahman Hakim</t>
        </is>
      </c>
      <c r="C300" s="2" t="n">
        <v>17500</v>
      </c>
      <c r="D300" s="2" t="n">
        <v>-7.2894712</v>
      </c>
      <c r="E300" s="2" t="n">
        <v>112.777861</v>
      </c>
      <c r="F300" s="3">
        <f>(C300 - $B$495) / $B$496</f>
        <v/>
      </c>
      <c r="G300" s="2">
        <f>IF(F300&lt;-0.5,"Murah",IF(F300&lt;0.5,"Sedang","Mahal"))</f>
        <v/>
      </c>
    </row>
    <row r="301">
      <c r="A301" s="2" t="n">
        <v>300</v>
      </c>
      <c r="B301" s="2" t="inlineStr">
        <is>
          <t>Warteg Orens Bahari 150 - Semolowaru</t>
        </is>
      </c>
      <c r="C301" s="2" t="n">
        <v>13000</v>
      </c>
      <c r="D301" s="2" t="n">
        <v>-7.301198</v>
      </c>
      <c r="E301" s="2" t="n">
        <v>112.78099</v>
      </c>
      <c r="F301" s="3">
        <f>(C301 - $B$495) / $B$496</f>
        <v/>
      </c>
      <c r="G301" s="2">
        <f>IF(F301&lt;-0.5,"Murah",IF(F301&lt;0.5,"Sedang","Mahal"))</f>
        <v/>
      </c>
    </row>
    <row r="302">
      <c r="A302" s="2" t="n">
        <v>301</v>
      </c>
      <c r="B302" s="2" t="inlineStr">
        <is>
          <t>Warteg Putri Sami Asih Semolowaru</t>
        </is>
      </c>
      <c r="C302" s="2" t="n">
        <v>84000</v>
      </c>
      <c r="D302" s="2" t="n">
        <v>-7.3001417</v>
      </c>
      <c r="E302" s="2" t="n">
        <v>112.7732699</v>
      </c>
      <c r="F302" s="3">
        <f>(C302 - $B$495) / $B$496</f>
        <v/>
      </c>
      <c r="G302" s="2">
        <f>IF(F302&lt;-0.5,"Murah",IF(F302&lt;0.5,"Sedang","Mahal"))</f>
        <v/>
      </c>
    </row>
    <row r="303">
      <c r="A303" s="2" t="n">
        <v>302</v>
      </c>
      <c r="B303" s="2" t="inlineStr">
        <is>
          <t>Warteg Bu Erni</t>
        </is>
      </c>
      <c r="C303" s="2" t="n">
        <v>25000</v>
      </c>
      <c r="D303" s="2" t="n">
        <v>-7.2897826</v>
      </c>
      <c r="E303" s="2" t="n">
        <v>112.7833198</v>
      </c>
      <c r="F303" s="3">
        <f>(C303 - $B$495) / $B$496</f>
        <v/>
      </c>
      <c r="G303" s="2">
        <f>IF(F303&lt;-0.5,"Murah",IF(F303&lt;0.5,"Sedang","Mahal"))</f>
        <v/>
      </c>
    </row>
    <row r="304">
      <c r="A304" s="2" t="n">
        <v>303</v>
      </c>
      <c r="B304" s="2" t="inlineStr">
        <is>
          <t>Warung Tegal Gebang</t>
        </is>
      </c>
      <c r="C304" s="2" t="n">
        <v>18500</v>
      </c>
      <c r="D304" s="2" t="n">
        <v>-7.280286</v>
      </c>
      <c r="E304" s="2" t="n">
        <v>112.78965</v>
      </c>
      <c r="F304" s="3">
        <f>(C304 - $B$495) / $B$496</f>
        <v/>
      </c>
      <c r="G304" s="2">
        <f>IF(F304&lt;-0.5,"Murah",IF(F304&lt;0.5,"Sedang","Mahal"))</f>
        <v/>
      </c>
    </row>
    <row r="305">
      <c r="A305" s="2" t="n">
        <v>304</v>
      </c>
      <c r="B305" s="2" t="inlineStr">
        <is>
          <t>Warteg Kekinian</t>
        </is>
      </c>
      <c r="C305" s="2" t="n">
        <v>17500</v>
      </c>
      <c r="D305" s="2" t="n">
        <v>-7.3097583</v>
      </c>
      <c r="E305" s="2" t="n">
        <v>112.7812869</v>
      </c>
      <c r="F305" s="3">
        <f>(C305 - $B$495) / $B$496</f>
        <v/>
      </c>
      <c r="G305" s="2">
        <f>IF(F305&lt;-0.5,"Murah",IF(F305&lt;0.5,"Sedang","Mahal"))</f>
        <v/>
      </c>
    </row>
    <row r="306">
      <c r="A306" s="2" t="n">
        <v>305</v>
      </c>
      <c r="B306" s="2" t="inlineStr">
        <is>
          <t>Warung Makan Tegal Aero</t>
        </is>
      </c>
      <c r="C306" s="2" t="n">
        <v>24000</v>
      </c>
      <c r="D306" s="2" t="n">
        <v>-7.272211</v>
      </c>
      <c r="E306" s="2" t="n">
        <v>112.761565</v>
      </c>
      <c r="F306" s="3">
        <f>(C306 - $B$495) / $B$496</f>
        <v/>
      </c>
      <c r="G306" s="2">
        <f>IF(F306&lt;-0.5,"Murah",IF(F306&lt;0.5,"Sedang","Mahal"))</f>
        <v/>
      </c>
    </row>
    <row r="307">
      <c r="A307" s="2" t="n">
        <v>306</v>
      </c>
      <c r="B307" s="2" t="inlineStr">
        <is>
          <t>Warung Makan Tegal Aero Bu. Sarah</t>
        </is>
      </c>
      <c r="C307" s="2" t="n">
        <v>15000</v>
      </c>
      <c r="D307" s="2" t="n">
        <v>-7.2900379</v>
      </c>
      <c r="E307" s="2" t="n">
        <v>112.7974251</v>
      </c>
      <c r="F307" s="3">
        <f>(C307 - $B$495) / $B$496</f>
        <v/>
      </c>
      <c r="G307" s="2">
        <f>IF(F307&lt;-0.5,"Murah",IF(F307&lt;0.5,"Sedang","Mahal"))</f>
        <v/>
      </c>
    </row>
    <row r="308">
      <c r="A308" s="2" t="n">
        <v>307</v>
      </c>
      <c r="B308" s="2" t="inlineStr">
        <is>
          <t>Warteg Sari Rasa 24 Jam Non Stop</t>
        </is>
      </c>
      <c r="C308" s="2" t="n">
        <v>26500</v>
      </c>
      <c r="D308" s="2" t="n">
        <v>-7.9638297</v>
      </c>
      <c r="E308" s="2" t="n">
        <v>112.6136241</v>
      </c>
      <c r="F308" s="3">
        <f>(C308 - $B$495) / $B$496</f>
        <v/>
      </c>
      <c r="G308" s="2">
        <f>IF(F308&lt;-0.5,"Murah",IF(F308&lt;0.5,"Sedang","Mahal"))</f>
        <v/>
      </c>
    </row>
    <row r="309">
      <c r="A309" s="2" t="n">
        <v>308</v>
      </c>
      <c r="B309" s="2" t="inlineStr">
        <is>
          <t>Warteg Mbok Yem</t>
        </is>
      </c>
      <c r="C309" s="2" t="n">
        <v>19000</v>
      </c>
      <c r="D309" s="2" t="n">
        <v>-7.2899901</v>
      </c>
      <c r="E309" s="2" t="n">
        <v>112.776677</v>
      </c>
      <c r="F309" s="3">
        <f>(C309 - $B$495) / $B$496</f>
        <v/>
      </c>
      <c r="G309" s="2">
        <f>IF(F309&lt;-0.5,"Murah",IF(F309&lt;0.5,"Sedang","Mahal"))</f>
        <v/>
      </c>
    </row>
    <row r="310">
      <c r="A310" s="2" t="n">
        <v>309</v>
      </c>
      <c r="B310" s="2" t="inlineStr">
        <is>
          <t>Warteg Sahabat</t>
        </is>
      </c>
      <c r="C310" s="2" t="n">
        <v>10000</v>
      </c>
      <c r="D310" s="2" t="n">
        <v>-7.931382</v>
      </c>
      <c r="E310" s="2" t="n">
        <v>112.5909108</v>
      </c>
      <c r="F310" s="3">
        <f>(C310 - $B$495) / $B$496</f>
        <v/>
      </c>
      <c r="G310" s="2">
        <f>IF(F310&lt;-0.5,"Murah",IF(F310&lt;0.5,"Sedang","Mahal"))</f>
        <v/>
      </c>
    </row>
    <row r="311">
      <c r="A311" s="2" t="n">
        <v>310</v>
      </c>
      <c r="B311" s="2" t="inlineStr">
        <is>
          <t>Warteg Sari Rasa 24 Jam</t>
        </is>
      </c>
      <c r="C311" s="2" t="n">
        <v>26500</v>
      </c>
      <c r="D311" s="2" t="n">
        <v>-7.9593975</v>
      </c>
      <c r="E311" s="2" t="n">
        <v>112.6137169</v>
      </c>
      <c r="F311" s="3">
        <f>(C311 - $B$495) / $B$496</f>
        <v/>
      </c>
      <c r="G311" s="2">
        <f>IF(F311&lt;-0.5,"Murah",IF(F311&lt;0.5,"Sedang","Mahal"))</f>
        <v/>
      </c>
    </row>
    <row r="312">
      <c r="A312" s="2" t="n">
        <v>311</v>
      </c>
      <c r="B312" s="2" t="inlineStr">
        <is>
          <t>Warung Gresik Mbak tien</t>
        </is>
      </c>
      <c r="C312" s="2" t="n">
        <v>15000</v>
      </c>
      <c r="D312" s="2" t="n">
        <v>-7.3002738</v>
      </c>
      <c r="E312" s="2" t="n">
        <v>112.7762199</v>
      </c>
      <c r="F312" s="3">
        <f>(C312 - $B$495) / $B$496</f>
        <v/>
      </c>
      <c r="G312" s="2">
        <f>IF(F312&lt;-0.5,"Murah",IF(F312&lt;0.5,"Sedang","Mahal"))</f>
        <v/>
      </c>
    </row>
    <row r="313">
      <c r="A313" s="2" t="n">
        <v>312</v>
      </c>
      <c r="B313" s="2" t="inlineStr">
        <is>
          <t>WARTEG depan ABM</t>
        </is>
      </c>
      <c r="C313" s="2" t="n">
        <v>27500</v>
      </c>
      <c r="D313" s="2" t="n">
        <v>-7.9419456</v>
      </c>
      <c r="E313" s="2" t="n">
        <v>112.6381312</v>
      </c>
      <c r="F313" s="3">
        <f>(C313 - $B$495) / $B$496</f>
        <v/>
      </c>
      <c r="G313" s="2">
        <f>IF(F313&lt;-0.5,"Murah",IF(F313&lt;0.5,"Sedang","Mahal"))</f>
        <v/>
      </c>
    </row>
    <row r="314">
      <c r="A314" s="2" t="n">
        <v>313</v>
      </c>
      <c r="B314" s="2" t="inlineStr">
        <is>
          <t>Warung Makan Teh Nia</t>
        </is>
      </c>
      <c r="C314" s="2" t="n">
        <v>12000</v>
      </c>
      <c r="D314" s="2" t="n">
        <v>-7.298626</v>
      </c>
      <c r="E314" s="2" t="n">
        <v>112.7758709</v>
      </c>
      <c r="F314" s="3">
        <f>(C314 - $B$495) / $B$496</f>
        <v/>
      </c>
      <c r="G314" s="2">
        <f>IF(F314&lt;-0.5,"Murah",IF(F314&lt;0.5,"Sedang","Mahal"))</f>
        <v/>
      </c>
    </row>
    <row r="315">
      <c r="A315" s="2" t="n">
        <v>314</v>
      </c>
      <c r="B315" s="2" t="inlineStr">
        <is>
          <t>Warteg Candi Panggung Bahari Malang</t>
        </is>
      </c>
      <c r="C315" s="2" t="n">
        <v>17500</v>
      </c>
      <c r="D315" s="2" t="n">
        <v>-7.9377047</v>
      </c>
      <c r="E315" s="2" t="n">
        <v>112.6210545</v>
      </c>
      <c r="F315" s="3">
        <f>(C315 - $B$495) / $B$496</f>
        <v/>
      </c>
      <c r="G315" s="2">
        <f>IF(F315&lt;-0.5,"Murah",IF(F315&lt;0.5,"Sedang","Mahal"))</f>
        <v/>
      </c>
    </row>
    <row r="316">
      <c r="A316" s="2" t="n">
        <v>315</v>
      </c>
      <c r="B316" s="2" t="inlineStr">
        <is>
          <t>Warung Makan Tegal</t>
        </is>
      </c>
      <c r="C316" s="2" t="n">
        <v>18000</v>
      </c>
      <c r="D316" s="2" t="n">
        <v>-7.2892201</v>
      </c>
      <c r="E316" s="2" t="n">
        <v>112.7690061</v>
      </c>
      <c r="F316" s="3">
        <f>(C316 - $B$495) / $B$496</f>
        <v/>
      </c>
      <c r="G316" s="2">
        <f>IF(F316&lt;-0.5,"Murah",IF(F316&lt;0.5,"Sedang","Mahal"))</f>
        <v/>
      </c>
    </row>
    <row r="317">
      <c r="A317" s="2" t="n">
        <v>316</v>
      </c>
      <c r="B317" s="2" t="inlineStr">
        <is>
          <t>Warteg Sarirasa Cab. Simpang Gajayana</t>
        </is>
      </c>
      <c r="C317" s="2" t="n">
        <v>26500</v>
      </c>
      <c r="D317" s="2" t="n">
        <v>-7.9472632</v>
      </c>
      <c r="E317" s="2" t="n">
        <v>112.6055947</v>
      </c>
      <c r="F317" s="3">
        <f>(C317 - $B$495) / $B$496</f>
        <v/>
      </c>
      <c r="G317" s="2">
        <f>IF(F317&lt;-0.5,"Murah",IF(F317&lt;0.5,"Sedang","Mahal"))</f>
        <v/>
      </c>
    </row>
    <row r="318">
      <c r="A318" s="2" t="n">
        <v>317</v>
      </c>
      <c r="B318" s="2" t="inlineStr">
        <is>
          <t>Warung Tegal</t>
        </is>
      </c>
      <c r="C318" s="2" t="n">
        <v>18000</v>
      </c>
      <c r="D318" s="2" t="n">
        <v>-7.9580361</v>
      </c>
      <c r="E318" s="2" t="n">
        <v>112.6098426</v>
      </c>
      <c r="F318" s="3">
        <f>(C318 - $B$495) / $B$496</f>
        <v/>
      </c>
      <c r="G318" s="2">
        <f>IF(F318&lt;-0.5,"Murah",IF(F318&lt;0.5,"Sedang","Mahal"))</f>
        <v/>
      </c>
    </row>
    <row r="319">
      <c r="A319" s="2" t="n">
        <v>318</v>
      </c>
      <c r="B319" s="2" t="inlineStr">
        <is>
          <t>WARTEG DO'I</t>
        </is>
      </c>
      <c r="C319" s="2" t="n">
        <v>20000</v>
      </c>
      <c r="D319" s="2" t="n">
        <v>-7.9530265</v>
      </c>
      <c r="E319" s="2" t="n">
        <v>112.6232169</v>
      </c>
      <c r="F319" s="3">
        <f>(C319 - $B$495) / $B$496</f>
        <v/>
      </c>
      <c r="G319" s="2">
        <f>IF(F319&lt;-0.5,"Murah",IF(F319&lt;0.5,"Sedang","Mahal"))</f>
        <v/>
      </c>
    </row>
    <row r="320">
      <c r="A320" s="2" t="n">
        <v>319</v>
      </c>
      <c r="B320" s="2" t="inlineStr">
        <is>
          <t>Warung Tegal (Warteg) bu marni</t>
        </is>
      </c>
      <c r="C320" s="2" t="n">
        <v>28000</v>
      </c>
      <c r="D320" s="2" t="n">
        <v>-7.9288916</v>
      </c>
      <c r="E320" s="2" t="n">
        <v>112.6080414</v>
      </c>
      <c r="F320" s="3">
        <f>(C320 - $B$495) / $B$496</f>
        <v/>
      </c>
      <c r="G320" s="2">
        <f>IF(F320&lt;-0.5,"Murah",IF(F320&lt;0.5,"Sedang","Mahal"))</f>
        <v/>
      </c>
    </row>
    <row r="321">
      <c r="A321" s="2" t="n">
        <v>320</v>
      </c>
      <c r="B321" s="2" t="inlineStr">
        <is>
          <t>Warteg Sari Rasa</t>
        </is>
      </c>
      <c r="C321" s="2" t="n">
        <v>26500</v>
      </c>
      <c r="D321" s="2" t="n">
        <v>-7.9448281</v>
      </c>
      <c r="E321" s="2" t="n">
        <v>112.6067841</v>
      </c>
      <c r="F321" s="3">
        <f>(C321 - $B$495) / $B$496</f>
        <v/>
      </c>
      <c r="G321" s="2">
        <f>IF(F321&lt;-0.5,"Murah",IF(F321&lt;0.5,"Sedang","Mahal"))</f>
        <v/>
      </c>
    </row>
    <row r="322">
      <c r="A322" s="2" t="n">
        <v>321</v>
      </c>
      <c r="B322" s="2" t="inlineStr">
        <is>
          <t>Warteg sarirasa merjosari 24 jam</t>
        </is>
      </c>
      <c r="C322" s="2" t="n">
        <v>26500</v>
      </c>
      <c r="D322" s="2" t="n">
        <v>-7.942525</v>
      </c>
      <c r="E322" s="2" t="n">
        <v>112.6020425</v>
      </c>
      <c r="F322" s="3">
        <f>(C322 - $B$495) / $B$496</f>
        <v/>
      </c>
      <c r="G322" s="2">
        <f>IF(F322&lt;-0.5,"Murah",IF(F322&lt;0.5,"Sedang","Mahal"))</f>
        <v/>
      </c>
    </row>
    <row r="323">
      <c r="A323" s="2" t="n">
        <v>322</v>
      </c>
      <c r="B323" s="2" t="inlineStr">
        <is>
          <t>Warteg ITA Barokah</t>
        </is>
      </c>
      <c r="C323" s="2" t="n">
        <v>25000</v>
      </c>
      <c r="D323" s="2" t="n">
        <v>-7.3092604</v>
      </c>
      <c r="E323" s="2" t="n">
        <v>112.7781709</v>
      </c>
      <c r="F323" s="3">
        <f>(C323 - $B$495) / $B$496</f>
        <v/>
      </c>
      <c r="G323" s="2">
        <f>IF(F323&lt;-0.5,"Murah",IF(F323&lt;0.5,"Sedang","Mahal"))</f>
        <v/>
      </c>
    </row>
    <row r="324">
      <c r="A324" s="2" t="n">
        <v>323</v>
      </c>
      <c r="B324" s="2" t="inlineStr">
        <is>
          <t>ALMEERA WARTEG</t>
        </is>
      </c>
      <c r="C324" s="2" t="n">
        <v>21500</v>
      </c>
      <c r="D324" s="2" t="n">
        <v>-7.9198328</v>
      </c>
      <c r="E324" s="2" t="n">
        <v>112.5976214</v>
      </c>
      <c r="F324" s="3">
        <f>(C324 - $B$495) / $B$496</f>
        <v/>
      </c>
      <c r="G324" s="2">
        <f>IF(F324&lt;-0.5,"Murah",IF(F324&lt;0.5,"Sedang","Mahal"))</f>
        <v/>
      </c>
    </row>
    <row r="325">
      <c r="A325" s="2" t="n">
        <v>324</v>
      </c>
      <c r="B325" s="2" t="inlineStr">
        <is>
          <t>Warteg mamoka bahari 288</t>
        </is>
      </c>
      <c r="C325" s="2" t="n">
        <v>20000</v>
      </c>
      <c r="D325" s="2" t="n">
        <v>-7.9378561</v>
      </c>
      <c r="E325" s="2" t="n">
        <v>112.6441945</v>
      </c>
      <c r="F325" s="3">
        <f>(C325 - $B$495) / $B$496</f>
        <v/>
      </c>
      <c r="G325" s="2">
        <f>IF(F325&lt;-0.5,"Murah",IF(F325&lt;0.5,"Sedang","Mahal"))</f>
        <v/>
      </c>
    </row>
    <row r="326">
      <c r="A326" s="2" t="n">
        <v>325</v>
      </c>
      <c r="B326" s="2" t="inlineStr">
        <is>
          <t>WARTEG CITRA BARU BAHARI</t>
        </is>
      </c>
      <c r="C326" s="2" t="n">
        <v>17000</v>
      </c>
      <c r="D326" s="2" t="n">
        <v>-7.9247397</v>
      </c>
      <c r="E326" s="2" t="n">
        <v>112.5997255</v>
      </c>
      <c r="F326" s="3">
        <f>(C326 - $B$495) / $B$496</f>
        <v/>
      </c>
      <c r="G326" s="2">
        <f>IF(F326&lt;-0.5,"Murah",IF(F326&lt;0.5,"Sedang","Mahal"))</f>
        <v/>
      </c>
    </row>
    <row r="327">
      <c r="A327" s="2" t="n">
        <v>326</v>
      </c>
      <c r="B327" s="2" t="inlineStr">
        <is>
          <t>Warung Bu Marni Prasmanan</t>
        </is>
      </c>
      <c r="C327" s="2" t="n">
        <v>28000</v>
      </c>
      <c r="D327" s="2" t="n">
        <v>-7.9411244</v>
      </c>
      <c r="E327" s="2" t="n">
        <v>112.6233193</v>
      </c>
      <c r="F327" s="3">
        <f>(C327 - $B$495) / $B$496</f>
        <v/>
      </c>
      <c r="G327" s="2">
        <f>IF(F327&lt;-0.5,"Murah",IF(F327&lt;0.5,"Sedang","Mahal"))</f>
        <v/>
      </c>
    </row>
    <row r="328">
      <c r="A328" s="2" t="n">
        <v>327</v>
      </c>
      <c r="B328" s="2" t="inlineStr">
        <is>
          <t>Warung TEMA</t>
        </is>
      </c>
      <c r="C328" s="2" t="n">
        <v>34500</v>
      </c>
      <c r="D328" s="2" t="n">
        <v>-7.9446846</v>
      </c>
      <c r="E328" s="2" t="n">
        <v>112.6190566</v>
      </c>
      <c r="F328" s="3">
        <f>(C328 - $B$495) / $B$496</f>
        <v/>
      </c>
      <c r="G328" s="2">
        <f>IF(F328&lt;-0.5,"Murah",IF(F328&lt;0.5,"Sedang","Mahal"))</f>
        <v/>
      </c>
    </row>
    <row r="329">
      <c r="A329" s="2" t="n">
        <v>328</v>
      </c>
      <c r="B329" s="2" t="inlineStr">
        <is>
          <t>WARTEG BINTANG RASA</t>
        </is>
      </c>
      <c r="C329" s="2" t="n">
        <v>26500</v>
      </c>
      <c r="D329" s="2" t="n">
        <v>-7.929722</v>
      </c>
      <c r="E329" s="2" t="n">
        <v>112.6340813</v>
      </c>
      <c r="F329" s="3">
        <f>(C329 - $B$495) / $B$496</f>
        <v/>
      </c>
      <c r="G329" s="2">
        <f>IF(F329&lt;-0.5,"Murah",IF(F329&lt;0.5,"Sedang","Mahal"))</f>
        <v/>
      </c>
    </row>
    <row r="330">
      <c r="A330" s="2" t="n">
        <v>329</v>
      </c>
      <c r="B330" s="2" t="inlineStr">
        <is>
          <t>Warteg Nasional Bahari 58</t>
        </is>
      </c>
      <c r="C330" s="2" t="n">
        <v>13000</v>
      </c>
      <c r="D330" s="2" t="n">
        <v>-7.9680694</v>
      </c>
      <c r="E330" s="2" t="n">
        <v>112.6652453</v>
      </c>
      <c r="F330" s="3">
        <f>(C330 - $B$495) / $B$496</f>
        <v/>
      </c>
      <c r="G330" s="2">
        <f>IF(F330&lt;-0.5,"Murah",IF(F330&lt;0.5,"Sedang","Mahal"))</f>
        <v/>
      </c>
    </row>
    <row r="331">
      <c r="A331" s="2" t="n">
        <v>330</v>
      </c>
      <c r="B331" s="2" t="inlineStr">
        <is>
          <t>Warteg Mamoka 245 Dinoyo Malang</t>
        </is>
      </c>
      <c r="C331" s="2" t="n">
        <v>20000</v>
      </c>
      <c r="D331" s="2" t="n">
        <v>-7.9450406</v>
      </c>
      <c r="E331" s="2" t="n">
        <v>112.6074873</v>
      </c>
      <c r="F331" s="3">
        <f>(C331 - $B$495) / $B$496</f>
        <v/>
      </c>
      <c r="G331" s="2">
        <f>IF(F331&lt;-0.5,"Murah",IF(F331&lt;0.5,"Sedang","Mahal"))</f>
        <v/>
      </c>
    </row>
    <row r="332">
      <c r="A332" s="2" t="n">
        <v>331</v>
      </c>
      <c r="B332" s="2" t="inlineStr">
        <is>
          <t>WARTEG MAMOKA BAHARI</t>
        </is>
      </c>
      <c r="C332" s="2" t="n">
        <v>20000</v>
      </c>
      <c r="D332" s="2" t="n">
        <v>-7.955887</v>
      </c>
      <c r="E332" s="2" t="n">
        <v>112.6392404</v>
      </c>
      <c r="F332" s="3">
        <f>(C332 - $B$495) / $B$496</f>
        <v/>
      </c>
      <c r="G332" s="2">
        <f>IF(F332&lt;-0.5,"Murah",IF(F332&lt;0.5,"Sedang","Mahal"))</f>
        <v/>
      </c>
    </row>
    <row r="333">
      <c r="A333" s="2" t="n">
        <v>332</v>
      </c>
      <c r="B333" s="2" t="inlineStr">
        <is>
          <t>Warteg Nasional Bahari 57</t>
        </is>
      </c>
      <c r="C333" s="2" t="n">
        <v>13000</v>
      </c>
      <c r="D333" s="2" t="n">
        <v>-7.936085</v>
      </c>
      <c r="E333" s="2" t="n">
        <v>112.6005172</v>
      </c>
      <c r="F333" s="3">
        <f>(C333 - $B$495) / $B$496</f>
        <v/>
      </c>
      <c r="G333" s="2">
        <f>IF(F333&lt;-0.5,"Murah",IF(F333&lt;0.5,"Sedang","Mahal"))</f>
        <v/>
      </c>
    </row>
    <row r="334">
      <c r="A334" s="2" t="n">
        <v>333</v>
      </c>
      <c r="B334" s="2" t="inlineStr">
        <is>
          <t>Warteg Aruna Bahari Grup</t>
        </is>
      </c>
      <c r="C334" s="2" t="n">
        <v>13000</v>
      </c>
      <c r="D334" s="2" t="n">
        <v>-7.9627317</v>
      </c>
      <c r="E334" s="2" t="n">
        <v>112.6319345</v>
      </c>
      <c r="F334" s="3">
        <f>(C334 - $B$495) / $B$496</f>
        <v/>
      </c>
      <c r="G334" s="2">
        <f>IF(F334&lt;-0.5,"Murah",IF(F334&lt;0.5,"Sedang","Mahal"))</f>
        <v/>
      </c>
    </row>
    <row r="335">
      <c r="A335" s="2" t="n">
        <v>334</v>
      </c>
      <c r="B335" s="2" t="inlineStr">
        <is>
          <t>Warung Makan Tegal Citra Baru</t>
        </is>
      </c>
      <c r="C335" s="2" t="n">
        <v>18000</v>
      </c>
      <c r="D335" s="2" t="n">
        <v>-7.2705607</v>
      </c>
      <c r="E335" s="2" t="n">
        <v>112.7353162</v>
      </c>
      <c r="F335" s="3">
        <f>(C335 - $B$495) / $B$496</f>
        <v/>
      </c>
      <c r="G335" s="2">
        <f>IF(F335&lt;-0.5,"Murah",IF(F335&lt;0.5,"Sedang","Mahal"))</f>
        <v/>
      </c>
    </row>
    <row r="336">
      <c r="A336" s="2" t="n">
        <v>335</v>
      </c>
      <c r="B336" s="2" t="inlineStr">
        <is>
          <t>Warteg Orens Bahari WOB 152 Dinoyo</t>
        </is>
      </c>
      <c r="C336" s="2" t="n">
        <v>21000</v>
      </c>
      <c r="D336" s="2" t="n">
        <v>-7.9408709</v>
      </c>
      <c r="E336" s="2" t="n">
        <v>112.6086344</v>
      </c>
      <c r="F336" s="3">
        <f>(C336 - $B$495) / $B$496</f>
        <v/>
      </c>
      <c r="G336" s="2">
        <f>IF(F336&lt;-0.5,"Murah",IF(F336&lt;0.5,"Sedang","Mahal"))</f>
        <v/>
      </c>
    </row>
    <row r="337">
      <c r="A337" s="2" t="n">
        <v>336</v>
      </c>
      <c r="B337" s="2" t="inlineStr">
        <is>
          <t>WARTEG SARIRASA BAHARI</t>
        </is>
      </c>
      <c r="C337" s="2" t="n">
        <v>26500</v>
      </c>
      <c r="D337" s="2" t="n">
        <v>-7.9411174</v>
      </c>
      <c r="E337" s="2" t="n">
        <v>112.6041009</v>
      </c>
      <c r="F337" s="3">
        <f>(C337 - $B$495) / $B$496</f>
        <v/>
      </c>
      <c r="G337" s="2">
        <f>IF(F337&lt;-0.5,"Murah",IF(F337&lt;0.5,"Sedang","Mahal"))</f>
        <v/>
      </c>
    </row>
    <row r="338">
      <c r="A338" s="2" t="n">
        <v>337</v>
      </c>
      <c r="B338" s="2" t="inlineStr">
        <is>
          <t>Warung Prasmanan Ayah 24 jam</t>
        </is>
      </c>
      <c r="C338" s="2" t="n">
        <v>25000</v>
      </c>
      <c r="D338" s="2" t="n">
        <v>-7.9568637</v>
      </c>
      <c r="E338" s="2" t="n">
        <v>112.6057936</v>
      </c>
      <c r="F338" s="3">
        <f>(C338 - $B$495) / $B$496</f>
        <v/>
      </c>
      <c r="G338" s="2">
        <f>IF(F338&lt;-0.5,"Murah",IF(F338&lt;0.5,"Sedang","Mahal"))</f>
        <v/>
      </c>
    </row>
    <row r="339">
      <c r="A339" s="2" t="n">
        <v>338</v>
      </c>
      <c r="B339" s="2" t="inlineStr">
        <is>
          <t>Warteg Orens Bahari</t>
        </is>
      </c>
      <c r="C339" s="2" t="n">
        <v>21000</v>
      </c>
      <c r="D339" s="2" t="n">
        <v>-7.9644982</v>
      </c>
      <c r="E339" s="2" t="n">
        <v>112.635299</v>
      </c>
      <c r="F339" s="3">
        <f>(C339 - $B$495) / $B$496</f>
        <v/>
      </c>
      <c r="G339" s="2">
        <f>IF(F339&lt;-0.5,"Murah",IF(F339&lt;0.5,"Sedang","Mahal"))</f>
        <v/>
      </c>
    </row>
    <row r="340">
      <c r="A340" s="2" t="n">
        <v>339</v>
      </c>
      <c r="B340" s="2" t="inlineStr">
        <is>
          <t>Warteg Bahari Sentosa</t>
        </is>
      </c>
      <c r="C340" s="2" t="n">
        <v>18000</v>
      </c>
      <c r="D340" s="2" t="n">
        <v>-7.975036</v>
      </c>
      <c r="E340" s="2" t="n">
        <v>112.661503</v>
      </c>
      <c r="F340" s="3">
        <f>(C340 - $B$495) / $B$496</f>
        <v/>
      </c>
      <c r="G340" s="2">
        <f>IF(F340&lt;-0.5,"Murah",IF(F340&lt;0.5,"Sedang","Mahal"))</f>
        <v/>
      </c>
    </row>
    <row r="341">
      <c r="A341" s="2" t="n">
        <v>340</v>
      </c>
      <c r="B341" s="2" t="inlineStr">
        <is>
          <t>Warteg Nasional Bahari 81 Mayjend Sungkono</t>
        </is>
      </c>
      <c r="C341" s="2" t="n">
        <v>13000</v>
      </c>
      <c r="D341" s="2" t="n">
        <v>-7.9938871</v>
      </c>
      <c r="E341" s="2" t="n">
        <v>112.6472929</v>
      </c>
      <c r="F341" s="3">
        <f>(C341 - $B$495) / $B$496</f>
        <v/>
      </c>
      <c r="G341" s="2">
        <f>IF(F341&lt;-0.5,"Murah",IF(F341&lt;0.5,"Sedang","Mahal"))</f>
        <v/>
      </c>
    </row>
    <row r="342">
      <c r="A342" s="2" t="n">
        <v>341</v>
      </c>
      <c r="B342" s="2" t="inlineStr">
        <is>
          <t>Warteg Nasional Bahari (Satsui Tubun)</t>
        </is>
      </c>
      <c r="C342" s="2" t="n">
        <v>13000</v>
      </c>
      <c r="D342" s="2" t="n">
        <v>-8.0204191</v>
      </c>
      <c r="E342" s="2" t="n">
        <v>112.6200087</v>
      </c>
      <c r="F342" s="3">
        <f>(C342 - $B$495) / $B$496</f>
        <v/>
      </c>
      <c r="G342" s="2">
        <f>IF(F342&lt;-0.5,"Murah",IF(F342&lt;0.5,"Sedang","Mahal"))</f>
        <v/>
      </c>
    </row>
    <row r="343">
      <c r="A343" s="2" t="n">
        <v>342</v>
      </c>
      <c r="B343" s="2" t="inlineStr">
        <is>
          <t>Warteg Nasional Bahari 101</t>
        </is>
      </c>
      <c r="C343" s="2" t="n">
        <v>19500</v>
      </c>
      <c r="D343" s="2" t="n">
        <v>-7.9548052</v>
      </c>
      <c r="E343" s="2" t="n">
        <v>112.6205029</v>
      </c>
      <c r="F343" s="3">
        <f>(C343 - $B$495) / $B$496</f>
        <v/>
      </c>
      <c r="G343" s="2">
        <f>IF(F343&lt;-0.5,"Murah",IF(F343&lt;0.5,"Sedang","Mahal"))</f>
        <v/>
      </c>
    </row>
    <row r="344">
      <c r="A344" s="2" t="n">
        <v>343</v>
      </c>
      <c r="B344" s="2" t="inlineStr">
        <is>
          <t>WARTEG NASIONAL</t>
        </is>
      </c>
      <c r="C344" s="2" t="n">
        <v>22500</v>
      </c>
      <c r="D344" s="2" t="n">
        <v>-7.9005653</v>
      </c>
      <c r="E344" s="2" t="n">
        <v>112.6035687</v>
      </c>
      <c r="F344" s="3">
        <f>(C344 - $B$495) / $B$496</f>
        <v/>
      </c>
      <c r="G344" s="2">
        <f>IF(F344&lt;-0.5,"Murah",IF(F344&lt;0.5,"Sedang","Mahal"))</f>
        <v/>
      </c>
    </row>
    <row r="345">
      <c r="A345" s="2" t="n">
        <v>344</v>
      </c>
      <c r="B345" s="2" t="inlineStr">
        <is>
          <t>WARTEG BOROBUDUR</t>
        </is>
      </c>
      <c r="C345" s="2" t="n">
        <v>32400</v>
      </c>
      <c r="D345" s="2" t="n">
        <v>-7.940488</v>
      </c>
      <c r="E345" s="2" t="n">
        <v>112.6386627</v>
      </c>
      <c r="F345" s="3">
        <f>(C345 - $B$495) / $B$496</f>
        <v/>
      </c>
      <c r="G345" s="2">
        <f>IF(F345&lt;-0.5,"Murah",IF(F345&lt;0.5,"Sedang","Mahal"))</f>
        <v/>
      </c>
    </row>
    <row r="346">
      <c r="A346" s="2" t="n">
        <v>345</v>
      </c>
      <c r="B346" s="2" t="inlineStr">
        <is>
          <t>Warteg Mamoka Bahari</t>
        </is>
      </c>
      <c r="C346" s="2" t="n">
        <v>20000</v>
      </c>
      <c r="D346" s="2" t="n">
        <v>-7.9662866</v>
      </c>
      <c r="E346" s="2" t="n">
        <v>112.6134706</v>
      </c>
      <c r="F346" s="3">
        <f>(C346 - $B$495) / $B$496</f>
        <v/>
      </c>
      <c r="G346" s="2">
        <f>IF(F346&lt;-0.5,"Murah",IF(F346&lt;0.5,"Sedang","Mahal"))</f>
        <v/>
      </c>
    </row>
    <row r="347">
      <c r="A347" s="2" t="n">
        <v>346</v>
      </c>
      <c r="B347" s="2" t="inlineStr">
        <is>
          <t>Warung Nasi Matos Bu Kesy</t>
        </is>
      </c>
      <c r="C347" s="2" t="n">
        <v>85000</v>
      </c>
      <c r="D347" s="2" t="n">
        <v>-7.9481502</v>
      </c>
      <c r="E347" s="2" t="n">
        <v>112.6088763</v>
      </c>
      <c r="F347" s="3">
        <f>(C347 - $B$495) / $B$496</f>
        <v/>
      </c>
      <c r="G347" s="2">
        <f>IF(F347&lt;-0.5,"Murah",IF(F347&lt;0.5,"Sedang","Mahal"))</f>
        <v/>
      </c>
    </row>
    <row r="348">
      <c r="A348" s="2" t="n">
        <v>347</v>
      </c>
      <c r="B348" s="2" t="inlineStr">
        <is>
          <t>Warung Pudji Mulyo</t>
        </is>
      </c>
      <c r="C348" s="2" t="n">
        <v>43750</v>
      </c>
      <c r="D348" s="2" t="n">
        <v>-7.9463499</v>
      </c>
      <c r="E348" s="2" t="n">
        <v>112.6109167</v>
      </c>
      <c r="F348" s="3">
        <f>(C348 - $B$495) / $B$496</f>
        <v/>
      </c>
      <c r="G348" s="2">
        <f>IF(F348&lt;-0.5,"Murah",IF(F348&lt;0.5,"Sedang","Mahal"))</f>
        <v/>
      </c>
    </row>
    <row r="349">
      <c r="A349" s="2" t="n">
        <v>348</v>
      </c>
      <c r="B349" s="2" t="inlineStr">
        <is>
          <t>Warteg paradise bahari</t>
        </is>
      </c>
      <c r="C349" s="2" t="n">
        <v>13000</v>
      </c>
      <c r="D349" s="2" t="n">
        <v>-7.9839838</v>
      </c>
      <c r="E349" s="2" t="n">
        <v>112.6599488</v>
      </c>
      <c r="F349" s="3">
        <f>(C349 - $B$495) / $B$496</f>
        <v/>
      </c>
      <c r="G349" s="2">
        <f>IF(F349&lt;-0.5,"Murah",IF(F349&lt;0.5,"Sedang","Mahal"))</f>
        <v/>
      </c>
    </row>
    <row r="350">
      <c r="A350" s="2" t="n">
        <v>349</v>
      </c>
      <c r="B350" s="2" t="inlineStr">
        <is>
          <t>Warteg citra baru</t>
        </is>
      </c>
      <c r="C350" s="2" t="n">
        <v>17000</v>
      </c>
      <c r="D350" s="2" t="n">
        <v>-7.9232037</v>
      </c>
      <c r="E350" s="2" t="n">
        <v>112.5814693</v>
      </c>
      <c r="F350" s="3">
        <f>(C350 - $B$495) / $B$496</f>
        <v/>
      </c>
      <c r="G350" s="2">
        <f>IF(F350&lt;-0.5,"Murah",IF(F350&lt;0.5,"Sedang","Mahal"))</f>
        <v/>
      </c>
    </row>
    <row r="351">
      <c r="A351" s="2" t="n">
        <v>350</v>
      </c>
      <c r="B351" s="2" t="inlineStr">
        <is>
          <t>Warteg Jie</t>
        </is>
      </c>
      <c r="C351" s="2" t="n">
        <v>27500</v>
      </c>
      <c r="D351" s="2" t="n">
        <v>-7.9464129</v>
      </c>
      <c r="E351" s="2" t="n">
        <v>112.6220926</v>
      </c>
      <c r="F351" s="3">
        <f>(C351 - $B$495) / $B$496</f>
        <v/>
      </c>
      <c r="G351" s="2">
        <f>IF(F351&lt;-0.5,"Murah",IF(F351&lt;0.5,"Sedang","Mahal"))</f>
        <v/>
      </c>
    </row>
    <row r="352">
      <c r="A352" s="2" t="n">
        <v>351</v>
      </c>
      <c r="B352" s="2" t="inlineStr">
        <is>
          <t>Warteg Dimas</t>
        </is>
      </c>
      <c r="C352" s="2" t="n">
        <v>28000</v>
      </c>
      <c r="D352" s="2" t="n">
        <v>-7.9903396</v>
      </c>
      <c r="E352" s="2" t="n">
        <v>112.6180907</v>
      </c>
      <c r="F352" s="3">
        <f>(C352 - $B$495) / $B$496</f>
        <v/>
      </c>
      <c r="G352" s="2">
        <f>IF(F352&lt;-0.5,"Murah",IF(F352&lt;0.5,"Sedang","Mahal"))</f>
        <v/>
      </c>
    </row>
    <row r="353">
      <c r="A353" s="2" t="n">
        <v>352</v>
      </c>
      <c r="B353" s="2" t="inlineStr">
        <is>
          <t>WARTEG MAMOKA BAHARI 273</t>
        </is>
      </c>
      <c r="C353" s="2" t="n">
        <v>18000</v>
      </c>
      <c r="D353" s="2" t="n">
        <v>-7.9875062</v>
      </c>
      <c r="E353" s="2" t="n">
        <v>112.6227263</v>
      </c>
      <c r="F353" s="3">
        <f>(C353 - $B$495) / $B$496</f>
        <v/>
      </c>
      <c r="G353" s="2">
        <f>IF(F353&lt;-0.5,"Murah",IF(F353&lt;0.5,"Sedang","Mahal"))</f>
        <v/>
      </c>
    </row>
    <row r="354">
      <c r="A354" s="2" t="n">
        <v>353</v>
      </c>
      <c r="B354" s="2" t="inlineStr">
        <is>
          <t>Rumah Makan Prasmanan Bu Marni</t>
        </is>
      </c>
      <c r="C354" s="2" t="n">
        <v>28000</v>
      </c>
      <c r="D354" s="2" t="n">
        <v>-7.9631957</v>
      </c>
      <c r="E354" s="2" t="n">
        <v>112.613541</v>
      </c>
      <c r="F354" s="3">
        <f>(C354 - $B$495) / $B$496</f>
        <v/>
      </c>
      <c r="G354" s="2">
        <f>IF(F354&lt;-0.5,"Murah",IF(F354&lt;0.5,"Sedang","Mahal"))</f>
        <v/>
      </c>
    </row>
    <row r="355">
      <c r="A355" s="2" t="n">
        <v>354</v>
      </c>
      <c r="B355" s="2" t="inlineStr">
        <is>
          <t>Warung Wareg</t>
        </is>
      </c>
      <c r="C355" s="2" t="n">
        <v>130300</v>
      </c>
      <c r="D355" s="2" t="n">
        <v>-7.9110753</v>
      </c>
      <c r="E355" s="2" t="n">
        <v>112.6222169</v>
      </c>
      <c r="F355" s="3">
        <f>(C355 - $B$495) / $B$496</f>
        <v/>
      </c>
      <c r="G355" s="2">
        <f>IF(F355&lt;-0.5,"Murah",IF(F355&lt;0.5,"Sedang","Mahal"))</f>
        <v/>
      </c>
    </row>
    <row r="356">
      <c r="A356" s="2" t="n">
        <v>355</v>
      </c>
      <c r="B356" s="2" t="inlineStr">
        <is>
          <t>Warung kuning</t>
        </is>
      </c>
      <c r="C356" s="2" t="n">
        <v>13000</v>
      </c>
      <c r="D356" s="2" t="n">
        <v>-7.9706122</v>
      </c>
      <c r="E356" s="2" t="n">
        <v>112.6148383</v>
      </c>
      <c r="F356" s="3">
        <f>(C356 - $B$495) / $B$496</f>
        <v/>
      </c>
      <c r="G356" s="2">
        <f>IF(F356&lt;-0.5,"Murah",IF(F356&lt;0.5,"Sedang","Mahal"))</f>
        <v/>
      </c>
    </row>
    <row r="357">
      <c r="A357" s="2" t="n">
        <v>356</v>
      </c>
      <c r="B357" s="2" t="inlineStr">
        <is>
          <t>Warteg Citra Baru Bahari Kerto</t>
        </is>
      </c>
      <c r="C357" s="2" t="n">
        <v>17000</v>
      </c>
      <c r="D357" s="2" t="n">
        <v>-7.9466079</v>
      </c>
      <c r="E357" s="2" t="n">
        <v>112.6107099</v>
      </c>
      <c r="F357" s="3">
        <f>(C357 - $B$495) / $B$496</f>
        <v/>
      </c>
      <c r="G357" s="2">
        <f>IF(F357&lt;-0.5,"Murah",IF(F357&lt;0.5,"Sedang","Mahal"))</f>
        <v/>
      </c>
    </row>
    <row r="358">
      <c r="A358" s="2" t="n">
        <v>357</v>
      </c>
      <c r="B358" s="2" t="inlineStr">
        <is>
          <t>WARTEG ORENS BAHARI</t>
        </is>
      </c>
      <c r="C358" s="2" t="n">
        <v>21000</v>
      </c>
      <c r="D358" s="2" t="n">
        <v>-7.9385065</v>
      </c>
      <c r="E358" s="2" t="n">
        <v>112.6231507</v>
      </c>
      <c r="F358" s="3">
        <f>(C358 - $B$495) / $B$496</f>
        <v/>
      </c>
      <c r="G358" s="2">
        <f>IF(F358&lt;-0.5,"Murah",IF(F358&lt;0.5,"Sedang","Mahal"))</f>
        <v/>
      </c>
    </row>
    <row r="359">
      <c r="A359" s="2" t="n">
        <v>358</v>
      </c>
      <c r="B359" s="2" t="inlineStr">
        <is>
          <t>Warteg Putra Bahari 249</t>
        </is>
      </c>
      <c r="C359" s="2" t="n">
        <v>21000</v>
      </c>
      <c r="D359" s="2" t="n">
        <v>-7.9757383</v>
      </c>
      <c r="E359" s="2" t="n">
        <v>112.6618676</v>
      </c>
      <c r="F359" s="3">
        <f>(C359 - $B$495) / $B$496</f>
        <v/>
      </c>
      <c r="G359" s="2">
        <f>IF(F359&lt;-0.5,"Murah",IF(F359&lt;0.5,"Sedang","Mahal"))</f>
        <v/>
      </c>
    </row>
    <row r="360">
      <c r="A360" s="2" t="n">
        <v>359</v>
      </c>
      <c r="B360" s="2" t="inlineStr">
        <is>
          <t>warteg orens bahari</t>
        </is>
      </c>
      <c r="C360" s="2" t="n">
        <v>21000</v>
      </c>
      <c r="D360" s="2" t="n">
        <v>-7.9519465</v>
      </c>
      <c r="E360" s="2" t="n">
        <v>112.6396451</v>
      </c>
      <c r="F360" s="3">
        <f>(C360 - $B$495) / $B$496</f>
        <v/>
      </c>
      <c r="G360" s="2">
        <f>IF(F360&lt;-0.5,"Murah",IF(F360&lt;0.5,"Sedang","Mahal"))</f>
        <v/>
      </c>
    </row>
    <row r="361">
      <c r="A361" s="2" t="n">
        <v>360</v>
      </c>
      <c r="B361" s="2" t="inlineStr">
        <is>
          <t>Warteg Yonada bahari</t>
        </is>
      </c>
      <c r="C361" s="2" t="n">
        <v>15000</v>
      </c>
      <c r="D361" s="2" t="n">
        <v>-7.9769998</v>
      </c>
      <c r="E361" s="2" t="n">
        <v>112.6643131</v>
      </c>
      <c r="F361" s="3">
        <f>(C361 - $B$495) / $B$496</f>
        <v/>
      </c>
      <c r="G361" s="2">
        <f>IF(F361&lt;-0.5,"Murah",IF(F361&lt;0.5,"Sedang","Mahal"))</f>
        <v/>
      </c>
    </row>
    <row r="362">
      <c r="A362" s="2" t="n">
        <v>361</v>
      </c>
      <c r="B362" s="2" t="inlineStr">
        <is>
          <t>WARTEG JAYA BAHARU</t>
        </is>
      </c>
      <c r="C362" s="2" t="n">
        <v>13000</v>
      </c>
      <c r="D362" s="2" t="n">
        <v>-7.9371728</v>
      </c>
      <c r="E362" s="2" t="n">
        <v>112.6199991</v>
      </c>
      <c r="F362" s="3">
        <f>(C362 - $B$495) / $B$496</f>
        <v/>
      </c>
      <c r="G362" s="2">
        <f>IF(F362&lt;-0.5,"Murah",IF(F362&lt;0.5,"Sedang","Mahal"))</f>
        <v/>
      </c>
    </row>
    <row r="363">
      <c r="A363" s="2" t="n">
        <v>362</v>
      </c>
      <c r="B363" s="2" t="inlineStr">
        <is>
          <t>WARTEG NASIONAL 24 JAM</t>
        </is>
      </c>
      <c r="C363" s="2" t="n">
        <v>22500</v>
      </c>
      <c r="D363" s="2" t="n">
        <v>-7.9845741</v>
      </c>
      <c r="E363" s="2" t="n">
        <v>112.6145004</v>
      </c>
      <c r="F363" s="3">
        <f>(C363 - $B$495) / $B$496</f>
        <v/>
      </c>
      <c r="G363" s="2">
        <f>IF(F363&lt;-0.5,"Murah",IF(F363&lt;0.5,"Sedang","Mahal"))</f>
        <v/>
      </c>
    </row>
    <row r="364">
      <c r="A364" s="2" t="n">
        <v>363</v>
      </c>
      <c r="B364" s="2" t="inlineStr">
        <is>
          <t>Warung Pojok</t>
        </is>
      </c>
      <c r="C364" s="2" t="n">
        <v>15000</v>
      </c>
      <c r="D364" s="2" t="n">
        <v>-7.9936244</v>
      </c>
      <c r="E364" s="2" t="n">
        <v>112.6243291</v>
      </c>
      <c r="F364" s="3">
        <f>(C364 - $B$495) / $B$496</f>
        <v/>
      </c>
      <c r="G364" s="2">
        <f>IF(F364&lt;-0.5,"Murah",IF(F364&lt;0.5,"Sedang","Mahal"))</f>
        <v/>
      </c>
    </row>
    <row r="365">
      <c r="A365" s="2" t="n">
        <v>364</v>
      </c>
      <c r="B365" s="2" t="inlineStr">
        <is>
          <t>Warteg putra bahari</t>
        </is>
      </c>
      <c r="C365" s="2" t="n">
        <v>21000</v>
      </c>
      <c r="D365" s="2" t="n">
        <v>-7.9217929</v>
      </c>
      <c r="E365" s="2" t="n">
        <v>112.60075</v>
      </c>
      <c r="F365" s="3">
        <f>(C365 - $B$495) / $B$496</f>
        <v/>
      </c>
      <c r="G365" s="2">
        <f>IF(F365&lt;-0.5,"Murah",IF(F365&lt;0.5,"Sedang","Mahal"))</f>
        <v/>
      </c>
    </row>
    <row r="366">
      <c r="A366" s="2" t="n">
        <v>365</v>
      </c>
      <c r="B366" s="2" t="inlineStr">
        <is>
          <t>Warteg Fadli Bahari</t>
        </is>
      </c>
      <c r="C366" s="2" t="n">
        <v>13000</v>
      </c>
      <c r="D366" s="2" t="n">
        <v>-7.9467722</v>
      </c>
      <c r="E366" s="2" t="n">
        <v>112.6256226</v>
      </c>
      <c r="F366" s="3">
        <f>(C366 - $B$495) / $B$496</f>
        <v/>
      </c>
      <c r="G366" s="2">
        <f>IF(F366&lt;-0.5,"Murah",IF(F366&lt;0.5,"Sedang","Mahal"))</f>
        <v/>
      </c>
    </row>
    <row r="367">
      <c r="A367" s="2" t="n">
        <v>366</v>
      </c>
      <c r="B367" s="2" t="inlineStr">
        <is>
          <t>WARTEG NASIONAL BAHARI 96</t>
        </is>
      </c>
      <c r="C367" s="2" t="n">
        <v>19500</v>
      </c>
      <c r="D367" s="2" t="n">
        <v>-7.9832419</v>
      </c>
      <c r="E367" s="2" t="n">
        <v>112.6607181</v>
      </c>
      <c r="F367" s="3">
        <f>(C367 - $B$495) / $B$496</f>
        <v/>
      </c>
      <c r="G367" s="2">
        <f>IF(F367&lt;-0.5,"Murah",IF(F367&lt;0.5,"Sedang","Mahal"))</f>
        <v/>
      </c>
    </row>
    <row r="368">
      <c r="A368" s="2" t="n">
        <v>367</v>
      </c>
      <c r="B368" s="2" t="inlineStr">
        <is>
          <t>Warteg sari bahari</t>
        </is>
      </c>
      <c r="C368" s="2" t="n">
        <v>13000</v>
      </c>
      <c r="D368" s="2" t="n">
        <v>-7.9524268</v>
      </c>
      <c r="E368" s="2" t="n">
        <v>112.6810612</v>
      </c>
      <c r="F368" s="3">
        <f>(C368 - $B$495) / $B$496</f>
        <v/>
      </c>
      <c r="G368" s="2">
        <f>IF(F368&lt;-0.5,"Murah",IF(F368&lt;0.5,"Sedang","Mahal"))</f>
        <v/>
      </c>
    </row>
    <row r="369">
      <c r="A369" s="2" t="n">
        <v>368</v>
      </c>
      <c r="B369" s="2" t="inlineStr">
        <is>
          <t>Warung Prasmanan Andong</t>
        </is>
      </c>
      <c r="C369" s="2" t="n">
        <v>17500</v>
      </c>
      <c r="D369" s="2" t="n">
        <v>-7.949006</v>
      </c>
      <c r="E369" s="2" t="n">
        <v>112.618743</v>
      </c>
      <c r="F369" s="3">
        <f>(C369 - $B$495) / $B$496</f>
        <v/>
      </c>
      <c r="G369" s="2">
        <f>IF(F369&lt;-0.5,"Murah",IF(F369&lt;0.5,"Sedang","Mahal"))</f>
        <v/>
      </c>
    </row>
    <row r="370">
      <c r="A370" s="2" t="n">
        <v>369</v>
      </c>
      <c r="B370" s="2" t="inlineStr">
        <is>
          <t>Warung Biru Cak Matos</t>
        </is>
      </c>
      <c r="C370" s="2" t="n">
        <v>33000</v>
      </c>
      <c r="D370" s="2" t="n">
        <v>-7.9578532</v>
      </c>
      <c r="E370" s="2" t="n">
        <v>112.6191826</v>
      </c>
      <c r="F370" s="3">
        <f>(C370 - $B$495) / $B$496</f>
        <v/>
      </c>
      <c r="G370" s="2">
        <f>IF(F370&lt;-0.5,"Murah",IF(F370&lt;0.5,"Sedang","Mahal"))</f>
        <v/>
      </c>
    </row>
    <row r="371">
      <c r="A371" s="2" t="n">
        <v>370</v>
      </c>
      <c r="B371" s="2" t="inlineStr">
        <is>
          <t>Warung Warteg Barokah</t>
        </is>
      </c>
      <c r="C371" s="2" t="n">
        <v>19000</v>
      </c>
      <c r="D371" s="2" t="n">
        <v>-7.9358248</v>
      </c>
      <c r="E371" s="2" t="n">
        <v>112.6157345</v>
      </c>
      <c r="F371" s="3">
        <f>(C371 - $B$495) / $B$496</f>
        <v/>
      </c>
      <c r="G371" s="2">
        <f>IF(F371&lt;-0.5,"Murah",IF(F371&lt;0.5,"Sedang","Mahal"))</f>
        <v/>
      </c>
    </row>
    <row r="372">
      <c r="A372" s="2" t="n">
        <v>371</v>
      </c>
      <c r="B372" s="2" t="inlineStr">
        <is>
          <t>Warteg Paradise Bahari 046</t>
        </is>
      </c>
      <c r="C372" s="2" t="n">
        <v>13000</v>
      </c>
      <c r="D372" s="2" t="n">
        <v>-7.9739561</v>
      </c>
      <c r="E372" s="2" t="n">
        <v>112.6624323</v>
      </c>
      <c r="F372" s="3">
        <f>(C372 - $B$495) / $B$496</f>
        <v/>
      </c>
      <c r="G372" s="2">
        <f>IF(F372&lt;-0.5,"Murah",IF(F372&lt;0.5,"Sedang","Mahal"))</f>
        <v/>
      </c>
    </row>
    <row r="373">
      <c r="A373" s="2" t="n">
        <v>372</v>
      </c>
      <c r="B373" s="2" t="inlineStr">
        <is>
          <t>WARTEG OI BAHARI</t>
        </is>
      </c>
      <c r="C373" s="2" t="n">
        <v>17500</v>
      </c>
      <c r="D373" s="2" t="n">
        <v>-7.9432355</v>
      </c>
      <c r="E373" s="2" t="n">
        <v>112.6164325</v>
      </c>
      <c r="F373" s="3">
        <f>(C373 - $B$495) / $B$496</f>
        <v/>
      </c>
      <c r="G373" s="2">
        <f>IF(F373&lt;-0.5,"Murah",IF(F373&lt;0.5,"Sedang","Mahal"))</f>
        <v/>
      </c>
    </row>
    <row r="374">
      <c r="A374" s="2" t="n">
        <v>373</v>
      </c>
      <c r="B374" s="2" t="inlineStr">
        <is>
          <t>Warung Sumber Rejeki</t>
        </is>
      </c>
      <c r="C374" s="2" t="n">
        <v>12000</v>
      </c>
      <c r="D374" s="2" t="n">
        <v>-7.9596657</v>
      </c>
      <c r="E374" s="2" t="n">
        <v>112.6116941</v>
      </c>
      <c r="F374" s="3">
        <f>(C374 - $B$495) / $B$496</f>
        <v/>
      </c>
      <c r="G374" s="2">
        <f>IF(F374&lt;-0.5,"Murah",IF(F374&lt;0.5,"Sedang","Mahal"))</f>
        <v/>
      </c>
    </row>
    <row r="375">
      <c r="A375" s="2" t="n">
        <v>374</v>
      </c>
      <c r="B375" s="2" t="inlineStr">
        <is>
          <t>Warteg Kalijogo</t>
        </is>
      </c>
      <c r="C375" s="2" t="n">
        <v>15000</v>
      </c>
      <c r="D375" s="2" t="n">
        <v>-7.9526387</v>
      </c>
      <c r="E375" s="2" t="n">
        <v>112.6068649</v>
      </c>
      <c r="F375" s="3">
        <f>(C375 - $B$495) / $B$496</f>
        <v/>
      </c>
      <c r="G375" s="2">
        <f>IF(F375&lt;-0.5,"Murah",IF(F375&lt;0.5,"Sedang","Mahal"))</f>
        <v/>
      </c>
    </row>
    <row r="376">
      <c r="A376" s="2" t="n">
        <v>375</v>
      </c>
      <c r="B376" s="2" t="inlineStr">
        <is>
          <t>Warteg Bolapelangi2</t>
        </is>
      </c>
      <c r="C376" s="2" t="n">
        <v>15000</v>
      </c>
      <c r="D376" s="2" t="n">
        <v>-7.9841988</v>
      </c>
      <c r="E376" s="2" t="n">
        <v>112.6283419</v>
      </c>
      <c r="F376" s="3">
        <f>(C376 - $B$495) / $B$496</f>
        <v/>
      </c>
      <c r="G376" s="2">
        <f>IF(F376&lt;-0.5,"Murah",IF(F376&lt;0.5,"Sedang","Mahal"))</f>
        <v/>
      </c>
    </row>
    <row r="377">
      <c r="A377" s="2" t="n">
        <v>376</v>
      </c>
      <c r="B377" s="2" t="inlineStr">
        <is>
          <t>WARTEG KHARISMA BAHARI</t>
        </is>
      </c>
      <c r="C377" s="2" t="n">
        <v>17500</v>
      </c>
      <c r="D377" s="2" t="n">
        <v>-7.957037</v>
      </c>
      <c r="E377" s="2" t="n">
        <v>112.6129901</v>
      </c>
      <c r="F377" s="3">
        <f>(C377 - $B$495) / $B$496</f>
        <v/>
      </c>
      <c r="G377" s="2">
        <f>IF(F377&lt;-0.5,"Murah",IF(F377&lt;0.5,"Sedang","Mahal"))</f>
        <v/>
      </c>
    </row>
    <row r="378">
      <c r="A378" s="2" t="n">
        <v>377</v>
      </c>
      <c r="B378" s="2" t="inlineStr">
        <is>
          <t>WARTEG AR</t>
        </is>
      </c>
      <c r="C378" s="2" t="n">
        <v>15000</v>
      </c>
      <c r="D378" s="2" t="n">
        <v>-7.9392481</v>
      </c>
      <c r="E378" s="2" t="n">
        <v>112.6242372</v>
      </c>
      <c r="F378" s="3">
        <f>(C378 - $B$495) / $B$496</f>
        <v/>
      </c>
      <c r="G378" s="2">
        <f>IF(F378&lt;-0.5,"Murah",IF(F378&lt;0.5,"Sedang","Mahal"))</f>
        <v/>
      </c>
    </row>
    <row r="379">
      <c r="A379" s="2" t="n">
        <v>378</v>
      </c>
      <c r="B379" s="2" t="inlineStr">
        <is>
          <t>WARTEG OMAHAN</t>
        </is>
      </c>
      <c r="C379" s="2" t="n">
        <v>12000</v>
      </c>
      <c r="D379" s="2" t="n">
        <v>-7.9635876</v>
      </c>
      <c r="E379" s="2" t="n">
        <v>112.62303</v>
      </c>
      <c r="F379" s="3">
        <f>(C379 - $B$495) / $B$496</f>
        <v/>
      </c>
      <c r="G379" s="2">
        <f>IF(F379&lt;-0.5,"Murah",IF(F379&lt;0.5,"Sedang","Mahal"))</f>
        <v/>
      </c>
    </row>
    <row r="380">
      <c r="A380" s="2" t="n">
        <v>379</v>
      </c>
      <c r="B380" s="2" t="inlineStr">
        <is>
          <t>WARTEG BU MARNI 2</t>
        </is>
      </c>
      <c r="C380" s="2" t="n">
        <v>28000</v>
      </c>
      <c r="D380" s="2" t="n">
        <v>-7.9354596</v>
      </c>
      <c r="E380" s="2" t="n">
        <v>112.6125542</v>
      </c>
      <c r="F380" s="3">
        <f>(C380 - $B$495) / $B$496</f>
        <v/>
      </c>
      <c r="G380" s="2">
        <f>IF(F380&lt;-0.5,"Murah",IF(F380&lt;0.5,"Sedang","Mahal"))</f>
        <v/>
      </c>
    </row>
    <row r="381">
      <c r="A381" s="2" t="n">
        <v>380</v>
      </c>
      <c r="B381" s="2" t="inlineStr">
        <is>
          <t>Warung Mak Toen</t>
        </is>
      </c>
      <c r="C381" s="2" t="n">
        <v>11500</v>
      </c>
      <c r="D381" s="2" t="n">
        <v>-7.9728742</v>
      </c>
      <c r="E381" s="2" t="n">
        <v>112.6333416</v>
      </c>
      <c r="F381" s="3">
        <f>(C381 - $B$495) / $B$496</f>
        <v/>
      </c>
      <c r="G381" s="2">
        <f>IF(F381&lt;-0.5,"Murah",IF(F381&lt;0.5,"Sedang","Mahal"))</f>
        <v/>
      </c>
    </row>
    <row r="382">
      <c r="A382" s="2" t="n">
        <v>381</v>
      </c>
      <c r="B382" s="2" t="inlineStr">
        <is>
          <t>Warung Mak Par</t>
        </is>
      </c>
      <c r="C382" s="2" t="n">
        <v>18000</v>
      </c>
      <c r="D382" s="2" t="n">
        <v>-7.9423788</v>
      </c>
      <c r="E382" s="2" t="n">
        <v>112.5971231</v>
      </c>
      <c r="F382" s="3">
        <f>(C382 - $B$495) / $B$496</f>
        <v/>
      </c>
      <c r="G382" s="2">
        <f>IF(F382&lt;-0.5,"Murah",IF(F382&lt;0.5,"Sedang","Mahal"))</f>
        <v/>
      </c>
    </row>
    <row r="383">
      <c r="A383" s="2" t="n">
        <v>382</v>
      </c>
      <c r="B383" s="2" t="inlineStr">
        <is>
          <t>Warung Rizky</t>
        </is>
      </c>
      <c r="C383" s="2" t="n">
        <v>21999</v>
      </c>
      <c r="D383" s="2" t="n">
        <v>-7.9390632</v>
      </c>
      <c r="E383" s="2" t="n">
        <v>112.6244237</v>
      </c>
      <c r="F383" s="3">
        <f>(C383 - $B$495) / $B$496</f>
        <v/>
      </c>
      <c r="G383" s="2">
        <f>IF(F383&lt;-0.5,"Murah",IF(F383&lt;0.5,"Sedang","Mahal"))</f>
        <v/>
      </c>
    </row>
    <row r="384">
      <c r="A384" s="2" t="n">
        <v>383</v>
      </c>
      <c r="B384" s="2" t="inlineStr">
        <is>
          <t>Warung Makan 24 Jam Rawon Cak Wan</t>
        </is>
      </c>
      <c r="C384" s="2" t="n">
        <v>120000</v>
      </c>
      <c r="D384" s="2" t="n">
        <v>-7.9396841</v>
      </c>
      <c r="E384" s="2" t="n">
        <v>112.6495234</v>
      </c>
      <c r="F384" s="3">
        <f>(C384 - $B$495) / $B$496</f>
        <v/>
      </c>
      <c r="G384" s="2">
        <f>IF(F384&lt;-0.5,"Murah",IF(F384&lt;0.5,"Sedang","Mahal"))</f>
        <v/>
      </c>
    </row>
    <row r="385">
      <c r="A385" s="2" t="n">
        <v>384</v>
      </c>
      <c r="B385" s="2" t="inlineStr">
        <is>
          <t>Warung Pagi</t>
        </is>
      </c>
      <c r="C385" s="2" t="n">
        <v>8000</v>
      </c>
      <c r="D385" s="2" t="n">
        <v>-7.9439807</v>
      </c>
      <c r="E385" s="2" t="n">
        <v>112.6102536</v>
      </c>
      <c r="F385" s="3">
        <f>(C385 - $B$495) / $B$496</f>
        <v/>
      </c>
      <c r="G385" s="2">
        <f>IF(F385&lt;-0.5,"Murah",IF(F385&lt;0.5,"Sedang","Mahal"))</f>
        <v/>
      </c>
    </row>
    <row r="386">
      <c r="A386" s="2" t="n">
        <v>385</v>
      </c>
      <c r="B386" s="2" t="inlineStr">
        <is>
          <t>Warteg Yonada Bahari Jalan Bondowoso</t>
        </is>
      </c>
      <c r="C386" s="2" t="n">
        <v>16000</v>
      </c>
      <c r="D386" s="2" t="n">
        <v>-7.9673881</v>
      </c>
      <c r="E386" s="2" t="n">
        <v>112.6152742</v>
      </c>
      <c r="F386" s="3">
        <f>(C386 - $B$495) / $B$496</f>
        <v/>
      </c>
      <c r="G386" s="2">
        <f>IF(F386&lt;-0.5,"Murah",IF(F386&lt;0.5,"Sedang","Mahal"))</f>
        <v/>
      </c>
    </row>
    <row r="387">
      <c r="A387" s="2" t="n">
        <v>386</v>
      </c>
      <c r="B387" s="2" t="inlineStr">
        <is>
          <t>Warung Tegal Barokah</t>
        </is>
      </c>
      <c r="C387" s="2" t="n">
        <v>19000</v>
      </c>
      <c r="D387" s="2" t="n">
        <v>-7.927016</v>
      </c>
      <c r="E387" s="2" t="n">
        <v>112.5946095</v>
      </c>
      <c r="F387" s="3">
        <f>(C387 - $B$495) / $B$496</f>
        <v/>
      </c>
      <c r="G387" s="2">
        <f>IF(F387&lt;-0.5,"Murah",IF(F387&lt;0.5,"Sedang","Mahal"))</f>
        <v/>
      </c>
    </row>
    <row r="388">
      <c r="A388" s="2" t="n">
        <v>387</v>
      </c>
      <c r="B388" s="2" t="inlineStr">
        <is>
          <t>WARUNG BU' WARNI - KLOJEN</t>
        </is>
      </c>
      <c r="C388" s="2" t="n">
        <v>29000</v>
      </c>
      <c r="D388" s="2" t="n">
        <v>-7.9748483</v>
      </c>
      <c r="E388" s="2" t="n">
        <v>112.6368235</v>
      </c>
      <c r="F388" s="3">
        <f>(C388 - $B$495) / $B$496</f>
        <v/>
      </c>
      <c r="G388" s="2">
        <f>IF(F388&lt;-0.5,"Murah",IF(F388&lt;0.5,"Sedang","Mahal"))</f>
        <v/>
      </c>
    </row>
    <row r="389">
      <c r="A389" s="2" t="n">
        <v>388</v>
      </c>
      <c r="B389" s="2" t="inlineStr">
        <is>
          <t>Warteg sarirasa cab tlogomas</t>
        </is>
      </c>
      <c r="C389" s="2" t="n">
        <v>26500</v>
      </c>
      <c r="D389" s="2" t="n">
        <v>-7.9331802</v>
      </c>
      <c r="E389" s="2" t="n">
        <v>112.6037031</v>
      </c>
      <c r="F389" s="3">
        <f>(C389 - $B$495) / $B$496</f>
        <v/>
      </c>
      <c r="G389" s="2">
        <f>IF(F389&lt;-0.5,"Murah",IF(F389&lt;0.5,"Sedang","Mahal"))</f>
        <v/>
      </c>
    </row>
    <row r="390">
      <c r="A390" s="2" t="n">
        <v>389</v>
      </c>
      <c r="B390" s="2" t="inlineStr">
        <is>
          <t>Omah Wareg</t>
        </is>
      </c>
      <c r="C390" s="2" t="n">
        <v>12000</v>
      </c>
      <c r="D390" s="2" t="n">
        <v>-7.8958904</v>
      </c>
      <c r="E390" s="2" t="n">
        <v>112.5982948</v>
      </c>
      <c r="F390" s="3">
        <f>(C390 - $B$495) / $B$496</f>
        <v/>
      </c>
      <c r="G390" s="2">
        <f>IF(F390&lt;-0.5,"Murah",IF(F390&lt;0.5,"Sedang","Mahal"))</f>
        <v/>
      </c>
    </row>
    <row r="391">
      <c r="A391" s="2" t="n">
        <v>390</v>
      </c>
      <c r="B391" s="2" t="inlineStr">
        <is>
          <t>warteg citra baru bahari</t>
        </is>
      </c>
      <c r="C391" s="2" t="n">
        <v>17000</v>
      </c>
      <c r="D391" s="2" t="n">
        <v>-7.9453365</v>
      </c>
      <c r="E391" s="2" t="n">
        <v>112.6174489</v>
      </c>
      <c r="F391" s="3">
        <f>(C391 - $B$495) / $B$496</f>
        <v/>
      </c>
      <c r="G391" s="2">
        <f>IF(F391&lt;-0.5,"Murah",IF(F391&lt;0.5,"Sedang","Mahal"))</f>
        <v/>
      </c>
    </row>
    <row r="392">
      <c r="A392" s="2" t="n">
        <v>391</v>
      </c>
      <c r="B392" s="2" t="inlineStr">
        <is>
          <t>WARTEG YONADA BAHARI</t>
        </is>
      </c>
      <c r="C392" s="2" t="n">
        <v>15000</v>
      </c>
      <c r="D392" s="2" t="n">
        <v>-7.940252</v>
      </c>
      <c r="E392" s="2" t="n">
        <v>112.6496395</v>
      </c>
      <c r="F392" s="3">
        <f>(C392 - $B$495) / $B$496</f>
        <v/>
      </c>
      <c r="G392" s="2">
        <f>IF(F392&lt;-0.5,"Murah",IF(F392&lt;0.5,"Sedang","Mahal"))</f>
        <v/>
      </c>
    </row>
    <row r="393">
      <c r="A393" s="2" t="n">
        <v>392</v>
      </c>
      <c r="B393" s="2" t="inlineStr">
        <is>
          <t>Warung Makan Ma'Nia</t>
        </is>
      </c>
      <c r="C393" s="2" t="n">
        <v>12000</v>
      </c>
      <c r="D393" s="2" t="n">
        <v>-7.9595707</v>
      </c>
      <c r="E393" s="2" t="n">
        <v>112.6142223</v>
      </c>
      <c r="F393" s="3">
        <f>(C393 - $B$495) / $B$496</f>
        <v/>
      </c>
      <c r="G393" s="2">
        <f>IF(F393&lt;-0.5,"Murah",IF(F393&lt;0.5,"Sedang","Mahal"))</f>
        <v/>
      </c>
    </row>
    <row r="394">
      <c r="A394" s="2" t="n">
        <v>393</v>
      </c>
      <c r="B394" s="2" t="inlineStr">
        <is>
          <t>Warung Hajah Sarah</t>
        </is>
      </c>
      <c r="C394" s="2" t="n">
        <v>11000</v>
      </c>
      <c r="D394" s="2" t="n">
        <v>-7.9542426</v>
      </c>
      <c r="E394" s="2" t="n">
        <v>112.6095135</v>
      </c>
      <c r="F394" s="3">
        <f>(C394 - $B$495) / $B$496</f>
        <v/>
      </c>
      <c r="G394" s="2">
        <f>IF(F394&lt;-0.5,"Murah",IF(F394&lt;0.5,"Sedang","Mahal"))</f>
        <v/>
      </c>
    </row>
    <row r="395">
      <c r="A395" s="2" t="n">
        <v>394</v>
      </c>
      <c r="B395" s="2" t="inlineStr">
        <is>
          <t>Warung Nasi Bu Pah</t>
        </is>
      </c>
      <c r="C395" s="2" t="n">
        <v>18000</v>
      </c>
      <c r="D395" s="2" t="n">
        <v>-7.9479565</v>
      </c>
      <c r="E395" s="2" t="n">
        <v>112.6088939</v>
      </c>
      <c r="F395" s="3">
        <f>(C395 - $B$495) / $B$496</f>
        <v/>
      </c>
      <c r="G395" s="2">
        <f>IF(F395&lt;-0.5,"Murah",IF(F395&lt;0.5,"Sedang","Mahal"))</f>
        <v/>
      </c>
    </row>
    <row r="396">
      <c r="A396" s="2" t="n">
        <v>395</v>
      </c>
      <c r="B396" s="2" t="inlineStr">
        <is>
          <t>Warteg Nakamora</t>
        </is>
      </c>
      <c r="C396" s="2" t="n">
        <v>55000</v>
      </c>
      <c r="D396" s="2" t="n">
        <v>-7.9393265</v>
      </c>
      <c r="E396" s="2" t="n">
        <v>112.6366698</v>
      </c>
      <c r="F396" s="3">
        <f>(C396 - $B$495) / $B$496</f>
        <v/>
      </c>
      <c r="G396" s="2">
        <f>IF(F396&lt;-0.5,"Murah",IF(F396&lt;0.5,"Sedang","Mahal"))</f>
        <v/>
      </c>
    </row>
    <row r="397">
      <c r="A397" s="2" t="n">
        <v>396</v>
      </c>
      <c r="B397" s="2" t="inlineStr">
        <is>
          <t>Warung AE</t>
        </is>
      </c>
      <c r="C397" s="2" t="n">
        <v>40000</v>
      </c>
      <c r="D397" s="2" t="n">
        <v>-7.9728697</v>
      </c>
      <c r="E397" s="2" t="n">
        <v>112.6669677</v>
      </c>
      <c r="F397" s="3">
        <f>(C397 - $B$495) / $B$496</f>
        <v/>
      </c>
      <c r="G397" s="2">
        <f>IF(F397&lt;-0.5,"Murah",IF(F397&lt;0.5,"Sedang","Mahal"))</f>
        <v/>
      </c>
    </row>
    <row r="398">
      <c r="A398" s="2" t="n">
        <v>397</v>
      </c>
      <c r="B398" s="2" t="inlineStr">
        <is>
          <t>WARUNG WAREG KEPANJEN MALANG</t>
        </is>
      </c>
      <c r="C398" s="2" t="n">
        <v>124035</v>
      </c>
      <c r="D398" s="2" t="n">
        <v>-8.0921368</v>
      </c>
      <c r="E398" s="2" t="n">
        <v>112.5856323</v>
      </c>
      <c r="F398" s="3">
        <f>(C398 - $B$495) / $B$496</f>
        <v/>
      </c>
      <c r="G398" s="2">
        <f>IF(F398&lt;-0.5,"Murah",IF(F398&lt;0.5,"Sedang","Mahal"))</f>
        <v/>
      </c>
    </row>
    <row r="399">
      <c r="A399" s="2" t="n">
        <v>398</v>
      </c>
      <c r="B399" s="2" t="inlineStr">
        <is>
          <t>Warung Prasmanan Bu Widya</t>
        </is>
      </c>
      <c r="C399" s="2" t="n">
        <v>30000</v>
      </c>
      <c r="D399" s="2" t="n">
        <v>-7.9674079</v>
      </c>
      <c r="E399" s="2" t="n">
        <v>112.6589897</v>
      </c>
      <c r="F399" s="3">
        <f>(C399 - $B$495) / $B$496</f>
        <v/>
      </c>
      <c r="G399" s="2">
        <f>IF(F399&lt;-0.5,"Murah",IF(F399&lt;0.5,"Sedang","Mahal"))</f>
        <v/>
      </c>
    </row>
    <row r="400">
      <c r="A400" s="2" t="n">
        <v>399</v>
      </c>
      <c r="B400" s="2" t="inlineStr">
        <is>
          <t>Warung Makan Bu diyah</t>
        </is>
      </c>
      <c r="C400" s="2" t="n">
        <v>17000</v>
      </c>
      <c r="D400" s="2" t="n">
        <v>-7.9766344</v>
      </c>
      <c r="E400" s="2" t="n">
        <v>112.6123799</v>
      </c>
      <c r="F400" s="3">
        <f>(C400 - $B$495) / $B$496</f>
        <v/>
      </c>
      <c r="G400" s="2">
        <f>IF(F400&lt;-0.5,"Murah",IF(F400&lt;0.5,"Sedang","Mahal"))</f>
        <v/>
      </c>
    </row>
    <row r="401">
      <c r="A401" s="2" t="n">
        <v>400</v>
      </c>
      <c r="B401" s="2" t="inlineStr">
        <is>
          <t>Warung Rezeki</t>
        </is>
      </c>
      <c r="C401" s="2" t="n">
        <v>27500</v>
      </c>
      <c r="D401" s="2" t="n">
        <v>-7.9731321</v>
      </c>
      <c r="E401" s="2" t="n">
        <v>112.6170317</v>
      </c>
      <c r="F401" s="3">
        <f>(C401 - $B$495) / $B$496</f>
        <v/>
      </c>
      <c r="G401" s="2">
        <f>IF(F401&lt;-0.5,"Murah",IF(F401&lt;0.5,"Sedang","Mahal"))</f>
        <v/>
      </c>
    </row>
    <row r="402">
      <c r="A402" s="2" t="n">
        <v>401</v>
      </c>
      <c r="B402" s="2" t="inlineStr">
        <is>
          <t>Warteg Mamoka Akordion</t>
        </is>
      </c>
      <c r="C402" s="2" t="n">
        <v>20000</v>
      </c>
      <c r="D402" s="2" t="n">
        <v>-7.9282813</v>
      </c>
      <c r="E402" s="2" t="n">
        <v>112.6149764</v>
      </c>
      <c r="F402" s="3">
        <f>(C402 - $B$495) / $B$496</f>
        <v/>
      </c>
      <c r="G402" s="2">
        <f>IF(F402&lt;-0.5,"Murah",IF(F402&lt;0.5,"Sedang","Mahal"))</f>
        <v/>
      </c>
    </row>
    <row r="403">
      <c r="A403" s="2" t="n">
        <v>402</v>
      </c>
      <c r="B403" s="2" t="inlineStr">
        <is>
          <t>Warung Sederhana</t>
        </is>
      </c>
      <c r="C403" s="2" t="n">
        <v>250000</v>
      </c>
      <c r="D403" s="2" t="n">
        <v>-7.9456656</v>
      </c>
      <c r="E403" s="2" t="n">
        <v>112.6167327</v>
      </c>
      <c r="F403" s="3">
        <f>(C403 - $B$495) / $B$496</f>
        <v/>
      </c>
      <c r="G403" s="2">
        <f>IF(F403&lt;-0.5,"Murah",IF(F403&lt;0.5,"Sedang","Mahal"))</f>
        <v/>
      </c>
    </row>
    <row r="404">
      <c r="A404" s="2" t="n">
        <v>403</v>
      </c>
      <c r="B404" s="2" t="inlineStr">
        <is>
          <t>Warteg 46</t>
        </is>
      </c>
      <c r="C404" s="2" t="n">
        <v>19000</v>
      </c>
      <c r="D404" s="2" t="n">
        <v>-7.9403194</v>
      </c>
      <c r="E404" s="2" t="n">
        <v>112.6210784</v>
      </c>
      <c r="F404" s="3">
        <f>(C404 - $B$495) / $B$496</f>
        <v/>
      </c>
      <c r="G404" s="2">
        <f>IF(F404&lt;-0.5,"Murah",IF(F404&lt;0.5,"Sedang","Mahal"))</f>
        <v/>
      </c>
    </row>
    <row r="405">
      <c r="A405" s="2" t="n">
        <v>404</v>
      </c>
      <c r="B405" s="2" t="inlineStr">
        <is>
          <t>Wisata Warung Wareg</t>
        </is>
      </c>
      <c r="C405" s="2" t="n">
        <v>130300</v>
      </c>
      <c r="D405" s="2" t="n">
        <v>-7.8628503</v>
      </c>
      <c r="E405" s="2" t="n">
        <v>112.5288779</v>
      </c>
      <c r="F405" s="3">
        <f>(C405 - $B$495) / $B$496</f>
        <v/>
      </c>
      <c r="G405" s="2">
        <f>IF(F405&lt;-0.5,"Murah",IF(F405&lt;0.5,"Sedang","Mahal"))</f>
        <v/>
      </c>
    </row>
    <row r="406">
      <c r="A406" s="2" t="n">
        <v>405</v>
      </c>
      <c r="B406" s="2" t="inlineStr">
        <is>
          <t>Catering Rumah Madinah</t>
        </is>
      </c>
      <c r="C406" s="2" t="n">
        <v>17000</v>
      </c>
      <c r="D406" s="2" t="n">
        <v>-7.948918</v>
      </c>
      <c r="E406" s="2" t="n">
        <v>112.617436</v>
      </c>
      <c r="F406" s="3">
        <f>(C406 - $B$495) / $B$496</f>
        <v/>
      </c>
      <c r="G406" s="2">
        <f>IF(F406&lt;-0.5,"Murah",IF(F406&lt;0.5,"Sedang","Mahal"))</f>
        <v/>
      </c>
    </row>
    <row r="407">
      <c r="A407" s="2" t="n">
        <v>406</v>
      </c>
      <c r="B407" s="2" t="inlineStr">
        <is>
          <t>Titik Koma Buring</t>
        </is>
      </c>
      <c r="C407" s="2" t="n">
        <v>172700</v>
      </c>
      <c r="D407" s="2" t="n">
        <v>-7.9698273</v>
      </c>
      <c r="E407" s="2" t="n">
        <v>112.624714</v>
      </c>
      <c r="F407" s="3">
        <f>(C407 - $B$495) / $B$496</f>
        <v/>
      </c>
      <c r="G407" s="2">
        <f>IF(F407&lt;-0.5,"Murah",IF(F407&lt;0.5,"Sedang","Mahal"))</f>
        <v/>
      </c>
    </row>
    <row r="408">
      <c r="A408" s="2" t="n">
        <v>407</v>
      </c>
      <c r="B408" s="2" t="inlineStr">
        <is>
          <t>Toko Kopi Remboeg Pawon</t>
        </is>
      </c>
      <c r="C408" s="2" t="n">
        <v>20000</v>
      </c>
      <c r="D408" s="2" t="n">
        <v>-7.9802343</v>
      </c>
      <c r="E408" s="2" t="n">
        <v>112.6263608</v>
      </c>
      <c r="F408" s="3">
        <f>(C408 - $B$495) / $B$496</f>
        <v/>
      </c>
      <c r="G408" s="2">
        <f>IF(F408&lt;-0.5,"Murah",IF(F408&lt;0.5,"Sedang","Mahal"))</f>
        <v/>
      </c>
    </row>
    <row r="409">
      <c r="A409" s="2" t="n">
        <v>408</v>
      </c>
      <c r="B409" s="2" t="inlineStr">
        <is>
          <t>Cafe LaiLai</t>
        </is>
      </c>
      <c r="C409" s="2" t="n">
        <v>50100</v>
      </c>
      <c r="D409" s="2" t="n">
        <v>-7.9767538</v>
      </c>
      <c r="E409" s="2" t="n">
        <v>112.6276991</v>
      </c>
      <c r="F409" s="3">
        <f>(C409 - $B$495) / $B$496</f>
        <v/>
      </c>
      <c r="G409" s="2">
        <f>IF(F409&lt;-0.5,"Murah",IF(F409&lt;0.5,"Sedang","Mahal"))</f>
        <v/>
      </c>
    </row>
    <row r="410">
      <c r="A410" s="2" t="n">
        <v>409</v>
      </c>
      <c r="B410" s="2" t="inlineStr">
        <is>
          <t>Kopi Ortu</t>
        </is>
      </c>
      <c r="C410" s="2" t="n">
        <v>65000</v>
      </c>
      <c r="D410" s="2" t="n">
        <v>-7.9742061</v>
      </c>
      <c r="E410" s="2" t="n">
        <v>112.6162998</v>
      </c>
      <c r="F410" s="3">
        <f>(C410 - $B$495) / $B$496</f>
        <v/>
      </c>
      <c r="G410" s="2">
        <f>IF(F410&lt;-0.5,"Murah",IF(F410&lt;0.5,"Sedang","Mahal"))</f>
        <v/>
      </c>
    </row>
    <row r="411">
      <c r="A411" s="2" t="n">
        <v>410</v>
      </c>
      <c r="B411" s="2" t="inlineStr">
        <is>
          <t>Kedai Kopi tjapGiling</t>
        </is>
      </c>
      <c r="C411" s="2" t="n">
        <v>26000</v>
      </c>
      <c r="D411" s="2" t="n">
        <v>-7.957461</v>
      </c>
      <c r="E411" s="2" t="n">
        <v>112.60124</v>
      </c>
      <c r="F411" s="3">
        <f>(C411 - $B$495) / $B$496</f>
        <v/>
      </c>
      <c r="G411" s="2">
        <f>IF(F411&lt;-0.5,"Murah",IF(F411&lt;0.5,"Sedang","Mahal"))</f>
        <v/>
      </c>
    </row>
    <row r="412">
      <c r="A412" s="2" t="n">
        <v>411</v>
      </c>
      <c r="B412" s="2" t="inlineStr">
        <is>
          <t>Warung kopi Bambu</t>
        </is>
      </c>
      <c r="C412" s="2" t="n">
        <v>37500</v>
      </c>
      <c r="D412" s="2" t="n">
        <v>-7.9775096</v>
      </c>
      <c r="E412" s="2" t="n">
        <v>112.6604038</v>
      </c>
      <c r="F412" s="3">
        <f>(C412 - $B$495) / $B$496</f>
        <v/>
      </c>
      <c r="G412" s="2">
        <f>IF(F412&lt;-0.5,"Murah",IF(F412&lt;0.5,"Sedang","Mahal"))</f>
        <v/>
      </c>
    </row>
    <row r="413">
      <c r="A413" s="2" t="n">
        <v>412</v>
      </c>
      <c r="B413" s="2" t="inlineStr">
        <is>
          <t>My Kopi O! Malang</t>
        </is>
      </c>
      <c r="C413" s="2" t="n">
        <v>131000</v>
      </c>
      <c r="D413" s="2" t="n">
        <v>-7.9748034</v>
      </c>
      <c r="E413" s="2" t="n">
        <v>112.6235308</v>
      </c>
      <c r="F413" s="3">
        <f>(C413 - $B$495) / $B$496</f>
        <v/>
      </c>
      <c r="G413" s="2">
        <f>IF(F413&lt;-0.5,"Murah",IF(F413&lt;0.5,"Sedang","Mahal"))</f>
        <v/>
      </c>
    </row>
    <row r="414">
      <c r="A414" s="2" t="n">
        <v>413</v>
      </c>
      <c r="B414" s="2" t="inlineStr">
        <is>
          <t>Robusto Coffee</t>
        </is>
      </c>
      <c r="C414" s="2" t="n">
        <v>108790</v>
      </c>
      <c r="D414" s="2" t="n">
        <v>-7.936619</v>
      </c>
      <c r="E414" s="2" t="n">
        <v>112.605606</v>
      </c>
      <c r="F414" s="3">
        <f>(C414 - $B$495) / $B$496</f>
        <v/>
      </c>
      <c r="G414" s="2">
        <f>IF(F414&lt;-0.5,"Murah",IF(F414&lt;0.5,"Sedang","Mahal"))</f>
        <v/>
      </c>
    </row>
    <row r="415">
      <c r="A415" s="2" t="n">
        <v>414</v>
      </c>
      <c r="B415" s="2" t="inlineStr">
        <is>
          <t>Mifeng Kopitiam</t>
        </is>
      </c>
      <c r="C415" s="2" t="n">
        <v>97875</v>
      </c>
      <c r="D415" s="2" t="n">
        <v>-7.962855</v>
      </c>
      <c r="E415" s="2" t="n">
        <v>112.62582</v>
      </c>
      <c r="F415" s="3">
        <f>(C415 - $B$495) / $B$496</f>
        <v/>
      </c>
      <c r="G415" s="2">
        <f>IF(F415&lt;-0.5,"Murah",IF(F415&lt;0.5,"Sedang","Mahal"))</f>
        <v/>
      </c>
    </row>
    <row r="416">
      <c r="A416" s="2" t="n">
        <v>415</v>
      </c>
      <c r="B416" s="2" t="inlineStr">
        <is>
          <t>Kopi Serut</t>
        </is>
      </c>
      <c r="C416" s="2" t="n">
        <v>35000</v>
      </c>
      <c r="D416" s="2" t="n">
        <v>-7.8836933</v>
      </c>
      <c r="E416" s="2" t="n">
        <v>112.6536527</v>
      </c>
      <c r="F416" s="3">
        <f>(C416 - $B$495) / $B$496</f>
        <v/>
      </c>
      <c r="G416" s="2">
        <f>IF(F416&lt;-0.5,"Murah",IF(F416&lt;0.5,"Sedang","Mahal"))</f>
        <v/>
      </c>
    </row>
    <row r="417">
      <c r="A417" s="2" t="n">
        <v>416</v>
      </c>
      <c r="B417" s="2" t="inlineStr">
        <is>
          <t>Kedai Ramah Djiwa</t>
        </is>
      </c>
      <c r="C417" s="2" t="n">
        <v>32000</v>
      </c>
      <c r="D417" s="2" t="n">
        <v>-7.9575113</v>
      </c>
      <c r="E417" s="2" t="n">
        <v>112.634563</v>
      </c>
      <c r="F417" s="3">
        <f>(C417 - $B$495) / $B$496</f>
        <v/>
      </c>
      <c r="G417" s="2">
        <f>IF(F417&lt;-0.5,"Murah",IF(F417&lt;0.5,"Sedang","Mahal"))</f>
        <v/>
      </c>
    </row>
    <row r="418">
      <c r="A418" s="2" t="n">
        <v>417</v>
      </c>
      <c r="B418" s="2" t="inlineStr">
        <is>
          <t>Beryl Coffee</t>
        </is>
      </c>
      <c r="C418" s="2" t="n">
        <v>22000</v>
      </c>
      <c r="D418" s="2" t="n">
        <v>-7.9612922</v>
      </c>
      <c r="E418" s="2" t="n">
        <v>112.6312716</v>
      </c>
      <c r="F418" s="3">
        <f>(C418 - $B$495) / $B$496</f>
        <v/>
      </c>
      <c r="G418" s="2">
        <f>IF(F418&lt;-0.5,"Murah",IF(F418&lt;0.5,"Sedang","Mahal"))</f>
        <v/>
      </c>
    </row>
    <row r="419">
      <c r="A419" s="2" t="n">
        <v>418</v>
      </c>
      <c r="B419" s="2" t="inlineStr">
        <is>
          <t>Toko Kopi Jaya, Sukun</t>
        </is>
      </c>
      <c r="C419" s="2" t="n">
        <v>62000</v>
      </c>
      <c r="D419" s="2" t="n">
        <v>-7.9920686</v>
      </c>
      <c r="E419" s="2" t="n">
        <v>112.6208302</v>
      </c>
      <c r="F419" s="3">
        <f>(C419 - $B$495) / $B$496</f>
        <v/>
      </c>
      <c r="G419" s="2">
        <f>IF(F419&lt;-0.5,"Murah",IF(F419&lt;0.5,"Sedang","Mahal"))</f>
        <v/>
      </c>
    </row>
    <row r="420">
      <c r="A420" s="2" t="n">
        <v>419</v>
      </c>
      <c r="B420" s="2" t="inlineStr">
        <is>
          <t>Warung Kopi 69 - Kedai69 - Cafe69</t>
        </is>
      </c>
      <c r="C420" s="2" t="n">
        <v>18000</v>
      </c>
      <c r="D420" s="2" t="n">
        <v>-7.9444957</v>
      </c>
      <c r="E420" s="2" t="n">
        <v>112.6318192</v>
      </c>
      <c r="F420" s="3">
        <f>(C420 - $B$495) / $B$496</f>
        <v/>
      </c>
      <c r="G420" s="2">
        <f>IF(F420&lt;-0.5,"Murah",IF(F420&lt;0.5,"Sedang","Mahal"))</f>
        <v/>
      </c>
    </row>
    <row r="421">
      <c r="A421" s="2" t="n">
        <v>420</v>
      </c>
      <c r="B421" s="2" t="inlineStr">
        <is>
          <t>Cak Ril Kopi</t>
        </is>
      </c>
      <c r="C421" s="2" t="n">
        <v>325000</v>
      </c>
      <c r="D421" s="2" t="n">
        <v>-7.9531979</v>
      </c>
      <c r="E421" s="2" t="n">
        <v>112.6067663</v>
      </c>
      <c r="F421" s="3">
        <f>(C421 - $B$495) / $B$496</f>
        <v/>
      </c>
      <c r="G421" s="2">
        <f>IF(F421&lt;-0.5,"Murah",IF(F421&lt;0.5,"Sedang","Mahal"))</f>
        <v/>
      </c>
    </row>
    <row r="422">
      <c r="A422" s="2" t="n">
        <v>421</v>
      </c>
      <c r="B422" s="2" t="inlineStr">
        <is>
          <t>Oppa Express</t>
        </is>
      </c>
      <c r="C422" s="2" t="n">
        <v>33000</v>
      </c>
      <c r="D422" s="2" t="n">
        <v>-7.9786261</v>
      </c>
      <c r="E422" s="2" t="n">
        <v>112.6293696</v>
      </c>
      <c r="F422" s="3">
        <f>(C422 - $B$495) / $B$496</f>
        <v/>
      </c>
      <c r="G422" s="2">
        <f>IF(F422&lt;-0.5,"Murah",IF(F422&lt;0.5,"Sedang","Mahal"))</f>
        <v/>
      </c>
    </row>
    <row r="423">
      <c r="A423" s="2" t="n">
        <v>422</v>
      </c>
      <c r="B423" s="2" t="inlineStr">
        <is>
          <t>Kopi Hamur Mbah Ndut</t>
        </is>
      </c>
      <c r="C423" s="2" t="n">
        <v>7000</v>
      </c>
      <c r="D423" s="2" t="n">
        <v>-7.9789427</v>
      </c>
      <c r="E423" s="2" t="n">
        <v>112.6282282</v>
      </c>
      <c r="F423" s="3">
        <f>(C423 - $B$495) / $B$496</f>
        <v/>
      </c>
      <c r="G423" s="2">
        <f>IF(F423&lt;-0.5,"Murah",IF(F423&lt;0.5,"Sedang","Mahal"))</f>
        <v/>
      </c>
    </row>
    <row r="424">
      <c r="A424" s="2" t="n">
        <v>423</v>
      </c>
      <c r="B424" s="2" t="inlineStr">
        <is>
          <t>Kedai Kopi Kembang</t>
        </is>
      </c>
      <c r="C424" s="2" t="n">
        <v>11000</v>
      </c>
      <c r="D424" s="2" t="n">
        <v>-7.9248101</v>
      </c>
      <c r="E424" s="2" t="n">
        <v>112.6212925</v>
      </c>
      <c r="F424" s="3">
        <f>(C424 - $B$495) / $B$496</f>
        <v/>
      </c>
      <c r="G424" s="2">
        <f>IF(F424&lt;-0.5,"Murah",IF(F424&lt;0.5,"Sedang","Mahal"))</f>
        <v/>
      </c>
    </row>
    <row r="425">
      <c r="A425" s="2" t="n">
        <v>424</v>
      </c>
      <c r="B425" s="2" t="inlineStr">
        <is>
          <t>Toko kopi sudawirat</t>
        </is>
      </c>
      <c r="C425" s="2" t="n">
        <v>95000</v>
      </c>
      <c r="D425" s="2" t="n">
        <v>-7.9526961</v>
      </c>
      <c r="E425" s="2" t="n">
        <v>112.6367035</v>
      </c>
      <c r="F425" s="3">
        <f>(C425 - $B$495) / $B$496</f>
        <v/>
      </c>
      <c r="G425" s="2">
        <f>IF(F425&lt;-0.5,"Murah",IF(F425&lt;0.5,"Sedang","Mahal"))</f>
        <v/>
      </c>
    </row>
    <row r="426">
      <c r="A426" s="2" t="n">
        <v>425</v>
      </c>
      <c r="B426" s="2" t="inlineStr">
        <is>
          <t>rata.space</t>
        </is>
      </c>
      <c r="C426" s="2" t="n">
        <v>37500</v>
      </c>
      <c r="D426" s="2" t="n">
        <v>-7.9629997</v>
      </c>
      <c r="E426" s="2" t="n">
        <v>112.6243492</v>
      </c>
      <c r="F426" s="3">
        <f>(C426 - $B$495) / $B$496</f>
        <v/>
      </c>
      <c r="G426" s="2">
        <f>IF(F426&lt;-0.5,"Murah",IF(F426&lt;0.5,"Sedang","Mahal"))</f>
        <v/>
      </c>
    </row>
    <row r="427">
      <c r="A427" s="2" t="n">
        <v>426</v>
      </c>
      <c r="B427" s="2" t="inlineStr">
        <is>
          <t>Warung Kopi Aroma Spesial Mie Bangladesh</t>
        </is>
      </c>
      <c r="C427" s="2" t="n">
        <v>47000</v>
      </c>
      <c r="D427" s="2" t="n">
        <v>-7.9618021</v>
      </c>
      <c r="E427" s="2" t="n">
        <v>112.6210638</v>
      </c>
      <c r="F427" s="3">
        <f>(C427 - $B$495) / $B$496</f>
        <v/>
      </c>
      <c r="G427" s="2">
        <f>IF(F427&lt;-0.5,"Murah",IF(F427&lt;0.5,"Sedang","Mahal"))</f>
        <v/>
      </c>
    </row>
    <row r="428">
      <c r="A428" s="2" t="n">
        <v>427</v>
      </c>
      <c r="B428" s="2" t="inlineStr">
        <is>
          <t>RANDAB IPOK</t>
        </is>
      </c>
      <c r="C428" s="2" t="n">
        <v>133000</v>
      </c>
      <c r="D428" s="2" t="n">
        <v>-7.9654256</v>
      </c>
      <c r="E428" s="2" t="n">
        <v>112.6134696</v>
      </c>
      <c r="F428" s="3">
        <f>(C428 - $B$495) / $B$496</f>
        <v/>
      </c>
      <c r="G428" s="2">
        <f>IF(F428&lt;-0.5,"Murah",IF(F428&lt;0.5,"Sedang","Mahal"))</f>
        <v/>
      </c>
    </row>
    <row r="429">
      <c r="A429" s="2" t="n">
        <v>428</v>
      </c>
      <c r="B429" s="2" t="inlineStr">
        <is>
          <t>Hambre Coffee</t>
        </is>
      </c>
      <c r="C429" s="2" t="n">
        <v>20000</v>
      </c>
      <c r="D429" s="2" t="n">
        <v>-8.0128839</v>
      </c>
      <c r="E429" s="2" t="n">
        <v>112.6194948</v>
      </c>
      <c r="F429" s="3">
        <f>(C429 - $B$495) / $B$496</f>
        <v/>
      </c>
      <c r="G429" s="2">
        <f>IF(F429&lt;-0.5,"Murah",IF(F429&lt;0.5,"Sedang","Mahal"))</f>
        <v/>
      </c>
    </row>
    <row r="430">
      <c r="A430" s="2" t="n">
        <v>429</v>
      </c>
      <c r="B430" s="2" t="inlineStr">
        <is>
          <t>Halter Coffee</t>
        </is>
      </c>
      <c r="C430" s="2" t="n">
        <v>61200</v>
      </c>
      <c r="D430" s="2" t="n">
        <v>-7.960639</v>
      </c>
      <c r="E430" s="2" t="n">
        <v>112.632243</v>
      </c>
      <c r="F430" s="3">
        <f>(C430 - $B$495) / $B$496</f>
        <v/>
      </c>
      <c r="G430" s="2">
        <f>IF(F430&lt;-0.5,"Murah",IF(F430&lt;0.5,"Sedang","Mahal"))</f>
        <v/>
      </c>
    </row>
    <row r="431">
      <c r="A431" s="2" t="n">
        <v>430</v>
      </c>
      <c r="B431" s="2" t="inlineStr">
        <is>
          <t>Ladang Coffee</t>
        </is>
      </c>
      <c r="C431" s="2" t="n">
        <v>39600</v>
      </c>
      <c r="D431" s="2" t="n">
        <v>-7.9682658</v>
      </c>
      <c r="E431" s="2" t="n">
        <v>112.6275655</v>
      </c>
      <c r="F431" s="3">
        <f>(C431 - $B$495) / $B$496</f>
        <v/>
      </c>
      <c r="G431" s="2">
        <f>IF(F431&lt;-0.5,"Murah",IF(F431&lt;0.5,"Sedang","Mahal"))</f>
        <v/>
      </c>
    </row>
    <row r="432">
      <c r="A432" s="2" t="n">
        <v>431</v>
      </c>
      <c r="B432" s="2" t="inlineStr">
        <is>
          <t>Workshop Kopi</t>
        </is>
      </c>
      <c r="C432" s="2" t="n">
        <v>55000</v>
      </c>
      <c r="D432" s="2" t="n">
        <v>-8.051133099999999</v>
      </c>
      <c r="E432" s="2" t="n">
        <v>112.6425826</v>
      </c>
      <c r="F432" s="3">
        <f>(C432 - $B$495) / $B$496</f>
        <v/>
      </c>
      <c r="G432" s="2">
        <f>IF(F432&lt;-0.5,"Murah",IF(F432&lt;0.5,"Sedang","Mahal"))</f>
        <v/>
      </c>
    </row>
    <row r="433">
      <c r="A433" s="2" t="n">
        <v>432</v>
      </c>
      <c r="B433" s="2" t="inlineStr">
        <is>
          <t>gingsul kopi &amp; kudapan</t>
        </is>
      </c>
      <c r="C433" s="2" t="n">
        <v>68124</v>
      </c>
      <c r="D433" s="2" t="n">
        <v>-7.9644883</v>
      </c>
      <c r="E433" s="2" t="n">
        <v>112.624798</v>
      </c>
      <c r="F433" s="3">
        <f>(C433 - $B$495) / $B$496</f>
        <v/>
      </c>
      <c r="G433" s="2">
        <f>IF(F433&lt;-0.5,"Murah",IF(F433&lt;0.5,"Sedang","Mahal"))</f>
        <v/>
      </c>
    </row>
    <row r="434">
      <c r="A434" s="2" t="n">
        <v>433</v>
      </c>
      <c r="B434" s="2" t="inlineStr">
        <is>
          <t>The Grove Cafe Malang</t>
        </is>
      </c>
      <c r="C434" s="2" t="n">
        <v>300000</v>
      </c>
      <c r="D434" s="2" t="n">
        <v>-7.9724171</v>
      </c>
      <c r="E434" s="2" t="n">
        <v>112.6184917</v>
      </c>
      <c r="F434" s="3">
        <f>(C434 - $B$495) / $B$496</f>
        <v/>
      </c>
      <c r="G434" s="2">
        <f>IF(F434&lt;-0.5,"Murah",IF(F434&lt;0.5,"Sedang","Mahal"))</f>
        <v/>
      </c>
    </row>
    <row r="435">
      <c r="A435" s="2" t="n">
        <v>434</v>
      </c>
      <c r="B435" s="2" t="inlineStr">
        <is>
          <t>Lapidoth Cafe and Patisserie</t>
        </is>
      </c>
      <c r="C435" s="2" t="n">
        <v>263340</v>
      </c>
      <c r="D435" s="2" t="n">
        <v>-7.9833241</v>
      </c>
      <c r="E435" s="2" t="n">
        <v>112.6298451</v>
      </c>
      <c r="F435" s="3">
        <f>(C435 - $B$495) / $B$496</f>
        <v/>
      </c>
      <c r="G435" s="2">
        <f>IF(F435&lt;-0.5,"Murah",IF(F435&lt;0.5,"Sedang","Mahal"))</f>
        <v/>
      </c>
    </row>
    <row r="436">
      <c r="A436" s="2" t="n">
        <v>435</v>
      </c>
      <c r="B436" s="2" t="inlineStr">
        <is>
          <t>Lafayette Coffee &amp; Eatery</t>
        </is>
      </c>
      <c r="C436" s="2" t="n">
        <v>49000</v>
      </c>
      <c r="D436" s="2" t="n">
        <v>-7.9762568</v>
      </c>
      <c r="E436" s="2" t="n">
        <v>112.6291195</v>
      </c>
      <c r="F436" s="3">
        <f>(C436 - $B$495) / $B$496</f>
        <v/>
      </c>
      <c r="G436" s="2">
        <f>IF(F436&lt;-0.5,"Murah",IF(F436&lt;0.5,"Sedang","Mahal"))</f>
        <v/>
      </c>
    </row>
    <row r="437">
      <c r="A437" s="2" t="n">
        <v>436</v>
      </c>
      <c r="B437" s="2" t="inlineStr">
        <is>
          <t>Koppi Asia Malang | Coffee &amp; Eatery Malang</t>
        </is>
      </c>
      <c r="C437" s="2" t="n">
        <v>62500</v>
      </c>
      <c r="D437" s="2" t="n">
        <v>-7.9576795</v>
      </c>
      <c r="E437" s="2" t="n">
        <v>112.6073449</v>
      </c>
      <c r="F437" s="3">
        <f>(C437 - $B$495) / $B$496</f>
        <v/>
      </c>
      <c r="G437" s="2">
        <f>IF(F437&lt;-0.5,"Murah",IF(F437&lt;0.5,"Sedang","Mahal"))</f>
        <v/>
      </c>
    </row>
    <row r="438">
      <c r="A438" s="2" t="n">
        <v>437</v>
      </c>
      <c r="B438" s="2" t="inlineStr">
        <is>
          <t>Oui Coffee Malang</t>
        </is>
      </c>
      <c r="C438" s="2" t="n">
        <v>70000</v>
      </c>
      <c r="D438" s="2" t="n">
        <v>-7.9267033</v>
      </c>
      <c r="E438" s="2" t="n">
        <v>112.6453935</v>
      </c>
      <c r="F438" s="3">
        <f>(C438 - $B$495) / $B$496</f>
        <v/>
      </c>
      <c r="G438" s="2">
        <f>IF(F438&lt;-0.5,"Murah",IF(F438&lt;0.5,"Sedang","Mahal"))</f>
        <v/>
      </c>
    </row>
    <row r="439">
      <c r="A439" s="2" t="n">
        <v>438</v>
      </c>
      <c r="B439" s="2" t="inlineStr">
        <is>
          <t>And Coffee Space</t>
        </is>
      </c>
      <c r="C439" s="2" t="n">
        <v>15000</v>
      </c>
      <c r="D439" s="2" t="n">
        <v>-7.9631751</v>
      </c>
      <c r="E439" s="2" t="n">
        <v>112.6220671</v>
      </c>
      <c r="F439" s="3">
        <f>(C439 - $B$495) / $B$496</f>
        <v/>
      </c>
      <c r="G439" s="2">
        <f>IF(F439&lt;-0.5,"Murah",IF(F439&lt;0.5,"Sedang","Mahal"))</f>
        <v/>
      </c>
    </row>
    <row r="440">
      <c r="A440" s="2" t="n">
        <v>439</v>
      </c>
      <c r="B440" s="2" t="inlineStr">
        <is>
          <t>Egg And Butter</t>
        </is>
      </c>
      <c r="C440" s="2" t="n">
        <v>84000</v>
      </c>
      <c r="D440" s="2" t="n">
        <v>-7.2990071</v>
      </c>
      <c r="E440" s="2" t="n">
        <v>112.7855545</v>
      </c>
      <c r="F440" s="3">
        <f>(C440 - $B$495) / $B$496</f>
        <v/>
      </c>
      <c r="G440" s="2">
        <f>IF(F440&lt;-0.5,"Murah",IF(F440&lt;0.5,"Sedang","Mahal"))</f>
        <v/>
      </c>
    </row>
    <row r="441">
      <c r="A441" s="2" t="n">
        <v>440</v>
      </c>
      <c r="B441" s="2" t="inlineStr">
        <is>
          <t>Bataputi Coffee House</t>
        </is>
      </c>
      <c r="C441" s="2" t="n">
        <v>71250</v>
      </c>
      <c r="D441" s="2" t="n">
        <v>-7.9401249</v>
      </c>
      <c r="E441" s="2" t="n">
        <v>112.6642684</v>
      </c>
      <c r="F441" s="3">
        <f>(C441 - $B$495) / $B$496</f>
        <v/>
      </c>
      <c r="G441" s="2">
        <f>IF(F441&lt;-0.5,"Murah",IF(F441&lt;0.5,"Sedang","Mahal"))</f>
        <v/>
      </c>
    </row>
    <row r="442">
      <c r="A442" s="2" t="n">
        <v>441</v>
      </c>
      <c r="B442" s="2" t="inlineStr">
        <is>
          <t>Ada Apa Dengan Kopi (AADK)</t>
        </is>
      </c>
      <c r="C442" s="2" t="n">
        <v>48000</v>
      </c>
      <c r="D442" s="2" t="n">
        <v>-7.289975</v>
      </c>
      <c r="E442" s="2" t="n">
        <v>112.7882303</v>
      </c>
      <c r="F442" s="3">
        <f>(C442 - $B$495) / $B$496</f>
        <v/>
      </c>
      <c r="G442" s="2">
        <f>IF(F442&lt;-0.5,"Murah",IF(F442&lt;0.5,"Sedang","Mahal"))</f>
        <v/>
      </c>
    </row>
    <row r="443">
      <c r="A443" s="2" t="n">
        <v>442</v>
      </c>
      <c r="B443" s="2" t="inlineStr">
        <is>
          <t>Henshin Coffee Cafe</t>
        </is>
      </c>
      <c r="C443" s="2" t="n">
        <v>45000</v>
      </c>
      <c r="D443" s="2" t="n">
        <v>-7.9394617</v>
      </c>
      <c r="E443" s="2" t="n">
        <v>112.5938292</v>
      </c>
      <c r="F443" s="3">
        <f>(C443 - $B$495) / $B$496</f>
        <v/>
      </c>
      <c r="G443" s="2">
        <f>IF(F443&lt;-0.5,"Murah",IF(F443&lt;0.5,"Sedang","Mahal"))</f>
        <v/>
      </c>
    </row>
    <row r="444">
      <c r="A444" s="2" t="n">
        <v>443</v>
      </c>
      <c r="B444" s="2" t="inlineStr">
        <is>
          <t>Naiki Cafe</t>
        </is>
      </c>
      <c r="C444" s="2" t="n">
        <v>105000</v>
      </c>
      <c r="D444" s="2" t="n">
        <v>-7.974972</v>
      </c>
      <c r="E444" s="2" t="n">
        <v>112.626137</v>
      </c>
      <c r="F444" s="3">
        <f>(C444 - $B$495) / $B$496</f>
        <v/>
      </c>
      <c r="G444" s="2">
        <f>IF(F444&lt;-0.5,"Murah",IF(F444&lt;0.5,"Sedang","Mahal"))</f>
        <v/>
      </c>
    </row>
    <row r="445">
      <c r="A445" s="2" t="n">
        <v>444</v>
      </c>
      <c r="B445" s="2" t="inlineStr">
        <is>
          <t>Capella Coffee &amp; Eatery</t>
        </is>
      </c>
      <c r="C445" s="2" t="n">
        <v>33600</v>
      </c>
      <c r="D445" s="2" t="n">
        <v>-7.9408646</v>
      </c>
      <c r="E445" s="2" t="n">
        <v>112.5794296</v>
      </c>
      <c r="F445" s="3">
        <f>(C445 - $B$495) / $B$496</f>
        <v/>
      </c>
      <c r="G445" s="2">
        <f>IF(F445&lt;-0.5,"Murah",IF(F445&lt;0.5,"Sedang","Mahal"))</f>
        <v/>
      </c>
    </row>
    <row r="446">
      <c r="A446" s="2" t="n">
        <v>445</v>
      </c>
      <c r="B446" s="2" t="inlineStr">
        <is>
          <t>Forenoon Coffee</t>
        </is>
      </c>
      <c r="C446" s="2" t="n">
        <v>116400</v>
      </c>
      <c r="D446" s="2" t="n">
        <v>-7.9418084</v>
      </c>
      <c r="E446" s="2" t="n">
        <v>112.6610201</v>
      </c>
      <c r="F446" s="3">
        <f>(C446 - $B$495) / $B$496</f>
        <v/>
      </c>
      <c r="G446" s="2">
        <f>IF(F446&lt;-0.5,"Murah",IF(F446&lt;0.5,"Sedang","Mahal"))</f>
        <v/>
      </c>
    </row>
    <row r="447">
      <c r="A447" s="2" t="n">
        <v>446</v>
      </c>
      <c r="B447" s="2" t="inlineStr">
        <is>
          <t>Andzero</t>
        </is>
      </c>
      <c r="C447" s="2" t="n">
        <v>84500</v>
      </c>
      <c r="D447" s="2" t="n">
        <v>-7.3045468</v>
      </c>
      <c r="E447" s="2" t="n">
        <v>112.768486</v>
      </c>
      <c r="F447" s="3">
        <f>(C447 - $B$495) / $B$496</f>
        <v/>
      </c>
      <c r="G447" s="2">
        <f>IF(F447&lt;-0.5,"Murah",IF(F447&lt;0.5,"Sedang","Mahal"))</f>
        <v/>
      </c>
    </row>
    <row r="448">
      <c r="A448" s="2" t="n">
        <v>447</v>
      </c>
      <c r="B448" s="2" t="inlineStr">
        <is>
          <t>Roewang Tamoe Coffee &amp; Space</t>
        </is>
      </c>
      <c r="C448" s="2" t="n">
        <v>85000</v>
      </c>
      <c r="D448" s="2" t="n">
        <v>-7.9861563</v>
      </c>
      <c r="E448" s="2" t="n">
        <v>112.6530101</v>
      </c>
      <c r="F448" s="3">
        <f>(C448 - $B$495) / $B$496</f>
        <v/>
      </c>
      <c r="G448" s="2">
        <f>IF(F448&lt;-0.5,"Murah",IF(F448&lt;0.5,"Sedang","Mahal"))</f>
        <v/>
      </c>
    </row>
    <row r="449">
      <c r="A449" s="2" t="n">
        <v>448</v>
      </c>
      <c r="B449" s="2" t="inlineStr">
        <is>
          <t>nowhere coffee</t>
        </is>
      </c>
      <c r="C449" s="2" t="n">
        <v>55600</v>
      </c>
      <c r="D449" s="2" t="n">
        <v>-7.9572232</v>
      </c>
      <c r="E449" s="2" t="n">
        <v>112.617358</v>
      </c>
      <c r="F449" s="3">
        <f>(C449 - $B$495) / $B$496</f>
        <v/>
      </c>
      <c r="G449" s="2">
        <f>IF(F449&lt;-0.5,"Murah",IF(F449&lt;0.5,"Sedang","Mahal"))</f>
        <v/>
      </c>
    </row>
    <row r="450">
      <c r="A450" s="2" t="n">
        <v>449</v>
      </c>
      <c r="B450" s="2" t="inlineStr">
        <is>
          <t>The Localist Coffee and Bistro Surabaya</t>
        </is>
      </c>
      <c r="C450" s="2" t="n">
        <v>79000</v>
      </c>
      <c r="D450" s="2" t="n">
        <v>-7.2900085</v>
      </c>
      <c r="E450" s="2" t="n">
        <v>112.7770857</v>
      </c>
      <c r="F450" s="3">
        <f>(C450 - $B$495) / $B$496</f>
        <v/>
      </c>
      <c r="G450" s="2">
        <f>IF(F450&lt;-0.5,"Murah",IF(F450&lt;0.5,"Sedang","Mahal"))</f>
        <v/>
      </c>
    </row>
    <row r="451">
      <c r="A451" s="2" t="n">
        <v>450</v>
      </c>
      <c r="B451" s="2" t="inlineStr">
        <is>
          <t>Bohemian Cafe</t>
        </is>
      </c>
      <c r="C451" s="2" t="n">
        <v>32000</v>
      </c>
      <c r="D451" s="2" t="n">
        <v>-7.9747424</v>
      </c>
      <c r="E451" s="2" t="n">
        <v>112.6168467</v>
      </c>
      <c r="F451" s="3">
        <f>(C451 - $B$495) / $B$496</f>
        <v/>
      </c>
      <c r="G451" s="2">
        <f>IF(F451&lt;-0.5,"Murah",IF(F451&lt;0.5,"Sedang","Mahal"))</f>
        <v/>
      </c>
    </row>
    <row r="452">
      <c r="A452" s="2" t="n">
        <v>451</v>
      </c>
      <c r="B452" s="2" t="inlineStr">
        <is>
          <t>Nakoa Cafe Bondowoso</t>
        </is>
      </c>
      <c r="C452" s="2" t="n">
        <v>38000</v>
      </c>
      <c r="D452" s="2" t="n">
        <v>-7.9674742</v>
      </c>
      <c r="E452" s="2" t="n">
        <v>112.6163677</v>
      </c>
      <c r="F452" s="3">
        <f>(C452 - $B$495) / $B$496</f>
        <v/>
      </c>
      <c r="G452" s="2">
        <f>IF(F452&lt;-0.5,"Murah",IF(F452&lt;0.5,"Sedang","Mahal"))</f>
        <v/>
      </c>
    </row>
    <row r="453">
      <c r="A453" s="2" t="n">
        <v>452</v>
      </c>
      <c r="B453" s="2" t="inlineStr">
        <is>
          <t>Ruca Koffie</t>
        </is>
      </c>
      <c r="C453" s="2" t="n">
        <v>173750</v>
      </c>
      <c r="D453" s="2" t="n">
        <v>-7.9710492</v>
      </c>
      <c r="E453" s="2" t="n">
        <v>112.6353339</v>
      </c>
      <c r="F453" s="3">
        <f>(C453 - $B$495) / $B$496</f>
        <v/>
      </c>
      <c r="G453" s="2">
        <f>IF(F453&lt;-0.5,"Murah",IF(F453&lt;0.5,"Sedang","Mahal"))</f>
        <v/>
      </c>
    </row>
    <row r="454">
      <c r="A454" s="2" t="n">
        <v>453</v>
      </c>
      <c r="B454" s="2" t="inlineStr">
        <is>
          <t>Brick Lane Coffee Malang</t>
        </is>
      </c>
      <c r="C454" s="2" t="n">
        <v>250000</v>
      </c>
      <c r="D454" s="2" t="n">
        <v>-7.9645091</v>
      </c>
      <c r="E454" s="2" t="n">
        <v>112.6189659</v>
      </c>
      <c r="F454" s="3">
        <f>(C454 - $B$495) / $B$496</f>
        <v/>
      </c>
      <c r="G454" s="2">
        <f>IF(F454&lt;-0.5,"Murah",IF(F454&lt;0.5,"Sedang","Mahal"))</f>
        <v/>
      </c>
    </row>
    <row r="455">
      <c r="A455" s="2" t="n">
        <v>454</v>
      </c>
      <c r="B455" s="2" t="inlineStr">
        <is>
          <t>Dekker Koffie</t>
        </is>
      </c>
      <c r="C455" s="2" t="n">
        <v>99000</v>
      </c>
      <c r="D455" s="2" t="n">
        <v>-7.9627919</v>
      </c>
      <c r="E455" s="2" t="n">
        <v>112.6201583</v>
      </c>
      <c r="F455" s="3">
        <f>(C455 - $B$495) / $B$496</f>
        <v/>
      </c>
      <c r="G455" s="2">
        <f>IF(F455&lt;-0.5,"Murah",IF(F455&lt;0.5,"Sedang","Mahal"))</f>
        <v/>
      </c>
    </row>
    <row r="456">
      <c r="A456" s="2" t="n">
        <v>455</v>
      </c>
      <c r="B456" s="2" t="inlineStr">
        <is>
          <t>Robucca</t>
        </is>
      </c>
      <c r="C456" s="2" t="n">
        <v>47500</v>
      </c>
      <c r="D456" s="2" t="n">
        <v>-7.9794879</v>
      </c>
      <c r="E456" s="2" t="n">
        <v>112.6173849</v>
      </c>
      <c r="F456" s="3">
        <f>(C456 - $B$495) / $B$496</f>
        <v/>
      </c>
      <c r="G456" s="2">
        <f>IF(F456&lt;-0.5,"Murah",IF(F456&lt;0.5,"Sedang","Mahal"))</f>
        <v/>
      </c>
    </row>
    <row r="457">
      <c r="A457" s="2" t="n">
        <v>456</v>
      </c>
      <c r="B457" s="2" t="inlineStr">
        <is>
          <t>KAF Cafe</t>
        </is>
      </c>
      <c r="C457" s="2" t="n">
        <v>133000</v>
      </c>
      <c r="D457" s="2" t="n">
        <v>-7.9450156</v>
      </c>
      <c r="E457" s="2" t="n">
        <v>112.6115516</v>
      </c>
      <c r="F457" s="3">
        <f>(C457 - $B$495) / $B$496</f>
        <v/>
      </c>
      <c r="G457" s="2">
        <f>IF(F457&lt;-0.5,"Murah",IF(F457&lt;0.5,"Sedang","Mahal"))</f>
        <v/>
      </c>
    </row>
    <row r="458">
      <c r="A458" s="2" t="n">
        <v>457</v>
      </c>
      <c r="B458" s="2" t="inlineStr">
        <is>
          <t>the lust coffee &amp; co</t>
        </is>
      </c>
      <c r="C458" s="2" t="n">
        <v>26000</v>
      </c>
      <c r="D458" s="2" t="n">
        <v>-7.9409434</v>
      </c>
      <c r="E458" s="2" t="n">
        <v>112.6606436</v>
      </c>
      <c r="F458" s="3">
        <f>(C458 - $B$495) / $B$496</f>
        <v/>
      </c>
      <c r="G458" s="2">
        <f>IF(F458&lt;-0.5,"Murah",IF(F458&lt;0.5,"Sedang","Mahal"))</f>
        <v/>
      </c>
    </row>
    <row r="459">
      <c r="A459" s="2" t="n">
        <v>458</v>
      </c>
      <c r="B459" s="2" t="inlineStr">
        <is>
          <t>Hidden Leaf Coffee &amp; Roastery</t>
        </is>
      </c>
      <c r="C459" s="2" t="n">
        <v>34375</v>
      </c>
      <c r="D459" s="2" t="n">
        <v>-8.023792800000001</v>
      </c>
      <c r="E459" s="2" t="n">
        <v>112.6427065</v>
      </c>
      <c r="F459" s="3">
        <f>(C459 - $B$495) / $B$496</f>
        <v/>
      </c>
      <c r="G459" s="2">
        <f>IF(F459&lt;-0.5,"Murah",IF(F459&lt;0.5,"Sedang","Mahal"))</f>
        <v/>
      </c>
    </row>
    <row r="460">
      <c r="A460" s="2" t="n">
        <v>459</v>
      </c>
      <c r="B460" s="2" t="inlineStr">
        <is>
          <t>Soma Coffee - Malang</t>
        </is>
      </c>
      <c r="C460" s="2" t="n">
        <v>140000</v>
      </c>
      <c r="D460" s="2" t="n">
        <v>-7.9787275</v>
      </c>
      <c r="E460" s="2" t="n">
        <v>112.6292464</v>
      </c>
      <c r="F460" s="3">
        <f>(C460 - $B$495) / $B$496</f>
        <v/>
      </c>
      <c r="G460" s="2">
        <f>IF(F460&lt;-0.5,"Murah",IF(F460&lt;0.5,"Sedang","Mahal"))</f>
        <v/>
      </c>
    </row>
    <row r="461">
      <c r="A461" s="2" t="n">
        <v>460</v>
      </c>
      <c r="B461" s="2" t="inlineStr">
        <is>
          <t>All About Koffie by Kawisari</t>
        </is>
      </c>
      <c r="C461" s="2" t="n">
        <v>61000</v>
      </c>
      <c r="D461" s="2" t="n">
        <v>-7.9782753</v>
      </c>
      <c r="E461" s="2" t="n">
        <v>112.6291264</v>
      </c>
      <c r="F461" s="3">
        <f>(C461 - $B$495) / $B$496</f>
        <v/>
      </c>
      <c r="G461" s="2">
        <f>IF(F461&lt;-0.5,"Murah",IF(F461&lt;0.5,"Sedang","Mahal"))</f>
        <v/>
      </c>
    </row>
    <row r="462">
      <c r="A462" s="2" t="n">
        <v>461</v>
      </c>
      <c r="B462" s="2" t="inlineStr">
        <is>
          <t>Lupa Lelah Cafe</t>
        </is>
      </c>
      <c r="C462" s="2" t="n">
        <v>22000</v>
      </c>
      <c r="D462" s="2" t="n">
        <v>-7.9344841</v>
      </c>
      <c r="E462" s="2" t="n">
        <v>112.6291273</v>
      </c>
      <c r="F462" s="3">
        <f>(C462 - $B$495) / $B$496</f>
        <v/>
      </c>
      <c r="G462" s="2">
        <f>IF(F462&lt;-0.5,"Murah",IF(F462&lt;0.5,"Sedang","Mahal"))</f>
        <v/>
      </c>
    </row>
    <row r="463">
      <c r="A463" s="2" t="n">
        <v>462</v>
      </c>
      <c r="B463" s="2" t="inlineStr">
        <is>
          <t>Kopi Kakak - Pucang Anom Timur</t>
        </is>
      </c>
      <c r="C463" s="2" t="n">
        <v>144000</v>
      </c>
      <c r="D463" s="2" t="n">
        <v>-7.2848976</v>
      </c>
      <c r="E463" s="2" t="n">
        <v>112.755551</v>
      </c>
      <c r="F463" s="3">
        <f>(C463 - $B$495) / $B$496</f>
        <v/>
      </c>
      <c r="G463" s="2">
        <f>IF(F463&lt;-0.5,"Murah",IF(F463&lt;0.5,"Sedang","Mahal"))</f>
        <v/>
      </c>
    </row>
    <row r="464">
      <c r="A464" s="2" t="n">
        <v>463</v>
      </c>
      <c r="B464" s="2" t="inlineStr">
        <is>
          <t>De Historien Koffie Malang</t>
        </is>
      </c>
      <c r="C464" s="2" t="n">
        <v>31000</v>
      </c>
      <c r="D464" s="2" t="n">
        <v>-7.9336821</v>
      </c>
      <c r="E464" s="2" t="n">
        <v>112.6499203</v>
      </c>
      <c r="F464" s="3">
        <f>(C464 - $B$495) / $B$496</f>
        <v/>
      </c>
      <c r="G464" s="2">
        <f>IF(F464&lt;-0.5,"Murah",IF(F464&lt;0.5,"Sedang","Mahal"))</f>
        <v/>
      </c>
    </row>
    <row r="465">
      <c r="A465" s="2" t="n">
        <v>464</v>
      </c>
      <c r="B465" s="2" t="inlineStr">
        <is>
          <t>coffee story</t>
        </is>
      </c>
      <c r="C465" s="2" t="n">
        <v>63000</v>
      </c>
      <c r="D465" s="2" t="n">
        <v>-7.9825009</v>
      </c>
      <c r="E465" s="2" t="n">
        <v>112.6365566</v>
      </c>
      <c r="F465" s="3">
        <f>(C465 - $B$495) / $B$496</f>
        <v/>
      </c>
      <c r="G465" s="2">
        <f>IF(F465&lt;-0.5,"Murah",IF(F465&lt;0.5,"Sedang","Mahal"))</f>
        <v/>
      </c>
    </row>
    <row r="466">
      <c r="A466" s="2" t="n">
        <v>465</v>
      </c>
      <c r="B466" s="2" t="inlineStr">
        <is>
          <t>Motiv Coffee</t>
        </is>
      </c>
      <c r="C466" s="2" t="n">
        <v>35000</v>
      </c>
      <c r="D466" s="2" t="n">
        <v>-7.9462133</v>
      </c>
      <c r="E466" s="2" t="n">
        <v>112.6131483</v>
      </c>
      <c r="F466" s="3">
        <f>(C466 - $B$495) / $B$496</f>
        <v/>
      </c>
      <c r="G466" s="2">
        <f>IF(F466&lt;-0.5,"Murah",IF(F466&lt;0.5,"Sedang","Mahal"))</f>
        <v/>
      </c>
    </row>
    <row r="467">
      <c r="A467" s="2" t="n">
        <v>466</v>
      </c>
      <c r="B467" s="2" t="inlineStr">
        <is>
          <t>Calathea Garden</t>
        </is>
      </c>
      <c r="C467" s="2" t="n">
        <v>19500</v>
      </c>
      <c r="D467" s="2" t="n">
        <v>-7.9807485</v>
      </c>
      <c r="E467" s="2" t="n">
        <v>112.629032</v>
      </c>
      <c r="F467" s="3">
        <f>(C467 - $B$495) / $B$496</f>
        <v/>
      </c>
      <c r="G467" s="2">
        <f>IF(F467&lt;-0.5,"Murah",IF(F467&lt;0.5,"Sedang","Mahal"))</f>
        <v/>
      </c>
    </row>
    <row r="468">
      <c r="A468" s="2" t="n">
        <v>467</v>
      </c>
      <c r="B468" s="2" t="inlineStr">
        <is>
          <t>Kopi Zocco</t>
        </is>
      </c>
      <c r="C468" s="2" t="n">
        <v>53000</v>
      </c>
      <c r="D468" s="2" t="n">
        <v>-7.9575219</v>
      </c>
      <c r="E468" s="2" t="n">
        <v>112.6451674</v>
      </c>
      <c r="F468" s="3">
        <f>(C468 - $B$495) / $B$496</f>
        <v/>
      </c>
      <c r="G468" s="2">
        <f>IF(F468&lt;-0.5,"Murah",IF(F468&lt;0.5,"Sedang","Mahal"))</f>
        <v/>
      </c>
    </row>
    <row r="469">
      <c r="A469" s="2" t="n">
        <v>468</v>
      </c>
      <c r="B469" s="2" t="inlineStr">
        <is>
          <t>Sixteenhaus</t>
        </is>
      </c>
      <c r="C469" s="2" t="n">
        <v>45000</v>
      </c>
      <c r="D469" s="2" t="n">
        <v>-7.9758449</v>
      </c>
      <c r="E469" s="2" t="n">
        <v>112.6171499</v>
      </c>
      <c r="F469" s="3">
        <f>(C469 - $B$495) / $B$496</f>
        <v/>
      </c>
      <c r="G469" s="2">
        <f>IF(F469&lt;-0.5,"Murah",IF(F469&lt;0.5,"Sedang","Mahal"))</f>
        <v/>
      </c>
    </row>
    <row r="470">
      <c r="A470" s="2" t="n">
        <v>469</v>
      </c>
      <c r="B470" s="2" t="inlineStr">
        <is>
          <t>KOZI Coffee Malang</t>
        </is>
      </c>
      <c r="C470" s="2" t="n">
        <v>60000</v>
      </c>
      <c r="D470" s="2" t="n">
        <v>-7.9618078</v>
      </c>
      <c r="E470" s="2" t="n">
        <v>112.6242126</v>
      </c>
      <c r="F470" s="3">
        <f>(C470 - $B$495) / $B$496</f>
        <v/>
      </c>
      <c r="G470" s="2">
        <f>IF(F470&lt;-0.5,"Murah",IF(F470&lt;0.5,"Sedang","Mahal"))</f>
        <v/>
      </c>
    </row>
    <row r="471">
      <c r="A471" s="2" t="n">
        <v>470</v>
      </c>
      <c r="B471" s="2" t="inlineStr">
        <is>
          <t>Queen coffee malang</t>
        </is>
      </c>
      <c r="C471" s="2" t="n">
        <v>12500</v>
      </c>
      <c r="D471" s="2" t="n">
        <v>-7.9725129</v>
      </c>
      <c r="E471" s="2" t="n">
        <v>112.6418945</v>
      </c>
      <c r="F471" s="3">
        <f>(C471 - $B$495) / $B$496</f>
        <v/>
      </c>
      <c r="G471" s="2">
        <f>IF(F471&lt;-0.5,"Murah",IF(F471&lt;0.5,"Sedang","Mahal"))</f>
        <v/>
      </c>
    </row>
    <row r="472">
      <c r="A472" s="2" t="n">
        <v>471</v>
      </c>
      <c r="B472" s="2" t="inlineStr">
        <is>
          <t>Kopi Sontoloyo</t>
        </is>
      </c>
      <c r="C472" s="2" t="n">
        <v>15000</v>
      </c>
      <c r="D472" s="2" t="n">
        <v>-7.938053</v>
      </c>
      <c r="E472" s="2" t="n">
        <v>112.5849777</v>
      </c>
      <c r="F472" s="3">
        <f>(C472 - $B$495) / $B$496</f>
        <v/>
      </c>
      <c r="G472" s="2">
        <f>IF(F472&lt;-0.5,"Murah",IF(F472&lt;0.5,"Sedang","Mahal"))</f>
        <v/>
      </c>
    </row>
    <row r="473">
      <c r="A473" s="2" t="n">
        <v>472</v>
      </c>
      <c r="B473" s="2" t="inlineStr">
        <is>
          <t>Jeda Cafe Rooftop</t>
        </is>
      </c>
      <c r="C473" s="2" t="n">
        <v>60000</v>
      </c>
      <c r="D473" s="2" t="n">
        <v>-7.9276466</v>
      </c>
      <c r="E473" s="2" t="n">
        <v>112.6063469</v>
      </c>
      <c r="F473" s="3">
        <f>(C473 - $B$495) / $B$496</f>
        <v/>
      </c>
      <c r="G473" s="2">
        <f>IF(F473&lt;-0.5,"Murah",IF(F473&lt;0.5,"Sedang","Mahal"))</f>
        <v/>
      </c>
    </row>
    <row r="474">
      <c r="A474" s="2" t="n">
        <v>473</v>
      </c>
      <c r="B474" s="2" t="inlineStr">
        <is>
          <t>Blue Doors Surabaya</t>
        </is>
      </c>
      <c r="C474" s="2" t="n">
        <v>60000</v>
      </c>
      <c r="D474" s="2" t="n">
        <v>-7.2777983</v>
      </c>
      <c r="E474" s="2" t="n">
        <v>112.7356596</v>
      </c>
      <c r="F474" s="3">
        <f>(C474 - $B$495) / $B$496</f>
        <v/>
      </c>
      <c r="G474" s="2">
        <f>IF(F474&lt;-0.5,"Murah",IF(F474&lt;0.5,"Sedang","Mahal"))</f>
        <v/>
      </c>
    </row>
    <row r="475">
      <c r="A475" s="2" t="n">
        <v>474</v>
      </c>
      <c r="B475" s="2" t="inlineStr">
        <is>
          <t>OURA - Cafe &amp; Restaurant</t>
        </is>
      </c>
      <c r="C475" s="2" t="n">
        <v>189750</v>
      </c>
      <c r="D475" s="2" t="n">
        <v>-7.9678288</v>
      </c>
      <c r="E475" s="2" t="n">
        <v>112.6217853</v>
      </c>
      <c r="F475" s="3">
        <f>(C475 - $B$495) / $B$496</f>
        <v/>
      </c>
      <c r="G475" s="2">
        <f>IF(F475&lt;-0.5,"Murah",IF(F475&lt;0.5,"Sedang","Mahal"))</f>
        <v/>
      </c>
    </row>
    <row r="476">
      <c r="A476" s="2" t="n">
        <v>475</v>
      </c>
      <c r="B476" s="2" t="inlineStr">
        <is>
          <t>Amstirdam Coffee Mergan</t>
        </is>
      </c>
      <c r="C476" s="2" t="n">
        <v>250000</v>
      </c>
      <c r="D476" s="2" t="n">
        <v>-7.983007</v>
      </c>
      <c r="E476" s="2" t="n">
        <v>112.6160149</v>
      </c>
      <c r="F476" s="3">
        <f>(C476 - $B$495) / $B$496</f>
        <v/>
      </c>
      <c r="G476" s="2">
        <f>IF(F476&lt;-0.5,"Murah",IF(F476&lt;0.5,"Sedang","Mahal"))</f>
        <v/>
      </c>
    </row>
    <row r="477">
      <c r="A477" s="2" t="n">
        <v>476</v>
      </c>
      <c r="B477" s="2" t="inlineStr">
        <is>
          <t>Konoae Warung A La Cafe, Klampis Ngasem</t>
        </is>
      </c>
      <c r="C477" s="2" t="n">
        <v>65800</v>
      </c>
      <c r="D477" s="2" t="n">
        <v>-7.2840839</v>
      </c>
      <c r="E477" s="2" t="n">
        <v>112.7757231</v>
      </c>
      <c r="F477" s="3">
        <f>(C477 - $B$495) / $B$496</f>
        <v/>
      </c>
      <c r="G477" s="2">
        <f>IF(F477&lt;-0.5,"Murah",IF(F477&lt;0.5,"Sedang","Mahal"))</f>
        <v/>
      </c>
    </row>
    <row r="478">
      <c r="A478" s="2" t="n">
        <v>477</v>
      </c>
      <c r="B478" s="2" t="inlineStr">
        <is>
          <t>LOT #1 Coffee Bar</t>
        </is>
      </c>
      <c r="C478" s="2" t="n">
        <v>73750</v>
      </c>
      <c r="D478" s="2" t="n">
        <v>-7.2707183</v>
      </c>
      <c r="E478" s="2" t="n">
        <v>112.7908659</v>
      </c>
      <c r="F478" s="3">
        <f>(C478 - $B$495) / $B$496</f>
        <v/>
      </c>
      <c r="G478" s="2">
        <f>IF(F478&lt;-0.5,"Murah",IF(F478&lt;0.5,"Sedang","Mahal"))</f>
        <v/>
      </c>
    </row>
    <row r="479">
      <c r="A479" s="2" t="n">
        <v>478</v>
      </c>
      <c r="B479" s="2" t="inlineStr">
        <is>
          <t>LaLeite Coffee</t>
        </is>
      </c>
      <c r="C479" s="2" t="n">
        <v>275000</v>
      </c>
      <c r="D479" s="2" t="n">
        <v>-7.9410234</v>
      </c>
      <c r="E479" s="2" t="n">
        <v>112.637541</v>
      </c>
      <c r="F479" s="3">
        <f>(C479 - $B$495) / $B$496</f>
        <v/>
      </c>
      <c r="G479" s="2">
        <f>IF(F479&lt;-0.5,"Murah",IF(F479&lt;0.5,"Sedang","Mahal"))</f>
        <v/>
      </c>
    </row>
    <row r="480">
      <c r="A480" s="2" t="n">
        <v>479</v>
      </c>
      <c r="B480" s="2" t="inlineStr">
        <is>
          <t>Grain Alley</t>
        </is>
      </c>
      <c r="C480" s="2" t="n">
        <v>178250</v>
      </c>
      <c r="D480" s="2" t="n">
        <v>-7.967947</v>
      </c>
      <c r="E480" s="2" t="n">
        <v>112.6253293</v>
      </c>
      <c r="F480" s="3">
        <f>(C480 - $B$495) / $B$496</f>
        <v/>
      </c>
      <c r="G480" s="2">
        <f>IF(F480&lt;-0.5,"Murah",IF(F480&lt;0.5,"Sedang","Mahal"))</f>
        <v/>
      </c>
    </row>
    <row r="481">
      <c r="A481" s="2" t="n">
        <v>480</v>
      </c>
      <c r="B481" s="2" t="inlineStr">
        <is>
          <t>MMMM Coffee</t>
        </is>
      </c>
      <c r="C481" s="2" t="n">
        <v>76000</v>
      </c>
      <c r="D481" s="2" t="n">
        <v>-7.9755356</v>
      </c>
      <c r="E481" s="2" t="n">
        <v>112.6228085</v>
      </c>
      <c r="F481" s="3">
        <f>(C481 - $B$495) / $B$496</f>
        <v/>
      </c>
      <c r="G481" s="2">
        <f>IF(F481&lt;-0.5,"Murah",IF(F481&lt;0.5,"Sedang","Mahal"))</f>
        <v/>
      </c>
    </row>
    <row r="482">
      <c r="A482" s="2" t="n">
        <v>481</v>
      </c>
      <c r="B482" s="2" t="inlineStr">
        <is>
          <t>La Luna Space</t>
        </is>
      </c>
      <c r="C482" s="2" t="n">
        <v>50000</v>
      </c>
      <c r="D482" s="2" t="n">
        <v>-7.9557214</v>
      </c>
      <c r="E482" s="2" t="n">
        <v>112.6057954</v>
      </c>
      <c r="F482" s="3">
        <f>(C482 - $B$495) / $B$496</f>
        <v/>
      </c>
      <c r="G482" s="2">
        <f>IF(F482&lt;-0.5,"Murah",IF(F482&lt;0.5,"Sedang","Mahal"))</f>
        <v/>
      </c>
    </row>
    <row r="483">
      <c r="A483" s="2" t="n">
        <v>482</v>
      </c>
      <c r="B483" s="2" t="inlineStr">
        <is>
          <t>UB Coffee - Coffee &amp; Eatery</t>
        </is>
      </c>
      <c r="C483" s="2" t="n">
        <v>54000</v>
      </c>
      <c r="D483" s="2" t="n">
        <v>-7.9477396</v>
      </c>
      <c r="E483" s="2" t="n">
        <v>112.6132613</v>
      </c>
      <c r="F483" s="3">
        <f>(C483 - $B$495) / $B$496</f>
        <v/>
      </c>
      <c r="G483" s="2">
        <f>IF(F483&lt;-0.5,"Murah",IF(F483&lt;0.5,"Sedang","Mahal"))</f>
        <v/>
      </c>
    </row>
    <row r="484">
      <c r="A484" s="2" t="n">
        <v>483</v>
      </c>
      <c r="B484" s="2" t="inlineStr">
        <is>
          <t>Droomhaven Coffee Shop</t>
        </is>
      </c>
      <c r="C484" s="2" t="n">
        <v>150000</v>
      </c>
      <c r="D484" s="2" t="n">
        <v>-7.9641398</v>
      </c>
      <c r="E484" s="2" t="n">
        <v>112.6428931</v>
      </c>
      <c r="F484" s="3">
        <f>(C484 - $B$495) / $B$496</f>
        <v/>
      </c>
      <c r="G484" s="2">
        <f>IF(F484&lt;-0.5,"Murah",IF(F484&lt;0.5,"Sedang","Mahal"))</f>
        <v/>
      </c>
    </row>
    <row r="485">
      <c r="A485" s="2" t="n">
        <v>484</v>
      </c>
      <c r="B485" s="2" t="inlineStr">
        <is>
          <t>KOPI BUJEND</t>
        </is>
      </c>
      <c r="C485" s="2" t="n">
        <v>12700</v>
      </c>
      <c r="D485" s="2" t="n">
        <v>-7.2664116</v>
      </c>
      <c r="E485" s="2" t="n">
        <v>112.7714516</v>
      </c>
      <c r="F485" s="3">
        <f>(C485 - $B$495) / $B$496</f>
        <v/>
      </c>
      <c r="G485" s="2">
        <f>IF(F485&lt;-0.5,"Murah",IF(F485&lt;0.5,"Sedang","Mahal"))</f>
        <v/>
      </c>
    </row>
    <row r="486">
      <c r="A486" s="2" t="n">
        <v>485</v>
      </c>
      <c r="B486" s="2" t="inlineStr">
        <is>
          <t>Kopi Titik Koma Tenggilis</t>
        </is>
      </c>
      <c r="C486" s="2" t="n">
        <v>119000</v>
      </c>
      <c r="D486" s="2" t="n">
        <v>-7.3203757</v>
      </c>
      <c r="E486" s="2" t="n">
        <v>112.7663575</v>
      </c>
      <c r="F486" s="3">
        <f>(C486 - $B$495) / $B$496</f>
        <v/>
      </c>
      <c r="G486" s="2">
        <f>IF(F486&lt;-0.5,"Murah",IF(F486&lt;0.5,"Sedang","Mahal"))</f>
        <v/>
      </c>
    </row>
    <row r="487">
      <c r="A487" s="2" t="n">
        <v>486</v>
      </c>
      <c r="B487" s="2" t="inlineStr">
        <is>
          <t>Seniman Coffee Trunojoyo</t>
        </is>
      </c>
      <c r="C487" s="2" t="n">
        <v>322936</v>
      </c>
      <c r="D487" s="2" t="n">
        <v>-7.2848579</v>
      </c>
      <c r="E487" s="2" t="n">
        <v>112.735288</v>
      </c>
      <c r="F487" s="3">
        <f>(C487 - $B$495) / $B$496</f>
        <v/>
      </c>
      <c r="G487" s="2">
        <f>IF(F487&lt;-0.5,"Murah",IF(F487&lt;0.5,"Sedang","Mahal"))</f>
        <v/>
      </c>
    </row>
    <row r="488">
      <c r="A488" s="2" t="n">
        <v>487</v>
      </c>
      <c r="B488" s="2" t="inlineStr">
        <is>
          <t>Tenthirty coffee and eatery</t>
        </is>
      </c>
      <c r="C488" s="2" t="n">
        <v>33000</v>
      </c>
      <c r="D488" s="2" t="n">
        <v>-7.9360908</v>
      </c>
      <c r="E488" s="2" t="n">
        <v>112.6247192</v>
      </c>
      <c r="F488" s="3">
        <f>(C488 - $B$495) / $B$496</f>
        <v/>
      </c>
      <c r="G488" s="2">
        <f>IF(F488&lt;-0.5,"Murah",IF(F488&lt;0.5,"Sedang","Mahal"))</f>
        <v/>
      </c>
    </row>
    <row r="489">
      <c r="A489" s="2" t="n">
        <v>488</v>
      </c>
      <c r="B489" s="2" t="inlineStr">
        <is>
          <t>SWAG COFFEE Co. Space</t>
        </is>
      </c>
      <c r="C489" s="2" t="n">
        <v>60000</v>
      </c>
      <c r="D489" s="2" t="n">
        <v>-7.9703752</v>
      </c>
      <c r="E489" s="2" t="n">
        <v>112.6607042</v>
      </c>
      <c r="F489" s="3">
        <f>(C489 - $B$495) / $B$496</f>
        <v/>
      </c>
      <c r="G489" s="2">
        <f>IF(F489&lt;-0.5,"Murah",IF(F489&lt;0.5,"Sedang","Mahal"))</f>
        <v/>
      </c>
    </row>
    <row r="490">
      <c r="A490" s="2" t="n">
        <v>489</v>
      </c>
      <c r="B490" s="2" t="inlineStr">
        <is>
          <t>Retawu Deli</t>
        </is>
      </c>
      <c r="C490" s="2" t="n">
        <v>86350</v>
      </c>
      <c r="D490" s="2" t="n">
        <v>-7.9710993</v>
      </c>
      <c r="E490" s="2" t="n">
        <v>112.6208851</v>
      </c>
      <c r="F490" s="3">
        <f>(C490 - $B$495) / $B$496</f>
        <v/>
      </c>
      <c r="G490" s="2">
        <f>IF(F490&lt;-0.5,"Murah",IF(F490&lt;0.5,"Sedang","Mahal"))</f>
        <v/>
      </c>
    </row>
    <row r="491">
      <c r="A491" s="2" t="n">
        <v>490</v>
      </c>
      <c r="B491" s="2" t="inlineStr">
        <is>
          <t>Partikular Coffee</t>
        </is>
      </c>
      <c r="C491" s="2" t="n">
        <v>238000</v>
      </c>
      <c r="D491" s="2" t="n">
        <v>-7.9810387</v>
      </c>
      <c r="E491" s="2" t="n">
        <v>112.6278531</v>
      </c>
      <c r="F491" s="3">
        <f>(C491 - $B$495) / $B$496</f>
        <v/>
      </c>
      <c r="G491" s="2">
        <f>IF(F491&lt;-0.5,"Murah",IF(F491&lt;0.5,"Sedang","Mahal"))</f>
        <v/>
      </c>
    </row>
    <row r="492">
      <c r="A492" s="2" t="n">
        <v>491</v>
      </c>
      <c r="B492" s="2" t="inlineStr">
        <is>
          <t>Nasi Babat Kampung Malang Surabaya</t>
        </is>
      </c>
      <c r="C492" s="2" t="n">
        <v>35000</v>
      </c>
      <c r="D492" s="2" t="n">
        <v>-7.2705997</v>
      </c>
      <c r="E492" s="2" t="n">
        <v>112.7351861</v>
      </c>
      <c r="F492" s="3">
        <f>(C492 - $B$495) / $B$496</f>
        <v/>
      </c>
      <c r="G492" s="2">
        <f>IF(F492&lt;-0.5,"Murah",IF(F492&lt;0.5,"Sedang","Mahal"))</f>
        <v/>
      </c>
    </row>
    <row r="493"/>
    <row r="494"/>
    <row r="495">
      <c r="A495" s="4" t="inlineStr">
        <is>
          <t>Mean (μ):</t>
        </is>
      </c>
      <c r="B495" s="5">
        <f>AVERAGE(C2:C492)</f>
        <v/>
      </c>
    </row>
    <row r="496">
      <c r="A496" s="4" t="inlineStr">
        <is>
          <t>Std Dev (σ):</t>
        </is>
      </c>
      <c r="B496" s="5">
        <f>STDEVP(C2:C492)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6" t="inlineStr">
        <is>
          <t>PENJELASAN Z-SCORE NORMALIZATION</t>
        </is>
      </c>
    </row>
    <row r="2">
      <c r="A2" t="inlineStr"/>
    </row>
    <row r="3">
      <c r="A3" s="7" t="inlineStr">
        <is>
          <t>Apa itu Z-Score Normalization?</t>
        </is>
      </c>
    </row>
    <row r="4">
      <c r="A4" t="inlineStr">
        <is>
          <t>Z-Score adalah metode standardisasi data yang mengubah data menjadi skala standar</t>
        </is>
      </c>
    </row>
    <row r="5">
      <c r="A5" t="inlineStr">
        <is>
          <t>dengan mean = 0 dan standard deviation = 1.</t>
        </is>
      </c>
    </row>
    <row r="6">
      <c r="A6" t="inlineStr"/>
    </row>
    <row r="7">
      <c r="A7" s="7" t="inlineStr">
        <is>
          <t>Rumus (sesuai paper Madura Fuzzy):</t>
        </is>
      </c>
    </row>
    <row r="8">
      <c r="A8" t="inlineStr">
        <is>
          <t>Zi = (Xi - μ) / σ</t>
        </is>
      </c>
    </row>
    <row r="9">
      <c r="A9" t="inlineStr"/>
    </row>
    <row r="10">
      <c r="A10" t="inlineStr">
        <is>
          <t>Keterangan:</t>
        </is>
      </c>
    </row>
    <row r="11">
      <c r="A11" t="inlineStr">
        <is>
          <t>- Zi = Z-Score (hasil normalisasi)</t>
        </is>
      </c>
    </row>
    <row r="12">
      <c r="A12" t="inlineStr">
        <is>
          <t>- Xi = nilai asli (harga dalam Rupiah)</t>
        </is>
      </c>
    </row>
    <row r="13">
      <c r="A13" t="inlineStr">
        <is>
          <t>- μ  = mean/rata-rata dari semua harga</t>
        </is>
      </c>
    </row>
    <row r="14">
      <c r="A14" t="inlineStr">
        <is>
          <t>- σ  = standard deviation (standar deviasi)</t>
        </is>
      </c>
    </row>
    <row r="15">
      <c r="A15" t="inlineStr"/>
    </row>
    <row r="16">
      <c r="A16" s="7" t="inlineStr">
        <is>
          <t>Interpretasi Z-Score:</t>
        </is>
      </c>
    </row>
    <row r="17">
      <c r="A17" t="inlineStr">
        <is>
          <t>Z &lt; -0.5  : Murah (di bawah rata-rata)</t>
        </is>
      </c>
    </row>
    <row r="18">
      <c r="A18" t="inlineStr">
        <is>
          <t>Z -0.5~0.5: Sedang (sekitar rata-rata)</t>
        </is>
      </c>
    </row>
    <row r="19">
      <c r="A19" t="inlineStr">
        <is>
          <t>Z &gt; 0.5   : Mahal (di atas rata-rata)</t>
        </is>
      </c>
    </row>
    <row r="20">
      <c r="A20" t="inlineStr"/>
    </row>
    <row r="21">
      <c r="A21" s="7" t="inlineStr">
        <is>
          <t>CATATAN PENTING:</t>
        </is>
      </c>
    </row>
    <row r="22">
      <c r="A22" t="inlineStr">
        <is>
          <t>Z-Score NEGATIF ≠ Harga negatif!</t>
        </is>
      </c>
    </row>
    <row r="23">
      <c r="A23" t="inlineStr">
        <is>
          <t>Z-Score negatif hanya berarti 'di bawah rata-rata'</t>
        </is>
      </c>
    </row>
    <row r="24">
      <c r="A24" t="inlineStr"/>
    </row>
    <row r="25">
      <c r="A25" t="inlineStr">
        <is>
          <t>Contoh:</t>
        </is>
      </c>
    </row>
    <row r="26">
      <c r="A26" t="inlineStr">
        <is>
          <t>Jika mean harga = Rp 100,000 dan std = Rp 50,000</t>
        </is>
      </c>
    </row>
    <row r="27">
      <c r="A27" t="inlineStr">
        <is>
          <t>Hotel dengan harga Rp 50,000:</t>
        </is>
      </c>
    </row>
    <row r="28">
      <c r="A28" t="inlineStr">
        <is>
          <t>Z-Score = (50,000 - 100,000) / 50,000 = -1.0</t>
        </is>
      </c>
    </row>
    <row r="29">
      <c r="A29" t="inlineStr">
        <is>
          <t>Harga TETAP POSITIF (Rp 50,000)</t>
        </is>
      </c>
    </row>
    <row r="30">
      <c r="A30" t="inlineStr">
        <is>
          <t>Z-Score negatif (-1.0) artinya: 1 standar deviasi DI BAWAH mean</t>
        </is>
      </c>
    </row>
    <row r="31">
      <c r="A31" t="inlineStr"/>
    </row>
    <row r="32">
      <c r="A32" s="7" t="inlineStr">
        <is>
          <t>Referensi:</t>
        </is>
      </c>
    </row>
    <row r="33">
      <c r="A33" t="inlineStr">
        <is>
          <t>Paper: Fuzzy C-Means and Fuzzy C-Medoids Clustering for Tourist Attractions in Madura</t>
        </is>
      </c>
    </row>
    <row r="34">
      <c r="A34" t="inlineStr">
        <is>
          <t>Formula pada halaman 3, persamaan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2023-01-01T00:06:45Z</dcterms:created>
  <dcterms:modified xmlns:dcterms="http://purl.org/dc/terms/" xmlns:xsi="http://www.w3.org/2001/XMLSchema-instance" xsi:type="dcterms:W3CDTF">2023-01-01T00:06:45Z</dcterms:modified>
</cp:coreProperties>
</file>