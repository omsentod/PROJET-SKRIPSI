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set_Wisata" sheetId="2" state="visible" r:id="rId2"/>
    <sheet name="Dataset_Hotel" sheetId="3" state="visible" r:id="rId3"/>
    <sheet name="Dataset_Kuliner" sheetId="4" state="visible" r:id="rId4"/>
    <sheet name="Evaluasi_FCM_XieBeni" sheetId="5" state="visible" r:id="rId5"/>
    <sheet name="Workflow_1_BudgetFirst" sheetId="6" state="visible" r:id="rId6"/>
    <sheet name="Workflow_2_Flexible" sheetId="7" state="visible" r:id="rId7"/>
    <sheet name="Workflow_3_DestFir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Rp #,##0"/>
    <numFmt numFmtId="165" formatCode="0.0%"/>
    <numFmt numFmtId="166" formatCode="0.000000"/>
    <numFmt numFmtId="167" formatCode="0.0"/>
    <numFmt numFmtId="168" formatCode="0.00 km"/>
    <numFmt numFmtId="169" formatCode="0.0000"/>
  </numFmts>
  <fonts count="7">
    <font>
      <name val="Calibri"/>
      <family val="2"/>
      <color theme="1"/>
      <sz val="11"/>
      <scheme val="minor"/>
    </font>
    <font>
      <name val="Segoe UI"/>
      <b val="1"/>
      <color rgb="FFFFFFFF"/>
      <sz val="16"/>
    </font>
    <font>
      <name val="Segoe UI"/>
      <b val="1"/>
      <color rgb="FF1F4E79"/>
      <sz val="12"/>
    </font>
    <font>
      <name val="Segoe UI"/>
      <b val="1"/>
      <sz val="10"/>
    </font>
    <font>
      <name val="Segoe UI"/>
      <sz val="10"/>
    </font>
    <font>
      <name val="Segoe UI"/>
      <b val="1"/>
      <color rgb="FFFFFFFF"/>
      <sz val="10"/>
    </font>
    <font>
      <name val="Courier New"/>
      <i val="1"/>
      <color rgb="FF2E4053"/>
      <sz val="9"/>
    </font>
  </fonts>
  <fills count="9">
    <fill>
      <patternFill/>
    </fill>
    <fill>
      <patternFill patternType="gray125"/>
    </fill>
    <fill>
      <patternFill patternType="solid">
        <fgColor rgb="FF2E4053"/>
        <bgColor rgb="FF2E4053"/>
      </patternFill>
    </fill>
    <fill>
      <patternFill patternType="solid">
        <fgColor rgb="FFD6EAF8"/>
        <bgColor rgb="FFD6EAF8"/>
      </patternFill>
    </fill>
    <fill>
      <patternFill patternType="solid">
        <fgColor rgb="FFF2F4F4"/>
        <bgColor rgb="FFF2F4F4"/>
      </patternFill>
    </fill>
    <fill>
      <patternFill patternType="solid">
        <fgColor rgb="FFD1F2EB"/>
        <bgColor rgb="FFD1F2EB"/>
      </patternFill>
    </fill>
    <fill>
      <patternFill patternType="solid">
        <fgColor rgb="FFD4EFDF"/>
        <bgColor rgb="FFD4EFDF"/>
      </patternFill>
    </fill>
    <fill>
      <patternFill patternType="solid">
        <fgColor rgb="FFFCF3CF"/>
        <bgColor rgb="FFFCF3CF"/>
      </patternFill>
    </fill>
    <fill>
      <patternFill patternType="solid">
        <fgColor rgb="FFFADBD8"/>
        <bgColor rgb="FFFADBD8"/>
      </patternFill>
    </fill>
  </fills>
  <borders count="7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/>
      <bottom style="thin">
        <color rgb="FFBDC3C7"/>
      </bottom>
      <diagonal/>
    </border>
    <border>
      <left/>
      <right style="thin">
        <color rgb="FFBDC3C7"/>
      </right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164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" fontId="3" fillId="3" borderId="1" applyAlignment="1" pivotButton="0" quotePrefix="0" xfId="0">
      <alignment horizontal="center" vertical="center" wrapText="1"/>
    </xf>
    <xf numFmtId="49" fontId="3" fillId="3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165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165" fontId="3" fillId="0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pivotButton="0" quotePrefix="0" xfId="0"/>
    <xf numFmtId="164" fontId="4" fillId="0" borderId="1" applyAlignment="1" pivotButton="0" quotePrefix="0" xfId="0">
      <alignment horizontal="right" vertical="center"/>
    </xf>
    <xf numFmtId="0" fontId="3" fillId="7" borderId="1" pivotButton="0" quotePrefix="0" xfId="0"/>
    <xf numFmtId="0" fontId="3" fillId="8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166" fontId="4" fillId="0" borderId="1" pivotButton="0" quotePrefix="0" xfId="0"/>
    <xf numFmtId="167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69" fontId="4" fillId="0" borderId="1" pivotButton="0" quotePrefix="0" xfId="0"/>
    <xf numFmtId="164" fontId="4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3" fillId="5" borderId="1" pivotButton="0" quotePrefix="0" xfId="0"/>
    <xf numFmtId="166" fontId="3" fillId="5" borderId="1" applyAlignment="1" pivotButton="0" quotePrefix="0" xfId="0">
      <alignment horizontal="right" vertical="center"/>
    </xf>
    <xf numFmtId="164" fontId="3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21" customWidth="1" min="3" max="3"/>
    <col width="18" customWidth="1" min="4" max="4"/>
    <col width="18" customWidth="1" min="5" max="5"/>
    <col width="10" customWidth="1" min="6" max="6"/>
    <col width="45" customWidth="1" min="7" max="7"/>
  </cols>
  <sheetData>
    <row r="1">
      <c r="A1" s="1" t="inlineStr">
        <is>
          <t>SISTEM SIMULASI MATEMATIS REKOMENDASI PAKET WISATA</t>
        </is>
      </c>
    </row>
    <row r="2"/>
    <row r="3"/>
    <row r="4">
      <c r="A4" s="2" t="inlineStr">
        <is>
          <t>INPUT PARAMETER SIMULASI (Dapat Diedit)</t>
        </is>
      </c>
      <c r="E4" s="2" t="inlineStr">
        <is>
          <t>RUJUKAN RUMUS SKRIPSI (BAB II)</t>
        </is>
      </c>
    </row>
    <row r="5">
      <c r="A5" s="3" t="inlineStr">
        <is>
          <t>Total Anggaran Liburan (Budget)</t>
        </is>
      </c>
      <c r="B5" s="4" t="n"/>
      <c r="C5" s="5" t="n">
        <v>1500000</v>
      </c>
      <c r="E5" s="6" t="inlineStr">
        <is>
          <t>[Persamaan 2.1]</t>
        </is>
      </c>
      <c r="F5" s="7" t="inlineStr">
        <is>
          <t>FCM Membership Constraint: sum_k(u_ik) = 1</t>
        </is>
      </c>
      <c r="G5" s="4" t="n"/>
    </row>
    <row r="6">
      <c r="A6" s="3" t="inlineStr">
        <is>
          <t>Jumlah Peserta (Orang)</t>
        </is>
      </c>
      <c r="B6" s="4" t="n"/>
      <c r="C6" s="8" t="n">
        <v>2</v>
      </c>
      <c r="E6" s="6" t="inlineStr">
        <is>
          <t>[Persamaan 2.2]</t>
        </is>
      </c>
      <c r="F6" s="7" t="inlineStr">
        <is>
          <t>Pusat Klaster (Centroid v_k) Update Formula</t>
        </is>
      </c>
      <c r="G6" s="4" t="n"/>
    </row>
    <row r="7">
      <c r="A7" s="3" t="inlineStr">
        <is>
          <t>Durasi Perjalanan (Hari)</t>
        </is>
      </c>
      <c r="B7" s="4" t="n"/>
      <c r="C7" s="8" t="n">
        <v>2</v>
      </c>
      <c r="E7" s="6" t="inlineStr">
        <is>
          <t>[Persamaan 2.3]</t>
        </is>
      </c>
      <c r="F7" s="7" t="inlineStr">
        <is>
          <t>Euclidean Distance: d_ik = ||x_i - v_k||</t>
        </is>
      </c>
      <c r="G7" s="4" t="n"/>
    </row>
    <row r="8">
      <c r="A8" s="3" t="inlineStr">
        <is>
          <t>Rasio Skema Inisialisasi Centroid (A-E)</t>
        </is>
      </c>
      <c r="B8" s="4" t="n"/>
      <c r="C8" s="9" t="inlineStr">
        <is>
          <t>B</t>
        </is>
      </c>
      <c r="E8" s="6" t="inlineStr">
        <is>
          <t>[Persamaan 2.4]</t>
        </is>
      </c>
      <c r="F8" s="7" t="inlineStr">
        <is>
          <t>Membership Degree Update: u_ik = f(d_ik/d_ij)</t>
        </is>
      </c>
      <c r="G8" s="4" t="n"/>
    </row>
    <row r="9">
      <c r="A9" s="3" t="inlineStr">
        <is>
          <t>ID Tempat Wisata Pilihan Utama (Locked)</t>
        </is>
      </c>
      <c r="B9" s="4" t="n"/>
      <c r="C9" s="8" t="n">
        <v>1</v>
      </c>
      <c r="E9" s="6" t="inlineStr">
        <is>
          <t>[Persamaan 2.6]</t>
        </is>
      </c>
      <c r="F9" s="7" t="inlineStr">
        <is>
          <t>Total Intra-Cluster Variance (Sigma)</t>
        </is>
      </c>
      <c r="G9" s="4" t="n"/>
    </row>
    <row r="10">
      <c r="E10" s="6" t="inlineStr">
        <is>
          <t>[Persamaan 2.7]</t>
        </is>
      </c>
      <c r="F10" s="7" t="inlineStr">
        <is>
          <t>Minimum Centroid Separation (sep)</t>
        </is>
      </c>
      <c r="G10" s="4" t="n"/>
    </row>
    <row r="11">
      <c r="E11" s="6" t="inlineStr">
        <is>
          <t>[Persamaan 2.8]</t>
        </is>
      </c>
      <c r="F11" s="7" t="inlineStr">
        <is>
          <t>Xie-Beni Index (XB) = Sigma / (n * sep)</t>
        </is>
      </c>
      <c r="G11" s="4" t="n"/>
    </row>
    <row r="12"/>
    <row r="13">
      <c r="A13" s="2" t="inlineStr">
        <is>
          <t>ALOKASI BREAKDOWN ANGGARAN PROPORSIONAL (KONDISI BUDGET-ANCHORED)</t>
        </is>
      </c>
    </row>
    <row r="14"/>
    <row r="15">
      <c r="A15" s="10" t="inlineStr">
        <is>
          <t>Komponen Utama</t>
        </is>
      </c>
      <c r="B15" s="10" t="inlineStr">
        <is>
          <t>Rasio (%)</t>
        </is>
      </c>
      <c r="C15" s="10" t="inlineStr">
        <is>
          <t>Total Alokasi (Rp)</t>
        </is>
      </c>
      <c r="D15" s="10" t="inlineStr">
        <is>
          <t>Satuan Unit</t>
        </is>
      </c>
      <c r="G15" s="10" t="inlineStr">
        <is>
          <t>Keterangan Rumus</t>
        </is>
      </c>
    </row>
    <row r="16">
      <c r="A16" s="11" t="inlineStr">
        <is>
          <t>Akomodasi (Hotel)</t>
        </is>
      </c>
      <c r="B16" s="12" t="n">
        <v>0.4</v>
      </c>
      <c r="C16" s="13">
        <f>C5*0.4</f>
        <v/>
      </c>
      <c r="D16" s="14" t="inlineStr">
        <is>
          <t>night/room</t>
        </is>
      </c>
      <c r="E16" s="13">
        <f>IF(OR(C6=0,C7=1),0,C16/(MAX(C7-1,1)*ROUNDUP(C6/2,0)))</f>
        <v/>
      </c>
      <c r="F16" s="4" t="n"/>
      <c r="G16" s="15" t="inlineStr">
        <is>
          <t>Formula: 40% Budget total / (Malam * Kamar)</t>
        </is>
      </c>
    </row>
    <row r="17">
      <c r="A17" s="11" t="inlineStr">
        <is>
          <t>Wisata (Tiket Masuk)</t>
        </is>
      </c>
      <c r="B17" s="12" t="n">
        <v>0.15</v>
      </c>
      <c r="C17" s="13">
        <f>C5*0.15</f>
        <v/>
      </c>
      <c r="D17" s="14" t="inlineStr">
        <is>
          <t>person</t>
        </is>
      </c>
      <c r="E17" s="13">
        <f>IF(C6=0,0,C17/C6)</f>
        <v/>
      </c>
      <c r="F17" s="4" t="n"/>
      <c r="G17" s="15" t="inlineStr">
        <is>
          <t>Formula: 15% Budget total / Orang</t>
        </is>
      </c>
    </row>
    <row r="18">
      <c r="A18" s="11" t="inlineStr">
        <is>
          <t>Kuliner (Konsumsi)</t>
        </is>
      </c>
      <c r="B18" s="12" t="n">
        <v>0.2</v>
      </c>
      <c r="C18" s="13">
        <f>C5*0.2</f>
        <v/>
      </c>
      <c r="D18" s="14" t="inlineStr">
        <is>
          <t>portion/meal</t>
        </is>
      </c>
      <c r="E18" s="13">
        <f>IF(OR(C6=0,C7=0),0,C18/(C6*3*C7))</f>
        <v/>
      </c>
      <c r="F18" s="4" t="n"/>
      <c r="G18" s="15" t="inlineStr">
        <is>
          <t>Formula: 20% Budget total / (Orang * 3 Makan * Hari)</t>
        </is>
      </c>
    </row>
    <row r="19">
      <c r="A19" s="11" t="inlineStr">
        <is>
          <t>Transportasi (Mobilitas)</t>
        </is>
      </c>
      <c r="B19" s="12" t="n">
        <v>0.25</v>
      </c>
      <c r="C19" s="13">
        <f>C5*0.25</f>
        <v/>
      </c>
      <c r="D19" s="14" t="inlineStr">
        <is>
          <t>total allowance</t>
        </is>
      </c>
      <c r="E19" s="13">
        <f>C19</f>
        <v/>
      </c>
      <c r="F19" s="4" t="n"/>
      <c r="G19" s="15" t="inlineStr">
        <is>
          <t>Formula: 25% Budget total (Cadangan Spasial)</t>
        </is>
      </c>
    </row>
    <row r="20">
      <c r="A20" s="11" t="inlineStr">
        <is>
          <t>TOTAL ANGGARAN</t>
        </is>
      </c>
      <c r="B20" s="16">
        <f>SUM(B16:B19)</f>
        <v/>
      </c>
      <c r="C20" s="17">
        <f>SUM(C16:C19)</f>
        <v/>
      </c>
      <c r="E20" s="18" t="inlineStr">
        <is>
          <t>Seluruh komponen dihitung menggunakan formula Excel dinamis.</t>
        </is>
      </c>
    </row>
  </sheetData>
  <mergeCells count="22">
    <mergeCell ref="F11:G11"/>
    <mergeCell ref="A1:G2"/>
    <mergeCell ref="F10:G10"/>
    <mergeCell ref="F6:G6"/>
    <mergeCell ref="E17:F17"/>
    <mergeCell ref="A6:B6"/>
    <mergeCell ref="F7:G7"/>
    <mergeCell ref="A13:G13"/>
    <mergeCell ref="A7:B7"/>
    <mergeCell ref="F5:G5"/>
    <mergeCell ref="E19:F19"/>
    <mergeCell ref="A4:C4"/>
    <mergeCell ref="F8:G8"/>
    <mergeCell ref="E15:F15"/>
    <mergeCell ref="A5:B5"/>
    <mergeCell ref="A8:B8"/>
    <mergeCell ref="F9:G9"/>
    <mergeCell ref="E16:F16"/>
    <mergeCell ref="E4:G4"/>
    <mergeCell ref="A9:B9"/>
    <mergeCell ref="E18:F18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5" customWidth="1" min="3" max="3"/>
    <col width="14" customWidth="1" min="4" max="4"/>
    <col width="20" customWidth="1" min="5" max="5"/>
    <col width="30" customWidth="1" min="6" max="6"/>
    <col width="28" customWidth="1" min="7" max="7"/>
    <col width="45" customWidth="1" min="8" max="8"/>
    <col width="15" customWidth="1" min="9" max="9"/>
    <col width="15" customWidth="1" min="10" max="10"/>
    <col width="24" customWidth="1" min="11" max="11"/>
    <col width="25" customWidth="1" min="12" max="12"/>
    <col width="2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5" customWidth="1" min="18" max="18"/>
    <col width="25" customWidth="1" min="19" max="19"/>
    <col width="2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PRE-PROCESSING &amp; CLUSTERING FUZZY C-MEANS - WISATA</t>
        </is>
      </c>
    </row>
    <row r="2"/>
    <row r="3"/>
    <row r="4">
      <c r="A4" s="2" t="inlineStr">
        <is>
          <t>METADATA &amp; PARAMETER ALGORITMA</t>
        </is>
      </c>
      <c r="E4" s="2" t="inlineStr">
        <is>
          <t>PUSAT KLASTER (CENTROID FINAL) - PERSAMAAN [2.2]</t>
        </is>
      </c>
    </row>
    <row r="5">
      <c r="A5" s="11" t="inlineStr">
        <is>
          <t>Banyak Sampel (n)</t>
        </is>
      </c>
      <c r="B5" s="4" t="n"/>
      <c r="C5" s="19">
        <f>COUNTA(B12:B622)</f>
        <v/>
      </c>
      <c r="E5" s="10" t="inlineStr">
        <is>
          <t>Kelas Klaster</t>
        </is>
      </c>
      <c r="F5" s="10" t="inlineStr">
        <is>
          <t>Standard Centroid (Formula)</t>
        </is>
      </c>
      <c r="G5" s="10" t="inlineStr">
        <is>
          <t>Budget Centroid (Formula)</t>
        </is>
      </c>
      <c r="H5" s="10" t="inlineStr">
        <is>
          <t>Target Anchor (Rp)</t>
        </is>
      </c>
    </row>
    <row r="6">
      <c r="A6" s="11" t="inlineStr">
        <is>
          <t>Fuzzifier (m)</t>
        </is>
      </c>
      <c r="B6" s="4" t="n"/>
      <c r="C6" s="19" t="n">
        <v>2</v>
      </c>
      <c r="E6" s="20" t="inlineStr">
        <is>
          <t>MURAH / HEMAT</t>
        </is>
      </c>
      <c r="F6" s="13">
        <f>IF(SUMSQ(K12:K622)=0, 0, SUMPRODUCT(K12:K622, K12:K622, E12:E622) / SUMSQ(K12:K622))</f>
        <v/>
      </c>
      <c r="G6" s="13">
        <f>IF(SUMSQ(R12:R622)=0, 0, SUMPRODUCT(R12:R622, R12:R622, E12:E622) / SUMSQ(R12:R622))</f>
        <v/>
      </c>
      <c r="H6" s="21">
        <f>'Dashboard'!$E$17 * 0.6</f>
        <v/>
      </c>
    </row>
    <row r="7">
      <c r="A7" s="11" t="inlineStr">
        <is>
          <t>Epsilon Toleransi (e)</t>
        </is>
      </c>
      <c r="B7" s="4" t="n"/>
      <c r="C7" s="19" t="n">
        <v>1e-05</v>
      </c>
      <c r="E7" s="22" t="inlineStr">
        <is>
          <t>SEDANG / BALANCED</t>
        </is>
      </c>
      <c r="F7" s="13">
        <f>IF(SUMSQ(L12:L622)=0, 0, SUMPRODUCT(L12:L622, L12:L622, E12:E622) / SUMSQ(L12:L622))</f>
        <v/>
      </c>
      <c r="G7" s="13">
        <f>IF(SUMSQ(S12:S622)=0, 0, SUMPRODUCT(S12:S622, S12:S622, E12:E622) / SUMSQ(S12:S622))</f>
        <v/>
      </c>
      <c r="H7" s="21">
        <f>'Dashboard'!$E$17 * 1.0</f>
        <v/>
      </c>
    </row>
    <row r="8">
      <c r="A8" s="11" t="inlineStr">
        <is>
          <t>Jumlah Iterasi Std (t)</t>
        </is>
      </c>
      <c r="B8" s="4" t="n"/>
      <c r="C8" s="19" t="n">
        <v>50</v>
      </c>
      <c r="E8" s="23" t="inlineStr">
        <is>
          <t>MAHAL / PREMIUM</t>
        </is>
      </c>
      <c r="F8" s="13">
        <f>IF(SUMSQ(M12:M622)=0, 0, SUMPRODUCT(M12:M622, M12:M622, E12:E622) / SUMSQ(M12:M622))</f>
        <v/>
      </c>
      <c r="G8" s="13">
        <f>IF(SUMSQ(T12:T622)=0, 0, SUMPRODUCT(T12:T622, T12:T622, E12:E622) / SUMSQ(T12:T622))</f>
        <v/>
      </c>
      <c r="H8" s="21">
        <f>'Dashboard'!$E$17 * 1.4</f>
        <v/>
      </c>
    </row>
    <row r="9">
      <c r="A9" s="11" t="inlineStr">
        <is>
          <t>Jumlah Iterasi Bgt (t)</t>
        </is>
      </c>
      <c r="B9" s="4" t="n"/>
      <c r="C9" s="19" t="n">
        <v>44</v>
      </c>
    </row>
    <row r="10">
      <c r="A10" s="24" t="inlineStr">
        <is>
          <t>ID Tempat</t>
        </is>
      </c>
      <c r="B10" s="24" t="inlineStr">
        <is>
          <t>Nama Tempat</t>
        </is>
      </c>
      <c r="C10" s="24" t="inlineStr">
        <is>
          <t>Latitude</t>
        </is>
      </c>
      <c r="D10" s="24" t="inlineStr">
        <is>
          <t>Longitude</t>
        </is>
      </c>
      <c r="E10" s="24" t="inlineStr">
        <is>
          <t>Harga (Rp)</t>
        </is>
      </c>
      <c r="F10" s="24" t="inlineStr">
        <is>
          <t>Rating</t>
        </is>
      </c>
      <c r="G10" s="24" t="inlineStr">
        <is>
          <t>Jumlah Ulasan</t>
        </is>
      </c>
      <c r="H10" s="24" t="inlineStr">
        <is>
          <t>Kategori</t>
        </is>
      </c>
      <c r="I10" s="24" t="inlineStr">
        <is>
          <t>Jarak Target (km)</t>
        </is>
      </c>
      <c r="J10" s="24" t="inlineStr">
        <is>
          <t>Estimasi Ongkir (Rp)</t>
        </is>
      </c>
      <c r="K10" s="24" t="inlineStr">
        <is>
          <t>U_Hemat (Std)</t>
        </is>
      </c>
      <c r="L10" s="24" t="inlineStr">
        <is>
          <t>U_Balanced (Std)</t>
        </is>
      </c>
      <c r="M10" s="24" t="inlineStr">
        <is>
          <t>U_Premium (Std)</t>
        </is>
      </c>
      <c r="N10" s="24" t="inlineStr">
        <is>
          <t>Dist_Hemat (Std)</t>
        </is>
      </c>
      <c r="O10" s="24" t="inlineStr">
        <is>
          <t>Dist_Balanced (Std)</t>
        </is>
      </c>
      <c r="P10" s="24" t="inlineStr">
        <is>
          <t>Dist_Premium (Std)</t>
        </is>
      </c>
      <c r="Q10" s="24" t="inlineStr">
        <is>
          <t>Cluster (Std)</t>
        </is>
      </c>
      <c r="R10" s="24" t="inlineStr">
        <is>
          <t>U_Hemat (Bgt)</t>
        </is>
      </c>
      <c r="S10" s="24" t="inlineStr">
        <is>
          <t>U_Balanced (Bgt)</t>
        </is>
      </c>
      <c r="T10" s="24" t="inlineStr">
        <is>
          <t>U_Premium (Bgt)</t>
        </is>
      </c>
      <c r="U10" s="24" t="inlineStr">
        <is>
          <t>Dist_Hemat (Bgt)</t>
        </is>
      </c>
      <c r="V10" s="24" t="inlineStr">
        <is>
          <t>Dist_Balanced (Bgt)</t>
        </is>
      </c>
      <c r="W10" s="24" t="inlineStr">
        <is>
          <t>Dist_Premium (Bgt)</t>
        </is>
      </c>
      <c r="X10" s="24" t="inlineStr">
        <is>
          <t>Cluster (Bgt)</t>
        </is>
      </c>
    </row>
    <row r="11">
      <c r="A11" s="25" t="n"/>
    </row>
    <row r="12">
      <c r="A12" s="14" t="n">
        <v>1</v>
      </c>
      <c r="B12" s="7" t="inlineStr">
        <is>
          <t>Air Terjun Grojogan Sewu Pujon</t>
        </is>
      </c>
      <c r="C12" s="26" t="n">
        <v>-7.8664128</v>
      </c>
      <c r="D12" s="26" t="n">
        <v>112.4233498</v>
      </c>
      <c r="E12" s="21" t="n">
        <v>2000</v>
      </c>
      <c r="F12" s="27" t="n">
        <v>4.4</v>
      </c>
      <c r="G12" s="28" t="n">
        <v>1141</v>
      </c>
      <c r="H12" s="14" t="inlineStr">
        <is>
          <t>Wisata Umum</t>
        </is>
      </c>
      <c r="I12" s="29">
        <f>6371 * 2 * ASIN(SQRT(SIN(RADIANS((C12) - INDEX('Dataset_Wisata'!$C$12:$C$622, MATCH('Dashboard'!$C$9, 'Dataset_Wisata'!$A$12:$A$622, 0)))/2)^2 + COS(RADIANS(INDEX('Dataset_Wisata'!$C$12:$C$622, MATCH('Dashboard'!$C$9, 'Dataset_Wisata'!$A$12:$A$622, 0)))) * COS(RADIANS(C12)) * SIN(RADIANS((D12) - INDEX('Dataset_Wisata'!$D$12:$D$622, MATCH('Dashboard'!$C$9, 'Dataset_Wisata'!$A$12:$A$622, 0)))/2)^2)) * 1.3</f>
        <v/>
      </c>
      <c r="J12" s="21">
        <f>ROUND(I12 * IF('Dashboard'!$C$6&lt;=1, 2250, IF('Dashboard'!$C$6&lt;=4, 5150, 6000)), 0)</f>
        <v/>
      </c>
      <c r="K12" s="30" t="n">
        <v>0.9745968037531486</v>
      </c>
      <c r="L12" s="30" t="n">
        <v>0.02368856650344644</v>
      </c>
      <c r="M12" s="30" t="n">
        <v>0.001714629743404906</v>
      </c>
      <c r="N12" s="31">
        <f>ABS(E12-$F$6)</f>
        <v/>
      </c>
      <c r="O12" s="31">
        <f>ABS(E12-$F$7)</f>
        <v/>
      </c>
      <c r="P12" s="31">
        <f>ABS(E12-$F$8)</f>
        <v/>
      </c>
      <c r="Q12" s="14">
        <f>IF(K12&gt;=MAX(L12,M12), "Hemat", IF(L12&gt;=M12, "Balanced", "Premium"))</f>
        <v/>
      </c>
      <c r="R12" s="30" t="n">
        <v>0.9745968058205632</v>
      </c>
      <c r="S12" s="30" t="n">
        <v>0.02368856419646389</v>
      </c>
      <c r="T12" s="30" t="n">
        <v>0.001714629982972894</v>
      </c>
      <c r="U12" s="31">
        <f>ABS(E12-$G$6)</f>
        <v/>
      </c>
      <c r="V12" s="31">
        <f>ABS(E12-$G$7)</f>
        <v/>
      </c>
      <c r="W12" s="31">
        <f>ABS(E12-$G$8)</f>
        <v/>
      </c>
      <c r="X12" s="14">
        <f>IF(R12&gt;=MAX(S12,T12), "Hemat", IF(S12&gt;=T12, "Balanced", "Premium"))</f>
        <v/>
      </c>
    </row>
    <row r="13">
      <c r="A13" s="14" t="n">
        <v>2</v>
      </c>
      <c r="B13" s="7" t="inlineStr">
        <is>
          <t>Waduk selorejo</t>
        </is>
      </c>
      <c r="C13" s="26" t="n">
        <v>-7.878545</v>
      </c>
      <c r="D13" s="26" t="n">
        <v>112.3624967</v>
      </c>
      <c r="E13" s="21" t="n">
        <v>20000</v>
      </c>
      <c r="F13" s="27" t="n">
        <v>4.6</v>
      </c>
      <c r="G13" s="28" t="n">
        <v>38</v>
      </c>
      <c r="H13" s="14" t="inlineStr">
        <is>
          <t>Taman · 49C7+J3W</t>
        </is>
      </c>
      <c r="I13" s="29">
        <f>6371 * 2 * ASIN(SQRT(SIN(RADIANS((C13) - INDEX('Dataset_Wisata'!$C$12:$C$622, MATCH('Dashboard'!$C$9, 'Dataset_Wisata'!$A$12:$A$622, 0)))/2)^2 + COS(RADIANS(INDEX('Dataset_Wisata'!$C$12:$C$622, MATCH('Dashboard'!$C$9, 'Dataset_Wisata'!$A$12:$A$622, 0)))) * COS(RADIANS(C13)) * SIN(RADIANS((D13) - INDEX('Dataset_Wisata'!$D$12:$D$622, MATCH('Dashboard'!$C$9, 'Dataset_Wisata'!$A$12:$A$622, 0)))/2)^2)) * 1.3</f>
        <v/>
      </c>
      <c r="J13" s="21">
        <f>ROUND(I13 * IF('Dashboard'!$C$6&lt;=1, 2250, IF('Dashboard'!$C$6&lt;=4, 5150, 6000)), 0)</f>
        <v/>
      </c>
      <c r="K13" s="30" t="n">
        <v>0.8862296979094436</v>
      </c>
      <c r="L13" s="30" t="n">
        <v>0.1099329410905347</v>
      </c>
      <c r="M13" s="30" t="n">
        <v>0.003837361000021699</v>
      </c>
      <c r="N13" s="31">
        <f>ABS(E13-$F$6)</f>
        <v/>
      </c>
      <c r="O13" s="31">
        <f>ABS(E13-$F$7)</f>
        <v/>
      </c>
      <c r="P13" s="31">
        <f>ABS(E13-$F$8)</f>
        <v/>
      </c>
      <c r="Q13" s="14">
        <f>IF(K13&gt;=MAX(L13,M13), "Hemat", IF(L13&gt;=M13, "Balanced", "Premium"))</f>
        <v/>
      </c>
      <c r="R13" s="30" t="n">
        <v>0.8862297532761809</v>
      </c>
      <c r="S13" s="30" t="n">
        <v>0.1099328861159962</v>
      </c>
      <c r="T13" s="30" t="n">
        <v>0.003837360607822898</v>
      </c>
      <c r="U13" s="31">
        <f>ABS(E13-$G$6)</f>
        <v/>
      </c>
      <c r="V13" s="31">
        <f>ABS(E13-$G$7)</f>
        <v/>
      </c>
      <c r="W13" s="31">
        <f>ABS(E13-$G$8)</f>
        <v/>
      </c>
      <c r="X13" s="14">
        <f>IF(R13&gt;=MAX(S13,T13), "Hemat", IF(S13&gt;=T13, "Balanced", "Premium"))</f>
        <v/>
      </c>
    </row>
    <row r="14">
      <c r="A14" s="14" t="n">
        <v>3</v>
      </c>
      <c r="B14" s="7" t="inlineStr">
        <is>
          <t>TRANS Wisata Belah Duren</t>
        </is>
      </c>
      <c r="C14" s="26" t="n">
        <v>-7.7807735</v>
      </c>
      <c r="D14" s="26" t="n">
        <v>112.3467097</v>
      </c>
      <c r="E14" s="21" t="n">
        <v>25000</v>
      </c>
      <c r="F14" s="27" t="n">
        <v>4.1</v>
      </c>
      <c r="G14" s="28" t="n">
        <v>86</v>
      </c>
      <c r="H14" s="14" t="inlineStr">
        <is>
          <t>TRANS Wisata Belah Duren</t>
        </is>
      </c>
      <c r="I14" s="29">
        <f>6371 * 2 * ASIN(SQRT(SIN(RADIANS((C14) - INDEX('Dataset_Wisata'!$C$12:$C$622, MATCH('Dashboard'!$C$9, 'Dataset_Wisata'!$A$12:$A$622, 0)))/2)^2 + COS(RADIANS(INDEX('Dataset_Wisata'!$C$12:$C$622, MATCH('Dashboard'!$C$9, 'Dataset_Wisata'!$A$12:$A$622, 0)))) * COS(RADIANS(C14)) * SIN(RADIANS((D14) - INDEX('Dataset_Wisata'!$D$12:$D$622, MATCH('Dashboard'!$C$9, 'Dataset_Wisata'!$A$12:$A$622, 0)))/2)^2)) * 1.3</f>
        <v/>
      </c>
      <c r="J14" s="21">
        <f>ROUND(I14 * IF('Dashboard'!$C$6&lt;=1, 2250, IF('Dashboard'!$C$6&lt;=4, 5150, 6000)), 0)</f>
        <v/>
      </c>
      <c r="K14" s="30" t="n">
        <v>0.714779317495253</v>
      </c>
      <c r="L14" s="30" t="n">
        <v>0.2780482755376564</v>
      </c>
      <c r="M14" s="30" t="n">
        <v>0.0071724069670906</v>
      </c>
      <c r="N14" s="31">
        <f>ABS(E14-$F$6)</f>
        <v/>
      </c>
      <c r="O14" s="31">
        <f>ABS(E14-$F$7)</f>
        <v/>
      </c>
      <c r="P14" s="31">
        <f>ABS(E14-$F$8)</f>
        <v/>
      </c>
      <c r="Q14" s="14">
        <f>IF(K14&gt;=MAX(L14,M14), "Hemat", IF(L14&gt;=M14, "Balanced", "Premium"))</f>
        <v/>
      </c>
      <c r="R14" s="30" t="n">
        <v>0.7147794395425007</v>
      </c>
      <c r="S14" s="30" t="n">
        <v>0.2780481531707544</v>
      </c>
      <c r="T14" s="30" t="n">
        <v>0.007172407286744955</v>
      </c>
      <c r="U14" s="31">
        <f>ABS(E14-$G$6)</f>
        <v/>
      </c>
      <c r="V14" s="31">
        <f>ABS(E14-$G$7)</f>
        <v/>
      </c>
      <c r="W14" s="31">
        <f>ABS(E14-$G$8)</f>
        <v/>
      </c>
      <c r="X14" s="14">
        <f>IF(R14&gt;=MAX(S14,T14), "Hemat", IF(S14&gt;=T14, "Balanced", "Premium"))</f>
        <v/>
      </c>
    </row>
    <row r="15">
      <c r="A15" s="14" t="n">
        <v>4</v>
      </c>
      <c r="B15" s="7" t="inlineStr">
        <is>
          <t>Candi Bocok</t>
        </is>
      </c>
      <c r="C15" s="26" t="n">
        <v>-7.8386963</v>
      </c>
      <c r="D15" s="26" t="n">
        <v>112.3241245</v>
      </c>
      <c r="E15" s="21" t="n">
        <v>5000</v>
      </c>
      <c r="F15" s="27" t="n">
        <v>4.7</v>
      </c>
      <c r="G15" s="28" t="n">
        <v>21</v>
      </c>
      <c r="H15" s="14" t="inlineStr">
        <is>
          <t>Tujuan Wisata · 586F+GJH</t>
        </is>
      </c>
      <c r="I15" s="29">
        <f>6371 * 2 * ASIN(SQRT(SIN(RADIANS((C15) - INDEX('Dataset_Wisata'!$C$12:$C$622, MATCH('Dashboard'!$C$9, 'Dataset_Wisata'!$A$12:$A$622, 0)))/2)^2 + COS(RADIANS(INDEX('Dataset_Wisata'!$C$12:$C$622, MATCH('Dashboard'!$C$9, 'Dataset_Wisata'!$A$12:$A$622, 0)))) * COS(RADIANS(C15)) * SIN(RADIANS((D15) - INDEX('Dataset_Wisata'!$D$12:$D$622, MATCH('Dashboard'!$C$9, 'Dataset_Wisata'!$A$12:$A$622, 0)))/2)^2)) * 1.3</f>
        <v/>
      </c>
      <c r="J15" s="21">
        <f>ROUND(I15 * IF('Dashboard'!$C$6&lt;=1, 2250, IF('Dashboard'!$C$6&lt;=4, 5150, 6000)), 0)</f>
        <v/>
      </c>
      <c r="K15" s="30" t="n">
        <v>0.9895566543895754</v>
      </c>
      <c r="L15" s="30" t="n">
        <v>0.009798611400025654</v>
      </c>
      <c r="M15" s="30" t="n">
        <v>0.0006447342103988783</v>
      </c>
      <c r="N15" s="31">
        <f>ABS(E15-$F$6)</f>
        <v/>
      </c>
      <c r="O15" s="31">
        <f>ABS(E15-$F$7)</f>
        <v/>
      </c>
      <c r="P15" s="31">
        <f>ABS(E15-$F$8)</f>
        <v/>
      </c>
      <c r="Q15" s="14">
        <f>IF(K15&gt;=MAX(L15,M15), "Hemat", IF(L15&gt;=M15, "Balanced", "Premium"))</f>
        <v/>
      </c>
      <c r="R15" s="30" t="n">
        <v>0.9895566542341836</v>
      </c>
      <c r="S15" s="30" t="n">
        <v>0.00979861139170024</v>
      </c>
      <c r="T15" s="30" t="n">
        <v>0.00064473437411607</v>
      </c>
      <c r="U15" s="31">
        <f>ABS(E15-$G$6)</f>
        <v/>
      </c>
      <c r="V15" s="31">
        <f>ABS(E15-$G$7)</f>
        <v/>
      </c>
      <c r="W15" s="31">
        <f>ABS(E15-$G$8)</f>
        <v/>
      </c>
      <c r="X15" s="14">
        <f>IF(R15&gt;=MAX(S15,T15), "Hemat", IF(S15&gt;=T15, "Balanced", "Premium"))</f>
        <v/>
      </c>
    </row>
    <row r="16">
      <c r="A16" s="14" t="n">
        <v>5</v>
      </c>
      <c r="B16" s="7" t="inlineStr">
        <is>
          <t>Kasembon Park</t>
        </is>
      </c>
      <c r="C16" s="26" t="n">
        <v>-7.781962</v>
      </c>
      <c r="D16" s="26" t="n">
        <v>112.3103874</v>
      </c>
      <c r="E16" s="21" t="n">
        <v>12000</v>
      </c>
      <c r="F16" s="27" t="n">
        <v>4.4</v>
      </c>
      <c r="G16" s="28" t="n">
        <v>948</v>
      </c>
      <c r="H16" s="14" t="inlineStr">
        <is>
          <t>Wisata Umum</t>
        </is>
      </c>
      <c r="I16" s="29">
        <f>6371 * 2 * ASIN(SQRT(SIN(RADIANS((C16) - INDEX('Dataset_Wisata'!$C$12:$C$622, MATCH('Dashboard'!$C$9, 'Dataset_Wisata'!$A$12:$A$622, 0)))/2)^2 + COS(RADIANS(INDEX('Dataset_Wisata'!$C$12:$C$622, MATCH('Dashboard'!$C$9, 'Dataset_Wisata'!$A$12:$A$622, 0)))) * COS(RADIANS(C16)) * SIN(RADIANS((D16) - INDEX('Dataset_Wisata'!$D$12:$D$622, MATCH('Dashboard'!$C$9, 'Dataset_Wisata'!$A$12:$A$622, 0)))/2)^2)) * 1.3</f>
        <v/>
      </c>
      <c r="J16" s="21">
        <f>ROUND(I16 * IF('Dashboard'!$C$6&lt;=1, 2250, IF('Dashboard'!$C$6&lt;=4, 5150, 6000)), 0)</f>
        <v/>
      </c>
      <c r="K16" s="30" t="n">
        <v>0.9953331113352144</v>
      </c>
      <c r="L16" s="30" t="n">
        <v>0.004440977722193821</v>
      </c>
      <c r="M16" s="30" t="n">
        <v>0.0002259109425918517</v>
      </c>
      <c r="N16" s="31">
        <f>ABS(E16-$F$6)</f>
        <v/>
      </c>
      <c r="O16" s="31">
        <f>ABS(E16-$F$7)</f>
        <v/>
      </c>
      <c r="P16" s="31">
        <f>ABS(E16-$F$8)</f>
        <v/>
      </c>
      <c r="Q16" s="14">
        <f>IF(K16&gt;=MAX(L16,M16), "Hemat", IF(L16&gt;=M16, "Balanced", "Premium"))</f>
        <v/>
      </c>
      <c r="R16" s="30" t="n">
        <v>0.995333115264566</v>
      </c>
      <c r="S16" s="30" t="n">
        <v>0.004440973917012225</v>
      </c>
      <c r="T16" s="30" t="n">
        <v>0.0002259108184216892</v>
      </c>
      <c r="U16" s="31">
        <f>ABS(E16-$G$6)</f>
        <v/>
      </c>
      <c r="V16" s="31">
        <f>ABS(E16-$G$7)</f>
        <v/>
      </c>
      <c r="W16" s="31">
        <f>ABS(E16-$G$8)</f>
        <v/>
      </c>
      <c r="X16" s="14">
        <f>IF(R16&gt;=MAX(S16,T16), "Hemat", IF(S16&gt;=T16, "Balanced", "Premium"))</f>
        <v/>
      </c>
    </row>
    <row r="17">
      <c r="A17" s="14" t="n">
        <v>6</v>
      </c>
      <c r="B17" s="7" t="inlineStr">
        <is>
          <t>Fishing Sultan Class</t>
        </is>
      </c>
      <c r="C17" s="26" t="n">
        <v>-7.8634029</v>
      </c>
      <c r="D17" s="26" t="n">
        <v>112.3749716</v>
      </c>
      <c r="E17" s="21" t="n">
        <v>5000</v>
      </c>
      <c r="F17" s="27" t="n">
        <v>4.9</v>
      </c>
      <c r="G17" s="28" t="n">
        <v>41</v>
      </c>
      <c r="H17" s="14" t="inlineStr">
        <is>
          <t>Tujuan Wisata · </t>
        </is>
      </c>
      <c r="I17" s="29">
        <f>6371 * 2 * ASIN(SQRT(SIN(RADIANS((C17) - INDEX('Dataset_Wisata'!$C$12:$C$622, MATCH('Dashboard'!$C$9, 'Dataset_Wisata'!$A$12:$A$622, 0)))/2)^2 + COS(RADIANS(INDEX('Dataset_Wisata'!$C$12:$C$622, MATCH('Dashboard'!$C$9, 'Dataset_Wisata'!$A$12:$A$622, 0)))) * COS(RADIANS(C17)) * SIN(RADIANS((D17) - INDEX('Dataset_Wisata'!$D$12:$D$622, MATCH('Dashboard'!$C$9, 'Dataset_Wisata'!$A$12:$A$622, 0)))/2)^2)) * 1.3</f>
        <v/>
      </c>
      <c r="J17" s="21">
        <f>ROUND(I17 * IF('Dashboard'!$C$6&lt;=1, 2250, IF('Dashboard'!$C$6&lt;=4, 5150, 6000)), 0)</f>
        <v/>
      </c>
      <c r="K17" s="30" t="n">
        <v>0.9895566543895754</v>
      </c>
      <c r="L17" s="30" t="n">
        <v>0.009798611400025654</v>
      </c>
      <c r="M17" s="30" t="n">
        <v>0.0006447342103988783</v>
      </c>
      <c r="N17" s="31">
        <f>ABS(E17-$F$6)</f>
        <v/>
      </c>
      <c r="O17" s="31">
        <f>ABS(E17-$F$7)</f>
        <v/>
      </c>
      <c r="P17" s="31">
        <f>ABS(E17-$F$8)</f>
        <v/>
      </c>
      <c r="Q17" s="14">
        <f>IF(K17&gt;=MAX(L17,M17), "Hemat", IF(L17&gt;=M17, "Balanced", "Premium"))</f>
        <v/>
      </c>
      <c r="R17" s="30" t="n">
        <v>0.9895566542341836</v>
      </c>
      <c r="S17" s="30" t="n">
        <v>0.00979861139170024</v>
      </c>
      <c r="T17" s="30" t="n">
        <v>0.00064473437411607</v>
      </c>
      <c r="U17" s="31">
        <f>ABS(E17-$G$6)</f>
        <v/>
      </c>
      <c r="V17" s="31">
        <f>ABS(E17-$G$7)</f>
        <v/>
      </c>
      <c r="W17" s="31">
        <f>ABS(E17-$G$8)</f>
        <v/>
      </c>
      <c r="X17" s="14">
        <f>IF(R17&gt;=MAX(S17,T17), "Hemat", IF(S17&gt;=T17, "Balanced", "Premium"))</f>
        <v/>
      </c>
    </row>
    <row r="18">
      <c r="A18" s="14" t="n">
        <v>7</v>
      </c>
      <c r="B18" s="7" t="inlineStr">
        <is>
          <t>Candi Sapto</t>
        </is>
      </c>
      <c r="C18" s="26" t="n">
        <v>-7.8130262</v>
      </c>
      <c r="D18" s="26" t="n">
        <v>112.3254113</v>
      </c>
      <c r="E18" s="21" t="n">
        <v>5000</v>
      </c>
      <c r="F18" s="27" t="n">
        <v>4.4</v>
      </c>
      <c r="G18" s="28" t="n">
        <v>35</v>
      </c>
      <c r="H18" s="14" t="inlineStr">
        <is>
          <t>Tujuan Wisata · </t>
        </is>
      </c>
      <c r="I18" s="29">
        <f>6371 * 2 * ASIN(SQRT(SIN(RADIANS((C18) - INDEX('Dataset_Wisata'!$C$12:$C$622, MATCH('Dashboard'!$C$9, 'Dataset_Wisata'!$A$12:$A$622, 0)))/2)^2 + COS(RADIANS(INDEX('Dataset_Wisata'!$C$12:$C$622, MATCH('Dashboard'!$C$9, 'Dataset_Wisata'!$A$12:$A$622, 0)))) * COS(RADIANS(C18)) * SIN(RADIANS((D18) - INDEX('Dataset_Wisata'!$D$12:$D$622, MATCH('Dashboard'!$C$9, 'Dataset_Wisata'!$A$12:$A$622, 0)))/2)^2)) * 1.3</f>
        <v/>
      </c>
      <c r="J18" s="21">
        <f>ROUND(I18 * IF('Dashboard'!$C$6&lt;=1, 2250, IF('Dashboard'!$C$6&lt;=4, 5150, 6000)), 0)</f>
        <v/>
      </c>
      <c r="K18" s="30" t="n">
        <v>0.9895566543895754</v>
      </c>
      <c r="L18" s="30" t="n">
        <v>0.009798611400025654</v>
      </c>
      <c r="M18" s="30" t="n">
        <v>0.0006447342103988783</v>
      </c>
      <c r="N18" s="31">
        <f>ABS(E18-$F$6)</f>
        <v/>
      </c>
      <c r="O18" s="31">
        <f>ABS(E18-$F$7)</f>
        <v/>
      </c>
      <c r="P18" s="31">
        <f>ABS(E18-$F$8)</f>
        <v/>
      </c>
      <c r="Q18" s="14">
        <f>IF(K18&gt;=MAX(L18,M18), "Hemat", IF(L18&gt;=M18, "Balanced", "Premium"))</f>
        <v/>
      </c>
      <c r="R18" s="30" t="n">
        <v>0.9895566542341836</v>
      </c>
      <c r="S18" s="30" t="n">
        <v>0.00979861139170024</v>
      </c>
      <c r="T18" s="30" t="n">
        <v>0.00064473437411607</v>
      </c>
      <c r="U18" s="31">
        <f>ABS(E18-$G$6)</f>
        <v/>
      </c>
      <c r="V18" s="31">
        <f>ABS(E18-$G$7)</f>
        <v/>
      </c>
      <c r="W18" s="31">
        <f>ABS(E18-$G$8)</f>
        <v/>
      </c>
      <c r="X18" s="14">
        <f>IF(R18&gt;=MAX(S18,T18), "Hemat", IF(S18&gt;=T18, "Balanced", "Premium"))</f>
        <v/>
      </c>
    </row>
    <row r="19">
      <c r="A19" s="14" t="n">
        <v>8</v>
      </c>
      <c r="B19" s="7" t="inlineStr">
        <is>
          <t>Wisata Bukit Gandrung, Tanggulasi</t>
        </is>
      </c>
      <c r="C19" s="26" t="n">
        <v>-7.761606</v>
      </c>
      <c r="D19" s="26" t="n">
        <v>112.348711</v>
      </c>
      <c r="E19" s="21" t="n">
        <v>10000</v>
      </c>
      <c r="F19" s="27" t="n">
        <v>4.4</v>
      </c>
      <c r="G19" s="28" t="n">
        <v>2171</v>
      </c>
      <c r="H19" s="14" t="inlineStr">
        <is>
          <t>Wisata Bukit Gandrung, Tanggulasi</t>
        </is>
      </c>
      <c r="I19" s="29">
        <f>6371 * 2 * ASIN(SQRT(SIN(RADIANS((C19) - INDEX('Dataset_Wisata'!$C$12:$C$622, MATCH('Dashboard'!$C$9, 'Dataset_Wisata'!$A$12:$A$622, 0)))/2)^2 + COS(RADIANS(INDEX('Dataset_Wisata'!$C$12:$C$622, MATCH('Dashboard'!$C$9, 'Dataset_Wisata'!$A$12:$A$622, 0)))) * COS(RADIANS(C19)) * SIN(RADIANS((D19) - INDEX('Dataset_Wisata'!$D$12:$D$622, MATCH('Dashboard'!$C$9, 'Dataset_Wisata'!$A$12:$A$622, 0)))/2)^2)) * 1.3</f>
        <v/>
      </c>
      <c r="J19" s="21">
        <f>ROUND(I19 * IF('Dashboard'!$C$6&lt;=1, 2250, IF('Dashboard'!$C$6&lt;=4, 5150, 6000)), 0)</f>
        <v/>
      </c>
      <c r="K19" s="30" t="n">
        <v>0.9998126508185596</v>
      </c>
      <c r="L19" s="30" t="n">
        <v>0.0001775718391516968</v>
      </c>
      <c r="M19" s="30" t="n">
        <v>9.7773422886897e-06</v>
      </c>
      <c r="N19" s="31">
        <f>ABS(E19-$F$6)</f>
        <v/>
      </c>
      <c r="O19" s="31">
        <f>ABS(E19-$F$7)</f>
        <v/>
      </c>
      <c r="P19" s="31">
        <f>ABS(E19-$F$8)</f>
        <v/>
      </c>
      <c r="Q19" s="14">
        <f>IF(K19&gt;=MAX(L19,M19), "Hemat", IF(L19&gt;=M19, "Balanced", "Premium"))</f>
        <v/>
      </c>
      <c r="R19" s="30" t="n">
        <v>0.9998126513362043</v>
      </c>
      <c r="S19" s="30" t="n">
        <v>0.0001775713458315561</v>
      </c>
      <c r="T19" s="30" t="n">
        <v>9.777317964159987e-06</v>
      </c>
      <c r="U19" s="31">
        <f>ABS(E19-$G$6)</f>
        <v/>
      </c>
      <c r="V19" s="31">
        <f>ABS(E19-$G$7)</f>
        <v/>
      </c>
      <c r="W19" s="31">
        <f>ABS(E19-$G$8)</f>
        <v/>
      </c>
      <c r="X19" s="14">
        <f>IF(R19&gt;=MAX(S19,T19), "Hemat", IF(S19&gt;=T19, "Balanced", "Premium"))</f>
        <v/>
      </c>
    </row>
    <row r="20">
      <c r="A20" s="14" t="n">
        <v>9</v>
      </c>
      <c r="B20" s="7" t="inlineStr">
        <is>
          <t>Air Terjun Coban Rondo Pujon</t>
        </is>
      </c>
      <c r="C20" s="26" t="n">
        <v>-7.8846458</v>
      </c>
      <c r="D20" s="26" t="n">
        <v>112.4768237</v>
      </c>
      <c r="E20" s="21" t="n">
        <v>5000</v>
      </c>
      <c r="F20" s="27" t="n">
        <v>4.5</v>
      </c>
      <c r="G20" s="28" t="n">
        <v>12340</v>
      </c>
      <c r="H20" s="14" t="inlineStr">
        <is>
          <t>Wisata Umum</t>
        </is>
      </c>
      <c r="I20" s="29">
        <f>6371 * 2 * ASIN(SQRT(SIN(RADIANS((C20) - INDEX('Dataset_Wisata'!$C$12:$C$622, MATCH('Dashboard'!$C$9, 'Dataset_Wisata'!$A$12:$A$622, 0)))/2)^2 + COS(RADIANS(INDEX('Dataset_Wisata'!$C$12:$C$622, MATCH('Dashboard'!$C$9, 'Dataset_Wisata'!$A$12:$A$622, 0)))) * COS(RADIANS(C20)) * SIN(RADIANS((D20) - INDEX('Dataset_Wisata'!$D$12:$D$622, MATCH('Dashboard'!$C$9, 'Dataset_Wisata'!$A$12:$A$622, 0)))/2)^2)) * 1.3</f>
        <v/>
      </c>
      <c r="J20" s="21">
        <f>ROUND(I20 * IF('Dashboard'!$C$6&lt;=1, 2250, IF('Dashboard'!$C$6&lt;=4, 5150, 6000)), 0)</f>
        <v/>
      </c>
      <c r="K20" s="30" t="n">
        <v>0.9895566543895754</v>
      </c>
      <c r="L20" s="30" t="n">
        <v>0.009798611400025654</v>
      </c>
      <c r="M20" s="30" t="n">
        <v>0.0006447342103988783</v>
      </c>
      <c r="N20" s="31">
        <f>ABS(E20-$F$6)</f>
        <v/>
      </c>
      <c r="O20" s="31">
        <f>ABS(E20-$F$7)</f>
        <v/>
      </c>
      <c r="P20" s="31">
        <f>ABS(E20-$F$8)</f>
        <v/>
      </c>
      <c r="Q20" s="14">
        <f>IF(K20&gt;=MAX(L20,M20), "Hemat", IF(L20&gt;=M20, "Balanced", "Premium"))</f>
        <v/>
      </c>
      <c r="R20" s="30" t="n">
        <v>0.9895566542341836</v>
      </c>
      <c r="S20" s="30" t="n">
        <v>0.00979861139170024</v>
      </c>
      <c r="T20" s="30" t="n">
        <v>0.00064473437411607</v>
      </c>
      <c r="U20" s="31">
        <f>ABS(E20-$G$6)</f>
        <v/>
      </c>
      <c r="V20" s="31">
        <f>ABS(E20-$G$7)</f>
        <v/>
      </c>
      <c r="W20" s="31">
        <f>ABS(E20-$G$8)</f>
        <v/>
      </c>
      <c r="X20" s="14">
        <f>IF(R20&gt;=MAX(S20,T20), "Hemat", IF(S20&gt;=T20, "Balanced", "Premium"))</f>
        <v/>
      </c>
    </row>
    <row r="21">
      <c r="A21" s="14" t="n">
        <v>10</v>
      </c>
      <c r="B21" s="7" t="inlineStr">
        <is>
          <t>Taman Wisata Blendrang</t>
        </is>
      </c>
      <c r="C21" s="26" t="n">
        <v>-7.859486</v>
      </c>
      <c r="D21" s="26" t="n">
        <v>112.367841</v>
      </c>
      <c r="E21" s="21" t="n">
        <v>10000</v>
      </c>
      <c r="F21" s="27" t="n">
        <v>4.3</v>
      </c>
      <c r="G21" s="28" t="n">
        <v>533</v>
      </c>
      <c r="H21" s="14" t="inlineStr">
        <is>
          <t>Taman Wisata Blendrang</t>
        </is>
      </c>
      <c r="I21" s="29">
        <f>6371 * 2 * ASIN(SQRT(SIN(RADIANS((C21) - INDEX('Dataset_Wisata'!$C$12:$C$622, MATCH('Dashboard'!$C$9, 'Dataset_Wisata'!$A$12:$A$622, 0)))/2)^2 + COS(RADIANS(INDEX('Dataset_Wisata'!$C$12:$C$622, MATCH('Dashboard'!$C$9, 'Dataset_Wisata'!$A$12:$A$622, 0)))) * COS(RADIANS(C21)) * SIN(RADIANS((D21) - INDEX('Dataset_Wisata'!$D$12:$D$622, MATCH('Dashboard'!$C$9, 'Dataset_Wisata'!$A$12:$A$622, 0)))/2)^2)) * 1.3</f>
        <v/>
      </c>
      <c r="J21" s="21">
        <f>ROUND(I21 * IF('Dashboard'!$C$6&lt;=1, 2250, IF('Dashboard'!$C$6&lt;=4, 5150, 6000)), 0)</f>
        <v/>
      </c>
      <c r="K21" s="30" t="n">
        <v>0.9998126508185596</v>
      </c>
      <c r="L21" s="30" t="n">
        <v>0.0001775718391516968</v>
      </c>
      <c r="M21" s="30" t="n">
        <v>9.7773422886897e-06</v>
      </c>
      <c r="N21" s="31">
        <f>ABS(E21-$F$6)</f>
        <v/>
      </c>
      <c r="O21" s="31">
        <f>ABS(E21-$F$7)</f>
        <v/>
      </c>
      <c r="P21" s="31">
        <f>ABS(E21-$F$8)</f>
        <v/>
      </c>
      <c r="Q21" s="14">
        <f>IF(K21&gt;=MAX(L21,M21), "Hemat", IF(L21&gt;=M21, "Balanced", "Premium"))</f>
        <v/>
      </c>
      <c r="R21" s="30" t="n">
        <v>0.9998126513362043</v>
      </c>
      <c r="S21" s="30" t="n">
        <v>0.0001775713458315561</v>
      </c>
      <c r="T21" s="30" t="n">
        <v>9.777317964159987e-06</v>
      </c>
      <c r="U21" s="31">
        <f>ABS(E21-$G$6)</f>
        <v/>
      </c>
      <c r="V21" s="31">
        <f>ABS(E21-$G$7)</f>
        <v/>
      </c>
      <c r="W21" s="31">
        <f>ABS(E21-$G$8)</f>
        <v/>
      </c>
      <c r="X21" s="14">
        <f>IF(R21&gt;=MAX(S21,T21), "Hemat", IF(S21&gt;=T21, "Balanced", "Premium"))</f>
        <v/>
      </c>
    </row>
    <row r="22">
      <c r="A22" s="14" t="n">
        <v>11</v>
      </c>
      <c r="B22" s="7" t="inlineStr">
        <is>
          <t>Taman Wisata Selorejo</t>
        </is>
      </c>
      <c r="C22" s="26" t="n">
        <v>-7.8773978</v>
      </c>
      <c r="D22" s="26" t="n">
        <v>112.3610311</v>
      </c>
      <c r="E22" s="21" t="n">
        <v>13000</v>
      </c>
      <c r="F22" s="27" t="n">
        <v>4.2</v>
      </c>
      <c r="G22" s="28" t="n">
        <v>4555</v>
      </c>
      <c r="H22" s="14" t="inlineStr">
        <is>
          <t>Taman Wisata Selorejo</t>
        </is>
      </c>
      <c r="I22" s="29">
        <f>6371 * 2 * ASIN(SQRT(SIN(RADIANS((C22) - INDEX('Dataset_Wisata'!$C$12:$C$622, MATCH('Dashboard'!$C$9, 'Dataset_Wisata'!$A$12:$A$622, 0)))/2)^2 + COS(RADIANS(INDEX('Dataset_Wisata'!$C$12:$C$622, MATCH('Dashboard'!$C$9, 'Dataset_Wisata'!$A$12:$A$622, 0)))) * COS(RADIANS(C22)) * SIN(RADIANS((D22) - INDEX('Dataset_Wisata'!$D$12:$D$622, MATCH('Dashboard'!$C$9, 'Dataset_Wisata'!$A$12:$A$622, 0)))/2)^2)) * 1.3</f>
        <v/>
      </c>
      <c r="J22" s="21">
        <f>ROUND(I22 * IF('Dashboard'!$C$6&lt;=1, 2250, IF('Dashboard'!$C$6&lt;=4, 5150, 6000)), 0)</f>
        <v/>
      </c>
      <c r="K22" s="30" t="n">
        <v>0.9904849692916193</v>
      </c>
      <c r="L22" s="30" t="n">
        <v>0.009072303419063836</v>
      </c>
      <c r="M22" s="30" t="n">
        <v>0.0004427272893168129</v>
      </c>
      <c r="N22" s="31">
        <f>ABS(E22-$F$6)</f>
        <v/>
      </c>
      <c r="O22" s="31">
        <f>ABS(E22-$F$7)</f>
        <v/>
      </c>
      <c r="P22" s="31">
        <f>ABS(E22-$F$8)</f>
        <v/>
      </c>
      <c r="Q22" s="14">
        <f>IF(K22&gt;=MAX(L22,M22), "Hemat", IF(L22&gt;=M22, "Balanced", "Premium"))</f>
        <v/>
      </c>
      <c r="R22" s="30" t="n">
        <v>0.9904849759806672</v>
      </c>
      <c r="S22" s="30" t="n">
        <v>0.009072296907716281</v>
      </c>
      <c r="T22" s="30" t="n">
        <v>0.0004427271116164604</v>
      </c>
      <c r="U22" s="31">
        <f>ABS(E22-$G$6)</f>
        <v/>
      </c>
      <c r="V22" s="31">
        <f>ABS(E22-$G$7)</f>
        <v/>
      </c>
      <c r="W22" s="31">
        <f>ABS(E22-$G$8)</f>
        <v/>
      </c>
      <c r="X22" s="14">
        <f>IF(R22&gt;=MAX(S22,T22), "Hemat", IF(S22&gt;=T22, "Balanced", "Premium"))</f>
        <v/>
      </c>
    </row>
    <row r="23">
      <c r="A23" s="14" t="n">
        <v>12</v>
      </c>
      <c r="B23" s="7" t="inlineStr">
        <is>
          <t>Air Terjun Coban Kethak</t>
        </is>
      </c>
      <c r="C23" s="26" t="n">
        <v>-7.8028103</v>
      </c>
      <c r="D23" s="26" t="n">
        <v>112.3569176</v>
      </c>
      <c r="E23" s="21" t="n">
        <v>5000</v>
      </c>
      <c r="F23" s="27" t="n">
        <v>4.1</v>
      </c>
      <c r="G23" s="28" t="n">
        <v>713</v>
      </c>
      <c r="H23" s="14" t="inlineStr">
        <is>
          <t>Wisata Umum</t>
        </is>
      </c>
      <c r="I23" s="29">
        <f>6371 * 2 * ASIN(SQRT(SIN(RADIANS((C23) - INDEX('Dataset_Wisata'!$C$12:$C$622, MATCH('Dashboard'!$C$9, 'Dataset_Wisata'!$A$12:$A$622, 0)))/2)^2 + COS(RADIANS(INDEX('Dataset_Wisata'!$C$12:$C$622, MATCH('Dashboard'!$C$9, 'Dataset_Wisata'!$A$12:$A$622, 0)))) * COS(RADIANS(C23)) * SIN(RADIANS((D23) - INDEX('Dataset_Wisata'!$D$12:$D$622, MATCH('Dashboard'!$C$9, 'Dataset_Wisata'!$A$12:$A$622, 0)))/2)^2)) * 1.3</f>
        <v/>
      </c>
      <c r="J23" s="21">
        <f>ROUND(I23 * IF('Dashboard'!$C$6&lt;=1, 2250, IF('Dashboard'!$C$6&lt;=4, 5150, 6000)), 0)</f>
        <v/>
      </c>
      <c r="K23" s="30" t="n">
        <v>0.9895566543895754</v>
      </c>
      <c r="L23" s="30" t="n">
        <v>0.009798611400025654</v>
      </c>
      <c r="M23" s="30" t="n">
        <v>0.0006447342103988783</v>
      </c>
      <c r="N23" s="31">
        <f>ABS(E23-$F$6)</f>
        <v/>
      </c>
      <c r="O23" s="31">
        <f>ABS(E23-$F$7)</f>
        <v/>
      </c>
      <c r="P23" s="31">
        <f>ABS(E23-$F$8)</f>
        <v/>
      </c>
      <c r="Q23" s="14">
        <f>IF(K23&gt;=MAX(L23,M23), "Hemat", IF(L23&gt;=M23, "Balanced", "Premium"))</f>
        <v/>
      </c>
      <c r="R23" s="30" t="n">
        <v>0.9895566542341836</v>
      </c>
      <c r="S23" s="30" t="n">
        <v>0.00979861139170024</v>
      </c>
      <c r="T23" s="30" t="n">
        <v>0.00064473437411607</v>
      </c>
      <c r="U23" s="31">
        <f>ABS(E23-$G$6)</f>
        <v/>
      </c>
      <c r="V23" s="31">
        <f>ABS(E23-$G$7)</f>
        <v/>
      </c>
      <c r="W23" s="31">
        <f>ABS(E23-$G$8)</f>
        <v/>
      </c>
      <c r="X23" s="14">
        <f>IF(R23&gt;=MAX(S23,T23), "Hemat", IF(S23&gt;=T23, "Balanced", "Premium"))</f>
        <v/>
      </c>
    </row>
    <row r="24">
      <c r="A24" s="14" t="n">
        <v>13</v>
      </c>
      <c r="B24" s="7" t="inlineStr">
        <is>
          <t>Bukit Nirwana</t>
        </is>
      </c>
      <c r="C24" s="26" t="n">
        <v>-7.8617098</v>
      </c>
      <c r="D24" s="26" t="n">
        <v>112.4600165</v>
      </c>
      <c r="E24" s="21" t="n">
        <v>10000</v>
      </c>
      <c r="F24" s="27" t="n">
        <v>4.4</v>
      </c>
      <c r="G24" s="28" t="n">
        <v>1282</v>
      </c>
      <c r="H24" s="14" t="inlineStr">
        <is>
          <t>Tujuan Wisata · </t>
        </is>
      </c>
      <c r="I24" s="29">
        <f>6371 * 2 * ASIN(SQRT(SIN(RADIANS((C24) - INDEX('Dataset_Wisata'!$C$12:$C$622, MATCH('Dashboard'!$C$9, 'Dataset_Wisata'!$A$12:$A$622, 0)))/2)^2 + COS(RADIANS(INDEX('Dataset_Wisata'!$C$12:$C$622, MATCH('Dashboard'!$C$9, 'Dataset_Wisata'!$A$12:$A$622, 0)))) * COS(RADIANS(C24)) * SIN(RADIANS((D24) - INDEX('Dataset_Wisata'!$D$12:$D$622, MATCH('Dashboard'!$C$9, 'Dataset_Wisata'!$A$12:$A$622, 0)))/2)^2)) * 1.3</f>
        <v/>
      </c>
      <c r="J24" s="21">
        <f>ROUND(I24 * IF('Dashboard'!$C$6&lt;=1, 2250, IF('Dashboard'!$C$6&lt;=4, 5150, 6000)), 0)</f>
        <v/>
      </c>
      <c r="K24" s="30" t="n">
        <v>0.9998126508185596</v>
      </c>
      <c r="L24" s="30" t="n">
        <v>0.0001775718391516968</v>
      </c>
      <c r="M24" s="30" t="n">
        <v>9.7773422886897e-06</v>
      </c>
      <c r="N24" s="31">
        <f>ABS(E24-$F$6)</f>
        <v/>
      </c>
      <c r="O24" s="31">
        <f>ABS(E24-$F$7)</f>
        <v/>
      </c>
      <c r="P24" s="31">
        <f>ABS(E24-$F$8)</f>
        <v/>
      </c>
      <c r="Q24" s="14">
        <f>IF(K24&gt;=MAX(L24,M24), "Hemat", IF(L24&gt;=M24, "Balanced", "Premium"))</f>
        <v/>
      </c>
      <c r="R24" s="30" t="n">
        <v>0.9998126513362043</v>
      </c>
      <c r="S24" s="30" t="n">
        <v>0.0001775713458315561</v>
      </c>
      <c r="T24" s="30" t="n">
        <v>9.777317964159987e-06</v>
      </c>
      <c r="U24" s="31">
        <f>ABS(E24-$G$6)</f>
        <v/>
      </c>
      <c r="V24" s="31">
        <f>ABS(E24-$G$7)</f>
        <v/>
      </c>
      <c r="W24" s="31">
        <f>ABS(E24-$G$8)</f>
        <v/>
      </c>
      <c r="X24" s="14">
        <f>IF(R24&gt;=MAX(S24,T24), "Hemat", IF(S24&gt;=T24, "Balanced", "Premium"))</f>
        <v/>
      </c>
    </row>
    <row r="25">
      <c r="A25" s="14" t="n">
        <v>14</v>
      </c>
      <c r="B25" s="7" t="inlineStr">
        <is>
          <t>Bukit Teletubbies Batu</t>
        </is>
      </c>
      <c r="C25" s="26" t="n">
        <v>-7.85376</v>
      </c>
      <c r="D25" s="26" t="n">
        <v>112.5395231</v>
      </c>
      <c r="E25" s="21" t="n">
        <v>15000</v>
      </c>
      <c r="F25" s="27" t="n">
        <v>4.4</v>
      </c>
      <c r="G25" s="28" t="n">
        <v>827</v>
      </c>
      <c r="H25" s="14" t="inlineStr">
        <is>
          <t>Wisata Umum</t>
        </is>
      </c>
      <c r="I25" s="29">
        <f>6371 * 2 * ASIN(SQRT(SIN(RADIANS((C25) - INDEX('Dataset_Wisata'!$C$12:$C$622, MATCH('Dashboard'!$C$9, 'Dataset_Wisata'!$A$12:$A$622, 0)))/2)^2 + COS(RADIANS(INDEX('Dataset_Wisata'!$C$12:$C$622, MATCH('Dashboard'!$C$9, 'Dataset_Wisata'!$A$12:$A$622, 0)))) * COS(RADIANS(C25)) * SIN(RADIANS((D25) - INDEX('Dataset_Wisata'!$D$12:$D$622, MATCH('Dashboard'!$C$9, 'Dataset_Wisata'!$A$12:$A$622, 0)))/2)^2)) * 1.3</f>
        <v/>
      </c>
      <c r="J25" s="21">
        <f>ROUND(I25 * IF('Dashboard'!$C$6&lt;=1, 2250, IF('Dashboard'!$C$6&lt;=4, 5150, 6000)), 0)</f>
        <v/>
      </c>
      <c r="K25" s="30" t="n">
        <v>0.9744283047002794</v>
      </c>
      <c r="L25" s="30" t="n">
        <v>0.02447712712252609</v>
      </c>
      <c r="M25" s="30" t="n">
        <v>0.001094568177194568</v>
      </c>
      <c r="N25" s="31">
        <f>ABS(E25-$F$6)</f>
        <v/>
      </c>
      <c r="O25" s="31">
        <f>ABS(E25-$F$7)</f>
        <v/>
      </c>
      <c r="P25" s="31">
        <f>ABS(E25-$F$8)</f>
        <v/>
      </c>
      <c r="Q25" s="14">
        <f>IF(K25&gt;=MAX(L25,M25), "Hemat", IF(L25&gt;=M25, "Balanced", "Premium"))</f>
        <v/>
      </c>
      <c r="R25" s="30" t="n">
        <v>0.9744283195785179</v>
      </c>
      <c r="S25" s="30" t="n">
        <v>0.02447711252884811</v>
      </c>
      <c r="T25" s="30" t="n">
        <v>0.001094567892634054</v>
      </c>
      <c r="U25" s="31">
        <f>ABS(E25-$G$6)</f>
        <v/>
      </c>
      <c r="V25" s="31">
        <f>ABS(E25-$G$7)</f>
        <v/>
      </c>
      <c r="W25" s="31">
        <f>ABS(E25-$G$8)</f>
        <v/>
      </c>
      <c r="X25" s="14">
        <f>IF(R25&gt;=MAX(S25,T25), "Hemat", IF(S25&gt;=T25, "Balanced", "Premium"))</f>
        <v/>
      </c>
    </row>
    <row r="26">
      <c r="A26" s="14" t="n">
        <v>15</v>
      </c>
      <c r="B26" s="7" t="inlineStr">
        <is>
          <t>Brakseng</t>
        </is>
      </c>
      <c r="C26" s="26" t="n">
        <v>-7.7552845</v>
      </c>
      <c r="D26" s="26" t="n">
        <v>112.5405447</v>
      </c>
      <c r="E26" s="21" t="n">
        <v>10000</v>
      </c>
      <c r="F26" s="27" t="n">
        <v>4.7</v>
      </c>
      <c r="G26" s="28" t="n">
        <v>1241</v>
      </c>
      <c r="H26" s="14" t="inlineStr">
        <is>
          <t>Wisata Umum</t>
        </is>
      </c>
      <c r="I26" s="29">
        <f>6371 * 2 * ASIN(SQRT(SIN(RADIANS((C26) - INDEX('Dataset_Wisata'!$C$12:$C$622, MATCH('Dashboard'!$C$9, 'Dataset_Wisata'!$A$12:$A$622, 0)))/2)^2 + COS(RADIANS(INDEX('Dataset_Wisata'!$C$12:$C$622, MATCH('Dashboard'!$C$9, 'Dataset_Wisata'!$A$12:$A$622, 0)))) * COS(RADIANS(C26)) * SIN(RADIANS((D26) - INDEX('Dataset_Wisata'!$D$12:$D$622, MATCH('Dashboard'!$C$9, 'Dataset_Wisata'!$A$12:$A$622, 0)))/2)^2)) * 1.3</f>
        <v/>
      </c>
      <c r="J26" s="21">
        <f>ROUND(I26 * IF('Dashboard'!$C$6&lt;=1, 2250, IF('Dashboard'!$C$6&lt;=4, 5150, 6000)), 0)</f>
        <v/>
      </c>
      <c r="K26" s="30" t="n">
        <v>0.9998126508185596</v>
      </c>
      <c r="L26" s="30" t="n">
        <v>0.0001775718391516968</v>
      </c>
      <c r="M26" s="30" t="n">
        <v>9.7773422886897e-06</v>
      </c>
      <c r="N26" s="31">
        <f>ABS(E26-$F$6)</f>
        <v/>
      </c>
      <c r="O26" s="31">
        <f>ABS(E26-$F$7)</f>
        <v/>
      </c>
      <c r="P26" s="31">
        <f>ABS(E26-$F$8)</f>
        <v/>
      </c>
      <c r="Q26" s="14">
        <f>IF(K26&gt;=MAX(L26,M26), "Hemat", IF(L26&gt;=M26, "Balanced", "Premium"))</f>
        <v/>
      </c>
      <c r="R26" s="30" t="n">
        <v>0.9998126513362043</v>
      </c>
      <c r="S26" s="30" t="n">
        <v>0.0001775713458315561</v>
      </c>
      <c r="T26" s="30" t="n">
        <v>9.777317964159987e-06</v>
      </c>
      <c r="U26" s="31">
        <f>ABS(E26-$G$6)</f>
        <v/>
      </c>
      <c r="V26" s="31">
        <f>ABS(E26-$G$7)</f>
        <v/>
      </c>
      <c r="W26" s="31">
        <f>ABS(E26-$G$8)</f>
        <v/>
      </c>
      <c r="X26" s="14">
        <f>IF(R26&gt;=MAX(S26,T26), "Hemat", IF(S26&gt;=T26, "Balanced", "Premium"))</f>
        <v/>
      </c>
    </row>
    <row r="27">
      <c r="A27" s="14" t="n">
        <v>16</v>
      </c>
      <c r="B27" s="7" t="inlineStr">
        <is>
          <t>Wisata Rafting Kali Uceng Desa Kasembon</t>
        </is>
      </c>
      <c r="C27" s="26" t="n">
        <v>-7.7886842</v>
      </c>
      <c r="D27" s="26" t="n">
        <v>112.3124052</v>
      </c>
      <c r="E27" s="21" t="n">
        <v>175000</v>
      </c>
      <c r="F27" s="27" t="n">
        <v>4.5</v>
      </c>
      <c r="G27" s="28" t="n">
        <v>125</v>
      </c>
      <c r="H27" s="14" t="inlineStr">
        <is>
          <t>Wisata Umum</t>
        </is>
      </c>
      <c r="I27" s="29">
        <f>6371 * 2 * ASIN(SQRT(SIN(RADIANS((C27) - INDEX('Dataset_Wisata'!$C$12:$C$622, MATCH('Dashboard'!$C$9, 'Dataset_Wisata'!$A$12:$A$622, 0)))/2)^2 + COS(RADIANS(INDEX('Dataset_Wisata'!$C$12:$C$622, MATCH('Dashboard'!$C$9, 'Dataset_Wisata'!$A$12:$A$622, 0)))) * COS(RADIANS(C27)) * SIN(RADIANS((D27) - INDEX('Dataset_Wisata'!$D$12:$D$622, MATCH('Dashboard'!$C$9, 'Dataset_Wisata'!$A$12:$A$622, 0)))/2)^2)) * 1.3</f>
        <v/>
      </c>
      <c r="J27" s="21">
        <f>ROUND(I27 * IF('Dashboard'!$C$6&lt;=1, 2250, IF('Dashboard'!$C$6&lt;=4, 5150, 6000)), 0)</f>
        <v/>
      </c>
      <c r="K27" s="30" t="n">
        <v>0.0009287290751725405</v>
      </c>
      <c r="L27" s="30" t="n">
        <v>0.001626133429983394</v>
      </c>
      <c r="M27" s="30" t="n">
        <v>0.9974451374948441</v>
      </c>
      <c r="N27" s="31">
        <f>ABS(E27-$F$6)</f>
        <v/>
      </c>
      <c r="O27" s="31">
        <f>ABS(E27-$F$7)</f>
        <v/>
      </c>
      <c r="P27" s="31">
        <f>ABS(E27-$F$8)</f>
        <v/>
      </c>
      <c r="Q27" s="14">
        <f>IF(K27&gt;=MAX(L27,M27), "Hemat", IF(L27&gt;=M27, "Balanced", "Premium"))</f>
        <v/>
      </c>
      <c r="R27" s="30" t="n">
        <v>0.0009287302853019478</v>
      </c>
      <c r="S27" s="30" t="n">
        <v>0.001626135706613057</v>
      </c>
      <c r="T27" s="30" t="n">
        <v>0.997445134008085</v>
      </c>
      <c r="U27" s="31">
        <f>ABS(E27-$G$6)</f>
        <v/>
      </c>
      <c r="V27" s="31">
        <f>ABS(E27-$G$7)</f>
        <v/>
      </c>
      <c r="W27" s="31">
        <f>ABS(E27-$G$8)</f>
        <v/>
      </c>
      <c r="X27" s="14">
        <f>IF(R27&gt;=MAX(S27,T27), "Hemat", IF(S27&gt;=T27, "Balanced", "Premium"))</f>
        <v/>
      </c>
    </row>
    <row r="28">
      <c r="A28" s="14" t="n">
        <v>17</v>
      </c>
      <c r="B28" s="7" t="inlineStr">
        <is>
          <t>Desa Wisata Pujonkidul</t>
        </is>
      </c>
      <c r="C28" s="26" t="n">
        <v>-7.8557059</v>
      </c>
      <c r="D28" s="26" t="n">
        <v>112.4558603</v>
      </c>
      <c r="E28" s="21" t="n">
        <v>13000</v>
      </c>
      <c r="F28" s="27" t="n">
        <v>4.5</v>
      </c>
      <c r="G28" s="28" t="n">
        <v>6581</v>
      </c>
      <c r="H28" s="14" t="inlineStr">
        <is>
          <t>Desa Wisata Pujonkidul</t>
        </is>
      </c>
      <c r="I28" s="29">
        <f>6371 * 2 * ASIN(SQRT(SIN(RADIANS((C28) - INDEX('Dataset_Wisata'!$C$12:$C$622, MATCH('Dashboard'!$C$9, 'Dataset_Wisata'!$A$12:$A$622, 0)))/2)^2 + COS(RADIANS(INDEX('Dataset_Wisata'!$C$12:$C$622, MATCH('Dashboard'!$C$9, 'Dataset_Wisata'!$A$12:$A$622, 0)))) * COS(RADIANS(C28)) * SIN(RADIANS((D28) - INDEX('Dataset_Wisata'!$D$12:$D$622, MATCH('Dashboard'!$C$9, 'Dataset_Wisata'!$A$12:$A$622, 0)))/2)^2)) * 1.3</f>
        <v/>
      </c>
      <c r="J28" s="21">
        <f>ROUND(I28 * IF('Dashboard'!$C$6&lt;=1, 2250, IF('Dashboard'!$C$6&lt;=4, 5150, 6000)), 0)</f>
        <v/>
      </c>
      <c r="K28" s="30" t="n">
        <v>0.9904849692916193</v>
      </c>
      <c r="L28" s="30" t="n">
        <v>0.009072303419063836</v>
      </c>
      <c r="M28" s="30" t="n">
        <v>0.0004427272893168129</v>
      </c>
      <c r="N28" s="31">
        <f>ABS(E28-$F$6)</f>
        <v/>
      </c>
      <c r="O28" s="31">
        <f>ABS(E28-$F$7)</f>
        <v/>
      </c>
      <c r="P28" s="31">
        <f>ABS(E28-$F$8)</f>
        <v/>
      </c>
      <c r="Q28" s="14">
        <f>IF(K28&gt;=MAX(L28,M28), "Hemat", IF(L28&gt;=M28, "Balanced", "Premium"))</f>
        <v/>
      </c>
      <c r="R28" s="30" t="n">
        <v>0.9904849759806672</v>
      </c>
      <c r="S28" s="30" t="n">
        <v>0.009072296907716281</v>
      </c>
      <c r="T28" s="30" t="n">
        <v>0.0004427271116164604</v>
      </c>
      <c r="U28" s="31">
        <f>ABS(E28-$G$6)</f>
        <v/>
      </c>
      <c r="V28" s="31">
        <f>ABS(E28-$G$7)</f>
        <v/>
      </c>
      <c r="W28" s="31">
        <f>ABS(E28-$G$8)</f>
        <v/>
      </c>
      <c r="X28" s="14">
        <f>IF(R28&gt;=MAX(S28,T28), "Hemat", IF(S28&gt;=T28, "Balanced", "Premium"))</f>
        <v/>
      </c>
    </row>
    <row r="29">
      <c r="A29" s="14" t="n">
        <v>18</v>
      </c>
      <c r="B29" s="7" t="inlineStr">
        <is>
          <t>Taman Kemesraan</t>
        </is>
      </c>
      <c r="C29" s="26" t="n">
        <v>-7.8620838</v>
      </c>
      <c r="D29" s="26" t="n">
        <v>112.4278752</v>
      </c>
      <c r="E29" s="21" t="n">
        <v>15000</v>
      </c>
      <c r="F29" s="27" t="n">
        <v>4.5</v>
      </c>
      <c r="G29" s="28" t="n">
        <v>2768</v>
      </c>
      <c r="H29" s="14" t="inlineStr">
        <is>
          <t>Taman Kemesraan</t>
        </is>
      </c>
      <c r="I29" s="29">
        <f>6371 * 2 * ASIN(SQRT(SIN(RADIANS((C29) - INDEX('Dataset_Wisata'!$C$12:$C$622, MATCH('Dashboard'!$C$9, 'Dataset_Wisata'!$A$12:$A$622, 0)))/2)^2 + COS(RADIANS(INDEX('Dataset_Wisata'!$C$12:$C$622, MATCH('Dashboard'!$C$9, 'Dataset_Wisata'!$A$12:$A$622, 0)))) * COS(RADIANS(C29)) * SIN(RADIANS((D29) - INDEX('Dataset_Wisata'!$D$12:$D$622, MATCH('Dashboard'!$C$9, 'Dataset_Wisata'!$A$12:$A$622, 0)))/2)^2)) * 1.3</f>
        <v/>
      </c>
      <c r="J29" s="21">
        <f>ROUND(I29 * IF('Dashboard'!$C$6&lt;=1, 2250, IF('Dashboard'!$C$6&lt;=4, 5150, 6000)), 0)</f>
        <v/>
      </c>
      <c r="K29" s="30" t="n">
        <v>0.9744283047002794</v>
      </c>
      <c r="L29" s="30" t="n">
        <v>0.02447712712252609</v>
      </c>
      <c r="M29" s="30" t="n">
        <v>0.001094568177194568</v>
      </c>
      <c r="N29" s="31">
        <f>ABS(E29-$F$6)</f>
        <v/>
      </c>
      <c r="O29" s="31">
        <f>ABS(E29-$F$7)</f>
        <v/>
      </c>
      <c r="P29" s="31">
        <f>ABS(E29-$F$8)</f>
        <v/>
      </c>
      <c r="Q29" s="14">
        <f>IF(K29&gt;=MAX(L29,M29), "Hemat", IF(L29&gt;=M29, "Balanced", "Premium"))</f>
        <v/>
      </c>
      <c r="R29" s="30" t="n">
        <v>0.9744283195785179</v>
      </c>
      <c r="S29" s="30" t="n">
        <v>0.02447711252884811</v>
      </c>
      <c r="T29" s="30" t="n">
        <v>0.001094567892634054</v>
      </c>
      <c r="U29" s="31">
        <f>ABS(E29-$G$6)</f>
        <v/>
      </c>
      <c r="V29" s="31">
        <f>ABS(E29-$G$7)</f>
        <v/>
      </c>
      <c r="W29" s="31">
        <f>ABS(E29-$G$8)</f>
        <v/>
      </c>
      <c r="X29" s="14">
        <f>IF(R29&gt;=MAX(S29,T29), "Hemat", IF(S29&gt;=T29, "Balanced", "Premium"))</f>
        <v/>
      </c>
    </row>
    <row r="30">
      <c r="A30" s="14" t="n">
        <v>19</v>
      </c>
      <c r="B30" s="7" t="inlineStr">
        <is>
          <t>Pemandian Sumber Seger Waras</t>
        </is>
      </c>
      <c r="C30" s="26" t="n">
        <v>-7.8847654</v>
      </c>
      <c r="D30" s="26" t="n">
        <v>112.3854439</v>
      </c>
      <c r="E30" s="21" t="n">
        <v>5000</v>
      </c>
      <c r="F30" s="27" t="n">
        <v>4.6</v>
      </c>
      <c r="G30" s="28" t="n">
        <v>31</v>
      </c>
      <c r="H30" s="14" t="inlineStr">
        <is>
          <t>Tujuan Wisata · 498P+HF5</t>
        </is>
      </c>
      <c r="I30" s="29">
        <f>6371 * 2 * ASIN(SQRT(SIN(RADIANS((C30) - INDEX('Dataset_Wisata'!$C$12:$C$622, MATCH('Dashboard'!$C$9, 'Dataset_Wisata'!$A$12:$A$622, 0)))/2)^2 + COS(RADIANS(INDEX('Dataset_Wisata'!$C$12:$C$622, MATCH('Dashboard'!$C$9, 'Dataset_Wisata'!$A$12:$A$622, 0)))) * COS(RADIANS(C30)) * SIN(RADIANS((D30) - INDEX('Dataset_Wisata'!$D$12:$D$622, MATCH('Dashboard'!$C$9, 'Dataset_Wisata'!$A$12:$A$622, 0)))/2)^2)) * 1.3</f>
        <v/>
      </c>
      <c r="J30" s="21">
        <f>ROUND(I30 * IF('Dashboard'!$C$6&lt;=1, 2250, IF('Dashboard'!$C$6&lt;=4, 5150, 6000)), 0)</f>
        <v/>
      </c>
      <c r="K30" s="30" t="n">
        <v>0.9895566543895754</v>
      </c>
      <c r="L30" s="30" t="n">
        <v>0.009798611400025654</v>
      </c>
      <c r="M30" s="30" t="n">
        <v>0.0006447342103988783</v>
      </c>
      <c r="N30" s="31">
        <f>ABS(E30-$F$6)</f>
        <v/>
      </c>
      <c r="O30" s="31">
        <f>ABS(E30-$F$7)</f>
        <v/>
      </c>
      <c r="P30" s="31">
        <f>ABS(E30-$F$8)</f>
        <v/>
      </c>
      <c r="Q30" s="14">
        <f>IF(K30&gt;=MAX(L30,M30), "Hemat", IF(L30&gt;=M30, "Balanced", "Premium"))</f>
        <v/>
      </c>
      <c r="R30" s="30" t="n">
        <v>0.9895566542341836</v>
      </c>
      <c r="S30" s="30" t="n">
        <v>0.00979861139170024</v>
      </c>
      <c r="T30" s="30" t="n">
        <v>0.00064473437411607</v>
      </c>
      <c r="U30" s="31">
        <f>ABS(E30-$G$6)</f>
        <v/>
      </c>
      <c r="V30" s="31">
        <f>ABS(E30-$G$7)</f>
        <v/>
      </c>
      <c r="W30" s="31">
        <f>ABS(E30-$G$8)</f>
        <v/>
      </c>
      <c r="X30" s="14">
        <f>IF(R30&gt;=MAX(S30,T30), "Hemat", IF(S30&gt;=T30, "Balanced", "Premium"))</f>
        <v/>
      </c>
    </row>
    <row r="31">
      <c r="A31" s="14" t="n">
        <v>20</v>
      </c>
      <c r="B31" s="7" t="inlineStr">
        <is>
          <t>Jembatan Gantung Selorejo Ngantang</t>
        </is>
      </c>
      <c r="C31" s="26" t="n">
        <v>-7.8786011</v>
      </c>
      <c r="D31" s="26" t="n">
        <v>112.3616564</v>
      </c>
      <c r="E31" s="21" t="n">
        <v>25000</v>
      </c>
      <c r="F31" s="27" t="n">
        <v>4.4</v>
      </c>
      <c r="G31" s="28" t="n">
        <v>55</v>
      </c>
      <c r="H31" s="14" t="inlineStr">
        <is>
          <t>Wisata Umum</t>
        </is>
      </c>
      <c r="I31" s="29">
        <f>6371 * 2 * ASIN(SQRT(SIN(RADIANS((C31) - INDEX('Dataset_Wisata'!$C$12:$C$622, MATCH('Dashboard'!$C$9, 'Dataset_Wisata'!$A$12:$A$622, 0)))/2)^2 + COS(RADIANS(INDEX('Dataset_Wisata'!$C$12:$C$622, MATCH('Dashboard'!$C$9, 'Dataset_Wisata'!$A$12:$A$622, 0)))) * COS(RADIANS(C31)) * SIN(RADIANS((D31) - INDEX('Dataset_Wisata'!$D$12:$D$622, MATCH('Dashboard'!$C$9, 'Dataset_Wisata'!$A$12:$A$622, 0)))/2)^2)) * 1.3</f>
        <v/>
      </c>
      <c r="J31" s="21">
        <f>ROUND(I31 * IF('Dashboard'!$C$6&lt;=1, 2250, IF('Dashboard'!$C$6&lt;=4, 5150, 6000)), 0)</f>
        <v/>
      </c>
      <c r="K31" s="30" t="n">
        <v>0.714779317495253</v>
      </c>
      <c r="L31" s="30" t="n">
        <v>0.2780482755376564</v>
      </c>
      <c r="M31" s="30" t="n">
        <v>0.0071724069670906</v>
      </c>
      <c r="N31" s="31">
        <f>ABS(E31-$F$6)</f>
        <v/>
      </c>
      <c r="O31" s="31">
        <f>ABS(E31-$F$7)</f>
        <v/>
      </c>
      <c r="P31" s="31">
        <f>ABS(E31-$F$8)</f>
        <v/>
      </c>
      <c r="Q31" s="14">
        <f>IF(K31&gt;=MAX(L31,M31), "Hemat", IF(L31&gt;=M31, "Balanced", "Premium"))</f>
        <v/>
      </c>
      <c r="R31" s="30" t="n">
        <v>0.7147794395425007</v>
      </c>
      <c r="S31" s="30" t="n">
        <v>0.2780481531707544</v>
      </c>
      <c r="T31" s="30" t="n">
        <v>0.007172407286744955</v>
      </c>
      <c r="U31" s="31">
        <f>ABS(E31-$G$6)</f>
        <v/>
      </c>
      <c r="V31" s="31">
        <f>ABS(E31-$G$7)</f>
        <v/>
      </c>
      <c r="W31" s="31">
        <f>ABS(E31-$G$8)</f>
        <v/>
      </c>
      <c r="X31" s="14">
        <f>IF(R31&gt;=MAX(S31,T31), "Hemat", IF(S31&gt;=T31, "Balanced", "Premium"))</f>
        <v/>
      </c>
    </row>
    <row r="32">
      <c r="A32" s="14" t="n">
        <v>21</v>
      </c>
      <c r="B32" s="7" t="inlineStr">
        <is>
          <t>Pasar Wisata Dewi Sri</t>
        </is>
      </c>
      <c r="C32" s="26" t="n">
        <v>-7.8394872</v>
      </c>
      <c r="D32" s="26" t="n">
        <v>112.4504093</v>
      </c>
      <c r="E32" s="21" t="n">
        <v>3000</v>
      </c>
      <c r="F32" s="27" t="n">
        <v>4.4</v>
      </c>
      <c r="G32" s="28" t="n">
        <v>9136</v>
      </c>
      <c r="H32" s="14" t="inlineStr">
        <is>
          <t>Pasar Wisata Dewi Sri</t>
        </is>
      </c>
      <c r="I32" s="29">
        <f>6371 * 2 * ASIN(SQRT(SIN(RADIANS((C32) - INDEX('Dataset_Wisata'!$C$12:$C$622, MATCH('Dashboard'!$C$9, 'Dataset_Wisata'!$A$12:$A$622, 0)))/2)^2 + COS(RADIANS(INDEX('Dataset_Wisata'!$C$12:$C$622, MATCH('Dashboard'!$C$9, 'Dataset_Wisata'!$A$12:$A$622, 0)))) * COS(RADIANS(C32)) * SIN(RADIANS((D32) - INDEX('Dataset_Wisata'!$D$12:$D$622, MATCH('Dashboard'!$C$9, 'Dataset_Wisata'!$A$12:$A$622, 0)))/2)^2)) * 1.3</f>
        <v/>
      </c>
      <c r="J32" s="21">
        <f>ROUND(I32 * IF('Dashboard'!$C$6&lt;=1, 2250, IF('Dashboard'!$C$6&lt;=4, 5150, 6000)), 0)</f>
        <v/>
      </c>
      <c r="K32" s="30" t="n">
        <v>0.9800529386550435</v>
      </c>
      <c r="L32" s="30" t="n">
        <v>0.01863901730741549</v>
      </c>
      <c r="M32" s="30" t="n">
        <v>0.001308044037540998</v>
      </c>
      <c r="N32" s="31">
        <f>ABS(E32-$F$6)</f>
        <v/>
      </c>
      <c r="O32" s="31">
        <f>ABS(E32-$F$7)</f>
        <v/>
      </c>
      <c r="P32" s="31">
        <f>ABS(E32-$F$8)</f>
        <v/>
      </c>
      <c r="Q32" s="14">
        <f>IF(K32&gt;=MAX(L32,M32), "Hemat", IF(L32&gt;=M32, "Balanced", "Premium"))</f>
        <v/>
      </c>
      <c r="R32" s="30" t="n">
        <v>0.9800529398761559</v>
      </c>
      <c r="S32" s="30" t="n">
        <v>0.01863901586968426</v>
      </c>
      <c r="T32" s="30" t="n">
        <v>0.001308044254159759</v>
      </c>
      <c r="U32" s="31">
        <f>ABS(E32-$G$6)</f>
        <v/>
      </c>
      <c r="V32" s="31">
        <f>ABS(E32-$G$7)</f>
        <v/>
      </c>
      <c r="W32" s="31">
        <f>ABS(E32-$G$8)</f>
        <v/>
      </c>
      <c r="X32" s="14">
        <f>IF(R32&gt;=MAX(S32,T32), "Hemat", IF(S32&gt;=T32, "Balanced", "Premium"))</f>
        <v/>
      </c>
    </row>
    <row r="33">
      <c r="A33" s="14" t="n">
        <v>23</v>
      </c>
      <c r="B33" s="7" t="inlineStr">
        <is>
          <t>Monumen Palagan Mendalan</t>
        </is>
      </c>
      <c r="C33" s="26" t="n">
        <v>-7.848416</v>
      </c>
      <c r="D33" s="26" t="n">
        <v>112.3721744</v>
      </c>
      <c r="E33" s="21" t="n">
        <v>30000</v>
      </c>
      <c r="F33" s="27" t="n">
        <v>4.8</v>
      </c>
      <c r="G33" s="28" t="n">
        <v>33</v>
      </c>
      <c r="H33" s="14" t="inlineStr">
        <is>
          <t>Wisata Umum</t>
        </is>
      </c>
      <c r="I33" s="29">
        <f>6371 * 2 * ASIN(SQRT(SIN(RADIANS((C33) - INDEX('Dataset_Wisata'!$C$12:$C$622, MATCH('Dashboard'!$C$9, 'Dataset_Wisata'!$A$12:$A$622, 0)))/2)^2 + COS(RADIANS(INDEX('Dataset_Wisata'!$C$12:$C$622, MATCH('Dashboard'!$C$9, 'Dataset_Wisata'!$A$12:$A$622, 0)))) * COS(RADIANS(C33)) * SIN(RADIANS((D33) - INDEX('Dataset_Wisata'!$D$12:$D$622, MATCH('Dashboard'!$C$9, 'Dataset_Wisata'!$A$12:$A$622, 0)))/2)^2)) * 1.3</f>
        <v/>
      </c>
      <c r="J33" s="21">
        <f>ROUND(I33 * IF('Dashboard'!$C$6&lt;=1, 2250, IF('Dashboard'!$C$6&lt;=4, 5150, 6000)), 0)</f>
        <v/>
      </c>
      <c r="K33" s="30" t="n">
        <v>0.4800921289599558</v>
      </c>
      <c r="L33" s="30" t="n">
        <v>0.5109191138653489</v>
      </c>
      <c r="M33" s="30" t="n">
        <v>0.008988757174695291</v>
      </c>
      <c r="N33" s="31">
        <f>ABS(E33-$F$6)</f>
        <v/>
      </c>
      <c r="O33" s="31">
        <f>ABS(E33-$F$7)</f>
        <v/>
      </c>
      <c r="P33" s="31">
        <f>ABS(E33-$F$8)</f>
        <v/>
      </c>
      <c r="Q33" s="14">
        <f>IF(K33&gt;=MAX(L33,M33), "Hemat", IF(L33&gt;=M33, "Balanced", "Premium"))</f>
        <v/>
      </c>
      <c r="R33" s="30" t="n">
        <v>0.4800923067166307</v>
      </c>
      <c r="S33" s="30" t="n">
        <v>0.5109189337438159</v>
      </c>
      <c r="T33" s="30" t="n">
        <v>0.008988759539553422</v>
      </c>
      <c r="U33" s="31">
        <f>ABS(E33-$G$6)</f>
        <v/>
      </c>
      <c r="V33" s="31">
        <f>ABS(E33-$G$7)</f>
        <v/>
      </c>
      <c r="W33" s="31">
        <f>ABS(E33-$G$8)</f>
        <v/>
      </c>
      <c r="X33" s="14">
        <f>IF(R33&gt;=MAX(S33,T33), "Hemat", IF(S33&gt;=T33, "Balanced", "Premium"))</f>
        <v/>
      </c>
    </row>
    <row r="34">
      <c r="A34" s="14" t="n">
        <v>24</v>
      </c>
      <c r="B34" s="7" t="inlineStr">
        <is>
          <t>Watu Gilang (ꦮꦠꦸꦒꦶꦭꦁ)</t>
        </is>
      </c>
      <c r="C34" s="26" t="n">
        <v>-7.8286324</v>
      </c>
      <c r="D34" s="26" t="n">
        <v>112.4212523</v>
      </c>
      <c r="E34" s="21" t="n">
        <v>15000</v>
      </c>
      <c r="F34" s="27" t="n">
        <v>4.2</v>
      </c>
      <c r="G34" s="28" t="n">
        <v>52</v>
      </c>
      <c r="H34" s="14" t="inlineStr">
        <is>
          <t>Wisata Umum</t>
        </is>
      </c>
      <c r="I34" s="29">
        <f>6371 * 2 * ASIN(SQRT(SIN(RADIANS((C34) - INDEX('Dataset_Wisata'!$C$12:$C$622, MATCH('Dashboard'!$C$9, 'Dataset_Wisata'!$A$12:$A$622, 0)))/2)^2 + COS(RADIANS(INDEX('Dataset_Wisata'!$C$12:$C$622, MATCH('Dashboard'!$C$9, 'Dataset_Wisata'!$A$12:$A$622, 0)))) * COS(RADIANS(C34)) * SIN(RADIANS((D34) - INDEX('Dataset_Wisata'!$D$12:$D$622, MATCH('Dashboard'!$C$9, 'Dataset_Wisata'!$A$12:$A$622, 0)))/2)^2)) * 1.3</f>
        <v/>
      </c>
      <c r="J34" s="21">
        <f>ROUND(I34 * IF('Dashboard'!$C$6&lt;=1, 2250, IF('Dashboard'!$C$6&lt;=4, 5150, 6000)), 0)</f>
        <v/>
      </c>
      <c r="K34" s="30" t="n">
        <v>0.9744283047002794</v>
      </c>
      <c r="L34" s="30" t="n">
        <v>0.02447712712252609</v>
      </c>
      <c r="M34" s="30" t="n">
        <v>0.001094568177194568</v>
      </c>
      <c r="N34" s="31">
        <f>ABS(E34-$F$6)</f>
        <v/>
      </c>
      <c r="O34" s="31">
        <f>ABS(E34-$F$7)</f>
        <v/>
      </c>
      <c r="P34" s="31">
        <f>ABS(E34-$F$8)</f>
        <v/>
      </c>
      <c r="Q34" s="14">
        <f>IF(K34&gt;=MAX(L34,M34), "Hemat", IF(L34&gt;=M34, "Balanced", "Premium"))</f>
        <v/>
      </c>
      <c r="R34" s="30" t="n">
        <v>0.9744283195785179</v>
      </c>
      <c r="S34" s="30" t="n">
        <v>0.02447711252884811</v>
      </c>
      <c r="T34" s="30" t="n">
        <v>0.001094567892634054</v>
      </c>
      <c r="U34" s="31">
        <f>ABS(E34-$G$6)</f>
        <v/>
      </c>
      <c r="V34" s="31">
        <f>ABS(E34-$G$7)</f>
        <v/>
      </c>
      <c r="W34" s="31">
        <f>ABS(E34-$G$8)</f>
        <v/>
      </c>
      <c r="X34" s="14">
        <f>IF(R34&gt;=MAX(S34,T34), "Hemat", IF(S34&gt;=T34, "Balanced", "Premium"))</f>
        <v/>
      </c>
    </row>
    <row r="35">
      <c r="A35" s="14" t="n">
        <v>25</v>
      </c>
      <c r="B35" s="7" t="inlineStr">
        <is>
          <t>Wisata Desa BONPI / de' Asmorondono</t>
        </is>
      </c>
      <c r="C35" s="26" t="n">
        <v>-7.8386369</v>
      </c>
      <c r="D35" s="26" t="n">
        <v>112.4540645</v>
      </c>
      <c r="E35" s="21" t="n">
        <v>10000</v>
      </c>
      <c r="F35" s="27" t="n">
        <v>4.4</v>
      </c>
      <c r="G35" s="28" t="n">
        <v>53</v>
      </c>
      <c r="H35" s="14" t="inlineStr">
        <is>
          <t>Wisata Umum</t>
        </is>
      </c>
      <c r="I35" s="29">
        <f>6371 * 2 * ASIN(SQRT(SIN(RADIANS((C35) - INDEX('Dataset_Wisata'!$C$12:$C$622, MATCH('Dashboard'!$C$9, 'Dataset_Wisata'!$A$12:$A$622, 0)))/2)^2 + COS(RADIANS(INDEX('Dataset_Wisata'!$C$12:$C$622, MATCH('Dashboard'!$C$9, 'Dataset_Wisata'!$A$12:$A$622, 0)))) * COS(RADIANS(C35)) * SIN(RADIANS((D35) - INDEX('Dataset_Wisata'!$D$12:$D$622, MATCH('Dashboard'!$C$9, 'Dataset_Wisata'!$A$12:$A$622, 0)))/2)^2)) * 1.3</f>
        <v/>
      </c>
      <c r="J35" s="21">
        <f>ROUND(I35 * IF('Dashboard'!$C$6&lt;=1, 2250, IF('Dashboard'!$C$6&lt;=4, 5150, 6000)), 0)</f>
        <v/>
      </c>
      <c r="K35" s="30" t="n">
        <v>0.9998126508185596</v>
      </c>
      <c r="L35" s="30" t="n">
        <v>0.0001775718391516968</v>
      </c>
      <c r="M35" s="30" t="n">
        <v>9.7773422886897e-06</v>
      </c>
      <c r="N35" s="31">
        <f>ABS(E35-$F$6)</f>
        <v/>
      </c>
      <c r="O35" s="31">
        <f>ABS(E35-$F$7)</f>
        <v/>
      </c>
      <c r="P35" s="31">
        <f>ABS(E35-$F$8)</f>
        <v/>
      </c>
      <c r="Q35" s="14">
        <f>IF(K35&gt;=MAX(L35,M35), "Hemat", IF(L35&gt;=M35, "Balanced", "Premium"))</f>
        <v/>
      </c>
      <c r="R35" s="30" t="n">
        <v>0.9998126513362043</v>
      </c>
      <c r="S35" s="30" t="n">
        <v>0.0001775713458315561</v>
      </c>
      <c r="T35" s="30" t="n">
        <v>9.777317964159987e-06</v>
      </c>
      <c r="U35" s="31">
        <f>ABS(E35-$G$6)</f>
        <v/>
      </c>
      <c r="V35" s="31">
        <f>ABS(E35-$G$7)</f>
        <v/>
      </c>
      <c r="W35" s="31">
        <f>ABS(E35-$G$8)</f>
        <v/>
      </c>
      <c r="X35" s="14">
        <f>IF(R35&gt;=MAX(S35,T35), "Hemat", IF(S35&gt;=T35, "Balanced", "Premium"))</f>
        <v/>
      </c>
    </row>
    <row r="36">
      <c r="A36" s="14" t="n">
        <v>26</v>
      </c>
      <c r="B36" s="7" t="inlineStr">
        <is>
          <t>Bukit Waung</t>
        </is>
      </c>
      <c r="C36" s="26" t="n">
        <v>-8.3488921</v>
      </c>
      <c r="D36" s="26" t="n">
        <v>112.3677835</v>
      </c>
      <c r="E36" s="21" t="n">
        <v>10000</v>
      </c>
      <c r="F36" s="27" t="n">
        <v>4.5</v>
      </c>
      <c r="G36" s="28" t="n">
        <v>577</v>
      </c>
      <c r="H36" s="14" t="inlineStr">
        <is>
          <t>Wisata Umum</t>
        </is>
      </c>
      <c r="I36" s="29">
        <f>6371 * 2 * ASIN(SQRT(SIN(RADIANS((C36) - INDEX('Dataset_Wisata'!$C$12:$C$622, MATCH('Dashboard'!$C$9, 'Dataset_Wisata'!$A$12:$A$622, 0)))/2)^2 + COS(RADIANS(INDEX('Dataset_Wisata'!$C$12:$C$622, MATCH('Dashboard'!$C$9, 'Dataset_Wisata'!$A$12:$A$622, 0)))) * COS(RADIANS(C36)) * SIN(RADIANS((D36) - INDEX('Dataset_Wisata'!$D$12:$D$622, MATCH('Dashboard'!$C$9, 'Dataset_Wisata'!$A$12:$A$622, 0)))/2)^2)) * 1.3</f>
        <v/>
      </c>
      <c r="J36" s="21">
        <f>ROUND(I36 * IF('Dashboard'!$C$6&lt;=1, 2250, IF('Dashboard'!$C$6&lt;=4, 5150, 6000)), 0)</f>
        <v/>
      </c>
      <c r="K36" s="30" t="n">
        <v>0.9998126508185596</v>
      </c>
      <c r="L36" s="30" t="n">
        <v>0.0001775718391516968</v>
      </c>
      <c r="M36" s="30" t="n">
        <v>9.7773422886897e-06</v>
      </c>
      <c r="N36" s="31">
        <f>ABS(E36-$F$6)</f>
        <v/>
      </c>
      <c r="O36" s="31">
        <f>ABS(E36-$F$7)</f>
        <v/>
      </c>
      <c r="P36" s="31">
        <f>ABS(E36-$F$8)</f>
        <v/>
      </c>
      <c r="Q36" s="14">
        <f>IF(K36&gt;=MAX(L36,M36), "Hemat", IF(L36&gt;=M36, "Balanced", "Premium"))</f>
        <v/>
      </c>
      <c r="R36" s="30" t="n">
        <v>0.9998126513362043</v>
      </c>
      <c r="S36" s="30" t="n">
        <v>0.0001775713458315561</v>
      </c>
      <c r="T36" s="30" t="n">
        <v>9.777317964159987e-06</v>
      </c>
      <c r="U36" s="31">
        <f>ABS(E36-$G$6)</f>
        <v/>
      </c>
      <c r="V36" s="31">
        <f>ABS(E36-$G$7)</f>
        <v/>
      </c>
      <c r="W36" s="31">
        <f>ABS(E36-$G$8)</f>
        <v/>
      </c>
      <c r="X36" s="14">
        <f>IF(R36&gt;=MAX(S36,T36), "Hemat", IF(S36&gt;=T36, "Balanced", "Premium"))</f>
        <v/>
      </c>
    </row>
    <row r="37">
      <c r="A37" s="14" t="n">
        <v>27</v>
      </c>
      <c r="B37" s="7" t="inlineStr">
        <is>
          <t>TAMAN WISATA BEDENGAN</t>
        </is>
      </c>
      <c r="C37" s="26" t="n">
        <v>-8.254575900000001</v>
      </c>
      <c r="D37" s="26" t="n">
        <v>112.4407654</v>
      </c>
      <c r="E37" s="21" t="n">
        <v>10000</v>
      </c>
      <c r="F37" s="27" t="n">
        <v>4.4</v>
      </c>
      <c r="G37" s="28" t="n">
        <v>305</v>
      </c>
      <c r="H37" s="14" t="inlineStr">
        <is>
          <t>TAMAN WISATA BEDENGAN</t>
        </is>
      </c>
      <c r="I37" s="29">
        <f>6371 * 2 * ASIN(SQRT(SIN(RADIANS((C37) - INDEX('Dataset_Wisata'!$C$12:$C$622, MATCH('Dashboard'!$C$9, 'Dataset_Wisata'!$A$12:$A$622, 0)))/2)^2 + COS(RADIANS(INDEX('Dataset_Wisata'!$C$12:$C$622, MATCH('Dashboard'!$C$9, 'Dataset_Wisata'!$A$12:$A$622, 0)))) * COS(RADIANS(C37)) * SIN(RADIANS((D37) - INDEX('Dataset_Wisata'!$D$12:$D$622, MATCH('Dashboard'!$C$9, 'Dataset_Wisata'!$A$12:$A$622, 0)))/2)^2)) * 1.3</f>
        <v/>
      </c>
      <c r="J37" s="21">
        <f>ROUND(I37 * IF('Dashboard'!$C$6&lt;=1, 2250, IF('Dashboard'!$C$6&lt;=4, 5150, 6000)), 0)</f>
        <v/>
      </c>
      <c r="K37" s="30" t="n">
        <v>0.9998126508185596</v>
      </c>
      <c r="L37" s="30" t="n">
        <v>0.0001775718391516968</v>
      </c>
      <c r="M37" s="30" t="n">
        <v>9.7773422886897e-06</v>
      </c>
      <c r="N37" s="31">
        <f>ABS(E37-$F$6)</f>
        <v/>
      </c>
      <c r="O37" s="31">
        <f>ABS(E37-$F$7)</f>
        <v/>
      </c>
      <c r="P37" s="31">
        <f>ABS(E37-$F$8)</f>
        <v/>
      </c>
      <c r="Q37" s="14">
        <f>IF(K37&gt;=MAX(L37,M37), "Hemat", IF(L37&gt;=M37, "Balanced", "Premium"))</f>
        <v/>
      </c>
      <c r="R37" s="30" t="n">
        <v>0.9998126513362043</v>
      </c>
      <c r="S37" s="30" t="n">
        <v>0.0001775713458315561</v>
      </c>
      <c r="T37" s="30" t="n">
        <v>9.777317964159987e-06</v>
      </c>
      <c r="U37" s="31">
        <f>ABS(E37-$G$6)</f>
        <v/>
      </c>
      <c r="V37" s="31">
        <f>ABS(E37-$G$7)</f>
        <v/>
      </c>
      <c r="W37" s="31">
        <f>ABS(E37-$G$8)</f>
        <v/>
      </c>
      <c r="X37" s="14">
        <f>IF(R37&gt;=MAX(S37,T37), "Hemat", IF(S37&gt;=T37, "Balanced", "Premium"))</f>
        <v/>
      </c>
    </row>
    <row r="38">
      <c r="A38" s="14" t="n">
        <v>28</v>
      </c>
      <c r="B38" s="7" t="inlineStr">
        <is>
          <t>Pantai Pasir Panjang Ngeliyep</t>
        </is>
      </c>
      <c r="C38" s="26" t="n">
        <v>-8.3812357</v>
      </c>
      <c r="D38" s="26" t="n">
        <v>112.4204755</v>
      </c>
      <c r="E38" s="21" t="n">
        <v>15000</v>
      </c>
      <c r="F38" s="27" t="n">
        <v>4.6</v>
      </c>
      <c r="G38" s="28" t="n">
        <v>386</v>
      </c>
      <c r="H38" s="14" t="inlineStr">
        <is>
          <t>Pantai Pasir Panjang Ngeliyep</t>
        </is>
      </c>
      <c r="I38" s="29">
        <f>6371 * 2 * ASIN(SQRT(SIN(RADIANS((C38) - INDEX('Dataset_Wisata'!$C$12:$C$622, MATCH('Dashboard'!$C$9, 'Dataset_Wisata'!$A$12:$A$622, 0)))/2)^2 + COS(RADIANS(INDEX('Dataset_Wisata'!$C$12:$C$622, MATCH('Dashboard'!$C$9, 'Dataset_Wisata'!$A$12:$A$622, 0)))) * COS(RADIANS(C38)) * SIN(RADIANS((D38) - INDEX('Dataset_Wisata'!$D$12:$D$622, MATCH('Dashboard'!$C$9, 'Dataset_Wisata'!$A$12:$A$622, 0)))/2)^2)) * 1.3</f>
        <v/>
      </c>
      <c r="J38" s="21">
        <f>ROUND(I38 * IF('Dashboard'!$C$6&lt;=1, 2250, IF('Dashboard'!$C$6&lt;=4, 5150, 6000)), 0)</f>
        <v/>
      </c>
      <c r="K38" s="30" t="n">
        <v>0.9744283047002794</v>
      </c>
      <c r="L38" s="30" t="n">
        <v>0.02447712712252609</v>
      </c>
      <c r="M38" s="30" t="n">
        <v>0.001094568177194568</v>
      </c>
      <c r="N38" s="31">
        <f>ABS(E38-$F$6)</f>
        <v/>
      </c>
      <c r="O38" s="31">
        <f>ABS(E38-$F$7)</f>
        <v/>
      </c>
      <c r="P38" s="31">
        <f>ABS(E38-$F$8)</f>
        <v/>
      </c>
      <c r="Q38" s="14">
        <f>IF(K38&gt;=MAX(L38,M38), "Hemat", IF(L38&gt;=M38, "Balanced", "Premium"))</f>
        <v/>
      </c>
      <c r="R38" s="30" t="n">
        <v>0.9744283195785179</v>
      </c>
      <c r="S38" s="30" t="n">
        <v>0.02447711252884811</v>
      </c>
      <c r="T38" s="30" t="n">
        <v>0.001094567892634054</v>
      </c>
      <c r="U38" s="31">
        <f>ABS(E38-$G$6)</f>
        <v/>
      </c>
      <c r="V38" s="31">
        <f>ABS(E38-$G$7)</f>
        <v/>
      </c>
      <c r="W38" s="31">
        <f>ABS(E38-$G$8)</f>
        <v/>
      </c>
      <c r="X38" s="14">
        <f>IF(R38&gt;=MAX(S38,T38), "Hemat", IF(S38&gt;=T38, "Balanced", "Premium"))</f>
        <v/>
      </c>
    </row>
    <row r="39">
      <c r="A39" s="14" t="n">
        <v>29</v>
      </c>
      <c r="B39" s="7" t="inlineStr">
        <is>
          <t>Bukit Nuri</t>
        </is>
      </c>
      <c r="C39" s="26" t="n">
        <v>-8.341219600000001</v>
      </c>
      <c r="D39" s="26" t="n">
        <v>112.4358047</v>
      </c>
      <c r="E39" s="21" t="n">
        <v>10000</v>
      </c>
      <c r="F39" s="27" t="n">
        <v>4.3</v>
      </c>
      <c r="G39" s="28" t="n">
        <v>81</v>
      </c>
      <c r="H39" s="14" t="inlineStr">
        <is>
          <t>Wisata Umum</t>
        </is>
      </c>
      <c r="I39" s="29">
        <f>6371 * 2 * ASIN(SQRT(SIN(RADIANS((C39) - INDEX('Dataset_Wisata'!$C$12:$C$622, MATCH('Dashboard'!$C$9, 'Dataset_Wisata'!$A$12:$A$622, 0)))/2)^2 + COS(RADIANS(INDEX('Dataset_Wisata'!$C$12:$C$622, MATCH('Dashboard'!$C$9, 'Dataset_Wisata'!$A$12:$A$622, 0)))) * COS(RADIANS(C39)) * SIN(RADIANS((D39) - INDEX('Dataset_Wisata'!$D$12:$D$622, MATCH('Dashboard'!$C$9, 'Dataset_Wisata'!$A$12:$A$622, 0)))/2)^2)) * 1.3</f>
        <v/>
      </c>
      <c r="J39" s="21">
        <f>ROUND(I39 * IF('Dashboard'!$C$6&lt;=1, 2250, IF('Dashboard'!$C$6&lt;=4, 5150, 6000)), 0)</f>
        <v/>
      </c>
      <c r="K39" s="30" t="n">
        <v>0.9998126508185596</v>
      </c>
      <c r="L39" s="30" t="n">
        <v>0.0001775718391516968</v>
      </c>
      <c r="M39" s="30" t="n">
        <v>9.7773422886897e-06</v>
      </c>
      <c r="N39" s="31">
        <f>ABS(E39-$F$6)</f>
        <v/>
      </c>
      <c r="O39" s="31">
        <f>ABS(E39-$F$7)</f>
        <v/>
      </c>
      <c r="P39" s="31">
        <f>ABS(E39-$F$8)</f>
        <v/>
      </c>
      <c r="Q39" s="14">
        <f>IF(K39&gt;=MAX(L39,M39), "Hemat", IF(L39&gt;=M39, "Balanced", "Premium"))</f>
        <v/>
      </c>
      <c r="R39" s="30" t="n">
        <v>0.9998126513362043</v>
      </c>
      <c r="S39" s="30" t="n">
        <v>0.0001775713458315561</v>
      </c>
      <c r="T39" s="30" t="n">
        <v>9.777317964159987e-06</v>
      </c>
      <c r="U39" s="31">
        <f>ABS(E39-$G$6)</f>
        <v/>
      </c>
      <c r="V39" s="31">
        <f>ABS(E39-$G$7)</f>
        <v/>
      </c>
      <c r="W39" s="31">
        <f>ABS(E39-$G$8)</f>
        <v/>
      </c>
      <c r="X39" s="14">
        <f>IF(R39&gt;=MAX(S39,T39), "Hemat", IF(S39&gt;=T39, "Balanced", "Premium"))</f>
        <v/>
      </c>
    </row>
    <row r="40">
      <c r="A40" s="14" t="n">
        <v>30</v>
      </c>
      <c r="B40" s="7" t="inlineStr">
        <is>
          <t>Teluk BIDADARI ꦠ꧀ꦭꦒꦮꦶꦢꦢꦫꦶ</t>
        </is>
      </c>
      <c r="C40" s="26" t="n">
        <v>-8.4034435</v>
      </c>
      <c r="D40" s="26" t="n">
        <v>112.5054449</v>
      </c>
      <c r="E40" s="21" t="n">
        <v>10000</v>
      </c>
      <c r="F40" s="27" t="n">
        <v>4</v>
      </c>
      <c r="G40" s="28" t="n">
        <v>21</v>
      </c>
      <c r="H40" s="14" t="inlineStr">
        <is>
          <t>Wisata Umum</t>
        </is>
      </c>
      <c r="I40" s="29">
        <f>6371 * 2 * ASIN(SQRT(SIN(RADIANS((C40) - INDEX('Dataset_Wisata'!$C$12:$C$622, MATCH('Dashboard'!$C$9, 'Dataset_Wisata'!$A$12:$A$622, 0)))/2)^2 + COS(RADIANS(INDEX('Dataset_Wisata'!$C$12:$C$622, MATCH('Dashboard'!$C$9, 'Dataset_Wisata'!$A$12:$A$622, 0)))) * COS(RADIANS(C40)) * SIN(RADIANS((D40) - INDEX('Dataset_Wisata'!$D$12:$D$622, MATCH('Dashboard'!$C$9, 'Dataset_Wisata'!$A$12:$A$622, 0)))/2)^2)) * 1.3</f>
        <v/>
      </c>
      <c r="J40" s="21">
        <f>ROUND(I40 * IF('Dashboard'!$C$6&lt;=1, 2250, IF('Dashboard'!$C$6&lt;=4, 5150, 6000)), 0)</f>
        <v/>
      </c>
      <c r="K40" s="30" t="n">
        <v>0.9998126508185596</v>
      </c>
      <c r="L40" s="30" t="n">
        <v>0.0001775718391516968</v>
      </c>
      <c r="M40" s="30" t="n">
        <v>9.7773422886897e-06</v>
      </c>
      <c r="N40" s="31">
        <f>ABS(E40-$F$6)</f>
        <v/>
      </c>
      <c r="O40" s="31">
        <f>ABS(E40-$F$7)</f>
        <v/>
      </c>
      <c r="P40" s="31">
        <f>ABS(E40-$F$8)</f>
        <v/>
      </c>
      <c r="Q40" s="14">
        <f>IF(K40&gt;=MAX(L40,M40), "Hemat", IF(L40&gt;=M40, "Balanced", "Premium"))</f>
        <v/>
      </c>
      <c r="R40" s="30" t="n">
        <v>0.9998126513362043</v>
      </c>
      <c r="S40" s="30" t="n">
        <v>0.0001775713458315561</v>
      </c>
      <c r="T40" s="30" t="n">
        <v>9.777317964159987e-06</v>
      </c>
      <c r="U40" s="31">
        <f>ABS(E40-$G$6)</f>
        <v/>
      </c>
      <c r="V40" s="31">
        <f>ABS(E40-$G$7)</f>
        <v/>
      </c>
      <c r="W40" s="31">
        <f>ABS(E40-$G$8)</f>
        <v/>
      </c>
      <c r="X40" s="14">
        <f>IF(R40&gt;=MAX(S40,T40), "Hemat", IF(S40&gt;=T40, "Balanced", "Premium"))</f>
        <v/>
      </c>
    </row>
    <row r="41">
      <c r="A41" s="14" t="n">
        <v>31</v>
      </c>
      <c r="B41" s="7" t="inlineStr">
        <is>
          <t>Pantai Ngliyep Malang</t>
        </is>
      </c>
      <c r="C41" s="26" t="n">
        <v>-8.3835873</v>
      </c>
      <c r="D41" s="26" t="n">
        <v>112.4242054</v>
      </c>
      <c r="E41" s="21" t="n">
        <v>15000</v>
      </c>
      <c r="F41" s="27" t="n">
        <v>4.5</v>
      </c>
      <c r="G41" s="28" t="n">
        <v>5124</v>
      </c>
      <c r="H41" s="14" t="inlineStr">
        <is>
          <t>Pantai Ngliyep Malang</t>
        </is>
      </c>
      <c r="I41" s="29">
        <f>6371 * 2 * ASIN(SQRT(SIN(RADIANS((C41) - INDEX('Dataset_Wisata'!$C$12:$C$622, MATCH('Dashboard'!$C$9, 'Dataset_Wisata'!$A$12:$A$622, 0)))/2)^2 + COS(RADIANS(INDEX('Dataset_Wisata'!$C$12:$C$622, MATCH('Dashboard'!$C$9, 'Dataset_Wisata'!$A$12:$A$622, 0)))) * COS(RADIANS(C41)) * SIN(RADIANS((D41) - INDEX('Dataset_Wisata'!$D$12:$D$622, MATCH('Dashboard'!$C$9, 'Dataset_Wisata'!$A$12:$A$622, 0)))/2)^2)) * 1.3</f>
        <v/>
      </c>
      <c r="J41" s="21">
        <f>ROUND(I41 * IF('Dashboard'!$C$6&lt;=1, 2250, IF('Dashboard'!$C$6&lt;=4, 5150, 6000)), 0)</f>
        <v/>
      </c>
      <c r="K41" s="30" t="n">
        <v>0.9744283047002794</v>
      </c>
      <c r="L41" s="30" t="n">
        <v>0.02447712712252609</v>
      </c>
      <c r="M41" s="30" t="n">
        <v>0.001094568177194568</v>
      </c>
      <c r="N41" s="31">
        <f>ABS(E41-$F$6)</f>
        <v/>
      </c>
      <c r="O41" s="31">
        <f>ABS(E41-$F$7)</f>
        <v/>
      </c>
      <c r="P41" s="31">
        <f>ABS(E41-$F$8)</f>
        <v/>
      </c>
      <c r="Q41" s="14">
        <f>IF(K41&gt;=MAX(L41,M41), "Hemat", IF(L41&gt;=M41, "Balanced", "Premium"))</f>
        <v/>
      </c>
      <c r="R41" s="30" t="n">
        <v>0.9744283195785179</v>
      </c>
      <c r="S41" s="30" t="n">
        <v>0.02447711252884811</v>
      </c>
      <c r="T41" s="30" t="n">
        <v>0.001094567892634054</v>
      </c>
      <c r="U41" s="31">
        <f>ABS(E41-$G$6)</f>
        <v/>
      </c>
      <c r="V41" s="31">
        <f>ABS(E41-$G$7)</f>
        <v/>
      </c>
      <c r="W41" s="31">
        <f>ABS(E41-$G$8)</f>
        <v/>
      </c>
      <c r="X41" s="14">
        <f>IF(R41&gt;=MAX(S41,T41), "Hemat", IF(S41&gt;=T41, "Balanced", "Premium"))</f>
        <v/>
      </c>
    </row>
    <row r="42">
      <c r="A42" s="14" t="n">
        <v>32</v>
      </c>
      <c r="B42" s="7" t="inlineStr">
        <is>
          <t>Wisata Rowo Klampok</t>
        </is>
      </c>
      <c r="C42" s="26" t="n">
        <v>-8.1634209</v>
      </c>
      <c r="D42" s="26" t="n">
        <v>112.5105179</v>
      </c>
      <c r="E42" s="21" t="n">
        <v>10000</v>
      </c>
      <c r="F42" s="27" t="n">
        <v>4.3</v>
      </c>
      <c r="G42" s="28" t="n">
        <v>129</v>
      </c>
      <c r="H42" s="14" t="inlineStr">
        <is>
          <t>Wisata Rowo Klampok</t>
        </is>
      </c>
      <c r="I42" s="29">
        <f>6371 * 2 * ASIN(SQRT(SIN(RADIANS((C42) - INDEX('Dataset_Wisata'!$C$12:$C$622, MATCH('Dashboard'!$C$9, 'Dataset_Wisata'!$A$12:$A$622, 0)))/2)^2 + COS(RADIANS(INDEX('Dataset_Wisata'!$C$12:$C$622, MATCH('Dashboard'!$C$9, 'Dataset_Wisata'!$A$12:$A$622, 0)))) * COS(RADIANS(C42)) * SIN(RADIANS((D42) - INDEX('Dataset_Wisata'!$D$12:$D$622, MATCH('Dashboard'!$C$9, 'Dataset_Wisata'!$A$12:$A$622, 0)))/2)^2)) * 1.3</f>
        <v/>
      </c>
      <c r="J42" s="21">
        <f>ROUND(I42 * IF('Dashboard'!$C$6&lt;=1, 2250, IF('Dashboard'!$C$6&lt;=4, 5150, 6000)), 0)</f>
        <v/>
      </c>
      <c r="K42" s="30" t="n">
        <v>0.9998126508185596</v>
      </c>
      <c r="L42" s="30" t="n">
        <v>0.0001775718391516968</v>
      </c>
      <c r="M42" s="30" t="n">
        <v>9.7773422886897e-06</v>
      </c>
      <c r="N42" s="31">
        <f>ABS(E42-$F$6)</f>
        <v/>
      </c>
      <c r="O42" s="31">
        <f>ABS(E42-$F$7)</f>
        <v/>
      </c>
      <c r="P42" s="31">
        <f>ABS(E42-$F$8)</f>
        <v/>
      </c>
      <c r="Q42" s="14">
        <f>IF(K42&gt;=MAX(L42,M42), "Hemat", IF(L42&gt;=M42, "Balanced", "Premium"))</f>
        <v/>
      </c>
      <c r="R42" s="30" t="n">
        <v>0.9998126513362043</v>
      </c>
      <c r="S42" s="30" t="n">
        <v>0.0001775713458315561</v>
      </c>
      <c r="T42" s="30" t="n">
        <v>9.777317964159987e-06</v>
      </c>
      <c r="U42" s="31">
        <f>ABS(E42-$G$6)</f>
        <v/>
      </c>
      <c r="V42" s="31">
        <f>ABS(E42-$G$7)</f>
        <v/>
      </c>
      <c r="W42" s="31">
        <f>ABS(E42-$G$8)</f>
        <v/>
      </c>
      <c r="X42" s="14">
        <f>IF(R42&gt;=MAX(S42,T42), "Hemat", IF(S42&gt;=T42, "Balanced", "Premium"))</f>
        <v/>
      </c>
    </row>
    <row r="43">
      <c r="A43" s="14" t="n">
        <v>33</v>
      </c>
      <c r="B43" s="7" t="inlineStr">
        <is>
          <t>Pantai Goa Pathuk ilang ꦥꦼꦱꦶꦱꦶꦂꦒꦸꦮꦥꦡꦸꦏ꧀ꦅꦭꦁ</t>
        </is>
      </c>
      <c r="C43" s="26" t="n">
        <v>-8.385381000000001</v>
      </c>
      <c r="D43" s="26" t="n">
        <v>112.4254267</v>
      </c>
      <c r="E43" s="21" t="n">
        <v>10000</v>
      </c>
      <c r="F43" s="27" t="n">
        <v>4.6</v>
      </c>
      <c r="G43" s="28" t="n">
        <v>77</v>
      </c>
      <c r="H43" s="14" t="inlineStr">
        <is>
          <t>Pantai Goa Pathuk ilang ꦥꦼꦱꦶꦱꦶꦂꦒꦸꦮꦥꦡꦸꦏ꧀ꦅꦭꦁ</t>
        </is>
      </c>
      <c r="I43" s="29">
        <f>6371 * 2 * ASIN(SQRT(SIN(RADIANS((C43) - INDEX('Dataset_Wisata'!$C$12:$C$622, MATCH('Dashboard'!$C$9, 'Dataset_Wisata'!$A$12:$A$622, 0)))/2)^2 + COS(RADIANS(INDEX('Dataset_Wisata'!$C$12:$C$622, MATCH('Dashboard'!$C$9, 'Dataset_Wisata'!$A$12:$A$622, 0)))) * COS(RADIANS(C43)) * SIN(RADIANS((D43) - INDEX('Dataset_Wisata'!$D$12:$D$622, MATCH('Dashboard'!$C$9, 'Dataset_Wisata'!$A$12:$A$622, 0)))/2)^2)) * 1.3</f>
        <v/>
      </c>
      <c r="J43" s="21">
        <f>ROUND(I43 * IF('Dashboard'!$C$6&lt;=1, 2250, IF('Dashboard'!$C$6&lt;=4, 5150, 6000)), 0)</f>
        <v/>
      </c>
      <c r="K43" s="30" t="n">
        <v>0.9998126508185596</v>
      </c>
      <c r="L43" s="30" t="n">
        <v>0.0001775718391516968</v>
      </c>
      <c r="M43" s="30" t="n">
        <v>9.7773422886897e-06</v>
      </c>
      <c r="N43" s="31">
        <f>ABS(E43-$F$6)</f>
        <v/>
      </c>
      <c r="O43" s="31">
        <f>ABS(E43-$F$7)</f>
        <v/>
      </c>
      <c r="P43" s="31">
        <f>ABS(E43-$F$8)</f>
        <v/>
      </c>
      <c r="Q43" s="14">
        <f>IF(K43&gt;=MAX(L43,M43), "Hemat", IF(L43&gt;=M43, "Balanced", "Premium"))</f>
        <v/>
      </c>
      <c r="R43" s="30" t="n">
        <v>0.9998126513362043</v>
      </c>
      <c r="S43" s="30" t="n">
        <v>0.0001775713458315561</v>
      </c>
      <c r="T43" s="30" t="n">
        <v>9.777317964159987e-06</v>
      </c>
      <c r="U43" s="31">
        <f>ABS(E43-$G$6)</f>
        <v/>
      </c>
      <c r="V43" s="31">
        <f>ABS(E43-$G$7)</f>
        <v/>
      </c>
      <c r="W43" s="31">
        <f>ABS(E43-$G$8)</f>
        <v/>
      </c>
      <c r="X43" s="14">
        <f>IF(R43&gt;=MAX(S43,T43), "Hemat", IF(S43&gt;=T43, "Balanced", "Premium"))</f>
        <v/>
      </c>
    </row>
    <row r="44">
      <c r="A44" s="14" t="n">
        <v>34</v>
      </c>
      <c r="B44" s="7" t="inlineStr">
        <is>
          <t>Pantai Nglurung ꦥꦼꦱꦶꦱꦶꦂꦔ꧀ꦭꦸꦫꦸꦁ</t>
        </is>
      </c>
      <c r="C44" s="26" t="n">
        <v>-8.3774715</v>
      </c>
      <c r="D44" s="26" t="n">
        <v>112.4082456</v>
      </c>
      <c r="E44" s="21" t="n">
        <v>10000</v>
      </c>
      <c r="F44" s="27" t="n">
        <v>4.5</v>
      </c>
      <c r="G44" s="28" t="n">
        <v>23</v>
      </c>
      <c r="H44" s="14" t="inlineStr">
        <is>
          <t>Pantai Nglurung ꦥꦼꦱꦶꦱꦶꦂꦔ꧀ꦭꦸꦫꦸꦁ</t>
        </is>
      </c>
      <c r="I44" s="29">
        <f>6371 * 2 * ASIN(SQRT(SIN(RADIANS((C44) - INDEX('Dataset_Wisata'!$C$12:$C$622, MATCH('Dashboard'!$C$9, 'Dataset_Wisata'!$A$12:$A$622, 0)))/2)^2 + COS(RADIANS(INDEX('Dataset_Wisata'!$C$12:$C$622, MATCH('Dashboard'!$C$9, 'Dataset_Wisata'!$A$12:$A$622, 0)))) * COS(RADIANS(C44)) * SIN(RADIANS((D44) - INDEX('Dataset_Wisata'!$D$12:$D$622, MATCH('Dashboard'!$C$9, 'Dataset_Wisata'!$A$12:$A$622, 0)))/2)^2)) * 1.3</f>
        <v/>
      </c>
      <c r="J44" s="21">
        <f>ROUND(I44 * IF('Dashboard'!$C$6&lt;=1, 2250, IF('Dashboard'!$C$6&lt;=4, 5150, 6000)), 0)</f>
        <v/>
      </c>
      <c r="K44" s="30" t="n">
        <v>0.9998126508185596</v>
      </c>
      <c r="L44" s="30" t="n">
        <v>0.0001775718391516968</v>
      </c>
      <c r="M44" s="30" t="n">
        <v>9.7773422886897e-06</v>
      </c>
      <c r="N44" s="31">
        <f>ABS(E44-$F$6)</f>
        <v/>
      </c>
      <c r="O44" s="31">
        <f>ABS(E44-$F$7)</f>
        <v/>
      </c>
      <c r="P44" s="31">
        <f>ABS(E44-$F$8)</f>
        <v/>
      </c>
      <c r="Q44" s="14">
        <f>IF(K44&gt;=MAX(L44,M44), "Hemat", IF(L44&gt;=M44, "Balanced", "Premium"))</f>
        <v/>
      </c>
      <c r="R44" s="30" t="n">
        <v>0.9998126513362043</v>
      </c>
      <c r="S44" s="30" t="n">
        <v>0.0001775713458315561</v>
      </c>
      <c r="T44" s="30" t="n">
        <v>9.777317964159987e-06</v>
      </c>
      <c r="U44" s="31">
        <f>ABS(E44-$G$6)</f>
        <v/>
      </c>
      <c r="V44" s="31">
        <f>ABS(E44-$G$7)</f>
        <v/>
      </c>
      <c r="W44" s="31">
        <f>ABS(E44-$G$8)</f>
        <v/>
      </c>
      <c r="X44" s="14">
        <f>IF(R44&gt;=MAX(S44,T44), "Hemat", IF(S44&gt;=T44, "Balanced", "Premium"))</f>
        <v/>
      </c>
    </row>
    <row r="45">
      <c r="A45" s="14" t="n">
        <v>35</v>
      </c>
      <c r="B45" s="7" t="inlineStr">
        <is>
          <t>Wisata Ngebrak</t>
        </is>
      </c>
      <c r="C45" s="26" t="n">
        <v>-8.2348053</v>
      </c>
      <c r="D45" s="26" t="n">
        <v>112.4070735</v>
      </c>
      <c r="E45" s="21" t="n">
        <v>30000</v>
      </c>
      <c r="F45" s="27" t="n">
        <v>4.3</v>
      </c>
      <c r="G45" s="28" t="n">
        <v>76</v>
      </c>
      <c r="H45" s="14" t="inlineStr">
        <is>
          <t>Wisata Ngebrak</t>
        </is>
      </c>
      <c r="I45" s="29">
        <f>6371 * 2 * ASIN(SQRT(SIN(RADIANS((C45) - INDEX('Dataset_Wisata'!$C$12:$C$622, MATCH('Dashboard'!$C$9, 'Dataset_Wisata'!$A$12:$A$622, 0)))/2)^2 + COS(RADIANS(INDEX('Dataset_Wisata'!$C$12:$C$622, MATCH('Dashboard'!$C$9, 'Dataset_Wisata'!$A$12:$A$622, 0)))) * COS(RADIANS(C45)) * SIN(RADIANS((D45) - INDEX('Dataset_Wisata'!$D$12:$D$622, MATCH('Dashboard'!$C$9, 'Dataset_Wisata'!$A$12:$A$622, 0)))/2)^2)) * 1.3</f>
        <v/>
      </c>
      <c r="J45" s="21">
        <f>ROUND(I45 * IF('Dashboard'!$C$6&lt;=1, 2250, IF('Dashboard'!$C$6&lt;=4, 5150, 6000)), 0)</f>
        <v/>
      </c>
      <c r="K45" s="30" t="n">
        <v>0.4800921289599558</v>
      </c>
      <c r="L45" s="30" t="n">
        <v>0.5109191138653489</v>
      </c>
      <c r="M45" s="30" t="n">
        <v>0.008988757174695291</v>
      </c>
      <c r="N45" s="31">
        <f>ABS(E45-$F$6)</f>
        <v/>
      </c>
      <c r="O45" s="31">
        <f>ABS(E45-$F$7)</f>
        <v/>
      </c>
      <c r="P45" s="31">
        <f>ABS(E45-$F$8)</f>
        <v/>
      </c>
      <c r="Q45" s="14">
        <f>IF(K45&gt;=MAX(L45,M45), "Hemat", IF(L45&gt;=M45, "Balanced", "Premium"))</f>
        <v/>
      </c>
      <c r="R45" s="30" t="n">
        <v>0.4800923067166307</v>
      </c>
      <c r="S45" s="30" t="n">
        <v>0.5109189337438159</v>
      </c>
      <c r="T45" s="30" t="n">
        <v>0.008988759539553422</v>
      </c>
      <c r="U45" s="31">
        <f>ABS(E45-$G$6)</f>
        <v/>
      </c>
      <c r="V45" s="31">
        <f>ABS(E45-$G$7)</f>
        <v/>
      </c>
      <c r="W45" s="31">
        <f>ABS(E45-$G$8)</f>
        <v/>
      </c>
      <c r="X45" s="14">
        <f>IF(R45&gt;=MAX(S45,T45), "Hemat", IF(S45&gt;=T45, "Balanced", "Premium"))</f>
        <v/>
      </c>
    </row>
    <row r="46">
      <c r="A46" s="14" t="n">
        <v>36</v>
      </c>
      <c r="B46" s="7" t="inlineStr">
        <is>
          <t>Pantai Ngledakan Ciut ꦥꦼꦱꦶꦱꦶꦂꦔ꧀ꦭꦼꦢꦏꦤ꧀ꦕꦶꦪꦸꦠ꧀</t>
        </is>
      </c>
      <c r="C46" s="26" t="n">
        <v>-8.393138799999999</v>
      </c>
      <c r="D46" s="26" t="n">
        <v>112.4387552</v>
      </c>
      <c r="E46" s="21" t="n">
        <v>5000</v>
      </c>
      <c r="F46" s="27" t="n">
        <v>4.7</v>
      </c>
      <c r="G46" s="28" t="n">
        <v>50</v>
      </c>
      <c r="H46" s="14" t="inlineStr">
        <is>
          <t>Pantai Ngledakan Ciut ꦥꦼꦱꦶꦱꦶꦂꦔ꧀ꦭꦼꦢꦏꦤ꧀ꦕꦶꦪꦸꦠ꧀</t>
        </is>
      </c>
      <c r="I46" s="29">
        <f>6371 * 2 * ASIN(SQRT(SIN(RADIANS((C46) - INDEX('Dataset_Wisata'!$C$12:$C$622, MATCH('Dashboard'!$C$9, 'Dataset_Wisata'!$A$12:$A$622, 0)))/2)^2 + COS(RADIANS(INDEX('Dataset_Wisata'!$C$12:$C$622, MATCH('Dashboard'!$C$9, 'Dataset_Wisata'!$A$12:$A$622, 0)))) * COS(RADIANS(C46)) * SIN(RADIANS((D46) - INDEX('Dataset_Wisata'!$D$12:$D$622, MATCH('Dashboard'!$C$9, 'Dataset_Wisata'!$A$12:$A$622, 0)))/2)^2)) * 1.3</f>
        <v/>
      </c>
      <c r="J46" s="21">
        <f>ROUND(I46 * IF('Dashboard'!$C$6&lt;=1, 2250, IF('Dashboard'!$C$6&lt;=4, 5150, 6000)), 0)</f>
        <v/>
      </c>
      <c r="K46" s="30" t="n">
        <v>0.9895566543895754</v>
      </c>
      <c r="L46" s="30" t="n">
        <v>0.009798611400025654</v>
      </c>
      <c r="M46" s="30" t="n">
        <v>0.0006447342103988783</v>
      </c>
      <c r="N46" s="31">
        <f>ABS(E46-$F$6)</f>
        <v/>
      </c>
      <c r="O46" s="31">
        <f>ABS(E46-$F$7)</f>
        <v/>
      </c>
      <c r="P46" s="31">
        <f>ABS(E46-$F$8)</f>
        <v/>
      </c>
      <c r="Q46" s="14">
        <f>IF(K46&gt;=MAX(L46,M46), "Hemat", IF(L46&gt;=M46, "Balanced", "Premium"))</f>
        <v/>
      </c>
      <c r="R46" s="30" t="n">
        <v>0.9895566542341836</v>
      </c>
      <c r="S46" s="30" t="n">
        <v>0.00979861139170024</v>
      </c>
      <c r="T46" s="30" t="n">
        <v>0.00064473437411607</v>
      </c>
      <c r="U46" s="31">
        <f>ABS(E46-$G$6)</f>
        <v/>
      </c>
      <c r="V46" s="31">
        <f>ABS(E46-$G$7)</f>
        <v/>
      </c>
      <c r="W46" s="31">
        <f>ABS(E46-$G$8)</f>
        <v/>
      </c>
      <c r="X46" s="14">
        <f>IF(R46&gt;=MAX(S46,T46), "Hemat", IF(S46&gt;=T46, "Balanced", "Premium"))</f>
        <v/>
      </c>
    </row>
    <row r="47">
      <c r="A47" s="14" t="n">
        <v>37</v>
      </c>
      <c r="B47" s="7" t="inlineStr">
        <is>
          <t>Pantai Modangan</t>
        </is>
      </c>
      <c r="C47" s="26" t="n">
        <v>-8.348868700000001</v>
      </c>
      <c r="D47" s="26" t="n">
        <v>112.3590898</v>
      </c>
      <c r="E47" s="21" t="n">
        <v>10000</v>
      </c>
      <c r="F47" s="27" t="n">
        <v>4.5</v>
      </c>
      <c r="G47" s="28" t="n">
        <v>52</v>
      </c>
      <c r="H47" s="14" t="inlineStr">
        <is>
          <t>Pantai Modangan</t>
        </is>
      </c>
      <c r="I47" s="29">
        <f>6371 * 2 * ASIN(SQRT(SIN(RADIANS((C47) - INDEX('Dataset_Wisata'!$C$12:$C$622, MATCH('Dashboard'!$C$9, 'Dataset_Wisata'!$A$12:$A$622, 0)))/2)^2 + COS(RADIANS(INDEX('Dataset_Wisata'!$C$12:$C$622, MATCH('Dashboard'!$C$9, 'Dataset_Wisata'!$A$12:$A$622, 0)))) * COS(RADIANS(C47)) * SIN(RADIANS((D47) - INDEX('Dataset_Wisata'!$D$12:$D$622, MATCH('Dashboard'!$C$9, 'Dataset_Wisata'!$A$12:$A$622, 0)))/2)^2)) * 1.3</f>
        <v/>
      </c>
      <c r="J47" s="21">
        <f>ROUND(I47 * IF('Dashboard'!$C$6&lt;=1, 2250, IF('Dashboard'!$C$6&lt;=4, 5150, 6000)), 0)</f>
        <v/>
      </c>
      <c r="K47" s="30" t="n">
        <v>0.9998126508185596</v>
      </c>
      <c r="L47" s="30" t="n">
        <v>0.0001775718391516968</v>
      </c>
      <c r="M47" s="30" t="n">
        <v>9.7773422886897e-06</v>
      </c>
      <c r="N47" s="31">
        <f>ABS(E47-$F$6)</f>
        <v/>
      </c>
      <c r="O47" s="31">
        <f>ABS(E47-$F$7)</f>
        <v/>
      </c>
      <c r="P47" s="31">
        <f>ABS(E47-$F$8)</f>
        <v/>
      </c>
      <c r="Q47" s="14">
        <f>IF(K47&gt;=MAX(L47,M47), "Hemat", IF(L47&gt;=M47, "Balanced", "Premium"))</f>
        <v/>
      </c>
      <c r="R47" s="30" t="n">
        <v>0.9998126513362043</v>
      </c>
      <c r="S47" s="30" t="n">
        <v>0.0001775713458315561</v>
      </c>
      <c r="T47" s="30" t="n">
        <v>9.777317964159987e-06</v>
      </c>
      <c r="U47" s="31">
        <f>ABS(E47-$G$6)</f>
        <v/>
      </c>
      <c r="V47" s="31">
        <f>ABS(E47-$G$7)</f>
        <v/>
      </c>
      <c r="W47" s="31">
        <f>ABS(E47-$G$8)</f>
        <v/>
      </c>
      <c r="X47" s="14">
        <f>IF(R47&gt;=MAX(S47,T47), "Hemat", IF(S47&gt;=T47, "Balanced", "Premium"))</f>
        <v/>
      </c>
    </row>
    <row r="48">
      <c r="A48" s="14" t="n">
        <v>38</v>
      </c>
      <c r="B48" s="7" t="inlineStr">
        <is>
          <t>Pantai Banyu Anjlok</t>
        </is>
      </c>
      <c r="C48" s="26" t="n">
        <v>-8.372068199999999</v>
      </c>
      <c r="D48" s="26" t="n">
        <v>112.8210105</v>
      </c>
      <c r="E48" s="21" t="n">
        <v>10000</v>
      </c>
      <c r="F48" s="27" t="n">
        <v>4.5</v>
      </c>
      <c r="G48" s="28" t="n">
        <v>1026</v>
      </c>
      <c r="H48" s="14" t="inlineStr">
        <is>
          <t>Pantai Banyu Anjlok</t>
        </is>
      </c>
      <c r="I48" s="29">
        <f>6371 * 2 * ASIN(SQRT(SIN(RADIANS((C48) - INDEX('Dataset_Wisata'!$C$12:$C$622, MATCH('Dashboard'!$C$9, 'Dataset_Wisata'!$A$12:$A$622, 0)))/2)^2 + COS(RADIANS(INDEX('Dataset_Wisata'!$C$12:$C$622, MATCH('Dashboard'!$C$9, 'Dataset_Wisata'!$A$12:$A$622, 0)))) * COS(RADIANS(C48)) * SIN(RADIANS((D48) - INDEX('Dataset_Wisata'!$D$12:$D$622, MATCH('Dashboard'!$C$9, 'Dataset_Wisata'!$A$12:$A$622, 0)))/2)^2)) * 1.3</f>
        <v/>
      </c>
      <c r="J48" s="21">
        <f>ROUND(I48 * IF('Dashboard'!$C$6&lt;=1, 2250, IF('Dashboard'!$C$6&lt;=4, 5150, 6000)), 0)</f>
        <v/>
      </c>
      <c r="K48" s="30" t="n">
        <v>0.9998126508185596</v>
      </c>
      <c r="L48" s="30" t="n">
        <v>0.0001775718391516968</v>
      </c>
      <c r="M48" s="30" t="n">
        <v>9.7773422886897e-06</v>
      </c>
      <c r="N48" s="31">
        <f>ABS(E48-$F$6)</f>
        <v/>
      </c>
      <c r="O48" s="31">
        <f>ABS(E48-$F$7)</f>
        <v/>
      </c>
      <c r="P48" s="31">
        <f>ABS(E48-$F$8)</f>
        <v/>
      </c>
      <c r="Q48" s="14">
        <f>IF(K48&gt;=MAX(L48,M48), "Hemat", IF(L48&gt;=M48, "Balanced", "Premium"))</f>
        <v/>
      </c>
      <c r="R48" s="30" t="n">
        <v>0.9998126513362043</v>
      </c>
      <c r="S48" s="30" t="n">
        <v>0.0001775713458315561</v>
      </c>
      <c r="T48" s="30" t="n">
        <v>9.777317964159987e-06</v>
      </c>
      <c r="U48" s="31">
        <f>ABS(E48-$G$6)</f>
        <v/>
      </c>
      <c r="V48" s="31">
        <f>ABS(E48-$G$7)</f>
        <v/>
      </c>
      <c r="W48" s="31">
        <f>ABS(E48-$G$8)</f>
        <v/>
      </c>
      <c r="X48" s="14">
        <f>IF(R48&gt;=MAX(S48,T48), "Hemat", IF(S48&gt;=T48, "Balanced", "Premium"))</f>
        <v/>
      </c>
    </row>
    <row r="49">
      <c r="A49" s="14" t="n">
        <v>39</v>
      </c>
      <c r="B49" s="7" t="inlineStr">
        <is>
          <t>Gunung Geger</t>
        </is>
      </c>
      <c r="C49" s="26" t="n">
        <v>-8.229934500000001</v>
      </c>
      <c r="D49" s="26" t="n">
        <v>112.5526712</v>
      </c>
      <c r="E49" s="21" t="n">
        <v>2500</v>
      </c>
      <c r="F49" s="27" t="n">
        <v>4.4</v>
      </c>
      <c r="G49" s="28" t="n">
        <v>263</v>
      </c>
      <c r="H49" s="14" t="inlineStr">
        <is>
          <t>Gunung Geger</t>
        </is>
      </c>
      <c r="I49" s="29">
        <f>6371 * 2 * ASIN(SQRT(SIN(RADIANS((C49) - INDEX('Dataset_Wisata'!$C$12:$C$622, MATCH('Dashboard'!$C$9, 'Dataset_Wisata'!$A$12:$A$622, 0)))/2)^2 + COS(RADIANS(INDEX('Dataset_Wisata'!$C$12:$C$622, MATCH('Dashboard'!$C$9, 'Dataset_Wisata'!$A$12:$A$622, 0)))) * COS(RADIANS(C49)) * SIN(RADIANS((D49) - INDEX('Dataset_Wisata'!$D$12:$D$622, MATCH('Dashboard'!$C$9, 'Dataset_Wisata'!$A$12:$A$622, 0)))/2)^2)) * 1.3</f>
        <v/>
      </c>
      <c r="J49" s="21">
        <f>ROUND(I49 * IF('Dashboard'!$C$6&lt;=1, 2250, IF('Dashboard'!$C$6&lt;=4, 5150, 6000)), 0)</f>
        <v/>
      </c>
      <c r="K49" s="30" t="n">
        <v>0.9773743746276544</v>
      </c>
      <c r="L49" s="30" t="n">
        <v>0.021120202795981</v>
      </c>
      <c r="M49" s="30" t="n">
        <v>0.001505422576364575</v>
      </c>
      <c r="N49" s="31">
        <f>ABS(E49-$F$6)</f>
        <v/>
      </c>
      <c r="O49" s="31">
        <f>ABS(E49-$F$7)</f>
        <v/>
      </c>
      <c r="P49" s="31">
        <f>ABS(E49-$F$8)</f>
        <v/>
      </c>
      <c r="Q49" s="14">
        <f>IF(K49&gt;=MAX(L49,M49), "Hemat", IF(L49&gt;=M49, "Balanced", "Premium"))</f>
        <v/>
      </c>
      <c r="R49" s="30" t="n">
        <v>0.9773743762623121</v>
      </c>
      <c r="S49" s="30" t="n">
        <v>0.02112020093297466</v>
      </c>
      <c r="T49" s="30" t="n">
        <v>0.001505422804713285</v>
      </c>
      <c r="U49" s="31">
        <f>ABS(E49-$G$6)</f>
        <v/>
      </c>
      <c r="V49" s="31">
        <f>ABS(E49-$G$7)</f>
        <v/>
      </c>
      <c r="W49" s="31">
        <f>ABS(E49-$G$8)</f>
        <v/>
      </c>
      <c r="X49" s="14">
        <f>IF(R49&gt;=MAX(S49,T49), "Hemat", IF(S49&gt;=T49, "Balanced", "Premium"))</f>
        <v/>
      </c>
    </row>
    <row r="50">
      <c r="A50" s="14" t="n">
        <v>40</v>
      </c>
      <c r="B50" s="7" t="inlineStr">
        <is>
          <t>Gua Maria Sendang Purwaningsih</t>
        </is>
      </c>
      <c r="C50" s="26" t="n">
        <v>-8.279848899999999</v>
      </c>
      <c r="D50" s="26" t="n">
        <v>112.4110693</v>
      </c>
      <c r="E50" s="21" t="n">
        <v>0</v>
      </c>
      <c r="F50" s="27" t="n">
        <v>4.7</v>
      </c>
      <c r="G50" s="28" t="n">
        <v>294</v>
      </c>
      <c r="H50" s="14" t="inlineStr">
        <is>
          <t>Tujuan Wisata · PCC6+3C8</t>
        </is>
      </c>
      <c r="I50" s="29">
        <f>6371 * 2 * ASIN(SQRT(SIN(RADIANS((C50) - INDEX('Dataset_Wisata'!$C$12:$C$622, MATCH('Dashboard'!$C$9, 'Dataset_Wisata'!$A$12:$A$622, 0)))/2)^2 + COS(RADIANS(INDEX('Dataset_Wisata'!$C$12:$C$622, MATCH('Dashboard'!$C$9, 'Dataset_Wisata'!$A$12:$A$622, 0)))) * COS(RADIANS(C50)) * SIN(RADIANS((D50) - INDEX('Dataset_Wisata'!$D$12:$D$622, MATCH('Dashboard'!$C$9, 'Dataset_Wisata'!$A$12:$A$622, 0)))/2)^2)) * 1.3</f>
        <v/>
      </c>
      <c r="J50" s="21">
        <f>ROUND(I50 * IF('Dashboard'!$C$6&lt;=1, 2250, IF('Dashboard'!$C$6&lt;=4, 5150, 6000)), 0)</f>
        <v/>
      </c>
      <c r="K50" s="30" t="n">
        <v>0.9626824510005771</v>
      </c>
      <c r="L50" s="30" t="n">
        <v>0.03465542295845363</v>
      </c>
      <c r="M50" s="30" t="n">
        <v>0.002662126040969366</v>
      </c>
      <c r="N50" s="31">
        <f>ABS(E50-$F$6)</f>
        <v/>
      </c>
      <c r="O50" s="31">
        <f>ABS(E50-$F$7)</f>
        <v/>
      </c>
      <c r="P50" s="31">
        <f>ABS(E50-$F$8)</f>
        <v/>
      </c>
      <c r="Q50" s="14">
        <f>IF(K50&gt;=MAX(L50,M50), "Hemat", IF(L50&gt;=M50, "Balanced", "Premium"))</f>
        <v/>
      </c>
      <c r="R50" s="30" t="n">
        <v>0.9626824549241798</v>
      </c>
      <c r="S50" s="30" t="n">
        <v>0.03465541875469833</v>
      </c>
      <c r="T50" s="30" t="n">
        <v>0.002662126321121907</v>
      </c>
      <c r="U50" s="31">
        <f>ABS(E50-$G$6)</f>
        <v/>
      </c>
      <c r="V50" s="31">
        <f>ABS(E50-$G$7)</f>
        <v/>
      </c>
      <c r="W50" s="31">
        <f>ABS(E50-$G$8)</f>
        <v/>
      </c>
      <c r="X50" s="14">
        <f>IF(R50&gt;=MAX(S50,T50), "Hemat", IF(S50&gt;=T50, "Balanced", "Premium"))</f>
        <v/>
      </c>
    </row>
    <row r="51">
      <c r="A51" s="14" t="n">
        <v>41</v>
      </c>
      <c r="B51" s="7" t="inlineStr">
        <is>
          <t>Tempat Wisata Mancing ikan air tawar di tengah bendungan</t>
        </is>
      </c>
      <c r="C51" s="26" t="n">
        <v>-8.177891000000001</v>
      </c>
      <c r="D51" s="26" t="n">
        <v>112.483423</v>
      </c>
      <c r="E51" s="21" t="n">
        <v>20000</v>
      </c>
      <c r="F51" s="27" t="n">
        <v>4.7</v>
      </c>
      <c r="G51" s="28" t="n">
        <v>25</v>
      </c>
      <c r="H51" s="14" t="inlineStr">
        <is>
          <t>Wisata Umum</t>
        </is>
      </c>
      <c r="I51" s="29">
        <f>6371 * 2 * ASIN(SQRT(SIN(RADIANS((C51) - INDEX('Dataset_Wisata'!$C$12:$C$622, MATCH('Dashboard'!$C$9, 'Dataset_Wisata'!$A$12:$A$622, 0)))/2)^2 + COS(RADIANS(INDEX('Dataset_Wisata'!$C$12:$C$622, MATCH('Dashboard'!$C$9, 'Dataset_Wisata'!$A$12:$A$622, 0)))) * COS(RADIANS(C51)) * SIN(RADIANS((D51) - INDEX('Dataset_Wisata'!$D$12:$D$622, MATCH('Dashboard'!$C$9, 'Dataset_Wisata'!$A$12:$A$622, 0)))/2)^2)) * 1.3</f>
        <v/>
      </c>
      <c r="J51" s="21">
        <f>ROUND(I51 * IF('Dashboard'!$C$6&lt;=1, 2250, IF('Dashboard'!$C$6&lt;=4, 5150, 6000)), 0)</f>
        <v/>
      </c>
      <c r="K51" s="30" t="n">
        <v>0.8862296979094436</v>
      </c>
      <c r="L51" s="30" t="n">
        <v>0.1099329410905347</v>
      </c>
      <c r="M51" s="30" t="n">
        <v>0.003837361000021699</v>
      </c>
      <c r="N51" s="31">
        <f>ABS(E51-$F$6)</f>
        <v/>
      </c>
      <c r="O51" s="31">
        <f>ABS(E51-$F$7)</f>
        <v/>
      </c>
      <c r="P51" s="31">
        <f>ABS(E51-$F$8)</f>
        <v/>
      </c>
      <c r="Q51" s="14">
        <f>IF(K51&gt;=MAX(L51,M51), "Hemat", IF(L51&gt;=M51, "Balanced", "Premium"))</f>
        <v/>
      </c>
      <c r="R51" s="30" t="n">
        <v>0.8862297532761809</v>
      </c>
      <c r="S51" s="30" t="n">
        <v>0.1099328861159962</v>
      </c>
      <c r="T51" s="30" t="n">
        <v>0.003837360607822898</v>
      </c>
      <c r="U51" s="31">
        <f>ABS(E51-$G$6)</f>
        <v/>
      </c>
      <c r="V51" s="31">
        <f>ABS(E51-$G$7)</f>
        <v/>
      </c>
      <c r="W51" s="31">
        <f>ABS(E51-$G$8)</f>
        <v/>
      </c>
      <c r="X51" s="14">
        <f>IF(R51&gt;=MAX(S51,T51), "Hemat", IF(S51&gt;=T51, "Balanced", "Premium"))</f>
        <v/>
      </c>
    </row>
    <row r="52">
      <c r="A52" s="14" t="n">
        <v>42</v>
      </c>
      <c r="B52" s="7" t="inlineStr">
        <is>
          <t>Wisata Payung Batu</t>
        </is>
      </c>
      <c r="C52" s="26" t="n">
        <v>-7.8656156</v>
      </c>
      <c r="D52" s="26" t="n">
        <v>112.4888066</v>
      </c>
      <c r="E52" s="21" t="n">
        <v>10000</v>
      </c>
      <c r="F52" s="27" t="n">
        <v>4.5</v>
      </c>
      <c r="G52" s="28" t="n">
        <v>1263</v>
      </c>
      <c r="H52" s="14" t="inlineStr">
        <is>
          <t>Wisata Payung Batu</t>
        </is>
      </c>
      <c r="I52" s="29">
        <f>6371 * 2 * ASIN(SQRT(SIN(RADIANS((C52) - INDEX('Dataset_Wisata'!$C$12:$C$622, MATCH('Dashboard'!$C$9, 'Dataset_Wisata'!$A$12:$A$622, 0)))/2)^2 + COS(RADIANS(INDEX('Dataset_Wisata'!$C$12:$C$622, MATCH('Dashboard'!$C$9, 'Dataset_Wisata'!$A$12:$A$622, 0)))) * COS(RADIANS(C52)) * SIN(RADIANS((D52) - INDEX('Dataset_Wisata'!$D$12:$D$622, MATCH('Dashboard'!$C$9, 'Dataset_Wisata'!$A$12:$A$622, 0)))/2)^2)) * 1.3</f>
        <v/>
      </c>
      <c r="J52" s="21">
        <f>ROUND(I52 * IF('Dashboard'!$C$6&lt;=1, 2250, IF('Dashboard'!$C$6&lt;=4, 5150, 6000)), 0)</f>
        <v/>
      </c>
      <c r="K52" s="30" t="n">
        <v>0.9998126508185596</v>
      </c>
      <c r="L52" s="30" t="n">
        <v>0.0001775718391516968</v>
      </c>
      <c r="M52" s="30" t="n">
        <v>9.7773422886897e-06</v>
      </c>
      <c r="N52" s="31">
        <f>ABS(E52-$F$6)</f>
        <v/>
      </c>
      <c r="O52" s="31">
        <f>ABS(E52-$F$7)</f>
        <v/>
      </c>
      <c r="P52" s="31">
        <f>ABS(E52-$F$8)</f>
        <v/>
      </c>
      <c r="Q52" s="14">
        <f>IF(K52&gt;=MAX(L52,M52), "Hemat", IF(L52&gt;=M52, "Balanced", "Premium"))</f>
        <v/>
      </c>
      <c r="R52" s="30" t="n">
        <v>0.9998126513362043</v>
      </c>
      <c r="S52" s="30" t="n">
        <v>0.0001775713458315561</v>
      </c>
      <c r="T52" s="30" t="n">
        <v>9.777317964159987e-06</v>
      </c>
      <c r="U52" s="31">
        <f>ABS(E52-$G$6)</f>
        <v/>
      </c>
      <c r="V52" s="31">
        <f>ABS(E52-$G$7)</f>
        <v/>
      </c>
      <c r="W52" s="31">
        <f>ABS(E52-$G$8)</f>
        <v/>
      </c>
      <c r="X52" s="14">
        <f>IF(R52&gt;=MAX(S52,T52), "Hemat", IF(S52&gt;=T52, "Balanced", "Premium"))</f>
        <v/>
      </c>
    </row>
    <row r="53">
      <c r="A53" s="14" t="n">
        <v>43</v>
      </c>
      <c r="B53" s="7" t="inlineStr">
        <is>
          <t>Taman Merak Pujon Rafting</t>
        </is>
      </c>
      <c r="C53" s="26" t="n">
        <v>-7.8549521</v>
      </c>
      <c r="D53" s="26" t="n">
        <v>112.4390518</v>
      </c>
      <c r="E53" s="21" t="n">
        <v>15000</v>
      </c>
      <c r="F53" s="27" t="n">
        <v>4</v>
      </c>
      <c r="G53" s="28" t="n">
        <v>194</v>
      </c>
      <c r="H53" s="14" t="inlineStr">
        <is>
          <t>Taman Merak Pujon Rafting</t>
        </is>
      </c>
      <c r="I53" s="29">
        <f>6371 * 2 * ASIN(SQRT(SIN(RADIANS((C53) - INDEX('Dataset_Wisata'!$C$12:$C$622, MATCH('Dashboard'!$C$9, 'Dataset_Wisata'!$A$12:$A$622, 0)))/2)^2 + COS(RADIANS(INDEX('Dataset_Wisata'!$C$12:$C$622, MATCH('Dashboard'!$C$9, 'Dataset_Wisata'!$A$12:$A$622, 0)))) * COS(RADIANS(C53)) * SIN(RADIANS((D53) - INDEX('Dataset_Wisata'!$D$12:$D$622, MATCH('Dashboard'!$C$9, 'Dataset_Wisata'!$A$12:$A$622, 0)))/2)^2)) * 1.3</f>
        <v/>
      </c>
      <c r="J53" s="21">
        <f>ROUND(I53 * IF('Dashboard'!$C$6&lt;=1, 2250, IF('Dashboard'!$C$6&lt;=4, 5150, 6000)), 0)</f>
        <v/>
      </c>
      <c r="K53" s="30" t="n">
        <v>0.9744283047002794</v>
      </c>
      <c r="L53" s="30" t="n">
        <v>0.02447712712252609</v>
      </c>
      <c r="M53" s="30" t="n">
        <v>0.001094568177194568</v>
      </c>
      <c r="N53" s="31">
        <f>ABS(E53-$F$6)</f>
        <v/>
      </c>
      <c r="O53" s="31">
        <f>ABS(E53-$F$7)</f>
        <v/>
      </c>
      <c r="P53" s="31">
        <f>ABS(E53-$F$8)</f>
        <v/>
      </c>
      <c r="Q53" s="14">
        <f>IF(K53&gt;=MAX(L53,M53), "Hemat", IF(L53&gt;=M53, "Balanced", "Premium"))</f>
        <v/>
      </c>
      <c r="R53" s="30" t="n">
        <v>0.9744283195785179</v>
      </c>
      <c r="S53" s="30" t="n">
        <v>0.02447711252884811</v>
      </c>
      <c r="T53" s="30" t="n">
        <v>0.001094567892634054</v>
      </c>
      <c r="U53" s="31">
        <f>ABS(E53-$G$6)</f>
        <v/>
      </c>
      <c r="V53" s="31">
        <f>ABS(E53-$G$7)</f>
        <v/>
      </c>
      <c r="W53" s="31">
        <f>ABS(E53-$G$8)</f>
        <v/>
      </c>
      <c r="X53" s="14">
        <f>IF(R53&gt;=MAX(S53,T53), "Hemat", IF(S53&gt;=T53, "Balanced", "Premium"))</f>
        <v/>
      </c>
    </row>
    <row r="54">
      <c r="A54" s="14" t="n">
        <v>44</v>
      </c>
      <c r="B54" s="7" t="inlineStr">
        <is>
          <t>Air Terjun Sumber Pitu Pujon</t>
        </is>
      </c>
      <c r="C54" s="26" t="n">
        <v>-7.8955192</v>
      </c>
      <c r="D54" s="26" t="n">
        <v>112.4621553</v>
      </c>
      <c r="E54" s="21" t="n">
        <v>5000</v>
      </c>
      <c r="F54" s="27" t="n">
        <v>4.4</v>
      </c>
      <c r="G54" s="28" t="n">
        <v>561</v>
      </c>
      <c r="H54" s="14" t="inlineStr">
        <is>
          <t>Wisata Umum</t>
        </is>
      </c>
      <c r="I54" s="29">
        <f>6371 * 2 * ASIN(SQRT(SIN(RADIANS((C54) - INDEX('Dataset_Wisata'!$C$12:$C$622, MATCH('Dashboard'!$C$9, 'Dataset_Wisata'!$A$12:$A$622, 0)))/2)^2 + COS(RADIANS(INDEX('Dataset_Wisata'!$C$12:$C$622, MATCH('Dashboard'!$C$9, 'Dataset_Wisata'!$A$12:$A$622, 0)))) * COS(RADIANS(C54)) * SIN(RADIANS((D54) - INDEX('Dataset_Wisata'!$D$12:$D$622, MATCH('Dashboard'!$C$9, 'Dataset_Wisata'!$A$12:$A$622, 0)))/2)^2)) * 1.3</f>
        <v/>
      </c>
      <c r="J54" s="21">
        <f>ROUND(I54 * IF('Dashboard'!$C$6&lt;=1, 2250, IF('Dashboard'!$C$6&lt;=4, 5150, 6000)), 0)</f>
        <v/>
      </c>
      <c r="K54" s="30" t="n">
        <v>0.9895566543895754</v>
      </c>
      <c r="L54" s="30" t="n">
        <v>0.009798611400025654</v>
      </c>
      <c r="M54" s="30" t="n">
        <v>0.0006447342103988783</v>
      </c>
      <c r="N54" s="31">
        <f>ABS(E54-$F$6)</f>
        <v/>
      </c>
      <c r="O54" s="31">
        <f>ABS(E54-$F$7)</f>
        <v/>
      </c>
      <c r="P54" s="31">
        <f>ABS(E54-$F$8)</f>
        <v/>
      </c>
      <c r="Q54" s="14">
        <f>IF(K54&gt;=MAX(L54,M54), "Hemat", IF(L54&gt;=M54, "Balanced", "Premium"))</f>
        <v/>
      </c>
      <c r="R54" s="30" t="n">
        <v>0.9895566542341836</v>
      </c>
      <c r="S54" s="30" t="n">
        <v>0.00979861139170024</v>
      </c>
      <c r="T54" s="30" t="n">
        <v>0.00064473437411607</v>
      </c>
      <c r="U54" s="31">
        <f>ABS(E54-$G$6)</f>
        <v/>
      </c>
      <c r="V54" s="31">
        <f>ABS(E54-$G$7)</f>
        <v/>
      </c>
      <c r="W54" s="31">
        <f>ABS(E54-$G$8)</f>
        <v/>
      </c>
      <c r="X54" s="14">
        <f>IF(R54&gt;=MAX(S54,T54), "Hemat", IF(S54&gt;=T54, "Balanced", "Premium"))</f>
        <v/>
      </c>
    </row>
    <row r="55">
      <c r="A55" s="14" t="n">
        <v>45</v>
      </c>
      <c r="B55" s="7" t="inlineStr">
        <is>
          <t>Florawisata Santerra De Laponte</t>
        </is>
      </c>
      <c r="C55" s="26" t="n">
        <v>-7.8542907</v>
      </c>
      <c r="D55" s="26" t="n">
        <v>112.4857585</v>
      </c>
      <c r="E55" s="21" t="n">
        <v>30000</v>
      </c>
      <c r="F55" s="27" t="n">
        <v>4.6</v>
      </c>
      <c r="G55" s="28" t="n">
        <v>26464</v>
      </c>
      <c r="H55" s="14" t="inlineStr">
        <is>
          <t>Florawisata Santerra De Laponte</t>
        </is>
      </c>
      <c r="I55" s="29">
        <f>6371 * 2 * ASIN(SQRT(SIN(RADIANS((C55) - INDEX('Dataset_Wisata'!$C$12:$C$622, MATCH('Dashboard'!$C$9, 'Dataset_Wisata'!$A$12:$A$622, 0)))/2)^2 + COS(RADIANS(INDEX('Dataset_Wisata'!$C$12:$C$622, MATCH('Dashboard'!$C$9, 'Dataset_Wisata'!$A$12:$A$622, 0)))) * COS(RADIANS(C55)) * SIN(RADIANS((D55) - INDEX('Dataset_Wisata'!$D$12:$D$622, MATCH('Dashboard'!$C$9, 'Dataset_Wisata'!$A$12:$A$622, 0)))/2)^2)) * 1.3</f>
        <v/>
      </c>
      <c r="J55" s="21">
        <f>ROUND(I55 * IF('Dashboard'!$C$6&lt;=1, 2250, IF('Dashboard'!$C$6&lt;=4, 5150, 6000)), 0)</f>
        <v/>
      </c>
      <c r="K55" s="30" t="n">
        <v>0.4800921289599558</v>
      </c>
      <c r="L55" s="30" t="n">
        <v>0.5109191138653489</v>
      </c>
      <c r="M55" s="30" t="n">
        <v>0.008988757174695291</v>
      </c>
      <c r="N55" s="31">
        <f>ABS(E55-$F$6)</f>
        <v/>
      </c>
      <c r="O55" s="31">
        <f>ABS(E55-$F$7)</f>
        <v/>
      </c>
      <c r="P55" s="31">
        <f>ABS(E55-$F$8)</f>
        <v/>
      </c>
      <c r="Q55" s="14">
        <f>IF(K55&gt;=MAX(L55,M55), "Hemat", IF(L55&gt;=M55, "Balanced", "Premium"))</f>
        <v/>
      </c>
      <c r="R55" s="30" t="n">
        <v>0.4800923067166307</v>
      </c>
      <c r="S55" s="30" t="n">
        <v>0.5109189337438159</v>
      </c>
      <c r="T55" s="30" t="n">
        <v>0.008988759539553422</v>
      </c>
      <c r="U55" s="31">
        <f>ABS(E55-$G$6)</f>
        <v/>
      </c>
      <c r="V55" s="31">
        <f>ABS(E55-$G$7)</f>
        <v/>
      </c>
      <c r="W55" s="31">
        <f>ABS(E55-$G$8)</f>
        <v/>
      </c>
      <c r="X55" s="14">
        <f>IF(R55&gt;=MAX(S55,T55), "Hemat", IF(S55&gt;=T55, "Balanced", "Premium"))</f>
        <v/>
      </c>
    </row>
    <row r="56">
      <c r="A56" s="14" t="n">
        <v>46</v>
      </c>
      <c r="B56" s="7" t="inlineStr">
        <is>
          <t>Bumi Perkemahan Coban Manan</t>
        </is>
      </c>
      <c r="C56" s="26" t="n">
        <v>-7.8929275</v>
      </c>
      <c r="D56" s="26" t="n">
        <v>112.4562485</v>
      </c>
      <c r="E56" s="21" t="n">
        <v>3000</v>
      </c>
      <c r="F56" s="27" t="n">
        <v>4.7</v>
      </c>
      <c r="G56" s="28" t="n">
        <v>158</v>
      </c>
      <c r="H56" s="14" t="inlineStr">
        <is>
          <t>Taman ·  · 4F44+RFH</t>
        </is>
      </c>
      <c r="I56" s="29">
        <f>6371 * 2 * ASIN(SQRT(SIN(RADIANS((C56) - INDEX('Dataset_Wisata'!$C$12:$C$622, MATCH('Dashboard'!$C$9, 'Dataset_Wisata'!$A$12:$A$622, 0)))/2)^2 + COS(RADIANS(INDEX('Dataset_Wisata'!$C$12:$C$622, MATCH('Dashboard'!$C$9, 'Dataset_Wisata'!$A$12:$A$622, 0)))) * COS(RADIANS(C56)) * SIN(RADIANS((D56) - INDEX('Dataset_Wisata'!$D$12:$D$622, MATCH('Dashboard'!$C$9, 'Dataset_Wisata'!$A$12:$A$622, 0)))/2)^2)) * 1.3</f>
        <v/>
      </c>
      <c r="J56" s="21">
        <f>ROUND(I56 * IF('Dashboard'!$C$6&lt;=1, 2250, IF('Dashboard'!$C$6&lt;=4, 5150, 6000)), 0)</f>
        <v/>
      </c>
      <c r="K56" s="30" t="n">
        <v>0.9800529386550435</v>
      </c>
      <c r="L56" s="30" t="n">
        <v>0.01863901730741549</v>
      </c>
      <c r="M56" s="30" t="n">
        <v>0.001308044037540998</v>
      </c>
      <c r="N56" s="31">
        <f>ABS(E56-$F$6)</f>
        <v/>
      </c>
      <c r="O56" s="31">
        <f>ABS(E56-$F$7)</f>
        <v/>
      </c>
      <c r="P56" s="31">
        <f>ABS(E56-$F$8)</f>
        <v/>
      </c>
      <c r="Q56" s="14">
        <f>IF(K56&gt;=MAX(L56,M56), "Hemat", IF(L56&gt;=M56, "Balanced", "Premium"))</f>
        <v/>
      </c>
      <c r="R56" s="30" t="n">
        <v>0.9800529398761559</v>
      </c>
      <c r="S56" s="30" t="n">
        <v>0.01863901586968426</v>
      </c>
      <c r="T56" s="30" t="n">
        <v>0.001308044254159759</v>
      </c>
      <c r="U56" s="31">
        <f>ABS(E56-$G$6)</f>
        <v/>
      </c>
      <c r="V56" s="31">
        <f>ABS(E56-$G$7)</f>
        <v/>
      </c>
      <c r="W56" s="31">
        <f>ABS(E56-$G$8)</f>
        <v/>
      </c>
      <c r="X56" s="14">
        <f>IF(R56&gt;=MAX(S56,T56), "Hemat", IF(S56&gt;=T56, "Balanced", "Premium"))</f>
        <v/>
      </c>
    </row>
    <row r="57">
      <c r="A57" s="14" t="n">
        <v>47</v>
      </c>
      <c r="B57" s="7" t="inlineStr">
        <is>
          <t>Agrowisata Telaga Madiredo</t>
        </is>
      </c>
      <c r="C57" s="26" t="n">
        <v>-7.8249722</v>
      </c>
      <c r="D57" s="26" t="n">
        <v>112.4598137</v>
      </c>
      <c r="E57" s="21" t="n">
        <v>10000</v>
      </c>
      <c r="F57" s="27" t="n">
        <v>4.5</v>
      </c>
      <c r="G57" s="28" t="n">
        <v>1197</v>
      </c>
      <c r="H57" s="14" t="inlineStr">
        <is>
          <t>Agrowisata Telaga Madiredo</t>
        </is>
      </c>
      <c r="I57" s="29">
        <f>6371 * 2 * ASIN(SQRT(SIN(RADIANS((C57) - INDEX('Dataset_Wisata'!$C$12:$C$622, MATCH('Dashboard'!$C$9, 'Dataset_Wisata'!$A$12:$A$622, 0)))/2)^2 + COS(RADIANS(INDEX('Dataset_Wisata'!$C$12:$C$622, MATCH('Dashboard'!$C$9, 'Dataset_Wisata'!$A$12:$A$622, 0)))) * COS(RADIANS(C57)) * SIN(RADIANS((D57) - INDEX('Dataset_Wisata'!$D$12:$D$622, MATCH('Dashboard'!$C$9, 'Dataset_Wisata'!$A$12:$A$622, 0)))/2)^2)) * 1.3</f>
        <v/>
      </c>
      <c r="J57" s="21">
        <f>ROUND(I57 * IF('Dashboard'!$C$6&lt;=1, 2250, IF('Dashboard'!$C$6&lt;=4, 5150, 6000)), 0)</f>
        <v/>
      </c>
      <c r="K57" s="30" t="n">
        <v>0.9998126508185596</v>
      </c>
      <c r="L57" s="30" t="n">
        <v>0.0001775718391516968</v>
      </c>
      <c r="M57" s="30" t="n">
        <v>9.7773422886897e-06</v>
      </c>
      <c r="N57" s="31">
        <f>ABS(E57-$F$6)</f>
        <v/>
      </c>
      <c r="O57" s="31">
        <f>ABS(E57-$F$7)</f>
        <v/>
      </c>
      <c r="P57" s="31">
        <f>ABS(E57-$F$8)</f>
        <v/>
      </c>
      <c r="Q57" s="14">
        <f>IF(K57&gt;=MAX(L57,M57), "Hemat", IF(L57&gt;=M57, "Balanced", "Premium"))</f>
        <v/>
      </c>
      <c r="R57" s="30" t="n">
        <v>0.9998126513362043</v>
      </c>
      <c r="S57" s="30" t="n">
        <v>0.0001775713458315561</v>
      </c>
      <c r="T57" s="30" t="n">
        <v>9.777317964159987e-06</v>
      </c>
      <c r="U57" s="31">
        <f>ABS(E57-$G$6)</f>
        <v/>
      </c>
      <c r="V57" s="31">
        <f>ABS(E57-$G$7)</f>
        <v/>
      </c>
      <c r="W57" s="31">
        <f>ABS(E57-$G$8)</f>
        <v/>
      </c>
      <c r="X57" s="14">
        <f>IF(R57&gt;=MAX(S57,T57), "Hemat", IF(S57&gt;=T57, "Balanced", "Premium"))</f>
        <v/>
      </c>
    </row>
    <row r="58">
      <c r="A58" s="14" t="n">
        <v>48</v>
      </c>
      <c r="B58" s="7" t="inlineStr">
        <is>
          <t>Cafe Sawah Pujonkidul</t>
        </is>
      </c>
      <c r="C58" s="26" t="n">
        <v>-7.8545719</v>
      </c>
      <c r="D58" s="26" t="n">
        <v>112.4538339</v>
      </c>
      <c r="E58" s="21" t="n">
        <v>12500</v>
      </c>
      <c r="F58" s="27" t="n">
        <v>4.5</v>
      </c>
      <c r="G58" s="28" t="n">
        <v>19047</v>
      </c>
      <c r="H58" s="14" t="inlineStr">
        <is>
          <t>Wisata Umum</t>
        </is>
      </c>
      <c r="I58" s="29">
        <f>6371 * 2 * ASIN(SQRT(SIN(RADIANS((C58) - INDEX('Dataset_Wisata'!$C$12:$C$622, MATCH('Dashboard'!$C$9, 'Dataset_Wisata'!$A$12:$A$622, 0)))/2)^2 + COS(RADIANS(INDEX('Dataset_Wisata'!$C$12:$C$622, MATCH('Dashboard'!$C$9, 'Dataset_Wisata'!$A$12:$A$622, 0)))) * COS(RADIANS(C58)) * SIN(RADIANS((D58) - INDEX('Dataset_Wisata'!$D$12:$D$622, MATCH('Dashboard'!$C$9, 'Dataset_Wisata'!$A$12:$A$622, 0)))/2)^2)) * 1.3</f>
        <v/>
      </c>
      <c r="J58" s="21">
        <f>ROUND(I58 * IF('Dashboard'!$C$6&lt;=1, 2250, IF('Dashboard'!$C$6&lt;=4, 5150, 6000)), 0)</f>
        <v/>
      </c>
      <c r="K58" s="30" t="n">
        <v>0.9931494932878779</v>
      </c>
      <c r="L58" s="30" t="n">
        <v>0.006525333214398045</v>
      </c>
      <c r="M58" s="30" t="n">
        <v>0.0003251734977240752</v>
      </c>
      <c r="N58" s="31">
        <f>ABS(E58-$F$6)</f>
        <v/>
      </c>
      <c r="O58" s="31">
        <f>ABS(E58-$F$7)</f>
        <v/>
      </c>
      <c r="P58" s="31">
        <f>ABS(E58-$F$8)</f>
        <v/>
      </c>
      <c r="Q58" s="14">
        <f>IF(K58&gt;=MAX(L58,M58), "Hemat", IF(L58&gt;=M58, "Balanced", "Premium"))</f>
        <v/>
      </c>
      <c r="R58" s="30" t="n">
        <v>0.993149498497744</v>
      </c>
      <c r="S58" s="30" t="n">
        <v>0.00652532815528229</v>
      </c>
      <c r="T58" s="30" t="n">
        <v>0.0003251733469736963</v>
      </c>
      <c r="U58" s="31">
        <f>ABS(E58-$G$6)</f>
        <v/>
      </c>
      <c r="V58" s="31">
        <f>ABS(E58-$G$7)</f>
        <v/>
      </c>
      <c r="W58" s="31">
        <f>ABS(E58-$G$8)</f>
        <v/>
      </c>
      <c r="X58" s="14">
        <f>IF(R58&gt;=MAX(S58,T58), "Hemat", IF(S58&gt;=T58, "Balanced", "Premium"))</f>
        <v/>
      </c>
    </row>
    <row r="59">
      <c r="A59" s="14" t="n">
        <v>49</v>
      </c>
      <c r="B59" s="7" t="inlineStr">
        <is>
          <t>Watu Gajah PUJON Gussari</t>
        </is>
      </c>
      <c r="C59" s="26" t="n">
        <v>-7.8623064</v>
      </c>
      <c r="D59" s="26" t="n">
        <v>112.428148</v>
      </c>
      <c r="E59" s="21" t="n">
        <v>20000</v>
      </c>
      <c r="F59" s="27" t="n">
        <v>4.1</v>
      </c>
      <c r="G59" s="28" t="n">
        <v>85</v>
      </c>
      <c r="H59" s="14" t="inlineStr">
        <is>
          <t>Wisata Umum</t>
        </is>
      </c>
      <c r="I59" s="29">
        <f>6371 * 2 * ASIN(SQRT(SIN(RADIANS((C59) - INDEX('Dataset_Wisata'!$C$12:$C$622, MATCH('Dashboard'!$C$9, 'Dataset_Wisata'!$A$12:$A$622, 0)))/2)^2 + COS(RADIANS(INDEX('Dataset_Wisata'!$C$12:$C$622, MATCH('Dashboard'!$C$9, 'Dataset_Wisata'!$A$12:$A$622, 0)))) * COS(RADIANS(C59)) * SIN(RADIANS((D59) - INDEX('Dataset_Wisata'!$D$12:$D$622, MATCH('Dashboard'!$C$9, 'Dataset_Wisata'!$A$12:$A$622, 0)))/2)^2)) * 1.3</f>
        <v/>
      </c>
      <c r="J59" s="21">
        <f>ROUND(I59 * IF('Dashboard'!$C$6&lt;=1, 2250, IF('Dashboard'!$C$6&lt;=4, 5150, 6000)), 0)</f>
        <v/>
      </c>
      <c r="K59" s="30" t="n">
        <v>0.8862296979094436</v>
      </c>
      <c r="L59" s="30" t="n">
        <v>0.1099329410905347</v>
      </c>
      <c r="M59" s="30" t="n">
        <v>0.003837361000021699</v>
      </c>
      <c r="N59" s="31">
        <f>ABS(E59-$F$6)</f>
        <v/>
      </c>
      <c r="O59" s="31">
        <f>ABS(E59-$F$7)</f>
        <v/>
      </c>
      <c r="P59" s="31">
        <f>ABS(E59-$F$8)</f>
        <v/>
      </c>
      <c r="Q59" s="14">
        <f>IF(K59&gt;=MAX(L59,M59), "Hemat", IF(L59&gt;=M59, "Balanced", "Premium"))</f>
        <v/>
      </c>
      <c r="R59" s="30" t="n">
        <v>0.8862297532761809</v>
      </c>
      <c r="S59" s="30" t="n">
        <v>0.1099328861159962</v>
      </c>
      <c r="T59" s="30" t="n">
        <v>0.003837360607822898</v>
      </c>
      <c r="U59" s="31">
        <f>ABS(E59-$G$6)</f>
        <v/>
      </c>
      <c r="V59" s="31">
        <f>ABS(E59-$G$7)</f>
        <v/>
      </c>
      <c r="W59" s="31">
        <f>ABS(E59-$G$8)</f>
        <v/>
      </c>
      <c r="X59" s="14">
        <f>IF(R59&gt;=MAX(S59,T59), "Hemat", IF(S59&gt;=T59, "Balanced", "Premium"))</f>
        <v/>
      </c>
    </row>
    <row r="60">
      <c r="A60" s="14" t="n">
        <v>50</v>
      </c>
      <c r="B60" s="7" t="inlineStr">
        <is>
          <t>The Roudh 78</t>
        </is>
      </c>
      <c r="C60" s="26" t="n">
        <v>-7.8549644</v>
      </c>
      <c r="D60" s="26" t="n">
        <v>112.4541328</v>
      </c>
      <c r="E60" s="21" t="n">
        <v>5000</v>
      </c>
      <c r="F60" s="27" t="n">
        <v>4.2</v>
      </c>
      <c r="G60" s="28" t="n">
        <v>215</v>
      </c>
      <c r="H60" s="14" t="inlineStr">
        <is>
          <t>Wisata Umum</t>
        </is>
      </c>
      <c r="I60" s="29">
        <f>6371 * 2 * ASIN(SQRT(SIN(RADIANS((C60) - INDEX('Dataset_Wisata'!$C$12:$C$622, MATCH('Dashboard'!$C$9, 'Dataset_Wisata'!$A$12:$A$622, 0)))/2)^2 + COS(RADIANS(INDEX('Dataset_Wisata'!$C$12:$C$622, MATCH('Dashboard'!$C$9, 'Dataset_Wisata'!$A$12:$A$622, 0)))) * COS(RADIANS(C60)) * SIN(RADIANS((D60) - INDEX('Dataset_Wisata'!$D$12:$D$622, MATCH('Dashboard'!$C$9, 'Dataset_Wisata'!$A$12:$A$622, 0)))/2)^2)) * 1.3</f>
        <v/>
      </c>
      <c r="J60" s="21">
        <f>ROUND(I60 * IF('Dashboard'!$C$6&lt;=1, 2250, IF('Dashboard'!$C$6&lt;=4, 5150, 6000)), 0)</f>
        <v/>
      </c>
      <c r="K60" s="30" t="n">
        <v>0.9895566543895754</v>
      </c>
      <c r="L60" s="30" t="n">
        <v>0.009798611400025654</v>
      </c>
      <c r="M60" s="30" t="n">
        <v>0.0006447342103988783</v>
      </c>
      <c r="N60" s="31">
        <f>ABS(E60-$F$6)</f>
        <v/>
      </c>
      <c r="O60" s="31">
        <f>ABS(E60-$F$7)</f>
        <v/>
      </c>
      <c r="P60" s="31">
        <f>ABS(E60-$F$8)</f>
        <v/>
      </c>
      <c r="Q60" s="14">
        <f>IF(K60&gt;=MAX(L60,M60), "Hemat", IF(L60&gt;=M60, "Balanced", "Premium"))</f>
        <v/>
      </c>
      <c r="R60" s="30" t="n">
        <v>0.9895566542341836</v>
      </c>
      <c r="S60" s="30" t="n">
        <v>0.00979861139170024</v>
      </c>
      <c r="T60" s="30" t="n">
        <v>0.00064473437411607</v>
      </c>
      <c r="U60" s="31">
        <f>ABS(E60-$G$6)</f>
        <v/>
      </c>
      <c r="V60" s="31">
        <f>ABS(E60-$G$7)</f>
        <v/>
      </c>
      <c r="W60" s="31">
        <f>ABS(E60-$G$8)</f>
        <v/>
      </c>
      <c r="X60" s="14">
        <f>IF(R60&gt;=MAX(S60,T60), "Hemat", IF(S60&gt;=T60, "Balanced", "Premium"))</f>
        <v/>
      </c>
    </row>
    <row r="61">
      <c r="A61" s="14" t="n">
        <v>51</v>
      </c>
      <c r="B61" s="7" t="inlineStr">
        <is>
          <t>Camping Outbound Pujon Pondok Koeboed</t>
        </is>
      </c>
      <c r="C61" s="26" t="n">
        <v>-7.8573134</v>
      </c>
      <c r="D61" s="26" t="n">
        <v>112.4269744</v>
      </c>
      <c r="E61" s="21" t="n">
        <v>10000</v>
      </c>
      <c r="F61" s="27" t="n">
        <v>4.9</v>
      </c>
      <c r="G61" s="28" t="n">
        <v>50</v>
      </c>
      <c r="H61" s="14" t="inlineStr">
        <is>
          <t>Wisata Umum</t>
        </is>
      </c>
      <c r="I61" s="29">
        <f>6371 * 2 * ASIN(SQRT(SIN(RADIANS((C61) - INDEX('Dataset_Wisata'!$C$12:$C$622, MATCH('Dashboard'!$C$9, 'Dataset_Wisata'!$A$12:$A$622, 0)))/2)^2 + COS(RADIANS(INDEX('Dataset_Wisata'!$C$12:$C$622, MATCH('Dashboard'!$C$9, 'Dataset_Wisata'!$A$12:$A$622, 0)))) * COS(RADIANS(C61)) * SIN(RADIANS((D61) - INDEX('Dataset_Wisata'!$D$12:$D$622, MATCH('Dashboard'!$C$9, 'Dataset_Wisata'!$A$12:$A$622, 0)))/2)^2)) * 1.3</f>
        <v/>
      </c>
      <c r="J61" s="21">
        <f>ROUND(I61 * IF('Dashboard'!$C$6&lt;=1, 2250, IF('Dashboard'!$C$6&lt;=4, 5150, 6000)), 0)</f>
        <v/>
      </c>
      <c r="K61" s="30" t="n">
        <v>0.9998126508185596</v>
      </c>
      <c r="L61" s="30" t="n">
        <v>0.0001775718391516968</v>
      </c>
      <c r="M61" s="30" t="n">
        <v>9.7773422886897e-06</v>
      </c>
      <c r="N61" s="31">
        <f>ABS(E61-$F$6)</f>
        <v/>
      </c>
      <c r="O61" s="31">
        <f>ABS(E61-$F$7)</f>
        <v/>
      </c>
      <c r="P61" s="31">
        <f>ABS(E61-$F$8)</f>
        <v/>
      </c>
      <c r="Q61" s="14">
        <f>IF(K61&gt;=MAX(L61,M61), "Hemat", IF(L61&gt;=M61, "Balanced", "Premium"))</f>
        <v/>
      </c>
      <c r="R61" s="30" t="n">
        <v>0.9998126513362043</v>
      </c>
      <c r="S61" s="30" t="n">
        <v>0.0001775713458315561</v>
      </c>
      <c r="T61" s="30" t="n">
        <v>9.777317964159987e-06</v>
      </c>
      <c r="U61" s="31">
        <f>ABS(E61-$G$6)</f>
        <v/>
      </c>
      <c r="V61" s="31">
        <f>ABS(E61-$G$7)</f>
        <v/>
      </c>
      <c r="W61" s="31">
        <f>ABS(E61-$G$8)</f>
        <v/>
      </c>
      <c r="X61" s="14">
        <f>IF(R61&gt;=MAX(S61,T61), "Hemat", IF(S61&gt;=T61, "Balanced", "Premium"))</f>
        <v/>
      </c>
    </row>
    <row r="62">
      <c r="A62" s="14" t="n">
        <v>52</v>
      </c>
      <c r="B62" s="7" t="inlineStr">
        <is>
          <t>Rafting Malang</t>
        </is>
      </c>
      <c r="C62" s="26" t="n">
        <v>-7.8412764</v>
      </c>
      <c r="D62" s="26" t="n">
        <v>112.4497515</v>
      </c>
      <c r="E62" s="21" t="n">
        <v>5000</v>
      </c>
      <c r="F62" s="27" t="n">
        <v>4.2</v>
      </c>
      <c r="G62" s="28" t="n">
        <v>162</v>
      </c>
      <c r="H62" s="14" t="inlineStr">
        <is>
          <t>Wisata Umum</t>
        </is>
      </c>
      <c r="I62" s="29">
        <f>6371 * 2 * ASIN(SQRT(SIN(RADIANS((C62) - INDEX('Dataset_Wisata'!$C$12:$C$622, MATCH('Dashboard'!$C$9, 'Dataset_Wisata'!$A$12:$A$622, 0)))/2)^2 + COS(RADIANS(INDEX('Dataset_Wisata'!$C$12:$C$622, MATCH('Dashboard'!$C$9, 'Dataset_Wisata'!$A$12:$A$622, 0)))) * COS(RADIANS(C62)) * SIN(RADIANS((D62) - INDEX('Dataset_Wisata'!$D$12:$D$622, MATCH('Dashboard'!$C$9, 'Dataset_Wisata'!$A$12:$A$622, 0)))/2)^2)) * 1.3</f>
        <v/>
      </c>
      <c r="J62" s="21">
        <f>ROUND(I62 * IF('Dashboard'!$C$6&lt;=1, 2250, IF('Dashboard'!$C$6&lt;=4, 5150, 6000)), 0)</f>
        <v/>
      </c>
      <c r="K62" s="30" t="n">
        <v>0.9895566543895754</v>
      </c>
      <c r="L62" s="30" t="n">
        <v>0.009798611400025654</v>
      </c>
      <c r="M62" s="30" t="n">
        <v>0.0006447342103988783</v>
      </c>
      <c r="N62" s="31">
        <f>ABS(E62-$F$6)</f>
        <v/>
      </c>
      <c r="O62" s="31">
        <f>ABS(E62-$F$7)</f>
        <v/>
      </c>
      <c r="P62" s="31">
        <f>ABS(E62-$F$8)</f>
        <v/>
      </c>
      <c r="Q62" s="14">
        <f>IF(K62&gt;=MAX(L62,M62), "Hemat", IF(L62&gt;=M62, "Balanced", "Premium"))</f>
        <v/>
      </c>
      <c r="R62" s="30" t="n">
        <v>0.9895566542341836</v>
      </c>
      <c r="S62" s="30" t="n">
        <v>0.00979861139170024</v>
      </c>
      <c r="T62" s="30" t="n">
        <v>0.00064473437411607</v>
      </c>
      <c r="U62" s="31">
        <f>ABS(E62-$G$6)</f>
        <v/>
      </c>
      <c r="V62" s="31">
        <f>ABS(E62-$G$7)</f>
        <v/>
      </c>
      <c r="W62" s="31">
        <f>ABS(E62-$G$8)</f>
        <v/>
      </c>
      <c r="X62" s="14">
        <f>IF(R62&gt;=MAX(S62,T62), "Hemat", IF(S62&gt;=T62, "Balanced", "Premium"))</f>
        <v/>
      </c>
    </row>
    <row r="63">
      <c r="A63" s="14" t="n">
        <v>53</v>
      </c>
      <c r="B63" s="7" t="inlineStr">
        <is>
          <t>Pujon Hill UMM</t>
        </is>
      </c>
      <c r="C63" s="26" t="n">
        <v>-7.8600808</v>
      </c>
      <c r="D63" s="26" t="n">
        <v>112.4281403</v>
      </c>
      <c r="E63" s="21" t="n">
        <v>13000</v>
      </c>
      <c r="F63" s="27" t="n">
        <v>4.8</v>
      </c>
      <c r="G63" s="28" t="n">
        <v>47</v>
      </c>
      <c r="H63" s="14" t="inlineStr">
        <is>
          <t>Wisata Umum</t>
        </is>
      </c>
      <c r="I63" s="29">
        <f>6371 * 2 * ASIN(SQRT(SIN(RADIANS((C63) - INDEX('Dataset_Wisata'!$C$12:$C$622, MATCH('Dashboard'!$C$9, 'Dataset_Wisata'!$A$12:$A$622, 0)))/2)^2 + COS(RADIANS(INDEX('Dataset_Wisata'!$C$12:$C$622, MATCH('Dashboard'!$C$9, 'Dataset_Wisata'!$A$12:$A$622, 0)))) * COS(RADIANS(C63)) * SIN(RADIANS((D63) - INDEX('Dataset_Wisata'!$D$12:$D$622, MATCH('Dashboard'!$C$9, 'Dataset_Wisata'!$A$12:$A$622, 0)))/2)^2)) * 1.3</f>
        <v/>
      </c>
      <c r="J63" s="21">
        <f>ROUND(I63 * IF('Dashboard'!$C$6&lt;=1, 2250, IF('Dashboard'!$C$6&lt;=4, 5150, 6000)), 0)</f>
        <v/>
      </c>
      <c r="K63" s="30" t="n">
        <v>0.9904849692916193</v>
      </c>
      <c r="L63" s="30" t="n">
        <v>0.009072303419063836</v>
      </c>
      <c r="M63" s="30" t="n">
        <v>0.0004427272893168129</v>
      </c>
      <c r="N63" s="31">
        <f>ABS(E63-$F$6)</f>
        <v/>
      </c>
      <c r="O63" s="31">
        <f>ABS(E63-$F$7)</f>
        <v/>
      </c>
      <c r="P63" s="31">
        <f>ABS(E63-$F$8)</f>
        <v/>
      </c>
      <c r="Q63" s="14">
        <f>IF(K63&gt;=MAX(L63,M63), "Hemat", IF(L63&gt;=M63, "Balanced", "Premium"))</f>
        <v/>
      </c>
      <c r="R63" s="30" t="n">
        <v>0.9904849759806672</v>
      </c>
      <c r="S63" s="30" t="n">
        <v>0.009072296907716281</v>
      </c>
      <c r="T63" s="30" t="n">
        <v>0.0004427271116164604</v>
      </c>
      <c r="U63" s="31">
        <f>ABS(E63-$G$6)</f>
        <v/>
      </c>
      <c r="V63" s="31">
        <f>ABS(E63-$G$7)</f>
        <v/>
      </c>
      <c r="W63" s="31">
        <f>ABS(E63-$G$8)</f>
        <v/>
      </c>
      <c r="X63" s="14">
        <f>IF(R63&gt;=MAX(S63,T63), "Hemat", IF(S63&gt;=T63, "Balanced", "Premium"))</f>
        <v/>
      </c>
    </row>
    <row r="64">
      <c r="A64" s="14" t="n">
        <v>55</v>
      </c>
      <c r="B64" s="7" t="inlineStr">
        <is>
          <t>Meeting Point Pujon Rafting</t>
        </is>
      </c>
      <c r="C64" s="26" t="n">
        <v>-7.8396791</v>
      </c>
      <c r="D64" s="26" t="n">
        <v>112.4497747</v>
      </c>
      <c r="E64" s="21" t="n">
        <v>195000</v>
      </c>
      <c r="F64" s="27" t="n">
        <v>4.4</v>
      </c>
      <c r="G64" s="28" t="n">
        <v>199</v>
      </c>
      <c r="H64" s="14" t="inlineStr">
        <is>
          <t>Wisata Umum</t>
        </is>
      </c>
      <c r="I64" s="29">
        <f>6371 * 2 * ASIN(SQRT(SIN(RADIANS((C64) - INDEX('Dataset_Wisata'!$C$12:$C$622, MATCH('Dashboard'!$C$9, 'Dataset_Wisata'!$A$12:$A$622, 0)))/2)^2 + COS(RADIANS(INDEX('Dataset_Wisata'!$C$12:$C$622, MATCH('Dashboard'!$C$9, 'Dataset_Wisata'!$A$12:$A$622, 0)))) * COS(RADIANS(C64)) * SIN(RADIANS((D64) - INDEX('Dataset_Wisata'!$D$12:$D$622, MATCH('Dashboard'!$C$9, 'Dataset_Wisata'!$A$12:$A$622, 0)))/2)^2)) * 1.3</f>
        <v/>
      </c>
      <c r="J64" s="21">
        <f>ROUND(I64 * IF('Dashboard'!$C$6&lt;=1, 2250, IF('Dashboard'!$C$6&lt;=4, 5150, 6000)), 0)</f>
        <v/>
      </c>
      <c r="K64" s="30" t="n">
        <v>0.006382905918539301</v>
      </c>
      <c r="L64" s="30" t="n">
        <v>0.01043606099716179</v>
      </c>
      <c r="M64" s="30" t="n">
        <v>0.9831810330842988</v>
      </c>
      <c r="N64" s="31">
        <f>ABS(E64-$F$6)</f>
        <v/>
      </c>
      <c r="O64" s="31">
        <f>ABS(E64-$F$7)</f>
        <v/>
      </c>
      <c r="P64" s="31">
        <f>ABS(E64-$F$8)</f>
        <v/>
      </c>
      <c r="Q64" s="14">
        <f>IF(K64&gt;=MAX(L64,M64), "Hemat", IF(L64&gt;=M64, "Balanced", "Premium"))</f>
        <v/>
      </c>
      <c r="R64" s="30" t="n">
        <v>0.006382903203423195</v>
      </c>
      <c r="S64" s="30" t="n">
        <v>0.0104360574285197</v>
      </c>
      <c r="T64" s="30" t="n">
        <v>0.9831810393680571</v>
      </c>
      <c r="U64" s="31">
        <f>ABS(E64-$G$6)</f>
        <v/>
      </c>
      <c r="V64" s="31">
        <f>ABS(E64-$G$7)</f>
        <v/>
      </c>
      <c r="W64" s="31">
        <f>ABS(E64-$G$8)</f>
        <v/>
      </c>
      <c r="X64" s="14">
        <f>IF(R64&gt;=MAX(S64,T64), "Hemat", IF(S64&gt;=T64, "Balanced", "Premium"))</f>
        <v/>
      </c>
    </row>
    <row r="65">
      <c r="A65" s="14" t="n">
        <v>56</v>
      </c>
      <c r="B65" s="7" t="inlineStr">
        <is>
          <t>Wisata Goa Pandawa</t>
        </is>
      </c>
      <c r="C65" s="26" t="n">
        <v>-7.8522618</v>
      </c>
      <c r="D65" s="26" t="n">
        <v>112.5016023</v>
      </c>
      <c r="E65" s="21" t="n">
        <v>15000</v>
      </c>
      <c r="F65" s="27" t="n">
        <v>4.4</v>
      </c>
      <c r="G65" s="28" t="n">
        <v>249</v>
      </c>
      <c r="H65" s="14" t="inlineStr">
        <is>
          <t>Wisata Goa Pandawa</t>
        </is>
      </c>
      <c r="I65" s="29">
        <f>6371 * 2 * ASIN(SQRT(SIN(RADIANS((C65) - INDEX('Dataset_Wisata'!$C$12:$C$622, MATCH('Dashboard'!$C$9, 'Dataset_Wisata'!$A$12:$A$622, 0)))/2)^2 + COS(RADIANS(INDEX('Dataset_Wisata'!$C$12:$C$622, MATCH('Dashboard'!$C$9, 'Dataset_Wisata'!$A$12:$A$622, 0)))) * COS(RADIANS(C65)) * SIN(RADIANS((D65) - INDEX('Dataset_Wisata'!$D$12:$D$622, MATCH('Dashboard'!$C$9, 'Dataset_Wisata'!$A$12:$A$622, 0)))/2)^2)) * 1.3</f>
        <v/>
      </c>
      <c r="J65" s="21">
        <f>ROUND(I65 * IF('Dashboard'!$C$6&lt;=1, 2250, IF('Dashboard'!$C$6&lt;=4, 5150, 6000)), 0)</f>
        <v/>
      </c>
      <c r="K65" s="30" t="n">
        <v>0.9744283047002794</v>
      </c>
      <c r="L65" s="30" t="n">
        <v>0.02447712712252609</v>
      </c>
      <c r="M65" s="30" t="n">
        <v>0.001094568177194568</v>
      </c>
      <c r="N65" s="31">
        <f>ABS(E65-$F$6)</f>
        <v/>
      </c>
      <c r="O65" s="31">
        <f>ABS(E65-$F$7)</f>
        <v/>
      </c>
      <c r="P65" s="31">
        <f>ABS(E65-$F$8)</f>
        <v/>
      </c>
      <c r="Q65" s="14">
        <f>IF(K65&gt;=MAX(L65,M65), "Hemat", IF(L65&gt;=M65, "Balanced", "Premium"))</f>
        <v/>
      </c>
      <c r="R65" s="30" t="n">
        <v>0.9744283195785179</v>
      </c>
      <c r="S65" s="30" t="n">
        <v>0.02447711252884811</v>
      </c>
      <c r="T65" s="30" t="n">
        <v>0.001094567892634054</v>
      </c>
      <c r="U65" s="31">
        <f>ABS(E65-$G$6)</f>
        <v/>
      </c>
      <c r="V65" s="31">
        <f>ABS(E65-$G$7)</f>
        <v/>
      </c>
      <c r="W65" s="31">
        <f>ABS(E65-$G$8)</f>
        <v/>
      </c>
      <c r="X65" s="14">
        <f>IF(R65&gt;=MAX(S65,T65), "Hemat", IF(S65&gt;=T65, "Balanced", "Premium"))</f>
        <v/>
      </c>
    </row>
    <row r="66">
      <c r="A66" s="14" t="n">
        <v>57</v>
      </c>
      <c r="B66" s="7" t="inlineStr">
        <is>
          <t>OYOT ( Obyek Wisata Coban Talun )</t>
        </is>
      </c>
      <c r="C66" s="26" t="n">
        <v>-7.801779</v>
      </c>
      <c r="D66" s="26" t="n">
        <v>112.5163031</v>
      </c>
      <c r="E66" s="21" t="n">
        <v>12000</v>
      </c>
      <c r="F66" s="27" t="n">
        <v>4.5</v>
      </c>
      <c r="G66" s="28" t="n">
        <v>538</v>
      </c>
      <c r="H66" s="14" t="inlineStr">
        <is>
          <t>Wisata Umum</t>
        </is>
      </c>
      <c r="I66" s="29">
        <f>6371 * 2 * ASIN(SQRT(SIN(RADIANS((C66) - INDEX('Dataset_Wisata'!$C$12:$C$622, MATCH('Dashboard'!$C$9, 'Dataset_Wisata'!$A$12:$A$622, 0)))/2)^2 + COS(RADIANS(INDEX('Dataset_Wisata'!$C$12:$C$622, MATCH('Dashboard'!$C$9, 'Dataset_Wisata'!$A$12:$A$622, 0)))) * COS(RADIANS(C66)) * SIN(RADIANS((D66) - INDEX('Dataset_Wisata'!$D$12:$D$622, MATCH('Dashboard'!$C$9, 'Dataset_Wisata'!$A$12:$A$622, 0)))/2)^2)) * 1.3</f>
        <v/>
      </c>
      <c r="J66" s="21">
        <f>ROUND(I66 * IF('Dashboard'!$C$6&lt;=1, 2250, IF('Dashboard'!$C$6&lt;=4, 5150, 6000)), 0)</f>
        <v/>
      </c>
      <c r="K66" s="30" t="n">
        <v>0.9953331113352144</v>
      </c>
      <c r="L66" s="30" t="n">
        <v>0.004440977722193821</v>
      </c>
      <c r="M66" s="30" t="n">
        <v>0.0002259109425918517</v>
      </c>
      <c r="N66" s="31">
        <f>ABS(E66-$F$6)</f>
        <v/>
      </c>
      <c r="O66" s="31">
        <f>ABS(E66-$F$7)</f>
        <v/>
      </c>
      <c r="P66" s="31">
        <f>ABS(E66-$F$8)</f>
        <v/>
      </c>
      <c r="Q66" s="14">
        <f>IF(K66&gt;=MAX(L66,M66), "Hemat", IF(L66&gt;=M66, "Balanced", "Premium"))</f>
        <v/>
      </c>
      <c r="R66" s="30" t="n">
        <v>0.995333115264566</v>
      </c>
      <c r="S66" s="30" t="n">
        <v>0.004440973917012225</v>
      </c>
      <c r="T66" s="30" t="n">
        <v>0.0002259108184216892</v>
      </c>
      <c r="U66" s="31">
        <f>ABS(E66-$G$6)</f>
        <v/>
      </c>
      <c r="V66" s="31">
        <f>ABS(E66-$G$7)</f>
        <v/>
      </c>
      <c r="W66" s="31">
        <f>ABS(E66-$G$8)</f>
        <v/>
      </c>
      <c r="X66" s="14">
        <f>IF(R66&gt;=MAX(S66,T66), "Hemat", IF(S66&gt;=T66, "Balanced", "Premium"))</f>
        <v/>
      </c>
    </row>
    <row r="67">
      <c r="A67" s="14" t="n">
        <v>58</v>
      </c>
      <c r="B67" s="7" t="inlineStr">
        <is>
          <t>Air Terjun Coban Supit Urang</t>
        </is>
      </c>
      <c r="C67" s="26" t="n">
        <v>-7.7910044</v>
      </c>
      <c r="D67" s="26" t="n">
        <v>112.4603522</v>
      </c>
      <c r="E67" s="21" t="n">
        <v>5000</v>
      </c>
      <c r="F67" s="27" t="n">
        <v>4.2</v>
      </c>
      <c r="G67" s="28" t="n">
        <v>101</v>
      </c>
      <c r="H67" s="14" t="inlineStr">
        <is>
          <t>Wisata Umum</t>
        </is>
      </c>
      <c r="I67" s="29">
        <f>6371 * 2 * ASIN(SQRT(SIN(RADIANS((C67) - INDEX('Dataset_Wisata'!$C$12:$C$622, MATCH('Dashboard'!$C$9, 'Dataset_Wisata'!$A$12:$A$622, 0)))/2)^2 + COS(RADIANS(INDEX('Dataset_Wisata'!$C$12:$C$622, MATCH('Dashboard'!$C$9, 'Dataset_Wisata'!$A$12:$A$622, 0)))) * COS(RADIANS(C67)) * SIN(RADIANS((D67) - INDEX('Dataset_Wisata'!$D$12:$D$622, MATCH('Dashboard'!$C$9, 'Dataset_Wisata'!$A$12:$A$622, 0)))/2)^2)) * 1.3</f>
        <v/>
      </c>
      <c r="J67" s="21">
        <f>ROUND(I67 * IF('Dashboard'!$C$6&lt;=1, 2250, IF('Dashboard'!$C$6&lt;=4, 5150, 6000)), 0)</f>
        <v/>
      </c>
      <c r="K67" s="30" t="n">
        <v>0.9895566543895754</v>
      </c>
      <c r="L67" s="30" t="n">
        <v>0.009798611400025654</v>
      </c>
      <c r="M67" s="30" t="n">
        <v>0.0006447342103988783</v>
      </c>
      <c r="N67" s="31">
        <f>ABS(E67-$F$6)</f>
        <v/>
      </c>
      <c r="O67" s="31">
        <f>ABS(E67-$F$7)</f>
        <v/>
      </c>
      <c r="P67" s="31">
        <f>ABS(E67-$F$8)</f>
        <v/>
      </c>
      <c r="Q67" s="14">
        <f>IF(K67&gt;=MAX(L67,M67), "Hemat", IF(L67&gt;=M67, "Balanced", "Premium"))</f>
        <v/>
      </c>
      <c r="R67" s="30" t="n">
        <v>0.9895566542341836</v>
      </c>
      <c r="S67" s="30" t="n">
        <v>0.00979861139170024</v>
      </c>
      <c r="T67" s="30" t="n">
        <v>0.00064473437411607</v>
      </c>
      <c r="U67" s="31">
        <f>ABS(E67-$G$6)</f>
        <v/>
      </c>
      <c r="V67" s="31">
        <f>ABS(E67-$G$7)</f>
        <v/>
      </c>
      <c r="W67" s="31">
        <f>ABS(E67-$G$8)</f>
        <v/>
      </c>
      <c r="X67" s="14">
        <f>IF(R67&gt;=MAX(S67,T67), "Hemat", IF(S67&gt;=T67, "Balanced", "Premium"))</f>
        <v/>
      </c>
    </row>
    <row r="68">
      <c r="A68" s="14" t="n">
        <v>59</v>
      </c>
      <c r="B68" s="7" t="inlineStr">
        <is>
          <t>Taman Langit Gunung Banyak</t>
        </is>
      </c>
      <c r="C68" s="26" t="n">
        <v>-7.8545122</v>
      </c>
      <c r="D68" s="26" t="n">
        <v>112.49805</v>
      </c>
      <c r="E68" s="21" t="n">
        <v>20000</v>
      </c>
      <c r="F68" s="27" t="n">
        <v>4.6</v>
      </c>
      <c r="G68" s="28" t="n">
        <v>3295</v>
      </c>
      <c r="H68" s="14" t="inlineStr">
        <is>
          <t>Taman Langit Gunung Banyak</t>
        </is>
      </c>
      <c r="I68" s="29">
        <f>6371 * 2 * ASIN(SQRT(SIN(RADIANS((C68) - INDEX('Dataset_Wisata'!$C$12:$C$622, MATCH('Dashboard'!$C$9, 'Dataset_Wisata'!$A$12:$A$622, 0)))/2)^2 + COS(RADIANS(INDEX('Dataset_Wisata'!$C$12:$C$622, MATCH('Dashboard'!$C$9, 'Dataset_Wisata'!$A$12:$A$622, 0)))) * COS(RADIANS(C68)) * SIN(RADIANS((D68) - INDEX('Dataset_Wisata'!$D$12:$D$622, MATCH('Dashboard'!$C$9, 'Dataset_Wisata'!$A$12:$A$622, 0)))/2)^2)) * 1.3</f>
        <v/>
      </c>
      <c r="J68" s="21">
        <f>ROUND(I68 * IF('Dashboard'!$C$6&lt;=1, 2250, IF('Dashboard'!$C$6&lt;=4, 5150, 6000)), 0)</f>
        <v/>
      </c>
      <c r="K68" s="30" t="n">
        <v>0.8862296979094436</v>
      </c>
      <c r="L68" s="30" t="n">
        <v>0.1099329410905347</v>
      </c>
      <c r="M68" s="30" t="n">
        <v>0.003837361000021699</v>
      </c>
      <c r="N68" s="31">
        <f>ABS(E68-$F$6)</f>
        <v/>
      </c>
      <c r="O68" s="31">
        <f>ABS(E68-$F$7)</f>
        <v/>
      </c>
      <c r="P68" s="31">
        <f>ABS(E68-$F$8)</f>
        <v/>
      </c>
      <c r="Q68" s="14">
        <f>IF(K68&gt;=MAX(L68,M68), "Hemat", IF(L68&gt;=M68, "Balanced", "Premium"))</f>
        <v/>
      </c>
      <c r="R68" s="30" t="n">
        <v>0.8862297532761809</v>
      </c>
      <c r="S68" s="30" t="n">
        <v>0.1099328861159962</v>
      </c>
      <c r="T68" s="30" t="n">
        <v>0.003837360607822898</v>
      </c>
      <c r="U68" s="31">
        <f>ABS(E68-$G$6)</f>
        <v/>
      </c>
      <c r="V68" s="31">
        <f>ABS(E68-$G$7)</f>
        <v/>
      </c>
      <c r="W68" s="31">
        <f>ABS(E68-$G$8)</f>
        <v/>
      </c>
      <c r="X68" s="14">
        <f>IF(R68&gt;=MAX(S68,T68), "Hemat", IF(S68&gt;=T68, "Balanced", "Premium"))</f>
        <v/>
      </c>
    </row>
    <row r="69">
      <c r="A69" s="14" t="n">
        <v>60</v>
      </c>
      <c r="B69" s="7" t="inlineStr">
        <is>
          <t>Pantai Seling Ombo ꦥꦼꦱꦶꦱꦶꦂꦱꦼꦭꦶꦁꦄꦩ꧀ꦧ</t>
        </is>
      </c>
      <c r="C69" s="26" t="n">
        <v>-8.3957947</v>
      </c>
      <c r="D69" s="26" t="n">
        <v>112.4573821</v>
      </c>
      <c r="E69" s="21" t="n">
        <v>10000</v>
      </c>
      <c r="F69" s="27" t="n">
        <v>4.5</v>
      </c>
      <c r="G69" s="28" t="n">
        <v>132</v>
      </c>
      <c r="H69" s="14" t="inlineStr">
        <is>
          <t>Pantai Seling Ombo ꦥꦼꦱꦶꦱꦶꦂꦱꦼꦭꦶꦁꦄꦩ꧀ꦧ</t>
        </is>
      </c>
      <c r="I69" s="29">
        <f>6371 * 2 * ASIN(SQRT(SIN(RADIANS((C69) - INDEX('Dataset_Wisata'!$C$12:$C$622, MATCH('Dashboard'!$C$9, 'Dataset_Wisata'!$A$12:$A$622, 0)))/2)^2 + COS(RADIANS(INDEX('Dataset_Wisata'!$C$12:$C$622, MATCH('Dashboard'!$C$9, 'Dataset_Wisata'!$A$12:$A$622, 0)))) * COS(RADIANS(C69)) * SIN(RADIANS((D69) - INDEX('Dataset_Wisata'!$D$12:$D$622, MATCH('Dashboard'!$C$9, 'Dataset_Wisata'!$A$12:$A$622, 0)))/2)^2)) * 1.3</f>
        <v/>
      </c>
      <c r="J69" s="21">
        <f>ROUND(I69 * IF('Dashboard'!$C$6&lt;=1, 2250, IF('Dashboard'!$C$6&lt;=4, 5150, 6000)), 0)</f>
        <v/>
      </c>
      <c r="K69" s="30" t="n">
        <v>0.9998126508185596</v>
      </c>
      <c r="L69" s="30" t="n">
        <v>0.0001775718391516968</v>
      </c>
      <c r="M69" s="30" t="n">
        <v>9.7773422886897e-06</v>
      </c>
      <c r="N69" s="31">
        <f>ABS(E69-$F$6)</f>
        <v/>
      </c>
      <c r="O69" s="31">
        <f>ABS(E69-$F$7)</f>
        <v/>
      </c>
      <c r="P69" s="31">
        <f>ABS(E69-$F$8)</f>
        <v/>
      </c>
      <c r="Q69" s="14">
        <f>IF(K69&gt;=MAX(L69,M69), "Hemat", IF(L69&gt;=M69, "Balanced", "Premium"))</f>
        <v/>
      </c>
      <c r="R69" s="30" t="n">
        <v>0.9998126513362043</v>
      </c>
      <c r="S69" s="30" t="n">
        <v>0.0001775713458315561</v>
      </c>
      <c r="T69" s="30" t="n">
        <v>9.777317964159987e-06</v>
      </c>
      <c r="U69" s="31">
        <f>ABS(E69-$G$6)</f>
        <v/>
      </c>
      <c r="V69" s="31">
        <f>ABS(E69-$G$7)</f>
        <v/>
      </c>
      <c r="W69" s="31">
        <f>ABS(E69-$G$8)</f>
        <v/>
      </c>
      <c r="X69" s="14">
        <f>IF(R69&gt;=MAX(S69,T69), "Hemat", IF(S69&gt;=T69, "Balanced", "Premium"))</f>
        <v/>
      </c>
    </row>
    <row r="70">
      <c r="A70" s="14" t="n">
        <v>61</v>
      </c>
      <c r="B70" s="7" t="inlineStr">
        <is>
          <t>Taman Bendungan Karang Kates</t>
        </is>
      </c>
      <c r="C70" s="26" t="n">
        <v>-8.156001399999999</v>
      </c>
      <c r="D70" s="26" t="n">
        <v>112.4485596</v>
      </c>
      <c r="E70" s="21" t="n">
        <v>7000</v>
      </c>
      <c r="F70" s="27" t="n">
        <v>4.2</v>
      </c>
      <c r="G70" s="28" t="n">
        <v>343</v>
      </c>
      <c r="H70" s="14" t="inlineStr">
        <is>
          <t>Taman Bendungan Karang Kates</t>
        </is>
      </c>
      <c r="I70" s="29">
        <f>6371 * 2 * ASIN(SQRT(SIN(RADIANS((C70) - INDEX('Dataset_Wisata'!$C$12:$C$622, MATCH('Dashboard'!$C$9, 'Dataset_Wisata'!$A$12:$A$622, 0)))/2)^2 + COS(RADIANS(INDEX('Dataset_Wisata'!$C$12:$C$622, MATCH('Dashboard'!$C$9, 'Dataset_Wisata'!$A$12:$A$622, 0)))) * COS(RADIANS(C70)) * SIN(RADIANS((D70) - INDEX('Dataset_Wisata'!$D$12:$D$622, MATCH('Dashboard'!$C$9, 'Dataset_Wisata'!$A$12:$A$622, 0)))/2)^2)) * 1.3</f>
        <v/>
      </c>
      <c r="J70" s="21">
        <f>ROUND(I70 * IF('Dashboard'!$C$6&lt;=1, 2250, IF('Dashboard'!$C$6&lt;=4, 5150, 6000)), 0)</f>
        <v/>
      </c>
      <c r="K70" s="30" t="n">
        <v>0.9964990922780733</v>
      </c>
      <c r="L70" s="30" t="n">
        <v>0.003298187596112103</v>
      </c>
      <c r="M70" s="30" t="n">
        <v>0.0002027201258145054</v>
      </c>
      <c r="N70" s="31">
        <f>ABS(E70-$F$6)</f>
        <v/>
      </c>
      <c r="O70" s="31">
        <f>ABS(E70-$F$7)</f>
        <v/>
      </c>
      <c r="P70" s="31">
        <f>ABS(E70-$F$8)</f>
        <v/>
      </c>
      <c r="Q70" s="14">
        <f>IF(K70&gt;=MAX(L70,M70), "Hemat", IF(L70&gt;=M70, "Balanced", "Premium"))</f>
        <v/>
      </c>
      <c r="R70" s="30" t="n">
        <v>0.9964990914496938</v>
      </c>
      <c r="S70" s="30" t="n">
        <v>0.003298188325346893</v>
      </c>
      <c r="T70" s="30" t="n">
        <v>0.000202720224959229</v>
      </c>
      <c r="U70" s="31">
        <f>ABS(E70-$G$6)</f>
        <v/>
      </c>
      <c r="V70" s="31">
        <f>ABS(E70-$G$7)</f>
        <v/>
      </c>
      <c r="W70" s="31">
        <f>ABS(E70-$G$8)</f>
        <v/>
      </c>
      <c r="X70" s="14">
        <f>IF(R70&gt;=MAX(S70,T70), "Hemat", IF(S70&gt;=T70, "Balanced", "Premium"))</f>
        <v/>
      </c>
    </row>
    <row r="71">
      <c r="A71" s="14" t="n">
        <v>62</v>
      </c>
      <c r="B71" s="7" t="inlineStr">
        <is>
          <t>Wisata Mahoni Dempok</t>
        </is>
      </c>
      <c r="C71" s="26" t="n">
        <v>-8.188651200000001</v>
      </c>
      <c r="D71" s="26" t="n">
        <v>112.5278904</v>
      </c>
      <c r="E71" s="21" t="n">
        <v>3000</v>
      </c>
      <c r="F71" s="27" t="n">
        <v>4.4</v>
      </c>
      <c r="G71" s="28" t="n">
        <v>1128</v>
      </c>
      <c r="H71" s="14" t="inlineStr">
        <is>
          <t>Wisata Mahoni Dempok</t>
        </is>
      </c>
      <c r="I71" s="29">
        <f>6371 * 2 * ASIN(SQRT(SIN(RADIANS((C71) - INDEX('Dataset_Wisata'!$C$12:$C$622, MATCH('Dashboard'!$C$9, 'Dataset_Wisata'!$A$12:$A$622, 0)))/2)^2 + COS(RADIANS(INDEX('Dataset_Wisata'!$C$12:$C$622, MATCH('Dashboard'!$C$9, 'Dataset_Wisata'!$A$12:$A$622, 0)))) * COS(RADIANS(C71)) * SIN(RADIANS((D71) - INDEX('Dataset_Wisata'!$D$12:$D$622, MATCH('Dashboard'!$C$9, 'Dataset_Wisata'!$A$12:$A$622, 0)))/2)^2)) * 1.3</f>
        <v/>
      </c>
      <c r="J71" s="21">
        <f>ROUND(I71 * IF('Dashboard'!$C$6&lt;=1, 2250, IF('Dashboard'!$C$6&lt;=4, 5150, 6000)), 0)</f>
        <v/>
      </c>
      <c r="K71" s="30" t="n">
        <v>0.9800529386550435</v>
      </c>
      <c r="L71" s="30" t="n">
        <v>0.01863901730741549</v>
      </c>
      <c r="M71" s="30" t="n">
        <v>0.001308044037540998</v>
      </c>
      <c r="N71" s="31">
        <f>ABS(E71-$F$6)</f>
        <v/>
      </c>
      <c r="O71" s="31">
        <f>ABS(E71-$F$7)</f>
        <v/>
      </c>
      <c r="P71" s="31">
        <f>ABS(E71-$F$8)</f>
        <v/>
      </c>
      <c r="Q71" s="14">
        <f>IF(K71&gt;=MAX(L71,M71), "Hemat", IF(L71&gt;=M71, "Balanced", "Premium"))</f>
        <v/>
      </c>
      <c r="R71" s="30" t="n">
        <v>0.9800529398761559</v>
      </c>
      <c r="S71" s="30" t="n">
        <v>0.01863901586968426</v>
      </c>
      <c r="T71" s="30" t="n">
        <v>0.001308044254159759</v>
      </c>
      <c r="U71" s="31">
        <f>ABS(E71-$G$6)</f>
        <v/>
      </c>
      <c r="V71" s="31">
        <f>ABS(E71-$G$7)</f>
        <v/>
      </c>
      <c r="W71" s="31">
        <f>ABS(E71-$G$8)</f>
        <v/>
      </c>
      <c r="X71" s="14">
        <f>IF(R71&gt;=MAX(S71,T71), "Hemat", IF(S71&gt;=T71, "Balanced", "Premium"))</f>
        <v/>
      </c>
    </row>
    <row r="72">
      <c r="A72" s="14" t="n">
        <v>63</v>
      </c>
      <c r="B72" s="7" t="inlineStr">
        <is>
          <t>Taman Wisata Lahor</t>
        </is>
      </c>
      <c r="C72" s="26" t="n">
        <v>-8.148523600000001</v>
      </c>
      <c r="D72" s="26" t="n">
        <v>112.4519871</v>
      </c>
      <c r="E72" s="21" t="n">
        <v>7000</v>
      </c>
      <c r="F72" s="27" t="n">
        <v>4.4</v>
      </c>
      <c r="G72" s="28" t="n">
        <v>309</v>
      </c>
      <c r="H72" s="14" t="inlineStr">
        <is>
          <t>Taman Wisata Lahor</t>
        </is>
      </c>
      <c r="I72" s="29">
        <f>6371 * 2 * ASIN(SQRT(SIN(RADIANS((C72) - INDEX('Dataset_Wisata'!$C$12:$C$622, MATCH('Dashboard'!$C$9, 'Dataset_Wisata'!$A$12:$A$622, 0)))/2)^2 + COS(RADIANS(INDEX('Dataset_Wisata'!$C$12:$C$622, MATCH('Dashboard'!$C$9, 'Dataset_Wisata'!$A$12:$A$622, 0)))) * COS(RADIANS(C72)) * SIN(RADIANS((D72) - INDEX('Dataset_Wisata'!$D$12:$D$622, MATCH('Dashboard'!$C$9, 'Dataset_Wisata'!$A$12:$A$622, 0)))/2)^2)) * 1.3</f>
        <v/>
      </c>
      <c r="J72" s="21">
        <f>ROUND(I72 * IF('Dashboard'!$C$6&lt;=1, 2250, IF('Dashboard'!$C$6&lt;=4, 5150, 6000)), 0)</f>
        <v/>
      </c>
      <c r="K72" s="30" t="n">
        <v>0.9964990922780733</v>
      </c>
      <c r="L72" s="30" t="n">
        <v>0.003298187596112103</v>
      </c>
      <c r="M72" s="30" t="n">
        <v>0.0002027201258145054</v>
      </c>
      <c r="N72" s="31">
        <f>ABS(E72-$F$6)</f>
        <v/>
      </c>
      <c r="O72" s="31">
        <f>ABS(E72-$F$7)</f>
        <v/>
      </c>
      <c r="P72" s="31">
        <f>ABS(E72-$F$8)</f>
        <v/>
      </c>
      <c r="Q72" s="14">
        <f>IF(K72&gt;=MAX(L72,M72), "Hemat", IF(L72&gt;=M72, "Balanced", "Premium"))</f>
        <v/>
      </c>
      <c r="R72" s="30" t="n">
        <v>0.9964990914496938</v>
      </c>
      <c r="S72" s="30" t="n">
        <v>0.003298188325346893</v>
      </c>
      <c r="T72" s="30" t="n">
        <v>0.000202720224959229</v>
      </c>
      <c r="U72" s="31">
        <f>ABS(E72-$G$6)</f>
        <v/>
      </c>
      <c r="V72" s="31">
        <f>ABS(E72-$G$7)</f>
        <v/>
      </c>
      <c r="W72" s="31">
        <f>ABS(E72-$G$8)</f>
        <v/>
      </c>
      <c r="X72" s="14">
        <f>IF(R72&gt;=MAX(S72,T72), "Hemat", IF(S72&gt;=T72, "Balanced", "Premium"))</f>
        <v/>
      </c>
    </row>
    <row r="73">
      <c r="A73" s="14" t="n">
        <v>64</v>
      </c>
      <c r="B73" s="7" t="inlineStr">
        <is>
          <t>Taman Wisata Karangkates</t>
        </is>
      </c>
      <c r="C73" s="26" t="n">
        <v>-8.1568858</v>
      </c>
      <c r="D73" s="26" t="n">
        <v>112.4501401</v>
      </c>
      <c r="E73" s="21" t="n">
        <v>7000</v>
      </c>
      <c r="F73" s="27" t="n">
        <v>4.1</v>
      </c>
      <c r="G73" s="28" t="n">
        <v>769</v>
      </c>
      <c r="H73" s="14" t="inlineStr">
        <is>
          <t>Taman Wisata Karangkates</t>
        </is>
      </c>
      <c r="I73" s="29">
        <f>6371 * 2 * ASIN(SQRT(SIN(RADIANS((C73) - INDEX('Dataset_Wisata'!$C$12:$C$622, MATCH('Dashboard'!$C$9, 'Dataset_Wisata'!$A$12:$A$622, 0)))/2)^2 + COS(RADIANS(INDEX('Dataset_Wisata'!$C$12:$C$622, MATCH('Dashboard'!$C$9, 'Dataset_Wisata'!$A$12:$A$622, 0)))) * COS(RADIANS(C73)) * SIN(RADIANS((D73) - INDEX('Dataset_Wisata'!$D$12:$D$622, MATCH('Dashboard'!$C$9, 'Dataset_Wisata'!$A$12:$A$622, 0)))/2)^2)) * 1.3</f>
        <v/>
      </c>
      <c r="J73" s="21">
        <f>ROUND(I73 * IF('Dashboard'!$C$6&lt;=1, 2250, IF('Dashboard'!$C$6&lt;=4, 5150, 6000)), 0)</f>
        <v/>
      </c>
      <c r="K73" s="30" t="n">
        <v>0.9964990922780733</v>
      </c>
      <c r="L73" s="30" t="n">
        <v>0.003298187596112103</v>
      </c>
      <c r="M73" s="30" t="n">
        <v>0.0002027201258145054</v>
      </c>
      <c r="N73" s="31">
        <f>ABS(E73-$F$6)</f>
        <v/>
      </c>
      <c r="O73" s="31">
        <f>ABS(E73-$F$7)</f>
        <v/>
      </c>
      <c r="P73" s="31">
        <f>ABS(E73-$F$8)</f>
        <v/>
      </c>
      <c r="Q73" s="14">
        <f>IF(K73&gt;=MAX(L73,M73), "Hemat", IF(L73&gt;=M73, "Balanced", "Premium"))</f>
        <v/>
      </c>
      <c r="R73" s="30" t="n">
        <v>0.9964990914496938</v>
      </c>
      <c r="S73" s="30" t="n">
        <v>0.003298188325346893</v>
      </c>
      <c r="T73" s="30" t="n">
        <v>0.000202720224959229</v>
      </c>
      <c r="U73" s="31">
        <f>ABS(E73-$G$6)</f>
        <v/>
      </c>
      <c r="V73" s="31">
        <f>ABS(E73-$G$7)</f>
        <v/>
      </c>
      <c r="W73" s="31">
        <f>ABS(E73-$G$8)</f>
        <v/>
      </c>
      <c r="X73" s="14">
        <f>IF(R73&gt;=MAX(S73,T73), "Hemat", IF(S73&gt;=T73, "Balanced", "Premium"))</f>
        <v/>
      </c>
    </row>
    <row r="74">
      <c r="A74" s="14" t="n">
        <v>65</v>
      </c>
      <c r="B74" s="7" t="inlineStr">
        <is>
          <t>Wisata Naik Perahu</t>
        </is>
      </c>
      <c r="C74" s="26" t="n">
        <v>-8.185457400000001</v>
      </c>
      <c r="D74" s="26" t="n">
        <v>112.496092</v>
      </c>
      <c r="E74" s="21" t="n">
        <v>75000</v>
      </c>
      <c r="F74" s="27" t="n">
        <v>4.2</v>
      </c>
      <c r="G74" s="28" t="n">
        <v>158</v>
      </c>
      <c r="H74" s="14" t="inlineStr">
        <is>
          <t>Wisata Naik Perahu</t>
        </is>
      </c>
      <c r="I74" s="29">
        <f>6371 * 2 * ASIN(SQRT(SIN(RADIANS((C74) - INDEX('Dataset_Wisata'!$C$12:$C$622, MATCH('Dashboard'!$C$9, 'Dataset_Wisata'!$A$12:$A$622, 0)))/2)^2 + COS(RADIANS(INDEX('Dataset_Wisata'!$C$12:$C$622, MATCH('Dashboard'!$C$9, 'Dataset_Wisata'!$A$12:$A$622, 0)))) * COS(RADIANS(C74)) * SIN(RADIANS((D74) - INDEX('Dataset_Wisata'!$D$12:$D$622, MATCH('Dashboard'!$C$9, 'Dataset_Wisata'!$A$12:$A$622, 0)))/2)^2)) * 1.3</f>
        <v/>
      </c>
      <c r="J74" s="21">
        <f>ROUND(I74 * IF('Dashboard'!$C$6&lt;=1, 2250, IF('Dashboard'!$C$6&lt;=4, 5150, 6000)), 0)</f>
        <v/>
      </c>
      <c r="K74" s="30" t="n">
        <v>0.1218465268050967</v>
      </c>
      <c r="L74" s="30" t="n">
        <v>0.8307384148966545</v>
      </c>
      <c r="M74" s="30" t="n">
        <v>0.04741505829824878</v>
      </c>
      <c r="N74" s="31">
        <f>ABS(E74-$F$6)</f>
        <v/>
      </c>
      <c r="O74" s="31">
        <f>ABS(E74-$F$7)</f>
        <v/>
      </c>
      <c r="P74" s="31">
        <f>ABS(E74-$F$8)</f>
        <v/>
      </c>
      <c r="Q74" s="14">
        <f>IF(K74&gt;=MAX(L74,M74), "Hemat", IF(L74&gt;=M74, "Balanced", "Premium"))</f>
        <v/>
      </c>
      <c r="R74" s="30" t="n">
        <v>0.1218464763656933</v>
      </c>
      <c r="S74" s="30" t="n">
        <v>0.8307384888671129</v>
      </c>
      <c r="T74" s="30" t="n">
        <v>0.04741503476719393</v>
      </c>
      <c r="U74" s="31">
        <f>ABS(E74-$G$6)</f>
        <v/>
      </c>
      <c r="V74" s="31">
        <f>ABS(E74-$G$7)</f>
        <v/>
      </c>
      <c r="W74" s="31">
        <f>ABS(E74-$G$8)</f>
        <v/>
      </c>
      <c r="X74" s="14">
        <f>IF(R74&gt;=MAX(S74,T74), "Hemat", IF(S74&gt;=T74, "Balanced", "Premium"))</f>
        <v/>
      </c>
    </row>
    <row r="75">
      <c r="A75" s="14" t="n">
        <v>66</v>
      </c>
      <c r="B75" s="7" t="inlineStr">
        <is>
          <t>Wisata Edukasi Jowaran</t>
        </is>
      </c>
      <c r="C75" s="26" t="n">
        <v>-8.1011928</v>
      </c>
      <c r="D75" s="26" t="n">
        <v>112.4648687</v>
      </c>
      <c r="E75" s="21" t="n">
        <v>15000</v>
      </c>
      <c r="F75" s="27" t="n">
        <v>4.6</v>
      </c>
      <c r="G75" s="28" t="n">
        <v>38</v>
      </c>
      <c r="H75" s="14" t="inlineStr">
        <is>
          <t>Wisata Edukasi Jowaran</t>
        </is>
      </c>
      <c r="I75" s="29">
        <f>6371 * 2 * ASIN(SQRT(SIN(RADIANS((C75) - INDEX('Dataset_Wisata'!$C$12:$C$622, MATCH('Dashboard'!$C$9, 'Dataset_Wisata'!$A$12:$A$622, 0)))/2)^2 + COS(RADIANS(INDEX('Dataset_Wisata'!$C$12:$C$622, MATCH('Dashboard'!$C$9, 'Dataset_Wisata'!$A$12:$A$622, 0)))) * COS(RADIANS(C75)) * SIN(RADIANS((D75) - INDEX('Dataset_Wisata'!$D$12:$D$622, MATCH('Dashboard'!$C$9, 'Dataset_Wisata'!$A$12:$A$622, 0)))/2)^2)) * 1.3</f>
        <v/>
      </c>
      <c r="J75" s="21">
        <f>ROUND(I75 * IF('Dashboard'!$C$6&lt;=1, 2250, IF('Dashboard'!$C$6&lt;=4, 5150, 6000)), 0)</f>
        <v/>
      </c>
      <c r="K75" s="30" t="n">
        <v>0.9744283047002794</v>
      </c>
      <c r="L75" s="30" t="n">
        <v>0.02447712712252609</v>
      </c>
      <c r="M75" s="30" t="n">
        <v>0.001094568177194568</v>
      </c>
      <c r="N75" s="31">
        <f>ABS(E75-$F$6)</f>
        <v/>
      </c>
      <c r="O75" s="31">
        <f>ABS(E75-$F$7)</f>
        <v/>
      </c>
      <c r="P75" s="31">
        <f>ABS(E75-$F$8)</f>
        <v/>
      </c>
      <c r="Q75" s="14">
        <f>IF(K75&gt;=MAX(L75,M75), "Hemat", IF(L75&gt;=M75, "Balanced", "Premium"))</f>
        <v/>
      </c>
      <c r="R75" s="30" t="n">
        <v>0.9744283195785179</v>
      </c>
      <c r="S75" s="30" t="n">
        <v>0.02447711252884811</v>
      </c>
      <c r="T75" s="30" t="n">
        <v>0.001094567892634054</v>
      </c>
      <c r="U75" s="31">
        <f>ABS(E75-$G$6)</f>
        <v/>
      </c>
      <c r="V75" s="31">
        <f>ABS(E75-$G$7)</f>
        <v/>
      </c>
      <c r="W75" s="31">
        <f>ABS(E75-$G$8)</f>
        <v/>
      </c>
      <c r="X75" s="14">
        <f>IF(R75&gt;=MAX(S75,T75), "Hemat", IF(S75&gt;=T75, "Balanced", "Premium"))</f>
        <v/>
      </c>
    </row>
    <row r="76">
      <c r="A76" s="14" t="n">
        <v>67</v>
      </c>
      <c r="B76" s="7" t="inlineStr">
        <is>
          <t>Bendungan Karangkates</t>
        </is>
      </c>
      <c r="C76" s="26" t="n">
        <v>-8.156859300000001</v>
      </c>
      <c r="D76" s="26" t="n">
        <v>112.4484603</v>
      </c>
      <c r="E76" s="21" t="n">
        <v>7000</v>
      </c>
      <c r="F76" s="27" t="n">
        <v>4.5</v>
      </c>
      <c r="G76" s="28" t="n">
        <v>1628</v>
      </c>
      <c r="H76" s="14" t="inlineStr">
        <is>
          <t>Tujuan Wisata · RCVX+794</t>
        </is>
      </c>
      <c r="I76" s="29">
        <f>6371 * 2 * ASIN(SQRT(SIN(RADIANS((C76) - INDEX('Dataset_Wisata'!$C$12:$C$622, MATCH('Dashboard'!$C$9, 'Dataset_Wisata'!$A$12:$A$622, 0)))/2)^2 + COS(RADIANS(INDEX('Dataset_Wisata'!$C$12:$C$622, MATCH('Dashboard'!$C$9, 'Dataset_Wisata'!$A$12:$A$622, 0)))) * COS(RADIANS(C76)) * SIN(RADIANS((D76) - INDEX('Dataset_Wisata'!$D$12:$D$622, MATCH('Dashboard'!$C$9, 'Dataset_Wisata'!$A$12:$A$622, 0)))/2)^2)) * 1.3</f>
        <v/>
      </c>
      <c r="J76" s="21">
        <f>ROUND(I76 * IF('Dashboard'!$C$6&lt;=1, 2250, IF('Dashboard'!$C$6&lt;=4, 5150, 6000)), 0)</f>
        <v/>
      </c>
      <c r="K76" s="30" t="n">
        <v>0.9964990922780733</v>
      </c>
      <c r="L76" s="30" t="n">
        <v>0.003298187596112103</v>
      </c>
      <c r="M76" s="30" t="n">
        <v>0.0002027201258145054</v>
      </c>
      <c r="N76" s="31">
        <f>ABS(E76-$F$6)</f>
        <v/>
      </c>
      <c r="O76" s="31">
        <f>ABS(E76-$F$7)</f>
        <v/>
      </c>
      <c r="P76" s="31">
        <f>ABS(E76-$F$8)</f>
        <v/>
      </c>
      <c r="Q76" s="14">
        <f>IF(K76&gt;=MAX(L76,M76), "Hemat", IF(L76&gt;=M76, "Balanced", "Premium"))</f>
        <v/>
      </c>
      <c r="R76" s="30" t="n">
        <v>0.9964990914496938</v>
      </c>
      <c r="S76" s="30" t="n">
        <v>0.003298188325346893</v>
      </c>
      <c r="T76" s="30" t="n">
        <v>0.000202720224959229</v>
      </c>
      <c r="U76" s="31">
        <f>ABS(E76-$G$6)</f>
        <v/>
      </c>
      <c r="V76" s="31">
        <f>ABS(E76-$G$7)</f>
        <v/>
      </c>
      <c r="W76" s="31">
        <f>ABS(E76-$G$8)</f>
        <v/>
      </c>
      <c r="X76" s="14">
        <f>IF(R76&gt;=MAX(S76,T76), "Hemat", IF(S76&gt;=T76, "Balanced", "Premium"))</f>
        <v/>
      </c>
    </row>
    <row r="77">
      <c r="A77" s="14" t="n">
        <v>68</v>
      </c>
      <c r="B77" s="7" t="inlineStr">
        <is>
          <t>Taman Suko</t>
        </is>
      </c>
      <c r="C77" s="26" t="n">
        <v>-8.188099599999999</v>
      </c>
      <c r="D77" s="26" t="n">
        <v>112.4545674</v>
      </c>
      <c r="E77" s="21" t="n">
        <v>29000</v>
      </c>
      <c r="F77" s="27" t="n">
        <v>4.3</v>
      </c>
      <c r="G77" s="28" t="n">
        <v>112</v>
      </c>
      <c r="H77" s="14" t="inlineStr">
        <is>
          <t>Taman Suko</t>
        </is>
      </c>
      <c r="I77" s="29">
        <f>6371 * 2 * ASIN(SQRT(SIN(RADIANS((C77) - INDEX('Dataset_Wisata'!$C$12:$C$622, MATCH('Dashboard'!$C$9, 'Dataset_Wisata'!$A$12:$A$622, 0)))/2)^2 + COS(RADIANS(INDEX('Dataset_Wisata'!$C$12:$C$622, MATCH('Dashboard'!$C$9, 'Dataset_Wisata'!$A$12:$A$622, 0)))) * COS(RADIANS(C77)) * SIN(RADIANS((D77) - INDEX('Dataset_Wisata'!$D$12:$D$622, MATCH('Dashboard'!$C$9, 'Dataset_Wisata'!$A$12:$A$622, 0)))/2)^2)) * 1.3</f>
        <v/>
      </c>
      <c r="J77" s="21">
        <f>ROUND(I77 * IF('Dashboard'!$C$6&lt;=1, 2250, IF('Dashboard'!$C$6&lt;=4, 5150, 6000)), 0)</f>
        <v/>
      </c>
      <c r="K77" s="30" t="n">
        <v>0.5291434347738515</v>
      </c>
      <c r="L77" s="30" t="n">
        <v>0.4620092908834302</v>
      </c>
      <c r="M77" s="30" t="n">
        <v>0.008847274342718415</v>
      </c>
      <c r="N77" s="31">
        <f>ABS(E77-$F$6)</f>
        <v/>
      </c>
      <c r="O77" s="31">
        <f>ABS(E77-$F$7)</f>
        <v/>
      </c>
      <c r="P77" s="31">
        <f>ABS(E77-$F$8)</f>
        <v/>
      </c>
      <c r="Q77" s="14">
        <f>IF(K77&gt;=MAX(L77,M77), "Hemat", IF(L77&gt;=M77, "Balanced", "Premium"))</f>
        <v/>
      </c>
      <c r="R77" s="30" t="n">
        <v>0.5291436050743005</v>
      </c>
      <c r="S77" s="30" t="n">
        <v>0.4620091187098546</v>
      </c>
      <c r="T77" s="30" t="n">
        <v>0.008847276215844925</v>
      </c>
      <c r="U77" s="31">
        <f>ABS(E77-$G$6)</f>
        <v/>
      </c>
      <c r="V77" s="31">
        <f>ABS(E77-$G$7)</f>
        <v/>
      </c>
      <c r="W77" s="31">
        <f>ABS(E77-$G$8)</f>
        <v/>
      </c>
      <c r="X77" s="14">
        <f>IF(R77&gt;=MAX(S77,T77), "Hemat", IF(S77&gt;=T77, "Balanced", "Premium"))</f>
        <v/>
      </c>
    </row>
    <row r="78">
      <c r="A78" s="14" t="n">
        <v>69</v>
      </c>
      <c r="B78" s="7" t="inlineStr">
        <is>
          <t>Kolam Renang Centil</t>
        </is>
      </c>
      <c r="C78" s="26" t="n">
        <v>-8.196686700000001</v>
      </c>
      <c r="D78" s="26" t="n">
        <v>112.4060164</v>
      </c>
      <c r="E78" s="21" t="n">
        <v>15000</v>
      </c>
      <c r="F78" s="27" t="n">
        <v>4.9</v>
      </c>
      <c r="G78" s="28" t="n">
        <v>30</v>
      </c>
      <c r="H78" s="14" t="inlineStr">
        <is>
          <t>Kolam Renang Centil</t>
        </is>
      </c>
      <c r="I78" s="29">
        <f>6371 * 2 * ASIN(SQRT(SIN(RADIANS((C78) - INDEX('Dataset_Wisata'!$C$12:$C$622, MATCH('Dashboard'!$C$9, 'Dataset_Wisata'!$A$12:$A$622, 0)))/2)^2 + COS(RADIANS(INDEX('Dataset_Wisata'!$C$12:$C$622, MATCH('Dashboard'!$C$9, 'Dataset_Wisata'!$A$12:$A$622, 0)))) * COS(RADIANS(C78)) * SIN(RADIANS((D78) - INDEX('Dataset_Wisata'!$D$12:$D$622, MATCH('Dashboard'!$C$9, 'Dataset_Wisata'!$A$12:$A$622, 0)))/2)^2)) * 1.3</f>
        <v/>
      </c>
      <c r="J78" s="21">
        <f>ROUND(I78 * IF('Dashboard'!$C$6&lt;=1, 2250, IF('Dashboard'!$C$6&lt;=4, 5150, 6000)), 0)</f>
        <v/>
      </c>
      <c r="K78" s="30" t="n">
        <v>0.9744283047002794</v>
      </c>
      <c r="L78" s="30" t="n">
        <v>0.02447712712252609</v>
      </c>
      <c r="M78" s="30" t="n">
        <v>0.001094568177194568</v>
      </c>
      <c r="N78" s="31">
        <f>ABS(E78-$F$6)</f>
        <v/>
      </c>
      <c r="O78" s="31">
        <f>ABS(E78-$F$7)</f>
        <v/>
      </c>
      <c r="P78" s="31">
        <f>ABS(E78-$F$8)</f>
        <v/>
      </c>
      <c r="Q78" s="14">
        <f>IF(K78&gt;=MAX(L78,M78), "Hemat", IF(L78&gt;=M78, "Balanced", "Premium"))</f>
        <v/>
      </c>
      <c r="R78" s="30" t="n">
        <v>0.9744283195785179</v>
      </c>
      <c r="S78" s="30" t="n">
        <v>0.02447711252884811</v>
      </c>
      <c r="T78" s="30" t="n">
        <v>0.001094567892634054</v>
      </c>
      <c r="U78" s="31">
        <f>ABS(E78-$G$6)</f>
        <v/>
      </c>
      <c r="V78" s="31">
        <f>ABS(E78-$G$7)</f>
        <v/>
      </c>
      <c r="W78" s="31">
        <f>ABS(E78-$G$8)</f>
        <v/>
      </c>
      <c r="X78" s="14">
        <f>IF(R78&gt;=MAX(S78,T78), "Hemat", IF(S78&gt;=T78, "Balanced", "Premium"))</f>
        <v/>
      </c>
    </row>
    <row r="79">
      <c r="A79" s="14" t="n">
        <v>70</v>
      </c>
      <c r="B79" s="7" t="inlineStr">
        <is>
          <t>THR SUMBERDUREN KECOPOKAN</t>
        </is>
      </c>
      <c r="C79" s="26" t="n">
        <v>-8.1850538</v>
      </c>
      <c r="D79" s="26" t="n">
        <v>112.4963026</v>
      </c>
      <c r="E79" s="21" t="n">
        <v>3000</v>
      </c>
      <c r="F79" s="27" t="n">
        <v>4.4</v>
      </c>
      <c r="G79" s="28" t="n">
        <v>144</v>
      </c>
      <c r="H79" s="14" t="inlineStr">
        <is>
          <t>Wisata Umum</t>
        </is>
      </c>
      <c r="I79" s="29">
        <f>6371 * 2 * ASIN(SQRT(SIN(RADIANS((C79) - INDEX('Dataset_Wisata'!$C$12:$C$622, MATCH('Dashboard'!$C$9, 'Dataset_Wisata'!$A$12:$A$622, 0)))/2)^2 + COS(RADIANS(INDEX('Dataset_Wisata'!$C$12:$C$622, MATCH('Dashboard'!$C$9, 'Dataset_Wisata'!$A$12:$A$622, 0)))) * COS(RADIANS(C79)) * SIN(RADIANS((D79) - INDEX('Dataset_Wisata'!$D$12:$D$622, MATCH('Dashboard'!$C$9, 'Dataset_Wisata'!$A$12:$A$622, 0)))/2)^2)) * 1.3</f>
        <v/>
      </c>
      <c r="J79" s="21">
        <f>ROUND(I79 * IF('Dashboard'!$C$6&lt;=1, 2250, IF('Dashboard'!$C$6&lt;=4, 5150, 6000)), 0)</f>
        <v/>
      </c>
      <c r="K79" s="30" t="n">
        <v>0.9800529386550435</v>
      </c>
      <c r="L79" s="30" t="n">
        <v>0.01863901730741549</v>
      </c>
      <c r="M79" s="30" t="n">
        <v>0.001308044037540998</v>
      </c>
      <c r="N79" s="31">
        <f>ABS(E79-$F$6)</f>
        <v/>
      </c>
      <c r="O79" s="31">
        <f>ABS(E79-$F$7)</f>
        <v/>
      </c>
      <c r="P79" s="31">
        <f>ABS(E79-$F$8)</f>
        <v/>
      </c>
      <c r="Q79" s="14">
        <f>IF(K79&gt;=MAX(L79,M79), "Hemat", IF(L79&gt;=M79, "Balanced", "Premium"))</f>
        <v/>
      </c>
      <c r="R79" s="30" t="n">
        <v>0.9800529398761559</v>
      </c>
      <c r="S79" s="30" t="n">
        <v>0.01863901586968426</v>
      </c>
      <c r="T79" s="30" t="n">
        <v>0.001308044254159759</v>
      </c>
      <c r="U79" s="31">
        <f>ABS(E79-$G$6)</f>
        <v/>
      </c>
      <c r="V79" s="31">
        <f>ABS(E79-$G$7)</f>
        <v/>
      </c>
      <c r="W79" s="31">
        <f>ABS(E79-$G$8)</f>
        <v/>
      </c>
      <c r="X79" s="14">
        <f>IF(R79&gt;=MAX(S79,T79), "Hemat", IF(S79&gt;=T79, "Balanced", "Premium"))</f>
        <v/>
      </c>
    </row>
    <row r="80">
      <c r="A80" s="14" t="n">
        <v>71</v>
      </c>
      <c r="B80" s="7" t="inlineStr">
        <is>
          <t>Wisata Rajut indah</t>
        </is>
      </c>
      <c r="C80" s="26" t="n">
        <v>-8.1913509</v>
      </c>
      <c r="D80" s="26" t="n">
        <v>112.4966456</v>
      </c>
      <c r="E80" s="21" t="n">
        <v>15000</v>
      </c>
      <c r="F80" s="27" t="n">
        <v>4.4</v>
      </c>
      <c r="G80" s="28" t="n">
        <v>140</v>
      </c>
      <c r="H80" s="14" t="inlineStr">
        <is>
          <t>Wisata Rajut indah</t>
        </is>
      </c>
      <c r="I80" s="29">
        <f>6371 * 2 * ASIN(SQRT(SIN(RADIANS((C80) - INDEX('Dataset_Wisata'!$C$12:$C$622, MATCH('Dashboard'!$C$9, 'Dataset_Wisata'!$A$12:$A$622, 0)))/2)^2 + COS(RADIANS(INDEX('Dataset_Wisata'!$C$12:$C$622, MATCH('Dashboard'!$C$9, 'Dataset_Wisata'!$A$12:$A$622, 0)))) * COS(RADIANS(C80)) * SIN(RADIANS((D80) - INDEX('Dataset_Wisata'!$D$12:$D$622, MATCH('Dashboard'!$C$9, 'Dataset_Wisata'!$A$12:$A$622, 0)))/2)^2)) * 1.3</f>
        <v/>
      </c>
      <c r="J80" s="21">
        <f>ROUND(I80 * IF('Dashboard'!$C$6&lt;=1, 2250, IF('Dashboard'!$C$6&lt;=4, 5150, 6000)), 0)</f>
        <v/>
      </c>
      <c r="K80" s="30" t="n">
        <v>0.9744283047002794</v>
      </c>
      <c r="L80" s="30" t="n">
        <v>0.02447712712252609</v>
      </c>
      <c r="M80" s="30" t="n">
        <v>0.001094568177194568</v>
      </c>
      <c r="N80" s="31">
        <f>ABS(E80-$F$6)</f>
        <v/>
      </c>
      <c r="O80" s="31">
        <f>ABS(E80-$F$7)</f>
        <v/>
      </c>
      <c r="P80" s="31">
        <f>ABS(E80-$F$8)</f>
        <v/>
      </c>
      <c r="Q80" s="14">
        <f>IF(K80&gt;=MAX(L80,M80), "Hemat", IF(L80&gt;=M80, "Balanced", "Premium"))</f>
        <v/>
      </c>
      <c r="R80" s="30" t="n">
        <v>0.9744283195785179</v>
      </c>
      <c r="S80" s="30" t="n">
        <v>0.02447711252884811</v>
      </c>
      <c r="T80" s="30" t="n">
        <v>0.001094567892634054</v>
      </c>
      <c r="U80" s="31">
        <f>ABS(E80-$G$6)</f>
        <v/>
      </c>
      <c r="V80" s="31">
        <f>ABS(E80-$G$7)</f>
        <v/>
      </c>
      <c r="W80" s="31">
        <f>ABS(E80-$G$8)</f>
        <v/>
      </c>
      <c r="X80" s="14">
        <f>IF(R80&gt;=MAX(S80,T80), "Hemat", IF(S80&gt;=T80, "Balanced", "Premium"))</f>
        <v/>
      </c>
    </row>
    <row r="81">
      <c r="A81" s="14" t="n">
        <v>72</v>
      </c>
      <c r="B81" s="7" t="inlineStr">
        <is>
          <t>Bendungan Sutami Perum Jasa Tirta I</t>
        </is>
      </c>
      <c r="C81" s="26" t="n">
        <v>-8.1586163</v>
      </c>
      <c r="D81" s="26" t="n">
        <v>112.4471638</v>
      </c>
      <c r="E81" s="21" t="n">
        <v>5600</v>
      </c>
      <c r="F81" s="27" t="n">
        <v>4.5</v>
      </c>
      <c r="G81" s="28" t="n">
        <v>135</v>
      </c>
      <c r="H81" s="14" t="inlineStr">
        <is>
          <t>Wisata Umum</t>
        </is>
      </c>
      <c r="I81" s="29">
        <f>6371 * 2 * ASIN(SQRT(SIN(RADIANS((C81) - INDEX('Dataset_Wisata'!$C$12:$C$622, MATCH('Dashboard'!$C$9, 'Dataset_Wisata'!$A$12:$A$622, 0)))/2)^2 + COS(RADIANS(INDEX('Dataset_Wisata'!$C$12:$C$622, MATCH('Dashboard'!$C$9, 'Dataset_Wisata'!$A$12:$A$622, 0)))) * COS(RADIANS(C81)) * SIN(RADIANS((D81) - INDEX('Dataset_Wisata'!$D$12:$D$622, MATCH('Dashboard'!$C$9, 'Dataset_Wisata'!$A$12:$A$622, 0)))/2)^2)) * 1.3</f>
        <v/>
      </c>
      <c r="J81" s="21">
        <f>ROUND(I81 * IF('Dashboard'!$C$6&lt;=1, 2250, IF('Dashboard'!$C$6&lt;=4, 5150, 6000)), 0)</f>
        <v/>
      </c>
      <c r="K81" s="30" t="n">
        <v>0.9919500281025745</v>
      </c>
      <c r="L81" s="30" t="n">
        <v>0.00756225769242688</v>
      </c>
      <c r="M81" s="30" t="n">
        <v>0.0004877142049987151</v>
      </c>
      <c r="N81" s="31">
        <f>ABS(E81-$F$6)</f>
        <v/>
      </c>
      <c r="O81" s="31">
        <f>ABS(E81-$F$7)</f>
        <v/>
      </c>
      <c r="P81" s="31">
        <f>ABS(E81-$F$8)</f>
        <v/>
      </c>
      <c r="Q81" s="14">
        <f>IF(K81&gt;=MAX(L81,M81), "Hemat", IF(L81&gt;=M81, "Balanced", "Premium"))</f>
        <v/>
      </c>
      <c r="R81" s="30" t="n">
        <v>0.9919500276534808</v>
      </c>
      <c r="S81" s="30" t="n">
        <v>0.007562257995826254</v>
      </c>
      <c r="T81" s="30" t="n">
        <v>0.0004877143506929665</v>
      </c>
      <c r="U81" s="31">
        <f>ABS(E81-$G$6)</f>
        <v/>
      </c>
      <c r="V81" s="31">
        <f>ABS(E81-$G$7)</f>
        <v/>
      </c>
      <c r="W81" s="31">
        <f>ABS(E81-$G$8)</f>
        <v/>
      </c>
      <c r="X81" s="14">
        <f>IF(R81&gt;=MAX(S81,T81), "Hemat", IF(S81&gt;=T81, "Balanced", "Premium"))</f>
        <v/>
      </c>
    </row>
    <row r="82">
      <c r="A82" s="14" t="n">
        <v>73</v>
      </c>
      <c r="B82" s="7" t="inlineStr">
        <is>
          <t>Karangkates Selatan</t>
        </is>
      </c>
      <c r="C82" s="26" t="n">
        <v>-8.164007700000001</v>
      </c>
      <c r="D82" s="26" t="n">
        <v>112.4457409</v>
      </c>
      <c r="E82" s="21" t="n">
        <v>7000</v>
      </c>
      <c r="F82" s="27" t="n">
        <v>4.4</v>
      </c>
      <c r="G82" s="28" t="n">
        <v>58</v>
      </c>
      <c r="H82" s="14" t="inlineStr">
        <is>
          <t>Wisata Umum</t>
        </is>
      </c>
      <c r="I82" s="29">
        <f>6371 * 2 * ASIN(SQRT(SIN(RADIANS((C82) - INDEX('Dataset_Wisata'!$C$12:$C$622, MATCH('Dashboard'!$C$9, 'Dataset_Wisata'!$A$12:$A$622, 0)))/2)^2 + COS(RADIANS(INDEX('Dataset_Wisata'!$C$12:$C$622, MATCH('Dashboard'!$C$9, 'Dataset_Wisata'!$A$12:$A$622, 0)))) * COS(RADIANS(C82)) * SIN(RADIANS((D82) - INDEX('Dataset_Wisata'!$D$12:$D$622, MATCH('Dashboard'!$C$9, 'Dataset_Wisata'!$A$12:$A$622, 0)))/2)^2)) * 1.3</f>
        <v/>
      </c>
      <c r="J82" s="21">
        <f>ROUND(I82 * IF('Dashboard'!$C$6&lt;=1, 2250, IF('Dashboard'!$C$6&lt;=4, 5150, 6000)), 0)</f>
        <v/>
      </c>
      <c r="K82" s="30" t="n">
        <v>0.9964990922780733</v>
      </c>
      <c r="L82" s="30" t="n">
        <v>0.003298187596112103</v>
      </c>
      <c r="M82" s="30" t="n">
        <v>0.0002027201258145054</v>
      </c>
      <c r="N82" s="31">
        <f>ABS(E82-$F$6)</f>
        <v/>
      </c>
      <c r="O82" s="31">
        <f>ABS(E82-$F$7)</f>
        <v/>
      </c>
      <c r="P82" s="31">
        <f>ABS(E82-$F$8)</f>
        <v/>
      </c>
      <c r="Q82" s="14">
        <f>IF(K82&gt;=MAX(L82,M82), "Hemat", IF(L82&gt;=M82, "Balanced", "Premium"))</f>
        <v/>
      </c>
      <c r="R82" s="30" t="n">
        <v>0.9964990914496938</v>
      </c>
      <c r="S82" s="30" t="n">
        <v>0.003298188325346893</v>
      </c>
      <c r="T82" s="30" t="n">
        <v>0.000202720224959229</v>
      </c>
      <c r="U82" s="31">
        <f>ABS(E82-$G$6)</f>
        <v/>
      </c>
      <c r="V82" s="31">
        <f>ABS(E82-$G$7)</f>
        <v/>
      </c>
      <c r="W82" s="31">
        <f>ABS(E82-$G$8)</f>
        <v/>
      </c>
      <c r="X82" s="14">
        <f>IF(R82&gt;=MAX(S82,T82), "Hemat", IF(S82&gt;=T82, "Balanced", "Premium"))</f>
        <v/>
      </c>
    </row>
    <row r="83">
      <c r="A83" s="14" t="n">
        <v>74</v>
      </c>
      <c r="B83" s="7" t="inlineStr">
        <is>
          <t>Kebun Buah Naga</t>
        </is>
      </c>
      <c r="C83" s="26" t="n">
        <v>-8.1737827</v>
      </c>
      <c r="D83" s="26" t="n">
        <v>112.3736043</v>
      </c>
      <c r="E83" s="21" t="n">
        <v>10000</v>
      </c>
      <c r="F83" s="27" t="n">
        <v>3.7</v>
      </c>
      <c r="G83" s="28" t="n">
        <v>56</v>
      </c>
      <c r="H83" s="14" t="inlineStr">
        <is>
          <t>Wisata Umum</t>
        </is>
      </c>
      <c r="I83" s="29">
        <f>6371 * 2 * ASIN(SQRT(SIN(RADIANS((C83) - INDEX('Dataset_Wisata'!$C$12:$C$622, MATCH('Dashboard'!$C$9, 'Dataset_Wisata'!$A$12:$A$622, 0)))/2)^2 + COS(RADIANS(INDEX('Dataset_Wisata'!$C$12:$C$622, MATCH('Dashboard'!$C$9, 'Dataset_Wisata'!$A$12:$A$622, 0)))) * COS(RADIANS(C83)) * SIN(RADIANS((D83) - INDEX('Dataset_Wisata'!$D$12:$D$622, MATCH('Dashboard'!$C$9, 'Dataset_Wisata'!$A$12:$A$622, 0)))/2)^2)) * 1.3</f>
        <v/>
      </c>
      <c r="J83" s="21">
        <f>ROUND(I83 * IF('Dashboard'!$C$6&lt;=1, 2250, IF('Dashboard'!$C$6&lt;=4, 5150, 6000)), 0)</f>
        <v/>
      </c>
      <c r="K83" s="30" t="n">
        <v>0.9998126508185596</v>
      </c>
      <c r="L83" s="30" t="n">
        <v>0.0001775718391516968</v>
      </c>
      <c r="M83" s="30" t="n">
        <v>9.7773422886897e-06</v>
      </c>
      <c r="N83" s="31">
        <f>ABS(E83-$F$6)</f>
        <v/>
      </c>
      <c r="O83" s="31">
        <f>ABS(E83-$F$7)</f>
        <v/>
      </c>
      <c r="P83" s="31">
        <f>ABS(E83-$F$8)</f>
        <v/>
      </c>
      <c r="Q83" s="14">
        <f>IF(K83&gt;=MAX(L83,M83), "Hemat", IF(L83&gt;=M83, "Balanced", "Premium"))</f>
        <v/>
      </c>
      <c r="R83" s="30" t="n">
        <v>0.9998126513362043</v>
      </c>
      <c r="S83" s="30" t="n">
        <v>0.0001775713458315561</v>
      </c>
      <c r="T83" s="30" t="n">
        <v>9.777317964159987e-06</v>
      </c>
      <c r="U83" s="31">
        <f>ABS(E83-$G$6)</f>
        <v/>
      </c>
      <c r="V83" s="31">
        <f>ABS(E83-$G$7)</f>
        <v/>
      </c>
      <c r="W83" s="31">
        <f>ABS(E83-$G$8)</f>
        <v/>
      </c>
      <c r="X83" s="14">
        <f>IF(R83&gt;=MAX(S83,T83), "Hemat", IF(S83&gt;=T83, "Balanced", "Premium"))</f>
        <v/>
      </c>
    </row>
    <row r="84">
      <c r="A84" s="14" t="n">
        <v>75</v>
      </c>
      <c r="B84" s="7" t="inlineStr">
        <is>
          <t>Waduk Karangkates</t>
        </is>
      </c>
      <c r="C84" s="26" t="n">
        <v>-8.160239799999999</v>
      </c>
      <c r="D84" s="26" t="n">
        <v>112.4468805</v>
      </c>
      <c r="E84" s="21" t="n">
        <v>7000</v>
      </c>
      <c r="F84" s="27" t="n">
        <v>4.3</v>
      </c>
      <c r="G84" s="28" t="n">
        <v>558</v>
      </c>
      <c r="H84" s="14" t="inlineStr">
        <is>
          <t>Tujuan Wisata · RCQW+WQ2</t>
        </is>
      </c>
      <c r="I84" s="29">
        <f>6371 * 2 * ASIN(SQRT(SIN(RADIANS((C84) - INDEX('Dataset_Wisata'!$C$12:$C$622, MATCH('Dashboard'!$C$9, 'Dataset_Wisata'!$A$12:$A$622, 0)))/2)^2 + COS(RADIANS(INDEX('Dataset_Wisata'!$C$12:$C$622, MATCH('Dashboard'!$C$9, 'Dataset_Wisata'!$A$12:$A$622, 0)))) * COS(RADIANS(C84)) * SIN(RADIANS((D84) - INDEX('Dataset_Wisata'!$D$12:$D$622, MATCH('Dashboard'!$C$9, 'Dataset_Wisata'!$A$12:$A$622, 0)))/2)^2)) * 1.3</f>
        <v/>
      </c>
      <c r="J84" s="21">
        <f>ROUND(I84 * IF('Dashboard'!$C$6&lt;=1, 2250, IF('Dashboard'!$C$6&lt;=4, 5150, 6000)), 0)</f>
        <v/>
      </c>
      <c r="K84" s="30" t="n">
        <v>0.9964990922780733</v>
      </c>
      <c r="L84" s="30" t="n">
        <v>0.003298187596112103</v>
      </c>
      <c r="M84" s="30" t="n">
        <v>0.0002027201258145054</v>
      </c>
      <c r="N84" s="31">
        <f>ABS(E84-$F$6)</f>
        <v/>
      </c>
      <c r="O84" s="31">
        <f>ABS(E84-$F$7)</f>
        <v/>
      </c>
      <c r="P84" s="31">
        <f>ABS(E84-$F$8)</f>
        <v/>
      </c>
      <c r="Q84" s="14">
        <f>IF(K84&gt;=MAX(L84,M84), "Hemat", IF(L84&gt;=M84, "Balanced", "Premium"))</f>
        <v/>
      </c>
      <c r="R84" s="30" t="n">
        <v>0.9964990914496938</v>
      </c>
      <c r="S84" s="30" t="n">
        <v>0.003298188325346893</v>
      </c>
      <c r="T84" s="30" t="n">
        <v>0.000202720224959229</v>
      </c>
      <c r="U84" s="31">
        <f>ABS(E84-$G$6)</f>
        <v/>
      </c>
      <c r="V84" s="31">
        <f>ABS(E84-$G$7)</f>
        <v/>
      </c>
      <c r="W84" s="31">
        <f>ABS(E84-$G$8)</f>
        <v/>
      </c>
      <c r="X84" s="14">
        <f>IF(R84&gt;=MAX(S84,T84), "Hemat", IF(S84&gt;=T84, "Balanced", "Premium"))</f>
        <v/>
      </c>
    </row>
    <row r="85">
      <c r="A85" s="14" t="n">
        <v>76</v>
      </c>
      <c r="B85" s="7" t="inlineStr">
        <is>
          <t>Lahor Reservoir Bridge</t>
        </is>
      </c>
      <c r="C85" s="26" t="n">
        <v>-8.1466014</v>
      </c>
      <c r="D85" s="26" t="n">
        <v>112.4514182</v>
      </c>
      <c r="E85" s="21" t="n">
        <v>3000</v>
      </c>
      <c r="F85" s="27" t="n">
        <v>4.6</v>
      </c>
      <c r="G85" s="28" t="n">
        <v>42</v>
      </c>
      <c r="H85" s="14" t="inlineStr">
        <is>
          <t>Wisata Umum</t>
        </is>
      </c>
      <c r="I85" s="29">
        <f>6371 * 2 * ASIN(SQRT(SIN(RADIANS((C85) - INDEX('Dataset_Wisata'!$C$12:$C$622, MATCH('Dashboard'!$C$9, 'Dataset_Wisata'!$A$12:$A$622, 0)))/2)^2 + COS(RADIANS(INDEX('Dataset_Wisata'!$C$12:$C$622, MATCH('Dashboard'!$C$9, 'Dataset_Wisata'!$A$12:$A$622, 0)))) * COS(RADIANS(C85)) * SIN(RADIANS((D85) - INDEX('Dataset_Wisata'!$D$12:$D$622, MATCH('Dashboard'!$C$9, 'Dataset_Wisata'!$A$12:$A$622, 0)))/2)^2)) * 1.3</f>
        <v/>
      </c>
      <c r="J85" s="21">
        <f>ROUND(I85 * IF('Dashboard'!$C$6&lt;=1, 2250, IF('Dashboard'!$C$6&lt;=4, 5150, 6000)), 0)</f>
        <v/>
      </c>
      <c r="K85" s="30" t="n">
        <v>0.9800529386550435</v>
      </c>
      <c r="L85" s="30" t="n">
        <v>0.01863901730741549</v>
      </c>
      <c r="M85" s="30" t="n">
        <v>0.001308044037540998</v>
      </c>
      <c r="N85" s="31">
        <f>ABS(E85-$F$6)</f>
        <v/>
      </c>
      <c r="O85" s="31">
        <f>ABS(E85-$F$7)</f>
        <v/>
      </c>
      <c r="P85" s="31">
        <f>ABS(E85-$F$8)</f>
        <v/>
      </c>
      <c r="Q85" s="14">
        <f>IF(K85&gt;=MAX(L85,M85), "Hemat", IF(L85&gt;=M85, "Balanced", "Premium"))</f>
        <v/>
      </c>
      <c r="R85" s="30" t="n">
        <v>0.9800529398761559</v>
      </c>
      <c r="S85" s="30" t="n">
        <v>0.01863901586968426</v>
      </c>
      <c r="T85" s="30" t="n">
        <v>0.001308044254159759</v>
      </c>
      <c r="U85" s="31">
        <f>ABS(E85-$G$6)</f>
        <v/>
      </c>
      <c r="V85" s="31">
        <f>ABS(E85-$G$7)</f>
        <v/>
      </c>
      <c r="W85" s="31">
        <f>ABS(E85-$G$8)</f>
        <v/>
      </c>
      <c r="X85" s="14">
        <f>IF(R85&gt;=MAX(S85,T85), "Hemat", IF(S85&gt;=T85, "Balanced", "Premium"))</f>
        <v/>
      </c>
    </row>
    <row r="86">
      <c r="A86" s="14" t="n">
        <v>77</v>
      </c>
      <c r="B86" s="7" t="inlineStr">
        <is>
          <t>Wisata Umbulan Tanaka</t>
        </is>
      </c>
      <c r="C86" s="26" t="n">
        <v>-8.0850019</v>
      </c>
      <c r="D86" s="26" t="n">
        <v>112.4980953</v>
      </c>
      <c r="E86" s="21" t="n">
        <v>5000</v>
      </c>
      <c r="F86" s="27" t="n">
        <v>4.5</v>
      </c>
      <c r="G86" s="28" t="n">
        <v>1361</v>
      </c>
      <c r="H86" s="14" t="inlineStr">
        <is>
          <t>Wisata Umbulan Tanaka</t>
        </is>
      </c>
      <c r="I86" s="29">
        <f>6371 * 2 * ASIN(SQRT(SIN(RADIANS((C86) - INDEX('Dataset_Wisata'!$C$12:$C$622, MATCH('Dashboard'!$C$9, 'Dataset_Wisata'!$A$12:$A$622, 0)))/2)^2 + COS(RADIANS(INDEX('Dataset_Wisata'!$C$12:$C$622, MATCH('Dashboard'!$C$9, 'Dataset_Wisata'!$A$12:$A$622, 0)))) * COS(RADIANS(C86)) * SIN(RADIANS((D86) - INDEX('Dataset_Wisata'!$D$12:$D$622, MATCH('Dashboard'!$C$9, 'Dataset_Wisata'!$A$12:$A$622, 0)))/2)^2)) * 1.3</f>
        <v/>
      </c>
      <c r="J86" s="21">
        <f>ROUND(I86 * IF('Dashboard'!$C$6&lt;=1, 2250, IF('Dashboard'!$C$6&lt;=4, 5150, 6000)), 0)</f>
        <v/>
      </c>
      <c r="K86" s="30" t="n">
        <v>0.9895566543895754</v>
      </c>
      <c r="L86" s="30" t="n">
        <v>0.009798611400025654</v>
      </c>
      <c r="M86" s="30" t="n">
        <v>0.0006447342103988783</v>
      </c>
      <c r="N86" s="31">
        <f>ABS(E86-$F$6)</f>
        <v/>
      </c>
      <c r="O86" s="31">
        <f>ABS(E86-$F$7)</f>
        <v/>
      </c>
      <c r="P86" s="31">
        <f>ABS(E86-$F$8)</f>
        <v/>
      </c>
      <c r="Q86" s="14">
        <f>IF(K86&gt;=MAX(L86,M86), "Hemat", IF(L86&gt;=M86, "Balanced", "Premium"))</f>
        <v/>
      </c>
      <c r="R86" s="30" t="n">
        <v>0.9895566542341836</v>
      </c>
      <c r="S86" s="30" t="n">
        <v>0.00979861139170024</v>
      </c>
      <c r="T86" s="30" t="n">
        <v>0.00064473437411607</v>
      </c>
      <c r="U86" s="31">
        <f>ABS(E86-$G$6)</f>
        <v/>
      </c>
      <c r="V86" s="31">
        <f>ABS(E86-$G$7)</f>
        <v/>
      </c>
      <c r="W86" s="31">
        <f>ABS(E86-$G$8)</f>
        <v/>
      </c>
      <c r="X86" s="14">
        <f>IF(R86&gt;=MAX(S86,T86), "Hemat", IF(S86&gt;=T86, "Balanced", "Premium"))</f>
        <v/>
      </c>
    </row>
    <row r="87">
      <c r="A87" s="14" t="n">
        <v>78</v>
      </c>
      <c r="B87" s="7" t="inlineStr">
        <is>
          <t>Taman Refugia Jati (KOPI SAUNG)</t>
        </is>
      </c>
      <c r="C87" s="26" t="n">
        <v>-8.0970426</v>
      </c>
      <c r="D87" s="26" t="n">
        <v>112.5892391</v>
      </c>
      <c r="E87" s="21" t="n">
        <v>0</v>
      </c>
      <c r="F87" s="27" t="n">
        <v>4.3</v>
      </c>
      <c r="G87" s="28" t="n">
        <v>64</v>
      </c>
      <c r="H87" s="14" t="inlineStr">
        <is>
          <t>Taman Refugia Jati (KOPI SAUNG)</t>
        </is>
      </c>
      <c r="I87" s="29">
        <f>6371 * 2 * ASIN(SQRT(SIN(RADIANS((C87) - INDEX('Dataset_Wisata'!$C$12:$C$622, MATCH('Dashboard'!$C$9, 'Dataset_Wisata'!$A$12:$A$622, 0)))/2)^2 + COS(RADIANS(INDEX('Dataset_Wisata'!$C$12:$C$622, MATCH('Dashboard'!$C$9, 'Dataset_Wisata'!$A$12:$A$622, 0)))) * COS(RADIANS(C87)) * SIN(RADIANS((D87) - INDEX('Dataset_Wisata'!$D$12:$D$622, MATCH('Dashboard'!$C$9, 'Dataset_Wisata'!$A$12:$A$622, 0)))/2)^2)) * 1.3</f>
        <v/>
      </c>
      <c r="J87" s="21">
        <f>ROUND(I87 * IF('Dashboard'!$C$6&lt;=1, 2250, IF('Dashboard'!$C$6&lt;=4, 5150, 6000)), 0)</f>
        <v/>
      </c>
      <c r="K87" s="30" t="n">
        <v>0.9626824510005771</v>
      </c>
      <c r="L87" s="30" t="n">
        <v>0.03465542295845363</v>
      </c>
      <c r="M87" s="30" t="n">
        <v>0.002662126040969366</v>
      </c>
      <c r="N87" s="31">
        <f>ABS(E87-$F$6)</f>
        <v/>
      </c>
      <c r="O87" s="31">
        <f>ABS(E87-$F$7)</f>
        <v/>
      </c>
      <c r="P87" s="31">
        <f>ABS(E87-$F$8)</f>
        <v/>
      </c>
      <c r="Q87" s="14">
        <f>IF(K87&gt;=MAX(L87,M87), "Hemat", IF(L87&gt;=M87, "Balanced", "Premium"))</f>
        <v/>
      </c>
      <c r="R87" s="30" t="n">
        <v>0.9626824549241798</v>
      </c>
      <c r="S87" s="30" t="n">
        <v>0.03465541875469833</v>
      </c>
      <c r="T87" s="30" t="n">
        <v>0.002662126321121907</v>
      </c>
      <c r="U87" s="31">
        <f>ABS(E87-$G$6)</f>
        <v/>
      </c>
      <c r="V87" s="31">
        <f>ABS(E87-$G$7)</f>
        <v/>
      </c>
      <c r="W87" s="31">
        <f>ABS(E87-$G$8)</f>
        <v/>
      </c>
      <c r="X87" s="14">
        <f>IF(R87&gt;=MAX(S87,T87), "Hemat", IF(S87&gt;=T87, "Balanced", "Premium"))</f>
        <v/>
      </c>
    </row>
    <row r="88">
      <c r="A88" s="14" t="n">
        <v>79</v>
      </c>
      <c r="B88" s="7" t="inlineStr">
        <is>
          <t>WISATA WATERFALL TANAKA</t>
        </is>
      </c>
      <c r="C88" s="26" t="n">
        <v>-8.084937500000001</v>
      </c>
      <c r="D88" s="26" t="n">
        <v>112.4980625</v>
      </c>
      <c r="E88" s="21" t="n">
        <v>5000</v>
      </c>
      <c r="F88" s="27" t="n">
        <v>4.6</v>
      </c>
      <c r="G88" s="28" t="n">
        <v>1290</v>
      </c>
      <c r="H88" s="14" t="inlineStr">
        <is>
          <t>WISATA WATERFALL TANAKA</t>
        </is>
      </c>
      <c r="I88" s="29">
        <f>6371 * 2 * ASIN(SQRT(SIN(RADIANS((C88) - INDEX('Dataset_Wisata'!$C$12:$C$622, MATCH('Dashboard'!$C$9, 'Dataset_Wisata'!$A$12:$A$622, 0)))/2)^2 + COS(RADIANS(INDEX('Dataset_Wisata'!$C$12:$C$622, MATCH('Dashboard'!$C$9, 'Dataset_Wisata'!$A$12:$A$622, 0)))) * COS(RADIANS(C88)) * SIN(RADIANS((D88) - INDEX('Dataset_Wisata'!$D$12:$D$622, MATCH('Dashboard'!$C$9, 'Dataset_Wisata'!$A$12:$A$622, 0)))/2)^2)) * 1.3</f>
        <v/>
      </c>
      <c r="J88" s="21">
        <f>ROUND(I88 * IF('Dashboard'!$C$6&lt;=1, 2250, IF('Dashboard'!$C$6&lt;=4, 5150, 6000)), 0)</f>
        <v/>
      </c>
      <c r="K88" s="30" t="n">
        <v>0.9895566543895754</v>
      </c>
      <c r="L88" s="30" t="n">
        <v>0.009798611400025654</v>
      </c>
      <c r="M88" s="30" t="n">
        <v>0.0006447342103988783</v>
      </c>
      <c r="N88" s="31">
        <f>ABS(E88-$F$6)</f>
        <v/>
      </c>
      <c r="O88" s="31">
        <f>ABS(E88-$F$7)</f>
        <v/>
      </c>
      <c r="P88" s="31">
        <f>ABS(E88-$F$8)</f>
        <v/>
      </c>
      <c r="Q88" s="14">
        <f>IF(K88&gt;=MAX(L88,M88), "Hemat", IF(L88&gt;=M88, "Balanced", "Premium"))</f>
        <v/>
      </c>
      <c r="R88" s="30" t="n">
        <v>0.9895566542341836</v>
      </c>
      <c r="S88" s="30" t="n">
        <v>0.00979861139170024</v>
      </c>
      <c r="T88" s="30" t="n">
        <v>0.00064473437411607</v>
      </c>
      <c r="U88" s="31">
        <f>ABS(E88-$G$6)</f>
        <v/>
      </c>
      <c r="V88" s="31">
        <f>ABS(E88-$G$7)</f>
        <v/>
      </c>
      <c r="W88" s="31">
        <f>ABS(E88-$G$8)</f>
        <v/>
      </c>
      <c r="X88" s="14">
        <f>IF(R88&gt;=MAX(S88,T88), "Hemat", IF(S88&gt;=T88, "Balanced", "Premium"))</f>
        <v/>
      </c>
    </row>
    <row r="89">
      <c r="A89" s="14" t="n">
        <v>80</v>
      </c>
      <c r="B89" s="7" t="inlineStr">
        <is>
          <t>Wisata paralayang</t>
        </is>
      </c>
      <c r="C89" s="26" t="n">
        <v>-7.8550565</v>
      </c>
      <c r="D89" s="26" t="n">
        <v>112.4967558</v>
      </c>
      <c r="E89" s="21" t="n">
        <v>20000</v>
      </c>
      <c r="F89" s="27" t="n">
        <v>4.7</v>
      </c>
      <c r="G89" s="28" t="n">
        <v>8695</v>
      </c>
      <c r="H89" s="14" t="inlineStr">
        <is>
          <t>Wisata paralayang</t>
        </is>
      </c>
      <c r="I89" s="29">
        <f>6371 * 2 * ASIN(SQRT(SIN(RADIANS((C89) - INDEX('Dataset_Wisata'!$C$12:$C$622, MATCH('Dashboard'!$C$9, 'Dataset_Wisata'!$A$12:$A$622, 0)))/2)^2 + COS(RADIANS(INDEX('Dataset_Wisata'!$C$12:$C$622, MATCH('Dashboard'!$C$9, 'Dataset_Wisata'!$A$12:$A$622, 0)))) * COS(RADIANS(C89)) * SIN(RADIANS((D89) - INDEX('Dataset_Wisata'!$D$12:$D$622, MATCH('Dashboard'!$C$9, 'Dataset_Wisata'!$A$12:$A$622, 0)))/2)^2)) * 1.3</f>
        <v/>
      </c>
      <c r="J89" s="21">
        <f>ROUND(I89 * IF('Dashboard'!$C$6&lt;=1, 2250, IF('Dashboard'!$C$6&lt;=4, 5150, 6000)), 0)</f>
        <v/>
      </c>
      <c r="K89" s="30" t="n">
        <v>0.8862296979094436</v>
      </c>
      <c r="L89" s="30" t="n">
        <v>0.1099329410905347</v>
      </c>
      <c r="M89" s="30" t="n">
        <v>0.003837361000021699</v>
      </c>
      <c r="N89" s="31">
        <f>ABS(E89-$F$6)</f>
        <v/>
      </c>
      <c r="O89" s="31">
        <f>ABS(E89-$F$7)</f>
        <v/>
      </c>
      <c r="P89" s="31">
        <f>ABS(E89-$F$8)</f>
        <v/>
      </c>
      <c r="Q89" s="14">
        <f>IF(K89&gt;=MAX(L89,M89), "Hemat", IF(L89&gt;=M89, "Balanced", "Premium"))</f>
        <v/>
      </c>
      <c r="R89" s="30" t="n">
        <v>0.8862297532761809</v>
      </c>
      <c r="S89" s="30" t="n">
        <v>0.1099328861159962</v>
      </c>
      <c r="T89" s="30" t="n">
        <v>0.003837360607822898</v>
      </c>
      <c r="U89" s="31">
        <f>ABS(E89-$G$6)</f>
        <v/>
      </c>
      <c r="V89" s="31">
        <f>ABS(E89-$G$7)</f>
        <v/>
      </c>
      <c r="W89" s="31">
        <f>ABS(E89-$G$8)</f>
        <v/>
      </c>
      <c r="X89" s="14">
        <f>IF(R89&gt;=MAX(S89,T89), "Hemat", IF(S89&gt;=T89, "Balanced", "Premium"))</f>
        <v/>
      </c>
    </row>
    <row r="90">
      <c r="A90" s="14" t="n">
        <v>81</v>
      </c>
      <c r="B90" s="7" t="inlineStr">
        <is>
          <t>Omah Kayu Gunung Banyak</t>
        </is>
      </c>
      <c r="C90" s="26" t="n">
        <v>-7.8549492</v>
      </c>
      <c r="D90" s="26" t="n">
        <v>112.4978051</v>
      </c>
      <c r="E90" s="21" t="n">
        <v>5000</v>
      </c>
      <c r="F90" s="27" t="n">
        <v>4.4</v>
      </c>
      <c r="G90" s="28" t="n">
        <v>1879</v>
      </c>
      <c r="H90" s="14" t="inlineStr">
        <is>
          <t>Omah Kayu Gunung Banyak</t>
        </is>
      </c>
      <c r="I90" s="29">
        <f>6371 * 2 * ASIN(SQRT(SIN(RADIANS((C90) - INDEX('Dataset_Wisata'!$C$12:$C$622, MATCH('Dashboard'!$C$9, 'Dataset_Wisata'!$A$12:$A$622, 0)))/2)^2 + COS(RADIANS(INDEX('Dataset_Wisata'!$C$12:$C$622, MATCH('Dashboard'!$C$9, 'Dataset_Wisata'!$A$12:$A$622, 0)))) * COS(RADIANS(C90)) * SIN(RADIANS((D90) - INDEX('Dataset_Wisata'!$D$12:$D$622, MATCH('Dashboard'!$C$9, 'Dataset_Wisata'!$A$12:$A$622, 0)))/2)^2)) * 1.3</f>
        <v/>
      </c>
      <c r="J90" s="21">
        <f>ROUND(I90 * IF('Dashboard'!$C$6&lt;=1, 2250, IF('Dashboard'!$C$6&lt;=4, 5150, 6000)), 0)</f>
        <v/>
      </c>
      <c r="K90" s="30" t="n">
        <v>0.9895566543895754</v>
      </c>
      <c r="L90" s="30" t="n">
        <v>0.009798611400025654</v>
      </c>
      <c r="M90" s="30" t="n">
        <v>0.0006447342103988783</v>
      </c>
      <c r="N90" s="31">
        <f>ABS(E90-$F$6)</f>
        <v/>
      </c>
      <c r="O90" s="31">
        <f>ABS(E90-$F$7)</f>
        <v/>
      </c>
      <c r="P90" s="31">
        <f>ABS(E90-$F$8)</f>
        <v/>
      </c>
      <c r="Q90" s="14">
        <f>IF(K90&gt;=MAX(L90,M90), "Hemat", IF(L90&gt;=M90, "Balanced", "Premium"))</f>
        <v/>
      </c>
      <c r="R90" s="30" t="n">
        <v>0.9895566542341836</v>
      </c>
      <c r="S90" s="30" t="n">
        <v>0.00979861139170024</v>
      </c>
      <c r="T90" s="30" t="n">
        <v>0.00064473437411607</v>
      </c>
      <c r="U90" s="31">
        <f>ABS(E90-$G$6)</f>
        <v/>
      </c>
      <c r="V90" s="31">
        <f>ABS(E90-$G$7)</f>
        <v/>
      </c>
      <c r="W90" s="31">
        <f>ABS(E90-$G$8)</f>
        <v/>
      </c>
      <c r="X90" s="14">
        <f>IF(R90&gt;=MAX(S90,T90), "Hemat", IF(S90&gt;=T90, "Balanced", "Premium"))</f>
        <v/>
      </c>
    </row>
    <row r="91">
      <c r="A91" s="14" t="n">
        <v>82</v>
      </c>
      <c r="B91" s="7" t="inlineStr">
        <is>
          <t>Puncak Gunung Banyak/paralayang</t>
        </is>
      </c>
      <c r="C91" s="26" t="n">
        <v>-7.8549572</v>
      </c>
      <c r="D91" s="26" t="n">
        <v>112.4963794</v>
      </c>
      <c r="E91" s="21" t="n">
        <v>15000</v>
      </c>
      <c r="F91" s="27" t="n">
        <v>4.5</v>
      </c>
      <c r="G91" s="28" t="n">
        <v>532</v>
      </c>
      <c r="H91" s="14" t="inlineStr">
        <is>
          <t>Puncak Gunung Banyak/paralayang</t>
        </is>
      </c>
      <c r="I91" s="29">
        <f>6371 * 2 * ASIN(SQRT(SIN(RADIANS((C91) - INDEX('Dataset_Wisata'!$C$12:$C$622, MATCH('Dashboard'!$C$9, 'Dataset_Wisata'!$A$12:$A$622, 0)))/2)^2 + COS(RADIANS(INDEX('Dataset_Wisata'!$C$12:$C$622, MATCH('Dashboard'!$C$9, 'Dataset_Wisata'!$A$12:$A$622, 0)))) * COS(RADIANS(C91)) * SIN(RADIANS((D91) - INDEX('Dataset_Wisata'!$D$12:$D$622, MATCH('Dashboard'!$C$9, 'Dataset_Wisata'!$A$12:$A$622, 0)))/2)^2)) * 1.3</f>
        <v/>
      </c>
      <c r="J91" s="21">
        <f>ROUND(I91 * IF('Dashboard'!$C$6&lt;=1, 2250, IF('Dashboard'!$C$6&lt;=4, 5150, 6000)), 0)</f>
        <v/>
      </c>
      <c r="K91" s="30" t="n">
        <v>0.9744283047002794</v>
      </c>
      <c r="L91" s="30" t="n">
        <v>0.02447712712252609</v>
      </c>
      <c r="M91" s="30" t="n">
        <v>0.001094568177194568</v>
      </c>
      <c r="N91" s="31">
        <f>ABS(E91-$F$6)</f>
        <v/>
      </c>
      <c r="O91" s="31">
        <f>ABS(E91-$F$7)</f>
        <v/>
      </c>
      <c r="P91" s="31">
        <f>ABS(E91-$F$8)</f>
        <v/>
      </c>
      <c r="Q91" s="14">
        <f>IF(K91&gt;=MAX(L91,M91), "Hemat", IF(L91&gt;=M91, "Balanced", "Premium"))</f>
        <v/>
      </c>
      <c r="R91" s="30" t="n">
        <v>0.9744283195785179</v>
      </c>
      <c r="S91" s="30" t="n">
        <v>0.02447711252884811</v>
      </c>
      <c r="T91" s="30" t="n">
        <v>0.001094567892634054</v>
      </c>
      <c r="U91" s="31">
        <f>ABS(E91-$G$6)</f>
        <v/>
      </c>
      <c r="V91" s="31">
        <f>ABS(E91-$G$7)</f>
        <v/>
      </c>
      <c r="W91" s="31">
        <f>ABS(E91-$G$8)</f>
        <v/>
      </c>
      <c r="X91" s="14">
        <f>IF(R91&gt;=MAX(S91,T91), "Hemat", IF(S91&gt;=T91, "Balanced", "Premium"))</f>
        <v/>
      </c>
    </row>
    <row r="92">
      <c r="A92" s="14" t="n">
        <v>83</v>
      </c>
      <c r="B92" s="7" t="inlineStr">
        <is>
          <t>Pantai Kondang Sugu ꦥꦼꦱꦶꦱꦶꦂꦏꦺꦴꦤ꧀ꦢꦁꦱꦸꦔꦸ</t>
        </is>
      </c>
      <c r="C92" s="26" t="n">
        <v>-8.3956114</v>
      </c>
      <c r="D92" s="26" t="n">
        <v>112.5106505</v>
      </c>
      <c r="E92" s="21" t="n">
        <v>10000</v>
      </c>
      <c r="F92" s="27" t="n">
        <v>4.5</v>
      </c>
      <c r="G92" s="28" t="n">
        <v>43</v>
      </c>
      <c r="H92" s="14" t="inlineStr">
        <is>
          <t>Pantai Kondang Sugu ꦥꦼꦱꦶꦱꦶꦂꦏꦺꦴꦤ꧀ꦢꦁꦱꦸꦔꦸ</t>
        </is>
      </c>
      <c r="I92" s="29">
        <f>6371 * 2 * ASIN(SQRT(SIN(RADIANS((C92) - INDEX('Dataset_Wisata'!$C$12:$C$622, MATCH('Dashboard'!$C$9, 'Dataset_Wisata'!$A$12:$A$622, 0)))/2)^2 + COS(RADIANS(INDEX('Dataset_Wisata'!$C$12:$C$622, MATCH('Dashboard'!$C$9, 'Dataset_Wisata'!$A$12:$A$622, 0)))) * COS(RADIANS(C92)) * SIN(RADIANS((D92) - INDEX('Dataset_Wisata'!$D$12:$D$622, MATCH('Dashboard'!$C$9, 'Dataset_Wisata'!$A$12:$A$622, 0)))/2)^2)) * 1.3</f>
        <v/>
      </c>
      <c r="J92" s="21">
        <f>ROUND(I92 * IF('Dashboard'!$C$6&lt;=1, 2250, IF('Dashboard'!$C$6&lt;=4, 5150, 6000)), 0)</f>
        <v/>
      </c>
      <c r="K92" s="30" t="n">
        <v>0.9998126508185596</v>
      </c>
      <c r="L92" s="30" t="n">
        <v>0.0001775718391516968</v>
      </c>
      <c r="M92" s="30" t="n">
        <v>9.7773422886897e-06</v>
      </c>
      <c r="N92" s="31">
        <f>ABS(E92-$F$6)</f>
        <v/>
      </c>
      <c r="O92" s="31">
        <f>ABS(E92-$F$7)</f>
        <v/>
      </c>
      <c r="P92" s="31">
        <f>ABS(E92-$F$8)</f>
        <v/>
      </c>
      <c r="Q92" s="14">
        <f>IF(K92&gt;=MAX(L92,M92), "Hemat", IF(L92&gt;=M92, "Balanced", "Premium"))</f>
        <v/>
      </c>
      <c r="R92" s="30" t="n">
        <v>0.9998126513362043</v>
      </c>
      <c r="S92" s="30" t="n">
        <v>0.0001775713458315561</v>
      </c>
      <c r="T92" s="30" t="n">
        <v>9.777317964159987e-06</v>
      </c>
      <c r="U92" s="31">
        <f>ABS(E92-$G$6)</f>
        <v/>
      </c>
      <c r="V92" s="31">
        <f>ABS(E92-$G$7)</f>
        <v/>
      </c>
      <c r="W92" s="31">
        <f>ABS(E92-$G$8)</f>
        <v/>
      </c>
      <c r="X92" s="14">
        <f>IF(R92&gt;=MAX(S92,T92), "Hemat", IF(S92&gt;=T92, "Balanced", "Premium"))</f>
        <v/>
      </c>
    </row>
    <row r="93">
      <c r="A93" s="14" t="n">
        <v>84</v>
      </c>
      <c r="B93" s="7" t="inlineStr">
        <is>
          <t>Wisata Sumber Songo</t>
        </is>
      </c>
      <c r="C93" s="26" t="n">
        <v>-8.171440799999999</v>
      </c>
      <c r="D93" s="26" t="n">
        <v>112.5494618</v>
      </c>
      <c r="E93" s="21" t="n">
        <v>8000</v>
      </c>
      <c r="F93" s="27" t="n">
        <v>4.4</v>
      </c>
      <c r="G93" s="28" t="n">
        <v>220</v>
      </c>
      <c r="H93" s="14" t="inlineStr">
        <is>
          <t>Wisata Sumber Songo</t>
        </is>
      </c>
      <c r="I93" s="29">
        <f>6371 * 2 * ASIN(SQRT(SIN(RADIANS((C93) - INDEX('Dataset_Wisata'!$C$12:$C$622, MATCH('Dashboard'!$C$9, 'Dataset_Wisata'!$A$12:$A$622, 0)))/2)^2 + COS(RADIANS(INDEX('Dataset_Wisata'!$C$12:$C$622, MATCH('Dashboard'!$C$9, 'Dataset_Wisata'!$A$12:$A$622, 0)))) * COS(RADIANS(C93)) * SIN(RADIANS((D93) - INDEX('Dataset_Wisata'!$D$12:$D$622, MATCH('Dashboard'!$C$9, 'Dataset_Wisata'!$A$12:$A$622, 0)))/2)^2)) * 1.3</f>
        <v/>
      </c>
      <c r="J93" s="21">
        <f>ROUND(I93 * IF('Dashboard'!$C$6&lt;=1, 2250, IF('Dashboard'!$C$6&lt;=4, 5150, 6000)), 0)</f>
        <v/>
      </c>
      <c r="K93" s="30" t="n">
        <v>0.9987011480460599</v>
      </c>
      <c r="L93" s="30" t="n">
        <v>0.001226123503144755</v>
      </c>
      <c r="M93" s="30" t="n">
        <v>7.272845079538573e-05</v>
      </c>
      <c r="N93" s="31">
        <f>ABS(E93-$F$6)</f>
        <v/>
      </c>
      <c r="O93" s="31">
        <f>ABS(E93-$F$7)</f>
        <v/>
      </c>
      <c r="P93" s="31">
        <f>ABS(E93-$F$8)</f>
        <v/>
      </c>
      <c r="Q93" s="14">
        <f>IF(K93&gt;=MAX(L93,M93), "Hemat", IF(L93&gt;=M93, "Balanced", "Premium"))</f>
        <v/>
      </c>
      <c r="R93" s="30" t="n">
        <v>0.9987011472813523</v>
      </c>
      <c r="S93" s="30" t="n">
        <v>0.001226124206149059</v>
      </c>
      <c r="T93" s="30" t="n">
        <v>7.272851249855953e-05</v>
      </c>
      <c r="U93" s="31">
        <f>ABS(E93-$G$6)</f>
        <v/>
      </c>
      <c r="V93" s="31">
        <f>ABS(E93-$G$7)</f>
        <v/>
      </c>
      <c r="W93" s="31">
        <f>ABS(E93-$G$8)</f>
        <v/>
      </c>
      <c r="X93" s="14">
        <f>IF(R93&gt;=MAX(S93,T93), "Hemat", IF(S93&gt;=T93, "Balanced", "Premium"))</f>
        <v/>
      </c>
    </row>
    <row r="94">
      <c r="A94" s="14" t="n">
        <v>85</v>
      </c>
      <c r="B94" s="7" t="inlineStr">
        <is>
          <t>Pemancingan Bon Watu</t>
        </is>
      </c>
      <c r="C94" s="26" t="n">
        <v>-8.1832286</v>
      </c>
      <c r="D94" s="26" t="n">
        <v>112.4924734</v>
      </c>
      <c r="E94" s="21" t="n">
        <v>25000</v>
      </c>
      <c r="F94" s="27" t="n">
        <v>4.5</v>
      </c>
      <c r="G94" s="28" t="n">
        <v>54</v>
      </c>
      <c r="H94" s="14" t="inlineStr">
        <is>
          <t>Tujuan Wisata · </t>
        </is>
      </c>
      <c r="I94" s="29">
        <f>6371 * 2 * ASIN(SQRT(SIN(RADIANS((C94) - INDEX('Dataset_Wisata'!$C$12:$C$622, MATCH('Dashboard'!$C$9, 'Dataset_Wisata'!$A$12:$A$622, 0)))/2)^2 + COS(RADIANS(INDEX('Dataset_Wisata'!$C$12:$C$622, MATCH('Dashboard'!$C$9, 'Dataset_Wisata'!$A$12:$A$622, 0)))) * COS(RADIANS(C94)) * SIN(RADIANS((D94) - INDEX('Dataset_Wisata'!$D$12:$D$622, MATCH('Dashboard'!$C$9, 'Dataset_Wisata'!$A$12:$A$622, 0)))/2)^2)) * 1.3</f>
        <v/>
      </c>
      <c r="J94" s="21">
        <f>ROUND(I94 * IF('Dashboard'!$C$6&lt;=1, 2250, IF('Dashboard'!$C$6&lt;=4, 5150, 6000)), 0)</f>
        <v/>
      </c>
      <c r="K94" s="30" t="n">
        <v>0.714779317495253</v>
      </c>
      <c r="L94" s="30" t="n">
        <v>0.2780482755376564</v>
      </c>
      <c r="M94" s="30" t="n">
        <v>0.0071724069670906</v>
      </c>
      <c r="N94" s="31">
        <f>ABS(E94-$F$6)</f>
        <v/>
      </c>
      <c r="O94" s="31">
        <f>ABS(E94-$F$7)</f>
        <v/>
      </c>
      <c r="P94" s="31">
        <f>ABS(E94-$F$8)</f>
        <v/>
      </c>
      <c r="Q94" s="14">
        <f>IF(K94&gt;=MAX(L94,M94), "Hemat", IF(L94&gt;=M94, "Balanced", "Premium"))</f>
        <v/>
      </c>
      <c r="R94" s="30" t="n">
        <v>0.7147794395425007</v>
      </c>
      <c r="S94" s="30" t="n">
        <v>0.2780481531707544</v>
      </c>
      <c r="T94" s="30" t="n">
        <v>0.007172407286744955</v>
      </c>
      <c r="U94" s="31">
        <f>ABS(E94-$G$6)</f>
        <v/>
      </c>
      <c r="V94" s="31">
        <f>ABS(E94-$G$7)</f>
        <v/>
      </c>
      <c r="W94" s="31">
        <f>ABS(E94-$G$8)</f>
        <v/>
      </c>
      <c r="X94" s="14">
        <f>IF(R94&gt;=MAX(S94,T94), "Hemat", IF(S94&gt;=T94, "Balanced", "Premium"))</f>
        <v/>
      </c>
    </row>
    <row r="95">
      <c r="A95" s="14" t="n">
        <v>86</v>
      </c>
      <c r="B95" s="7" t="inlineStr">
        <is>
          <t>Coban Manten</t>
        </is>
      </c>
      <c r="C95" s="26" t="n">
        <v>-7.8996567</v>
      </c>
      <c r="D95" s="26" t="n">
        <v>112.4741847</v>
      </c>
      <c r="E95" s="21" t="n">
        <v>15000</v>
      </c>
      <c r="F95" s="27" t="n">
        <v>4.1</v>
      </c>
      <c r="G95" s="28" t="n">
        <v>33</v>
      </c>
      <c r="H95" s="14" t="inlineStr">
        <is>
          <t>Tujuan Wisata · </t>
        </is>
      </c>
      <c r="I95" s="29">
        <f>6371 * 2 * ASIN(SQRT(SIN(RADIANS((C95) - INDEX('Dataset_Wisata'!$C$12:$C$622, MATCH('Dashboard'!$C$9, 'Dataset_Wisata'!$A$12:$A$622, 0)))/2)^2 + COS(RADIANS(INDEX('Dataset_Wisata'!$C$12:$C$622, MATCH('Dashboard'!$C$9, 'Dataset_Wisata'!$A$12:$A$622, 0)))) * COS(RADIANS(C95)) * SIN(RADIANS((D95) - INDEX('Dataset_Wisata'!$D$12:$D$622, MATCH('Dashboard'!$C$9, 'Dataset_Wisata'!$A$12:$A$622, 0)))/2)^2)) * 1.3</f>
        <v/>
      </c>
      <c r="J95" s="21">
        <f>ROUND(I95 * IF('Dashboard'!$C$6&lt;=1, 2250, IF('Dashboard'!$C$6&lt;=4, 5150, 6000)), 0)</f>
        <v/>
      </c>
      <c r="K95" s="30" t="n">
        <v>0.9744283047002794</v>
      </c>
      <c r="L95" s="30" t="n">
        <v>0.02447712712252609</v>
      </c>
      <c r="M95" s="30" t="n">
        <v>0.001094568177194568</v>
      </c>
      <c r="N95" s="31">
        <f>ABS(E95-$F$6)</f>
        <v/>
      </c>
      <c r="O95" s="31">
        <f>ABS(E95-$F$7)</f>
        <v/>
      </c>
      <c r="P95" s="31">
        <f>ABS(E95-$F$8)</f>
        <v/>
      </c>
      <c r="Q95" s="14">
        <f>IF(K95&gt;=MAX(L95,M95), "Hemat", IF(L95&gt;=M95, "Balanced", "Premium"))</f>
        <v/>
      </c>
      <c r="R95" s="30" t="n">
        <v>0.9744283195785179</v>
      </c>
      <c r="S95" s="30" t="n">
        <v>0.02447711252884811</v>
      </c>
      <c r="T95" s="30" t="n">
        <v>0.001094567892634054</v>
      </c>
      <c r="U95" s="31">
        <f>ABS(E95-$G$6)</f>
        <v/>
      </c>
      <c r="V95" s="31">
        <f>ABS(E95-$G$7)</f>
        <v/>
      </c>
      <c r="W95" s="31">
        <f>ABS(E95-$G$8)</f>
        <v/>
      </c>
      <c r="X95" s="14">
        <f>IF(R95&gt;=MAX(S95,T95), "Hemat", IF(S95&gt;=T95, "Balanced", "Premium"))</f>
        <v/>
      </c>
    </row>
    <row r="96">
      <c r="A96" s="14" t="n">
        <v>87</v>
      </c>
      <c r="B96" s="7" t="inlineStr">
        <is>
          <t>Gussari Goa Pinus Batu</t>
        </is>
      </c>
      <c r="C96" s="26" t="n">
        <v>-7.8480284</v>
      </c>
      <c r="D96" s="26" t="n">
        <v>112.4940029</v>
      </c>
      <c r="E96" s="21" t="n">
        <v>10000</v>
      </c>
      <c r="F96" s="27" t="n">
        <v>4.2</v>
      </c>
      <c r="G96" s="28" t="n">
        <v>2246</v>
      </c>
      <c r="H96" s="14" t="inlineStr">
        <is>
          <t>Wisata Umum</t>
        </is>
      </c>
      <c r="I96" s="29">
        <f>6371 * 2 * ASIN(SQRT(SIN(RADIANS((C96) - INDEX('Dataset_Wisata'!$C$12:$C$622, MATCH('Dashboard'!$C$9, 'Dataset_Wisata'!$A$12:$A$622, 0)))/2)^2 + COS(RADIANS(INDEX('Dataset_Wisata'!$C$12:$C$622, MATCH('Dashboard'!$C$9, 'Dataset_Wisata'!$A$12:$A$622, 0)))) * COS(RADIANS(C96)) * SIN(RADIANS((D96) - INDEX('Dataset_Wisata'!$D$12:$D$622, MATCH('Dashboard'!$C$9, 'Dataset_Wisata'!$A$12:$A$622, 0)))/2)^2)) * 1.3</f>
        <v/>
      </c>
      <c r="J96" s="21">
        <f>ROUND(I96 * IF('Dashboard'!$C$6&lt;=1, 2250, IF('Dashboard'!$C$6&lt;=4, 5150, 6000)), 0)</f>
        <v/>
      </c>
      <c r="K96" s="30" t="n">
        <v>0.9998126508185596</v>
      </c>
      <c r="L96" s="30" t="n">
        <v>0.0001775718391516968</v>
      </c>
      <c r="M96" s="30" t="n">
        <v>9.7773422886897e-06</v>
      </c>
      <c r="N96" s="31">
        <f>ABS(E96-$F$6)</f>
        <v/>
      </c>
      <c r="O96" s="31">
        <f>ABS(E96-$F$7)</f>
        <v/>
      </c>
      <c r="P96" s="31">
        <f>ABS(E96-$F$8)</f>
        <v/>
      </c>
      <c r="Q96" s="14">
        <f>IF(K96&gt;=MAX(L96,M96), "Hemat", IF(L96&gt;=M96, "Balanced", "Premium"))</f>
        <v/>
      </c>
      <c r="R96" s="30" t="n">
        <v>0.9998126513362043</v>
      </c>
      <c r="S96" s="30" t="n">
        <v>0.0001775713458315561</v>
      </c>
      <c r="T96" s="30" t="n">
        <v>9.777317964159987e-06</v>
      </c>
      <c r="U96" s="31">
        <f>ABS(E96-$G$6)</f>
        <v/>
      </c>
      <c r="V96" s="31">
        <f>ABS(E96-$G$7)</f>
        <v/>
      </c>
      <c r="W96" s="31">
        <f>ABS(E96-$G$8)</f>
        <v/>
      </c>
      <c r="X96" s="14">
        <f>IF(R96&gt;=MAX(S96,T96), "Hemat", IF(S96&gt;=T96, "Balanced", "Premium"))</f>
        <v/>
      </c>
    </row>
    <row r="97">
      <c r="A97" s="14" t="n">
        <v>88</v>
      </c>
      <c r="B97" s="7" t="inlineStr">
        <is>
          <t>Taman Rekreasi Selecta</t>
        </is>
      </c>
      <c r="C97" s="26" t="n">
        <v>-7.8191461</v>
      </c>
      <c r="D97" s="26" t="n">
        <v>112.5263606</v>
      </c>
      <c r="E97" s="21" t="n">
        <v>50000</v>
      </c>
      <c r="F97" s="27" t="n">
        <v>4.5</v>
      </c>
      <c r="G97" s="28" t="n">
        <v>39510</v>
      </c>
      <c r="H97" s="14" t="inlineStr">
        <is>
          <t>Taman Rekreasi Selecta</t>
        </is>
      </c>
      <c r="I97" s="29">
        <f>6371 * 2 * ASIN(SQRT(SIN(RADIANS((C97) - INDEX('Dataset_Wisata'!$C$12:$C$622, MATCH('Dashboard'!$C$9, 'Dataset_Wisata'!$A$12:$A$622, 0)))/2)^2 + COS(RADIANS(INDEX('Dataset_Wisata'!$C$12:$C$622, MATCH('Dashboard'!$C$9, 'Dataset_Wisata'!$A$12:$A$622, 0)))) * COS(RADIANS(C97)) * SIN(RADIANS((D97) - INDEX('Dataset_Wisata'!$D$12:$D$622, MATCH('Dashboard'!$C$9, 'Dataset_Wisata'!$A$12:$A$622, 0)))/2)^2)) * 1.3</f>
        <v/>
      </c>
      <c r="J97" s="21">
        <f>ROUND(I97 * IF('Dashboard'!$C$6&lt;=1, 2250, IF('Dashboard'!$C$6&lt;=4, 5150, 6000)), 0)</f>
        <v/>
      </c>
      <c r="K97" s="30" t="n">
        <v>5.758531237204236e-06</v>
      </c>
      <c r="L97" s="30" t="n">
        <v>0.9999936821294634</v>
      </c>
      <c r="M97" s="30" t="n">
        <v>5.593392994189334e-07</v>
      </c>
      <c r="N97" s="31">
        <f>ABS(E97-$F$6)</f>
        <v/>
      </c>
      <c r="O97" s="31">
        <f>ABS(E97-$F$7)</f>
        <v/>
      </c>
      <c r="P97" s="31">
        <f>ABS(E97-$F$8)</f>
        <v/>
      </c>
      <c r="Q97" s="14">
        <f>IF(K97&gt;=MAX(L97,M97), "Hemat", IF(L97&gt;=M97, "Balanced", "Premium"))</f>
        <v/>
      </c>
      <c r="R97" s="30" t="n">
        <v>5.757754513908737e-06</v>
      </c>
      <c r="S97" s="30" t="n">
        <v>0.9999936829816778</v>
      </c>
      <c r="T97" s="30" t="n">
        <v>5.592638083270285e-07</v>
      </c>
      <c r="U97" s="31">
        <f>ABS(E97-$G$6)</f>
        <v/>
      </c>
      <c r="V97" s="31">
        <f>ABS(E97-$G$7)</f>
        <v/>
      </c>
      <c r="W97" s="31">
        <f>ABS(E97-$G$8)</f>
        <v/>
      </c>
      <c r="X97" s="14">
        <f>IF(R97&gt;=MAX(S97,T97), "Hemat", IF(S97&gt;=T97, "Balanced", "Premium"))</f>
        <v/>
      </c>
    </row>
    <row r="98">
      <c r="A98" s="14" t="n">
        <v>89</v>
      </c>
      <c r="B98" s="7" t="inlineStr">
        <is>
          <t>wisata coban talun</t>
        </is>
      </c>
      <c r="C98" s="26" t="n">
        <v>-7.8016938</v>
      </c>
      <c r="D98" s="26" t="n">
        <v>112.5163453</v>
      </c>
      <c r="E98" s="21" t="n">
        <v>12000</v>
      </c>
      <c r="F98" s="27" t="n">
        <v>4.5</v>
      </c>
      <c r="G98" s="28" t="n">
        <v>2481</v>
      </c>
      <c r="H98" s="14" t="inlineStr">
        <is>
          <t>wisata coban talun</t>
        </is>
      </c>
      <c r="I98" s="29">
        <f>6371 * 2 * ASIN(SQRT(SIN(RADIANS((C98) - INDEX('Dataset_Wisata'!$C$12:$C$622, MATCH('Dashboard'!$C$9, 'Dataset_Wisata'!$A$12:$A$622, 0)))/2)^2 + COS(RADIANS(INDEX('Dataset_Wisata'!$C$12:$C$622, MATCH('Dashboard'!$C$9, 'Dataset_Wisata'!$A$12:$A$622, 0)))) * COS(RADIANS(C98)) * SIN(RADIANS((D98) - INDEX('Dataset_Wisata'!$D$12:$D$622, MATCH('Dashboard'!$C$9, 'Dataset_Wisata'!$A$12:$A$622, 0)))/2)^2)) * 1.3</f>
        <v/>
      </c>
      <c r="J98" s="21">
        <f>ROUND(I98 * IF('Dashboard'!$C$6&lt;=1, 2250, IF('Dashboard'!$C$6&lt;=4, 5150, 6000)), 0)</f>
        <v/>
      </c>
      <c r="K98" s="30" t="n">
        <v>0.9953331113352144</v>
      </c>
      <c r="L98" s="30" t="n">
        <v>0.004440977722193821</v>
      </c>
      <c r="M98" s="30" t="n">
        <v>0.0002259109425918517</v>
      </c>
      <c r="N98" s="31">
        <f>ABS(E98-$F$6)</f>
        <v/>
      </c>
      <c r="O98" s="31">
        <f>ABS(E98-$F$7)</f>
        <v/>
      </c>
      <c r="P98" s="31">
        <f>ABS(E98-$F$8)</f>
        <v/>
      </c>
      <c r="Q98" s="14">
        <f>IF(K98&gt;=MAX(L98,M98), "Hemat", IF(L98&gt;=M98, "Balanced", "Premium"))</f>
        <v/>
      </c>
      <c r="R98" s="30" t="n">
        <v>0.995333115264566</v>
      </c>
      <c r="S98" s="30" t="n">
        <v>0.004440973917012225</v>
      </c>
      <c r="T98" s="30" t="n">
        <v>0.0002259108184216892</v>
      </c>
      <c r="U98" s="31">
        <f>ABS(E98-$G$6)</f>
        <v/>
      </c>
      <c r="V98" s="31">
        <f>ABS(E98-$G$7)</f>
        <v/>
      </c>
      <c r="W98" s="31">
        <f>ABS(E98-$G$8)</f>
        <v/>
      </c>
      <c r="X98" s="14">
        <f>IF(R98&gt;=MAX(S98,T98), "Hemat", IF(S98&gt;=T98, "Balanced", "Premium"))</f>
        <v/>
      </c>
    </row>
    <row r="99">
      <c r="A99" s="14" t="n">
        <v>90</v>
      </c>
      <c r="B99" s="7" t="inlineStr">
        <is>
          <t>Wisata Dusun &amp; Kuliner</t>
        </is>
      </c>
      <c r="C99" s="26" t="n">
        <v>-7.7963635</v>
      </c>
      <c r="D99" s="26" t="n">
        <v>112.5219051</v>
      </c>
      <c r="E99" s="21" t="n">
        <v>20000</v>
      </c>
      <c r="F99" s="27" t="n">
        <v>4.6</v>
      </c>
      <c r="G99" s="28" t="n">
        <v>1746</v>
      </c>
      <c r="H99" s="14" t="inlineStr">
        <is>
          <t>Wisata Dusun &amp; Kuliner</t>
        </is>
      </c>
      <c r="I99" s="29">
        <f>6371 * 2 * ASIN(SQRT(SIN(RADIANS((C99) - INDEX('Dataset_Wisata'!$C$12:$C$622, MATCH('Dashboard'!$C$9, 'Dataset_Wisata'!$A$12:$A$622, 0)))/2)^2 + COS(RADIANS(INDEX('Dataset_Wisata'!$C$12:$C$622, MATCH('Dashboard'!$C$9, 'Dataset_Wisata'!$A$12:$A$622, 0)))) * COS(RADIANS(C99)) * SIN(RADIANS((D99) - INDEX('Dataset_Wisata'!$D$12:$D$622, MATCH('Dashboard'!$C$9, 'Dataset_Wisata'!$A$12:$A$622, 0)))/2)^2)) * 1.3</f>
        <v/>
      </c>
      <c r="J99" s="21">
        <f>ROUND(I99 * IF('Dashboard'!$C$6&lt;=1, 2250, IF('Dashboard'!$C$6&lt;=4, 5150, 6000)), 0)</f>
        <v/>
      </c>
      <c r="K99" s="30" t="n">
        <v>0.8862296979094436</v>
      </c>
      <c r="L99" s="30" t="n">
        <v>0.1099329410905347</v>
      </c>
      <c r="M99" s="30" t="n">
        <v>0.003837361000021699</v>
      </c>
      <c r="N99" s="31">
        <f>ABS(E99-$F$6)</f>
        <v/>
      </c>
      <c r="O99" s="31">
        <f>ABS(E99-$F$7)</f>
        <v/>
      </c>
      <c r="P99" s="31">
        <f>ABS(E99-$F$8)</f>
        <v/>
      </c>
      <c r="Q99" s="14">
        <f>IF(K99&gt;=MAX(L99,M99), "Hemat", IF(L99&gt;=M99, "Balanced", "Premium"))</f>
        <v/>
      </c>
      <c r="R99" s="30" t="n">
        <v>0.8862297532761809</v>
      </c>
      <c r="S99" s="30" t="n">
        <v>0.1099328861159962</v>
      </c>
      <c r="T99" s="30" t="n">
        <v>0.003837360607822898</v>
      </c>
      <c r="U99" s="31">
        <f>ABS(E99-$G$6)</f>
        <v/>
      </c>
      <c r="V99" s="31">
        <f>ABS(E99-$G$7)</f>
        <v/>
      </c>
      <c r="W99" s="31">
        <f>ABS(E99-$G$8)</f>
        <v/>
      </c>
      <c r="X99" s="14">
        <f>IF(R99&gt;=MAX(S99,T99), "Hemat", IF(S99&gt;=T99, "Balanced", "Premium"))</f>
        <v/>
      </c>
    </row>
    <row r="100">
      <c r="A100" s="14" t="n">
        <v>91</v>
      </c>
      <c r="B100" s="7" t="inlineStr">
        <is>
          <t>Pantai Ngentup</t>
        </is>
      </c>
      <c r="C100" s="26" t="n">
        <v>-8.395929300000001</v>
      </c>
      <c r="D100" s="26" t="n">
        <v>112.5176976</v>
      </c>
      <c r="E100" s="21" t="n">
        <v>10000</v>
      </c>
      <c r="F100" s="27" t="n">
        <v>4.7</v>
      </c>
      <c r="G100" s="28" t="n">
        <v>809</v>
      </c>
      <c r="H100" s="14" t="inlineStr">
        <is>
          <t>Pantai Ngentup</t>
        </is>
      </c>
      <c r="I100" s="29">
        <f>6371 * 2 * ASIN(SQRT(SIN(RADIANS((C100) - INDEX('Dataset_Wisata'!$C$12:$C$622, MATCH('Dashboard'!$C$9, 'Dataset_Wisata'!$A$12:$A$622, 0)))/2)^2 + COS(RADIANS(INDEX('Dataset_Wisata'!$C$12:$C$622, MATCH('Dashboard'!$C$9, 'Dataset_Wisata'!$A$12:$A$622, 0)))) * COS(RADIANS(C100)) * SIN(RADIANS((D100) - INDEX('Dataset_Wisata'!$D$12:$D$622, MATCH('Dashboard'!$C$9, 'Dataset_Wisata'!$A$12:$A$622, 0)))/2)^2)) * 1.3</f>
        <v/>
      </c>
      <c r="J100" s="21">
        <f>ROUND(I100 * IF('Dashboard'!$C$6&lt;=1, 2250, IF('Dashboard'!$C$6&lt;=4, 5150, 6000)), 0)</f>
        <v/>
      </c>
      <c r="K100" s="30" t="n">
        <v>0.9998126508185596</v>
      </c>
      <c r="L100" s="30" t="n">
        <v>0.0001775718391516968</v>
      </c>
      <c r="M100" s="30" t="n">
        <v>9.7773422886897e-06</v>
      </c>
      <c r="N100" s="31">
        <f>ABS(E100-$F$6)</f>
        <v/>
      </c>
      <c r="O100" s="31">
        <f>ABS(E100-$F$7)</f>
        <v/>
      </c>
      <c r="P100" s="31">
        <f>ABS(E100-$F$8)</f>
        <v/>
      </c>
      <c r="Q100" s="14">
        <f>IF(K100&gt;=MAX(L100,M100), "Hemat", IF(L100&gt;=M100, "Balanced", "Premium"))</f>
        <v/>
      </c>
      <c r="R100" s="30" t="n">
        <v>0.9998126513362043</v>
      </c>
      <c r="S100" s="30" t="n">
        <v>0.0001775713458315561</v>
      </c>
      <c r="T100" s="30" t="n">
        <v>9.777317964159987e-06</v>
      </c>
      <c r="U100" s="31">
        <f>ABS(E100-$G$6)</f>
        <v/>
      </c>
      <c r="V100" s="31">
        <f>ABS(E100-$G$7)</f>
        <v/>
      </c>
      <c r="W100" s="31">
        <f>ABS(E100-$G$8)</f>
        <v/>
      </c>
      <c r="X100" s="14">
        <f>IF(R100&gt;=MAX(S100,T100), "Hemat", IF(S100&gt;=T100, "Balanced", "Premium"))</f>
        <v/>
      </c>
    </row>
    <row r="101">
      <c r="A101" s="14" t="n">
        <v>92</v>
      </c>
      <c r="B101" s="7" t="inlineStr">
        <is>
          <t>Pantai Balekambang Malang</t>
        </is>
      </c>
      <c r="C101" s="26" t="n">
        <v>-8.403109499999999</v>
      </c>
      <c r="D101" s="26" t="n">
        <v>112.5358953</v>
      </c>
      <c r="E101" s="21" t="n">
        <v>20000</v>
      </c>
      <c r="F101" s="27" t="n">
        <v>4.5</v>
      </c>
      <c r="G101" s="28" t="n">
        <v>2601</v>
      </c>
      <c r="H101" s="14" t="inlineStr">
        <is>
          <t>Pantai Balekambang Malang</t>
        </is>
      </c>
      <c r="I101" s="29">
        <f>6371 * 2 * ASIN(SQRT(SIN(RADIANS((C101) - INDEX('Dataset_Wisata'!$C$12:$C$622, MATCH('Dashboard'!$C$9, 'Dataset_Wisata'!$A$12:$A$622, 0)))/2)^2 + COS(RADIANS(INDEX('Dataset_Wisata'!$C$12:$C$622, MATCH('Dashboard'!$C$9, 'Dataset_Wisata'!$A$12:$A$622, 0)))) * COS(RADIANS(C101)) * SIN(RADIANS((D101) - INDEX('Dataset_Wisata'!$D$12:$D$622, MATCH('Dashboard'!$C$9, 'Dataset_Wisata'!$A$12:$A$622, 0)))/2)^2)) * 1.3</f>
        <v/>
      </c>
      <c r="J101" s="21">
        <f>ROUND(I101 * IF('Dashboard'!$C$6&lt;=1, 2250, IF('Dashboard'!$C$6&lt;=4, 5150, 6000)), 0)</f>
        <v/>
      </c>
      <c r="K101" s="30" t="n">
        <v>0.8862296979094436</v>
      </c>
      <c r="L101" s="30" t="n">
        <v>0.1099329410905347</v>
      </c>
      <c r="M101" s="30" t="n">
        <v>0.003837361000021699</v>
      </c>
      <c r="N101" s="31">
        <f>ABS(E101-$F$6)</f>
        <v/>
      </c>
      <c r="O101" s="31">
        <f>ABS(E101-$F$7)</f>
        <v/>
      </c>
      <c r="P101" s="31">
        <f>ABS(E101-$F$8)</f>
        <v/>
      </c>
      <c r="Q101" s="14">
        <f>IF(K101&gt;=MAX(L101,M101), "Hemat", IF(L101&gt;=M101, "Balanced", "Premium"))</f>
        <v/>
      </c>
      <c r="R101" s="30" t="n">
        <v>0.8862297532761809</v>
      </c>
      <c r="S101" s="30" t="n">
        <v>0.1099328861159962</v>
      </c>
      <c r="T101" s="30" t="n">
        <v>0.003837360607822898</v>
      </c>
      <c r="U101" s="31">
        <f>ABS(E101-$G$6)</f>
        <v/>
      </c>
      <c r="V101" s="31">
        <f>ABS(E101-$G$7)</f>
        <v/>
      </c>
      <c r="W101" s="31">
        <f>ABS(E101-$G$8)</f>
        <v/>
      </c>
      <c r="X101" s="14">
        <f>IF(R101&gt;=MAX(S101,T101), "Hemat", IF(S101&gt;=T101, "Balanced", "Premium"))</f>
        <v/>
      </c>
    </row>
    <row r="102">
      <c r="A102" s="14" t="n">
        <v>93</v>
      </c>
      <c r="B102" s="7" t="inlineStr">
        <is>
          <t>Lembah BIDADARI</t>
        </is>
      </c>
      <c r="C102" s="26" t="n">
        <v>-8.314871500000001</v>
      </c>
      <c r="D102" s="26" t="n">
        <v>112.5045474</v>
      </c>
      <c r="E102" s="21" t="n">
        <v>10000</v>
      </c>
      <c r="F102" s="27" t="n">
        <v>4.3</v>
      </c>
      <c r="G102" s="28" t="n">
        <v>40</v>
      </c>
      <c r="H102" s="14" t="inlineStr">
        <is>
          <t>"Warung di lengkapi wifi</t>
        </is>
      </c>
      <c r="I102" s="29">
        <f>6371 * 2 * ASIN(SQRT(SIN(RADIANS((C102) - INDEX('Dataset_Wisata'!$C$12:$C$622, MATCH('Dashboard'!$C$9, 'Dataset_Wisata'!$A$12:$A$622, 0)))/2)^2 + COS(RADIANS(INDEX('Dataset_Wisata'!$C$12:$C$622, MATCH('Dashboard'!$C$9, 'Dataset_Wisata'!$A$12:$A$622, 0)))) * COS(RADIANS(C102)) * SIN(RADIANS((D102) - INDEX('Dataset_Wisata'!$D$12:$D$622, MATCH('Dashboard'!$C$9, 'Dataset_Wisata'!$A$12:$A$622, 0)))/2)^2)) * 1.3</f>
        <v/>
      </c>
      <c r="J102" s="21">
        <f>ROUND(I102 * IF('Dashboard'!$C$6&lt;=1, 2250, IF('Dashboard'!$C$6&lt;=4, 5150, 6000)), 0)</f>
        <v/>
      </c>
      <c r="K102" s="30" t="n">
        <v>0.9998126508185596</v>
      </c>
      <c r="L102" s="30" t="n">
        <v>0.0001775718391516968</v>
      </c>
      <c r="M102" s="30" t="n">
        <v>9.7773422886897e-06</v>
      </c>
      <c r="N102" s="31">
        <f>ABS(E102-$F$6)</f>
        <v/>
      </c>
      <c r="O102" s="31">
        <f>ABS(E102-$F$7)</f>
        <v/>
      </c>
      <c r="P102" s="31">
        <f>ABS(E102-$F$8)</f>
        <v/>
      </c>
      <c r="Q102" s="14">
        <f>IF(K102&gt;=MAX(L102,M102), "Hemat", IF(L102&gt;=M102, "Balanced", "Premium"))</f>
        <v/>
      </c>
      <c r="R102" s="30" t="n">
        <v>0.9998126513362043</v>
      </c>
      <c r="S102" s="30" t="n">
        <v>0.0001775713458315561</v>
      </c>
      <c r="T102" s="30" t="n">
        <v>9.777317964159987e-06</v>
      </c>
      <c r="U102" s="31">
        <f>ABS(E102-$G$6)</f>
        <v/>
      </c>
      <c r="V102" s="31">
        <f>ABS(E102-$G$7)</f>
        <v/>
      </c>
      <c r="W102" s="31">
        <f>ABS(E102-$G$8)</f>
        <v/>
      </c>
      <c r="X102" s="14">
        <f>IF(R102&gt;=MAX(S102,T102), "Hemat", IF(S102&gt;=T102, "Balanced", "Premium"))</f>
        <v/>
      </c>
    </row>
    <row r="103">
      <c r="A103" s="14" t="n">
        <v>94</v>
      </c>
      <c r="B103" s="7" t="inlineStr">
        <is>
          <t>Danau Dawuhan - Senggreng</t>
        </is>
      </c>
      <c r="C103" s="26" t="n">
        <v>-8.163686</v>
      </c>
      <c r="D103" s="26" t="n">
        <v>112.509468</v>
      </c>
      <c r="E103" s="21" t="n">
        <v>10000</v>
      </c>
      <c r="F103" s="27" t="n">
        <v>4.2</v>
      </c>
      <c r="G103" s="28" t="n">
        <v>316</v>
      </c>
      <c r="H103" s="14" t="inlineStr">
        <is>
          <t>Wisata Umum</t>
        </is>
      </c>
      <c r="I103" s="29">
        <f>6371 * 2 * ASIN(SQRT(SIN(RADIANS((C103) - INDEX('Dataset_Wisata'!$C$12:$C$622, MATCH('Dashboard'!$C$9, 'Dataset_Wisata'!$A$12:$A$622, 0)))/2)^2 + COS(RADIANS(INDEX('Dataset_Wisata'!$C$12:$C$622, MATCH('Dashboard'!$C$9, 'Dataset_Wisata'!$A$12:$A$622, 0)))) * COS(RADIANS(C103)) * SIN(RADIANS((D103) - INDEX('Dataset_Wisata'!$D$12:$D$622, MATCH('Dashboard'!$C$9, 'Dataset_Wisata'!$A$12:$A$622, 0)))/2)^2)) * 1.3</f>
        <v/>
      </c>
      <c r="J103" s="21">
        <f>ROUND(I103 * IF('Dashboard'!$C$6&lt;=1, 2250, IF('Dashboard'!$C$6&lt;=4, 5150, 6000)), 0)</f>
        <v/>
      </c>
      <c r="K103" s="30" t="n">
        <v>0.9998126508185596</v>
      </c>
      <c r="L103" s="30" t="n">
        <v>0.0001775718391516968</v>
      </c>
      <c r="M103" s="30" t="n">
        <v>9.7773422886897e-06</v>
      </c>
      <c r="N103" s="31">
        <f>ABS(E103-$F$6)</f>
        <v/>
      </c>
      <c r="O103" s="31">
        <f>ABS(E103-$F$7)</f>
        <v/>
      </c>
      <c r="P103" s="31">
        <f>ABS(E103-$F$8)</f>
        <v/>
      </c>
      <c r="Q103" s="14">
        <f>IF(K103&gt;=MAX(L103,M103), "Hemat", IF(L103&gt;=M103, "Balanced", "Premium"))</f>
        <v/>
      </c>
      <c r="R103" s="30" t="n">
        <v>0.9998126513362043</v>
      </c>
      <c r="S103" s="30" t="n">
        <v>0.0001775713458315561</v>
      </c>
      <c r="T103" s="30" t="n">
        <v>9.777317964159987e-06</v>
      </c>
      <c r="U103" s="31">
        <f>ABS(E103-$G$6)</f>
        <v/>
      </c>
      <c r="V103" s="31">
        <f>ABS(E103-$G$7)</f>
        <v/>
      </c>
      <c r="W103" s="31">
        <f>ABS(E103-$G$8)</f>
        <v/>
      </c>
      <c r="X103" s="14">
        <f>IF(R103&gt;=MAX(S103,T103), "Hemat", IF(S103&gt;=T103, "Balanced", "Premium"))</f>
        <v/>
      </c>
    </row>
    <row r="104">
      <c r="A104" s="14" t="n">
        <v>95</v>
      </c>
      <c r="B104" s="7" t="inlineStr">
        <is>
          <t>TPA WISATA EDUKASI TALANGAGUNG</t>
        </is>
      </c>
      <c r="C104" s="26" t="n">
        <v>-8.1206864</v>
      </c>
      <c r="D104" s="26" t="n">
        <v>112.5611182</v>
      </c>
      <c r="E104" s="21" t="n">
        <v>15000</v>
      </c>
      <c r="F104" s="27" t="n">
        <v>4.2</v>
      </c>
      <c r="G104" s="28" t="n">
        <v>182</v>
      </c>
      <c r="H104" s="14" t="inlineStr">
        <is>
          <t>TPA WISATA EDUKASI TALANGAGUNG</t>
        </is>
      </c>
      <c r="I104" s="29">
        <f>6371 * 2 * ASIN(SQRT(SIN(RADIANS((C104) - INDEX('Dataset_Wisata'!$C$12:$C$622, MATCH('Dashboard'!$C$9, 'Dataset_Wisata'!$A$12:$A$622, 0)))/2)^2 + COS(RADIANS(INDEX('Dataset_Wisata'!$C$12:$C$622, MATCH('Dashboard'!$C$9, 'Dataset_Wisata'!$A$12:$A$622, 0)))) * COS(RADIANS(C104)) * SIN(RADIANS((D104) - INDEX('Dataset_Wisata'!$D$12:$D$622, MATCH('Dashboard'!$C$9, 'Dataset_Wisata'!$A$12:$A$622, 0)))/2)^2)) * 1.3</f>
        <v/>
      </c>
      <c r="J104" s="21">
        <f>ROUND(I104 * IF('Dashboard'!$C$6&lt;=1, 2250, IF('Dashboard'!$C$6&lt;=4, 5150, 6000)), 0)</f>
        <v/>
      </c>
      <c r="K104" s="30" t="n">
        <v>0.9744283047002794</v>
      </c>
      <c r="L104" s="30" t="n">
        <v>0.02447712712252609</v>
      </c>
      <c r="M104" s="30" t="n">
        <v>0.001094568177194568</v>
      </c>
      <c r="N104" s="31">
        <f>ABS(E104-$F$6)</f>
        <v/>
      </c>
      <c r="O104" s="31">
        <f>ABS(E104-$F$7)</f>
        <v/>
      </c>
      <c r="P104" s="31">
        <f>ABS(E104-$F$8)</f>
        <v/>
      </c>
      <c r="Q104" s="14">
        <f>IF(K104&gt;=MAX(L104,M104), "Hemat", IF(L104&gt;=M104, "Balanced", "Premium"))</f>
        <v/>
      </c>
      <c r="R104" s="30" t="n">
        <v>0.9744283195785179</v>
      </c>
      <c r="S104" s="30" t="n">
        <v>0.02447711252884811</v>
      </c>
      <c r="T104" s="30" t="n">
        <v>0.001094567892634054</v>
      </c>
      <c r="U104" s="31">
        <f>ABS(E104-$G$6)</f>
        <v/>
      </c>
      <c r="V104" s="31">
        <f>ABS(E104-$G$7)</f>
        <v/>
      </c>
      <c r="W104" s="31">
        <f>ABS(E104-$G$8)</f>
        <v/>
      </c>
      <c r="X104" s="14">
        <f>IF(R104&gt;=MAX(S104,T104), "Hemat", IF(S104&gt;=T104, "Balanced", "Premium"))</f>
        <v/>
      </c>
    </row>
    <row r="105">
      <c r="A105" s="14" t="n">
        <v>96</v>
      </c>
      <c r="B105" s="7" t="inlineStr">
        <is>
          <t>Wisata Center NANAS</t>
        </is>
      </c>
      <c r="C105" s="26" t="n">
        <v>-8.112142</v>
      </c>
      <c r="D105" s="26" t="n">
        <v>112.5508047</v>
      </c>
      <c r="E105" s="21" t="n">
        <v>2000</v>
      </c>
      <c r="F105" s="27" t="n">
        <v>4.4</v>
      </c>
      <c r="G105" s="28" t="n">
        <v>74</v>
      </c>
      <c r="H105" s="14" t="inlineStr">
        <is>
          <t>Wisata Center NANAS</t>
        </is>
      </c>
      <c r="I105" s="29">
        <f>6371 * 2 * ASIN(SQRT(SIN(RADIANS((C105) - INDEX('Dataset_Wisata'!$C$12:$C$622, MATCH('Dashboard'!$C$9, 'Dataset_Wisata'!$A$12:$A$622, 0)))/2)^2 + COS(RADIANS(INDEX('Dataset_Wisata'!$C$12:$C$622, MATCH('Dashboard'!$C$9, 'Dataset_Wisata'!$A$12:$A$622, 0)))) * COS(RADIANS(C105)) * SIN(RADIANS((D105) - INDEX('Dataset_Wisata'!$D$12:$D$622, MATCH('Dashboard'!$C$9, 'Dataset_Wisata'!$A$12:$A$622, 0)))/2)^2)) * 1.3</f>
        <v/>
      </c>
      <c r="J105" s="21">
        <f>ROUND(I105 * IF('Dashboard'!$C$6&lt;=1, 2250, IF('Dashboard'!$C$6&lt;=4, 5150, 6000)), 0)</f>
        <v/>
      </c>
      <c r="K105" s="30" t="n">
        <v>0.9745968037531486</v>
      </c>
      <c r="L105" s="30" t="n">
        <v>0.02368856650344644</v>
      </c>
      <c r="M105" s="30" t="n">
        <v>0.001714629743404906</v>
      </c>
      <c r="N105" s="31">
        <f>ABS(E105-$F$6)</f>
        <v/>
      </c>
      <c r="O105" s="31">
        <f>ABS(E105-$F$7)</f>
        <v/>
      </c>
      <c r="P105" s="31">
        <f>ABS(E105-$F$8)</f>
        <v/>
      </c>
      <c r="Q105" s="14">
        <f>IF(K105&gt;=MAX(L105,M105), "Hemat", IF(L105&gt;=M105, "Balanced", "Premium"))</f>
        <v/>
      </c>
      <c r="R105" s="30" t="n">
        <v>0.9745968058205632</v>
      </c>
      <c r="S105" s="30" t="n">
        <v>0.02368856419646389</v>
      </c>
      <c r="T105" s="30" t="n">
        <v>0.001714629982972894</v>
      </c>
      <c r="U105" s="31">
        <f>ABS(E105-$G$6)</f>
        <v/>
      </c>
      <c r="V105" s="31">
        <f>ABS(E105-$G$7)</f>
        <v/>
      </c>
      <c r="W105" s="31">
        <f>ABS(E105-$G$8)</f>
        <v/>
      </c>
      <c r="X105" s="14">
        <f>IF(R105&gt;=MAX(S105,T105), "Hemat", IF(S105&gt;=T105, "Balanced", "Premium"))</f>
        <v/>
      </c>
    </row>
    <row r="106">
      <c r="A106" s="14" t="n">
        <v>97</v>
      </c>
      <c r="B106" s="7" t="inlineStr">
        <is>
          <t>Wisata pemacingan liar Kecopokan</t>
        </is>
      </c>
      <c r="C106" s="26" t="n">
        <v>-8.186216999999999</v>
      </c>
      <c r="D106" s="26" t="n">
        <v>112.4941967</v>
      </c>
      <c r="E106" s="21" t="n">
        <v>15000</v>
      </c>
      <c r="F106" s="27" t="n">
        <v>4.1</v>
      </c>
      <c r="G106" s="28" t="n">
        <v>22</v>
      </c>
      <c r="H106" s="14" t="inlineStr">
        <is>
          <t>Wisata pemacingan liar Kecopokan</t>
        </is>
      </c>
      <c r="I106" s="29">
        <f>6371 * 2 * ASIN(SQRT(SIN(RADIANS((C106) - INDEX('Dataset_Wisata'!$C$12:$C$622, MATCH('Dashboard'!$C$9, 'Dataset_Wisata'!$A$12:$A$622, 0)))/2)^2 + COS(RADIANS(INDEX('Dataset_Wisata'!$C$12:$C$622, MATCH('Dashboard'!$C$9, 'Dataset_Wisata'!$A$12:$A$622, 0)))) * COS(RADIANS(C106)) * SIN(RADIANS((D106) - INDEX('Dataset_Wisata'!$D$12:$D$622, MATCH('Dashboard'!$C$9, 'Dataset_Wisata'!$A$12:$A$622, 0)))/2)^2)) * 1.3</f>
        <v/>
      </c>
      <c r="J106" s="21">
        <f>ROUND(I106 * IF('Dashboard'!$C$6&lt;=1, 2250, IF('Dashboard'!$C$6&lt;=4, 5150, 6000)), 0)</f>
        <v/>
      </c>
      <c r="K106" s="30" t="n">
        <v>0.9744283047002794</v>
      </c>
      <c r="L106" s="30" t="n">
        <v>0.02447712712252609</v>
      </c>
      <c r="M106" s="30" t="n">
        <v>0.001094568177194568</v>
      </c>
      <c r="N106" s="31">
        <f>ABS(E106-$F$6)</f>
        <v/>
      </c>
      <c r="O106" s="31">
        <f>ABS(E106-$F$7)</f>
        <v/>
      </c>
      <c r="P106" s="31">
        <f>ABS(E106-$F$8)</f>
        <v/>
      </c>
      <c r="Q106" s="14">
        <f>IF(K106&gt;=MAX(L106,M106), "Hemat", IF(L106&gt;=M106, "Balanced", "Premium"))</f>
        <v/>
      </c>
      <c r="R106" s="30" t="n">
        <v>0.9744283195785179</v>
      </c>
      <c r="S106" s="30" t="n">
        <v>0.02447711252884811</v>
      </c>
      <c r="T106" s="30" t="n">
        <v>0.001094567892634054</v>
      </c>
      <c r="U106" s="31">
        <f>ABS(E106-$G$6)</f>
        <v/>
      </c>
      <c r="V106" s="31">
        <f>ABS(E106-$G$7)</f>
        <v/>
      </c>
      <c r="W106" s="31">
        <f>ABS(E106-$G$8)</f>
        <v/>
      </c>
      <c r="X106" s="14">
        <f>IF(R106&gt;=MAX(S106,T106), "Hemat", IF(S106&gt;=T106, "Balanced", "Premium"))</f>
        <v/>
      </c>
    </row>
    <row r="107">
      <c r="A107" s="14" t="n">
        <v>98</v>
      </c>
      <c r="B107" s="7" t="inlineStr">
        <is>
          <t>Eko Wisata Lembah Dilem</t>
        </is>
      </c>
      <c r="C107" s="26" t="n">
        <v>-8.1148582</v>
      </c>
      <c r="D107" s="26" t="n">
        <v>112.5665263</v>
      </c>
      <c r="E107" s="21" t="n">
        <v>5000</v>
      </c>
      <c r="F107" s="27" t="n">
        <v>4.5</v>
      </c>
      <c r="G107" s="28" t="n">
        <v>101</v>
      </c>
      <c r="H107" s="14" t="inlineStr">
        <is>
          <t>Eko Wisata Lembah Dilem</t>
        </is>
      </c>
      <c r="I107" s="29">
        <f>6371 * 2 * ASIN(SQRT(SIN(RADIANS((C107) - INDEX('Dataset_Wisata'!$C$12:$C$622, MATCH('Dashboard'!$C$9, 'Dataset_Wisata'!$A$12:$A$622, 0)))/2)^2 + COS(RADIANS(INDEX('Dataset_Wisata'!$C$12:$C$622, MATCH('Dashboard'!$C$9, 'Dataset_Wisata'!$A$12:$A$622, 0)))) * COS(RADIANS(C107)) * SIN(RADIANS((D107) - INDEX('Dataset_Wisata'!$D$12:$D$622, MATCH('Dashboard'!$C$9, 'Dataset_Wisata'!$A$12:$A$622, 0)))/2)^2)) * 1.3</f>
        <v/>
      </c>
      <c r="J107" s="21">
        <f>ROUND(I107 * IF('Dashboard'!$C$6&lt;=1, 2250, IF('Dashboard'!$C$6&lt;=4, 5150, 6000)), 0)</f>
        <v/>
      </c>
      <c r="K107" s="30" t="n">
        <v>0.9895566543895754</v>
      </c>
      <c r="L107" s="30" t="n">
        <v>0.009798611400025654</v>
      </c>
      <c r="M107" s="30" t="n">
        <v>0.0006447342103988783</v>
      </c>
      <c r="N107" s="31">
        <f>ABS(E107-$F$6)</f>
        <v/>
      </c>
      <c r="O107" s="31">
        <f>ABS(E107-$F$7)</f>
        <v/>
      </c>
      <c r="P107" s="31">
        <f>ABS(E107-$F$8)</f>
        <v/>
      </c>
      <c r="Q107" s="14">
        <f>IF(K107&gt;=MAX(L107,M107), "Hemat", IF(L107&gt;=M107, "Balanced", "Premium"))</f>
        <v/>
      </c>
      <c r="R107" s="30" t="n">
        <v>0.9895566542341836</v>
      </c>
      <c r="S107" s="30" t="n">
        <v>0.00979861139170024</v>
      </c>
      <c r="T107" s="30" t="n">
        <v>0.00064473437411607</v>
      </c>
      <c r="U107" s="31">
        <f>ABS(E107-$G$6)</f>
        <v/>
      </c>
      <c r="V107" s="31">
        <f>ABS(E107-$G$7)</f>
        <v/>
      </c>
      <c r="W107" s="31">
        <f>ABS(E107-$G$8)</f>
        <v/>
      </c>
      <c r="X107" s="14">
        <f>IF(R107&gt;=MAX(S107,T107), "Hemat", IF(S107&gt;=T107, "Balanced", "Premium"))</f>
        <v/>
      </c>
    </row>
    <row r="108">
      <c r="A108" s="14" t="n">
        <v>99</v>
      </c>
      <c r="B108" s="7" t="inlineStr">
        <is>
          <t>Kolam renang Sukamaju</t>
        </is>
      </c>
      <c r="C108" s="26" t="n">
        <v>-8.161743899999999</v>
      </c>
      <c r="D108" s="26" t="n">
        <v>112.4713313</v>
      </c>
      <c r="E108" s="21" t="n">
        <v>10000</v>
      </c>
      <c r="F108" s="27" t="n">
        <v>4.6</v>
      </c>
      <c r="G108" s="28" t="n">
        <v>30</v>
      </c>
      <c r="H108" s="14" t="inlineStr">
        <is>
          <t>Kolam renang Sukamaju</t>
        </is>
      </c>
      <c r="I108" s="29">
        <f>6371 * 2 * ASIN(SQRT(SIN(RADIANS((C108) - INDEX('Dataset_Wisata'!$C$12:$C$622, MATCH('Dashboard'!$C$9, 'Dataset_Wisata'!$A$12:$A$622, 0)))/2)^2 + COS(RADIANS(INDEX('Dataset_Wisata'!$C$12:$C$622, MATCH('Dashboard'!$C$9, 'Dataset_Wisata'!$A$12:$A$622, 0)))) * COS(RADIANS(C108)) * SIN(RADIANS((D108) - INDEX('Dataset_Wisata'!$D$12:$D$622, MATCH('Dashboard'!$C$9, 'Dataset_Wisata'!$A$12:$A$622, 0)))/2)^2)) * 1.3</f>
        <v/>
      </c>
      <c r="J108" s="21">
        <f>ROUND(I108 * IF('Dashboard'!$C$6&lt;=1, 2250, IF('Dashboard'!$C$6&lt;=4, 5150, 6000)), 0)</f>
        <v/>
      </c>
      <c r="K108" s="30" t="n">
        <v>0.9998126508185596</v>
      </c>
      <c r="L108" s="30" t="n">
        <v>0.0001775718391516968</v>
      </c>
      <c r="M108" s="30" t="n">
        <v>9.7773422886897e-06</v>
      </c>
      <c r="N108" s="31">
        <f>ABS(E108-$F$6)</f>
        <v/>
      </c>
      <c r="O108" s="31">
        <f>ABS(E108-$F$7)</f>
        <v/>
      </c>
      <c r="P108" s="31">
        <f>ABS(E108-$F$8)</f>
        <v/>
      </c>
      <c r="Q108" s="14">
        <f>IF(K108&gt;=MAX(L108,M108), "Hemat", IF(L108&gt;=M108, "Balanced", "Premium"))</f>
        <v/>
      </c>
      <c r="R108" s="30" t="n">
        <v>0.9998126513362043</v>
      </c>
      <c r="S108" s="30" t="n">
        <v>0.0001775713458315561</v>
      </c>
      <c r="T108" s="30" t="n">
        <v>9.777317964159987e-06</v>
      </c>
      <c r="U108" s="31">
        <f>ABS(E108-$G$6)</f>
        <v/>
      </c>
      <c r="V108" s="31">
        <f>ABS(E108-$G$7)</f>
        <v/>
      </c>
      <c r="W108" s="31">
        <f>ABS(E108-$G$8)</f>
        <v/>
      </c>
      <c r="X108" s="14">
        <f>IF(R108&gt;=MAX(S108,T108), "Hemat", IF(S108&gt;=T108, "Balanced", "Premium"))</f>
        <v/>
      </c>
    </row>
    <row r="109">
      <c r="A109" s="14" t="n">
        <v>100</v>
      </c>
      <c r="B109" s="7" t="inlineStr">
        <is>
          <t>Milkindo Green Farm</t>
        </is>
      </c>
      <c r="C109" s="26" t="n">
        <v>-8.1676223</v>
      </c>
      <c r="D109" s="26" t="n">
        <v>112.5712657</v>
      </c>
      <c r="E109" s="21" t="n">
        <v>10000</v>
      </c>
      <c r="F109" s="27" t="n">
        <v>4.4</v>
      </c>
      <c r="G109" s="28" t="n">
        <v>1810</v>
      </c>
      <c r="H109" s="14" t="inlineStr">
        <is>
          <t>Tujuan Wisata · </t>
        </is>
      </c>
      <c r="I109" s="29">
        <f>6371 * 2 * ASIN(SQRT(SIN(RADIANS((C109) - INDEX('Dataset_Wisata'!$C$12:$C$622, MATCH('Dashboard'!$C$9, 'Dataset_Wisata'!$A$12:$A$622, 0)))/2)^2 + COS(RADIANS(INDEX('Dataset_Wisata'!$C$12:$C$622, MATCH('Dashboard'!$C$9, 'Dataset_Wisata'!$A$12:$A$622, 0)))) * COS(RADIANS(C109)) * SIN(RADIANS((D109) - INDEX('Dataset_Wisata'!$D$12:$D$622, MATCH('Dashboard'!$C$9, 'Dataset_Wisata'!$A$12:$A$622, 0)))/2)^2)) * 1.3</f>
        <v/>
      </c>
      <c r="J109" s="21">
        <f>ROUND(I109 * IF('Dashboard'!$C$6&lt;=1, 2250, IF('Dashboard'!$C$6&lt;=4, 5150, 6000)), 0)</f>
        <v/>
      </c>
      <c r="K109" s="30" t="n">
        <v>0.9998126508185596</v>
      </c>
      <c r="L109" s="30" t="n">
        <v>0.0001775718391516968</v>
      </c>
      <c r="M109" s="30" t="n">
        <v>9.7773422886897e-06</v>
      </c>
      <c r="N109" s="31">
        <f>ABS(E109-$F$6)</f>
        <v/>
      </c>
      <c r="O109" s="31">
        <f>ABS(E109-$F$7)</f>
        <v/>
      </c>
      <c r="P109" s="31">
        <f>ABS(E109-$F$8)</f>
        <v/>
      </c>
      <c r="Q109" s="14">
        <f>IF(K109&gt;=MAX(L109,M109), "Hemat", IF(L109&gt;=M109, "Balanced", "Premium"))</f>
        <v/>
      </c>
      <c r="R109" s="30" t="n">
        <v>0.9998126513362043</v>
      </c>
      <c r="S109" s="30" t="n">
        <v>0.0001775713458315561</v>
      </c>
      <c r="T109" s="30" t="n">
        <v>9.777317964159987e-06</v>
      </c>
      <c r="U109" s="31">
        <f>ABS(E109-$G$6)</f>
        <v/>
      </c>
      <c r="V109" s="31">
        <f>ABS(E109-$G$7)</f>
        <v/>
      </c>
      <c r="W109" s="31">
        <f>ABS(E109-$G$8)</f>
        <v/>
      </c>
      <c r="X109" s="14">
        <f>IF(R109&gt;=MAX(S109,T109), "Hemat", IF(S109&gt;=T109, "Balanced", "Premium"))</f>
        <v/>
      </c>
    </row>
    <row r="110">
      <c r="A110" s="14" t="n">
        <v>101</v>
      </c>
      <c r="B110" s="7" t="inlineStr">
        <is>
          <t>Sumber Man Sari</t>
        </is>
      </c>
      <c r="C110" s="26" t="n">
        <v>-8.1443958</v>
      </c>
      <c r="D110" s="26" t="n">
        <v>112.5168171</v>
      </c>
      <c r="E110" s="21" t="n">
        <v>3000</v>
      </c>
      <c r="F110" s="27" t="n">
        <v>4.6</v>
      </c>
      <c r="G110" s="28" t="n">
        <v>75</v>
      </c>
      <c r="H110" s="14" t="inlineStr">
        <is>
          <t>Tujuan Wisata · VG48+6PW</t>
        </is>
      </c>
      <c r="I110" s="29">
        <f>6371 * 2 * ASIN(SQRT(SIN(RADIANS((C110) - INDEX('Dataset_Wisata'!$C$12:$C$622, MATCH('Dashboard'!$C$9, 'Dataset_Wisata'!$A$12:$A$622, 0)))/2)^2 + COS(RADIANS(INDEX('Dataset_Wisata'!$C$12:$C$622, MATCH('Dashboard'!$C$9, 'Dataset_Wisata'!$A$12:$A$622, 0)))) * COS(RADIANS(C110)) * SIN(RADIANS((D110) - INDEX('Dataset_Wisata'!$D$12:$D$622, MATCH('Dashboard'!$C$9, 'Dataset_Wisata'!$A$12:$A$622, 0)))/2)^2)) * 1.3</f>
        <v/>
      </c>
      <c r="J110" s="21">
        <f>ROUND(I110 * IF('Dashboard'!$C$6&lt;=1, 2250, IF('Dashboard'!$C$6&lt;=4, 5150, 6000)), 0)</f>
        <v/>
      </c>
      <c r="K110" s="30" t="n">
        <v>0.9800529386550435</v>
      </c>
      <c r="L110" s="30" t="n">
        <v>0.01863901730741549</v>
      </c>
      <c r="M110" s="30" t="n">
        <v>0.001308044037540998</v>
      </c>
      <c r="N110" s="31">
        <f>ABS(E110-$F$6)</f>
        <v/>
      </c>
      <c r="O110" s="31">
        <f>ABS(E110-$F$7)</f>
        <v/>
      </c>
      <c r="P110" s="31">
        <f>ABS(E110-$F$8)</f>
        <v/>
      </c>
      <c r="Q110" s="14">
        <f>IF(K110&gt;=MAX(L110,M110), "Hemat", IF(L110&gt;=M110, "Balanced", "Premium"))</f>
        <v/>
      </c>
      <c r="R110" s="30" t="n">
        <v>0.9800529398761559</v>
      </c>
      <c r="S110" s="30" t="n">
        <v>0.01863901586968426</v>
      </c>
      <c r="T110" s="30" t="n">
        <v>0.001308044254159759</v>
      </c>
      <c r="U110" s="31">
        <f>ABS(E110-$G$6)</f>
        <v/>
      </c>
      <c r="V110" s="31">
        <f>ABS(E110-$G$7)</f>
        <v/>
      </c>
      <c r="W110" s="31">
        <f>ABS(E110-$G$8)</f>
        <v/>
      </c>
      <c r="X110" s="14">
        <f>IF(R110&gt;=MAX(S110,T110), "Hemat", IF(S110&gt;=T110, "Balanced", "Premium"))</f>
        <v/>
      </c>
    </row>
    <row r="111">
      <c r="A111" s="14" t="n">
        <v>102</v>
      </c>
      <c r="B111" s="7" t="inlineStr">
        <is>
          <t>Embung Peniwen</t>
        </is>
      </c>
      <c r="C111" s="26" t="n">
        <v>-8.0963125</v>
      </c>
      <c r="D111" s="26" t="n">
        <v>112.4719375</v>
      </c>
      <c r="E111" s="21" t="n">
        <v>2000</v>
      </c>
      <c r="F111" s="27" t="n">
        <v>4.5</v>
      </c>
      <c r="G111" s="28" t="n">
        <v>30</v>
      </c>
      <c r="H111" s="14" t="inlineStr">
        <is>
          <t>Tujuan Wisata · WF3C+FQ</t>
        </is>
      </c>
      <c r="I111" s="29">
        <f>6371 * 2 * ASIN(SQRT(SIN(RADIANS((C111) - INDEX('Dataset_Wisata'!$C$12:$C$622, MATCH('Dashboard'!$C$9, 'Dataset_Wisata'!$A$12:$A$622, 0)))/2)^2 + COS(RADIANS(INDEX('Dataset_Wisata'!$C$12:$C$622, MATCH('Dashboard'!$C$9, 'Dataset_Wisata'!$A$12:$A$622, 0)))) * COS(RADIANS(C111)) * SIN(RADIANS((D111) - INDEX('Dataset_Wisata'!$D$12:$D$622, MATCH('Dashboard'!$C$9, 'Dataset_Wisata'!$A$12:$A$622, 0)))/2)^2)) * 1.3</f>
        <v/>
      </c>
      <c r="J111" s="21">
        <f>ROUND(I111 * IF('Dashboard'!$C$6&lt;=1, 2250, IF('Dashboard'!$C$6&lt;=4, 5150, 6000)), 0)</f>
        <v/>
      </c>
      <c r="K111" s="30" t="n">
        <v>0.9745968037531486</v>
      </c>
      <c r="L111" s="30" t="n">
        <v>0.02368856650344644</v>
      </c>
      <c r="M111" s="30" t="n">
        <v>0.001714629743404906</v>
      </c>
      <c r="N111" s="31">
        <f>ABS(E111-$F$6)</f>
        <v/>
      </c>
      <c r="O111" s="31">
        <f>ABS(E111-$F$7)</f>
        <v/>
      </c>
      <c r="P111" s="31">
        <f>ABS(E111-$F$8)</f>
        <v/>
      </c>
      <c r="Q111" s="14">
        <f>IF(K111&gt;=MAX(L111,M111), "Hemat", IF(L111&gt;=M111, "Balanced", "Premium"))</f>
        <v/>
      </c>
      <c r="R111" s="30" t="n">
        <v>0.9745968058205632</v>
      </c>
      <c r="S111" s="30" t="n">
        <v>0.02368856419646389</v>
      </c>
      <c r="T111" s="30" t="n">
        <v>0.001714629982972894</v>
      </c>
      <c r="U111" s="31">
        <f>ABS(E111-$G$6)</f>
        <v/>
      </c>
      <c r="V111" s="31">
        <f>ABS(E111-$G$7)</f>
        <v/>
      </c>
      <c r="W111" s="31">
        <f>ABS(E111-$G$8)</f>
        <v/>
      </c>
      <c r="X111" s="14">
        <f>IF(R111&gt;=MAX(S111,T111), "Hemat", IF(S111&gt;=T111, "Balanced", "Premium"))</f>
        <v/>
      </c>
    </row>
    <row r="112">
      <c r="A112" s="14" t="n">
        <v>103</v>
      </c>
      <c r="B112" s="7" t="inlineStr">
        <is>
          <t>Taman Puspa Kepanjen</t>
        </is>
      </c>
      <c r="C112" s="26" t="n">
        <v>-8.105470199999999</v>
      </c>
      <c r="D112" s="26" t="n">
        <v>112.5657003</v>
      </c>
      <c r="E112" s="21" t="n">
        <v>5000</v>
      </c>
      <c r="F112" s="27" t="n">
        <v>4</v>
      </c>
      <c r="G112" s="28" t="n">
        <v>669</v>
      </c>
      <c r="H112" s="14" t="inlineStr">
        <is>
          <t>Taman Puspa Kepanjen</t>
        </is>
      </c>
      <c r="I112" s="29">
        <f>6371 * 2 * ASIN(SQRT(SIN(RADIANS((C112) - INDEX('Dataset_Wisata'!$C$12:$C$622, MATCH('Dashboard'!$C$9, 'Dataset_Wisata'!$A$12:$A$622, 0)))/2)^2 + COS(RADIANS(INDEX('Dataset_Wisata'!$C$12:$C$622, MATCH('Dashboard'!$C$9, 'Dataset_Wisata'!$A$12:$A$622, 0)))) * COS(RADIANS(C112)) * SIN(RADIANS((D112) - INDEX('Dataset_Wisata'!$D$12:$D$622, MATCH('Dashboard'!$C$9, 'Dataset_Wisata'!$A$12:$A$622, 0)))/2)^2)) * 1.3</f>
        <v/>
      </c>
      <c r="J112" s="21">
        <f>ROUND(I112 * IF('Dashboard'!$C$6&lt;=1, 2250, IF('Dashboard'!$C$6&lt;=4, 5150, 6000)), 0)</f>
        <v/>
      </c>
      <c r="K112" s="30" t="n">
        <v>0.9895566543895754</v>
      </c>
      <c r="L112" s="30" t="n">
        <v>0.009798611400025654</v>
      </c>
      <c r="M112" s="30" t="n">
        <v>0.0006447342103988783</v>
      </c>
      <c r="N112" s="31">
        <f>ABS(E112-$F$6)</f>
        <v/>
      </c>
      <c r="O112" s="31">
        <f>ABS(E112-$F$7)</f>
        <v/>
      </c>
      <c r="P112" s="31">
        <f>ABS(E112-$F$8)</f>
        <v/>
      </c>
      <c r="Q112" s="14">
        <f>IF(K112&gt;=MAX(L112,M112), "Hemat", IF(L112&gt;=M112, "Balanced", "Premium"))</f>
        <v/>
      </c>
      <c r="R112" s="30" t="n">
        <v>0.9895566542341836</v>
      </c>
      <c r="S112" s="30" t="n">
        <v>0.00979861139170024</v>
      </c>
      <c r="T112" s="30" t="n">
        <v>0.00064473437411607</v>
      </c>
      <c r="U112" s="31">
        <f>ABS(E112-$G$6)</f>
        <v/>
      </c>
      <c r="V112" s="31">
        <f>ABS(E112-$G$7)</f>
        <v/>
      </c>
      <c r="W112" s="31">
        <f>ABS(E112-$G$8)</f>
        <v/>
      </c>
      <c r="X112" s="14">
        <f>IF(R112&gt;=MAX(S112,T112), "Hemat", IF(S112&gt;=T112, "Balanced", "Premium"))</f>
        <v/>
      </c>
    </row>
    <row r="113">
      <c r="A113" s="14" t="n">
        <v>104</v>
      </c>
      <c r="B113" s="7" t="inlineStr">
        <is>
          <t>Sumber Alam Ambya'an Desa Wisata Jambuwer</t>
        </is>
      </c>
      <c r="C113" s="26" t="n">
        <v>-8.088983499999999</v>
      </c>
      <c r="D113" s="26" t="n">
        <v>112.4644393</v>
      </c>
      <c r="E113" s="21" t="n">
        <v>5000</v>
      </c>
      <c r="F113" s="27" t="n">
        <v>4.5</v>
      </c>
      <c r="G113" s="28" t="n">
        <v>23</v>
      </c>
      <c r="H113" s="14" t="inlineStr">
        <is>
          <t>Wisata Umum</t>
        </is>
      </c>
      <c r="I113" s="29">
        <f>6371 * 2 * ASIN(SQRT(SIN(RADIANS((C113) - INDEX('Dataset_Wisata'!$C$12:$C$622, MATCH('Dashboard'!$C$9, 'Dataset_Wisata'!$A$12:$A$622, 0)))/2)^2 + COS(RADIANS(INDEX('Dataset_Wisata'!$C$12:$C$622, MATCH('Dashboard'!$C$9, 'Dataset_Wisata'!$A$12:$A$622, 0)))) * COS(RADIANS(C113)) * SIN(RADIANS((D113) - INDEX('Dataset_Wisata'!$D$12:$D$622, MATCH('Dashboard'!$C$9, 'Dataset_Wisata'!$A$12:$A$622, 0)))/2)^2)) * 1.3</f>
        <v/>
      </c>
      <c r="J113" s="21">
        <f>ROUND(I113 * IF('Dashboard'!$C$6&lt;=1, 2250, IF('Dashboard'!$C$6&lt;=4, 5150, 6000)), 0)</f>
        <v/>
      </c>
      <c r="K113" s="30" t="n">
        <v>0.9895566543895754</v>
      </c>
      <c r="L113" s="30" t="n">
        <v>0.009798611400025654</v>
      </c>
      <c r="M113" s="30" t="n">
        <v>0.0006447342103988783</v>
      </c>
      <c r="N113" s="31">
        <f>ABS(E113-$F$6)</f>
        <v/>
      </c>
      <c r="O113" s="31">
        <f>ABS(E113-$F$7)</f>
        <v/>
      </c>
      <c r="P113" s="31">
        <f>ABS(E113-$F$8)</f>
        <v/>
      </c>
      <c r="Q113" s="14">
        <f>IF(K113&gt;=MAX(L113,M113), "Hemat", IF(L113&gt;=M113, "Balanced", "Premium"))</f>
        <v/>
      </c>
      <c r="R113" s="30" t="n">
        <v>0.9895566542341836</v>
      </c>
      <c r="S113" s="30" t="n">
        <v>0.00979861139170024</v>
      </c>
      <c r="T113" s="30" t="n">
        <v>0.00064473437411607</v>
      </c>
      <c r="U113" s="31">
        <f>ABS(E113-$G$6)</f>
        <v/>
      </c>
      <c r="V113" s="31">
        <f>ABS(E113-$G$7)</f>
        <v/>
      </c>
      <c r="W113" s="31">
        <f>ABS(E113-$G$8)</f>
        <v/>
      </c>
      <c r="X113" s="14">
        <f>IF(R113&gt;=MAX(S113,T113), "Hemat", IF(S113&gt;=T113, "Balanced", "Premium"))</f>
        <v/>
      </c>
    </row>
    <row r="114">
      <c r="A114" s="14" t="n">
        <v>105</v>
      </c>
      <c r="B114" s="7" t="inlineStr">
        <is>
          <t>Desa Wisata Bangelan</t>
        </is>
      </c>
      <c r="C114" s="26" t="n">
        <v>-8.1015947</v>
      </c>
      <c r="D114" s="26" t="n">
        <v>112.4943446</v>
      </c>
      <c r="E114" s="21" t="n">
        <v>5000</v>
      </c>
      <c r="F114" s="27" t="n">
        <v>4.2</v>
      </c>
      <c r="G114" s="28" t="n">
        <v>151</v>
      </c>
      <c r="H114" s="14" t="inlineStr">
        <is>
          <t>Desa Wisata Bangelan</t>
        </is>
      </c>
      <c r="I114" s="29">
        <f>6371 * 2 * ASIN(SQRT(SIN(RADIANS((C114) - INDEX('Dataset_Wisata'!$C$12:$C$622, MATCH('Dashboard'!$C$9, 'Dataset_Wisata'!$A$12:$A$622, 0)))/2)^2 + COS(RADIANS(INDEX('Dataset_Wisata'!$C$12:$C$622, MATCH('Dashboard'!$C$9, 'Dataset_Wisata'!$A$12:$A$622, 0)))) * COS(RADIANS(C114)) * SIN(RADIANS((D114) - INDEX('Dataset_Wisata'!$D$12:$D$622, MATCH('Dashboard'!$C$9, 'Dataset_Wisata'!$A$12:$A$622, 0)))/2)^2)) * 1.3</f>
        <v/>
      </c>
      <c r="J114" s="21">
        <f>ROUND(I114 * IF('Dashboard'!$C$6&lt;=1, 2250, IF('Dashboard'!$C$6&lt;=4, 5150, 6000)), 0)</f>
        <v/>
      </c>
      <c r="K114" s="30" t="n">
        <v>0.9895566543895754</v>
      </c>
      <c r="L114" s="30" t="n">
        <v>0.009798611400025654</v>
      </c>
      <c r="M114" s="30" t="n">
        <v>0.0006447342103988783</v>
      </c>
      <c r="N114" s="31">
        <f>ABS(E114-$F$6)</f>
        <v/>
      </c>
      <c r="O114" s="31">
        <f>ABS(E114-$F$7)</f>
        <v/>
      </c>
      <c r="P114" s="31">
        <f>ABS(E114-$F$8)</f>
        <v/>
      </c>
      <c r="Q114" s="14">
        <f>IF(K114&gt;=MAX(L114,M114), "Hemat", IF(L114&gt;=M114, "Balanced", "Premium"))</f>
        <v/>
      </c>
      <c r="R114" s="30" t="n">
        <v>0.9895566542341836</v>
      </c>
      <c r="S114" s="30" t="n">
        <v>0.00979861139170024</v>
      </c>
      <c r="T114" s="30" t="n">
        <v>0.00064473437411607</v>
      </c>
      <c r="U114" s="31">
        <f>ABS(E114-$G$6)</f>
        <v/>
      </c>
      <c r="V114" s="31">
        <f>ABS(E114-$G$7)</f>
        <v/>
      </c>
      <c r="W114" s="31">
        <f>ABS(E114-$G$8)</f>
        <v/>
      </c>
      <c r="X114" s="14">
        <f>IF(R114&gt;=MAX(S114,T114), "Hemat", IF(S114&gt;=T114, "Balanced", "Premium"))</f>
        <v/>
      </c>
    </row>
    <row r="115">
      <c r="A115" s="14" t="n">
        <v>106</v>
      </c>
      <c r="B115" s="7" t="inlineStr">
        <is>
          <t>Wisata alam Lembah Ken Arok</t>
        </is>
      </c>
      <c r="C115" s="26" t="n">
        <v>-8.030439299999999</v>
      </c>
      <c r="D115" s="26" t="n">
        <v>112.5645138</v>
      </c>
      <c r="E115" s="21" t="n">
        <v>20000</v>
      </c>
      <c r="F115" s="27" t="n">
        <v>4.3</v>
      </c>
      <c r="G115" s="28" t="n">
        <v>151</v>
      </c>
      <c r="H115" s="14" t="inlineStr">
        <is>
          <t>Wisata alam Lembah Ken Arok</t>
        </is>
      </c>
      <c r="I115" s="29">
        <f>6371 * 2 * ASIN(SQRT(SIN(RADIANS((C115) - INDEX('Dataset_Wisata'!$C$12:$C$622, MATCH('Dashboard'!$C$9, 'Dataset_Wisata'!$A$12:$A$622, 0)))/2)^2 + COS(RADIANS(INDEX('Dataset_Wisata'!$C$12:$C$622, MATCH('Dashboard'!$C$9, 'Dataset_Wisata'!$A$12:$A$622, 0)))) * COS(RADIANS(C115)) * SIN(RADIANS((D115) - INDEX('Dataset_Wisata'!$D$12:$D$622, MATCH('Dashboard'!$C$9, 'Dataset_Wisata'!$A$12:$A$622, 0)))/2)^2)) * 1.3</f>
        <v/>
      </c>
      <c r="J115" s="21">
        <f>ROUND(I115 * IF('Dashboard'!$C$6&lt;=1, 2250, IF('Dashboard'!$C$6&lt;=4, 5150, 6000)), 0)</f>
        <v/>
      </c>
      <c r="K115" s="30" t="n">
        <v>0.8862296979094436</v>
      </c>
      <c r="L115" s="30" t="n">
        <v>0.1099329410905347</v>
      </c>
      <c r="M115" s="30" t="n">
        <v>0.003837361000021699</v>
      </c>
      <c r="N115" s="31">
        <f>ABS(E115-$F$6)</f>
        <v/>
      </c>
      <c r="O115" s="31">
        <f>ABS(E115-$F$7)</f>
        <v/>
      </c>
      <c r="P115" s="31">
        <f>ABS(E115-$F$8)</f>
        <v/>
      </c>
      <c r="Q115" s="14">
        <f>IF(K115&gt;=MAX(L115,M115), "Hemat", IF(L115&gt;=M115, "Balanced", "Premium"))</f>
        <v/>
      </c>
      <c r="R115" s="30" t="n">
        <v>0.8862297532761809</v>
      </c>
      <c r="S115" s="30" t="n">
        <v>0.1099328861159962</v>
      </c>
      <c r="T115" s="30" t="n">
        <v>0.003837360607822898</v>
      </c>
      <c r="U115" s="31">
        <f>ABS(E115-$G$6)</f>
        <v/>
      </c>
      <c r="V115" s="31">
        <f>ABS(E115-$G$7)</f>
        <v/>
      </c>
      <c r="W115" s="31">
        <f>ABS(E115-$G$8)</f>
        <v/>
      </c>
      <c r="X115" s="14">
        <f>IF(R115&gt;=MAX(S115,T115), "Hemat", IF(S115&gt;=T115, "Balanced", "Premium"))</f>
        <v/>
      </c>
    </row>
    <row r="116">
      <c r="A116" s="14" t="n">
        <v>107</v>
      </c>
      <c r="B116" s="7" t="inlineStr">
        <is>
          <t>Keraton Gunung Kawi</t>
        </is>
      </c>
      <c r="C116" s="26" t="n">
        <v>-8.0027708</v>
      </c>
      <c r="D116" s="26" t="n">
        <v>112.4860023</v>
      </c>
      <c r="E116" s="21" t="n">
        <v>10000</v>
      </c>
      <c r="F116" s="27" t="n">
        <v>4.4</v>
      </c>
      <c r="G116" s="28" t="n">
        <v>1387</v>
      </c>
      <c r="H116" s="14" t="inlineStr">
        <is>
          <t>Keraton Gunung Kawi</t>
        </is>
      </c>
      <c r="I116" s="29">
        <f>6371 * 2 * ASIN(SQRT(SIN(RADIANS((C116) - INDEX('Dataset_Wisata'!$C$12:$C$622, MATCH('Dashboard'!$C$9, 'Dataset_Wisata'!$A$12:$A$622, 0)))/2)^2 + COS(RADIANS(INDEX('Dataset_Wisata'!$C$12:$C$622, MATCH('Dashboard'!$C$9, 'Dataset_Wisata'!$A$12:$A$622, 0)))) * COS(RADIANS(C116)) * SIN(RADIANS((D116) - INDEX('Dataset_Wisata'!$D$12:$D$622, MATCH('Dashboard'!$C$9, 'Dataset_Wisata'!$A$12:$A$622, 0)))/2)^2)) * 1.3</f>
        <v/>
      </c>
      <c r="J116" s="21">
        <f>ROUND(I116 * IF('Dashboard'!$C$6&lt;=1, 2250, IF('Dashboard'!$C$6&lt;=4, 5150, 6000)), 0)</f>
        <v/>
      </c>
      <c r="K116" s="30" t="n">
        <v>0.9998126508185596</v>
      </c>
      <c r="L116" s="30" t="n">
        <v>0.0001775718391516968</v>
      </c>
      <c r="M116" s="30" t="n">
        <v>9.7773422886897e-06</v>
      </c>
      <c r="N116" s="31">
        <f>ABS(E116-$F$6)</f>
        <v/>
      </c>
      <c r="O116" s="31">
        <f>ABS(E116-$F$7)</f>
        <v/>
      </c>
      <c r="P116" s="31">
        <f>ABS(E116-$F$8)</f>
        <v/>
      </c>
      <c r="Q116" s="14">
        <f>IF(K116&gt;=MAX(L116,M116), "Hemat", IF(L116&gt;=M116, "Balanced", "Premium"))</f>
        <v/>
      </c>
      <c r="R116" s="30" t="n">
        <v>0.9998126513362043</v>
      </c>
      <c r="S116" s="30" t="n">
        <v>0.0001775713458315561</v>
      </c>
      <c r="T116" s="30" t="n">
        <v>9.777317964159987e-06</v>
      </c>
      <c r="U116" s="31">
        <f>ABS(E116-$G$6)</f>
        <v/>
      </c>
      <c r="V116" s="31">
        <f>ABS(E116-$G$7)</f>
        <v/>
      </c>
      <c r="W116" s="31">
        <f>ABS(E116-$G$8)</f>
        <v/>
      </c>
      <c r="X116" s="14">
        <f>IF(R116&gt;=MAX(S116,T116), "Hemat", IF(S116&gt;=T116, "Balanced", "Premium"))</f>
        <v/>
      </c>
    </row>
    <row r="117">
      <c r="A117" s="14" t="n">
        <v>108</v>
      </c>
      <c r="B117" s="7" t="inlineStr">
        <is>
          <t>Wisata Agro Selo Tumpeng (ꦮꦶꦱꦠꦱꦺꦭꦠꦸꦩ꧀ꦥꦁ)</t>
        </is>
      </c>
      <c r="C117" s="26" t="n">
        <v>-8.028335800000001</v>
      </c>
      <c r="D117" s="26" t="n">
        <v>112.4874322</v>
      </c>
      <c r="E117" s="21" t="n">
        <v>10000</v>
      </c>
      <c r="F117" s="27" t="n">
        <v>4.1</v>
      </c>
      <c r="G117" s="28" t="n">
        <v>129</v>
      </c>
      <c r="H117" s="14" t="inlineStr">
        <is>
          <t>Wisata Agro Selo Tumpeng (ꦮꦶꦱꦠꦱꦺꦭꦠꦸꦩ꧀ꦥꦁ)</t>
        </is>
      </c>
      <c r="I117" s="29">
        <f>6371 * 2 * ASIN(SQRT(SIN(RADIANS((C117) - INDEX('Dataset_Wisata'!$C$12:$C$622, MATCH('Dashboard'!$C$9, 'Dataset_Wisata'!$A$12:$A$622, 0)))/2)^2 + COS(RADIANS(INDEX('Dataset_Wisata'!$C$12:$C$622, MATCH('Dashboard'!$C$9, 'Dataset_Wisata'!$A$12:$A$622, 0)))) * COS(RADIANS(C117)) * SIN(RADIANS((D117) - INDEX('Dataset_Wisata'!$D$12:$D$622, MATCH('Dashboard'!$C$9, 'Dataset_Wisata'!$A$12:$A$622, 0)))/2)^2)) * 1.3</f>
        <v/>
      </c>
      <c r="J117" s="21">
        <f>ROUND(I117 * IF('Dashboard'!$C$6&lt;=1, 2250, IF('Dashboard'!$C$6&lt;=4, 5150, 6000)), 0)</f>
        <v/>
      </c>
      <c r="K117" s="30" t="n">
        <v>0.9998126508185596</v>
      </c>
      <c r="L117" s="30" t="n">
        <v>0.0001775718391516968</v>
      </c>
      <c r="M117" s="30" t="n">
        <v>9.7773422886897e-06</v>
      </c>
      <c r="N117" s="31">
        <f>ABS(E117-$F$6)</f>
        <v/>
      </c>
      <c r="O117" s="31">
        <f>ABS(E117-$F$7)</f>
        <v/>
      </c>
      <c r="P117" s="31">
        <f>ABS(E117-$F$8)</f>
        <v/>
      </c>
      <c r="Q117" s="14">
        <f>IF(K117&gt;=MAX(L117,M117), "Hemat", IF(L117&gt;=M117, "Balanced", "Premium"))</f>
        <v/>
      </c>
      <c r="R117" s="30" t="n">
        <v>0.9998126513362043</v>
      </c>
      <c r="S117" s="30" t="n">
        <v>0.0001775713458315561</v>
      </c>
      <c r="T117" s="30" t="n">
        <v>9.777317964159987e-06</v>
      </c>
      <c r="U117" s="31">
        <f>ABS(E117-$G$6)</f>
        <v/>
      </c>
      <c r="V117" s="31">
        <f>ABS(E117-$G$7)</f>
        <v/>
      </c>
      <c r="W117" s="31">
        <f>ABS(E117-$G$8)</f>
        <v/>
      </c>
      <c r="X117" s="14">
        <f>IF(R117&gt;=MAX(S117,T117), "Hemat", IF(S117&gt;=T117, "Balanced", "Premium"))</f>
        <v/>
      </c>
    </row>
    <row r="118">
      <c r="A118" s="14" t="n">
        <v>109</v>
      </c>
      <c r="B118" s="7" t="inlineStr">
        <is>
          <t>Coban Baung ꦕꦺꦴꦧꦤ꧀ꦧꦈꦁ</t>
        </is>
      </c>
      <c r="C118" s="26" t="n">
        <v>-8.032181100000001</v>
      </c>
      <c r="D118" s="26" t="n">
        <v>112.5000568</v>
      </c>
      <c r="E118" s="21" t="n">
        <v>5000</v>
      </c>
      <c r="F118" s="27" t="n">
        <v>4.3</v>
      </c>
      <c r="G118" s="28" t="n">
        <v>112</v>
      </c>
      <c r="H118" s="14" t="inlineStr">
        <is>
          <t>Wisata Umum</t>
        </is>
      </c>
      <c r="I118" s="29">
        <f>6371 * 2 * ASIN(SQRT(SIN(RADIANS((C118) - INDEX('Dataset_Wisata'!$C$12:$C$622, MATCH('Dashboard'!$C$9, 'Dataset_Wisata'!$A$12:$A$622, 0)))/2)^2 + COS(RADIANS(INDEX('Dataset_Wisata'!$C$12:$C$622, MATCH('Dashboard'!$C$9, 'Dataset_Wisata'!$A$12:$A$622, 0)))) * COS(RADIANS(C118)) * SIN(RADIANS((D118) - INDEX('Dataset_Wisata'!$D$12:$D$622, MATCH('Dashboard'!$C$9, 'Dataset_Wisata'!$A$12:$A$622, 0)))/2)^2)) * 1.3</f>
        <v/>
      </c>
      <c r="J118" s="21">
        <f>ROUND(I118 * IF('Dashboard'!$C$6&lt;=1, 2250, IF('Dashboard'!$C$6&lt;=4, 5150, 6000)), 0)</f>
        <v/>
      </c>
      <c r="K118" s="30" t="n">
        <v>0.9895566543895754</v>
      </c>
      <c r="L118" s="30" t="n">
        <v>0.009798611400025654</v>
      </c>
      <c r="M118" s="30" t="n">
        <v>0.0006447342103988783</v>
      </c>
      <c r="N118" s="31">
        <f>ABS(E118-$F$6)</f>
        <v/>
      </c>
      <c r="O118" s="31">
        <f>ABS(E118-$F$7)</f>
        <v/>
      </c>
      <c r="P118" s="31">
        <f>ABS(E118-$F$8)</f>
        <v/>
      </c>
      <c r="Q118" s="14">
        <f>IF(K118&gt;=MAX(L118,M118), "Hemat", IF(L118&gt;=M118, "Balanced", "Premium"))</f>
        <v/>
      </c>
      <c r="R118" s="30" t="n">
        <v>0.9895566542341836</v>
      </c>
      <c r="S118" s="30" t="n">
        <v>0.00979861139170024</v>
      </c>
      <c r="T118" s="30" t="n">
        <v>0.00064473437411607</v>
      </c>
      <c r="U118" s="31">
        <f>ABS(E118-$G$6)</f>
        <v/>
      </c>
      <c r="V118" s="31">
        <f>ABS(E118-$G$7)</f>
        <v/>
      </c>
      <c r="W118" s="31">
        <f>ABS(E118-$G$8)</f>
        <v/>
      </c>
      <c r="X118" s="14">
        <f>IF(R118&gt;=MAX(S118,T118), "Hemat", IF(S118&gt;=T118, "Balanced", "Premium"))</f>
        <v/>
      </c>
    </row>
    <row r="119">
      <c r="A119" s="14" t="n">
        <v>110</v>
      </c>
      <c r="B119" s="7" t="inlineStr">
        <is>
          <t>HUTAN KAWI &amp; BASECAMP PUNCAK BATU TULIS</t>
        </is>
      </c>
      <c r="C119" s="26" t="n">
        <v>-8.0005001</v>
      </c>
      <c r="D119" s="26" t="n">
        <v>112.5083635</v>
      </c>
      <c r="E119" s="21" t="n">
        <v>7000</v>
      </c>
      <c r="F119" s="27" t="n">
        <v>4.4</v>
      </c>
      <c r="G119" s="28" t="n">
        <v>1190</v>
      </c>
      <c r="H119" s="14" t="inlineStr">
        <is>
          <t>Wisata Umum</t>
        </is>
      </c>
      <c r="I119" s="29">
        <f>6371 * 2 * ASIN(SQRT(SIN(RADIANS((C119) - INDEX('Dataset_Wisata'!$C$12:$C$622, MATCH('Dashboard'!$C$9, 'Dataset_Wisata'!$A$12:$A$622, 0)))/2)^2 + COS(RADIANS(INDEX('Dataset_Wisata'!$C$12:$C$622, MATCH('Dashboard'!$C$9, 'Dataset_Wisata'!$A$12:$A$622, 0)))) * COS(RADIANS(C119)) * SIN(RADIANS((D119) - INDEX('Dataset_Wisata'!$D$12:$D$622, MATCH('Dashboard'!$C$9, 'Dataset_Wisata'!$A$12:$A$622, 0)))/2)^2)) * 1.3</f>
        <v/>
      </c>
      <c r="J119" s="21">
        <f>ROUND(I119 * IF('Dashboard'!$C$6&lt;=1, 2250, IF('Dashboard'!$C$6&lt;=4, 5150, 6000)), 0)</f>
        <v/>
      </c>
      <c r="K119" s="30" t="n">
        <v>0.9964990922780733</v>
      </c>
      <c r="L119" s="30" t="n">
        <v>0.003298187596112103</v>
      </c>
      <c r="M119" s="30" t="n">
        <v>0.0002027201258145054</v>
      </c>
      <c r="N119" s="31">
        <f>ABS(E119-$F$6)</f>
        <v/>
      </c>
      <c r="O119" s="31">
        <f>ABS(E119-$F$7)</f>
        <v/>
      </c>
      <c r="P119" s="31">
        <f>ABS(E119-$F$8)</f>
        <v/>
      </c>
      <c r="Q119" s="14">
        <f>IF(K119&gt;=MAX(L119,M119), "Hemat", IF(L119&gt;=M119, "Balanced", "Premium"))</f>
        <v/>
      </c>
      <c r="R119" s="30" t="n">
        <v>0.9964990914496938</v>
      </c>
      <c r="S119" s="30" t="n">
        <v>0.003298188325346893</v>
      </c>
      <c r="T119" s="30" t="n">
        <v>0.000202720224959229</v>
      </c>
      <c r="U119" s="31">
        <f>ABS(E119-$G$6)</f>
        <v/>
      </c>
      <c r="V119" s="31">
        <f>ABS(E119-$G$7)</f>
        <v/>
      </c>
      <c r="W119" s="31">
        <f>ABS(E119-$G$8)</f>
        <v/>
      </c>
      <c r="X119" s="14">
        <f>IF(R119&gt;=MAX(S119,T119), "Hemat", IF(S119&gt;=T119, "Balanced", "Premium"))</f>
        <v/>
      </c>
    </row>
    <row r="120">
      <c r="A120" s="14" t="n">
        <v>111</v>
      </c>
      <c r="B120" s="7" t="inlineStr">
        <is>
          <t>Coban Baung</t>
        </is>
      </c>
      <c r="C120" s="26" t="n">
        <v>-8.028873600000001</v>
      </c>
      <c r="D120" s="26" t="n">
        <v>112.4981298</v>
      </c>
      <c r="E120" s="21" t="n">
        <v>5000</v>
      </c>
      <c r="F120" s="27" t="n">
        <v>4.2</v>
      </c>
      <c r="G120" s="28" t="n">
        <v>195</v>
      </c>
      <c r="H120" s="14" t="inlineStr">
        <is>
          <t>Wisata Umum</t>
        </is>
      </c>
      <c r="I120" s="29">
        <f>6371 * 2 * ASIN(SQRT(SIN(RADIANS((C120) - INDEX('Dataset_Wisata'!$C$12:$C$622, MATCH('Dashboard'!$C$9, 'Dataset_Wisata'!$A$12:$A$622, 0)))/2)^2 + COS(RADIANS(INDEX('Dataset_Wisata'!$C$12:$C$622, MATCH('Dashboard'!$C$9, 'Dataset_Wisata'!$A$12:$A$622, 0)))) * COS(RADIANS(C120)) * SIN(RADIANS((D120) - INDEX('Dataset_Wisata'!$D$12:$D$622, MATCH('Dashboard'!$C$9, 'Dataset_Wisata'!$A$12:$A$622, 0)))/2)^2)) * 1.3</f>
        <v/>
      </c>
      <c r="J120" s="21">
        <f>ROUND(I120 * IF('Dashboard'!$C$6&lt;=1, 2250, IF('Dashboard'!$C$6&lt;=4, 5150, 6000)), 0)</f>
        <v/>
      </c>
      <c r="K120" s="30" t="n">
        <v>0.9895566543895754</v>
      </c>
      <c r="L120" s="30" t="n">
        <v>0.009798611400025654</v>
      </c>
      <c r="M120" s="30" t="n">
        <v>0.0006447342103988783</v>
      </c>
      <c r="N120" s="31">
        <f>ABS(E120-$F$6)</f>
        <v/>
      </c>
      <c r="O120" s="31">
        <f>ABS(E120-$F$7)</f>
        <v/>
      </c>
      <c r="P120" s="31">
        <f>ABS(E120-$F$8)</f>
        <v/>
      </c>
      <c r="Q120" s="14">
        <f>IF(K120&gt;=MAX(L120,M120), "Hemat", IF(L120&gt;=M120, "Balanced", "Premium"))</f>
        <v/>
      </c>
      <c r="R120" s="30" t="n">
        <v>0.9895566542341836</v>
      </c>
      <c r="S120" s="30" t="n">
        <v>0.00979861139170024</v>
      </c>
      <c r="T120" s="30" t="n">
        <v>0.00064473437411607</v>
      </c>
      <c r="U120" s="31">
        <f>ABS(E120-$G$6)</f>
        <v/>
      </c>
      <c r="V120" s="31">
        <f>ABS(E120-$G$7)</f>
        <v/>
      </c>
      <c r="W120" s="31">
        <f>ABS(E120-$G$8)</f>
        <v/>
      </c>
      <c r="X120" s="14">
        <f>IF(R120&gt;=MAX(S120,T120), "Hemat", IF(S120&gt;=T120, "Balanced", "Premium"))</f>
        <v/>
      </c>
    </row>
    <row r="121">
      <c r="A121" s="14" t="n">
        <v>112</v>
      </c>
      <c r="B121" s="7" t="inlineStr">
        <is>
          <t>WISATA AIR SUMBER UMBULAN</t>
        </is>
      </c>
      <c r="C121" s="26" t="n">
        <v>-8.048190699999999</v>
      </c>
      <c r="D121" s="26" t="n">
        <v>112.5279553</v>
      </c>
      <c r="E121" s="21" t="n">
        <v>2000</v>
      </c>
      <c r="F121" s="27" t="n">
        <v>4.9</v>
      </c>
      <c r="G121" s="28" t="n">
        <v>31</v>
      </c>
      <c r="H121" s="14" t="inlineStr">
        <is>
          <t>WISATA AIR SUMBER UMBULAN</t>
        </is>
      </c>
      <c r="I121" s="29">
        <f>6371 * 2 * ASIN(SQRT(SIN(RADIANS((C121) - INDEX('Dataset_Wisata'!$C$12:$C$622, MATCH('Dashboard'!$C$9, 'Dataset_Wisata'!$A$12:$A$622, 0)))/2)^2 + COS(RADIANS(INDEX('Dataset_Wisata'!$C$12:$C$622, MATCH('Dashboard'!$C$9, 'Dataset_Wisata'!$A$12:$A$622, 0)))) * COS(RADIANS(C121)) * SIN(RADIANS((D121) - INDEX('Dataset_Wisata'!$D$12:$D$622, MATCH('Dashboard'!$C$9, 'Dataset_Wisata'!$A$12:$A$622, 0)))/2)^2)) * 1.3</f>
        <v/>
      </c>
      <c r="J121" s="21">
        <f>ROUND(I121 * IF('Dashboard'!$C$6&lt;=1, 2250, IF('Dashboard'!$C$6&lt;=4, 5150, 6000)), 0)</f>
        <v/>
      </c>
      <c r="K121" s="30" t="n">
        <v>0.9745968037531486</v>
      </c>
      <c r="L121" s="30" t="n">
        <v>0.02368856650344644</v>
      </c>
      <c r="M121" s="30" t="n">
        <v>0.001714629743404906</v>
      </c>
      <c r="N121" s="31">
        <f>ABS(E121-$F$6)</f>
        <v/>
      </c>
      <c r="O121" s="31">
        <f>ABS(E121-$F$7)</f>
        <v/>
      </c>
      <c r="P121" s="31">
        <f>ABS(E121-$F$8)</f>
        <v/>
      </c>
      <c r="Q121" s="14">
        <f>IF(K121&gt;=MAX(L121,M121), "Hemat", IF(L121&gt;=M121, "Balanced", "Premium"))</f>
        <v/>
      </c>
      <c r="R121" s="30" t="n">
        <v>0.9745968058205632</v>
      </c>
      <c r="S121" s="30" t="n">
        <v>0.02368856419646389</v>
      </c>
      <c r="T121" s="30" t="n">
        <v>0.001714629982972894</v>
      </c>
      <c r="U121" s="31">
        <f>ABS(E121-$G$6)</f>
        <v/>
      </c>
      <c r="V121" s="31">
        <f>ABS(E121-$G$7)</f>
        <v/>
      </c>
      <c r="W121" s="31">
        <f>ABS(E121-$G$8)</f>
        <v/>
      </c>
      <c r="X121" s="14">
        <f>IF(R121&gt;=MAX(S121,T121), "Hemat", IF(S121&gt;=T121, "Balanced", "Premium"))</f>
        <v/>
      </c>
    </row>
    <row r="122">
      <c r="A122" s="14" t="n">
        <v>113</v>
      </c>
      <c r="B122" s="7" t="inlineStr">
        <is>
          <t>Air Terjun Coban Glotak</t>
        </is>
      </c>
      <c r="C122" s="26" t="n">
        <v>-7.9821112</v>
      </c>
      <c r="D122" s="26" t="n">
        <v>112.5211667</v>
      </c>
      <c r="E122" s="21" t="n">
        <v>4000</v>
      </c>
      <c r="F122" s="27" t="n">
        <v>4.5</v>
      </c>
      <c r="G122" s="28" t="n">
        <v>995</v>
      </c>
      <c r="H122" s="14" t="inlineStr">
        <is>
          <t>Wisata Umum</t>
        </is>
      </c>
      <c r="I122" s="29">
        <f>6371 * 2 * ASIN(SQRT(SIN(RADIANS((C122) - INDEX('Dataset_Wisata'!$C$12:$C$622, MATCH('Dashboard'!$C$9, 'Dataset_Wisata'!$A$12:$A$622, 0)))/2)^2 + COS(RADIANS(INDEX('Dataset_Wisata'!$C$12:$C$622, MATCH('Dashboard'!$C$9, 'Dataset_Wisata'!$A$12:$A$622, 0)))) * COS(RADIANS(C122)) * SIN(RADIANS((D122) - INDEX('Dataset_Wisata'!$D$12:$D$622, MATCH('Dashboard'!$C$9, 'Dataset_Wisata'!$A$12:$A$622, 0)))/2)^2)) * 1.3</f>
        <v/>
      </c>
      <c r="J122" s="21">
        <f>ROUND(I122 * IF('Dashboard'!$C$6&lt;=1, 2250, IF('Dashboard'!$C$6&lt;=4, 5150, 6000)), 0)</f>
        <v/>
      </c>
      <c r="K122" s="30" t="n">
        <v>0.9850704495082249</v>
      </c>
      <c r="L122" s="30" t="n">
        <v>0.01397920321249498</v>
      </c>
      <c r="M122" s="30" t="n">
        <v>0.0009503472792801274</v>
      </c>
      <c r="N122" s="31">
        <f>ABS(E122-$F$6)</f>
        <v/>
      </c>
      <c r="O122" s="31">
        <f>ABS(E122-$F$7)</f>
        <v/>
      </c>
      <c r="P122" s="31">
        <f>ABS(E122-$F$8)</f>
        <v/>
      </c>
      <c r="Q122" s="14">
        <f>IF(K122&gt;=MAX(L122,M122), "Hemat", IF(L122&gt;=M122, "Balanced", "Premium"))</f>
        <v/>
      </c>
      <c r="R122" s="30" t="n">
        <v>0.9850704499761633</v>
      </c>
      <c r="S122" s="30" t="n">
        <v>0.01397920255310339</v>
      </c>
      <c r="T122" s="30" t="n">
        <v>0.0009503474707333068</v>
      </c>
      <c r="U122" s="31">
        <f>ABS(E122-$G$6)</f>
        <v/>
      </c>
      <c r="V122" s="31">
        <f>ABS(E122-$G$7)</f>
        <v/>
      </c>
      <c r="W122" s="31">
        <f>ABS(E122-$G$8)</f>
        <v/>
      </c>
      <c r="X122" s="14">
        <f>IF(R122&gt;=MAX(S122,T122), "Hemat", IF(S122&gt;=T122, "Balanced", "Premium"))</f>
        <v/>
      </c>
    </row>
    <row r="123">
      <c r="A123" s="14" t="n">
        <v>114</v>
      </c>
      <c r="B123" s="7" t="inlineStr">
        <is>
          <t>Wisata Alam Lembah Gunung Sari Desa Kucur</t>
        </is>
      </c>
      <c r="C123" s="26" t="n">
        <v>-7.9630258</v>
      </c>
      <c r="D123" s="26" t="n">
        <v>112.5556656</v>
      </c>
      <c r="E123" s="21" t="n">
        <v>10000</v>
      </c>
      <c r="F123" s="27" t="n">
        <v>4.5</v>
      </c>
      <c r="G123" s="28" t="n">
        <v>439</v>
      </c>
      <c r="H123" s="14" t="inlineStr">
        <is>
          <t>Wisata Umum</t>
        </is>
      </c>
      <c r="I123" s="29">
        <f>6371 * 2 * ASIN(SQRT(SIN(RADIANS((C123) - INDEX('Dataset_Wisata'!$C$12:$C$622, MATCH('Dashboard'!$C$9, 'Dataset_Wisata'!$A$12:$A$622, 0)))/2)^2 + COS(RADIANS(INDEX('Dataset_Wisata'!$C$12:$C$622, MATCH('Dashboard'!$C$9, 'Dataset_Wisata'!$A$12:$A$622, 0)))) * COS(RADIANS(C123)) * SIN(RADIANS((D123) - INDEX('Dataset_Wisata'!$D$12:$D$622, MATCH('Dashboard'!$C$9, 'Dataset_Wisata'!$A$12:$A$622, 0)))/2)^2)) * 1.3</f>
        <v/>
      </c>
      <c r="J123" s="21">
        <f>ROUND(I123 * IF('Dashboard'!$C$6&lt;=1, 2250, IF('Dashboard'!$C$6&lt;=4, 5150, 6000)), 0)</f>
        <v/>
      </c>
      <c r="K123" s="30" t="n">
        <v>0.9998126508185596</v>
      </c>
      <c r="L123" s="30" t="n">
        <v>0.0001775718391516968</v>
      </c>
      <c r="M123" s="30" t="n">
        <v>9.7773422886897e-06</v>
      </c>
      <c r="N123" s="31">
        <f>ABS(E123-$F$6)</f>
        <v/>
      </c>
      <c r="O123" s="31">
        <f>ABS(E123-$F$7)</f>
        <v/>
      </c>
      <c r="P123" s="31">
        <f>ABS(E123-$F$8)</f>
        <v/>
      </c>
      <c r="Q123" s="14">
        <f>IF(K123&gt;=MAX(L123,M123), "Hemat", IF(L123&gt;=M123, "Balanced", "Premium"))</f>
        <v/>
      </c>
      <c r="R123" s="30" t="n">
        <v>0.9998126513362043</v>
      </c>
      <c r="S123" s="30" t="n">
        <v>0.0001775713458315561</v>
      </c>
      <c r="T123" s="30" t="n">
        <v>9.777317964159987e-06</v>
      </c>
      <c r="U123" s="31">
        <f>ABS(E123-$G$6)</f>
        <v/>
      </c>
      <c r="V123" s="31">
        <f>ABS(E123-$G$7)</f>
        <v/>
      </c>
      <c r="W123" s="31">
        <f>ABS(E123-$G$8)</f>
        <v/>
      </c>
      <c r="X123" s="14">
        <f>IF(R123&gt;=MAX(S123,T123), "Hemat", IF(S123&gt;=T123, "Balanced", "Premium"))</f>
        <v/>
      </c>
    </row>
    <row r="124">
      <c r="A124" s="14" t="n">
        <v>115</v>
      </c>
      <c r="B124" s="7" t="inlineStr">
        <is>
          <t>Perhutani Precet Lereng Gunung Kawi</t>
        </is>
      </c>
      <c r="C124" s="26" t="n">
        <v>-8.001235899999999</v>
      </c>
      <c r="D124" s="26" t="n">
        <v>112.5076674</v>
      </c>
      <c r="E124" s="21" t="n">
        <v>5000</v>
      </c>
      <c r="F124" s="27" t="n">
        <v>4.2</v>
      </c>
      <c r="G124" s="28" t="n">
        <v>154</v>
      </c>
      <c r="H124" s="14" t="inlineStr">
        <is>
          <t>Perhutani Precet Lereng Gunung Kawi</t>
        </is>
      </c>
      <c r="I124" s="29">
        <f>6371 * 2 * ASIN(SQRT(SIN(RADIANS((C124) - INDEX('Dataset_Wisata'!$C$12:$C$622, MATCH('Dashboard'!$C$9, 'Dataset_Wisata'!$A$12:$A$622, 0)))/2)^2 + COS(RADIANS(INDEX('Dataset_Wisata'!$C$12:$C$622, MATCH('Dashboard'!$C$9, 'Dataset_Wisata'!$A$12:$A$622, 0)))) * COS(RADIANS(C124)) * SIN(RADIANS((D124) - INDEX('Dataset_Wisata'!$D$12:$D$622, MATCH('Dashboard'!$C$9, 'Dataset_Wisata'!$A$12:$A$622, 0)))/2)^2)) * 1.3</f>
        <v/>
      </c>
      <c r="J124" s="21">
        <f>ROUND(I124 * IF('Dashboard'!$C$6&lt;=1, 2250, IF('Dashboard'!$C$6&lt;=4, 5150, 6000)), 0)</f>
        <v/>
      </c>
      <c r="K124" s="30" t="n">
        <v>0.9895566543895754</v>
      </c>
      <c r="L124" s="30" t="n">
        <v>0.009798611400025654</v>
      </c>
      <c r="M124" s="30" t="n">
        <v>0.0006447342103988783</v>
      </c>
      <c r="N124" s="31">
        <f>ABS(E124-$F$6)</f>
        <v/>
      </c>
      <c r="O124" s="31">
        <f>ABS(E124-$F$7)</f>
        <v/>
      </c>
      <c r="P124" s="31">
        <f>ABS(E124-$F$8)</f>
        <v/>
      </c>
      <c r="Q124" s="14">
        <f>IF(K124&gt;=MAX(L124,M124), "Hemat", IF(L124&gt;=M124, "Balanced", "Premium"))</f>
        <v/>
      </c>
      <c r="R124" s="30" t="n">
        <v>0.9895566542341836</v>
      </c>
      <c r="S124" s="30" t="n">
        <v>0.00979861139170024</v>
      </c>
      <c r="T124" s="30" t="n">
        <v>0.00064473437411607</v>
      </c>
      <c r="U124" s="31">
        <f>ABS(E124-$G$6)</f>
        <v/>
      </c>
      <c r="V124" s="31">
        <f>ABS(E124-$G$7)</f>
        <v/>
      </c>
      <c r="W124" s="31">
        <f>ABS(E124-$G$8)</f>
        <v/>
      </c>
      <c r="X124" s="14">
        <f>IF(R124&gt;=MAX(S124,T124), "Hemat", IF(S124&gt;=T124, "Balanced", "Premium"))</f>
        <v/>
      </c>
    </row>
    <row r="125">
      <c r="A125" s="14" t="n">
        <v>116</v>
      </c>
      <c r="B125" s="7" t="inlineStr">
        <is>
          <t>Pondok Wisata Latar Ombo "L.O."</t>
        </is>
      </c>
      <c r="C125" s="26" t="n">
        <v>-7.9780562</v>
      </c>
      <c r="D125" s="26" t="n">
        <v>112.5617927</v>
      </c>
      <c r="E125" s="21" t="n">
        <v>10000</v>
      </c>
      <c r="F125" s="27" t="n">
        <v>4.5</v>
      </c>
      <c r="G125" s="28" t="n">
        <v>291</v>
      </c>
      <c r="H125" s="14" t="inlineStr">
        <is>
          <t>Pondok Wisata Latar Ombo "L.O."</t>
        </is>
      </c>
      <c r="I125" s="29">
        <f>6371 * 2 * ASIN(SQRT(SIN(RADIANS((C125) - INDEX('Dataset_Wisata'!$C$12:$C$622, MATCH('Dashboard'!$C$9, 'Dataset_Wisata'!$A$12:$A$622, 0)))/2)^2 + COS(RADIANS(INDEX('Dataset_Wisata'!$C$12:$C$622, MATCH('Dashboard'!$C$9, 'Dataset_Wisata'!$A$12:$A$622, 0)))) * COS(RADIANS(C125)) * SIN(RADIANS((D125) - INDEX('Dataset_Wisata'!$D$12:$D$622, MATCH('Dashboard'!$C$9, 'Dataset_Wisata'!$A$12:$A$622, 0)))/2)^2)) * 1.3</f>
        <v/>
      </c>
      <c r="J125" s="21">
        <f>ROUND(I125 * IF('Dashboard'!$C$6&lt;=1, 2250, IF('Dashboard'!$C$6&lt;=4, 5150, 6000)), 0)</f>
        <v/>
      </c>
      <c r="K125" s="30" t="n">
        <v>0.9998126508185596</v>
      </c>
      <c r="L125" s="30" t="n">
        <v>0.0001775718391516968</v>
      </c>
      <c r="M125" s="30" t="n">
        <v>9.7773422886897e-06</v>
      </c>
      <c r="N125" s="31">
        <f>ABS(E125-$F$6)</f>
        <v/>
      </c>
      <c r="O125" s="31">
        <f>ABS(E125-$F$7)</f>
        <v/>
      </c>
      <c r="P125" s="31">
        <f>ABS(E125-$F$8)</f>
        <v/>
      </c>
      <c r="Q125" s="14">
        <f>IF(K125&gt;=MAX(L125,M125), "Hemat", IF(L125&gt;=M125, "Balanced", "Premium"))</f>
        <v/>
      </c>
      <c r="R125" s="30" t="n">
        <v>0.9998126513362043</v>
      </c>
      <c r="S125" s="30" t="n">
        <v>0.0001775713458315561</v>
      </c>
      <c r="T125" s="30" t="n">
        <v>9.777317964159987e-06</v>
      </c>
      <c r="U125" s="31">
        <f>ABS(E125-$G$6)</f>
        <v/>
      </c>
      <c r="V125" s="31">
        <f>ABS(E125-$G$7)</f>
        <v/>
      </c>
      <c r="W125" s="31">
        <f>ABS(E125-$G$8)</f>
        <v/>
      </c>
      <c r="X125" s="14">
        <f>IF(R125&gt;=MAX(S125,T125), "Hemat", IF(S125&gt;=T125, "Balanced", "Premium"))</f>
        <v/>
      </c>
    </row>
    <row r="126">
      <c r="A126" s="14" t="n">
        <v>117</v>
      </c>
      <c r="B126" s="7" t="inlineStr">
        <is>
          <t>Embung Babadan ꦄꦼꦩ꧀ꦧꦸꦁꦧꦧꦢꦤ꧀</t>
        </is>
      </c>
      <c r="C126" s="26" t="n">
        <v>-8.0296631</v>
      </c>
      <c r="D126" s="26" t="n">
        <v>112.5357264</v>
      </c>
      <c r="E126" s="21" t="n">
        <v>5000</v>
      </c>
      <c r="F126" s="27" t="n">
        <v>4</v>
      </c>
      <c r="G126" s="28" t="n">
        <v>22</v>
      </c>
      <c r="H126" s="14" t="inlineStr">
        <is>
          <t>Wisata Umum</t>
        </is>
      </c>
      <c r="I126" s="29">
        <f>6371 * 2 * ASIN(SQRT(SIN(RADIANS((C126) - INDEX('Dataset_Wisata'!$C$12:$C$622, MATCH('Dashboard'!$C$9, 'Dataset_Wisata'!$A$12:$A$622, 0)))/2)^2 + COS(RADIANS(INDEX('Dataset_Wisata'!$C$12:$C$622, MATCH('Dashboard'!$C$9, 'Dataset_Wisata'!$A$12:$A$622, 0)))) * COS(RADIANS(C126)) * SIN(RADIANS((D126) - INDEX('Dataset_Wisata'!$D$12:$D$622, MATCH('Dashboard'!$C$9, 'Dataset_Wisata'!$A$12:$A$622, 0)))/2)^2)) * 1.3</f>
        <v/>
      </c>
      <c r="J126" s="21">
        <f>ROUND(I126 * IF('Dashboard'!$C$6&lt;=1, 2250, IF('Dashboard'!$C$6&lt;=4, 5150, 6000)), 0)</f>
        <v/>
      </c>
      <c r="K126" s="30" t="n">
        <v>0.9895566543895754</v>
      </c>
      <c r="L126" s="30" t="n">
        <v>0.009798611400025654</v>
      </c>
      <c r="M126" s="30" t="n">
        <v>0.0006447342103988783</v>
      </c>
      <c r="N126" s="31">
        <f>ABS(E126-$F$6)</f>
        <v/>
      </c>
      <c r="O126" s="31">
        <f>ABS(E126-$F$7)</f>
        <v/>
      </c>
      <c r="P126" s="31">
        <f>ABS(E126-$F$8)</f>
        <v/>
      </c>
      <c r="Q126" s="14">
        <f>IF(K126&gt;=MAX(L126,M126), "Hemat", IF(L126&gt;=M126, "Balanced", "Premium"))</f>
        <v/>
      </c>
      <c r="R126" s="30" t="n">
        <v>0.9895566542341836</v>
      </c>
      <c r="S126" s="30" t="n">
        <v>0.00979861139170024</v>
      </c>
      <c r="T126" s="30" t="n">
        <v>0.00064473437411607</v>
      </c>
      <c r="U126" s="31">
        <f>ABS(E126-$G$6)</f>
        <v/>
      </c>
      <c r="V126" s="31">
        <f>ABS(E126-$G$7)</f>
        <v/>
      </c>
      <c r="W126" s="31">
        <f>ABS(E126-$G$8)</f>
        <v/>
      </c>
      <c r="X126" s="14">
        <f>IF(R126&gt;=MAX(S126,T126), "Hemat", IF(S126&gt;=T126, "Balanced", "Premium"))</f>
        <v/>
      </c>
    </row>
    <row r="127">
      <c r="A127" s="14" t="n">
        <v>118</v>
      </c>
      <c r="B127" s="7" t="inlineStr">
        <is>
          <t>Wisata Petik Jeruk Dau</t>
        </is>
      </c>
      <c r="C127" s="26" t="n">
        <v>-7.938718</v>
      </c>
      <c r="D127" s="26" t="n">
        <v>112.5394091</v>
      </c>
      <c r="E127" s="21" t="n">
        <v>20000</v>
      </c>
      <c r="F127" s="27" t="n">
        <v>4.7</v>
      </c>
      <c r="G127" s="28" t="n">
        <v>167</v>
      </c>
      <c r="H127" s="14" t="inlineStr">
        <is>
          <t>Wisata Petik Jeruk Dau</t>
        </is>
      </c>
      <c r="I127" s="29">
        <f>6371 * 2 * ASIN(SQRT(SIN(RADIANS((C127) - INDEX('Dataset_Wisata'!$C$12:$C$622, MATCH('Dashboard'!$C$9, 'Dataset_Wisata'!$A$12:$A$622, 0)))/2)^2 + COS(RADIANS(INDEX('Dataset_Wisata'!$C$12:$C$622, MATCH('Dashboard'!$C$9, 'Dataset_Wisata'!$A$12:$A$622, 0)))) * COS(RADIANS(C127)) * SIN(RADIANS((D127) - INDEX('Dataset_Wisata'!$D$12:$D$622, MATCH('Dashboard'!$C$9, 'Dataset_Wisata'!$A$12:$A$622, 0)))/2)^2)) * 1.3</f>
        <v/>
      </c>
      <c r="J127" s="21">
        <f>ROUND(I127 * IF('Dashboard'!$C$6&lt;=1, 2250, IF('Dashboard'!$C$6&lt;=4, 5150, 6000)), 0)</f>
        <v/>
      </c>
      <c r="K127" s="30" t="n">
        <v>0.8862296979094436</v>
      </c>
      <c r="L127" s="30" t="n">
        <v>0.1099329410905347</v>
      </c>
      <c r="M127" s="30" t="n">
        <v>0.003837361000021699</v>
      </c>
      <c r="N127" s="31">
        <f>ABS(E127-$F$6)</f>
        <v/>
      </c>
      <c r="O127" s="31">
        <f>ABS(E127-$F$7)</f>
        <v/>
      </c>
      <c r="P127" s="31">
        <f>ABS(E127-$F$8)</f>
        <v/>
      </c>
      <c r="Q127" s="14">
        <f>IF(K127&gt;=MAX(L127,M127), "Hemat", IF(L127&gt;=M127, "Balanced", "Premium"))</f>
        <v/>
      </c>
      <c r="R127" s="30" t="n">
        <v>0.8862297532761809</v>
      </c>
      <c r="S127" s="30" t="n">
        <v>0.1099328861159962</v>
      </c>
      <c r="T127" s="30" t="n">
        <v>0.003837360607822898</v>
      </c>
      <c r="U127" s="31">
        <f>ABS(E127-$G$6)</f>
        <v/>
      </c>
      <c r="V127" s="31">
        <f>ABS(E127-$G$7)</f>
        <v/>
      </c>
      <c r="W127" s="31">
        <f>ABS(E127-$G$8)</f>
        <v/>
      </c>
      <c r="X127" s="14">
        <f>IF(R127&gt;=MAX(S127,T127), "Hemat", IF(S127&gt;=T127, "Balanced", "Premium"))</f>
        <v/>
      </c>
    </row>
    <row r="128">
      <c r="A128" s="14" t="n">
        <v>119</v>
      </c>
      <c r="B128" s="7" t="inlineStr">
        <is>
          <t>Wisata Agro Petik Jeruk</t>
        </is>
      </c>
      <c r="C128" s="26" t="n">
        <v>-7.9389371</v>
      </c>
      <c r="D128" s="26" t="n">
        <v>112.5539178</v>
      </c>
      <c r="E128" s="21" t="n">
        <v>20000</v>
      </c>
      <c r="F128" s="27" t="n">
        <v>4.5</v>
      </c>
      <c r="G128" s="28" t="n">
        <v>1213</v>
      </c>
      <c r="H128" s="14" t="inlineStr">
        <is>
          <t>Wisata Agro Petik Jeruk</t>
        </is>
      </c>
      <c r="I128" s="29">
        <f>6371 * 2 * ASIN(SQRT(SIN(RADIANS((C128) - INDEX('Dataset_Wisata'!$C$12:$C$622, MATCH('Dashboard'!$C$9, 'Dataset_Wisata'!$A$12:$A$622, 0)))/2)^2 + COS(RADIANS(INDEX('Dataset_Wisata'!$C$12:$C$622, MATCH('Dashboard'!$C$9, 'Dataset_Wisata'!$A$12:$A$622, 0)))) * COS(RADIANS(C128)) * SIN(RADIANS((D128) - INDEX('Dataset_Wisata'!$D$12:$D$622, MATCH('Dashboard'!$C$9, 'Dataset_Wisata'!$A$12:$A$622, 0)))/2)^2)) * 1.3</f>
        <v/>
      </c>
      <c r="J128" s="21">
        <f>ROUND(I128 * IF('Dashboard'!$C$6&lt;=1, 2250, IF('Dashboard'!$C$6&lt;=4, 5150, 6000)), 0)</f>
        <v/>
      </c>
      <c r="K128" s="30" t="n">
        <v>0.8862296979094436</v>
      </c>
      <c r="L128" s="30" t="n">
        <v>0.1099329410905347</v>
      </c>
      <c r="M128" s="30" t="n">
        <v>0.003837361000021699</v>
      </c>
      <c r="N128" s="31">
        <f>ABS(E128-$F$6)</f>
        <v/>
      </c>
      <c r="O128" s="31">
        <f>ABS(E128-$F$7)</f>
        <v/>
      </c>
      <c r="P128" s="31">
        <f>ABS(E128-$F$8)</f>
        <v/>
      </c>
      <c r="Q128" s="14">
        <f>IF(K128&gt;=MAX(L128,M128), "Hemat", IF(L128&gt;=M128, "Balanced", "Premium"))</f>
        <v/>
      </c>
      <c r="R128" s="30" t="n">
        <v>0.8862297532761809</v>
      </c>
      <c r="S128" s="30" t="n">
        <v>0.1099328861159962</v>
      </c>
      <c r="T128" s="30" t="n">
        <v>0.003837360607822898</v>
      </c>
      <c r="U128" s="31">
        <f>ABS(E128-$G$6)</f>
        <v/>
      </c>
      <c r="V128" s="31">
        <f>ABS(E128-$G$7)</f>
        <v/>
      </c>
      <c r="W128" s="31">
        <f>ABS(E128-$G$8)</f>
        <v/>
      </c>
      <c r="X128" s="14">
        <f>IF(R128&gt;=MAX(S128,T128), "Hemat", IF(S128&gt;=T128, "Balanced", "Premium"))</f>
        <v/>
      </c>
    </row>
    <row r="129">
      <c r="A129" s="14" t="n">
        <v>120</v>
      </c>
      <c r="B129" s="7" t="inlineStr">
        <is>
          <t>Wisata Rekreasi Kolam renang Lembah gunung sari</t>
        </is>
      </c>
      <c r="C129" s="26" t="n">
        <v>-7.9648866</v>
      </c>
      <c r="D129" s="26" t="n">
        <v>112.5548381</v>
      </c>
      <c r="E129" s="21" t="n">
        <v>10000</v>
      </c>
      <c r="F129" s="27" t="n">
        <v>4.6</v>
      </c>
      <c r="G129" s="28" t="n">
        <v>41</v>
      </c>
      <c r="H129" s="14" t="inlineStr">
        <is>
          <t>Wisata Umum</t>
        </is>
      </c>
      <c r="I129" s="29">
        <f>6371 * 2 * ASIN(SQRT(SIN(RADIANS((C129) - INDEX('Dataset_Wisata'!$C$12:$C$622, MATCH('Dashboard'!$C$9, 'Dataset_Wisata'!$A$12:$A$622, 0)))/2)^2 + COS(RADIANS(INDEX('Dataset_Wisata'!$C$12:$C$622, MATCH('Dashboard'!$C$9, 'Dataset_Wisata'!$A$12:$A$622, 0)))) * COS(RADIANS(C129)) * SIN(RADIANS((D129) - INDEX('Dataset_Wisata'!$D$12:$D$622, MATCH('Dashboard'!$C$9, 'Dataset_Wisata'!$A$12:$A$622, 0)))/2)^2)) * 1.3</f>
        <v/>
      </c>
      <c r="J129" s="21">
        <f>ROUND(I129 * IF('Dashboard'!$C$6&lt;=1, 2250, IF('Dashboard'!$C$6&lt;=4, 5150, 6000)), 0)</f>
        <v/>
      </c>
      <c r="K129" s="30" t="n">
        <v>0.9998126508185596</v>
      </c>
      <c r="L129" s="30" t="n">
        <v>0.0001775718391516968</v>
      </c>
      <c r="M129" s="30" t="n">
        <v>9.7773422886897e-06</v>
      </c>
      <c r="N129" s="31">
        <f>ABS(E129-$F$6)</f>
        <v/>
      </c>
      <c r="O129" s="31">
        <f>ABS(E129-$F$7)</f>
        <v/>
      </c>
      <c r="P129" s="31">
        <f>ABS(E129-$F$8)</f>
        <v/>
      </c>
      <c r="Q129" s="14">
        <f>IF(K129&gt;=MAX(L129,M129), "Hemat", IF(L129&gt;=M129, "Balanced", "Premium"))</f>
        <v/>
      </c>
      <c r="R129" s="30" t="n">
        <v>0.9998126513362043</v>
      </c>
      <c r="S129" s="30" t="n">
        <v>0.0001775713458315561</v>
      </c>
      <c r="T129" s="30" t="n">
        <v>9.777317964159987e-06</v>
      </c>
      <c r="U129" s="31">
        <f>ABS(E129-$G$6)</f>
        <v/>
      </c>
      <c r="V129" s="31">
        <f>ABS(E129-$G$7)</f>
        <v/>
      </c>
      <c r="W129" s="31">
        <f>ABS(E129-$G$8)</f>
        <v/>
      </c>
      <c r="X129" s="14">
        <f>IF(R129&gt;=MAX(S129,T129), "Hemat", IF(S129&gt;=T129, "Balanced", "Premium"))</f>
        <v/>
      </c>
    </row>
    <row r="130">
      <c r="A130" s="14" t="n">
        <v>121</v>
      </c>
      <c r="B130" s="7" t="inlineStr">
        <is>
          <t>Wisata Goa Jepang</t>
        </is>
      </c>
      <c r="C130" s="26" t="n">
        <v>-7.9164684</v>
      </c>
      <c r="D130" s="26" t="n">
        <v>112.5341439</v>
      </c>
      <c r="E130" s="21" t="n">
        <v>10000</v>
      </c>
      <c r="F130" s="27" t="n">
        <v>4.2</v>
      </c>
      <c r="G130" s="28" t="n">
        <v>102</v>
      </c>
      <c r="H130" s="14" t="inlineStr">
        <is>
          <t>Wisata Goa Jepang</t>
        </is>
      </c>
      <c r="I130" s="29">
        <f>6371 * 2 * ASIN(SQRT(SIN(RADIANS((C130) - INDEX('Dataset_Wisata'!$C$12:$C$622, MATCH('Dashboard'!$C$9, 'Dataset_Wisata'!$A$12:$A$622, 0)))/2)^2 + COS(RADIANS(INDEX('Dataset_Wisata'!$C$12:$C$622, MATCH('Dashboard'!$C$9, 'Dataset_Wisata'!$A$12:$A$622, 0)))) * COS(RADIANS(C130)) * SIN(RADIANS((D130) - INDEX('Dataset_Wisata'!$D$12:$D$622, MATCH('Dashboard'!$C$9, 'Dataset_Wisata'!$A$12:$A$622, 0)))/2)^2)) * 1.3</f>
        <v/>
      </c>
      <c r="J130" s="21">
        <f>ROUND(I130 * IF('Dashboard'!$C$6&lt;=1, 2250, IF('Dashboard'!$C$6&lt;=4, 5150, 6000)), 0)</f>
        <v/>
      </c>
      <c r="K130" s="30" t="n">
        <v>0.9998126508185596</v>
      </c>
      <c r="L130" s="30" t="n">
        <v>0.0001775718391516968</v>
      </c>
      <c r="M130" s="30" t="n">
        <v>9.7773422886897e-06</v>
      </c>
      <c r="N130" s="31">
        <f>ABS(E130-$F$6)</f>
        <v/>
      </c>
      <c r="O130" s="31">
        <f>ABS(E130-$F$7)</f>
        <v/>
      </c>
      <c r="P130" s="31">
        <f>ABS(E130-$F$8)</f>
        <v/>
      </c>
      <c r="Q130" s="14">
        <f>IF(K130&gt;=MAX(L130,M130), "Hemat", IF(L130&gt;=M130, "Balanced", "Premium"))</f>
        <v/>
      </c>
      <c r="R130" s="30" t="n">
        <v>0.9998126513362043</v>
      </c>
      <c r="S130" s="30" t="n">
        <v>0.0001775713458315561</v>
      </c>
      <c r="T130" s="30" t="n">
        <v>9.777317964159987e-06</v>
      </c>
      <c r="U130" s="31">
        <f>ABS(E130-$G$6)</f>
        <v/>
      </c>
      <c r="V130" s="31">
        <f>ABS(E130-$G$7)</f>
        <v/>
      </c>
      <c r="W130" s="31">
        <f>ABS(E130-$G$8)</f>
        <v/>
      </c>
      <c r="X130" s="14">
        <f>IF(R130&gt;=MAX(S130,T130), "Hemat", IF(S130&gt;=T130, "Balanced", "Premium"))</f>
        <v/>
      </c>
    </row>
    <row r="131">
      <c r="A131" s="14" t="n">
        <v>122</v>
      </c>
      <c r="B131" s="7" t="inlineStr">
        <is>
          <t>Air Terjun Parang Tejo</t>
        </is>
      </c>
      <c r="C131" s="26" t="n">
        <v>-7.9319978</v>
      </c>
      <c r="D131" s="26" t="n">
        <v>112.5128508</v>
      </c>
      <c r="E131" s="21" t="n">
        <v>15000</v>
      </c>
      <c r="F131" s="27" t="n">
        <v>4.4</v>
      </c>
      <c r="G131" s="28" t="n">
        <v>747</v>
      </c>
      <c r="H131" s="14" t="inlineStr">
        <is>
          <t>Wisata Umum</t>
        </is>
      </c>
      <c r="I131" s="29">
        <f>6371 * 2 * ASIN(SQRT(SIN(RADIANS((C131) - INDEX('Dataset_Wisata'!$C$12:$C$622, MATCH('Dashboard'!$C$9, 'Dataset_Wisata'!$A$12:$A$622, 0)))/2)^2 + COS(RADIANS(INDEX('Dataset_Wisata'!$C$12:$C$622, MATCH('Dashboard'!$C$9, 'Dataset_Wisata'!$A$12:$A$622, 0)))) * COS(RADIANS(C131)) * SIN(RADIANS((D131) - INDEX('Dataset_Wisata'!$D$12:$D$622, MATCH('Dashboard'!$C$9, 'Dataset_Wisata'!$A$12:$A$622, 0)))/2)^2)) * 1.3</f>
        <v/>
      </c>
      <c r="J131" s="21">
        <f>ROUND(I131 * IF('Dashboard'!$C$6&lt;=1, 2250, IF('Dashboard'!$C$6&lt;=4, 5150, 6000)), 0)</f>
        <v/>
      </c>
      <c r="K131" s="30" t="n">
        <v>0.9744283047002794</v>
      </c>
      <c r="L131" s="30" t="n">
        <v>0.02447712712252609</v>
      </c>
      <c r="M131" s="30" t="n">
        <v>0.001094568177194568</v>
      </c>
      <c r="N131" s="31">
        <f>ABS(E131-$F$6)</f>
        <v/>
      </c>
      <c r="O131" s="31">
        <f>ABS(E131-$F$7)</f>
        <v/>
      </c>
      <c r="P131" s="31">
        <f>ABS(E131-$F$8)</f>
        <v/>
      </c>
      <c r="Q131" s="14">
        <f>IF(K131&gt;=MAX(L131,M131), "Hemat", IF(L131&gt;=M131, "Balanced", "Premium"))</f>
        <v/>
      </c>
      <c r="R131" s="30" t="n">
        <v>0.9744283195785179</v>
      </c>
      <c r="S131" s="30" t="n">
        <v>0.02447711252884811</v>
      </c>
      <c r="T131" s="30" t="n">
        <v>0.001094567892634054</v>
      </c>
      <c r="U131" s="31">
        <f>ABS(E131-$G$6)</f>
        <v/>
      </c>
      <c r="V131" s="31">
        <f>ABS(E131-$G$7)</f>
        <v/>
      </c>
      <c r="W131" s="31">
        <f>ABS(E131-$G$8)</f>
        <v/>
      </c>
      <c r="X131" s="14">
        <f>IF(R131&gt;=MAX(S131,T131), "Hemat", IF(S131&gt;=T131, "Balanced", "Premium"))</f>
        <v/>
      </c>
    </row>
    <row r="132">
      <c r="A132" s="14" t="n">
        <v>123</v>
      </c>
      <c r="B132" s="7" t="inlineStr">
        <is>
          <t>Lampion Garden (BNS)</t>
        </is>
      </c>
      <c r="C132" s="26" t="n">
        <v>-7.8952985</v>
      </c>
      <c r="D132" s="26" t="n">
        <v>112.5341013</v>
      </c>
      <c r="E132" s="21" t="n">
        <v>35000</v>
      </c>
      <c r="F132" s="27" t="n">
        <v>4.6</v>
      </c>
      <c r="G132" s="28" t="n">
        <v>271</v>
      </c>
      <c r="H132" s="14" t="inlineStr">
        <is>
          <t>Wisata Umum</t>
        </is>
      </c>
      <c r="I132" s="29">
        <f>6371 * 2 * ASIN(SQRT(SIN(RADIANS((C132) - INDEX('Dataset_Wisata'!$C$12:$C$622, MATCH('Dashboard'!$C$9, 'Dataset_Wisata'!$A$12:$A$622, 0)))/2)^2 + COS(RADIANS(INDEX('Dataset_Wisata'!$C$12:$C$622, MATCH('Dashboard'!$C$9, 'Dataset_Wisata'!$A$12:$A$622, 0)))) * COS(RADIANS(C132)) * SIN(RADIANS((D132) - INDEX('Dataset_Wisata'!$D$12:$D$622, MATCH('Dashboard'!$C$9, 'Dataset_Wisata'!$A$12:$A$622, 0)))/2)^2)) * 1.3</f>
        <v/>
      </c>
      <c r="J132" s="21">
        <f>ROUND(I132 * IF('Dashboard'!$C$6&lt;=1, 2250, IF('Dashboard'!$C$6&lt;=4, 5150, 6000)), 0)</f>
        <v/>
      </c>
      <c r="K132" s="30" t="n">
        <v>0.25213485588303</v>
      </c>
      <c r="L132" s="30" t="n">
        <v>0.7400533052956862</v>
      </c>
      <c r="M132" s="30" t="n">
        <v>0.007811838821283838</v>
      </c>
      <c r="N132" s="31">
        <f>ABS(E132-$F$6)</f>
        <v/>
      </c>
      <c r="O132" s="31">
        <f>ABS(E132-$F$7)</f>
        <v/>
      </c>
      <c r="P132" s="31">
        <f>ABS(E132-$F$8)</f>
        <v/>
      </c>
      <c r="Q132" s="14">
        <f>IF(K132&gt;=MAX(L132,M132), "Hemat", IF(L132&gt;=M132, "Balanced", "Premium"))</f>
        <v/>
      </c>
      <c r="R132" s="30" t="n">
        <v>0.2521350299012498</v>
      </c>
      <c r="S132" s="30" t="n">
        <v>0.740053126637755</v>
      </c>
      <c r="T132" s="30" t="n">
        <v>0.007811843460995218</v>
      </c>
      <c r="U132" s="31">
        <f>ABS(E132-$G$6)</f>
        <v/>
      </c>
      <c r="V132" s="31">
        <f>ABS(E132-$G$7)</f>
        <v/>
      </c>
      <c r="W132" s="31">
        <f>ABS(E132-$G$8)</f>
        <v/>
      </c>
      <c r="X132" s="14">
        <f>IF(R132&gt;=MAX(S132,T132), "Hemat", IF(S132&gt;=T132, "Balanced", "Premium"))</f>
        <v/>
      </c>
    </row>
    <row r="133">
      <c r="A133" s="14" t="n">
        <v>124</v>
      </c>
      <c r="B133" s="7" t="inlineStr">
        <is>
          <t>Batu Economis Park</t>
        </is>
      </c>
      <c r="C133" s="26" t="n">
        <v>-7.9126755</v>
      </c>
      <c r="D133" s="26" t="n">
        <v>112.5487169</v>
      </c>
      <c r="E133" s="21" t="n">
        <v>24750</v>
      </c>
      <c r="F133" s="27" t="n">
        <v>4.4</v>
      </c>
      <c r="G133" s="28" t="n">
        <v>9068</v>
      </c>
      <c r="H133" s="14" t="inlineStr">
        <is>
          <t>Wisata Umum</t>
        </is>
      </c>
      <c r="I133" s="29">
        <f>6371 * 2 * ASIN(SQRT(SIN(RADIANS((C133) - INDEX('Dataset_Wisata'!$C$12:$C$622, MATCH('Dashboard'!$C$9, 'Dataset_Wisata'!$A$12:$A$622, 0)))/2)^2 + COS(RADIANS(INDEX('Dataset_Wisata'!$C$12:$C$622, MATCH('Dashboard'!$C$9, 'Dataset_Wisata'!$A$12:$A$622, 0)))) * COS(RADIANS(C133)) * SIN(RADIANS((D133) - INDEX('Dataset_Wisata'!$D$12:$D$622, MATCH('Dashboard'!$C$9, 'Dataset_Wisata'!$A$12:$A$622, 0)))/2)^2)) * 1.3</f>
        <v/>
      </c>
      <c r="J133" s="21">
        <f>ROUND(I133 * IF('Dashboard'!$C$6&lt;=1, 2250, IF('Dashboard'!$C$6&lt;=4, 5150, 6000)), 0)</f>
        <v/>
      </c>
      <c r="K133" s="30" t="n">
        <v>0.7252625452299122</v>
      </c>
      <c r="L133" s="30" t="n">
        <v>0.2677149141647777</v>
      </c>
      <c r="M133" s="30" t="n">
        <v>0.007022540605310118</v>
      </c>
      <c r="N133" s="31">
        <f>ABS(E133-$F$6)</f>
        <v/>
      </c>
      <c r="O133" s="31">
        <f>ABS(E133-$F$7)</f>
        <v/>
      </c>
      <c r="P133" s="31">
        <f>ABS(E133-$F$8)</f>
        <v/>
      </c>
      <c r="Q133" s="14">
        <f>IF(K133&gt;=MAX(L133,M133), "Hemat", IF(L133&gt;=M133, "Balanced", "Premium"))</f>
        <v/>
      </c>
      <c r="R133" s="30" t="n">
        <v>0.7252626637316592</v>
      </c>
      <c r="S133" s="30" t="n">
        <v>0.2677147954108755</v>
      </c>
      <c r="T133" s="30" t="n">
        <v>0.007022540857465265</v>
      </c>
      <c r="U133" s="31">
        <f>ABS(E133-$G$6)</f>
        <v/>
      </c>
      <c r="V133" s="31">
        <f>ABS(E133-$G$7)</f>
        <v/>
      </c>
      <c r="W133" s="31">
        <f>ABS(E133-$G$8)</f>
        <v/>
      </c>
      <c r="X133" s="14">
        <f>IF(R133&gt;=MAX(S133,T133), "Hemat", IF(S133&gt;=T133, "Balanced", "Premium"))</f>
        <v/>
      </c>
    </row>
    <row r="134">
      <c r="A134" s="14" t="n">
        <v>125</v>
      </c>
      <c r="B134" s="7" t="inlineStr">
        <is>
          <t>Jungle Adventure</t>
        </is>
      </c>
      <c r="C134" s="26" t="n">
        <v>-7.888776</v>
      </c>
      <c r="D134" s="26" t="n">
        <v>112.527451</v>
      </c>
      <c r="E134" s="21" t="n">
        <v>65000</v>
      </c>
      <c r="F134" s="27" t="n">
        <v>4.5</v>
      </c>
      <c r="G134" s="28" t="n">
        <v>61</v>
      </c>
      <c r="H134" s="14" t="inlineStr">
        <is>
          <t>Wisata Umum</t>
        </is>
      </c>
      <c r="I134" s="29">
        <f>6371 * 2 * ASIN(SQRT(SIN(RADIANS((C134) - INDEX('Dataset_Wisata'!$C$12:$C$622, MATCH('Dashboard'!$C$9, 'Dataset_Wisata'!$A$12:$A$622, 0)))/2)^2 + COS(RADIANS(INDEX('Dataset_Wisata'!$C$12:$C$622, MATCH('Dashboard'!$C$9, 'Dataset_Wisata'!$A$12:$A$622, 0)))) * COS(RADIANS(C134)) * SIN(RADIANS((D134) - INDEX('Dataset_Wisata'!$D$12:$D$622, MATCH('Dashboard'!$C$9, 'Dataset_Wisata'!$A$12:$A$622, 0)))/2)^2)) * 1.3</f>
        <v/>
      </c>
      <c r="J134" s="21">
        <f>ROUND(I134 * IF('Dashboard'!$C$6&lt;=1, 2250, IF('Dashboard'!$C$6&lt;=4, 5150, 6000)), 0)</f>
        <v/>
      </c>
      <c r="K134" s="30" t="n">
        <v>0.06773863595836273</v>
      </c>
      <c r="L134" s="30" t="n">
        <v>0.9164802209938576</v>
      </c>
      <c r="M134" s="30" t="n">
        <v>0.01578114304777962</v>
      </c>
      <c r="N134" s="31">
        <f>ABS(E134-$F$6)</f>
        <v/>
      </c>
      <c r="O134" s="31">
        <f>ABS(E134-$F$7)</f>
        <v/>
      </c>
      <c r="P134" s="31">
        <f>ABS(E134-$F$8)</f>
        <v/>
      </c>
      <c r="Q134" s="14">
        <f>IF(K134&gt;=MAX(L134,M134), "Hemat", IF(L134&gt;=M134, "Balanced", "Premium"))</f>
        <v/>
      </c>
      <c r="R134" s="30" t="n">
        <v>0.0677385835385851</v>
      </c>
      <c r="S134" s="30" t="n">
        <v>0.9164802868958721</v>
      </c>
      <c r="T134" s="30" t="n">
        <v>0.01578112956554284</v>
      </c>
      <c r="U134" s="31">
        <f>ABS(E134-$G$6)</f>
        <v/>
      </c>
      <c r="V134" s="31">
        <f>ABS(E134-$G$7)</f>
        <v/>
      </c>
      <c r="W134" s="31">
        <f>ABS(E134-$G$8)</f>
        <v/>
      </c>
      <c r="X134" s="14">
        <f>IF(R134&gt;=MAX(S134,T134), "Hemat", IF(S134&gt;=T134, "Balanced", "Premium"))</f>
        <v/>
      </c>
    </row>
    <row r="135">
      <c r="A135" s="14" t="n">
        <v>126</v>
      </c>
      <c r="B135" s="7" t="inlineStr">
        <is>
          <t>Air Terjun Coban Tengah</t>
        </is>
      </c>
      <c r="C135" s="26" t="n">
        <v>-7.8920601</v>
      </c>
      <c r="D135" s="26" t="n">
        <v>112.4751568</v>
      </c>
      <c r="E135" s="21" t="n">
        <v>5000</v>
      </c>
      <c r="F135" s="27" t="n">
        <v>4.5</v>
      </c>
      <c r="G135" s="28" t="n">
        <v>138</v>
      </c>
      <c r="H135" s="14" t="inlineStr">
        <is>
          <t>Tujuan Wisata · </t>
        </is>
      </c>
      <c r="I135" s="29">
        <f>6371 * 2 * ASIN(SQRT(SIN(RADIANS((C135) - INDEX('Dataset_Wisata'!$C$12:$C$622, MATCH('Dashboard'!$C$9, 'Dataset_Wisata'!$A$12:$A$622, 0)))/2)^2 + COS(RADIANS(INDEX('Dataset_Wisata'!$C$12:$C$622, MATCH('Dashboard'!$C$9, 'Dataset_Wisata'!$A$12:$A$622, 0)))) * COS(RADIANS(C135)) * SIN(RADIANS((D135) - INDEX('Dataset_Wisata'!$D$12:$D$622, MATCH('Dashboard'!$C$9, 'Dataset_Wisata'!$A$12:$A$622, 0)))/2)^2)) * 1.3</f>
        <v/>
      </c>
      <c r="J135" s="21">
        <f>ROUND(I135 * IF('Dashboard'!$C$6&lt;=1, 2250, IF('Dashboard'!$C$6&lt;=4, 5150, 6000)), 0)</f>
        <v/>
      </c>
      <c r="K135" s="30" t="n">
        <v>0.9895566543895754</v>
      </c>
      <c r="L135" s="30" t="n">
        <v>0.009798611400025654</v>
      </c>
      <c r="M135" s="30" t="n">
        <v>0.0006447342103988783</v>
      </c>
      <c r="N135" s="31">
        <f>ABS(E135-$F$6)</f>
        <v/>
      </c>
      <c r="O135" s="31">
        <f>ABS(E135-$F$7)</f>
        <v/>
      </c>
      <c r="P135" s="31">
        <f>ABS(E135-$F$8)</f>
        <v/>
      </c>
      <c r="Q135" s="14">
        <f>IF(K135&gt;=MAX(L135,M135), "Hemat", IF(L135&gt;=M135, "Balanced", "Premium"))</f>
        <v/>
      </c>
      <c r="R135" s="30" t="n">
        <v>0.9895566542341836</v>
      </c>
      <c r="S135" s="30" t="n">
        <v>0.00979861139170024</v>
      </c>
      <c r="T135" s="30" t="n">
        <v>0.00064473437411607</v>
      </c>
      <c r="U135" s="31">
        <f>ABS(E135-$G$6)</f>
        <v/>
      </c>
      <c r="V135" s="31">
        <f>ABS(E135-$G$7)</f>
        <v/>
      </c>
      <c r="W135" s="31">
        <f>ABS(E135-$G$8)</f>
        <v/>
      </c>
      <c r="X135" s="14">
        <f>IF(R135&gt;=MAX(S135,T135), "Hemat", IF(S135&gt;=T135, "Balanced", "Premium"))</f>
        <v/>
      </c>
    </row>
    <row r="136">
      <c r="A136" s="14" t="n">
        <v>127</v>
      </c>
      <c r="B136" s="7" t="inlineStr">
        <is>
          <t>Coban Putri</t>
        </is>
      </c>
      <c r="C136" s="26" t="n">
        <v>-7.9119954</v>
      </c>
      <c r="D136" s="26" t="n">
        <v>112.5302537</v>
      </c>
      <c r="E136" s="21" t="n">
        <v>10000</v>
      </c>
      <c r="F136" s="27" t="n">
        <v>4.6</v>
      </c>
      <c r="G136" s="28" t="n">
        <v>418</v>
      </c>
      <c r="H136" s="14" t="inlineStr">
        <is>
          <t>Wisata Umum</t>
        </is>
      </c>
      <c r="I136" s="29">
        <f>6371 * 2 * ASIN(SQRT(SIN(RADIANS((C136) - INDEX('Dataset_Wisata'!$C$12:$C$622, MATCH('Dashboard'!$C$9, 'Dataset_Wisata'!$A$12:$A$622, 0)))/2)^2 + COS(RADIANS(INDEX('Dataset_Wisata'!$C$12:$C$622, MATCH('Dashboard'!$C$9, 'Dataset_Wisata'!$A$12:$A$622, 0)))) * COS(RADIANS(C136)) * SIN(RADIANS((D136) - INDEX('Dataset_Wisata'!$D$12:$D$622, MATCH('Dashboard'!$C$9, 'Dataset_Wisata'!$A$12:$A$622, 0)))/2)^2)) * 1.3</f>
        <v/>
      </c>
      <c r="J136" s="21">
        <f>ROUND(I136 * IF('Dashboard'!$C$6&lt;=1, 2250, IF('Dashboard'!$C$6&lt;=4, 5150, 6000)), 0)</f>
        <v/>
      </c>
      <c r="K136" s="30" t="n">
        <v>0.9998126508185596</v>
      </c>
      <c r="L136" s="30" t="n">
        <v>0.0001775718391516968</v>
      </c>
      <c r="M136" s="30" t="n">
        <v>9.7773422886897e-06</v>
      </c>
      <c r="N136" s="31">
        <f>ABS(E136-$F$6)</f>
        <v/>
      </c>
      <c r="O136" s="31">
        <f>ABS(E136-$F$7)</f>
        <v/>
      </c>
      <c r="P136" s="31">
        <f>ABS(E136-$F$8)</f>
        <v/>
      </c>
      <c r="Q136" s="14">
        <f>IF(K136&gt;=MAX(L136,M136), "Hemat", IF(L136&gt;=M136, "Balanced", "Premium"))</f>
        <v/>
      </c>
      <c r="R136" s="30" t="n">
        <v>0.9998126513362043</v>
      </c>
      <c r="S136" s="30" t="n">
        <v>0.0001775713458315561</v>
      </c>
      <c r="T136" s="30" t="n">
        <v>9.777317964159987e-06</v>
      </c>
      <c r="U136" s="31">
        <f>ABS(E136-$G$6)</f>
        <v/>
      </c>
      <c r="V136" s="31">
        <f>ABS(E136-$G$7)</f>
        <v/>
      </c>
      <c r="W136" s="31">
        <f>ABS(E136-$G$8)</f>
        <v/>
      </c>
      <c r="X136" s="14">
        <f>IF(R136&gt;=MAX(S136,T136), "Hemat", IF(S136&gt;=T136, "Balanced", "Premium"))</f>
        <v/>
      </c>
    </row>
    <row r="137">
      <c r="A137" s="14" t="n">
        <v>128</v>
      </c>
      <c r="B137" s="7" t="inlineStr">
        <is>
          <t>Taman Hutan Kota Batu</t>
        </is>
      </c>
      <c r="C137" s="26" t="n">
        <v>-7.879386</v>
      </c>
      <c r="D137" s="26" t="n">
        <v>112.52495</v>
      </c>
      <c r="E137" s="21" t="n">
        <v>2000</v>
      </c>
      <c r="F137" s="27" t="n">
        <v>4.5</v>
      </c>
      <c r="G137" s="28" t="n">
        <v>1847</v>
      </c>
      <c r="H137" s="14" t="inlineStr">
        <is>
          <t>Taman Hutan Kota Batu</t>
        </is>
      </c>
      <c r="I137" s="29">
        <f>6371 * 2 * ASIN(SQRT(SIN(RADIANS((C137) - INDEX('Dataset_Wisata'!$C$12:$C$622, MATCH('Dashboard'!$C$9, 'Dataset_Wisata'!$A$12:$A$622, 0)))/2)^2 + COS(RADIANS(INDEX('Dataset_Wisata'!$C$12:$C$622, MATCH('Dashboard'!$C$9, 'Dataset_Wisata'!$A$12:$A$622, 0)))) * COS(RADIANS(C137)) * SIN(RADIANS((D137) - INDEX('Dataset_Wisata'!$D$12:$D$622, MATCH('Dashboard'!$C$9, 'Dataset_Wisata'!$A$12:$A$622, 0)))/2)^2)) * 1.3</f>
        <v/>
      </c>
      <c r="J137" s="21">
        <f>ROUND(I137 * IF('Dashboard'!$C$6&lt;=1, 2250, IF('Dashboard'!$C$6&lt;=4, 5150, 6000)), 0)</f>
        <v/>
      </c>
      <c r="K137" s="30" t="n">
        <v>0.9745968037531486</v>
      </c>
      <c r="L137" s="30" t="n">
        <v>0.02368856650344644</v>
      </c>
      <c r="M137" s="30" t="n">
        <v>0.001714629743404906</v>
      </c>
      <c r="N137" s="31">
        <f>ABS(E137-$F$6)</f>
        <v/>
      </c>
      <c r="O137" s="31">
        <f>ABS(E137-$F$7)</f>
        <v/>
      </c>
      <c r="P137" s="31">
        <f>ABS(E137-$F$8)</f>
        <v/>
      </c>
      <c r="Q137" s="14">
        <f>IF(K137&gt;=MAX(L137,M137), "Hemat", IF(L137&gt;=M137, "Balanced", "Premium"))</f>
        <v/>
      </c>
      <c r="R137" s="30" t="n">
        <v>0.9745968058205632</v>
      </c>
      <c r="S137" s="30" t="n">
        <v>0.02368856419646389</v>
      </c>
      <c r="T137" s="30" t="n">
        <v>0.001714629982972894</v>
      </c>
      <c r="U137" s="31">
        <f>ABS(E137-$G$6)</f>
        <v/>
      </c>
      <c r="V137" s="31">
        <f>ABS(E137-$G$7)</f>
        <v/>
      </c>
      <c r="W137" s="31">
        <f>ABS(E137-$G$8)</f>
        <v/>
      </c>
      <c r="X137" s="14">
        <f>IF(R137&gt;=MAX(S137,T137), "Hemat", IF(S137&gt;=T137, "Balanced", "Premium"))</f>
        <v/>
      </c>
    </row>
    <row r="138">
      <c r="A138" s="14" t="n">
        <v>129</v>
      </c>
      <c r="B138" s="7" t="inlineStr">
        <is>
          <t>Air Terjun Coban Rais</t>
        </is>
      </c>
      <c r="C138" s="26" t="n">
        <v>-7.9116767</v>
      </c>
      <c r="D138" s="26" t="n">
        <v>112.5184342</v>
      </c>
      <c r="E138" s="21" t="n">
        <v>10000</v>
      </c>
      <c r="F138" s="27" t="n">
        <v>4.1</v>
      </c>
      <c r="G138" s="28" t="n">
        <v>5507</v>
      </c>
      <c r="H138" s="14" t="inlineStr">
        <is>
          <t>Wisata Umum</t>
        </is>
      </c>
      <c r="I138" s="29">
        <f>6371 * 2 * ASIN(SQRT(SIN(RADIANS((C138) - INDEX('Dataset_Wisata'!$C$12:$C$622, MATCH('Dashboard'!$C$9, 'Dataset_Wisata'!$A$12:$A$622, 0)))/2)^2 + COS(RADIANS(INDEX('Dataset_Wisata'!$C$12:$C$622, MATCH('Dashboard'!$C$9, 'Dataset_Wisata'!$A$12:$A$622, 0)))) * COS(RADIANS(C138)) * SIN(RADIANS((D138) - INDEX('Dataset_Wisata'!$D$12:$D$622, MATCH('Dashboard'!$C$9, 'Dataset_Wisata'!$A$12:$A$622, 0)))/2)^2)) * 1.3</f>
        <v/>
      </c>
      <c r="J138" s="21">
        <f>ROUND(I138 * IF('Dashboard'!$C$6&lt;=1, 2250, IF('Dashboard'!$C$6&lt;=4, 5150, 6000)), 0)</f>
        <v/>
      </c>
      <c r="K138" s="30" t="n">
        <v>0.9998126508185596</v>
      </c>
      <c r="L138" s="30" t="n">
        <v>0.0001775718391516968</v>
      </c>
      <c r="M138" s="30" t="n">
        <v>9.7773422886897e-06</v>
      </c>
      <c r="N138" s="31">
        <f>ABS(E138-$F$6)</f>
        <v/>
      </c>
      <c r="O138" s="31">
        <f>ABS(E138-$F$7)</f>
        <v/>
      </c>
      <c r="P138" s="31">
        <f>ABS(E138-$F$8)</f>
        <v/>
      </c>
      <c r="Q138" s="14">
        <f>IF(K138&gt;=MAX(L138,M138), "Hemat", IF(L138&gt;=M138, "Balanced", "Premium"))</f>
        <v/>
      </c>
      <c r="R138" s="30" t="n">
        <v>0.9998126513362043</v>
      </c>
      <c r="S138" s="30" t="n">
        <v>0.0001775713458315561</v>
      </c>
      <c r="T138" s="30" t="n">
        <v>9.777317964159987e-06</v>
      </c>
      <c r="U138" s="31">
        <f>ABS(E138-$G$6)</f>
        <v/>
      </c>
      <c r="V138" s="31">
        <f>ABS(E138-$G$7)</f>
        <v/>
      </c>
      <c r="W138" s="31">
        <f>ABS(E138-$G$8)</f>
        <v/>
      </c>
      <c r="X138" s="14">
        <f>IF(R138&gt;=MAX(S138,T138), "Hemat", IF(S138&gt;=T138, "Balanced", "Premium"))</f>
        <v/>
      </c>
    </row>
    <row r="139">
      <c r="A139" s="14" t="n">
        <v>130</v>
      </c>
      <c r="B139" s="7" t="inlineStr">
        <is>
          <t>Batu Flower Garden (wisata)</t>
        </is>
      </c>
      <c r="C139" s="26" t="n">
        <v>-7.9117923</v>
      </c>
      <c r="D139" s="26" t="n">
        <v>112.5187917</v>
      </c>
      <c r="E139" s="21" t="n">
        <v>62500</v>
      </c>
      <c r="F139" s="27" t="n">
        <v>4.1</v>
      </c>
      <c r="G139" s="28" t="n">
        <v>964</v>
      </c>
      <c r="H139" s="14" t="inlineStr">
        <is>
          <t>Batu Flower Garden (wisata)</t>
        </is>
      </c>
      <c r="I139" s="29">
        <f>6371 * 2 * ASIN(SQRT(SIN(RADIANS((C139) - INDEX('Dataset_Wisata'!$C$12:$C$622, MATCH('Dashboard'!$C$9, 'Dataset_Wisata'!$A$12:$A$622, 0)))/2)^2 + COS(RADIANS(INDEX('Dataset_Wisata'!$C$12:$C$622, MATCH('Dashboard'!$C$9, 'Dataset_Wisata'!$A$12:$A$622, 0)))) * COS(RADIANS(C139)) * SIN(RADIANS((D139) - INDEX('Dataset_Wisata'!$D$12:$D$622, MATCH('Dashboard'!$C$9, 'Dataset_Wisata'!$A$12:$A$622, 0)))/2)^2)) * 1.3</f>
        <v/>
      </c>
      <c r="J139" s="21">
        <f>ROUND(I139 * IF('Dashboard'!$C$6&lt;=1, 2250, IF('Dashboard'!$C$6&lt;=4, 5150, 6000)), 0)</f>
        <v/>
      </c>
      <c r="K139" s="30" t="n">
        <v>0.05283787365069861</v>
      </c>
      <c r="L139" s="30" t="n">
        <v>0.9364082582097708</v>
      </c>
      <c r="M139" s="30" t="n">
        <v>0.01075386813953046</v>
      </c>
      <c r="N139" s="31">
        <f>ABS(E139-$F$6)</f>
        <v/>
      </c>
      <c r="O139" s="31">
        <f>ABS(E139-$F$7)</f>
        <v/>
      </c>
      <c r="P139" s="31">
        <f>ABS(E139-$F$8)</f>
        <v/>
      </c>
      <c r="Q139" s="14">
        <f>IF(K139&gt;=MAX(L139,M139), "Hemat", IF(L139&gt;=M139, "Balanced", "Premium"))</f>
        <v/>
      </c>
      <c r="R139" s="30" t="n">
        <v>0.05283782336964635</v>
      </c>
      <c r="S139" s="30" t="n">
        <v>0.9364083195885542</v>
      </c>
      <c r="T139" s="30" t="n">
        <v>0.01075385704179944</v>
      </c>
      <c r="U139" s="31">
        <f>ABS(E139-$G$6)</f>
        <v/>
      </c>
      <c r="V139" s="31">
        <f>ABS(E139-$G$7)</f>
        <v/>
      </c>
      <c r="W139" s="31">
        <f>ABS(E139-$G$8)</f>
        <v/>
      </c>
      <c r="X139" s="14">
        <f>IF(R139&gt;=MAX(S139,T139), "Hemat", IF(S139&gt;=T139, "Balanced", "Premium"))</f>
        <v/>
      </c>
    </row>
    <row r="140">
      <c r="A140" s="14" t="n">
        <v>131</v>
      </c>
      <c r="B140" s="7" t="inlineStr">
        <is>
          <t>Dino Park Jawa Timur Park 3</t>
        </is>
      </c>
      <c r="C140" s="26" t="n">
        <v>-7.897906</v>
      </c>
      <c r="D140" s="26" t="n">
        <v>112.554027</v>
      </c>
      <c r="E140" s="21" t="n">
        <v>160000</v>
      </c>
      <c r="F140" s="27" t="n">
        <v>4.6</v>
      </c>
      <c r="G140" s="28" t="n">
        <v>19702</v>
      </c>
      <c r="H140" s="14" t="inlineStr">
        <is>
          <t>Wisata Umum</t>
        </is>
      </c>
      <c r="I140" s="29">
        <f>6371 * 2 * ASIN(SQRT(SIN(RADIANS((C140) - INDEX('Dataset_Wisata'!$C$12:$C$622, MATCH('Dashboard'!$C$9, 'Dataset_Wisata'!$A$12:$A$622, 0)))/2)^2 + COS(RADIANS(INDEX('Dataset_Wisata'!$C$12:$C$622, MATCH('Dashboard'!$C$9, 'Dataset_Wisata'!$A$12:$A$622, 0)))) * COS(RADIANS(C140)) * SIN(RADIANS((D140) - INDEX('Dataset_Wisata'!$D$12:$D$622, MATCH('Dashboard'!$C$9, 'Dataset_Wisata'!$A$12:$A$622, 0)))/2)^2)) * 1.3</f>
        <v/>
      </c>
      <c r="J140" s="21">
        <f>ROUND(I140 * IF('Dashboard'!$C$6&lt;=1, 2250, IF('Dashboard'!$C$6&lt;=4, 5150, 6000)), 0)</f>
        <v/>
      </c>
      <c r="K140" s="30" t="n">
        <v>0.01688308793231038</v>
      </c>
      <c r="L140" s="30" t="n">
        <v>0.03156132379933055</v>
      </c>
      <c r="M140" s="30" t="n">
        <v>0.9515555882683592</v>
      </c>
      <c r="N140" s="31">
        <f>ABS(E140-$F$6)</f>
        <v/>
      </c>
      <c r="O140" s="31">
        <f>ABS(E140-$F$7)</f>
        <v/>
      </c>
      <c r="P140" s="31">
        <f>ABS(E140-$F$8)</f>
        <v/>
      </c>
      <c r="Q140" s="14">
        <f>IF(K140&gt;=MAX(L140,M140), "Hemat", IF(L140&gt;=M140, "Balanced", "Premium"))</f>
        <v/>
      </c>
      <c r="R140" s="30" t="n">
        <v>0.0168830932679248</v>
      </c>
      <c r="S140" s="30" t="n">
        <v>0.03156133726251176</v>
      </c>
      <c r="T140" s="30" t="n">
        <v>0.9515555694695635</v>
      </c>
      <c r="U140" s="31">
        <f>ABS(E140-$G$6)</f>
        <v/>
      </c>
      <c r="V140" s="31">
        <f>ABS(E140-$G$7)</f>
        <v/>
      </c>
      <c r="W140" s="31">
        <f>ABS(E140-$G$8)</f>
        <v/>
      </c>
      <c r="X140" s="14">
        <f>IF(R140&gt;=MAX(S140,T140), "Hemat", IF(S140&gt;=T140, "Balanced", "Premium"))</f>
        <v/>
      </c>
    </row>
    <row r="141">
      <c r="A141" s="14" t="n">
        <v>132</v>
      </c>
      <c r="B141" s="7" t="inlineStr">
        <is>
          <t>Taman Pinus Campervan Park</t>
        </is>
      </c>
      <c r="C141" s="26" t="n">
        <v>-7.904017</v>
      </c>
      <c r="D141" s="26" t="n">
        <v>112.5220532</v>
      </c>
      <c r="E141" s="21" t="n">
        <v>10000</v>
      </c>
      <c r="F141" s="27" t="n">
        <v>4.6</v>
      </c>
      <c r="G141" s="28" t="n">
        <v>759</v>
      </c>
      <c r="H141" s="14" t="inlineStr">
        <is>
          <t>Taman Pinus Campervan Park</t>
        </is>
      </c>
      <c r="I141" s="29">
        <f>6371 * 2 * ASIN(SQRT(SIN(RADIANS((C141) - INDEX('Dataset_Wisata'!$C$12:$C$622, MATCH('Dashboard'!$C$9, 'Dataset_Wisata'!$A$12:$A$622, 0)))/2)^2 + COS(RADIANS(INDEX('Dataset_Wisata'!$C$12:$C$622, MATCH('Dashboard'!$C$9, 'Dataset_Wisata'!$A$12:$A$622, 0)))) * COS(RADIANS(C141)) * SIN(RADIANS((D141) - INDEX('Dataset_Wisata'!$D$12:$D$622, MATCH('Dashboard'!$C$9, 'Dataset_Wisata'!$A$12:$A$622, 0)))/2)^2)) * 1.3</f>
        <v/>
      </c>
      <c r="J141" s="21">
        <f>ROUND(I141 * IF('Dashboard'!$C$6&lt;=1, 2250, IF('Dashboard'!$C$6&lt;=4, 5150, 6000)), 0)</f>
        <v/>
      </c>
      <c r="K141" s="30" t="n">
        <v>0.9998126508185596</v>
      </c>
      <c r="L141" s="30" t="n">
        <v>0.0001775718391516968</v>
      </c>
      <c r="M141" s="30" t="n">
        <v>9.7773422886897e-06</v>
      </c>
      <c r="N141" s="31">
        <f>ABS(E141-$F$6)</f>
        <v/>
      </c>
      <c r="O141" s="31">
        <f>ABS(E141-$F$7)</f>
        <v/>
      </c>
      <c r="P141" s="31">
        <f>ABS(E141-$F$8)</f>
        <v/>
      </c>
      <c r="Q141" s="14">
        <f>IF(K141&gt;=MAX(L141,M141), "Hemat", IF(L141&gt;=M141, "Balanced", "Premium"))</f>
        <v/>
      </c>
      <c r="R141" s="30" t="n">
        <v>0.9998126513362043</v>
      </c>
      <c r="S141" s="30" t="n">
        <v>0.0001775713458315561</v>
      </c>
      <c r="T141" s="30" t="n">
        <v>9.777317964159987e-06</v>
      </c>
      <c r="U141" s="31">
        <f>ABS(E141-$G$6)</f>
        <v/>
      </c>
      <c r="V141" s="31">
        <f>ABS(E141-$G$7)</f>
        <v/>
      </c>
      <c r="W141" s="31">
        <f>ABS(E141-$G$8)</f>
        <v/>
      </c>
      <c r="X141" s="14">
        <f>IF(R141&gt;=MAX(S141,T141), "Hemat", IF(S141&gt;=T141, "Balanced", "Premium"))</f>
        <v/>
      </c>
    </row>
    <row r="142">
      <c r="A142" s="14" t="n">
        <v>133</v>
      </c>
      <c r="B142" s="7" t="inlineStr">
        <is>
          <t>Eco Active Park</t>
        </is>
      </c>
      <c r="C142" s="26" t="n">
        <v>-7.8877752</v>
      </c>
      <c r="D142" s="26" t="n">
        <v>112.5266102</v>
      </c>
      <c r="E142" s="21" t="n">
        <v>50000</v>
      </c>
      <c r="F142" s="27" t="n">
        <v>4.6</v>
      </c>
      <c r="G142" s="28" t="n">
        <v>27811</v>
      </c>
      <c r="H142" s="14" t="inlineStr">
        <is>
          <t>Wisata Umum</t>
        </is>
      </c>
      <c r="I142" s="29">
        <f>6371 * 2 * ASIN(SQRT(SIN(RADIANS((C142) - INDEX('Dataset_Wisata'!$C$12:$C$622, MATCH('Dashboard'!$C$9, 'Dataset_Wisata'!$A$12:$A$622, 0)))/2)^2 + COS(RADIANS(INDEX('Dataset_Wisata'!$C$12:$C$622, MATCH('Dashboard'!$C$9, 'Dataset_Wisata'!$A$12:$A$622, 0)))) * COS(RADIANS(C142)) * SIN(RADIANS((D142) - INDEX('Dataset_Wisata'!$D$12:$D$622, MATCH('Dashboard'!$C$9, 'Dataset_Wisata'!$A$12:$A$622, 0)))/2)^2)) * 1.3</f>
        <v/>
      </c>
      <c r="J142" s="21">
        <f>ROUND(I142 * IF('Dashboard'!$C$6&lt;=1, 2250, IF('Dashboard'!$C$6&lt;=4, 5150, 6000)), 0)</f>
        <v/>
      </c>
      <c r="K142" s="30" t="n">
        <v>5.758531237204236e-06</v>
      </c>
      <c r="L142" s="30" t="n">
        <v>0.9999936821294634</v>
      </c>
      <c r="M142" s="30" t="n">
        <v>5.593392994189334e-07</v>
      </c>
      <c r="N142" s="31">
        <f>ABS(E142-$F$6)</f>
        <v/>
      </c>
      <c r="O142" s="31">
        <f>ABS(E142-$F$7)</f>
        <v/>
      </c>
      <c r="P142" s="31">
        <f>ABS(E142-$F$8)</f>
        <v/>
      </c>
      <c r="Q142" s="14">
        <f>IF(K142&gt;=MAX(L142,M142), "Hemat", IF(L142&gt;=M142, "Balanced", "Premium"))</f>
        <v/>
      </c>
      <c r="R142" s="30" t="n">
        <v>5.757754513908737e-06</v>
      </c>
      <c r="S142" s="30" t="n">
        <v>0.9999936829816778</v>
      </c>
      <c r="T142" s="30" t="n">
        <v>5.592638083270285e-07</v>
      </c>
      <c r="U142" s="31">
        <f>ABS(E142-$G$6)</f>
        <v/>
      </c>
      <c r="V142" s="31">
        <f>ABS(E142-$G$7)</f>
        <v/>
      </c>
      <c r="W142" s="31">
        <f>ABS(E142-$G$8)</f>
        <v/>
      </c>
      <c r="X142" s="14">
        <f>IF(R142&gt;=MAX(S142,T142), "Hemat", IF(S142&gt;=T142, "Balanced", "Premium"))</f>
        <v/>
      </c>
    </row>
    <row r="143">
      <c r="A143" s="14" t="n">
        <v>134</v>
      </c>
      <c r="B143" s="7" t="inlineStr">
        <is>
          <t>KLEINE HOLLAND</t>
        </is>
      </c>
      <c r="C143" s="26" t="n">
        <v>-7.882323</v>
      </c>
      <c r="D143" s="26" t="n">
        <v>112.5146016</v>
      </c>
      <c r="E143" s="21" t="n">
        <v>15000</v>
      </c>
      <c r="F143" s="27" t="n">
        <v>4.5</v>
      </c>
      <c r="G143" s="28" t="n">
        <v>981</v>
      </c>
      <c r="H143" s="14" t="inlineStr">
        <is>
          <t>Tujuan Wisata · </t>
        </is>
      </c>
      <c r="I143" s="29">
        <f>6371 * 2 * ASIN(SQRT(SIN(RADIANS((C143) - INDEX('Dataset_Wisata'!$C$12:$C$622, MATCH('Dashboard'!$C$9, 'Dataset_Wisata'!$A$12:$A$622, 0)))/2)^2 + COS(RADIANS(INDEX('Dataset_Wisata'!$C$12:$C$622, MATCH('Dashboard'!$C$9, 'Dataset_Wisata'!$A$12:$A$622, 0)))) * COS(RADIANS(C143)) * SIN(RADIANS((D143) - INDEX('Dataset_Wisata'!$D$12:$D$622, MATCH('Dashboard'!$C$9, 'Dataset_Wisata'!$A$12:$A$622, 0)))/2)^2)) * 1.3</f>
        <v/>
      </c>
      <c r="J143" s="21">
        <f>ROUND(I143 * IF('Dashboard'!$C$6&lt;=1, 2250, IF('Dashboard'!$C$6&lt;=4, 5150, 6000)), 0)</f>
        <v/>
      </c>
      <c r="K143" s="30" t="n">
        <v>0.9744283047002794</v>
      </c>
      <c r="L143" s="30" t="n">
        <v>0.02447712712252609</v>
      </c>
      <c r="M143" s="30" t="n">
        <v>0.001094568177194568</v>
      </c>
      <c r="N143" s="31">
        <f>ABS(E143-$F$6)</f>
        <v/>
      </c>
      <c r="O143" s="31">
        <f>ABS(E143-$F$7)</f>
        <v/>
      </c>
      <c r="P143" s="31">
        <f>ABS(E143-$F$8)</f>
        <v/>
      </c>
      <c r="Q143" s="14">
        <f>IF(K143&gt;=MAX(L143,M143), "Hemat", IF(L143&gt;=M143, "Balanced", "Premium"))</f>
        <v/>
      </c>
      <c r="R143" s="30" t="n">
        <v>0.9744283195785179</v>
      </c>
      <c r="S143" s="30" t="n">
        <v>0.02447711252884811</v>
      </c>
      <c r="T143" s="30" t="n">
        <v>0.001094567892634054</v>
      </c>
      <c r="U143" s="31">
        <f>ABS(E143-$G$6)</f>
        <v/>
      </c>
      <c r="V143" s="31">
        <f>ABS(E143-$G$7)</f>
        <v/>
      </c>
      <c r="W143" s="31">
        <f>ABS(E143-$G$8)</f>
        <v/>
      </c>
      <c r="X143" s="14">
        <f>IF(R143&gt;=MAX(S143,T143), "Hemat", IF(S143&gt;=T143, "Balanced", "Premium"))</f>
        <v/>
      </c>
    </row>
    <row r="144">
      <c r="A144" s="14" t="n">
        <v>135</v>
      </c>
      <c r="B144" s="7" t="inlineStr">
        <is>
          <t>Pasar Wisata</t>
        </is>
      </c>
      <c r="C144" s="26" t="n">
        <v>-7.883755</v>
      </c>
      <c r="D144" s="26" t="n">
        <v>112.523756</v>
      </c>
      <c r="E144" s="21" t="n">
        <v>10000</v>
      </c>
      <c r="F144" s="27" t="n">
        <v>4.5</v>
      </c>
      <c r="G144" s="28" t="n">
        <v>120</v>
      </c>
      <c r="H144" s="14" t="inlineStr">
        <is>
          <t>Pasar Wisata</t>
        </is>
      </c>
      <c r="I144" s="29">
        <f>6371 * 2 * ASIN(SQRT(SIN(RADIANS((C144) - INDEX('Dataset_Wisata'!$C$12:$C$622, MATCH('Dashboard'!$C$9, 'Dataset_Wisata'!$A$12:$A$622, 0)))/2)^2 + COS(RADIANS(INDEX('Dataset_Wisata'!$C$12:$C$622, MATCH('Dashboard'!$C$9, 'Dataset_Wisata'!$A$12:$A$622, 0)))) * COS(RADIANS(C144)) * SIN(RADIANS((D144) - INDEX('Dataset_Wisata'!$D$12:$D$622, MATCH('Dashboard'!$C$9, 'Dataset_Wisata'!$A$12:$A$622, 0)))/2)^2)) * 1.3</f>
        <v/>
      </c>
      <c r="J144" s="21">
        <f>ROUND(I144 * IF('Dashboard'!$C$6&lt;=1, 2250, IF('Dashboard'!$C$6&lt;=4, 5150, 6000)), 0)</f>
        <v/>
      </c>
      <c r="K144" s="30" t="n">
        <v>0.9998126508185596</v>
      </c>
      <c r="L144" s="30" t="n">
        <v>0.0001775718391516968</v>
      </c>
      <c r="M144" s="30" t="n">
        <v>9.7773422886897e-06</v>
      </c>
      <c r="N144" s="31">
        <f>ABS(E144-$F$6)</f>
        <v/>
      </c>
      <c r="O144" s="31">
        <f>ABS(E144-$F$7)</f>
        <v/>
      </c>
      <c r="P144" s="31">
        <f>ABS(E144-$F$8)</f>
        <v/>
      </c>
      <c r="Q144" s="14">
        <f>IF(K144&gt;=MAX(L144,M144), "Hemat", IF(L144&gt;=M144, "Balanced", "Premium"))</f>
        <v/>
      </c>
      <c r="R144" s="30" t="n">
        <v>0.9998126513362043</v>
      </c>
      <c r="S144" s="30" t="n">
        <v>0.0001775713458315561</v>
      </c>
      <c r="T144" s="30" t="n">
        <v>9.777317964159987e-06</v>
      </c>
      <c r="U144" s="31">
        <f>ABS(E144-$G$6)</f>
        <v/>
      </c>
      <c r="V144" s="31">
        <f>ABS(E144-$G$7)</f>
        <v/>
      </c>
      <c r="W144" s="31">
        <f>ABS(E144-$G$8)</f>
        <v/>
      </c>
      <c r="X144" s="14">
        <f>IF(R144&gt;=MAX(S144,T144), "Hemat", IF(S144&gt;=T144, "Balanced", "Premium"))</f>
        <v/>
      </c>
    </row>
    <row r="145">
      <c r="A145" s="14" t="n">
        <v>136</v>
      </c>
      <c r="B145" s="7" t="inlineStr">
        <is>
          <t>Candi Songgoriti</t>
        </is>
      </c>
      <c r="C145" s="26" t="n">
        <v>-7.8671726</v>
      </c>
      <c r="D145" s="26" t="n">
        <v>112.4927832</v>
      </c>
      <c r="E145" s="21" t="n">
        <v>10000</v>
      </c>
      <c r="F145" s="27" t="n">
        <v>4.4</v>
      </c>
      <c r="G145" s="28" t="n">
        <v>268</v>
      </c>
      <c r="H145" s="14" t="inlineStr">
        <is>
          <t>"Cocok untuk wisata edukasi sejarah."</t>
        </is>
      </c>
      <c r="I145" s="29">
        <f>6371 * 2 * ASIN(SQRT(SIN(RADIANS((C145) - INDEX('Dataset_Wisata'!$C$12:$C$622, MATCH('Dashboard'!$C$9, 'Dataset_Wisata'!$A$12:$A$622, 0)))/2)^2 + COS(RADIANS(INDEX('Dataset_Wisata'!$C$12:$C$622, MATCH('Dashboard'!$C$9, 'Dataset_Wisata'!$A$12:$A$622, 0)))) * COS(RADIANS(C145)) * SIN(RADIANS((D145) - INDEX('Dataset_Wisata'!$D$12:$D$622, MATCH('Dashboard'!$C$9, 'Dataset_Wisata'!$A$12:$A$622, 0)))/2)^2)) * 1.3</f>
        <v/>
      </c>
      <c r="J145" s="21">
        <f>ROUND(I145 * IF('Dashboard'!$C$6&lt;=1, 2250, IF('Dashboard'!$C$6&lt;=4, 5150, 6000)), 0)</f>
        <v/>
      </c>
      <c r="K145" s="30" t="n">
        <v>0.9998126508185596</v>
      </c>
      <c r="L145" s="30" t="n">
        <v>0.0001775718391516968</v>
      </c>
      <c r="M145" s="30" t="n">
        <v>9.7773422886897e-06</v>
      </c>
      <c r="N145" s="31">
        <f>ABS(E145-$F$6)</f>
        <v/>
      </c>
      <c r="O145" s="31">
        <f>ABS(E145-$F$7)</f>
        <v/>
      </c>
      <c r="P145" s="31">
        <f>ABS(E145-$F$8)</f>
        <v/>
      </c>
      <c r="Q145" s="14">
        <f>IF(K145&gt;=MAX(L145,M145), "Hemat", IF(L145&gt;=M145, "Balanced", "Premium"))</f>
        <v/>
      </c>
      <c r="R145" s="30" t="n">
        <v>0.9998126513362043</v>
      </c>
      <c r="S145" s="30" t="n">
        <v>0.0001775713458315561</v>
      </c>
      <c r="T145" s="30" t="n">
        <v>9.777317964159987e-06</v>
      </c>
      <c r="U145" s="31">
        <f>ABS(E145-$G$6)</f>
        <v/>
      </c>
      <c r="V145" s="31">
        <f>ABS(E145-$G$7)</f>
        <v/>
      </c>
      <c r="W145" s="31">
        <f>ABS(E145-$G$8)</f>
        <v/>
      </c>
      <c r="X145" s="14">
        <f>IF(R145&gt;=MAX(S145,T145), "Hemat", IF(S145&gt;=T145, "Balanced", "Premium"))</f>
        <v/>
      </c>
    </row>
    <row r="146">
      <c r="A146" s="14" t="n">
        <v>137</v>
      </c>
      <c r="B146" s="7" t="inlineStr">
        <is>
          <t>Alun-Alun Kota Wisata Batu</t>
        </is>
      </c>
      <c r="C146" s="26" t="n">
        <v>-7.8711714</v>
      </c>
      <c r="D146" s="26" t="n">
        <v>112.5269243</v>
      </c>
      <c r="E146" s="21" t="n">
        <v>5000</v>
      </c>
      <c r="F146" s="27" t="n">
        <v>4.7</v>
      </c>
      <c r="G146" s="28" t="n">
        <v>33584</v>
      </c>
      <c r="H146" s="14" t="inlineStr">
        <is>
          <t>Alun-Alun Kota Wisata Batu</t>
        </is>
      </c>
      <c r="I146" s="29">
        <f>6371 * 2 * ASIN(SQRT(SIN(RADIANS((C146) - INDEX('Dataset_Wisata'!$C$12:$C$622, MATCH('Dashboard'!$C$9, 'Dataset_Wisata'!$A$12:$A$622, 0)))/2)^2 + COS(RADIANS(INDEX('Dataset_Wisata'!$C$12:$C$622, MATCH('Dashboard'!$C$9, 'Dataset_Wisata'!$A$12:$A$622, 0)))) * COS(RADIANS(C146)) * SIN(RADIANS((D146) - INDEX('Dataset_Wisata'!$D$12:$D$622, MATCH('Dashboard'!$C$9, 'Dataset_Wisata'!$A$12:$A$622, 0)))/2)^2)) * 1.3</f>
        <v/>
      </c>
      <c r="J146" s="21">
        <f>ROUND(I146 * IF('Dashboard'!$C$6&lt;=1, 2250, IF('Dashboard'!$C$6&lt;=4, 5150, 6000)), 0)</f>
        <v/>
      </c>
      <c r="K146" s="30" t="n">
        <v>0.9895566543895754</v>
      </c>
      <c r="L146" s="30" t="n">
        <v>0.009798611400025654</v>
      </c>
      <c r="M146" s="30" t="n">
        <v>0.0006447342103988783</v>
      </c>
      <c r="N146" s="31">
        <f>ABS(E146-$F$6)</f>
        <v/>
      </c>
      <c r="O146" s="31">
        <f>ABS(E146-$F$7)</f>
        <v/>
      </c>
      <c r="P146" s="31">
        <f>ABS(E146-$F$8)</f>
        <v/>
      </c>
      <c r="Q146" s="14">
        <f>IF(K146&gt;=MAX(L146,M146), "Hemat", IF(L146&gt;=M146, "Balanced", "Premium"))</f>
        <v/>
      </c>
      <c r="R146" s="30" t="n">
        <v>0.9895566542341836</v>
      </c>
      <c r="S146" s="30" t="n">
        <v>0.00979861139170024</v>
      </c>
      <c r="T146" s="30" t="n">
        <v>0.00064473437411607</v>
      </c>
      <c r="U146" s="31">
        <f>ABS(E146-$G$6)</f>
        <v/>
      </c>
      <c r="V146" s="31">
        <f>ABS(E146-$G$7)</f>
        <v/>
      </c>
      <c r="W146" s="31">
        <f>ABS(E146-$G$8)</f>
        <v/>
      </c>
      <c r="X146" s="14">
        <f>IF(R146&gt;=MAX(S146,T146), "Hemat", IF(S146&gt;=T146, "Balanced", "Premium"))</f>
        <v/>
      </c>
    </row>
    <row r="147">
      <c r="A147" s="14" t="n">
        <v>139</v>
      </c>
      <c r="B147" s="7" t="inlineStr">
        <is>
          <t>Wisata Petik Apel Agro Rakyat</t>
        </is>
      </c>
      <c r="C147" s="26" t="n">
        <v>-7.852853</v>
      </c>
      <c r="D147" s="26" t="n">
        <v>112.5272207</v>
      </c>
      <c r="E147" s="21" t="n">
        <v>20000</v>
      </c>
      <c r="F147" s="27" t="n">
        <v>4.3</v>
      </c>
      <c r="G147" s="28" t="n">
        <v>2297</v>
      </c>
      <c r="H147" s="14" t="inlineStr">
        <is>
          <t>Wisata Petik Apel Agro Rakyat</t>
        </is>
      </c>
      <c r="I147" s="29">
        <f>6371 * 2 * ASIN(SQRT(SIN(RADIANS((C147) - INDEX('Dataset_Wisata'!$C$12:$C$622, MATCH('Dashboard'!$C$9, 'Dataset_Wisata'!$A$12:$A$622, 0)))/2)^2 + COS(RADIANS(INDEX('Dataset_Wisata'!$C$12:$C$622, MATCH('Dashboard'!$C$9, 'Dataset_Wisata'!$A$12:$A$622, 0)))) * COS(RADIANS(C147)) * SIN(RADIANS((D147) - INDEX('Dataset_Wisata'!$D$12:$D$622, MATCH('Dashboard'!$C$9, 'Dataset_Wisata'!$A$12:$A$622, 0)))/2)^2)) * 1.3</f>
        <v/>
      </c>
      <c r="J147" s="21">
        <f>ROUND(I147 * IF('Dashboard'!$C$6&lt;=1, 2250, IF('Dashboard'!$C$6&lt;=4, 5150, 6000)), 0)</f>
        <v/>
      </c>
      <c r="K147" s="30" t="n">
        <v>0.8862296979094436</v>
      </c>
      <c r="L147" s="30" t="n">
        <v>0.1099329410905347</v>
      </c>
      <c r="M147" s="30" t="n">
        <v>0.003837361000021699</v>
      </c>
      <c r="N147" s="31">
        <f>ABS(E147-$F$6)</f>
        <v/>
      </c>
      <c r="O147" s="31">
        <f>ABS(E147-$F$7)</f>
        <v/>
      </c>
      <c r="P147" s="31">
        <f>ABS(E147-$F$8)</f>
        <v/>
      </c>
      <c r="Q147" s="14">
        <f>IF(K147&gt;=MAX(L147,M147), "Hemat", IF(L147&gt;=M147, "Balanced", "Premium"))</f>
        <v/>
      </c>
      <c r="R147" s="30" t="n">
        <v>0.8862297532761809</v>
      </c>
      <c r="S147" s="30" t="n">
        <v>0.1099328861159962</v>
      </c>
      <c r="T147" s="30" t="n">
        <v>0.003837360607822898</v>
      </c>
      <c r="U147" s="31">
        <f>ABS(E147-$G$6)</f>
        <v/>
      </c>
      <c r="V147" s="31">
        <f>ABS(E147-$G$7)</f>
        <v/>
      </c>
      <c r="W147" s="31">
        <f>ABS(E147-$G$8)</f>
        <v/>
      </c>
      <c r="X147" s="14">
        <f>IF(R147&gt;=MAX(S147,T147), "Hemat", IF(S147&gt;=T147, "Balanced", "Premium"))</f>
        <v/>
      </c>
    </row>
    <row r="148">
      <c r="A148" s="14" t="n">
        <v>140</v>
      </c>
      <c r="B148" s="7" t="inlineStr">
        <is>
          <t>Sumber Torong Park</t>
        </is>
      </c>
      <c r="C148" s="26" t="n">
        <v>-7.872855</v>
      </c>
      <c r="D148" s="26" t="n">
        <v>112.530896</v>
      </c>
      <c r="E148" s="21" t="n">
        <v>10000</v>
      </c>
      <c r="F148" s="27" t="n">
        <v>4.4</v>
      </c>
      <c r="G148" s="28" t="n">
        <v>130</v>
      </c>
      <c r="H148" s="14" t="inlineStr">
        <is>
          <t>Wisata Umum</t>
        </is>
      </c>
      <c r="I148" s="29">
        <f>6371 * 2 * ASIN(SQRT(SIN(RADIANS((C148) - INDEX('Dataset_Wisata'!$C$12:$C$622, MATCH('Dashboard'!$C$9, 'Dataset_Wisata'!$A$12:$A$622, 0)))/2)^2 + COS(RADIANS(INDEX('Dataset_Wisata'!$C$12:$C$622, MATCH('Dashboard'!$C$9, 'Dataset_Wisata'!$A$12:$A$622, 0)))) * COS(RADIANS(C148)) * SIN(RADIANS((D148) - INDEX('Dataset_Wisata'!$D$12:$D$622, MATCH('Dashboard'!$C$9, 'Dataset_Wisata'!$A$12:$A$622, 0)))/2)^2)) * 1.3</f>
        <v/>
      </c>
      <c r="J148" s="21">
        <f>ROUND(I148 * IF('Dashboard'!$C$6&lt;=1, 2250, IF('Dashboard'!$C$6&lt;=4, 5150, 6000)), 0)</f>
        <v/>
      </c>
      <c r="K148" s="30" t="n">
        <v>0.9998126508185596</v>
      </c>
      <c r="L148" s="30" t="n">
        <v>0.0001775718391516968</v>
      </c>
      <c r="M148" s="30" t="n">
        <v>9.7773422886897e-06</v>
      </c>
      <c r="N148" s="31">
        <f>ABS(E148-$F$6)</f>
        <v/>
      </c>
      <c r="O148" s="31">
        <f>ABS(E148-$F$7)</f>
        <v/>
      </c>
      <c r="P148" s="31">
        <f>ABS(E148-$F$8)</f>
        <v/>
      </c>
      <c r="Q148" s="14">
        <f>IF(K148&gt;=MAX(L148,M148), "Hemat", IF(L148&gt;=M148, "Balanced", "Premium"))</f>
        <v/>
      </c>
      <c r="R148" s="30" t="n">
        <v>0.9998126513362043</v>
      </c>
      <c r="S148" s="30" t="n">
        <v>0.0001775713458315561</v>
      </c>
      <c r="T148" s="30" t="n">
        <v>9.777317964159987e-06</v>
      </c>
      <c r="U148" s="31">
        <f>ABS(E148-$G$6)</f>
        <v/>
      </c>
      <c r="V148" s="31">
        <f>ABS(E148-$G$7)</f>
        <v/>
      </c>
      <c r="W148" s="31">
        <f>ABS(E148-$G$8)</f>
        <v/>
      </c>
      <c r="X148" s="14">
        <f>IF(R148&gt;=MAX(S148,T148), "Hemat", IF(S148&gt;=T148, "Balanced", "Premium"))</f>
        <v/>
      </c>
    </row>
    <row r="149">
      <c r="A149" s="14" t="n">
        <v>141</v>
      </c>
      <c r="B149" s="7" t="inlineStr">
        <is>
          <t>Taman Dolan</t>
        </is>
      </c>
      <c r="C149" s="26" t="n">
        <v>-7.8640962</v>
      </c>
      <c r="D149" s="26" t="n">
        <v>112.5540115</v>
      </c>
      <c r="E149" s="21" t="n">
        <v>15000</v>
      </c>
      <c r="F149" s="27" t="n">
        <v>4.2</v>
      </c>
      <c r="G149" s="28" t="n">
        <v>3235</v>
      </c>
      <c r="H149" s="14" t="inlineStr">
        <is>
          <t>Taman Dolan</t>
        </is>
      </c>
      <c r="I149" s="29">
        <f>6371 * 2 * ASIN(SQRT(SIN(RADIANS((C149) - INDEX('Dataset_Wisata'!$C$12:$C$622, MATCH('Dashboard'!$C$9, 'Dataset_Wisata'!$A$12:$A$622, 0)))/2)^2 + COS(RADIANS(INDEX('Dataset_Wisata'!$C$12:$C$622, MATCH('Dashboard'!$C$9, 'Dataset_Wisata'!$A$12:$A$622, 0)))) * COS(RADIANS(C149)) * SIN(RADIANS((D149) - INDEX('Dataset_Wisata'!$D$12:$D$622, MATCH('Dashboard'!$C$9, 'Dataset_Wisata'!$A$12:$A$622, 0)))/2)^2)) * 1.3</f>
        <v/>
      </c>
      <c r="J149" s="21">
        <f>ROUND(I149 * IF('Dashboard'!$C$6&lt;=1, 2250, IF('Dashboard'!$C$6&lt;=4, 5150, 6000)), 0)</f>
        <v/>
      </c>
      <c r="K149" s="30" t="n">
        <v>0.9744283047002794</v>
      </c>
      <c r="L149" s="30" t="n">
        <v>0.02447712712252609</v>
      </c>
      <c r="M149" s="30" t="n">
        <v>0.001094568177194568</v>
      </c>
      <c r="N149" s="31">
        <f>ABS(E149-$F$6)</f>
        <v/>
      </c>
      <c r="O149" s="31">
        <f>ABS(E149-$F$7)</f>
        <v/>
      </c>
      <c r="P149" s="31">
        <f>ABS(E149-$F$8)</f>
        <v/>
      </c>
      <c r="Q149" s="14">
        <f>IF(K149&gt;=MAX(L149,M149), "Hemat", IF(L149&gt;=M149, "Balanced", "Premium"))</f>
        <v/>
      </c>
      <c r="R149" s="30" t="n">
        <v>0.9744283195785179</v>
      </c>
      <c r="S149" s="30" t="n">
        <v>0.02447711252884811</v>
      </c>
      <c r="T149" s="30" t="n">
        <v>0.001094567892634054</v>
      </c>
      <c r="U149" s="31">
        <f>ABS(E149-$G$6)</f>
        <v/>
      </c>
      <c r="V149" s="31">
        <f>ABS(E149-$G$7)</f>
        <v/>
      </c>
      <c r="W149" s="31">
        <f>ABS(E149-$G$8)</f>
        <v/>
      </c>
      <c r="X149" s="14">
        <f>IF(R149&gt;=MAX(S149,T149), "Hemat", IF(S149&gt;=T149, "Balanced", "Premium"))</f>
        <v/>
      </c>
    </row>
    <row r="150">
      <c r="A150" s="14" t="n">
        <v>142</v>
      </c>
      <c r="B150" s="7" t="inlineStr">
        <is>
          <t>Kawasan Wisata Kusuma Agro</t>
        </is>
      </c>
      <c r="C150" s="26" t="n">
        <v>-7.882477</v>
      </c>
      <c r="D150" s="26" t="n">
        <v>112.514895</v>
      </c>
      <c r="E150" s="21" t="n">
        <v>10000</v>
      </c>
      <c r="F150" s="27" t="n">
        <v>4.4</v>
      </c>
      <c r="G150" s="28" t="n">
        <v>3164</v>
      </c>
      <c r="H150" s="14" t="inlineStr">
        <is>
          <t>Kawasan Wisata Kusuma Agro</t>
        </is>
      </c>
      <c r="I150" s="29">
        <f>6371 * 2 * ASIN(SQRT(SIN(RADIANS((C150) - INDEX('Dataset_Wisata'!$C$12:$C$622, MATCH('Dashboard'!$C$9, 'Dataset_Wisata'!$A$12:$A$622, 0)))/2)^2 + COS(RADIANS(INDEX('Dataset_Wisata'!$C$12:$C$622, MATCH('Dashboard'!$C$9, 'Dataset_Wisata'!$A$12:$A$622, 0)))) * COS(RADIANS(C150)) * SIN(RADIANS((D150) - INDEX('Dataset_Wisata'!$D$12:$D$622, MATCH('Dashboard'!$C$9, 'Dataset_Wisata'!$A$12:$A$622, 0)))/2)^2)) * 1.3</f>
        <v/>
      </c>
      <c r="J150" s="21">
        <f>ROUND(I150 * IF('Dashboard'!$C$6&lt;=1, 2250, IF('Dashboard'!$C$6&lt;=4, 5150, 6000)), 0)</f>
        <v/>
      </c>
      <c r="K150" s="30" t="n">
        <v>0.9998126508185596</v>
      </c>
      <c r="L150" s="30" t="n">
        <v>0.0001775718391516968</v>
      </c>
      <c r="M150" s="30" t="n">
        <v>9.7773422886897e-06</v>
      </c>
      <c r="N150" s="31">
        <f>ABS(E150-$F$6)</f>
        <v/>
      </c>
      <c r="O150" s="31">
        <f>ABS(E150-$F$7)</f>
        <v/>
      </c>
      <c r="P150" s="31">
        <f>ABS(E150-$F$8)</f>
        <v/>
      </c>
      <c r="Q150" s="14">
        <f>IF(K150&gt;=MAX(L150,M150), "Hemat", IF(L150&gt;=M150, "Balanced", "Premium"))</f>
        <v/>
      </c>
      <c r="R150" s="30" t="n">
        <v>0.9998126513362043</v>
      </c>
      <c r="S150" s="30" t="n">
        <v>0.0001775713458315561</v>
      </c>
      <c r="T150" s="30" t="n">
        <v>9.777317964159987e-06</v>
      </c>
      <c r="U150" s="31">
        <f>ABS(E150-$G$6)</f>
        <v/>
      </c>
      <c r="V150" s="31">
        <f>ABS(E150-$G$7)</f>
        <v/>
      </c>
      <c r="W150" s="31">
        <f>ABS(E150-$G$8)</f>
        <v/>
      </c>
      <c r="X150" s="14">
        <f>IF(R150&gt;=MAX(S150,T150), "Hemat", IF(S150&gt;=T150, "Balanced", "Premium"))</f>
        <v/>
      </c>
    </row>
    <row r="151">
      <c r="A151" s="14" t="n">
        <v>144</v>
      </c>
      <c r="B151" s="7" t="inlineStr">
        <is>
          <t>The Bagong Adventure Museum Tubuh</t>
        </is>
      </c>
      <c r="C151" s="26" t="n">
        <v>-7.8834283</v>
      </c>
      <c r="D151" s="26" t="n">
        <v>112.5250274</v>
      </c>
      <c r="E151" s="21" t="n">
        <v>60000</v>
      </c>
      <c r="F151" s="27" t="n">
        <v>4.7</v>
      </c>
      <c r="G151" s="28" t="n">
        <v>5012</v>
      </c>
      <c r="H151" s="14" t="inlineStr">
        <is>
          <t>The Bagong Adventure Museum Tubuh</t>
        </is>
      </c>
      <c r="I151" s="29">
        <f>6371 * 2 * ASIN(SQRT(SIN(RADIANS((C151) - INDEX('Dataset_Wisata'!$C$12:$C$622, MATCH('Dashboard'!$C$9, 'Dataset_Wisata'!$A$12:$A$622, 0)))/2)^2 + COS(RADIANS(INDEX('Dataset_Wisata'!$C$12:$C$622, MATCH('Dashboard'!$C$9, 'Dataset_Wisata'!$A$12:$A$622, 0)))) * COS(RADIANS(C151)) * SIN(RADIANS((D151) - INDEX('Dataset_Wisata'!$D$12:$D$622, MATCH('Dashboard'!$C$9, 'Dataset_Wisata'!$A$12:$A$622, 0)))/2)^2)) * 1.3</f>
        <v/>
      </c>
      <c r="J151" s="21">
        <f>ROUND(I151 * IF('Dashboard'!$C$6&lt;=1, 2250, IF('Dashboard'!$C$6&lt;=4, 5150, 6000)), 0)</f>
        <v/>
      </c>
      <c r="K151" s="30" t="n">
        <v>0.03813560740753515</v>
      </c>
      <c r="L151" s="30" t="n">
        <v>0.9551077970041918</v>
      </c>
      <c r="M151" s="30" t="n">
        <v>0.006756595588273031</v>
      </c>
      <c r="N151" s="31">
        <f>ABS(E151-$F$6)</f>
        <v/>
      </c>
      <c r="O151" s="31">
        <f>ABS(E151-$F$7)</f>
        <v/>
      </c>
      <c r="P151" s="31">
        <f>ABS(E151-$F$8)</f>
        <v/>
      </c>
      <c r="Q151" s="14">
        <f>IF(K151&gt;=MAX(L151,M151), "Hemat", IF(L151&gt;=M151, "Balanced", "Premium"))</f>
        <v/>
      </c>
      <c r="R151" s="30" t="n">
        <v>0.03813556102953696</v>
      </c>
      <c r="S151" s="30" t="n">
        <v>0.9551078521424723</v>
      </c>
      <c r="T151" s="30" t="n">
        <v>0.00675658682799073</v>
      </c>
      <c r="U151" s="31">
        <f>ABS(E151-$G$6)</f>
        <v/>
      </c>
      <c r="V151" s="31">
        <f>ABS(E151-$G$7)</f>
        <v/>
      </c>
      <c r="W151" s="31">
        <f>ABS(E151-$G$8)</f>
        <v/>
      </c>
      <c r="X151" s="14">
        <f>IF(R151&gt;=MAX(S151,T151), "Hemat", IF(S151&gt;=T151, "Balanced", "Premium"))</f>
        <v/>
      </c>
    </row>
    <row r="152">
      <c r="A152" s="14" t="n">
        <v>145</v>
      </c>
      <c r="B152" s="7" t="inlineStr">
        <is>
          <t>Bukit Bintang Batu Malang</t>
        </is>
      </c>
      <c r="C152" s="26" t="n">
        <v>-7.8786786</v>
      </c>
      <c r="D152" s="26" t="n">
        <v>112.5226448</v>
      </c>
      <c r="E152" s="21" t="n">
        <v>40000</v>
      </c>
      <c r="F152" s="27" t="n">
        <v>4.5</v>
      </c>
      <c r="G152" s="28" t="n">
        <v>3070</v>
      </c>
      <c r="H152" s="14" t="inlineStr">
        <is>
          <t>Wisata Umum</t>
        </is>
      </c>
      <c r="I152" s="29">
        <f>6371 * 2 * ASIN(SQRT(SIN(RADIANS((C152) - INDEX('Dataset_Wisata'!$C$12:$C$622, MATCH('Dashboard'!$C$9, 'Dataset_Wisata'!$A$12:$A$622, 0)))/2)^2 + COS(RADIANS(INDEX('Dataset_Wisata'!$C$12:$C$622, MATCH('Dashboard'!$C$9, 'Dataset_Wisata'!$A$12:$A$622, 0)))) * COS(RADIANS(C152)) * SIN(RADIANS((D152) - INDEX('Dataset_Wisata'!$D$12:$D$622, MATCH('Dashboard'!$C$9, 'Dataset_Wisata'!$A$12:$A$622, 0)))/2)^2)) * 1.3</f>
        <v/>
      </c>
      <c r="J152" s="21">
        <f>ROUND(I152 * IF('Dashboard'!$C$6&lt;=1, 2250, IF('Dashboard'!$C$6&lt;=4, 5150, 6000)), 0)</f>
        <v/>
      </c>
      <c r="K152" s="30" t="n">
        <v>0.09475584772458329</v>
      </c>
      <c r="L152" s="30" t="n">
        <v>0.9007407836685044</v>
      </c>
      <c r="M152" s="30" t="n">
        <v>0.004503368606912272</v>
      </c>
      <c r="N152" s="31">
        <f>ABS(E152-$F$6)</f>
        <v/>
      </c>
      <c r="O152" s="31">
        <f>ABS(E152-$F$7)</f>
        <v/>
      </c>
      <c r="P152" s="31">
        <f>ABS(E152-$F$8)</f>
        <v/>
      </c>
      <c r="Q152" s="14">
        <f>IF(K152&gt;=MAX(L152,M152), "Hemat", IF(L152&gt;=M152, "Balanced", "Premium"))</f>
        <v/>
      </c>
      <c r="R152" s="30" t="n">
        <v>0.09475596450885283</v>
      </c>
      <c r="S152" s="30" t="n">
        <v>0.9007406617370142</v>
      </c>
      <c r="T152" s="30" t="n">
        <v>0.004503373754133038</v>
      </c>
      <c r="U152" s="31">
        <f>ABS(E152-$G$6)</f>
        <v/>
      </c>
      <c r="V152" s="31">
        <f>ABS(E152-$G$7)</f>
        <v/>
      </c>
      <c r="W152" s="31">
        <f>ABS(E152-$G$8)</f>
        <v/>
      </c>
      <c r="X152" s="14">
        <f>IF(R152&gt;=MAX(S152,T152), "Hemat", IF(S152&gt;=T152, "Balanced", "Premium"))</f>
        <v/>
      </c>
    </row>
    <row r="153">
      <c r="A153" s="14" t="n">
        <v>146</v>
      </c>
      <c r="B153" s="7" t="inlineStr">
        <is>
          <t>Songgoriti Hot Springs</t>
        </is>
      </c>
      <c r="C153" s="26" t="n">
        <v>-7.8666636</v>
      </c>
      <c r="D153" s="26" t="n">
        <v>112.4939949</v>
      </c>
      <c r="E153" s="21" t="n">
        <v>40000</v>
      </c>
      <c r="F153" s="27" t="n">
        <v>4.4</v>
      </c>
      <c r="G153" s="28" t="n">
        <v>1341</v>
      </c>
      <c r="H153" s="14" t="inlineStr">
        <is>
          <t>Wisata Umum</t>
        </is>
      </c>
      <c r="I153" s="29">
        <f>6371 * 2 * ASIN(SQRT(SIN(RADIANS((C153) - INDEX('Dataset_Wisata'!$C$12:$C$622, MATCH('Dashboard'!$C$9, 'Dataset_Wisata'!$A$12:$A$622, 0)))/2)^2 + COS(RADIANS(INDEX('Dataset_Wisata'!$C$12:$C$622, MATCH('Dashboard'!$C$9, 'Dataset_Wisata'!$A$12:$A$622, 0)))) * COS(RADIANS(C153)) * SIN(RADIANS((D153) - INDEX('Dataset_Wisata'!$D$12:$D$622, MATCH('Dashboard'!$C$9, 'Dataset_Wisata'!$A$12:$A$622, 0)))/2)^2)) * 1.3</f>
        <v/>
      </c>
      <c r="J153" s="21">
        <f>ROUND(I153 * IF('Dashboard'!$C$6&lt;=1, 2250, IF('Dashboard'!$C$6&lt;=4, 5150, 6000)), 0)</f>
        <v/>
      </c>
      <c r="K153" s="30" t="n">
        <v>0.09475584772458329</v>
      </c>
      <c r="L153" s="30" t="n">
        <v>0.9007407836685044</v>
      </c>
      <c r="M153" s="30" t="n">
        <v>0.004503368606912272</v>
      </c>
      <c r="N153" s="31">
        <f>ABS(E153-$F$6)</f>
        <v/>
      </c>
      <c r="O153" s="31">
        <f>ABS(E153-$F$7)</f>
        <v/>
      </c>
      <c r="P153" s="31">
        <f>ABS(E153-$F$8)</f>
        <v/>
      </c>
      <c r="Q153" s="14">
        <f>IF(K153&gt;=MAX(L153,M153), "Hemat", IF(L153&gt;=M153, "Balanced", "Premium"))</f>
        <v/>
      </c>
      <c r="R153" s="30" t="n">
        <v>0.09475596450885283</v>
      </c>
      <c r="S153" s="30" t="n">
        <v>0.9007406617370142</v>
      </c>
      <c r="T153" s="30" t="n">
        <v>0.004503373754133038</v>
      </c>
      <c r="U153" s="31">
        <f>ABS(E153-$G$6)</f>
        <v/>
      </c>
      <c r="V153" s="31">
        <f>ABS(E153-$G$7)</f>
        <v/>
      </c>
      <c r="W153" s="31">
        <f>ABS(E153-$G$8)</f>
        <v/>
      </c>
      <c r="X153" s="14">
        <f>IF(R153&gt;=MAX(S153,T153), "Hemat", IF(S153&gt;=T153, "Balanced", "Premium"))</f>
        <v/>
      </c>
    </row>
    <row r="154">
      <c r="A154" s="14" t="n">
        <v>148</v>
      </c>
      <c r="B154" s="7" t="inlineStr">
        <is>
          <t>Gerbang Kota Wisata Batu</t>
        </is>
      </c>
      <c r="C154" s="26" t="n">
        <v>-7.859427</v>
      </c>
      <c r="D154" s="26" t="n">
        <v>112.487528</v>
      </c>
      <c r="E154" s="21" t="n">
        <v>40000</v>
      </c>
      <c r="F154" s="27" t="n">
        <v>4.5</v>
      </c>
      <c r="G154" s="28" t="n">
        <v>328</v>
      </c>
      <c r="H154" s="14" t="inlineStr">
        <is>
          <t>Gerbang Kota Wisata Batu</t>
        </is>
      </c>
      <c r="I154" s="29">
        <f>6371 * 2 * ASIN(SQRT(SIN(RADIANS((C154) - INDEX('Dataset_Wisata'!$C$12:$C$622, MATCH('Dashboard'!$C$9, 'Dataset_Wisata'!$A$12:$A$622, 0)))/2)^2 + COS(RADIANS(INDEX('Dataset_Wisata'!$C$12:$C$622, MATCH('Dashboard'!$C$9, 'Dataset_Wisata'!$A$12:$A$622, 0)))) * COS(RADIANS(C154)) * SIN(RADIANS((D154) - INDEX('Dataset_Wisata'!$D$12:$D$622, MATCH('Dashboard'!$C$9, 'Dataset_Wisata'!$A$12:$A$622, 0)))/2)^2)) * 1.3</f>
        <v/>
      </c>
      <c r="J154" s="21">
        <f>ROUND(I154 * IF('Dashboard'!$C$6&lt;=1, 2250, IF('Dashboard'!$C$6&lt;=4, 5150, 6000)), 0)</f>
        <v/>
      </c>
      <c r="K154" s="30" t="n">
        <v>0.09475584772458329</v>
      </c>
      <c r="L154" s="30" t="n">
        <v>0.9007407836685044</v>
      </c>
      <c r="M154" s="30" t="n">
        <v>0.004503368606912272</v>
      </c>
      <c r="N154" s="31">
        <f>ABS(E154-$F$6)</f>
        <v/>
      </c>
      <c r="O154" s="31">
        <f>ABS(E154-$F$7)</f>
        <v/>
      </c>
      <c r="P154" s="31">
        <f>ABS(E154-$F$8)</f>
        <v/>
      </c>
      <c r="Q154" s="14">
        <f>IF(K154&gt;=MAX(L154,M154), "Hemat", IF(L154&gt;=M154, "Balanced", "Premium"))</f>
        <v/>
      </c>
      <c r="R154" s="30" t="n">
        <v>0.09475596450885283</v>
      </c>
      <c r="S154" s="30" t="n">
        <v>0.9007406617370142</v>
      </c>
      <c r="T154" s="30" t="n">
        <v>0.004503373754133038</v>
      </c>
      <c r="U154" s="31">
        <f>ABS(E154-$G$6)</f>
        <v/>
      </c>
      <c r="V154" s="31">
        <f>ABS(E154-$G$7)</f>
        <v/>
      </c>
      <c r="W154" s="31">
        <f>ABS(E154-$G$8)</f>
        <v/>
      </c>
      <c r="X154" s="14">
        <f>IF(R154&gt;=MAX(S154,T154), "Hemat", IF(S154&gt;=T154, "Balanced", "Premium"))</f>
        <v/>
      </c>
    </row>
    <row r="155">
      <c r="A155" s="14" t="n">
        <v>149</v>
      </c>
      <c r="B155" s="7" t="inlineStr">
        <is>
          <t>Taman Dancok</t>
        </is>
      </c>
      <c r="C155" s="26" t="n">
        <v>-7.8680905</v>
      </c>
      <c r="D155" s="26" t="n">
        <v>112.4861059</v>
      </c>
      <c r="E155" s="21" t="n">
        <v>5000</v>
      </c>
      <c r="F155" s="27" t="n">
        <v>4.7</v>
      </c>
      <c r="G155" s="28" t="n">
        <v>22</v>
      </c>
      <c r="H155" s="14" t="inlineStr">
        <is>
          <t>Taman Dancok</t>
        </is>
      </c>
      <c r="I155" s="29">
        <f>6371 * 2 * ASIN(SQRT(SIN(RADIANS((C155) - INDEX('Dataset_Wisata'!$C$12:$C$622, MATCH('Dashboard'!$C$9, 'Dataset_Wisata'!$A$12:$A$622, 0)))/2)^2 + COS(RADIANS(INDEX('Dataset_Wisata'!$C$12:$C$622, MATCH('Dashboard'!$C$9, 'Dataset_Wisata'!$A$12:$A$622, 0)))) * COS(RADIANS(C155)) * SIN(RADIANS((D155) - INDEX('Dataset_Wisata'!$D$12:$D$622, MATCH('Dashboard'!$C$9, 'Dataset_Wisata'!$A$12:$A$622, 0)))/2)^2)) * 1.3</f>
        <v/>
      </c>
      <c r="J155" s="21">
        <f>ROUND(I155 * IF('Dashboard'!$C$6&lt;=1, 2250, IF('Dashboard'!$C$6&lt;=4, 5150, 6000)), 0)</f>
        <v/>
      </c>
      <c r="K155" s="30" t="n">
        <v>0.9895566543895754</v>
      </c>
      <c r="L155" s="30" t="n">
        <v>0.009798611400025654</v>
      </c>
      <c r="M155" s="30" t="n">
        <v>0.0006447342103988783</v>
      </c>
      <c r="N155" s="31">
        <f>ABS(E155-$F$6)</f>
        <v/>
      </c>
      <c r="O155" s="31">
        <f>ABS(E155-$F$7)</f>
        <v/>
      </c>
      <c r="P155" s="31">
        <f>ABS(E155-$F$8)</f>
        <v/>
      </c>
      <c r="Q155" s="14">
        <f>IF(K155&gt;=MAX(L155,M155), "Hemat", IF(L155&gt;=M155, "Balanced", "Premium"))</f>
        <v/>
      </c>
      <c r="R155" s="30" t="n">
        <v>0.9895566542341836</v>
      </c>
      <c r="S155" s="30" t="n">
        <v>0.00979861139170024</v>
      </c>
      <c r="T155" s="30" t="n">
        <v>0.00064473437411607</v>
      </c>
      <c r="U155" s="31">
        <f>ABS(E155-$G$6)</f>
        <v/>
      </c>
      <c r="V155" s="31">
        <f>ABS(E155-$G$7)</f>
        <v/>
      </c>
      <c r="W155" s="31">
        <f>ABS(E155-$G$8)</f>
        <v/>
      </c>
      <c r="X155" s="14">
        <f>IF(R155&gt;=MAX(S155,T155), "Hemat", IF(S155&gt;=T155, "Balanced", "Premium"))</f>
        <v/>
      </c>
    </row>
    <row r="156">
      <c r="A156" s="14" t="n">
        <v>150</v>
      </c>
      <c r="B156" s="7" t="inlineStr">
        <is>
          <t>Kusuma Edukasi Pertanian</t>
        </is>
      </c>
      <c r="C156" s="26" t="n">
        <v>-7.8805418</v>
      </c>
      <c r="D156" s="26" t="n">
        <v>112.5140954</v>
      </c>
      <c r="E156" s="21" t="n">
        <v>25000</v>
      </c>
      <c r="F156" s="27" t="n">
        <v>4.5</v>
      </c>
      <c r="G156" s="28" t="n">
        <v>223</v>
      </c>
      <c r="H156" s="14" t="inlineStr">
        <is>
          <t>Wisata Umum</t>
        </is>
      </c>
      <c r="I156" s="29">
        <f>6371 * 2 * ASIN(SQRT(SIN(RADIANS((C156) - INDEX('Dataset_Wisata'!$C$12:$C$622, MATCH('Dashboard'!$C$9, 'Dataset_Wisata'!$A$12:$A$622, 0)))/2)^2 + COS(RADIANS(INDEX('Dataset_Wisata'!$C$12:$C$622, MATCH('Dashboard'!$C$9, 'Dataset_Wisata'!$A$12:$A$622, 0)))) * COS(RADIANS(C156)) * SIN(RADIANS((D156) - INDEX('Dataset_Wisata'!$D$12:$D$622, MATCH('Dashboard'!$C$9, 'Dataset_Wisata'!$A$12:$A$622, 0)))/2)^2)) * 1.3</f>
        <v/>
      </c>
      <c r="J156" s="21">
        <f>ROUND(I156 * IF('Dashboard'!$C$6&lt;=1, 2250, IF('Dashboard'!$C$6&lt;=4, 5150, 6000)), 0)</f>
        <v/>
      </c>
      <c r="K156" s="30" t="n">
        <v>0.714779317495253</v>
      </c>
      <c r="L156" s="30" t="n">
        <v>0.2780482755376564</v>
      </c>
      <c r="M156" s="30" t="n">
        <v>0.0071724069670906</v>
      </c>
      <c r="N156" s="31">
        <f>ABS(E156-$F$6)</f>
        <v/>
      </c>
      <c r="O156" s="31">
        <f>ABS(E156-$F$7)</f>
        <v/>
      </c>
      <c r="P156" s="31">
        <f>ABS(E156-$F$8)</f>
        <v/>
      </c>
      <c r="Q156" s="14">
        <f>IF(K156&gt;=MAX(L156,M156), "Hemat", IF(L156&gt;=M156, "Balanced", "Premium"))</f>
        <v/>
      </c>
      <c r="R156" s="30" t="n">
        <v>0.7147794395425007</v>
      </c>
      <c r="S156" s="30" t="n">
        <v>0.2780481531707544</v>
      </c>
      <c r="T156" s="30" t="n">
        <v>0.007172407286744955</v>
      </c>
      <c r="U156" s="31">
        <f>ABS(E156-$G$6)</f>
        <v/>
      </c>
      <c r="V156" s="31">
        <f>ABS(E156-$G$7)</f>
        <v/>
      </c>
      <c r="W156" s="31">
        <f>ABS(E156-$G$8)</f>
        <v/>
      </c>
      <c r="X156" s="14">
        <f>IF(R156&gt;=MAX(S156,T156), "Hemat", IF(S156&gt;=T156, "Balanced", "Premium"))</f>
        <v/>
      </c>
    </row>
    <row r="157">
      <c r="A157" s="14" t="n">
        <v>151</v>
      </c>
      <c r="B157" s="7" t="inlineStr">
        <is>
          <t>Kusuma Waterpark</t>
        </is>
      </c>
      <c r="C157" s="26" t="n">
        <v>-7.8816345</v>
      </c>
      <c r="D157" s="26" t="n">
        <v>112.5148178</v>
      </c>
      <c r="E157" s="21" t="n">
        <v>25000</v>
      </c>
      <c r="F157" s="27" t="n">
        <v>4.3</v>
      </c>
      <c r="G157" s="28" t="n">
        <v>3087</v>
      </c>
      <c r="H157" s="14" t="inlineStr">
        <is>
          <t>Wisata Umum</t>
        </is>
      </c>
      <c r="I157" s="29">
        <f>6371 * 2 * ASIN(SQRT(SIN(RADIANS((C157) - INDEX('Dataset_Wisata'!$C$12:$C$622, MATCH('Dashboard'!$C$9, 'Dataset_Wisata'!$A$12:$A$622, 0)))/2)^2 + COS(RADIANS(INDEX('Dataset_Wisata'!$C$12:$C$622, MATCH('Dashboard'!$C$9, 'Dataset_Wisata'!$A$12:$A$622, 0)))) * COS(RADIANS(C157)) * SIN(RADIANS((D157) - INDEX('Dataset_Wisata'!$D$12:$D$622, MATCH('Dashboard'!$C$9, 'Dataset_Wisata'!$A$12:$A$622, 0)))/2)^2)) * 1.3</f>
        <v/>
      </c>
      <c r="J157" s="21">
        <f>ROUND(I157 * IF('Dashboard'!$C$6&lt;=1, 2250, IF('Dashboard'!$C$6&lt;=4, 5150, 6000)), 0)</f>
        <v/>
      </c>
      <c r="K157" s="30" t="n">
        <v>0.714779317495253</v>
      </c>
      <c r="L157" s="30" t="n">
        <v>0.2780482755376564</v>
      </c>
      <c r="M157" s="30" t="n">
        <v>0.0071724069670906</v>
      </c>
      <c r="N157" s="31">
        <f>ABS(E157-$F$6)</f>
        <v/>
      </c>
      <c r="O157" s="31">
        <f>ABS(E157-$F$7)</f>
        <v/>
      </c>
      <c r="P157" s="31">
        <f>ABS(E157-$F$8)</f>
        <v/>
      </c>
      <c r="Q157" s="14">
        <f>IF(K157&gt;=MAX(L157,M157), "Hemat", IF(L157&gt;=M157, "Balanced", "Premium"))</f>
        <v/>
      </c>
      <c r="R157" s="30" t="n">
        <v>0.7147794395425007</v>
      </c>
      <c r="S157" s="30" t="n">
        <v>0.2780481531707544</v>
      </c>
      <c r="T157" s="30" t="n">
        <v>0.007172407286744955</v>
      </c>
      <c r="U157" s="31">
        <f>ABS(E157-$G$6)</f>
        <v/>
      </c>
      <c r="V157" s="31">
        <f>ABS(E157-$G$7)</f>
        <v/>
      </c>
      <c r="W157" s="31">
        <f>ABS(E157-$G$8)</f>
        <v/>
      </c>
      <c r="X157" s="14">
        <f>IF(R157&gt;=MAX(S157,T157), "Hemat", IF(S157&gt;=T157, "Balanced", "Premium"))</f>
        <v/>
      </c>
    </row>
    <row r="158">
      <c r="A158" s="14" t="n">
        <v>152</v>
      </c>
      <c r="B158" s="7" t="inlineStr">
        <is>
          <t>Area Parkir Air Terjun Cubon Rondo</t>
        </is>
      </c>
      <c r="C158" s="26" t="n">
        <v>-7.8822313</v>
      </c>
      <c r="D158" s="26" t="n">
        <v>112.4776217</v>
      </c>
      <c r="E158" s="21" t="n">
        <v>5000</v>
      </c>
      <c r="F158" s="27" t="n">
        <v>4.5</v>
      </c>
      <c r="G158" s="28" t="n">
        <v>54</v>
      </c>
      <c r="H158" s="14" t="inlineStr">
        <is>
          <t>Wisata Umum</t>
        </is>
      </c>
      <c r="I158" s="29">
        <f>6371 * 2 * ASIN(SQRT(SIN(RADIANS((C158) - INDEX('Dataset_Wisata'!$C$12:$C$622, MATCH('Dashboard'!$C$9, 'Dataset_Wisata'!$A$12:$A$622, 0)))/2)^2 + COS(RADIANS(INDEX('Dataset_Wisata'!$C$12:$C$622, MATCH('Dashboard'!$C$9, 'Dataset_Wisata'!$A$12:$A$622, 0)))) * COS(RADIANS(C158)) * SIN(RADIANS((D158) - INDEX('Dataset_Wisata'!$D$12:$D$622, MATCH('Dashboard'!$C$9, 'Dataset_Wisata'!$A$12:$A$622, 0)))/2)^2)) * 1.3</f>
        <v/>
      </c>
      <c r="J158" s="21">
        <f>ROUND(I158 * IF('Dashboard'!$C$6&lt;=1, 2250, IF('Dashboard'!$C$6&lt;=4, 5150, 6000)), 0)</f>
        <v/>
      </c>
      <c r="K158" s="30" t="n">
        <v>0.9895566543895754</v>
      </c>
      <c r="L158" s="30" t="n">
        <v>0.009798611400025654</v>
      </c>
      <c r="M158" s="30" t="n">
        <v>0.0006447342103988783</v>
      </c>
      <c r="N158" s="31">
        <f>ABS(E158-$F$6)</f>
        <v/>
      </c>
      <c r="O158" s="31">
        <f>ABS(E158-$F$7)</f>
        <v/>
      </c>
      <c r="P158" s="31">
        <f>ABS(E158-$F$8)</f>
        <v/>
      </c>
      <c r="Q158" s="14">
        <f>IF(K158&gt;=MAX(L158,M158), "Hemat", IF(L158&gt;=M158, "Balanced", "Premium"))</f>
        <v/>
      </c>
      <c r="R158" s="30" t="n">
        <v>0.9895566542341836</v>
      </c>
      <c r="S158" s="30" t="n">
        <v>0.00979861139170024</v>
      </c>
      <c r="T158" s="30" t="n">
        <v>0.00064473437411607</v>
      </c>
      <c r="U158" s="31">
        <f>ABS(E158-$G$6)</f>
        <v/>
      </c>
      <c r="V158" s="31">
        <f>ABS(E158-$G$7)</f>
        <v/>
      </c>
      <c r="W158" s="31">
        <f>ABS(E158-$G$8)</f>
        <v/>
      </c>
      <c r="X158" s="14">
        <f>IF(R158&gt;=MAX(S158,T158), "Hemat", IF(S158&gt;=T158, "Balanced", "Premium"))</f>
        <v/>
      </c>
    </row>
    <row r="159">
      <c r="A159" s="14" t="n">
        <v>154</v>
      </c>
      <c r="B159" s="7" t="inlineStr">
        <is>
          <t>Pasar Wisata Songgoriti</t>
        </is>
      </c>
      <c r="C159" s="26" t="n">
        <v>-7.8662637</v>
      </c>
      <c r="D159" s="26" t="n">
        <v>112.492999</v>
      </c>
      <c r="E159" s="21" t="n">
        <v>15000</v>
      </c>
      <c r="F159" s="27" t="n">
        <v>4.5</v>
      </c>
      <c r="G159" s="28" t="n">
        <v>195</v>
      </c>
      <c r="H159" s="14" t="inlineStr">
        <is>
          <t>Pasar Wisata Songgoriti</t>
        </is>
      </c>
      <c r="I159" s="29">
        <f>6371 * 2 * ASIN(SQRT(SIN(RADIANS((C159) - INDEX('Dataset_Wisata'!$C$12:$C$622, MATCH('Dashboard'!$C$9, 'Dataset_Wisata'!$A$12:$A$622, 0)))/2)^2 + COS(RADIANS(INDEX('Dataset_Wisata'!$C$12:$C$622, MATCH('Dashboard'!$C$9, 'Dataset_Wisata'!$A$12:$A$622, 0)))) * COS(RADIANS(C159)) * SIN(RADIANS((D159) - INDEX('Dataset_Wisata'!$D$12:$D$622, MATCH('Dashboard'!$C$9, 'Dataset_Wisata'!$A$12:$A$622, 0)))/2)^2)) * 1.3</f>
        <v/>
      </c>
      <c r="J159" s="21">
        <f>ROUND(I159 * IF('Dashboard'!$C$6&lt;=1, 2250, IF('Dashboard'!$C$6&lt;=4, 5150, 6000)), 0)</f>
        <v/>
      </c>
      <c r="K159" s="30" t="n">
        <v>0.9744283047002794</v>
      </c>
      <c r="L159" s="30" t="n">
        <v>0.02447712712252609</v>
      </c>
      <c r="M159" s="30" t="n">
        <v>0.001094568177194568</v>
      </c>
      <c r="N159" s="31">
        <f>ABS(E159-$F$6)</f>
        <v/>
      </c>
      <c r="O159" s="31">
        <f>ABS(E159-$F$7)</f>
        <v/>
      </c>
      <c r="P159" s="31">
        <f>ABS(E159-$F$8)</f>
        <v/>
      </c>
      <c r="Q159" s="14">
        <f>IF(K159&gt;=MAX(L159,M159), "Hemat", IF(L159&gt;=M159, "Balanced", "Premium"))</f>
        <v/>
      </c>
      <c r="R159" s="30" t="n">
        <v>0.9744283195785179</v>
      </c>
      <c r="S159" s="30" t="n">
        <v>0.02447711252884811</v>
      </c>
      <c r="T159" s="30" t="n">
        <v>0.001094567892634054</v>
      </c>
      <c r="U159" s="31">
        <f>ABS(E159-$G$6)</f>
        <v/>
      </c>
      <c r="V159" s="31">
        <f>ABS(E159-$G$7)</f>
        <v/>
      </c>
      <c r="W159" s="31">
        <f>ABS(E159-$G$8)</f>
        <v/>
      </c>
      <c r="X159" s="14">
        <f>IF(R159&gt;=MAX(S159,T159), "Hemat", IF(S159&gt;=T159, "Balanced", "Premium"))</f>
        <v/>
      </c>
    </row>
    <row r="160">
      <c r="A160" s="14" t="n">
        <v>155</v>
      </c>
      <c r="B160" s="7" t="inlineStr">
        <is>
          <t>Kampung Wisata Kungkuk</t>
        </is>
      </c>
      <c r="C160" s="26" t="n">
        <v>-7.8335271</v>
      </c>
      <c r="D160" s="26" t="n">
        <v>112.5224986</v>
      </c>
      <c r="E160" s="21" t="n">
        <v>65000</v>
      </c>
      <c r="F160" s="27" t="n">
        <v>4.7</v>
      </c>
      <c r="G160" s="28" t="n">
        <v>178</v>
      </c>
      <c r="H160" s="14" t="inlineStr">
        <is>
          <t>Kampung Wisata Kungkuk</t>
        </is>
      </c>
      <c r="I160" s="29">
        <f>6371 * 2 * ASIN(SQRT(SIN(RADIANS((C160) - INDEX('Dataset_Wisata'!$C$12:$C$622, MATCH('Dashboard'!$C$9, 'Dataset_Wisata'!$A$12:$A$622, 0)))/2)^2 + COS(RADIANS(INDEX('Dataset_Wisata'!$C$12:$C$622, MATCH('Dashboard'!$C$9, 'Dataset_Wisata'!$A$12:$A$622, 0)))) * COS(RADIANS(C160)) * SIN(RADIANS((D160) - INDEX('Dataset_Wisata'!$D$12:$D$622, MATCH('Dashboard'!$C$9, 'Dataset_Wisata'!$A$12:$A$622, 0)))/2)^2)) * 1.3</f>
        <v/>
      </c>
      <c r="J160" s="21">
        <f>ROUND(I160 * IF('Dashboard'!$C$6&lt;=1, 2250, IF('Dashboard'!$C$6&lt;=4, 5150, 6000)), 0)</f>
        <v/>
      </c>
      <c r="K160" s="30" t="n">
        <v>0.06773863595836273</v>
      </c>
      <c r="L160" s="30" t="n">
        <v>0.9164802209938576</v>
      </c>
      <c r="M160" s="30" t="n">
        <v>0.01578114304777962</v>
      </c>
      <c r="N160" s="31">
        <f>ABS(E160-$F$6)</f>
        <v/>
      </c>
      <c r="O160" s="31">
        <f>ABS(E160-$F$7)</f>
        <v/>
      </c>
      <c r="P160" s="31">
        <f>ABS(E160-$F$8)</f>
        <v/>
      </c>
      <c r="Q160" s="14">
        <f>IF(K160&gt;=MAX(L160,M160), "Hemat", IF(L160&gt;=M160, "Balanced", "Premium"))</f>
        <v/>
      </c>
      <c r="R160" s="30" t="n">
        <v>0.0677385835385851</v>
      </c>
      <c r="S160" s="30" t="n">
        <v>0.9164802868958721</v>
      </c>
      <c r="T160" s="30" t="n">
        <v>0.01578112956554284</v>
      </c>
      <c r="U160" s="31">
        <f>ABS(E160-$G$6)</f>
        <v/>
      </c>
      <c r="V160" s="31">
        <f>ABS(E160-$G$7)</f>
        <v/>
      </c>
      <c r="W160" s="31">
        <f>ABS(E160-$G$8)</f>
        <v/>
      </c>
      <c r="X160" s="14">
        <f>IF(R160&gt;=MAX(S160,T160), "Hemat", IF(S160&gt;=T160, "Balanced", "Premium"))</f>
        <v/>
      </c>
    </row>
    <row r="161">
      <c r="A161" s="14" t="n">
        <v>156</v>
      </c>
      <c r="B161" s="7" t="inlineStr">
        <is>
          <t>Wisata Selecta</t>
        </is>
      </c>
      <c r="C161" s="26" t="n">
        <v>-7.8202298</v>
      </c>
      <c r="D161" s="26" t="n">
        <v>112.5265722</v>
      </c>
      <c r="E161" s="21" t="n">
        <v>50000</v>
      </c>
      <c r="F161" s="27" t="n">
        <v>4.8</v>
      </c>
      <c r="G161" s="28" t="n">
        <v>66</v>
      </c>
      <c r="H161" s="14" t="inlineStr">
        <is>
          <t>Wisata Selecta</t>
        </is>
      </c>
      <c r="I161" s="29">
        <f>6371 * 2 * ASIN(SQRT(SIN(RADIANS((C161) - INDEX('Dataset_Wisata'!$C$12:$C$622, MATCH('Dashboard'!$C$9, 'Dataset_Wisata'!$A$12:$A$622, 0)))/2)^2 + COS(RADIANS(INDEX('Dataset_Wisata'!$C$12:$C$622, MATCH('Dashboard'!$C$9, 'Dataset_Wisata'!$A$12:$A$622, 0)))) * COS(RADIANS(C161)) * SIN(RADIANS((D161) - INDEX('Dataset_Wisata'!$D$12:$D$622, MATCH('Dashboard'!$C$9, 'Dataset_Wisata'!$A$12:$A$622, 0)))/2)^2)) * 1.3</f>
        <v/>
      </c>
      <c r="J161" s="21">
        <f>ROUND(I161 * IF('Dashboard'!$C$6&lt;=1, 2250, IF('Dashboard'!$C$6&lt;=4, 5150, 6000)), 0)</f>
        <v/>
      </c>
      <c r="K161" s="30" t="n">
        <v>5.758531237204236e-06</v>
      </c>
      <c r="L161" s="30" t="n">
        <v>0.9999936821294634</v>
      </c>
      <c r="M161" s="30" t="n">
        <v>5.593392994189334e-07</v>
      </c>
      <c r="N161" s="31">
        <f>ABS(E161-$F$6)</f>
        <v/>
      </c>
      <c r="O161" s="31">
        <f>ABS(E161-$F$7)</f>
        <v/>
      </c>
      <c r="P161" s="31">
        <f>ABS(E161-$F$8)</f>
        <v/>
      </c>
      <c r="Q161" s="14">
        <f>IF(K161&gt;=MAX(L161,M161), "Hemat", IF(L161&gt;=M161, "Balanced", "Premium"))</f>
        <v/>
      </c>
      <c r="R161" s="30" t="n">
        <v>5.757754513908737e-06</v>
      </c>
      <c r="S161" s="30" t="n">
        <v>0.9999936829816778</v>
      </c>
      <c r="T161" s="30" t="n">
        <v>5.592638083270285e-07</v>
      </c>
      <c r="U161" s="31">
        <f>ABS(E161-$G$6)</f>
        <v/>
      </c>
      <c r="V161" s="31">
        <f>ABS(E161-$G$7)</f>
        <v/>
      </c>
      <c r="W161" s="31">
        <f>ABS(E161-$G$8)</f>
        <v/>
      </c>
      <c r="X161" s="14">
        <f>IF(R161&gt;=MAX(S161,T161), "Hemat", IF(S161&gt;=T161, "Balanced", "Premium"))</f>
        <v/>
      </c>
    </row>
    <row r="162">
      <c r="A162" s="14" t="n">
        <v>157</v>
      </c>
      <c r="B162" s="7" t="inlineStr">
        <is>
          <t>Taman Bunga Selecta</t>
        </is>
      </c>
      <c r="C162" s="26" t="n">
        <v>-7.8220855</v>
      </c>
      <c r="D162" s="26" t="n">
        <v>112.526612</v>
      </c>
      <c r="E162" s="21" t="n">
        <v>50000</v>
      </c>
      <c r="F162" s="27" t="n">
        <v>4.7</v>
      </c>
      <c r="G162" s="28" t="n">
        <v>26</v>
      </c>
      <c r="H162" s="14" t="inlineStr">
        <is>
          <t>Taman Bunga Selecta</t>
        </is>
      </c>
      <c r="I162" s="29">
        <f>6371 * 2 * ASIN(SQRT(SIN(RADIANS((C162) - INDEX('Dataset_Wisata'!$C$12:$C$622, MATCH('Dashboard'!$C$9, 'Dataset_Wisata'!$A$12:$A$622, 0)))/2)^2 + COS(RADIANS(INDEX('Dataset_Wisata'!$C$12:$C$622, MATCH('Dashboard'!$C$9, 'Dataset_Wisata'!$A$12:$A$622, 0)))) * COS(RADIANS(C162)) * SIN(RADIANS((D162) - INDEX('Dataset_Wisata'!$D$12:$D$622, MATCH('Dashboard'!$C$9, 'Dataset_Wisata'!$A$12:$A$622, 0)))/2)^2)) * 1.3</f>
        <v/>
      </c>
      <c r="J162" s="21">
        <f>ROUND(I162 * IF('Dashboard'!$C$6&lt;=1, 2250, IF('Dashboard'!$C$6&lt;=4, 5150, 6000)), 0)</f>
        <v/>
      </c>
      <c r="K162" s="30" t="n">
        <v>5.758531237204236e-06</v>
      </c>
      <c r="L162" s="30" t="n">
        <v>0.9999936821294634</v>
      </c>
      <c r="M162" s="30" t="n">
        <v>5.593392994189334e-07</v>
      </c>
      <c r="N162" s="31">
        <f>ABS(E162-$F$6)</f>
        <v/>
      </c>
      <c r="O162" s="31">
        <f>ABS(E162-$F$7)</f>
        <v/>
      </c>
      <c r="P162" s="31">
        <f>ABS(E162-$F$8)</f>
        <v/>
      </c>
      <c r="Q162" s="14">
        <f>IF(K162&gt;=MAX(L162,M162), "Hemat", IF(L162&gt;=M162, "Balanced", "Premium"))</f>
        <v/>
      </c>
      <c r="R162" s="30" t="n">
        <v>5.757754513908737e-06</v>
      </c>
      <c r="S162" s="30" t="n">
        <v>0.9999936829816778</v>
      </c>
      <c r="T162" s="30" t="n">
        <v>5.592638083270285e-07</v>
      </c>
      <c r="U162" s="31">
        <f>ABS(E162-$G$6)</f>
        <v/>
      </c>
      <c r="V162" s="31">
        <f>ABS(E162-$G$7)</f>
        <v/>
      </c>
      <c r="W162" s="31">
        <f>ABS(E162-$G$8)</f>
        <v/>
      </c>
      <c r="X162" s="14">
        <f>IF(R162&gt;=MAX(S162,T162), "Hemat", IF(S162&gt;=T162, "Balanced", "Premium"))</f>
        <v/>
      </c>
    </row>
    <row r="163">
      <c r="A163" s="14" t="n">
        <v>158</v>
      </c>
      <c r="B163" s="7" t="inlineStr">
        <is>
          <t>Paralayang Gunung Banyak, Batu, Malang</t>
        </is>
      </c>
      <c r="C163" s="26" t="n">
        <v>-7.8550899</v>
      </c>
      <c r="D163" s="26" t="n">
        <v>112.4965734</v>
      </c>
      <c r="E163" s="21" t="n">
        <v>20000</v>
      </c>
      <c r="F163" s="27" t="n">
        <v>4.3</v>
      </c>
      <c r="G163" s="28" t="n">
        <v>125</v>
      </c>
      <c r="H163" s="14" t="inlineStr">
        <is>
          <t>Paralayang Gunung Banyak, Batu, Malang</t>
        </is>
      </c>
      <c r="I163" s="29">
        <f>6371 * 2 * ASIN(SQRT(SIN(RADIANS((C163) - INDEX('Dataset_Wisata'!$C$12:$C$622, MATCH('Dashboard'!$C$9, 'Dataset_Wisata'!$A$12:$A$622, 0)))/2)^2 + COS(RADIANS(INDEX('Dataset_Wisata'!$C$12:$C$622, MATCH('Dashboard'!$C$9, 'Dataset_Wisata'!$A$12:$A$622, 0)))) * COS(RADIANS(C163)) * SIN(RADIANS((D163) - INDEX('Dataset_Wisata'!$D$12:$D$622, MATCH('Dashboard'!$C$9, 'Dataset_Wisata'!$A$12:$A$622, 0)))/2)^2)) * 1.3</f>
        <v/>
      </c>
      <c r="J163" s="21">
        <f>ROUND(I163 * IF('Dashboard'!$C$6&lt;=1, 2250, IF('Dashboard'!$C$6&lt;=4, 5150, 6000)), 0)</f>
        <v/>
      </c>
      <c r="K163" s="30" t="n">
        <v>0.8862296979094436</v>
      </c>
      <c r="L163" s="30" t="n">
        <v>0.1099329410905347</v>
      </c>
      <c r="M163" s="30" t="n">
        <v>0.003837361000021699</v>
      </c>
      <c r="N163" s="31">
        <f>ABS(E163-$F$6)</f>
        <v/>
      </c>
      <c r="O163" s="31">
        <f>ABS(E163-$F$7)</f>
        <v/>
      </c>
      <c r="P163" s="31">
        <f>ABS(E163-$F$8)</f>
        <v/>
      </c>
      <c r="Q163" s="14">
        <f>IF(K163&gt;=MAX(L163,M163), "Hemat", IF(L163&gt;=M163, "Balanced", "Premium"))</f>
        <v/>
      </c>
      <c r="R163" s="30" t="n">
        <v>0.8862297532761809</v>
      </c>
      <c r="S163" s="30" t="n">
        <v>0.1099328861159962</v>
      </c>
      <c r="T163" s="30" t="n">
        <v>0.003837360607822898</v>
      </c>
      <c r="U163" s="31">
        <f>ABS(E163-$G$6)</f>
        <v/>
      </c>
      <c r="V163" s="31">
        <f>ABS(E163-$G$7)</f>
        <v/>
      </c>
      <c r="W163" s="31">
        <f>ABS(E163-$G$8)</f>
        <v/>
      </c>
      <c r="X163" s="14">
        <f>IF(R163&gt;=MAX(S163,T163), "Hemat", IF(S163&gt;=T163, "Balanced", "Premium"))</f>
        <v/>
      </c>
    </row>
    <row r="164">
      <c r="A164" s="14" t="n">
        <v>159</v>
      </c>
      <c r="B164" s="7" t="inlineStr">
        <is>
          <t>Pujon Adventure &amp; Rafting</t>
        </is>
      </c>
      <c r="C164" s="26" t="n">
        <v>-7.8409971</v>
      </c>
      <c r="D164" s="26" t="n">
        <v>112.4498115</v>
      </c>
      <c r="E164" s="21" t="n">
        <v>275000</v>
      </c>
      <c r="F164" s="27" t="n">
        <v>4.8</v>
      </c>
      <c r="G164" s="28" t="n">
        <v>118</v>
      </c>
      <c r="H164" s="14" t="inlineStr">
        <is>
          <t>Wisata Umum</t>
        </is>
      </c>
      <c r="I164" s="29">
        <f>6371 * 2 * ASIN(SQRT(SIN(RADIANS((C164) - INDEX('Dataset_Wisata'!$C$12:$C$622, MATCH('Dashboard'!$C$9, 'Dataset_Wisata'!$A$12:$A$622, 0)))/2)^2 + COS(RADIANS(INDEX('Dataset_Wisata'!$C$12:$C$622, MATCH('Dashboard'!$C$9, 'Dataset_Wisata'!$A$12:$A$622, 0)))) * COS(RADIANS(C164)) * SIN(RADIANS((D164) - INDEX('Dataset_Wisata'!$D$12:$D$622, MATCH('Dashboard'!$C$9, 'Dataset_Wisata'!$A$12:$A$622, 0)))/2)^2)) * 1.3</f>
        <v/>
      </c>
      <c r="J164" s="21">
        <f>ROUND(I164 * IF('Dashboard'!$C$6&lt;=1, 2250, IF('Dashboard'!$C$6&lt;=4, 5150, 6000)), 0)</f>
        <v/>
      </c>
      <c r="K164" s="30" t="n">
        <v>0.0979205936684769</v>
      </c>
      <c r="L164" s="30" t="n">
        <v>0.1362594437721754</v>
      </c>
      <c r="M164" s="30" t="n">
        <v>0.7658199625593478</v>
      </c>
      <c r="N164" s="31">
        <f>ABS(E164-$F$6)</f>
        <v/>
      </c>
      <c r="O164" s="31">
        <f>ABS(E164-$F$7)</f>
        <v/>
      </c>
      <c r="P164" s="31">
        <f>ABS(E164-$F$8)</f>
        <v/>
      </c>
      <c r="Q164" s="14">
        <f>IF(K164&gt;=MAX(L164,M164), "Hemat", IF(L164&gt;=M164, "Balanced", "Premium"))</f>
        <v/>
      </c>
      <c r="R164" s="30" t="n">
        <v>0.09792058814346592</v>
      </c>
      <c r="S164" s="30" t="n">
        <v>0.1362594433591787</v>
      </c>
      <c r="T164" s="30" t="n">
        <v>0.7658199684973553</v>
      </c>
      <c r="U164" s="31">
        <f>ABS(E164-$G$6)</f>
        <v/>
      </c>
      <c r="V164" s="31">
        <f>ABS(E164-$G$7)</f>
        <v/>
      </c>
      <c r="W164" s="31">
        <f>ABS(E164-$G$8)</f>
        <v/>
      </c>
      <c r="X164" s="14">
        <f>IF(R164&gt;=MAX(S164,T164), "Hemat", IF(S164&gt;=T164, "Balanced", "Premium"))</f>
        <v/>
      </c>
    </row>
    <row r="165">
      <c r="A165" s="14" t="n">
        <v>160</v>
      </c>
      <c r="B165" s="7" t="inlineStr">
        <is>
          <t>Kebun Bunga Cangar</t>
        </is>
      </c>
      <c r="C165" s="26" t="n">
        <v>-7.751294</v>
      </c>
      <c r="D165" s="26" t="n">
        <v>112.5320262</v>
      </c>
      <c r="E165" s="21" t="n">
        <v>30000</v>
      </c>
      <c r="F165" s="27" t="n">
        <v>4.7</v>
      </c>
      <c r="G165" s="28" t="n">
        <v>574</v>
      </c>
      <c r="H165" s="14" t="inlineStr">
        <is>
          <t>Wisata Umum</t>
        </is>
      </c>
      <c r="I165" s="29">
        <f>6371 * 2 * ASIN(SQRT(SIN(RADIANS((C165) - INDEX('Dataset_Wisata'!$C$12:$C$622, MATCH('Dashboard'!$C$9, 'Dataset_Wisata'!$A$12:$A$622, 0)))/2)^2 + COS(RADIANS(INDEX('Dataset_Wisata'!$C$12:$C$622, MATCH('Dashboard'!$C$9, 'Dataset_Wisata'!$A$12:$A$622, 0)))) * COS(RADIANS(C165)) * SIN(RADIANS((D165) - INDEX('Dataset_Wisata'!$D$12:$D$622, MATCH('Dashboard'!$C$9, 'Dataset_Wisata'!$A$12:$A$622, 0)))/2)^2)) * 1.3</f>
        <v/>
      </c>
      <c r="J165" s="21">
        <f>ROUND(I165 * IF('Dashboard'!$C$6&lt;=1, 2250, IF('Dashboard'!$C$6&lt;=4, 5150, 6000)), 0)</f>
        <v/>
      </c>
      <c r="K165" s="30" t="n">
        <v>0.4800921289599558</v>
      </c>
      <c r="L165" s="30" t="n">
        <v>0.5109191138653489</v>
      </c>
      <c r="M165" s="30" t="n">
        <v>0.008988757174695291</v>
      </c>
      <c r="N165" s="31">
        <f>ABS(E165-$F$6)</f>
        <v/>
      </c>
      <c r="O165" s="31">
        <f>ABS(E165-$F$7)</f>
        <v/>
      </c>
      <c r="P165" s="31">
        <f>ABS(E165-$F$8)</f>
        <v/>
      </c>
      <c r="Q165" s="14">
        <f>IF(K165&gt;=MAX(L165,M165), "Hemat", IF(L165&gt;=M165, "Balanced", "Premium"))</f>
        <v/>
      </c>
      <c r="R165" s="30" t="n">
        <v>0.4800923067166307</v>
      </c>
      <c r="S165" s="30" t="n">
        <v>0.5109189337438159</v>
      </c>
      <c r="T165" s="30" t="n">
        <v>0.008988759539553422</v>
      </c>
      <c r="U165" s="31">
        <f>ABS(E165-$G$6)</f>
        <v/>
      </c>
      <c r="V165" s="31">
        <f>ABS(E165-$G$7)</f>
        <v/>
      </c>
      <c r="W165" s="31">
        <f>ABS(E165-$G$8)</f>
        <v/>
      </c>
      <c r="X165" s="14">
        <f>IF(R165&gt;=MAX(S165,T165), "Hemat", IF(S165&gt;=T165, "Balanced", "Premium"))</f>
        <v/>
      </c>
    </row>
    <row r="166">
      <c r="A166" s="14" t="n">
        <v>161</v>
      </c>
      <c r="B166" s="7" t="inlineStr">
        <is>
          <t>Bukit Jengkoang</t>
        </is>
      </c>
      <c r="C166" s="26" t="n">
        <v>-7.8263819</v>
      </c>
      <c r="D166" s="26" t="n">
        <v>112.5577718</v>
      </c>
      <c r="E166" s="21" t="n">
        <v>0</v>
      </c>
      <c r="F166" s="27" t="n">
        <v>4.6</v>
      </c>
      <c r="G166" s="28" t="n">
        <v>612</v>
      </c>
      <c r="H166" s="14" t="inlineStr">
        <is>
          <t>Wisata Umum</t>
        </is>
      </c>
      <c r="I166" s="29">
        <f>6371 * 2 * ASIN(SQRT(SIN(RADIANS((C166) - INDEX('Dataset_Wisata'!$C$12:$C$622, MATCH('Dashboard'!$C$9, 'Dataset_Wisata'!$A$12:$A$622, 0)))/2)^2 + COS(RADIANS(INDEX('Dataset_Wisata'!$C$12:$C$622, MATCH('Dashboard'!$C$9, 'Dataset_Wisata'!$A$12:$A$622, 0)))) * COS(RADIANS(C166)) * SIN(RADIANS((D166) - INDEX('Dataset_Wisata'!$D$12:$D$622, MATCH('Dashboard'!$C$9, 'Dataset_Wisata'!$A$12:$A$622, 0)))/2)^2)) * 1.3</f>
        <v/>
      </c>
      <c r="J166" s="21">
        <f>ROUND(I166 * IF('Dashboard'!$C$6&lt;=1, 2250, IF('Dashboard'!$C$6&lt;=4, 5150, 6000)), 0)</f>
        <v/>
      </c>
      <c r="K166" s="30" t="n">
        <v>0.9626824510005771</v>
      </c>
      <c r="L166" s="30" t="n">
        <v>0.03465542295845363</v>
      </c>
      <c r="M166" s="30" t="n">
        <v>0.002662126040969366</v>
      </c>
      <c r="N166" s="31">
        <f>ABS(E166-$F$6)</f>
        <v/>
      </c>
      <c r="O166" s="31">
        <f>ABS(E166-$F$7)</f>
        <v/>
      </c>
      <c r="P166" s="31">
        <f>ABS(E166-$F$8)</f>
        <v/>
      </c>
      <c r="Q166" s="14">
        <f>IF(K166&gt;=MAX(L166,M166), "Hemat", IF(L166&gt;=M166, "Balanced", "Premium"))</f>
        <v/>
      </c>
      <c r="R166" s="30" t="n">
        <v>0.9626824549241798</v>
      </c>
      <c r="S166" s="30" t="n">
        <v>0.03465541875469833</v>
      </c>
      <c r="T166" s="30" t="n">
        <v>0.002662126321121907</v>
      </c>
      <c r="U166" s="31">
        <f>ABS(E166-$G$6)</f>
        <v/>
      </c>
      <c r="V166" s="31">
        <f>ABS(E166-$G$7)</f>
        <v/>
      </c>
      <c r="W166" s="31">
        <f>ABS(E166-$G$8)</f>
        <v/>
      </c>
      <c r="X166" s="14">
        <f>IF(R166&gt;=MAX(S166,T166), "Hemat", IF(S166&gt;=T166, "Balanced", "Premium"))</f>
        <v/>
      </c>
    </row>
    <row r="167">
      <c r="A167" s="14" t="n">
        <v>162</v>
      </c>
      <c r="B167" s="7" t="inlineStr">
        <is>
          <t>Petik Apel Kebun 8 Kota Batu</t>
        </is>
      </c>
      <c r="C167" s="26" t="n">
        <v>-7.781768</v>
      </c>
      <c r="D167" s="26" t="n">
        <v>112.5280831</v>
      </c>
      <c r="E167" s="21" t="n">
        <v>20000</v>
      </c>
      <c r="F167" s="27" t="n">
        <v>4.4</v>
      </c>
      <c r="G167" s="28" t="n">
        <v>1392</v>
      </c>
      <c r="H167" s="14" t="inlineStr">
        <is>
          <t>Wisata Umum</t>
        </is>
      </c>
      <c r="I167" s="29">
        <f>6371 * 2 * ASIN(SQRT(SIN(RADIANS((C167) - INDEX('Dataset_Wisata'!$C$12:$C$622, MATCH('Dashboard'!$C$9, 'Dataset_Wisata'!$A$12:$A$622, 0)))/2)^2 + COS(RADIANS(INDEX('Dataset_Wisata'!$C$12:$C$622, MATCH('Dashboard'!$C$9, 'Dataset_Wisata'!$A$12:$A$622, 0)))) * COS(RADIANS(C167)) * SIN(RADIANS((D167) - INDEX('Dataset_Wisata'!$D$12:$D$622, MATCH('Dashboard'!$C$9, 'Dataset_Wisata'!$A$12:$A$622, 0)))/2)^2)) * 1.3</f>
        <v/>
      </c>
      <c r="J167" s="21">
        <f>ROUND(I167 * IF('Dashboard'!$C$6&lt;=1, 2250, IF('Dashboard'!$C$6&lt;=4, 5150, 6000)), 0)</f>
        <v/>
      </c>
      <c r="K167" s="30" t="n">
        <v>0.8862296979094436</v>
      </c>
      <c r="L167" s="30" t="n">
        <v>0.1099329410905347</v>
      </c>
      <c r="M167" s="30" t="n">
        <v>0.003837361000021699</v>
      </c>
      <c r="N167" s="31">
        <f>ABS(E167-$F$6)</f>
        <v/>
      </c>
      <c r="O167" s="31">
        <f>ABS(E167-$F$7)</f>
        <v/>
      </c>
      <c r="P167" s="31">
        <f>ABS(E167-$F$8)</f>
        <v/>
      </c>
      <c r="Q167" s="14">
        <f>IF(K167&gt;=MAX(L167,M167), "Hemat", IF(L167&gt;=M167, "Balanced", "Premium"))</f>
        <v/>
      </c>
      <c r="R167" s="30" t="n">
        <v>0.8862297532761809</v>
      </c>
      <c r="S167" s="30" t="n">
        <v>0.1099328861159962</v>
      </c>
      <c r="T167" s="30" t="n">
        <v>0.003837360607822898</v>
      </c>
      <c r="U167" s="31">
        <f>ABS(E167-$G$6)</f>
        <v/>
      </c>
      <c r="V167" s="31">
        <f>ABS(E167-$G$7)</f>
        <v/>
      </c>
      <c r="W167" s="31">
        <f>ABS(E167-$G$8)</f>
        <v/>
      </c>
      <c r="X167" s="14">
        <f>IF(R167&gt;=MAX(S167,T167), "Hemat", IF(S167&gt;=T167, "Balanced", "Premium"))</f>
        <v/>
      </c>
    </row>
    <row r="168">
      <c r="A168" s="14" t="n">
        <v>163</v>
      </c>
      <c r="B168" s="7" t="inlineStr">
        <is>
          <t>Petik Apel Green Garden</t>
        </is>
      </c>
      <c r="C168" s="26" t="n">
        <v>-7.8230765</v>
      </c>
      <c r="D168" s="26" t="n">
        <v>112.5291385</v>
      </c>
      <c r="E168" s="21" t="n">
        <v>25000</v>
      </c>
      <c r="F168" s="27" t="n">
        <v>4.8</v>
      </c>
      <c r="G168" s="28" t="n">
        <v>164</v>
      </c>
      <c r="H168" s="14" t="inlineStr">
        <is>
          <t>Wisata Umum</t>
        </is>
      </c>
      <c r="I168" s="29">
        <f>6371 * 2 * ASIN(SQRT(SIN(RADIANS((C168) - INDEX('Dataset_Wisata'!$C$12:$C$622, MATCH('Dashboard'!$C$9, 'Dataset_Wisata'!$A$12:$A$622, 0)))/2)^2 + COS(RADIANS(INDEX('Dataset_Wisata'!$C$12:$C$622, MATCH('Dashboard'!$C$9, 'Dataset_Wisata'!$A$12:$A$622, 0)))) * COS(RADIANS(C168)) * SIN(RADIANS((D168) - INDEX('Dataset_Wisata'!$D$12:$D$622, MATCH('Dashboard'!$C$9, 'Dataset_Wisata'!$A$12:$A$622, 0)))/2)^2)) * 1.3</f>
        <v/>
      </c>
      <c r="J168" s="21">
        <f>ROUND(I168 * IF('Dashboard'!$C$6&lt;=1, 2250, IF('Dashboard'!$C$6&lt;=4, 5150, 6000)), 0)</f>
        <v/>
      </c>
      <c r="K168" s="30" t="n">
        <v>0.714779317495253</v>
      </c>
      <c r="L168" s="30" t="n">
        <v>0.2780482755376564</v>
      </c>
      <c r="M168" s="30" t="n">
        <v>0.0071724069670906</v>
      </c>
      <c r="N168" s="31">
        <f>ABS(E168-$F$6)</f>
        <v/>
      </c>
      <c r="O168" s="31">
        <f>ABS(E168-$F$7)</f>
        <v/>
      </c>
      <c r="P168" s="31">
        <f>ABS(E168-$F$8)</f>
        <v/>
      </c>
      <c r="Q168" s="14">
        <f>IF(K168&gt;=MAX(L168,M168), "Hemat", IF(L168&gt;=M168, "Balanced", "Premium"))</f>
        <v/>
      </c>
      <c r="R168" s="30" t="n">
        <v>0.7147794395425007</v>
      </c>
      <c r="S168" s="30" t="n">
        <v>0.2780481531707544</v>
      </c>
      <c r="T168" s="30" t="n">
        <v>0.007172407286744955</v>
      </c>
      <c r="U168" s="31">
        <f>ABS(E168-$G$6)</f>
        <v/>
      </c>
      <c r="V168" s="31">
        <f>ABS(E168-$G$7)</f>
        <v/>
      </c>
      <c r="W168" s="31">
        <f>ABS(E168-$G$8)</f>
        <v/>
      </c>
      <c r="X168" s="14">
        <f>IF(R168&gt;=MAX(S168,T168), "Hemat", IF(S168&gt;=T168, "Balanced", "Premium"))</f>
        <v/>
      </c>
    </row>
    <row r="169">
      <c r="A169" s="14" t="n">
        <v>164</v>
      </c>
      <c r="B169" s="7" t="inlineStr">
        <is>
          <t>Arboretum Sumber Brantas</t>
        </is>
      </c>
      <c r="C169" s="26" t="n">
        <v>-7.759076</v>
      </c>
      <c r="D169" s="26" t="n">
        <v>112.5276945</v>
      </c>
      <c r="E169" s="21" t="n">
        <v>8000</v>
      </c>
      <c r="F169" s="27" t="n">
        <v>4.5</v>
      </c>
      <c r="G169" s="28" t="n">
        <v>406</v>
      </c>
      <c r="H169" s="14" t="inlineStr">
        <is>
          <t>Wisata Umum</t>
        </is>
      </c>
      <c r="I169" s="29">
        <f>6371 * 2 * ASIN(SQRT(SIN(RADIANS((C169) - INDEX('Dataset_Wisata'!$C$12:$C$622, MATCH('Dashboard'!$C$9, 'Dataset_Wisata'!$A$12:$A$622, 0)))/2)^2 + COS(RADIANS(INDEX('Dataset_Wisata'!$C$12:$C$622, MATCH('Dashboard'!$C$9, 'Dataset_Wisata'!$A$12:$A$622, 0)))) * COS(RADIANS(C169)) * SIN(RADIANS((D169) - INDEX('Dataset_Wisata'!$D$12:$D$622, MATCH('Dashboard'!$C$9, 'Dataset_Wisata'!$A$12:$A$622, 0)))/2)^2)) * 1.3</f>
        <v/>
      </c>
      <c r="J169" s="21">
        <f>ROUND(I169 * IF('Dashboard'!$C$6&lt;=1, 2250, IF('Dashboard'!$C$6&lt;=4, 5150, 6000)), 0)</f>
        <v/>
      </c>
      <c r="K169" s="30" t="n">
        <v>0.9987011480460599</v>
      </c>
      <c r="L169" s="30" t="n">
        <v>0.001226123503144755</v>
      </c>
      <c r="M169" s="30" t="n">
        <v>7.272845079538573e-05</v>
      </c>
      <c r="N169" s="31">
        <f>ABS(E169-$F$6)</f>
        <v/>
      </c>
      <c r="O169" s="31">
        <f>ABS(E169-$F$7)</f>
        <v/>
      </c>
      <c r="P169" s="31">
        <f>ABS(E169-$F$8)</f>
        <v/>
      </c>
      <c r="Q169" s="14">
        <f>IF(K169&gt;=MAX(L169,M169), "Hemat", IF(L169&gt;=M169, "Balanced", "Premium"))</f>
        <v/>
      </c>
      <c r="R169" s="30" t="n">
        <v>0.9987011472813523</v>
      </c>
      <c r="S169" s="30" t="n">
        <v>0.001226124206149059</v>
      </c>
      <c r="T169" s="30" t="n">
        <v>7.272851249855953e-05</v>
      </c>
      <c r="U169" s="31">
        <f>ABS(E169-$G$6)</f>
        <v/>
      </c>
      <c r="V169" s="31">
        <f>ABS(E169-$G$7)</f>
        <v/>
      </c>
      <c r="W169" s="31">
        <f>ABS(E169-$G$8)</f>
        <v/>
      </c>
      <c r="X169" s="14">
        <f>IF(R169&gt;=MAX(S169,T169), "Hemat", IF(S169&gt;=T169, "Balanced", "Premium"))</f>
        <v/>
      </c>
    </row>
    <row r="170">
      <c r="A170" s="14" t="n">
        <v>165</v>
      </c>
      <c r="B170" s="7" t="inlineStr">
        <is>
          <t>Wisata Petik Apel Batu</t>
        </is>
      </c>
      <c r="C170" s="26" t="n">
        <v>-7.8230611</v>
      </c>
      <c r="D170" s="26" t="n">
        <v>112.5299483</v>
      </c>
      <c r="E170" s="21" t="n">
        <v>20000</v>
      </c>
      <c r="F170" s="27" t="n">
        <v>4.6</v>
      </c>
      <c r="G170" s="28" t="n">
        <v>59</v>
      </c>
      <c r="H170" s="14" t="inlineStr">
        <is>
          <t>Wisata Petik Apel Batu</t>
        </is>
      </c>
      <c r="I170" s="29">
        <f>6371 * 2 * ASIN(SQRT(SIN(RADIANS((C170) - INDEX('Dataset_Wisata'!$C$12:$C$622, MATCH('Dashboard'!$C$9, 'Dataset_Wisata'!$A$12:$A$622, 0)))/2)^2 + COS(RADIANS(INDEX('Dataset_Wisata'!$C$12:$C$622, MATCH('Dashboard'!$C$9, 'Dataset_Wisata'!$A$12:$A$622, 0)))) * COS(RADIANS(C170)) * SIN(RADIANS((D170) - INDEX('Dataset_Wisata'!$D$12:$D$622, MATCH('Dashboard'!$C$9, 'Dataset_Wisata'!$A$12:$A$622, 0)))/2)^2)) * 1.3</f>
        <v/>
      </c>
      <c r="J170" s="21">
        <f>ROUND(I170 * IF('Dashboard'!$C$6&lt;=1, 2250, IF('Dashboard'!$C$6&lt;=4, 5150, 6000)), 0)</f>
        <v/>
      </c>
      <c r="K170" s="30" t="n">
        <v>0.8862296979094436</v>
      </c>
      <c r="L170" s="30" t="n">
        <v>0.1099329410905347</v>
      </c>
      <c r="M170" s="30" t="n">
        <v>0.003837361000021699</v>
      </c>
      <c r="N170" s="31">
        <f>ABS(E170-$F$6)</f>
        <v/>
      </c>
      <c r="O170" s="31">
        <f>ABS(E170-$F$7)</f>
        <v/>
      </c>
      <c r="P170" s="31">
        <f>ABS(E170-$F$8)</f>
        <v/>
      </c>
      <c r="Q170" s="14">
        <f>IF(K170&gt;=MAX(L170,M170), "Hemat", IF(L170&gt;=M170, "Balanced", "Premium"))</f>
        <v/>
      </c>
      <c r="R170" s="30" t="n">
        <v>0.8862297532761809</v>
      </c>
      <c r="S170" s="30" t="n">
        <v>0.1099328861159962</v>
      </c>
      <c r="T170" s="30" t="n">
        <v>0.003837360607822898</v>
      </c>
      <c r="U170" s="31">
        <f>ABS(E170-$G$6)</f>
        <v/>
      </c>
      <c r="V170" s="31">
        <f>ABS(E170-$G$7)</f>
        <v/>
      </c>
      <c r="W170" s="31">
        <f>ABS(E170-$G$8)</f>
        <v/>
      </c>
      <c r="X170" s="14">
        <f>IF(R170&gt;=MAX(S170,T170), "Hemat", IF(S170&gt;=T170, "Balanced", "Premium"))</f>
        <v/>
      </c>
    </row>
    <row r="171">
      <c r="A171" s="14" t="n">
        <v>166</v>
      </c>
      <c r="B171" s="7" t="inlineStr">
        <is>
          <t>Wisata Petik Mawar Berkah</t>
        </is>
      </c>
      <c r="C171" s="26" t="n">
        <v>-7.8382642</v>
      </c>
      <c r="D171" s="26" t="n">
        <v>112.5189961</v>
      </c>
      <c r="E171" s="21" t="n">
        <v>20000</v>
      </c>
      <c r="F171" s="27" t="n">
        <v>4</v>
      </c>
      <c r="G171" s="28" t="n">
        <v>211</v>
      </c>
      <c r="H171" s="14" t="inlineStr">
        <is>
          <t>Wisata Petik Mawar Berkah</t>
        </is>
      </c>
      <c r="I171" s="29">
        <f>6371 * 2 * ASIN(SQRT(SIN(RADIANS((C171) - INDEX('Dataset_Wisata'!$C$12:$C$622, MATCH('Dashboard'!$C$9, 'Dataset_Wisata'!$A$12:$A$622, 0)))/2)^2 + COS(RADIANS(INDEX('Dataset_Wisata'!$C$12:$C$622, MATCH('Dashboard'!$C$9, 'Dataset_Wisata'!$A$12:$A$622, 0)))) * COS(RADIANS(C171)) * SIN(RADIANS((D171) - INDEX('Dataset_Wisata'!$D$12:$D$622, MATCH('Dashboard'!$C$9, 'Dataset_Wisata'!$A$12:$A$622, 0)))/2)^2)) * 1.3</f>
        <v/>
      </c>
      <c r="J171" s="21">
        <f>ROUND(I171 * IF('Dashboard'!$C$6&lt;=1, 2250, IF('Dashboard'!$C$6&lt;=4, 5150, 6000)), 0)</f>
        <v/>
      </c>
      <c r="K171" s="30" t="n">
        <v>0.8862296979094436</v>
      </c>
      <c r="L171" s="30" t="n">
        <v>0.1099329410905347</v>
      </c>
      <c r="M171" s="30" t="n">
        <v>0.003837361000021699</v>
      </c>
      <c r="N171" s="31">
        <f>ABS(E171-$F$6)</f>
        <v/>
      </c>
      <c r="O171" s="31">
        <f>ABS(E171-$F$7)</f>
        <v/>
      </c>
      <c r="P171" s="31">
        <f>ABS(E171-$F$8)</f>
        <v/>
      </c>
      <c r="Q171" s="14">
        <f>IF(K171&gt;=MAX(L171,M171), "Hemat", IF(L171&gt;=M171, "Balanced", "Premium"))</f>
        <v/>
      </c>
      <c r="R171" s="30" t="n">
        <v>0.8862297532761809</v>
      </c>
      <c r="S171" s="30" t="n">
        <v>0.1099328861159962</v>
      </c>
      <c r="T171" s="30" t="n">
        <v>0.003837360607822898</v>
      </c>
      <c r="U171" s="31">
        <f>ABS(E171-$G$6)</f>
        <v/>
      </c>
      <c r="V171" s="31">
        <f>ABS(E171-$G$7)</f>
        <v/>
      </c>
      <c r="W171" s="31">
        <f>ABS(E171-$G$8)</f>
        <v/>
      </c>
      <c r="X171" s="14">
        <f>IF(R171&gt;=MAX(S171,T171), "Hemat", IF(S171&gt;=T171, "Balanced", "Premium"))</f>
        <v/>
      </c>
    </row>
    <row r="172">
      <c r="A172" s="14" t="n">
        <v>167</v>
      </c>
      <c r="B172" s="7" t="inlineStr">
        <is>
          <t>Wisata Kebun Bunga Coban Talun</t>
        </is>
      </c>
      <c r="C172" s="26" t="n">
        <v>-7.7992591</v>
      </c>
      <c r="D172" s="26" t="n">
        <v>112.5174169</v>
      </c>
      <c r="E172" s="21" t="n">
        <v>10000</v>
      </c>
      <c r="F172" s="27" t="n">
        <v>4.8</v>
      </c>
      <c r="G172" s="28" t="n">
        <v>99</v>
      </c>
      <c r="H172" s="14" t="inlineStr">
        <is>
          <t>Wisata Kebun Bunga Coban Talun</t>
        </is>
      </c>
      <c r="I172" s="29">
        <f>6371 * 2 * ASIN(SQRT(SIN(RADIANS((C172) - INDEX('Dataset_Wisata'!$C$12:$C$622, MATCH('Dashboard'!$C$9, 'Dataset_Wisata'!$A$12:$A$622, 0)))/2)^2 + COS(RADIANS(INDEX('Dataset_Wisata'!$C$12:$C$622, MATCH('Dashboard'!$C$9, 'Dataset_Wisata'!$A$12:$A$622, 0)))) * COS(RADIANS(C172)) * SIN(RADIANS((D172) - INDEX('Dataset_Wisata'!$D$12:$D$622, MATCH('Dashboard'!$C$9, 'Dataset_Wisata'!$A$12:$A$622, 0)))/2)^2)) * 1.3</f>
        <v/>
      </c>
      <c r="J172" s="21">
        <f>ROUND(I172 * IF('Dashboard'!$C$6&lt;=1, 2250, IF('Dashboard'!$C$6&lt;=4, 5150, 6000)), 0)</f>
        <v/>
      </c>
      <c r="K172" s="30" t="n">
        <v>0.9998126508185596</v>
      </c>
      <c r="L172" s="30" t="n">
        <v>0.0001775718391516968</v>
      </c>
      <c r="M172" s="30" t="n">
        <v>9.7773422886897e-06</v>
      </c>
      <c r="N172" s="31">
        <f>ABS(E172-$F$6)</f>
        <v/>
      </c>
      <c r="O172" s="31">
        <f>ABS(E172-$F$7)</f>
        <v/>
      </c>
      <c r="P172" s="31">
        <f>ABS(E172-$F$8)</f>
        <v/>
      </c>
      <c r="Q172" s="14">
        <f>IF(K172&gt;=MAX(L172,M172), "Hemat", IF(L172&gt;=M172, "Balanced", "Premium"))</f>
        <v/>
      </c>
      <c r="R172" s="30" t="n">
        <v>0.9998126513362043</v>
      </c>
      <c r="S172" s="30" t="n">
        <v>0.0001775713458315561</v>
      </c>
      <c r="T172" s="30" t="n">
        <v>9.777317964159987e-06</v>
      </c>
      <c r="U172" s="31">
        <f>ABS(E172-$G$6)</f>
        <v/>
      </c>
      <c r="V172" s="31">
        <f>ABS(E172-$G$7)</f>
        <v/>
      </c>
      <c r="W172" s="31">
        <f>ABS(E172-$G$8)</f>
        <v/>
      </c>
      <c r="X172" s="14">
        <f>IF(R172&gt;=MAX(S172,T172), "Hemat", IF(S172&gt;=T172, "Balanced", "Premium"))</f>
        <v/>
      </c>
    </row>
    <row r="173">
      <c r="A173" s="14" t="n">
        <v>168</v>
      </c>
      <c r="B173" s="7" t="inlineStr">
        <is>
          <t>Wisata petik strowberry kebundesa(yeni)</t>
        </is>
      </c>
      <c r="C173" s="26" t="n">
        <v>-7.7974873</v>
      </c>
      <c r="D173" s="26" t="n">
        <v>112.5291888</v>
      </c>
      <c r="E173" s="21" t="n">
        <v>20000</v>
      </c>
      <c r="F173" s="27" t="n">
        <v>4.9</v>
      </c>
      <c r="G173" s="28" t="n">
        <v>195</v>
      </c>
      <c r="H173" s="14" t="inlineStr">
        <is>
          <t>Wisata petik strowberry kebundesa(yeni)</t>
        </is>
      </c>
      <c r="I173" s="29">
        <f>6371 * 2 * ASIN(SQRT(SIN(RADIANS((C173) - INDEX('Dataset_Wisata'!$C$12:$C$622, MATCH('Dashboard'!$C$9, 'Dataset_Wisata'!$A$12:$A$622, 0)))/2)^2 + COS(RADIANS(INDEX('Dataset_Wisata'!$C$12:$C$622, MATCH('Dashboard'!$C$9, 'Dataset_Wisata'!$A$12:$A$622, 0)))) * COS(RADIANS(C173)) * SIN(RADIANS((D173) - INDEX('Dataset_Wisata'!$D$12:$D$622, MATCH('Dashboard'!$C$9, 'Dataset_Wisata'!$A$12:$A$622, 0)))/2)^2)) * 1.3</f>
        <v/>
      </c>
      <c r="J173" s="21">
        <f>ROUND(I173 * IF('Dashboard'!$C$6&lt;=1, 2250, IF('Dashboard'!$C$6&lt;=4, 5150, 6000)), 0)</f>
        <v/>
      </c>
      <c r="K173" s="30" t="n">
        <v>0.8862296979094436</v>
      </c>
      <c r="L173" s="30" t="n">
        <v>0.1099329410905347</v>
      </c>
      <c r="M173" s="30" t="n">
        <v>0.003837361000021699</v>
      </c>
      <c r="N173" s="31">
        <f>ABS(E173-$F$6)</f>
        <v/>
      </c>
      <c r="O173" s="31">
        <f>ABS(E173-$F$7)</f>
        <v/>
      </c>
      <c r="P173" s="31">
        <f>ABS(E173-$F$8)</f>
        <v/>
      </c>
      <c r="Q173" s="14">
        <f>IF(K173&gt;=MAX(L173,M173), "Hemat", IF(L173&gt;=M173, "Balanced", "Premium"))</f>
        <v/>
      </c>
      <c r="R173" s="30" t="n">
        <v>0.8862297532761809</v>
      </c>
      <c r="S173" s="30" t="n">
        <v>0.1099328861159962</v>
      </c>
      <c r="T173" s="30" t="n">
        <v>0.003837360607822898</v>
      </c>
      <c r="U173" s="31">
        <f>ABS(E173-$G$6)</f>
        <v/>
      </c>
      <c r="V173" s="31">
        <f>ABS(E173-$G$7)</f>
        <v/>
      </c>
      <c r="W173" s="31">
        <f>ABS(E173-$G$8)</f>
        <v/>
      </c>
      <c r="X173" s="14">
        <f>IF(R173&gt;=MAX(S173,T173), "Hemat", IF(S173&gt;=T173, "Balanced", "Premium"))</f>
        <v/>
      </c>
    </row>
    <row r="174">
      <c r="A174" s="14" t="n">
        <v>169</v>
      </c>
      <c r="B174" s="7" t="inlineStr">
        <is>
          <t>Agrowisata Kaki Langit "Brakseng"</t>
        </is>
      </c>
      <c r="C174" s="26" t="n">
        <v>-7.7494741</v>
      </c>
      <c r="D174" s="26" t="n">
        <v>112.5348563</v>
      </c>
      <c r="E174" s="21" t="n">
        <v>5000</v>
      </c>
      <c r="F174" s="27" t="n">
        <v>4.7</v>
      </c>
      <c r="G174" s="28" t="n">
        <v>36</v>
      </c>
      <c r="H174" s="14" t="inlineStr">
        <is>
          <t>Agrowisata Kaki Langit "Brakseng"</t>
        </is>
      </c>
      <c r="I174" s="29">
        <f>6371 * 2 * ASIN(SQRT(SIN(RADIANS((C174) - INDEX('Dataset_Wisata'!$C$12:$C$622, MATCH('Dashboard'!$C$9, 'Dataset_Wisata'!$A$12:$A$622, 0)))/2)^2 + COS(RADIANS(INDEX('Dataset_Wisata'!$C$12:$C$622, MATCH('Dashboard'!$C$9, 'Dataset_Wisata'!$A$12:$A$622, 0)))) * COS(RADIANS(C174)) * SIN(RADIANS((D174) - INDEX('Dataset_Wisata'!$D$12:$D$622, MATCH('Dashboard'!$C$9, 'Dataset_Wisata'!$A$12:$A$622, 0)))/2)^2)) * 1.3</f>
        <v/>
      </c>
      <c r="J174" s="21">
        <f>ROUND(I174 * IF('Dashboard'!$C$6&lt;=1, 2250, IF('Dashboard'!$C$6&lt;=4, 5150, 6000)), 0)</f>
        <v/>
      </c>
      <c r="K174" s="30" t="n">
        <v>0.9895566543895754</v>
      </c>
      <c r="L174" s="30" t="n">
        <v>0.009798611400025654</v>
      </c>
      <c r="M174" s="30" t="n">
        <v>0.0006447342103988783</v>
      </c>
      <c r="N174" s="31">
        <f>ABS(E174-$F$6)</f>
        <v/>
      </c>
      <c r="O174" s="31">
        <f>ABS(E174-$F$7)</f>
        <v/>
      </c>
      <c r="P174" s="31">
        <f>ABS(E174-$F$8)</f>
        <v/>
      </c>
      <c r="Q174" s="14">
        <f>IF(K174&gt;=MAX(L174,M174), "Hemat", IF(L174&gt;=M174, "Balanced", "Premium"))</f>
        <v/>
      </c>
      <c r="R174" s="30" t="n">
        <v>0.9895566542341836</v>
      </c>
      <c r="S174" s="30" t="n">
        <v>0.00979861139170024</v>
      </c>
      <c r="T174" s="30" t="n">
        <v>0.00064473437411607</v>
      </c>
      <c r="U174" s="31">
        <f>ABS(E174-$G$6)</f>
        <v/>
      </c>
      <c r="V174" s="31">
        <f>ABS(E174-$G$7)</f>
        <v/>
      </c>
      <c r="W174" s="31">
        <f>ABS(E174-$G$8)</f>
        <v/>
      </c>
      <c r="X174" s="14">
        <f>IF(R174&gt;=MAX(S174,T174), "Hemat", IF(S174&gt;=T174, "Balanced", "Premium"))</f>
        <v/>
      </c>
    </row>
    <row r="175">
      <c r="A175" s="14" t="n">
        <v>170</v>
      </c>
      <c r="B175" s="7" t="inlineStr">
        <is>
          <t>Pantai Jembatan Panjang Tanjung Sirap</t>
        </is>
      </c>
      <c r="C175" s="26" t="n">
        <v>-8.402260800000001</v>
      </c>
      <c r="D175" s="26" t="n">
        <v>112.5301822</v>
      </c>
      <c r="E175" s="21" t="n">
        <v>5000</v>
      </c>
      <c r="F175" s="27" t="n">
        <v>4.6</v>
      </c>
      <c r="G175" s="28" t="n">
        <v>739</v>
      </c>
      <c r="H175" s="14" t="inlineStr">
        <is>
          <t>Pantai Jembatan Panjang Tanjung Sirap</t>
        </is>
      </c>
      <c r="I175" s="29">
        <f>6371 * 2 * ASIN(SQRT(SIN(RADIANS((C175) - INDEX('Dataset_Wisata'!$C$12:$C$622, MATCH('Dashboard'!$C$9, 'Dataset_Wisata'!$A$12:$A$622, 0)))/2)^2 + COS(RADIANS(INDEX('Dataset_Wisata'!$C$12:$C$622, MATCH('Dashboard'!$C$9, 'Dataset_Wisata'!$A$12:$A$622, 0)))) * COS(RADIANS(C175)) * SIN(RADIANS((D175) - INDEX('Dataset_Wisata'!$D$12:$D$622, MATCH('Dashboard'!$C$9, 'Dataset_Wisata'!$A$12:$A$622, 0)))/2)^2)) * 1.3</f>
        <v/>
      </c>
      <c r="J175" s="21">
        <f>ROUND(I175 * IF('Dashboard'!$C$6&lt;=1, 2250, IF('Dashboard'!$C$6&lt;=4, 5150, 6000)), 0)</f>
        <v/>
      </c>
      <c r="K175" s="30" t="n">
        <v>0.9895566543895754</v>
      </c>
      <c r="L175" s="30" t="n">
        <v>0.009798611400025654</v>
      </c>
      <c r="M175" s="30" t="n">
        <v>0.0006447342103988783</v>
      </c>
      <c r="N175" s="31">
        <f>ABS(E175-$F$6)</f>
        <v/>
      </c>
      <c r="O175" s="31">
        <f>ABS(E175-$F$7)</f>
        <v/>
      </c>
      <c r="P175" s="31">
        <f>ABS(E175-$F$8)</f>
        <v/>
      </c>
      <c r="Q175" s="14">
        <f>IF(K175&gt;=MAX(L175,M175), "Hemat", IF(L175&gt;=M175, "Balanced", "Premium"))</f>
        <v/>
      </c>
      <c r="R175" s="30" t="n">
        <v>0.9895566542341836</v>
      </c>
      <c r="S175" s="30" t="n">
        <v>0.00979861139170024</v>
      </c>
      <c r="T175" s="30" t="n">
        <v>0.00064473437411607</v>
      </c>
      <c r="U175" s="31">
        <f>ABS(E175-$G$6)</f>
        <v/>
      </c>
      <c r="V175" s="31">
        <f>ABS(E175-$G$7)</f>
        <v/>
      </c>
      <c r="W175" s="31">
        <f>ABS(E175-$G$8)</f>
        <v/>
      </c>
      <c r="X175" s="14">
        <f>IF(R175&gt;=MAX(S175,T175), "Hemat", IF(S175&gt;=T175, "Balanced", "Premium"))</f>
        <v/>
      </c>
    </row>
    <row r="176">
      <c r="A176" s="14" t="n">
        <v>171</v>
      </c>
      <c r="B176" s="7" t="inlineStr">
        <is>
          <t>Toko taman ayu nganteb (TAN)</t>
        </is>
      </c>
      <c r="C176" s="26" t="n">
        <v>-8.406741</v>
      </c>
      <c r="D176" s="26" t="n">
        <v>112.5726644</v>
      </c>
      <c r="E176" s="21" t="n">
        <v>10000</v>
      </c>
      <c r="F176" s="27" t="n">
        <v>4.4</v>
      </c>
      <c r="G176" s="28" t="n">
        <v>951</v>
      </c>
      <c r="H176" s="14" t="inlineStr">
        <is>
          <t>Toko taman ayu nganteb (TAN)</t>
        </is>
      </c>
      <c r="I176" s="29">
        <f>6371 * 2 * ASIN(SQRT(SIN(RADIANS((C176) - INDEX('Dataset_Wisata'!$C$12:$C$622, MATCH('Dashboard'!$C$9, 'Dataset_Wisata'!$A$12:$A$622, 0)))/2)^2 + COS(RADIANS(INDEX('Dataset_Wisata'!$C$12:$C$622, MATCH('Dashboard'!$C$9, 'Dataset_Wisata'!$A$12:$A$622, 0)))) * COS(RADIANS(C176)) * SIN(RADIANS((D176) - INDEX('Dataset_Wisata'!$D$12:$D$622, MATCH('Dashboard'!$C$9, 'Dataset_Wisata'!$A$12:$A$622, 0)))/2)^2)) * 1.3</f>
        <v/>
      </c>
      <c r="J176" s="21">
        <f>ROUND(I176 * IF('Dashboard'!$C$6&lt;=1, 2250, IF('Dashboard'!$C$6&lt;=4, 5150, 6000)), 0)</f>
        <v/>
      </c>
      <c r="K176" s="30" t="n">
        <v>0.9998126508185596</v>
      </c>
      <c r="L176" s="30" t="n">
        <v>0.0001775718391516968</v>
      </c>
      <c r="M176" s="30" t="n">
        <v>9.7773422886897e-06</v>
      </c>
      <c r="N176" s="31">
        <f>ABS(E176-$F$6)</f>
        <v/>
      </c>
      <c r="O176" s="31">
        <f>ABS(E176-$F$7)</f>
        <v/>
      </c>
      <c r="P176" s="31">
        <f>ABS(E176-$F$8)</f>
        <v/>
      </c>
      <c r="Q176" s="14">
        <f>IF(K176&gt;=MAX(L176,M176), "Hemat", IF(L176&gt;=M176, "Balanced", "Premium"))</f>
        <v/>
      </c>
      <c r="R176" s="30" t="n">
        <v>0.9998126513362043</v>
      </c>
      <c r="S176" s="30" t="n">
        <v>0.0001775713458315561</v>
      </c>
      <c r="T176" s="30" t="n">
        <v>9.777317964159987e-06</v>
      </c>
      <c r="U176" s="31">
        <f>ABS(E176-$G$6)</f>
        <v/>
      </c>
      <c r="V176" s="31">
        <f>ABS(E176-$G$7)</f>
        <v/>
      </c>
      <c r="W176" s="31">
        <f>ABS(E176-$G$8)</f>
        <v/>
      </c>
      <c r="X176" s="14">
        <f>IF(R176&gt;=MAX(S176,T176), "Hemat", IF(S176&gt;=T176, "Balanced", "Premium"))</f>
        <v/>
      </c>
    </row>
    <row r="177">
      <c r="A177" s="14" t="n">
        <v>172</v>
      </c>
      <c r="B177" s="7" t="inlineStr">
        <is>
          <t>Pantai Pesanggrahan ꦥꦼꦱꦶꦱꦶꦂꦥꦱꦔ꧀ꦒꦿꦃꦲꦤ꧀</t>
        </is>
      </c>
      <c r="C177" s="26" t="n">
        <v>-8.401594299999999</v>
      </c>
      <c r="D177" s="26" t="n">
        <v>112.5538006</v>
      </c>
      <c r="E177" s="21" t="n">
        <v>5000</v>
      </c>
      <c r="F177" s="27" t="n">
        <v>4.5</v>
      </c>
      <c r="G177" s="28" t="n">
        <v>119</v>
      </c>
      <c r="H177" s="14" t="inlineStr">
        <is>
          <t>Pantai Pesanggrahan ꦥꦼꦱꦶꦱꦶꦂꦥꦱꦔ꧀ꦒꦿꦃꦲꦤ꧀</t>
        </is>
      </c>
      <c r="I177" s="29">
        <f>6371 * 2 * ASIN(SQRT(SIN(RADIANS((C177) - INDEX('Dataset_Wisata'!$C$12:$C$622, MATCH('Dashboard'!$C$9, 'Dataset_Wisata'!$A$12:$A$622, 0)))/2)^2 + COS(RADIANS(INDEX('Dataset_Wisata'!$C$12:$C$622, MATCH('Dashboard'!$C$9, 'Dataset_Wisata'!$A$12:$A$622, 0)))) * COS(RADIANS(C177)) * SIN(RADIANS((D177) - INDEX('Dataset_Wisata'!$D$12:$D$622, MATCH('Dashboard'!$C$9, 'Dataset_Wisata'!$A$12:$A$622, 0)))/2)^2)) * 1.3</f>
        <v/>
      </c>
      <c r="J177" s="21">
        <f>ROUND(I177 * IF('Dashboard'!$C$6&lt;=1, 2250, IF('Dashboard'!$C$6&lt;=4, 5150, 6000)), 0)</f>
        <v/>
      </c>
      <c r="K177" s="30" t="n">
        <v>0.9895566543895754</v>
      </c>
      <c r="L177" s="30" t="n">
        <v>0.009798611400025654</v>
      </c>
      <c r="M177" s="30" t="n">
        <v>0.0006447342103988783</v>
      </c>
      <c r="N177" s="31">
        <f>ABS(E177-$F$6)</f>
        <v/>
      </c>
      <c r="O177" s="31">
        <f>ABS(E177-$F$7)</f>
        <v/>
      </c>
      <c r="P177" s="31">
        <f>ABS(E177-$F$8)</f>
        <v/>
      </c>
      <c r="Q177" s="14">
        <f>IF(K177&gt;=MAX(L177,M177), "Hemat", IF(L177&gt;=M177, "Balanced", "Premium"))</f>
        <v/>
      </c>
      <c r="R177" s="30" t="n">
        <v>0.9895566542341836</v>
      </c>
      <c r="S177" s="30" t="n">
        <v>0.00979861139170024</v>
      </c>
      <c r="T177" s="30" t="n">
        <v>0.00064473437411607</v>
      </c>
      <c r="U177" s="31">
        <f>ABS(E177-$G$6)</f>
        <v/>
      </c>
      <c r="V177" s="31">
        <f>ABS(E177-$G$7)</f>
        <v/>
      </c>
      <c r="W177" s="31">
        <f>ABS(E177-$G$8)</f>
        <v/>
      </c>
      <c r="X177" s="14">
        <f>IF(R177&gt;=MAX(S177,T177), "Hemat", IF(S177&gt;=T177, "Balanced", "Premium"))</f>
        <v/>
      </c>
    </row>
    <row r="178">
      <c r="A178" s="14" t="n">
        <v>173</v>
      </c>
      <c r="B178" s="7" t="inlineStr">
        <is>
          <t>Pantai Ngantep</t>
        </is>
      </c>
      <c r="C178" s="26" t="n">
        <v>-8.4085818</v>
      </c>
      <c r="D178" s="26" t="n">
        <v>112.5749999</v>
      </c>
      <c r="E178" s="21" t="n">
        <v>10000</v>
      </c>
      <c r="F178" s="27" t="n">
        <v>4.6</v>
      </c>
      <c r="G178" s="28" t="n">
        <v>1589</v>
      </c>
      <c r="H178" s="14" t="inlineStr">
        <is>
          <t>Pantai Ngantep</t>
        </is>
      </c>
      <c r="I178" s="29">
        <f>6371 * 2 * ASIN(SQRT(SIN(RADIANS((C178) - INDEX('Dataset_Wisata'!$C$12:$C$622, MATCH('Dashboard'!$C$9, 'Dataset_Wisata'!$A$12:$A$622, 0)))/2)^2 + COS(RADIANS(INDEX('Dataset_Wisata'!$C$12:$C$622, MATCH('Dashboard'!$C$9, 'Dataset_Wisata'!$A$12:$A$622, 0)))) * COS(RADIANS(C178)) * SIN(RADIANS((D178) - INDEX('Dataset_Wisata'!$D$12:$D$622, MATCH('Dashboard'!$C$9, 'Dataset_Wisata'!$A$12:$A$622, 0)))/2)^2)) * 1.3</f>
        <v/>
      </c>
      <c r="J178" s="21">
        <f>ROUND(I178 * IF('Dashboard'!$C$6&lt;=1, 2250, IF('Dashboard'!$C$6&lt;=4, 5150, 6000)), 0)</f>
        <v/>
      </c>
      <c r="K178" s="30" t="n">
        <v>0.9998126508185596</v>
      </c>
      <c r="L178" s="30" t="n">
        <v>0.0001775718391516968</v>
      </c>
      <c r="M178" s="30" t="n">
        <v>9.7773422886897e-06</v>
      </c>
      <c r="N178" s="31">
        <f>ABS(E178-$F$6)</f>
        <v/>
      </c>
      <c r="O178" s="31">
        <f>ABS(E178-$F$7)</f>
        <v/>
      </c>
      <c r="P178" s="31">
        <f>ABS(E178-$F$8)</f>
        <v/>
      </c>
      <c r="Q178" s="14">
        <f>IF(K178&gt;=MAX(L178,M178), "Hemat", IF(L178&gt;=M178, "Balanced", "Premium"))</f>
        <v/>
      </c>
      <c r="R178" s="30" t="n">
        <v>0.9998126513362043</v>
      </c>
      <c r="S178" s="30" t="n">
        <v>0.0001775713458315561</v>
      </c>
      <c r="T178" s="30" t="n">
        <v>9.777317964159987e-06</v>
      </c>
      <c r="U178" s="31">
        <f>ABS(E178-$G$6)</f>
        <v/>
      </c>
      <c r="V178" s="31">
        <f>ABS(E178-$G$7)</f>
        <v/>
      </c>
      <c r="W178" s="31">
        <f>ABS(E178-$G$8)</f>
        <v/>
      </c>
      <c r="X178" s="14">
        <f>IF(R178&gt;=MAX(S178,T178), "Hemat", IF(S178&gt;=T178, "Balanced", "Premium"))</f>
        <v/>
      </c>
    </row>
    <row r="179">
      <c r="A179" s="14" t="n">
        <v>174</v>
      </c>
      <c r="B179" s="7" t="inlineStr">
        <is>
          <t>Air Terjun Kedung Darmo</t>
        </is>
      </c>
      <c r="C179" s="26" t="n">
        <v>-8.3393029</v>
      </c>
      <c r="D179" s="26" t="n">
        <v>112.5702893</v>
      </c>
      <c r="E179" s="21" t="n">
        <v>5000</v>
      </c>
      <c r="F179" s="27" t="n">
        <v>4.6</v>
      </c>
      <c r="G179" s="28" t="n">
        <v>312</v>
      </c>
      <c r="H179" s="14" t="inlineStr">
        <is>
          <t>Tujuan Wisata · </t>
        </is>
      </c>
      <c r="I179" s="29">
        <f>6371 * 2 * ASIN(SQRT(SIN(RADIANS((C179) - INDEX('Dataset_Wisata'!$C$12:$C$622, MATCH('Dashboard'!$C$9, 'Dataset_Wisata'!$A$12:$A$622, 0)))/2)^2 + COS(RADIANS(INDEX('Dataset_Wisata'!$C$12:$C$622, MATCH('Dashboard'!$C$9, 'Dataset_Wisata'!$A$12:$A$622, 0)))) * COS(RADIANS(C179)) * SIN(RADIANS((D179) - INDEX('Dataset_Wisata'!$D$12:$D$622, MATCH('Dashboard'!$C$9, 'Dataset_Wisata'!$A$12:$A$622, 0)))/2)^2)) * 1.3</f>
        <v/>
      </c>
      <c r="J179" s="21">
        <f>ROUND(I179 * IF('Dashboard'!$C$6&lt;=1, 2250, IF('Dashboard'!$C$6&lt;=4, 5150, 6000)), 0)</f>
        <v/>
      </c>
      <c r="K179" s="30" t="n">
        <v>0.9895566543895754</v>
      </c>
      <c r="L179" s="30" t="n">
        <v>0.009798611400025654</v>
      </c>
      <c r="M179" s="30" t="n">
        <v>0.0006447342103988783</v>
      </c>
      <c r="N179" s="31">
        <f>ABS(E179-$F$6)</f>
        <v/>
      </c>
      <c r="O179" s="31">
        <f>ABS(E179-$F$7)</f>
        <v/>
      </c>
      <c r="P179" s="31">
        <f>ABS(E179-$F$8)</f>
        <v/>
      </c>
      <c r="Q179" s="14">
        <f>IF(K179&gt;=MAX(L179,M179), "Hemat", IF(L179&gt;=M179, "Balanced", "Premium"))</f>
        <v/>
      </c>
      <c r="R179" s="30" t="n">
        <v>0.9895566542341836</v>
      </c>
      <c r="S179" s="30" t="n">
        <v>0.00979861139170024</v>
      </c>
      <c r="T179" s="30" t="n">
        <v>0.00064473437411607</v>
      </c>
      <c r="U179" s="31">
        <f>ABS(E179-$G$6)</f>
        <v/>
      </c>
      <c r="V179" s="31">
        <f>ABS(E179-$G$7)</f>
        <v/>
      </c>
      <c r="W179" s="31">
        <f>ABS(E179-$G$8)</f>
        <v/>
      </c>
      <c r="X179" s="14">
        <f>IF(R179&gt;=MAX(S179,T179), "Hemat", IF(S179&gt;=T179, "Balanced", "Premium"))</f>
        <v/>
      </c>
    </row>
    <row r="180">
      <c r="A180" s="14" t="n">
        <v>175</v>
      </c>
      <c r="B180" s="7" t="inlineStr">
        <is>
          <t>Pantai Kondang Merak ꦥꦼꦱꦶꦱꦶꦂꦏꦺꦴꦤ꧀ꦢꦁꦩꦼꦫꦏ꧀</t>
        </is>
      </c>
      <c r="C180" s="26" t="n">
        <v>-8.396839699999999</v>
      </c>
      <c r="D180" s="26" t="n">
        <v>112.5197531</v>
      </c>
      <c r="E180" s="21" t="n">
        <v>10000</v>
      </c>
      <c r="F180" s="27" t="n">
        <v>4.8</v>
      </c>
      <c r="G180" s="28" t="n">
        <v>125</v>
      </c>
      <c r="H180" s="14" t="inlineStr">
        <is>
          <t>Pantai Kondang Merak ꦥꦼꦱꦶꦱꦶꦂꦏꦺꦴꦤ꧀ꦢꦁꦩꦼꦫꦏ꧀</t>
        </is>
      </c>
      <c r="I180" s="29">
        <f>6371 * 2 * ASIN(SQRT(SIN(RADIANS((C180) - INDEX('Dataset_Wisata'!$C$12:$C$622, MATCH('Dashboard'!$C$9, 'Dataset_Wisata'!$A$12:$A$622, 0)))/2)^2 + COS(RADIANS(INDEX('Dataset_Wisata'!$C$12:$C$622, MATCH('Dashboard'!$C$9, 'Dataset_Wisata'!$A$12:$A$622, 0)))) * COS(RADIANS(C180)) * SIN(RADIANS((D180) - INDEX('Dataset_Wisata'!$D$12:$D$622, MATCH('Dashboard'!$C$9, 'Dataset_Wisata'!$A$12:$A$622, 0)))/2)^2)) * 1.3</f>
        <v/>
      </c>
      <c r="J180" s="21">
        <f>ROUND(I180 * IF('Dashboard'!$C$6&lt;=1, 2250, IF('Dashboard'!$C$6&lt;=4, 5150, 6000)), 0)</f>
        <v/>
      </c>
      <c r="K180" s="30" t="n">
        <v>0.9998126508185596</v>
      </c>
      <c r="L180" s="30" t="n">
        <v>0.0001775718391516968</v>
      </c>
      <c r="M180" s="30" t="n">
        <v>9.7773422886897e-06</v>
      </c>
      <c r="N180" s="31">
        <f>ABS(E180-$F$6)</f>
        <v/>
      </c>
      <c r="O180" s="31">
        <f>ABS(E180-$F$7)</f>
        <v/>
      </c>
      <c r="P180" s="31">
        <f>ABS(E180-$F$8)</f>
        <v/>
      </c>
      <c r="Q180" s="14">
        <f>IF(K180&gt;=MAX(L180,M180), "Hemat", IF(L180&gt;=M180, "Balanced", "Premium"))</f>
        <v/>
      </c>
      <c r="R180" s="30" t="n">
        <v>0.9998126513362043</v>
      </c>
      <c r="S180" s="30" t="n">
        <v>0.0001775713458315561</v>
      </c>
      <c r="T180" s="30" t="n">
        <v>9.777317964159987e-06</v>
      </c>
      <c r="U180" s="31">
        <f>ABS(E180-$G$6)</f>
        <v/>
      </c>
      <c r="V180" s="31">
        <f>ABS(E180-$G$7)</f>
        <v/>
      </c>
      <c r="W180" s="31">
        <f>ABS(E180-$G$8)</f>
        <v/>
      </c>
      <c r="X180" s="14">
        <f>IF(R180&gt;=MAX(S180,T180), "Hemat", IF(S180&gt;=T180, "Balanced", "Premium"))</f>
        <v/>
      </c>
    </row>
    <row r="181">
      <c r="A181" s="14" t="n">
        <v>176</v>
      </c>
      <c r="B181" s="7" t="inlineStr">
        <is>
          <t>Sumber Taman</t>
        </is>
      </c>
      <c r="C181" s="26" t="n">
        <v>-8.174602399999999</v>
      </c>
      <c r="D181" s="26" t="n">
        <v>112.5998291</v>
      </c>
      <c r="E181" s="21" t="n">
        <v>10000</v>
      </c>
      <c r="F181" s="27" t="n">
        <v>4.4</v>
      </c>
      <c r="G181" s="28" t="n">
        <v>1610</v>
      </c>
      <c r="H181" s="14" t="inlineStr">
        <is>
          <t>Sumber Taman</t>
        </is>
      </c>
      <c r="I181" s="29">
        <f>6371 * 2 * ASIN(SQRT(SIN(RADIANS((C181) - INDEX('Dataset_Wisata'!$C$12:$C$622, MATCH('Dashboard'!$C$9, 'Dataset_Wisata'!$A$12:$A$622, 0)))/2)^2 + COS(RADIANS(INDEX('Dataset_Wisata'!$C$12:$C$622, MATCH('Dashboard'!$C$9, 'Dataset_Wisata'!$A$12:$A$622, 0)))) * COS(RADIANS(C181)) * SIN(RADIANS((D181) - INDEX('Dataset_Wisata'!$D$12:$D$622, MATCH('Dashboard'!$C$9, 'Dataset_Wisata'!$A$12:$A$622, 0)))/2)^2)) * 1.3</f>
        <v/>
      </c>
      <c r="J181" s="21">
        <f>ROUND(I181 * IF('Dashboard'!$C$6&lt;=1, 2250, IF('Dashboard'!$C$6&lt;=4, 5150, 6000)), 0)</f>
        <v/>
      </c>
      <c r="K181" s="30" t="n">
        <v>0.9998126508185596</v>
      </c>
      <c r="L181" s="30" t="n">
        <v>0.0001775718391516968</v>
      </c>
      <c r="M181" s="30" t="n">
        <v>9.7773422886897e-06</v>
      </c>
      <c r="N181" s="31">
        <f>ABS(E181-$F$6)</f>
        <v/>
      </c>
      <c r="O181" s="31">
        <f>ABS(E181-$F$7)</f>
        <v/>
      </c>
      <c r="P181" s="31">
        <f>ABS(E181-$F$8)</f>
        <v/>
      </c>
      <c r="Q181" s="14">
        <f>IF(K181&gt;=MAX(L181,M181), "Hemat", IF(L181&gt;=M181, "Balanced", "Premium"))</f>
        <v/>
      </c>
      <c r="R181" s="30" t="n">
        <v>0.9998126513362043</v>
      </c>
      <c r="S181" s="30" t="n">
        <v>0.0001775713458315561</v>
      </c>
      <c r="T181" s="30" t="n">
        <v>9.777317964159987e-06</v>
      </c>
      <c r="U181" s="31">
        <f>ABS(E181-$G$6)</f>
        <v/>
      </c>
      <c r="V181" s="31">
        <f>ABS(E181-$G$7)</f>
        <v/>
      </c>
      <c r="W181" s="31">
        <f>ABS(E181-$G$8)</f>
        <v/>
      </c>
      <c r="X181" s="14">
        <f>IF(R181&gt;=MAX(S181,T181), "Hemat", IF(S181&gt;=T181, "Balanced", "Premium"))</f>
        <v/>
      </c>
    </row>
    <row r="182">
      <c r="A182" s="14" t="n">
        <v>177</v>
      </c>
      <c r="B182" s="7" t="inlineStr">
        <is>
          <t>Sumber Maron</t>
        </is>
      </c>
      <c r="C182" s="26" t="n">
        <v>-8.1656096</v>
      </c>
      <c r="D182" s="26" t="n">
        <v>112.5920333</v>
      </c>
      <c r="E182" s="21" t="n">
        <v>5000</v>
      </c>
      <c r="F182" s="27" t="n">
        <v>4.4</v>
      </c>
      <c r="G182" s="28" t="n">
        <v>18181</v>
      </c>
      <c r="H182" s="14" t="inlineStr">
        <is>
          <t>Wisata Umum</t>
        </is>
      </c>
      <c r="I182" s="29">
        <f>6371 * 2 * ASIN(SQRT(SIN(RADIANS((C182) - INDEX('Dataset_Wisata'!$C$12:$C$622, MATCH('Dashboard'!$C$9, 'Dataset_Wisata'!$A$12:$A$622, 0)))/2)^2 + COS(RADIANS(INDEX('Dataset_Wisata'!$C$12:$C$622, MATCH('Dashboard'!$C$9, 'Dataset_Wisata'!$A$12:$A$622, 0)))) * COS(RADIANS(C182)) * SIN(RADIANS((D182) - INDEX('Dataset_Wisata'!$D$12:$D$622, MATCH('Dashboard'!$C$9, 'Dataset_Wisata'!$A$12:$A$622, 0)))/2)^2)) * 1.3</f>
        <v/>
      </c>
      <c r="J182" s="21">
        <f>ROUND(I182 * IF('Dashboard'!$C$6&lt;=1, 2250, IF('Dashboard'!$C$6&lt;=4, 5150, 6000)), 0)</f>
        <v/>
      </c>
      <c r="K182" s="30" t="n">
        <v>0.9895566543895754</v>
      </c>
      <c r="L182" s="30" t="n">
        <v>0.009798611400025654</v>
      </c>
      <c r="M182" s="30" t="n">
        <v>0.0006447342103988783</v>
      </c>
      <c r="N182" s="31">
        <f>ABS(E182-$F$6)</f>
        <v/>
      </c>
      <c r="O182" s="31">
        <f>ABS(E182-$F$7)</f>
        <v/>
      </c>
      <c r="P182" s="31">
        <f>ABS(E182-$F$8)</f>
        <v/>
      </c>
      <c r="Q182" s="14">
        <f>IF(K182&gt;=MAX(L182,M182), "Hemat", IF(L182&gt;=M182, "Balanced", "Premium"))</f>
        <v/>
      </c>
      <c r="R182" s="30" t="n">
        <v>0.9895566542341836</v>
      </c>
      <c r="S182" s="30" t="n">
        <v>0.00979861139170024</v>
      </c>
      <c r="T182" s="30" t="n">
        <v>0.00064473437411607</v>
      </c>
      <c r="U182" s="31">
        <f>ABS(E182-$G$6)</f>
        <v/>
      </c>
      <c r="V182" s="31">
        <f>ABS(E182-$G$7)</f>
        <v/>
      </c>
      <c r="W182" s="31">
        <f>ABS(E182-$G$8)</f>
        <v/>
      </c>
      <c r="X182" s="14">
        <f>IF(R182&gt;=MAX(S182,T182), "Hemat", IF(S182&gt;=T182, "Balanced", "Premium"))</f>
        <v/>
      </c>
    </row>
    <row r="183">
      <c r="A183" s="14" t="n">
        <v>178</v>
      </c>
      <c r="B183" s="7" t="inlineStr">
        <is>
          <t>Kanigoro park</t>
        </is>
      </c>
      <c r="C183" s="26" t="n">
        <v>-8.184479400000001</v>
      </c>
      <c r="D183" s="26" t="n">
        <v>112.5793884</v>
      </c>
      <c r="E183" s="21" t="n">
        <v>5000</v>
      </c>
      <c r="F183" s="27" t="n">
        <v>4.6</v>
      </c>
      <c r="G183" s="28" t="n">
        <v>540</v>
      </c>
      <c r="H183" s="14" t="inlineStr">
        <is>
          <t>Wisata Umum</t>
        </is>
      </c>
      <c r="I183" s="29">
        <f>6371 * 2 * ASIN(SQRT(SIN(RADIANS((C183) - INDEX('Dataset_Wisata'!$C$12:$C$622, MATCH('Dashboard'!$C$9, 'Dataset_Wisata'!$A$12:$A$622, 0)))/2)^2 + COS(RADIANS(INDEX('Dataset_Wisata'!$C$12:$C$622, MATCH('Dashboard'!$C$9, 'Dataset_Wisata'!$A$12:$A$622, 0)))) * COS(RADIANS(C183)) * SIN(RADIANS((D183) - INDEX('Dataset_Wisata'!$D$12:$D$622, MATCH('Dashboard'!$C$9, 'Dataset_Wisata'!$A$12:$A$622, 0)))/2)^2)) * 1.3</f>
        <v/>
      </c>
      <c r="J183" s="21">
        <f>ROUND(I183 * IF('Dashboard'!$C$6&lt;=1, 2250, IF('Dashboard'!$C$6&lt;=4, 5150, 6000)), 0)</f>
        <v/>
      </c>
      <c r="K183" s="30" t="n">
        <v>0.9895566543895754</v>
      </c>
      <c r="L183" s="30" t="n">
        <v>0.009798611400025654</v>
      </c>
      <c r="M183" s="30" t="n">
        <v>0.0006447342103988783</v>
      </c>
      <c r="N183" s="31">
        <f>ABS(E183-$F$6)</f>
        <v/>
      </c>
      <c r="O183" s="31">
        <f>ABS(E183-$F$7)</f>
        <v/>
      </c>
      <c r="P183" s="31">
        <f>ABS(E183-$F$8)</f>
        <v/>
      </c>
      <c r="Q183" s="14">
        <f>IF(K183&gt;=MAX(L183,M183), "Hemat", IF(L183&gt;=M183, "Balanced", "Premium"))</f>
        <v/>
      </c>
      <c r="R183" s="30" t="n">
        <v>0.9895566542341836</v>
      </c>
      <c r="S183" s="30" t="n">
        <v>0.00979861139170024</v>
      </c>
      <c r="T183" s="30" t="n">
        <v>0.00064473437411607</v>
      </c>
      <c r="U183" s="31">
        <f>ABS(E183-$G$6)</f>
        <v/>
      </c>
      <c r="V183" s="31">
        <f>ABS(E183-$G$7)</f>
        <v/>
      </c>
      <c r="W183" s="31">
        <f>ABS(E183-$G$8)</f>
        <v/>
      </c>
      <c r="X183" s="14">
        <f>IF(R183&gt;=MAX(S183,T183), "Hemat", IF(S183&gt;=T183, "Balanced", "Premium"))</f>
        <v/>
      </c>
    </row>
    <row r="184">
      <c r="A184" s="14" t="n">
        <v>180</v>
      </c>
      <c r="B184" s="7" t="inlineStr">
        <is>
          <t>Kolam Renang Kalijati Desa Jenggolo</t>
        </is>
      </c>
      <c r="C184" s="26" t="n">
        <v>-8.173534800000001</v>
      </c>
      <c r="D184" s="26" t="n">
        <v>112.5465748</v>
      </c>
      <c r="E184" s="21" t="n">
        <v>10000</v>
      </c>
      <c r="F184" s="27" t="n">
        <v>4.4</v>
      </c>
      <c r="G184" s="28" t="n">
        <v>21</v>
      </c>
      <c r="H184" s="14" t="inlineStr">
        <is>
          <t>Kolam Renang Kalijati Desa Jenggolo</t>
        </is>
      </c>
      <c r="I184" s="29">
        <f>6371 * 2 * ASIN(SQRT(SIN(RADIANS((C184) - INDEX('Dataset_Wisata'!$C$12:$C$622, MATCH('Dashboard'!$C$9, 'Dataset_Wisata'!$A$12:$A$622, 0)))/2)^2 + COS(RADIANS(INDEX('Dataset_Wisata'!$C$12:$C$622, MATCH('Dashboard'!$C$9, 'Dataset_Wisata'!$A$12:$A$622, 0)))) * COS(RADIANS(C184)) * SIN(RADIANS((D184) - INDEX('Dataset_Wisata'!$D$12:$D$622, MATCH('Dashboard'!$C$9, 'Dataset_Wisata'!$A$12:$A$622, 0)))/2)^2)) * 1.3</f>
        <v/>
      </c>
      <c r="J184" s="21">
        <f>ROUND(I184 * IF('Dashboard'!$C$6&lt;=1, 2250, IF('Dashboard'!$C$6&lt;=4, 5150, 6000)), 0)</f>
        <v/>
      </c>
      <c r="K184" s="30" t="n">
        <v>0.9998126508185596</v>
      </c>
      <c r="L184" s="30" t="n">
        <v>0.0001775718391516968</v>
      </c>
      <c r="M184" s="30" t="n">
        <v>9.7773422886897e-06</v>
      </c>
      <c r="N184" s="31">
        <f>ABS(E184-$F$6)</f>
        <v/>
      </c>
      <c r="O184" s="31">
        <f>ABS(E184-$F$7)</f>
        <v/>
      </c>
      <c r="P184" s="31">
        <f>ABS(E184-$F$8)</f>
        <v/>
      </c>
      <c r="Q184" s="14">
        <f>IF(K184&gt;=MAX(L184,M184), "Hemat", IF(L184&gt;=M184, "Balanced", "Premium"))</f>
        <v/>
      </c>
      <c r="R184" s="30" t="n">
        <v>0.9998126513362043</v>
      </c>
      <c r="S184" s="30" t="n">
        <v>0.0001775713458315561</v>
      </c>
      <c r="T184" s="30" t="n">
        <v>9.777317964159987e-06</v>
      </c>
      <c r="U184" s="31">
        <f>ABS(E184-$G$6)</f>
        <v/>
      </c>
      <c r="V184" s="31">
        <f>ABS(E184-$G$7)</f>
        <v/>
      </c>
      <c r="W184" s="31">
        <f>ABS(E184-$G$8)</f>
        <v/>
      </c>
      <c r="X184" s="14">
        <f>IF(R184&gt;=MAX(S184,T184), "Hemat", IF(S184&gt;=T184, "Balanced", "Premium"))</f>
        <v/>
      </c>
    </row>
    <row r="185">
      <c r="A185" s="14" t="n">
        <v>181</v>
      </c>
      <c r="B185" s="7" t="inlineStr">
        <is>
          <t>Sbr Songo</t>
        </is>
      </c>
      <c r="C185" s="26" t="n">
        <v>-8.1719515</v>
      </c>
      <c r="D185" s="26" t="n">
        <v>112.5476425</v>
      </c>
      <c r="E185" s="21" t="n">
        <v>10000</v>
      </c>
      <c r="F185" s="27" t="n">
        <v>4.4</v>
      </c>
      <c r="G185" s="28" t="n">
        <v>76</v>
      </c>
      <c r="H185" s="14" t="inlineStr">
        <is>
          <t>Wisata Umum</t>
        </is>
      </c>
      <c r="I185" s="29">
        <f>6371 * 2 * ASIN(SQRT(SIN(RADIANS((C185) - INDEX('Dataset_Wisata'!$C$12:$C$622, MATCH('Dashboard'!$C$9, 'Dataset_Wisata'!$A$12:$A$622, 0)))/2)^2 + COS(RADIANS(INDEX('Dataset_Wisata'!$C$12:$C$622, MATCH('Dashboard'!$C$9, 'Dataset_Wisata'!$A$12:$A$622, 0)))) * COS(RADIANS(C185)) * SIN(RADIANS((D185) - INDEX('Dataset_Wisata'!$D$12:$D$622, MATCH('Dashboard'!$C$9, 'Dataset_Wisata'!$A$12:$A$622, 0)))/2)^2)) * 1.3</f>
        <v/>
      </c>
      <c r="J185" s="21">
        <f>ROUND(I185 * IF('Dashboard'!$C$6&lt;=1, 2250, IF('Dashboard'!$C$6&lt;=4, 5150, 6000)), 0)</f>
        <v/>
      </c>
      <c r="K185" s="30" t="n">
        <v>0.9998126508185596</v>
      </c>
      <c r="L185" s="30" t="n">
        <v>0.0001775718391516968</v>
      </c>
      <c r="M185" s="30" t="n">
        <v>9.7773422886897e-06</v>
      </c>
      <c r="N185" s="31">
        <f>ABS(E185-$F$6)</f>
        <v/>
      </c>
      <c r="O185" s="31">
        <f>ABS(E185-$F$7)</f>
        <v/>
      </c>
      <c r="P185" s="31">
        <f>ABS(E185-$F$8)</f>
        <v/>
      </c>
      <c r="Q185" s="14">
        <f>IF(K185&gt;=MAX(L185,M185), "Hemat", IF(L185&gt;=M185, "Balanced", "Premium"))</f>
        <v/>
      </c>
      <c r="R185" s="30" t="n">
        <v>0.9998126513362043</v>
      </c>
      <c r="S185" s="30" t="n">
        <v>0.0001775713458315561</v>
      </c>
      <c r="T185" s="30" t="n">
        <v>9.777317964159987e-06</v>
      </c>
      <c r="U185" s="31">
        <f>ABS(E185-$G$6)</f>
        <v/>
      </c>
      <c r="V185" s="31">
        <f>ABS(E185-$G$7)</f>
        <v/>
      </c>
      <c r="W185" s="31">
        <f>ABS(E185-$G$8)</f>
        <v/>
      </c>
      <c r="X185" s="14">
        <f>IF(R185&gt;=MAX(S185,T185), "Hemat", IF(S185&gt;=T185, "Balanced", "Premium"))</f>
        <v/>
      </c>
    </row>
    <row r="186">
      <c r="A186" s="14" t="n">
        <v>182</v>
      </c>
      <c r="B186" s="7" t="inlineStr">
        <is>
          <t>Wisata Lembah Dilem Kepanjen</t>
        </is>
      </c>
      <c r="C186" s="26" t="n">
        <v>-8.1150254</v>
      </c>
      <c r="D186" s="26" t="n">
        <v>112.5661367</v>
      </c>
      <c r="E186" s="21" t="n">
        <v>5000</v>
      </c>
      <c r="F186" s="27" t="n">
        <v>4.3</v>
      </c>
      <c r="G186" s="28" t="n">
        <v>29</v>
      </c>
      <c r="H186" s="14" t="inlineStr">
        <is>
          <t>Wisata Lembah Dilem Kepanjen</t>
        </is>
      </c>
      <c r="I186" s="29">
        <f>6371 * 2 * ASIN(SQRT(SIN(RADIANS((C186) - INDEX('Dataset_Wisata'!$C$12:$C$622, MATCH('Dashboard'!$C$9, 'Dataset_Wisata'!$A$12:$A$622, 0)))/2)^2 + COS(RADIANS(INDEX('Dataset_Wisata'!$C$12:$C$622, MATCH('Dashboard'!$C$9, 'Dataset_Wisata'!$A$12:$A$622, 0)))) * COS(RADIANS(C186)) * SIN(RADIANS((D186) - INDEX('Dataset_Wisata'!$D$12:$D$622, MATCH('Dashboard'!$C$9, 'Dataset_Wisata'!$A$12:$A$622, 0)))/2)^2)) * 1.3</f>
        <v/>
      </c>
      <c r="J186" s="21">
        <f>ROUND(I186 * IF('Dashboard'!$C$6&lt;=1, 2250, IF('Dashboard'!$C$6&lt;=4, 5150, 6000)), 0)</f>
        <v/>
      </c>
      <c r="K186" s="30" t="n">
        <v>0.9895566543895754</v>
      </c>
      <c r="L186" s="30" t="n">
        <v>0.009798611400025654</v>
      </c>
      <c r="M186" s="30" t="n">
        <v>0.0006447342103988783</v>
      </c>
      <c r="N186" s="31">
        <f>ABS(E186-$F$6)</f>
        <v/>
      </c>
      <c r="O186" s="31">
        <f>ABS(E186-$F$7)</f>
        <v/>
      </c>
      <c r="P186" s="31">
        <f>ABS(E186-$F$8)</f>
        <v/>
      </c>
      <c r="Q186" s="14">
        <f>IF(K186&gt;=MAX(L186,M186), "Hemat", IF(L186&gt;=M186, "Balanced", "Premium"))</f>
        <v/>
      </c>
      <c r="R186" s="30" t="n">
        <v>0.9895566542341836</v>
      </c>
      <c r="S186" s="30" t="n">
        <v>0.00979861139170024</v>
      </c>
      <c r="T186" s="30" t="n">
        <v>0.00064473437411607</v>
      </c>
      <c r="U186" s="31">
        <f>ABS(E186-$G$6)</f>
        <v/>
      </c>
      <c r="V186" s="31">
        <f>ABS(E186-$G$7)</f>
        <v/>
      </c>
      <c r="W186" s="31">
        <f>ABS(E186-$G$8)</f>
        <v/>
      </c>
      <c r="X186" s="14">
        <f>IF(R186&gt;=MAX(S186,T186), "Hemat", IF(S186&gt;=T186, "Balanced", "Premium"))</f>
        <v/>
      </c>
    </row>
    <row r="187">
      <c r="A187" s="14" t="n">
        <v>183</v>
      </c>
      <c r="B187" s="7" t="inlineStr">
        <is>
          <t>Jatikerto Rest Area</t>
        </is>
      </c>
      <c r="C187" s="26" t="n">
        <v>-8.139235299999999</v>
      </c>
      <c r="D187" s="26" t="n">
        <v>112.5329597</v>
      </c>
      <c r="E187" s="21" t="n">
        <v>0</v>
      </c>
      <c r="F187" s="27" t="n">
        <v>4.7</v>
      </c>
      <c r="G187" s="28" t="n">
        <v>100</v>
      </c>
      <c r="H187" s="14" t="inlineStr">
        <is>
          <t>Wisata Umum</t>
        </is>
      </c>
      <c r="I187" s="29">
        <f>6371 * 2 * ASIN(SQRT(SIN(RADIANS((C187) - INDEX('Dataset_Wisata'!$C$12:$C$622, MATCH('Dashboard'!$C$9, 'Dataset_Wisata'!$A$12:$A$622, 0)))/2)^2 + COS(RADIANS(INDEX('Dataset_Wisata'!$C$12:$C$622, MATCH('Dashboard'!$C$9, 'Dataset_Wisata'!$A$12:$A$622, 0)))) * COS(RADIANS(C187)) * SIN(RADIANS((D187) - INDEX('Dataset_Wisata'!$D$12:$D$622, MATCH('Dashboard'!$C$9, 'Dataset_Wisata'!$A$12:$A$622, 0)))/2)^2)) * 1.3</f>
        <v/>
      </c>
      <c r="J187" s="21">
        <f>ROUND(I187 * IF('Dashboard'!$C$6&lt;=1, 2250, IF('Dashboard'!$C$6&lt;=4, 5150, 6000)), 0)</f>
        <v/>
      </c>
      <c r="K187" s="30" t="n">
        <v>0.9626824510005771</v>
      </c>
      <c r="L187" s="30" t="n">
        <v>0.03465542295845363</v>
      </c>
      <c r="M187" s="30" t="n">
        <v>0.002662126040969366</v>
      </c>
      <c r="N187" s="31">
        <f>ABS(E187-$F$6)</f>
        <v/>
      </c>
      <c r="O187" s="31">
        <f>ABS(E187-$F$7)</f>
        <v/>
      </c>
      <c r="P187" s="31">
        <f>ABS(E187-$F$8)</f>
        <v/>
      </c>
      <c r="Q187" s="14">
        <f>IF(K187&gt;=MAX(L187,M187), "Hemat", IF(L187&gt;=M187, "Balanced", "Premium"))</f>
        <v/>
      </c>
      <c r="R187" s="30" t="n">
        <v>0.9626824549241798</v>
      </c>
      <c r="S187" s="30" t="n">
        <v>0.03465541875469833</v>
      </c>
      <c r="T187" s="30" t="n">
        <v>0.002662126321121907</v>
      </c>
      <c r="U187" s="31">
        <f>ABS(E187-$G$6)</f>
        <v/>
      </c>
      <c r="V187" s="31">
        <f>ABS(E187-$G$7)</f>
        <v/>
      </c>
      <c r="W187" s="31">
        <f>ABS(E187-$G$8)</f>
        <v/>
      </c>
      <c r="X187" s="14">
        <f>IF(R187&gt;=MAX(S187,T187), "Hemat", IF(S187&gt;=T187, "Balanced", "Premium"))</f>
        <v/>
      </c>
    </row>
    <row r="188">
      <c r="A188" s="14" t="n">
        <v>184</v>
      </c>
      <c r="B188" s="7" t="inlineStr">
        <is>
          <t>Pemandian Metro Kepanjen</t>
        </is>
      </c>
      <c r="C188" s="26" t="n">
        <v>-8.1266494</v>
      </c>
      <c r="D188" s="26" t="n">
        <v>112.5616657</v>
      </c>
      <c r="E188" s="21" t="n">
        <v>8000</v>
      </c>
      <c r="F188" s="27" t="n">
        <v>4.2</v>
      </c>
      <c r="G188" s="28" t="n">
        <v>760</v>
      </c>
      <c r="H188" s="14" t="inlineStr">
        <is>
          <t>Wisata Umum</t>
        </is>
      </c>
      <c r="I188" s="29">
        <f>6371 * 2 * ASIN(SQRT(SIN(RADIANS((C188) - INDEX('Dataset_Wisata'!$C$12:$C$622, MATCH('Dashboard'!$C$9, 'Dataset_Wisata'!$A$12:$A$622, 0)))/2)^2 + COS(RADIANS(INDEX('Dataset_Wisata'!$C$12:$C$622, MATCH('Dashboard'!$C$9, 'Dataset_Wisata'!$A$12:$A$622, 0)))) * COS(RADIANS(C188)) * SIN(RADIANS((D188) - INDEX('Dataset_Wisata'!$D$12:$D$622, MATCH('Dashboard'!$C$9, 'Dataset_Wisata'!$A$12:$A$622, 0)))/2)^2)) * 1.3</f>
        <v/>
      </c>
      <c r="J188" s="21">
        <f>ROUND(I188 * IF('Dashboard'!$C$6&lt;=1, 2250, IF('Dashboard'!$C$6&lt;=4, 5150, 6000)), 0)</f>
        <v/>
      </c>
      <c r="K188" s="30" t="n">
        <v>0.9987011480460599</v>
      </c>
      <c r="L188" s="30" t="n">
        <v>0.001226123503144755</v>
      </c>
      <c r="M188" s="30" t="n">
        <v>7.272845079538573e-05</v>
      </c>
      <c r="N188" s="31">
        <f>ABS(E188-$F$6)</f>
        <v/>
      </c>
      <c r="O188" s="31">
        <f>ABS(E188-$F$7)</f>
        <v/>
      </c>
      <c r="P188" s="31">
        <f>ABS(E188-$F$8)</f>
        <v/>
      </c>
      <c r="Q188" s="14">
        <f>IF(K188&gt;=MAX(L188,M188), "Hemat", IF(L188&gt;=M188, "Balanced", "Premium"))</f>
        <v/>
      </c>
      <c r="R188" s="30" t="n">
        <v>0.9987011472813523</v>
      </c>
      <c r="S188" s="30" t="n">
        <v>0.001226124206149059</v>
      </c>
      <c r="T188" s="30" t="n">
        <v>7.272851249855953e-05</v>
      </c>
      <c r="U188" s="31">
        <f>ABS(E188-$G$6)</f>
        <v/>
      </c>
      <c r="V188" s="31">
        <f>ABS(E188-$G$7)</f>
        <v/>
      </c>
      <c r="W188" s="31">
        <f>ABS(E188-$G$8)</f>
        <v/>
      </c>
      <c r="X188" s="14">
        <f>IF(R188&gt;=MAX(S188,T188), "Hemat", IF(S188&gt;=T188, "Balanced", "Premium"))</f>
        <v/>
      </c>
    </row>
    <row r="189">
      <c r="A189" s="14" t="n">
        <v>185</v>
      </c>
      <c r="B189" s="7" t="inlineStr">
        <is>
          <t>KAMPOENG NANAS</t>
        </is>
      </c>
      <c r="C189" s="26" t="n">
        <v>-8.111866600000001</v>
      </c>
      <c r="D189" s="26" t="n">
        <v>112.5498295</v>
      </c>
      <c r="E189" s="21" t="n">
        <v>2000</v>
      </c>
      <c r="F189" s="27" t="n">
        <v>4.4</v>
      </c>
      <c r="G189" s="28" t="n">
        <v>71</v>
      </c>
      <c r="H189" s="14" t="inlineStr">
        <is>
          <t>Wisata Umum</t>
        </is>
      </c>
      <c r="I189" s="29">
        <f>6371 * 2 * ASIN(SQRT(SIN(RADIANS((C189) - INDEX('Dataset_Wisata'!$C$12:$C$622, MATCH('Dashboard'!$C$9, 'Dataset_Wisata'!$A$12:$A$622, 0)))/2)^2 + COS(RADIANS(INDEX('Dataset_Wisata'!$C$12:$C$622, MATCH('Dashboard'!$C$9, 'Dataset_Wisata'!$A$12:$A$622, 0)))) * COS(RADIANS(C189)) * SIN(RADIANS((D189) - INDEX('Dataset_Wisata'!$D$12:$D$622, MATCH('Dashboard'!$C$9, 'Dataset_Wisata'!$A$12:$A$622, 0)))/2)^2)) * 1.3</f>
        <v/>
      </c>
      <c r="J189" s="21">
        <f>ROUND(I189 * IF('Dashboard'!$C$6&lt;=1, 2250, IF('Dashboard'!$C$6&lt;=4, 5150, 6000)), 0)</f>
        <v/>
      </c>
      <c r="K189" s="30" t="n">
        <v>0.9745968037531486</v>
      </c>
      <c r="L189" s="30" t="n">
        <v>0.02368856650344644</v>
      </c>
      <c r="M189" s="30" t="n">
        <v>0.001714629743404906</v>
      </c>
      <c r="N189" s="31">
        <f>ABS(E189-$F$6)</f>
        <v/>
      </c>
      <c r="O189" s="31">
        <f>ABS(E189-$F$7)</f>
        <v/>
      </c>
      <c r="P189" s="31">
        <f>ABS(E189-$F$8)</f>
        <v/>
      </c>
      <c r="Q189" s="14">
        <f>IF(K189&gt;=MAX(L189,M189), "Hemat", IF(L189&gt;=M189, "Balanced", "Premium"))</f>
        <v/>
      </c>
      <c r="R189" s="30" t="n">
        <v>0.9745968058205632</v>
      </c>
      <c r="S189" s="30" t="n">
        <v>0.02368856419646389</v>
      </c>
      <c r="T189" s="30" t="n">
        <v>0.001714629982972894</v>
      </c>
      <c r="U189" s="31">
        <f>ABS(E189-$G$6)</f>
        <v/>
      </c>
      <c r="V189" s="31">
        <f>ABS(E189-$G$7)</f>
        <v/>
      </c>
      <c r="W189" s="31">
        <f>ABS(E189-$G$8)</f>
        <v/>
      </c>
      <c r="X189" s="14">
        <f>IF(R189&gt;=MAX(S189,T189), "Hemat", IF(S189&gt;=T189, "Balanced", "Premium"))</f>
        <v/>
      </c>
    </row>
    <row r="190">
      <c r="A190" s="14" t="n">
        <v>186</v>
      </c>
      <c r="B190" s="7" t="inlineStr">
        <is>
          <t>Taman Kehati, Jalibar</t>
        </is>
      </c>
      <c r="C190" s="26" t="n">
        <v>-8.1024452</v>
      </c>
      <c r="D190" s="26" t="n">
        <v>112.5674767</v>
      </c>
      <c r="E190" s="21" t="n">
        <v>10000</v>
      </c>
      <c r="F190" s="27" t="n">
        <v>4.1</v>
      </c>
      <c r="G190" s="28" t="n">
        <v>39</v>
      </c>
      <c r="H190" s="14" t="inlineStr">
        <is>
          <t>Taman Kehati, Jalibar</t>
        </is>
      </c>
      <c r="I190" s="29">
        <f>6371 * 2 * ASIN(SQRT(SIN(RADIANS((C190) - INDEX('Dataset_Wisata'!$C$12:$C$622, MATCH('Dashboard'!$C$9, 'Dataset_Wisata'!$A$12:$A$622, 0)))/2)^2 + COS(RADIANS(INDEX('Dataset_Wisata'!$C$12:$C$622, MATCH('Dashboard'!$C$9, 'Dataset_Wisata'!$A$12:$A$622, 0)))) * COS(RADIANS(C190)) * SIN(RADIANS((D190) - INDEX('Dataset_Wisata'!$D$12:$D$622, MATCH('Dashboard'!$C$9, 'Dataset_Wisata'!$A$12:$A$622, 0)))/2)^2)) * 1.3</f>
        <v/>
      </c>
      <c r="J190" s="21">
        <f>ROUND(I190 * IF('Dashboard'!$C$6&lt;=1, 2250, IF('Dashboard'!$C$6&lt;=4, 5150, 6000)), 0)</f>
        <v/>
      </c>
      <c r="K190" s="30" t="n">
        <v>0.9998126508185596</v>
      </c>
      <c r="L190" s="30" t="n">
        <v>0.0001775718391516968</v>
      </c>
      <c r="M190" s="30" t="n">
        <v>9.7773422886897e-06</v>
      </c>
      <c r="N190" s="31">
        <f>ABS(E190-$F$6)</f>
        <v/>
      </c>
      <c r="O190" s="31">
        <f>ABS(E190-$F$7)</f>
        <v/>
      </c>
      <c r="P190" s="31">
        <f>ABS(E190-$F$8)</f>
        <v/>
      </c>
      <c r="Q190" s="14">
        <f>IF(K190&gt;=MAX(L190,M190), "Hemat", IF(L190&gt;=M190, "Balanced", "Premium"))</f>
        <v/>
      </c>
      <c r="R190" s="30" t="n">
        <v>0.9998126513362043</v>
      </c>
      <c r="S190" s="30" t="n">
        <v>0.0001775713458315561</v>
      </c>
      <c r="T190" s="30" t="n">
        <v>9.777317964159987e-06</v>
      </c>
      <c r="U190" s="31">
        <f>ABS(E190-$G$6)</f>
        <v/>
      </c>
      <c r="V190" s="31">
        <f>ABS(E190-$G$7)</f>
        <v/>
      </c>
      <c r="W190" s="31">
        <f>ABS(E190-$G$8)</f>
        <v/>
      </c>
      <c r="X190" s="14">
        <f>IF(R190&gt;=MAX(S190,T190), "Hemat", IF(S190&gt;=T190, "Balanced", "Premium"))</f>
        <v/>
      </c>
    </row>
    <row r="191">
      <c r="A191" s="14" t="n">
        <v>187</v>
      </c>
      <c r="B191" s="7" t="inlineStr">
        <is>
          <t>Alun - alun Gunung Kawi</t>
        </is>
      </c>
      <c r="C191" s="26" t="n">
        <v>-8.0240571</v>
      </c>
      <c r="D191" s="26" t="n">
        <v>112.4937997</v>
      </c>
      <c r="E191" s="21" t="n">
        <v>10000</v>
      </c>
      <c r="F191" s="27" t="n">
        <v>4.5</v>
      </c>
      <c r="G191" s="28" t="n">
        <v>51</v>
      </c>
      <c r="H191" s="14" t="inlineStr">
        <is>
          <t>Alun - alun Gunung Kawi</t>
        </is>
      </c>
      <c r="I191" s="29">
        <f>6371 * 2 * ASIN(SQRT(SIN(RADIANS((C191) - INDEX('Dataset_Wisata'!$C$12:$C$622, MATCH('Dashboard'!$C$9, 'Dataset_Wisata'!$A$12:$A$622, 0)))/2)^2 + COS(RADIANS(INDEX('Dataset_Wisata'!$C$12:$C$622, MATCH('Dashboard'!$C$9, 'Dataset_Wisata'!$A$12:$A$622, 0)))) * COS(RADIANS(C191)) * SIN(RADIANS((D191) - INDEX('Dataset_Wisata'!$D$12:$D$622, MATCH('Dashboard'!$C$9, 'Dataset_Wisata'!$A$12:$A$622, 0)))/2)^2)) * 1.3</f>
        <v/>
      </c>
      <c r="J191" s="21">
        <f>ROUND(I191 * IF('Dashboard'!$C$6&lt;=1, 2250, IF('Dashboard'!$C$6&lt;=4, 5150, 6000)), 0)</f>
        <v/>
      </c>
      <c r="K191" s="30" t="n">
        <v>0.9998126508185596</v>
      </c>
      <c r="L191" s="30" t="n">
        <v>0.0001775718391516968</v>
      </c>
      <c r="M191" s="30" t="n">
        <v>9.7773422886897e-06</v>
      </c>
      <c r="N191" s="31">
        <f>ABS(E191-$F$6)</f>
        <v/>
      </c>
      <c r="O191" s="31">
        <f>ABS(E191-$F$7)</f>
        <v/>
      </c>
      <c r="P191" s="31">
        <f>ABS(E191-$F$8)</f>
        <v/>
      </c>
      <c r="Q191" s="14">
        <f>IF(K191&gt;=MAX(L191,M191), "Hemat", IF(L191&gt;=M191, "Balanced", "Premium"))</f>
        <v/>
      </c>
      <c r="R191" s="30" t="n">
        <v>0.9998126513362043</v>
      </c>
      <c r="S191" s="30" t="n">
        <v>0.0001775713458315561</v>
      </c>
      <c r="T191" s="30" t="n">
        <v>9.777317964159987e-06</v>
      </c>
      <c r="U191" s="31">
        <f>ABS(E191-$G$6)</f>
        <v/>
      </c>
      <c r="V191" s="31">
        <f>ABS(E191-$G$7)</f>
        <v/>
      </c>
      <c r="W191" s="31">
        <f>ABS(E191-$G$8)</f>
        <v/>
      </c>
      <c r="X191" s="14">
        <f>IF(R191&gt;=MAX(S191,T191), "Hemat", IF(S191&gt;=T191, "Balanced", "Premium"))</f>
        <v/>
      </c>
    </row>
    <row r="192">
      <c r="A192" s="14" t="n">
        <v>188</v>
      </c>
      <c r="B192" s="7" t="inlineStr">
        <is>
          <t>Taman Rekreasi Tlogomas Malang</t>
        </is>
      </c>
      <c r="C192" s="26" t="n">
        <v>-7.9306041</v>
      </c>
      <c r="D192" s="26" t="n">
        <v>112.6046125</v>
      </c>
      <c r="E192" s="21" t="n">
        <v>30000</v>
      </c>
      <c r="F192" s="27" t="n">
        <v>4.1</v>
      </c>
      <c r="G192" s="28" t="n">
        <v>1796</v>
      </c>
      <c r="H192" s="14" t="inlineStr">
        <is>
          <t>Taman Rekreasi Tlogomas Malang</t>
        </is>
      </c>
      <c r="I192" s="29">
        <f>6371 * 2 * ASIN(SQRT(SIN(RADIANS((C192) - INDEX('Dataset_Wisata'!$C$12:$C$622, MATCH('Dashboard'!$C$9, 'Dataset_Wisata'!$A$12:$A$622, 0)))/2)^2 + COS(RADIANS(INDEX('Dataset_Wisata'!$C$12:$C$622, MATCH('Dashboard'!$C$9, 'Dataset_Wisata'!$A$12:$A$622, 0)))) * COS(RADIANS(C192)) * SIN(RADIANS((D192) - INDEX('Dataset_Wisata'!$D$12:$D$622, MATCH('Dashboard'!$C$9, 'Dataset_Wisata'!$A$12:$A$622, 0)))/2)^2)) * 1.3</f>
        <v/>
      </c>
      <c r="J192" s="21">
        <f>ROUND(I192 * IF('Dashboard'!$C$6&lt;=1, 2250, IF('Dashboard'!$C$6&lt;=4, 5150, 6000)), 0)</f>
        <v/>
      </c>
      <c r="K192" s="30" t="n">
        <v>0.4800921289599558</v>
      </c>
      <c r="L192" s="30" t="n">
        <v>0.5109191138653489</v>
      </c>
      <c r="M192" s="30" t="n">
        <v>0.008988757174695291</v>
      </c>
      <c r="N192" s="31">
        <f>ABS(E192-$F$6)</f>
        <v/>
      </c>
      <c r="O192" s="31">
        <f>ABS(E192-$F$7)</f>
        <v/>
      </c>
      <c r="P192" s="31">
        <f>ABS(E192-$F$8)</f>
        <v/>
      </c>
      <c r="Q192" s="14">
        <f>IF(K192&gt;=MAX(L192,M192), "Hemat", IF(L192&gt;=M192, "Balanced", "Premium"))</f>
        <v/>
      </c>
      <c r="R192" s="30" t="n">
        <v>0.4800923067166307</v>
      </c>
      <c r="S192" s="30" t="n">
        <v>0.5109189337438159</v>
      </c>
      <c r="T192" s="30" t="n">
        <v>0.008988759539553422</v>
      </c>
      <c r="U192" s="31">
        <f>ABS(E192-$G$6)</f>
        <v/>
      </c>
      <c r="V192" s="31">
        <f>ABS(E192-$G$7)</f>
        <v/>
      </c>
      <c r="W192" s="31">
        <f>ABS(E192-$G$8)</f>
        <v/>
      </c>
      <c r="X192" s="14">
        <f>IF(R192&gt;=MAX(S192,T192), "Hemat", IF(S192&gt;=T192, "Balanced", "Premium"))</f>
        <v/>
      </c>
    </row>
    <row r="193">
      <c r="A193" s="14" t="n">
        <v>189</v>
      </c>
      <c r="B193" s="7" t="inlineStr">
        <is>
          <t>Pemandian Selo Agung</t>
        </is>
      </c>
      <c r="C193" s="26" t="n">
        <v>-8.033469</v>
      </c>
      <c r="D193" s="26" t="n">
        <v>112.4870709</v>
      </c>
      <c r="E193" s="21" t="n">
        <v>10000</v>
      </c>
      <c r="F193" s="27" t="n">
        <v>4.4</v>
      </c>
      <c r="G193" s="28" t="n">
        <v>422</v>
      </c>
      <c r="H193" s="14" t="inlineStr">
        <is>
          <t>Wisata Umum</t>
        </is>
      </c>
      <c r="I193" s="29">
        <f>6371 * 2 * ASIN(SQRT(SIN(RADIANS((C193) - INDEX('Dataset_Wisata'!$C$12:$C$622, MATCH('Dashboard'!$C$9, 'Dataset_Wisata'!$A$12:$A$622, 0)))/2)^2 + COS(RADIANS(INDEX('Dataset_Wisata'!$C$12:$C$622, MATCH('Dashboard'!$C$9, 'Dataset_Wisata'!$A$12:$A$622, 0)))) * COS(RADIANS(C193)) * SIN(RADIANS((D193) - INDEX('Dataset_Wisata'!$D$12:$D$622, MATCH('Dashboard'!$C$9, 'Dataset_Wisata'!$A$12:$A$622, 0)))/2)^2)) * 1.3</f>
        <v/>
      </c>
      <c r="J193" s="21">
        <f>ROUND(I193 * IF('Dashboard'!$C$6&lt;=1, 2250, IF('Dashboard'!$C$6&lt;=4, 5150, 6000)), 0)</f>
        <v/>
      </c>
      <c r="K193" s="30" t="n">
        <v>0.9998126508185596</v>
      </c>
      <c r="L193" s="30" t="n">
        <v>0.0001775718391516968</v>
      </c>
      <c r="M193" s="30" t="n">
        <v>9.7773422886897e-06</v>
      </c>
      <c r="N193" s="31">
        <f>ABS(E193-$F$6)</f>
        <v/>
      </c>
      <c r="O193" s="31">
        <f>ABS(E193-$F$7)</f>
        <v/>
      </c>
      <c r="P193" s="31">
        <f>ABS(E193-$F$8)</f>
        <v/>
      </c>
      <c r="Q193" s="14">
        <f>IF(K193&gt;=MAX(L193,M193), "Hemat", IF(L193&gt;=M193, "Balanced", "Premium"))</f>
        <v/>
      </c>
      <c r="R193" s="30" t="n">
        <v>0.9998126513362043</v>
      </c>
      <c r="S193" s="30" t="n">
        <v>0.0001775713458315561</v>
      </c>
      <c r="T193" s="30" t="n">
        <v>9.777317964159987e-06</v>
      </c>
      <c r="U193" s="31">
        <f>ABS(E193-$G$6)</f>
        <v/>
      </c>
      <c r="V193" s="31">
        <f>ABS(E193-$G$7)</f>
        <v/>
      </c>
      <c r="W193" s="31">
        <f>ABS(E193-$G$8)</f>
        <v/>
      </c>
      <c r="X193" s="14">
        <f>IF(R193&gt;=MAX(S193,T193), "Hemat", IF(S193&gt;=T193, "Balanced", "Premium"))</f>
        <v/>
      </c>
    </row>
    <row r="194">
      <c r="A194" s="14" t="n">
        <v>190</v>
      </c>
      <c r="B194" s="7" t="inlineStr">
        <is>
          <t>Sumbersuko Forest Park</t>
        </is>
      </c>
      <c r="C194" s="26" t="n">
        <v>-8.003049000000001</v>
      </c>
      <c r="D194" s="26" t="n">
        <v>112.5182873</v>
      </c>
      <c r="E194" s="21" t="n">
        <v>5000</v>
      </c>
      <c r="F194" s="27" t="n">
        <v>4.3</v>
      </c>
      <c r="G194" s="28" t="n">
        <v>308</v>
      </c>
      <c r="H194" s="14" t="inlineStr">
        <is>
          <t>Wisata Umum</t>
        </is>
      </c>
      <c r="I194" s="29">
        <f>6371 * 2 * ASIN(SQRT(SIN(RADIANS((C194) - INDEX('Dataset_Wisata'!$C$12:$C$622, MATCH('Dashboard'!$C$9, 'Dataset_Wisata'!$A$12:$A$622, 0)))/2)^2 + COS(RADIANS(INDEX('Dataset_Wisata'!$C$12:$C$622, MATCH('Dashboard'!$C$9, 'Dataset_Wisata'!$A$12:$A$622, 0)))) * COS(RADIANS(C194)) * SIN(RADIANS((D194) - INDEX('Dataset_Wisata'!$D$12:$D$622, MATCH('Dashboard'!$C$9, 'Dataset_Wisata'!$A$12:$A$622, 0)))/2)^2)) * 1.3</f>
        <v/>
      </c>
      <c r="J194" s="21">
        <f>ROUND(I194 * IF('Dashboard'!$C$6&lt;=1, 2250, IF('Dashboard'!$C$6&lt;=4, 5150, 6000)), 0)</f>
        <v/>
      </c>
      <c r="K194" s="30" t="n">
        <v>0.9895566543895754</v>
      </c>
      <c r="L194" s="30" t="n">
        <v>0.009798611400025654</v>
      </c>
      <c r="M194" s="30" t="n">
        <v>0.0006447342103988783</v>
      </c>
      <c r="N194" s="31">
        <f>ABS(E194-$F$6)</f>
        <v/>
      </c>
      <c r="O194" s="31">
        <f>ABS(E194-$F$7)</f>
        <v/>
      </c>
      <c r="P194" s="31">
        <f>ABS(E194-$F$8)</f>
        <v/>
      </c>
      <c r="Q194" s="14">
        <f>IF(K194&gt;=MAX(L194,M194), "Hemat", IF(L194&gt;=M194, "Balanced", "Premium"))</f>
        <v/>
      </c>
      <c r="R194" s="30" t="n">
        <v>0.9895566542341836</v>
      </c>
      <c r="S194" s="30" t="n">
        <v>0.00979861139170024</v>
      </c>
      <c r="T194" s="30" t="n">
        <v>0.00064473437411607</v>
      </c>
      <c r="U194" s="31">
        <f>ABS(E194-$G$6)</f>
        <v/>
      </c>
      <c r="V194" s="31">
        <f>ABS(E194-$G$7)</f>
        <v/>
      </c>
      <c r="W194" s="31">
        <f>ABS(E194-$G$8)</f>
        <v/>
      </c>
      <c r="X194" s="14">
        <f>IF(R194&gt;=MAX(S194,T194), "Hemat", IF(S194&gt;=T194, "Balanced", "Premium"))</f>
        <v/>
      </c>
    </row>
    <row r="195">
      <c r="A195" s="14" t="n">
        <v>191</v>
      </c>
      <c r="B195" s="7" t="inlineStr">
        <is>
          <t>Taman Wisata Kolam Renang Selo Agung Gunung Kawi</t>
        </is>
      </c>
      <c r="C195" s="26" t="n">
        <v>-8.0333883</v>
      </c>
      <c r="D195" s="26" t="n">
        <v>112.4869552</v>
      </c>
      <c r="E195" s="21" t="n">
        <v>10000</v>
      </c>
      <c r="F195" s="27" t="n">
        <v>4.6</v>
      </c>
      <c r="G195" s="28" t="n">
        <v>40</v>
      </c>
      <c r="H195" s="14" t="inlineStr">
        <is>
          <t>Wisata Umum</t>
        </is>
      </c>
      <c r="I195" s="29">
        <f>6371 * 2 * ASIN(SQRT(SIN(RADIANS((C195) - INDEX('Dataset_Wisata'!$C$12:$C$622, MATCH('Dashboard'!$C$9, 'Dataset_Wisata'!$A$12:$A$622, 0)))/2)^2 + COS(RADIANS(INDEX('Dataset_Wisata'!$C$12:$C$622, MATCH('Dashboard'!$C$9, 'Dataset_Wisata'!$A$12:$A$622, 0)))) * COS(RADIANS(C195)) * SIN(RADIANS((D195) - INDEX('Dataset_Wisata'!$D$12:$D$622, MATCH('Dashboard'!$C$9, 'Dataset_Wisata'!$A$12:$A$622, 0)))/2)^2)) * 1.3</f>
        <v/>
      </c>
      <c r="J195" s="21">
        <f>ROUND(I195 * IF('Dashboard'!$C$6&lt;=1, 2250, IF('Dashboard'!$C$6&lt;=4, 5150, 6000)), 0)</f>
        <v/>
      </c>
      <c r="K195" s="30" t="n">
        <v>0.9998126508185596</v>
      </c>
      <c r="L195" s="30" t="n">
        <v>0.0001775718391516968</v>
      </c>
      <c r="M195" s="30" t="n">
        <v>9.7773422886897e-06</v>
      </c>
      <c r="N195" s="31">
        <f>ABS(E195-$F$6)</f>
        <v/>
      </c>
      <c r="O195" s="31">
        <f>ABS(E195-$F$7)</f>
        <v/>
      </c>
      <c r="P195" s="31">
        <f>ABS(E195-$F$8)</f>
        <v/>
      </c>
      <c r="Q195" s="14">
        <f>IF(K195&gt;=MAX(L195,M195), "Hemat", IF(L195&gt;=M195, "Balanced", "Premium"))</f>
        <v/>
      </c>
      <c r="R195" s="30" t="n">
        <v>0.9998126513362043</v>
      </c>
      <c r="S195" s="30" t="n">
        <v>0.0001775713458315561</v>
      </c>
      <c r="T195" s="30" t="n">
        <v>9.777317964159987e-06</v>
      </c>
      <c r="U195" s="31">
        <f>ABS(E195-$G$6)</f>
        <v/>
      </c>
      <c r="V195" s="31">
        <f>ABS(E195-$G$7)</f>
        <v/>
      </c>
      <c r="W195" s="31">
        <f>ABS(E195-$G$8)</f>
        <v/>
      </c>
      <c r="X195" s="14">
        <f>IF(R195&gt;=MAX(S195,T195), "Hemat", IF(S195&gt;=T195, "Balanced", "Premium"))</f>
        <v/>
      </c>
    </row>
    <row r="196">
      <c r="A196" s="14" t="n">
        <v>192</v>
      </c>
      <c r="B196" s="7" t="inlineStr">
        <is>
          <t>Lembah Indah Malang</t>
        </is>
      </c>
      <c r="C196" s="26" t="n">
        <v>-8.0010748</v>
      </c>
      <c r="D196" s="26" t="n">
        <v>112.4935456</v>
      </c>
      <c r="E196" s="21" t="n">
        <v>20000</v>
      </c>
      <c r="F196" s="27" t="n">
        <v>4.4</v>
      </c>
      <c r="G196" s="28" t="n">
        <v>5722</v>
      </c>
      <c r="H196" s="14" t="inlineStr">
        <is>
          <t>Tujuan Wisata</t>
        </is>
      </c>
      <c r="I196" s="29">
        <f>6371 * 2 * ASIN(SQRT(SIN(RADIANS((C196) - INDEX('Dataset_Wisata'!$C$12:$C$622, MATCH('Dashboard'!$C$9, 'Dataset_Wisata'!$A$12:$A$622, 0)))/2)^2 + COS(RADIANS(INDEX('Dataset_Wisata'!$C$12:$C$622, MATCH('Dashboard'!$C$9, 'Dataset_Wisata'!$A$12:$A$622, 0)))) * COS(RADIANS(C196)) * SIN(RADIANS((D196) - INDEX('Dataset_Wisata'!$D$12:$D$622, MATCH('Dashboard'!$C$9, 'Dataset_Wisata'!$A$12:$A$622, 0)))/2)^2)) * 1.3</f>
        <v/>
      </c>
      <c r="J196" s="21">
        <f>ROUND(I196 * IF('Dashboard'!$C$6&lt;=1, 2250, IF('Dashboard'!$C$6&lt;=4, 5150, 6000)), 0)</f>
        <v/>
      </c>
      <c r="K196" s="30" t="n">
        <v>0.8862296979094436</v>
      </c>
      <c r="L196" s="30" t="n">
        <v>0.1099329410905347</v>
      </c>
      <c r="M196" s="30" t="n">
        <v>0.003837361000021699</v>
      </c>
      <c r="N196" s="31">
        <f>ABS(E196-$F$6)</f>
        <v/>
      </c>
      <c r="O196" s="31">
        <f>ABS(E196-$F$7)</f>
        <v/>
      </c>
      <c r="P196" s="31">
        <f>ABS(E196-$F$8)</f>
        <v/>
      </c>
      <c r="Q196" s="14">
        <f>IF(K196&gt;=MAX(L196,M196), "Hemat", IF(L196&gt;=M196, "Balanced", "Premium"))</f>
        <v/>
      </c>
      <c r="R196" s="30" t="n">
        <v>0.8862297532761809</v>
      </c>
      <c r="S196" s="30" t="n">
        <v>0.1099328861159962</v>
      </c>
      <c r="T196" s="30" t="n">
        <v>0.003837360607822898</v>
      </c>
      <c r="U196" s="31">
        <f>ABS(E196-$G$6)</f>
        <v/>
      </c>
      <c r="V196" s="31">
        <f>ABS(E196-$G$7)</f>
        <v/>
      </c>
      <c r="W196" s="31">
        <f>ABS(E196-$G$8)</f>
        <v/>
      </c>
      <c r="X196" s="14">
        <f>IF(R196&gt;=MAX(S196,T196), "Hemat", IF(S196&gt;=T196, "Balanced", "Premium"))</f>
        <v/>
      </c>
    </row>
    <row r="197">
      <c r="A197" s="14" t="n">
        <v>193</v>
      </c>
      <c r="B197" s="7" t="inlineStr">
        <is>
          <t>Taman Rekreasi Sengkaling</t>
        </is>
      </c>
      <c r="C197" s="26" t="n">
        <v>-7.9153841</v>
      </c>
      <c r="D197" s="26" t="n">
        <v>112.5889089</v>
      </c>
      <c r="E197" s="21" t="n">
        <v>30000</v>
      </c>
      <c r="F197" s="27" t="n">
        <v>4.4</v>
      </c>
      <c r="G197" s="28" t="n">
        <v>9738</v>
      </c>
      <c r="H197" s="14" t="inlineStr">
        <is>
          <t>Taman Rekreasi Sengkaling</t>
        </is>
      </c>
      <c r="I197" s="29">
        <f>6371 * 2 * ASIN(SQRT(SIN(RADIANS((C197) - INDEX('Dataset_Wisata'!$C$12:$C$622, MATCH('Dashboard'!$C$9, 'Dataset_Wisata'!$A$12:$A$622, 0)))/2)^2 + COS(RADIANS(INDEX('Dataset_Wisata'!$C$12:$C$622, MATCH('Dashboard'!$C$9, 'Dataset_Wisata'!$A$12:$A$622, 0)))) * COS(RADIANS(C197)) * SIN(RADIANS((D197) - INDEX('Dataset_Wisata'!$D$12:$D$622, MATCH('Dashboard'!$C$9, 'Dataset_Wisata'!$A$12:$A$622, 0)))/2)^2)) * 1.3</f>
        <v/>
      </c>
      <c r="J197" s="21">
        <f>ROUND(I197 * IF('Dashboard'!$C$6&lt;=1, 2250, IF('Dashboard'!$C$6&lt;=4, 5150, 6000)), 0)</f>
        <v/>
      </c>
      <c r="K197" s="30" t="n">
        <v>0.4800921289599558</v>
      </c>
      <c r="L197" s="30" t="n">
        <v>0.5109191138653489</v>
      </c>
      <c r="M197" s="30" t="n">
        <v>0.008988757174695291</v>
      </c>
      <c r="N197" s="31">
        <f>ABS(E197-$F$6)</f>
        <v/>
      </c>
      <c r="O197" s="31">
        <f>ABS(E197-$F$7)</f>
        <v/>
      </c>
      <c r="P197" s="31">
        <f>ABS(E197-$F$8)</f>
        <v/>
      </c>
      <c r="Q197" s="14">
        <f>IF(K197&gt;=MAX(L197,M197), "Hemat", IF(L197&gt;=M197, "Balanced", "Premium"))</f>
        <v/>
      </c>
      <c r="R197" s="30" t="n">
        <v>0.4800923067166307</v>
      </c>
      <c r="S197" s="30" t="n">
        <v>0.5109189337438159</v>
      </c>
      <c r="T197" s="30" t="n">
        <v>0.008988759539553422</v>
      </c>
      <c r="U197" s="31">
        <f>ABS(E197-$G$6)</f>
        <v/>
      </c>
      <c r="V197" s="31">
        <f>ABS(E197-$G$7)</f>
        <v/>
      </c>
      <c r="W197" s="31">
        <f>ABS(E197-$G$8)</f>
        <v/>
      </c>
      <c r="X197" s="14">
        <f>IF(R197&gt;=MAX(S197,T197), "Hemat", IF(S197&gt;=T197, "Balanced", "Premium"))</f>
        <v/>
      </c>
    </row>
    <row r="198">
      <c r="A198" s="14" t="n">
        <v>194</v>
      </c>
      <c r="B198" s="7" t="inlineStr">
        <is>
          <t>De Beran ( Wisata Beran Lor ) Beran Group</t>
        </is>
      </c>
      <c r="C198" s="26" t="n">
        <v>-7.8907276</v>
      </c>
      <c r="D198" s="26" t="n">
        <v>112.5418921</v>
      </c>
      <c r="E198" s="21" t="n">
        <v>10000</v>
      </c>
      <c r="F198" s="27" t="n">
        <v>4.4</v>
      </c>
      <c r="G198" s="28" t="n">
        <v>101</v>
      </c>
      <c r="H198" s="14" t="inlineStr">
        <is>
          <t>Wisata Umum</t>
        </is>
      </c>
      <c r="I198" s="29">
        <f>6371 * 2 * ASIN(SQRT(SIN(RADIANS((C198) - INDEX('Dataset_Wisata'!$C$12:$C$622, MATCH('Dashboard'!$C$9, 'Dataset_Wisata'!$A$12:$A$622, 0)))/2)^2 + COS(RADIANS(INDEX('Dataset_Wisata'!$C$12:$C$622, MATCH('Dashboard'!$C$9, 'Dataset_Wisata'!$A$12:$A$622, 0)))) * COS(RADIANS(C198)) * SIN(RADIANS((D198) - INDEX('Dataset_Wisata'!$D$12:$D$622, MATCH('Dashboard'!$C$9, 'Dataset_Wisata'!$A$12:$A$622, 0)))/2)^2)) * 1.3</f>
        <v/>
      </c>
      <c r="J198" s="21">
        <f>ROUND(I198 * IF('Dashboard'!$C$6&lt;=1, 2250, IF('Dashboard'!$C$6&lt;=4, 5150, 6000)), 0)</f>
        <v/>
      </c>
      <c r="K198" s="30" t="n">
        <v>0.9998126508185596</v>
      </c>
      <c r="L198" s="30" t="n">
        <v>0.0001775718391516968</v>
      </c>
      <c r="M198" s="30" t="n">
        <v>9.7773422886897e-06</v>
      </c>
      <c r="N198" s="31">
        <f>ABS(E198-$F$6)</f>
        <v/>
      </c>
      <c r="O198" s="31">
        <f>ABS(E198-$F$7)</f>
        <v/>
      </c>
      <c r="P198" s="31">
        <f>ABS(E198-$F$8)</f>
        <v/>
      </c>
      <c r="Q198" s="14">
        <f>IF(K198&gt;=MAX(L198,M198), "Hemat", IF(L198&gt;=M198, "Balanced", "Premium"))</f>
        <v/>
      </c>
      <c r="R198" s="30" t="n">
        <v>0.9998126513362043</v>
      </c>
      <c r="S198" s="30" t="n">
        <v>0.0001775713458315561</v>
      </c>
      <c r="T198" s="30" t="n">
        <v>9.777317964159987e-06</v>
      </c>
      <c r="U198" s="31">
        <f>ABS(E198-$G$6)</f>
        <v/>
      </c>
      <c r="V198" s="31">
        <f>ABS(E198-$G$7)</f>
        <v/>
      </c>
      <c r="W198" s="31">
        <f>ABS(E198-$G$8)</f>
        <v/>
      </c>
      <c r="X198" s="14">
        <f>IF(R198&gt;=MAX(S198,T198), "Hemat", IF(S198&gt;=T198, "Balanced", "Premium"))</f>
        <v/>
      </c>
    </row>
    <row r="199">
      <c r="A199" s="14" t="n">
        <v>195</v>
      </c>
      <c r="B199" s="7" t="inlineStr">
        <is>
          <t>Oocarpa, Dau Malang</t>
        </is>
      </c>
      <c r="C199" s="26" t="n">
        <v>-7.9284221</v>
      </c>
      <c r="D199" s="26" t="n">
        <v>112.5181223</v>
      </c>
      <c r="E199" s="21" t="n">
        <v>5000</v>
      </c>
      <c r="F199" s="27" t="n">
        <v>4.7</v>
      </c>
      <c r="G199" s="28" t="n">
        <v>30</v>
      </c>
      <c r="H199" s="14" t="inlineStr">
        <is>
          <t>Tujuan Wisata</t>
        </is>
      </c>
      <c r="I199" s="29">
        <f>6371 * 2 * ASIN(SQRT(SIN(RADIANS((C199) - INDEX('Dataset_Wisata'!$C$12:$C$622, MATCH('Dashboard'!$C$9, 'Dataset_Wisata'!$A$12:$A$622, 0)))/2)^2 + COS(RADIANS(INDEX('Dataset_Wisata'!$C$12:$C$622, MATCH('Dashboard'!$C$9, 'Dataset_Wisata'!$A$12:$A$622, 0)))) * COS(RADIANS(C199)) * SIN(RADIANS((D199) - INDEX('Dataset_Wisata'!$D$12:$D$622, MATCH('Dashboard'!$C$9, 'Dataset_Wisata'!$A$12:$A$622, 0)))/2)^2)) * 1.3</f>
        <v/>
      </c>
      <c r="J199" s="21">
        <f>ROUND(I199 * IF('Dashboard'!$C$6&lt;=1, 2250, IF('Dashboard'!$C$6&lt;=4, 5150, 6000)), 0)</f>
        <v/>
      </c>
      <c r="K199" s="30" t="n">
        <v>0.9895566543895754</v>
      </c>
      <c r="L199" s="30" t="n">
        <v>0.009798611400025654</v>
      </c>
      <c r="M199" s="30" t="n">
        <v>0.0006447342103988783</v>
      </c>
      <c r="N199" s="31">
        <f>ABS(E199-$F$6)</f>
        <v/>
      </c>
      <c r="O199" s="31">
        <f>ABS(E199-$F$7)</f>
        <v/>
      </c>
      <c r="P199" s="31">
        <f>ABS(E199-$F$8)</f>
        <v/>
      </c>
      <c r="Q199" s="14">
        <f>IF(K199&gt;=MAX(L199,M199), "Hemat", IF(L199&gt;=M199, "Balanced", "Premium"))</f>
        <v/>
      </c>
      <c r="R199" s="30" t="n">
        <v>0.9895566542341836</v>
      </c>
      <c r="S199" s="30" t="n">
        <v>0.00979861139170024</v>
      </c>
      <c r="T199" s="30" t="n">
        <v>0.00064473437411607</v>
      </c>
      <c r="U199" s="31">
        <f>ABS(E199-$G$6)</f>
        <v/>
      </c>
      <c r="V199" s="31">
        <f>ABS(E199-$G$7)</f>
        <v/>
      </c>
      <c r="W199" s="31">
        <f>ABS(E199-$G$8)</f>
        <v/>
      </c>
      <c r="X199" s="14">
        <f>IF(R199&gt;=MAX(S199,T199), "Hemat", IF(S199&gt;=T199, "Balanced", "Premium"))</f>
        <v/>
      </c>
    </row>
    <row r="200">
      <c r="A200" s="14" t="n">
        <v>196</v>
      </c>
      <c r="B200" s="7" t="inlineStr">
        <is>
          <t>Bumi Perkemahan Bedengan, Selorejo</t>
        </is>
      </c>
      <c r="C200" s="26" t="n">
        <v>-7.9396234</v>
      </c>
      <c r="D200" s="26" t="n">
        <v>112.5310838</v>
      </c>
      <c r="E200" s="21" t="n">
        <v>10000</v>
      </c>
      <c r="F200" s="27" t="n">
        <v>4.6</v>
      </c>
      <c r="G200" s="28" t="n">
        <v>6483</v>
      </c>
      <c r="H200" s="14" t="inlineStr">
        <is>
          <t>Wisata Umum</t>
        </is>
      </c>
      <c r="I200" s="29">
        <f>6371 * 2 * ASIN(SQRT(SIN(RADIANS((C200) - INDEX('Dataset_Wisata'!$C$12:$C$622, MATCH('Dashboard'!$C$9, 'Dataset_Wisata'!$A$12:$A$622, 0)))/2)^2 + COS(RADIANS(INDEX('Dataset_Wisata'!$C$12:$C$622, MATCH('Dashboard'!$C$9, 'Dataset_Wisata'!$A$12:$A$622, 0)))) * COS(RADIANS(C200)) * SIN(RADIANS((D200) - INDEX('Dataset_Wisata'!$D$12:$D$622, MATCH('Dashboard'!$C$9, 'Dataset_Wisata'!$A$12:$A$622, 0)))/2)^2)) * 1.3</f>
        <v/>
      </c>
      <c r="J200" s="21">
        <f>ROUND(I200 * IF('Dashboard'!$C$6&lt;=1, 2250, IF('Dashboard'!$C$6&lt;=4, 5150, 6000)), 0)</f>
        <v/>
      </c>
      <c r="K200" s="30" t="n">
        <v>0.9998126508185596</v>
      </c>
      <c r="L200" s="30" t="n">
        <v>0.0001775718391516968</v>
      </c>
      <c r="M200" s="30" t="n">
        <v>9.7773422886897e-06</v>
      </c>
      <c r="N200" s="31">
        <f>ABS(E200-$F$6)</f>
        <v/>
      </c>
      <c r="O200" s="31">
        <f>ABS(E200-$F$7)</f>
        <v/>
      </c>
      <c r="P200" s="31">
        <f>ABS(E200-$F$8)</f>
        <v/>
      </c>
      <c r="Q200" s="14">
        <f>IF(K200&gt;=MAX(L200,M200), "Hemat", IF(L200&gt;=M200, "Balanced", "Premium"))</f>
        <v/>
      </c>
      <c r="R200" s="30" t="n">
        <v>0.9998126513362043</v>
      </c>
      <c r="S200" s="30" t="n">
        <v>0.0001775713458315561</v>
      </c>
      <c r="T200" s="30" t="n">
        <v>9.777317964159987e-06</v>
      </c>
      <c r="U200" s="31">
        <f>ABS(E200-$G$6)</f>
        <v/>
      </c>
      <c r="V200" s="31">
        <f>ABS(E200-$G$7)</f>
        <v/>
      </c>
      <c r="W200" s="31">
        <f>ABS(E200-$G$8)</f>
        <v/>
      </c>
      <c r="X200" s="14">
        <f>IF(R200&gt;=MAX(S200,T200), "Hemat", IF(S200&gt;=T200, "Balanced", "Premium"))</f>
        <v/>
      </c>
    </row>
    <row r="201">
      <c r="A201" s="14" t="n">
        <v>197</v>
      </c>
      <c r="B201" s="7" t="inlineStr">
        <is>
          <t>WISATA PETIRTAAN KAYGUN</t>
        </is>
      </c>
      <c r="C201" s="26" t="n">
        <v>-7.9151148</v>
      </c>
      <c r="D201" s="26" t="n">
        <v>112.5349894</v>
      </c>
      <c r="E201" s="21" t="n">
        <v>10000</v>
      </c>
      <c r="F201" s="27" t="n">
        <v>4.2</v>
      </c>
      <c r="G201" s="28" t="n">
        <v>36</v>
      </c>
      <c r="H201" s="14" t="inlineStr">
        <is>
          <t>WISATA PETIRTAAN KAYGUN</t>
        </is>
      </c>
      <c r="I201" s="29">
        <f>6371 * 2 * ASIN(SQRT(SIN(RADIANS((C201) - INDEX('Dataset_Wisata'!$C$12:$C$622, MATCH('Dashboard'!$C$9, 'Dataset_Wisata'!$A$12:$A$622, 0)))/2)^2 + COS(RADIANS(INDEX('Dataset_Wisata'!$C$12:$C$622, MATCH('Dashboard'!$C$9, 'Dataset_Wisata'!$A$12:$A$622, 0)))) * COS(RADIANS(C201)) * SIN(RADIANS((D201) - INDEX('Dataset_Wisata'!$D$12:$D$622, MATCH('Dashboard'!$C$9, 'Dataset_Wisata'!$A$12:$A$622, 0)))/2)^2)) * 1.3</f>
        <v/>
      </c>
      <c r="J201" s="21">
        <f>ROUND(I201 * IF('Dashboard'!$C$6&lt;=1, 2250, IF('Dashboard'!$C$6&lt;=4, 5150, 6000)), 0)</f>
        <v/>
      </c>
      <c r="K201" s="30" t="n">
        <v>0.9998126508185596</v>
      </c>
      <c r="L201" s="30" t="n">
        <v>0.0001775718391516968</v>
      </c>
      <c r="M201" s="30" t="n">
        <v>9.7773422886897e-06</v>
      </c>
      <c r="N201" s="31">
        <f>ABS(E201-$F$6)</f>
        <v/>
      </c>
      <c r="O201" s="31">
        <f>ABS(E201-$F$7)</f>
        <v/>
      </c>
      <c r="P201" s="31">
        <f>ABS(E201-$F$8)</f>
        <v/>
      </c>
      <c r="Q201" s="14">
        <f>IF(K201&gt;=MAX(L201,M201), "Hemat", IF(L201&gt;=M201, "Balanced", "Premium"))</f>
        <v/>
      </c>
      <c r="R201" s="30" t="n">
        <v>0.9998126513362043</v>
      </c>
      <c r="S201" s="30" t="n">
        <v>0.0001775713458315561</v>
      </c>
      <c r="T201" s="30" t="n">
        <v>9.777317964159987e-06</v>
      </c>
      <c r="U201" s="31">
        <f>ABS(E201-$G$6)</f>
        <v/>
      </c>
      <c r="V201" s="31">
        <f>ABS(E201-$G$7)</f>
        <v/>
      </c>
      <c r="W201" s="31">
        <f>ABS(E201-$G$8)</f>
        <v/>
      </c>
      <c r="X201" s="14">
        <f>IF(R201&gt;=MAX(S201,T201), "Hemat", IF(S201&gt;=T201, "Balanced", "Premium"))</f>
        <v/>
      </c>
    </row>
    <row r="202">
      <c r="A202" s="14" t="n">
        <v>198</v>
      </c>
      <c r="B202" s="7" t="inlineStr">
        <is>
          <t>Buthak Savana Kawi Mountain</t>
        </is>
      </c>
      <c r="C202" s="26" t="n">
        <v>-7.9527353</v>
      </c>
      <c r="D202" s="26" t="n">
        <v>112.4685099</v>
      </c>
      <c r="E202" s="21" t="n">
        <v>15000</v>
      </c>
      <c r="F202" s="27" t="n">
        <v>4.7</v>
      </c>
      <c r="G202" s="28" t="n">
        <v>246</v>
      </c>
      <c r="H202" s="14" t="inlineStr">
        <is>
          <t>Wisata Umum</t>
        </is>
      </c>
      <c r="I202" s="29">
        <f>6371 * 2 * ASIN(SQRT(SIN(RADIANS((C202) - INDEX('Dataset_Wisata'!$C$12:$C$622, MATCH('Dashboard'!$C$9, 'Dataset_Wisata'!$A$12:$A$622, 0)))/2)^2 + COS(RADIANS(INDEX('Dataset_Wisata'!$C$12:$C$622, MATCH('Dashboard'!$C$9, 'Dataset_Wisata'!$A$12:$A$622, 0)))) * COS(RADIANS(C202)) * SIN(RADIANS((D202) - INDEX('Dataset_Wisata'!$D$12:$D$622, MATCH('Dashboard'!$C$9, 'Dataset_Wisata'!$A$12:$A$622, 0)))/2)^2)) * 1.3</f>
        <v/>
      </c>
      <c r="J202" s="21">
        <f>ROUND(I202 * IF('Dashboard'!$C$6&lt;=1, 2250, IF('Dashboard'!$C$6&lt;=4, 5150, 6000)), 0)</f>
        <v/>
      </c>
      <c r="K202" s="30" t="n">
        <v>0.9744283047002794</v>
      </c>
      <c r="L202" s="30" t="n">
        <v>0.02447712712252609</v>
      </c>
      <c r="M202" s="30" t="n">
        <v>0.001094568177194568</v>
      </c>
      <c r="N202" s="31">
        <f>ABS(E202-$F$6)</f>
        <v/>
      </c>
      <c r="O202" s="31">
        <f>ABS(E202-$F$7)</f>
        <v/>
      </c>
      <c r="P202" s="31">
        <f>ABS(E202-$F$8)</f>
        <v/>
      </c>
      <c r="Q202" s="14">
        <f>IF(K202&gt;=MAX(L202,M202), "Hemat", IF(L202&gt;=M202, "Balanced", "Premium"))</f>
        <v/>
      </c>
      <c r="R202" s="30" t="n">
        <v>0.9744283195785179</v>
      </c>
      <c r="S202" s="30" t="n">
        <v>0.02447711252884811</v>
      </c>
      <c r="T202" s="30" t="n">
        <v>0.001094567892634054</v>
      </c>
      <c r="U202" s="31">
        <f>ABS(E202-$G$6)</f>
        <v/>
      </c>
      <c r="V202" s="31">
        <f>ABS(E202-$G$7)</f>
        <v/>
      </c>
      <c r="W202" s="31">
        <f>ABS(E202-$G$8)</f>
        <v/>
      </c>
      <c r="X202" s="14">
        <f>IF(R202&gt;=MAX(S202,T202), "Hemat", IF(S202&gt;=T202, "Balanced", "Premium"))</f>
        <v/>
      </c>
    </row>
    <row r="203">
      <c r="A203" s="14" t="n">
        <v>199</v>
      </c>
      <c r="B203" s="7" t="inlineStr">
        <is>
          <t>Batu Night Spectacular</t>
        </is>
      </c>
      <c r="C203" s="26" t="n">
        <v>-7.8965741</v>
      </c>
      <c r="D203" s="26" t="n">
        <v>112.5345361</v>
      </c>
      <c r="E203" s="21" t="n">
        <v>40000</v>
      </c>
      <c r="F203" s="27" t="n">
        <v>4.5</v>
      </c>
      <c r="G203" s="28" t="n">
        <v>38447</v>
      </c>
      <c r="H203" s="14" t="inlineStr">
        <is>
          <t>Wisata Umum</t>
        </is>
      </c>
      <c r="I203" s="29">
        <f>6371 * 2 * ASIN(SQRT(SIN(RADIANS((C203) - INDEX('Dataset_Wisata'!$C$12:$C$622, MATCH('Dashboard'!$C$9, 'Dataset_Wisata'!$A$12:$A$622, 0)))/2)^2 + COS(RADIANS(INDEX('Dataset_Wisata'!$C$12:$C$622, MATCH('Dashboard'!$C$9, 'Dataset_Wisata'!$A$12:$A$622, 0)))) * COS(RADIANS(C203)) * SIN(RADIANS((D203) - INDEX('Dataset_Wisata'!$D$12:$D$622, MATCH('Dashboard'!$C$9, 'Dataset_Wisata'!$A$12:$A$622, 0)))/2)^2)) * 1.3</f>
        <v/>
      </c>
      <c r="J203" s="21">
        <f>ROUND(I203 * IF('Dashboard'!$C$6&lt;=1, 2250, IF('Dashboard'!$C$6&lt;=4, 5150, 6000)), 0)</f>
        <v/>
      </c>
      <c r="K203" s="30" t="n">
        <v>0.09475584772458329</v>
      </c>
      <c r="L203" s="30" t="n">
        <v>0.9007407836685044</v>
      </c>
      <c r="M203" s="30" t="n">
        <v>0.004503368606912272</v>
      </c>
      <c r="N203" s="31">
        <f>ABS(E203-$F$6)</f>
        <v/>
      </c>
      <c r="O203" s="31">
        <f>ABS(E203-$F$7)</f>
        <v/>
      </c>
      <c r="P203" s="31">
        <f>ABS(E203-$F$8)</f>
        <v/>
      </c>
      <c r="Q203" s="14">
        <f>IF(K203&gt;=MAX(L203,M203), "Hemat", IF(L203&gt;=M203, "Balanced", "Premium"))</f>
        <v/>
      </c>
      <c r="R203" s="30" t="n">
        <v>0.09475596450885283</v>
      </c>
      <c r="S203" s="30" t="n">
        <v>0.9007406617370142</v>
      </c>
      <c r="T203" s="30" t="n">
        <v>0.004503373754133038</v>
      </c>
      <c r="U203" s="31">
        <f>ABS(E203-$G$6)</f>
        <v/>
      </c>
      <c r="V203" s="31">
        <f>ABS(E203-$G$7)</f>
        <v/>
      </c>
      <c r="W203" s="31">
        <f>ABS(E203-$G$8)</f>
        <v/>
      </c>
      <c r="X203" s="14">
        <f>IF(R203&gt;=MAX(S203,T203), "Hemat", IF(S203&gt;=T203, "Balanced", "Premium"))</f>
        <v/>
      </c>
    </row>
    <row r="204">
      <c r="A204" s="14" t="n">
        <v>200</v>
      </c>
      <c r="B204" s="7" t="inlineStr">
        <is>
          <t>Jawa Timur Park 3</t>
        </is>
      </c>
      <c r="C204" s="26" t="n">
        <v>-7.8971338</v>
      </c>
      <c r="D204" s="26" t="n">
        <v>112.5531027</v>
      </c>
      <c r="E204" s="21" t="n">
        <v>30000</v>
      </c>
      <c r="F204" s="27" t="n">
        <v>4.5</v>
      </c>
      <c r="G204" s="28" t="n">
        <v>43436</v>
      </c>
      <c r="H204" s="14" t="inlineStr">
        <is>
          <t>Wisata Umum</t>
        </is>
      </c>
      <c r="I204" s="29">
        <f>6371 * 2 * ASIN(SQRT(SIN(RADIANS((C204) - INDEX('Dataset_Wisata'!$C$12:$C$622, MATCH('Dashboard'!$C$9, 'Dataset_Wisata'!$A$12:$A$622, 0)))/2)^2 + COS(RADIANS(INDEX('Dataset_Wisata'!$C$12:$C$622, MATCH('Dashboard'!$C$9, 'Dataset_Wisata'!$A$12:$A$622, 0)))) * COS(RADIANS(C204)) * SIN(RADIANS((D204) - INDEX('Dataset_Wisata'!$D$12:$D$622, MATCH('Dashboard'!$C$9, 'Dataset_Wisata'!$A$12:$A$622, 0)))/2)^2)) * 1.3</f>
        <v/>
      </c>
      <c r="J204" s="21">
        <f>ROUND(I204 * IF('Dashboard'!$C$6&lt;=1, 2250, IF('Dashboard'!$C$6&lt;=4, 5150, 6000)), 0)</f>
        <v/>
      </c>
      <c r="K204" s="30" t="n">
        <v>0.4800921289599558</v>
      </c>
      <c r="L204" s="30" t="n">
        <v>0.5109191138653489</v>
      </c>
      <c r="M204" s="30" t="n">
        <v>0.008988757174695291</v>
      </c>
      <c r="N204" s="31">
        <f>ABS(E204-$F$6)</f>
        <v/>
      </c>
      <c r="O204" s="31">
        <f>ABS(E204-$F$7)</f>
        <v/>
      </c>
      <c r="P204" s="31">
        <f>ABS(E204-$F$8)</f>
        <v/>
      </c>
      <c r="Q204" s="14">
        <f>IF(K204&gt;=MAX(L204,M204), "Hemat", IF(L204&gt;=M204, "Balanced", "Premium"))</f>
        <v/>
      </c>
      <c r="R204" s="30" t="n">
        <v>0.4800923067166307</v>
      </c>
      <c r="S204" s="30" t="n">
        <v>0.5109189337438159</v>
      </c>
      <c r="T204" s="30" t="n">
        <v>0.008988759539553422</v>
      </c>
      <c r="U204" s="31">
        <f>ABS(E204-$G$6)</f>
        <v/>
      </c>
      <c r="V204" s="31">
        <f>ABS(E204-$G$7)</f>
        <v/>
      </c>
      <c r="W204" s="31">
        <f>ABS(E204-$G$8)</f>
        <v/>
      </c>
      <c r="X204" s="14">
        <f>IF(R204&gt;=MAX(S204,T204), "Hemat", IF(S204&gt;=T204, "Balanced", "Premium"))</f>
        <v/>
      </c>
    </row>
    <row r="205">
      <c r="A205" s="14" t="n">
        <v>201</v>
      </c>
      <c r="B205" s="7" t="inlineStr">
        <is>
          <t>Wisata Edukasi Susu Batu</t>
        </is>
      </c>
      <c r="C205" s="26" t="n">
        <v>-7.896008</v>
      </c>
      <c r="D205" s="26" t="n">
        <v>112.554535</v>
      </c>
      <c r="E205" s="21" t="n">
        <v>25000</v>
      </c>
      <c r="F205" s="27" t="n">
        <v>4.3</v>
      </c>
      <c r="G205" s="28" t="n">
        <v>868</v>
      </c>
      <c r="H205" s="14" t="inlineStr">
        <is>
          <t>Wisata Edukasi Susu Batu</t>
        </is>
      </c>
      <c r="I205" s="29">
        <f>6371 * 2 * ASIN(SQRT(SIN(RADIANS((C205) - INDEX('Dataset_Wisata'!$C$12:$C$622, MATCH('Dashboard'!$C$9, 'Dataset_Wisata'!$A$12:$A$622, 0)))/2)^2 + COS(RADIANS(INDEX('Dataset_Wisata'!$C$12:$C$622, MATCH('Dashboard'!$C$9, 'Dataset_Wisata'!$A$12:$A$622, 0)))) * COS(RADIANS(C205)) * SIN(RADIANS((D205) - INDEX('Dataset_Wisata'!$D$12:$D$622, MATCH('Dashboard'!$C$9, 'Dataset_Wisata'!$A$12:$A$622, 0)))/2)^2)) * 1.3</f>
        <v/>
      </c>
      <c r="J205" s="21">
        <f>ROUND(I205 * IF('Dashboard'!$C$6&lt;=1, 2250, IF('Dashboard'!$C$6&lt;=4, 5150, 6000)), 0)</f>
        <v/>
      </c>
      <c r="K205" s="30" t="n">
        <v>0.714779317495253</v>
      </c>
      <c r="L205" s="30" t="n">
        <v>0.2780482755376564</v>
      </c>
      <c r="M205" s="30" t="n">
        <v>0.0071724069670906</v>
      </c>
      <c r="N205" s="31">
        <f>ABS(E205-$F$6)</f>
        <v/>
      </c>
      <c r="O205" s="31">
        <f>ABS(E205-$F$7)</f>
        <v/>
      </c>
      <c r="P205" s="31">
        <f>ABS(E205-$F$8)</f>
        <v/>
      </c>
      <c r="Q205" s="14">
        <f>IF(K205&gt;=MAX(L205,M205), "Hemat", IF(L205&gt;=M205, "Balanced", "Premium"))</f>
        <v/>
      </c>
      <c r="R205" s="30" t="n">
        <v>0.7147794395425007</v>
      </c>
      <c r="S205" s="30" t="n">
        <v>0.2780481531707544</v>
      </c>
      <c r="T205" s="30" t="n">
        <v>0.007172407286744955</v>
      </c>
      <c r="U205" s="31">
        <f>ABS(E205-$G$6)</f>
        <v/>
      </c>
      <c r="V205" s="31">
        <f>ABS(E205-$G$7)</f>
        <v/>
      </c>
      <c r="W205" s="31">
        <f>ABS(E205-$G$8)</f>
        <v/>
      </c>
      <c r="X205" s="14">
        <f>IF(R205&gt;=MAX(S205,T205), "Hemat", IF(S205&gt;=T205, "Balanced", "Premium"))</f>
        <v/>
      </c>
    </row>
    <row r="206">
      <c r="A206" s="14" t="n">
        <v>202</v>
      </c>
      <c r="B206" s="7" t="inlineStr">
        <is>
          <t>Kampung Wisata Tani Temas</t>
        </is>
      </c>
      <c r="C206" s="26" t="n">
        <v>-7.8776798</v>
      </c>
      <c r="D206" s="26" t="n">
        <v>112.5406541</v>
      </c>
      <c r="E206" s="21" t="n">
        <v>2000</v>
      </c>
      <c r="F206" s="27" t="n">
        <v>4.4</v>
      </c>
      <c r="G206" s="28" t="n">
        <v>99</v>
      </c>
      <c r="H206" s="14" t="inlineStr">
        <is>
          <t>Kampung Wisata Tani Temas</t>
        </is>
      </c>
      <c r="I206" s="29">
        <f>6371 * 2 * ASIN(SQRT(SIN(RADIANS((C206) - INDEX('Dataset_Wisata'!$C$12:$C$622, MATCH('Dashboard'!$C$9, 'Dataset_Wisata'!$A$12:$A$622, 0)))/2)^2 + COS(RADIANS(INDEX('Dataset_Wisata'!$C$12:$C$622, MATCH('Dashboard'!$C$9, 'Dataset_Wisata'!$A$12:$A$622, 0)))) * COS(RADIANS(C206)) * SIN(RADIANS((D206) - INDEX('Dataset_Wisata'!$D$12:$D$622, MATCH('Dashboard'!$C$9, 'Dataset_Wisata'!$A$12:$A$622, 0)))/2)^2)) * 1.3</f>
        <v/>
      </c>
      <c r="J206" s="21">
        <f>ROUND(I206 * IF('Dashboard'!$C$6&lt;=1, 2250, IF('Dashboard'!$C$6&lt;=4, 5150, 6000)), 0)</f>
        <v/>
      </c>
      <c r="K206" s="30" t="n">
        <v>0.9745968037531486</v>
      </c>
      <c r="L206" s="30" t="n">
        <v>0.02368856650344644</v>
      </c>
      <c r="M206" s="30" t="n">
        <v>0.001714629743404906</v>
      </c>
      <c r="N206" s="31">
        <f>ABS(E206-$F$6)</f>
        <v/>
      </c>
      <c r="O206" s="31">
        <f>ABS(E206-$F$7)</f>
        <v/>
      </c>
      <c r="P206" s="31">
        <f>ABS(E206-$F$8)</f>
        <v/>
      </c>
      <c r="Q206" s="14">
        <f>IF(K206&gt;=MAX(L206,M206), "Hemat", IF(L206&gt;=M206, "Balanced", "Premium"))</f>
        <v/>
      </c>
      <c r="R206" s="30" t="n">
        <v>0.9745968058205632</v>
      </c>
      <c r="S206" s="30" t="n">
        <v>0.02368856419646389</v>
      </c>
      <c r="T206" s="30" t="n">
        <v>0.001714629982972894</v>
      </c>
      <c r="U206" s="31">
        <f>ABS(E206-$G$6)</f>
        <v/>
      </c>
      <c r="V206" s="31">
        <f>ABS(E206-$G$7)</f>
        <v/>
      </c>
      <c r="W206" s="31">
        <f>ABS(E206-$G$8)</f>
        <v/>
      </c>
      <c r="X206" s="14">
        <f>IF(R206&gt;=MAX(S206,T206), "Hemat", IF(S206&gt;=T206, "Balanced", "Premium"))</f>
        <v/>
      </c>
    </row>
    <row r="207">
      <c r="A207" s="14" t="n">
        <v>203</v>
      </c>
      <c r="B207" s="7" t="inlineStr">
        <is>
          <t>Lumbung Stroberi Official</t>
        </is>
      </c>
      <c r="C207" s="26" t="n">
        <v>-7.8688941</v>
      </c>
      <c r="D207" s="26" t="n">
        <v>112.5418253</v>
      </c>
      <c r="E207" s="21" t="n">
        <v>25000</v>
      </c>
      <c r="F207" s="27" t="n">
        <v>4.4</v>
      </c>
      <c r="G207" s="28" t="n">
        <v>700</v>
      </c>
      <c r="H207" s="14" t="inlineStr">
        <is>
          <t>Wisata Umum</t>
        </is>
      </c>
      <c r="I207" s="29">
        <f>6371 * 2 * ASIN(SQRT(SIN(RADIANS((C207) - INDEX('Dataset_Wisata'!$C$12:$C$622, MATCH('Dashboard'!$C$9, 'Dataset_Wisata'!$A$12:$A$622, 0)))/2)^2 + COS(RADIANS(INDEX('Dataset_Wisata'!$C$12:$C$622, MATCH('Dashboard'!$C$9, 'Dataset_Wisata'!$A$12:$A$622, 0)))) * COS(RADIANS(C207)) * SIN(RADIANS((D207) - INDEX('Dataset_Wisata'!$D$12:$D$622, MATCH('Dashboard'!$C$9, 'Dataset_Wisata'!$A$12:$A$622, 0)))/2)^2)) * 1.3</f>
        <v/>
      </c>
      <c r="J207" s="21">
        <f>ROUND(I207 * IF('Dashboard'!$C$6&lt;=1, 2250, IF('Dashboard'!$C$6&lt;=4, 5150, 6000)), 0)</f>
        <v/>
      </c>
      <c r="K207" s="30" t="n">
        <v>0.714779317495253</v>
      </c>
      <c r="L207" s="30" t="n">
        <v>0.2780482755376564</v>
      </c>
      <c r="M207" s="30" t="n">
        <v>0.0071724069670906</v>
      </c>
      <c r="N207" s="31">
        <f>ABS(E207-$F$6)</f>
        <v/>
      </c>
      <c r="O207" s="31">
        <f>ABS(E207-$F$7)</f>
        <v/>
      </c>
      <c r="P207" s="31">
        <f>ABS(E207-$F$8)</f>
        <v/>
      </c>
      <c r="Q207" s="14">
        <f>IF(K207&gt;=MAX(L207,M207), "Hemat", IF(L207&gt;=M207, "Balanced", "Premium"))</f>
        <v/>
      </c>
      <c r="R207" s="30" t="n">
        <v>0.7147794395425007</v>
      </c>
      <c r="S207" s="30" t="n">
        <v>0.2780481531707544</v>
      </c>
      <c r="T207" s="30" t="n">
        <v>0.007172407286744955</v>
      </c>
      <c r="U207" s="31">
        <f>ABS(E207-$G$6)</f>
        <v/>
      </c>
      <c r="V207" s="31">
        <f>ABS(E207-$G$7)</f>
        <v/>
      </c>
      <c r="W207" s="31">
        <f>ABS(E207-$G$8)</f>
        <v/>
      </c>
      <c r="X207" s="14">
        <f>IF(R207&gt;=MAX(S207,T207), "Hemat", IF(S207&gt;=T207, "Balanced", "Premium"))</f>
        <v/>
      </c>
    </row>
    <row r="208">
      <c r="A208" s="14" t="n">
        <v>204</v>
      </c>
      <c r="B208" s="7" t="inlineStr">
        <is>
          <t>Coban Lanang, Batu</t>
        </is>
      </c>
      <c r="C208" s="26" t="n">
        <v>-7.8705187</v>
      </c>
      <c r="D208" s="26" t="n">
        <v>112.5515028</v>
      </c>
      <c r="E208" s="21" t="n">
        <v>15000</v>
      </c>
      <c r="F208" s="27" t="n">
        <v>4.5</v>
      </c>
      <c r="G208" s="28" t="n">
        <v>1152</v>
      </c>
      <c r="H208" s="14" t="inlineStr">
        <is>
          <t>Tujuan Wisata · </t>
        </is>
      </c>
      <c r="I208" s="29">
        <f>6371 * 2 * ASIN(SQRT(SIN(RADIANS((C208) - INDEX('Dataset_Wisata'!$C$12:$C$622, MATCH('Dashboard'!$C$9, 'Dataset_Wisata'!$A$12:$A$622, 0)))/2)^2 + COS(RADIANS(INDEX('Dataset_Wisata'!$C$12:$C$622, MATCH('Dashboard'!$C$9, 'Dataset_Wisata'!$A$12:$A$622, 0)))) * COS(RADIANS(C208)) * SIN(RADIANS((D208) - INDEX('Dataset_Wisata'!$D$12:$D$622, MATCH('Dashboard'!$C$9, 'Dataset_Wisata'!$A$12:$A$622, 0)))/2)^2)) * 1.3</f>
        <v/>
      </c>
      <c r="J208" s="21">
        <f>ROUND(I208 * IF('Dashboard'!$C$6&lt;=1, 2250, IF('Dashboard'!$C$6&lt;=4, 5150, 6000)), 0)</f>
        <v/>
      </c>
      <c r="K208" s="30" t="n">
        <v>0.9744283047002794</v>
      </c>
      <c r="L208" s="30" t="n">
        <v>0.02447712712252609</v>
      </c>
      <c r="M208" s="30" t="n">
        <v>0.001094568177194568</v>
      </c>
      <c r="N208" s="31">
        <f>ABS(E208-$F$6)</f>
        <v/>
      </c>
      <c r="O208" s="31">
        <f>ABS(E208-$F$7)</f>
        <v/>
      </c>
      <c r="P208" s="31">
        <f>ABS(E208-$F$8)</f>
        <v/>
      </c>
      <c r="Q208" s="14">
        <f>IF(K208&gt;=MAX(L208,M208), "Hemat", IF(L208&gt;=M208, "Balanced", "Premium"))</f>
        <v/>
      </c>
      <c r="R208" s="30" t="n">
        <v>0.9744283195785179</v>
      </c>
      <c r="S208" s="30" t="n">
        <v>0.02447711252884811</v>
      </c>
      <c r="T208" s="30" t="n">
        <v>0.001094567892634054</v>
      </c>
      <c r="U208" s="31">
        <f>ABS(E208-$G$6)</f>
        <v/>
      </c>
      <c r="V208" s="31">
        <f>ABS(E208-$G$7)</f>
        <v/>
      </c>
      <c r="W208" s="31">
        <f>ABS(E208-$G$8)</f>
        <v/>
      </c>
      <c r="X208" s="14">
        <f>IF(R208&gt;=MAX(S208,T208), "Hemat", IF(S208&gt;=T208, "Balanced", "Premium"))</f>
        <v/>
      </c>
    </row>
    <row r="209">
      <c r="A209" s="14" t="n">
        <v>205</v>
      </c>
      <c r="B209" s="7" t="inlineStr">
        <is>
          <t>Coban Ubud Kembar ꦕꦺꦴꦧꦤ꧀ꦈꦧꦸꦢ꧀ꦏꦼꦩ꧀ꦧꦂ</t>
        </is>
      </c>
      <c r="C209" s="26" t="n">
        <v>-7.9345342</v>
      </c>
      <c r="D209" s="26" t="n">
        <v>112.4996999</v>
      </c>
      <c r="E209" s="21" t="n">
        <v>10000</v>
      </c>
      <c r="F209" s="27" t="n">
        <v>4.5</v>
      </c>
      <c r="G209" s="28" t="n">
        <v>28</v>
      </c>
      <c r="H209" s="14" t="inlineStr">
        <is>
          <t>Wisata Umum</t>
        </is>
      </c>
      <c r="I209" s="29">
        <f>6371 * 2 * ASIN(SQRT(SIN(RADIANS((C209) - INDEX('Dataset_Wisata'!$C$12:$C$622, MATCH('Dashboard'!$C$9, 'Dataset_Wisata'!$A$12:$A$622, 0)))/2)^2 + COS(RADIANS(INDEX('Dataset_Wisata'!$C$12:$C$622, MATCH('Dashboard'!$C$9, 'Dataset_Wisata'!$A$12:$A$622, 0)))) * COS(RADIANS(C209)) * SIN(RADIANS((D209) - INDEX('Dataset_Wisata'!$D$12:$D$622, MATCH('Dashboard'!$C$9, 'Dataset_Wisata'!$A$12:$A$622, 0)))/2)^2)) * 1.3</f>
        <v/>
      </c>
      <c r="J209" s="21">
        <f>ROUND(I209 * IF('Dashboard'!$C$6&lt;=1, 2250, IF('Dashboard'!$C$6&lt;=4, 5150, 6000)), 0)</f>
        <v/>
      </c>
      <c r="K209" s="30" t="n">
        <v>0.9998126508185596</v>
      </c>
      <c r="L209" s="30" t="n">
        <v>0.0001775718391516968</v>
      </c>
      <c r="M209" s="30" t="n">
        <v>9.7773422886897e-06</v>
      </c>
      <c r="N209" s="31">
        <f>ABS(E209-$F$6)</f>
        <v/>
      </c>
      <c r="O209" s="31">
        <f>ABS(E209-$F$7)</f>
        <v/>
      </c>
      <c r="P209" s="31">
        <f>ABS(E209-$F$8)</f>
        <v/>
      </c>
      <c r="Q209" s="14">
        <f>IF(K209&gt;=MAX(L209,M209), "Hemat", IF(L209&gt;=M209, "Balanced", "Premium"))</f>
        <v/>
      </c>
      <c r="R209" s="30" t="n">
        <v>0.9998126513362043</v>
      </c>
      <c r="S209" s="30" t="n">
        <v>0.0001775713458315561</v>
      </c>
      <c r="T209" s="30" t="n">
        <v>9.777317964159987e-06</v>
      </c>
      <c r="U209" s="31">
        <f>ABS(E209-$G$6)</f>
        <v/>
      </c>
      <c r="V209" s="31">
        <f>ABS(E209-$G$7)</f>
        <v/>
      </c>
      <c r="W209" s="31">
        <f>ABS(E209-$G$8)</f>
        <v/>
      </c>
      <c r="X209" s="14">
        <f>IF(R209&gt;=MAX(S209,T209), "Hemat", IF(S209&gt;=T209, "Balanced", "Premium"))</f>
        <v/>
      </c>
    </row>
    <row r="210">
      <c r="A210" s="14" t="n">
        <v>206</v>
      </c>
      <c r="B210" s="7" t="inlineStr">
        <is>
          <t>Kota Wisata Batu Jawa Timur</t>
        </is>
      </c>
      <c r="C210" s="26" t="n">
        <v>-7.8717047</v>
      </c>
      <c r="D210" s="26" t="n">
        <v>112.5234815</v>
      </c>
      <c r="E210" s="21" t="n">
        <v>50000</v>
      </c>
      <c r="F210" s="27" t="n">
        <v>4.8</v>
      </c>
      <c r="G210" s="28" t="n">
        <v>112</v>
      </c>
      <c r="H210" s="14" t="inlineStr">
        <is>
          <t>Kota Wisata Batu Jawa Timur</t>
        </is>
      </c>
      <c r="I210" s="29">
        <f>6371 * 2 * ASIN(SQRT(SIN(RADIANS((C210) - INDEX('Dataset_Wisata'!$C$12:$C$622, MATCH('Dashboard'!$C$9, 'Dataset_Wisata'!$A$12:$A$622, 0)))/2)^2 + COS(RADIANS(INDEX('Dataset_Wisata'!$C$12:$C$622, MATCH('Dashboard'!$C$9, 'Dataset_Wisata'!$A$12:$A$622, 0)))) * COS(RADIANS(C210)) * SIN(RADIANS((D210) - INDEX('Dataset_Wisata'!$D$12:$D$622, MATCH('Dashboard'!$C$9, 'Dataset_Wisata'!$A$12:$A$622, 0)))/2)^2)) * 1.3</f>
        <v/>
      </c>
      <c r="J210" s="21">
        <f>ROUND(I210 * IF('Dashboard'!$C$6&lt;=1, 2250, IF('Dashboard'!$C$6&lt;=4, 5150, 6000)), 0)</f>
        <v/>
      </c>
      <c r="K210" s="30" t="n">
        <v>5.758531237204236e-06</v>
      </c>
      <c r="L210" s="30" t="n">
        <v>0.9999936821294634</v>
      </c>
      <c r="M210" s="30" t="n">
        <v>5.593392994189334e-07</v>
      </c>
      <c r="N210" s="31">
        <f>ABS(E210-$F$6)</f>
        <v/>
      </c>
      <c r="O210" s="31">
        <f>ABS(E210-$F$7)</f>
        <v/>
      </c>
      <c r="P210" s="31">
        <f>ABS(E210-$F$8)</f>
        <v/>
      </c>
      <c r="Q210" s="14">
        <f>IF(K210&gt;=MAX(L210,M210), "Hemat", IF(L210&gt;=M210, "Balanced", "Premium"))</f>
        <v/>
      </c>
      <c r="R210" s="30" t="n">
        <v>5.757754513908737e-06</v>
      </c>
      <c r="S210" s="30" t="n">
        <v>0.9999936829816778</v>
      </c>
      <c r="T210" s="30" t="n">
        <v>5.592638083270285e-07</v>
      </c>
      <c r="U210" s="31">
        <f>ABS(E210-$G$6)</f>
        <v/>
      </c>
      <c r="V210" s="31">
        <f>ABS(E210-$G$7)</f>
        <v/>
      </c>
      <c r="W210" s="31">
        <f>ABS(E210-$G$8)</f>
        <v/>
      </c>
      <c r="X210" s="14">
        <f>IF(R210&gt;=MAX(S210,T210), "Hemat", IF(S210&gt;=T210, "Balanced", "Premium"))</f>
        <v/>
      </c>
    </row>
    <row r="211">
      <c r="A211" s="14" t="n">
        <v>207</v>
      </c>
      <c r="B211" s="7" t="inlineStr">
        <is>
          <t>Wisata Batu Malang</t>
        </is>
      </c>
      <c r="C211" s="26" t="n">
        <v>-7.8664118</v>
      </c>
      <c r="D211" s="26" t="n">
        <v>112.5238096</v>
      </c>
      <c r="E211" s="21" t="n">
        <v>35000</v>
      </c>
      <c r="F211" s="27" t="n">
        <v>4.6</v>
      </c>
      <c r="G211" s="28" t="n">
        <v>145</v>
      </c>
      <c r="H211" s="14" t="inlineStr">
        <is>
          <t>Wisata Batu Malang</t>
        </is>
      </c>
      <c r="I211" s="29">
        <f>6371 * 2 * ASIN(SQRT(SIN(RADIANS((C211) - INDEX('Dataset_Wisata'!$C$12:$C$622, MATCH('Dashboard'!$C$9, 'Dataset_Wisata'!$A$12:$A$622, 0)))/2)^2 + COS(RADIANS(INDEX('Dataset_Wisata'!$C$12:$C$622, MATCH('Dashboard'!$C$9, 'Dataset_Wisata'!$A$12:$A$622, 0)))) * COS(RADIANS(C211)) * SIN(RADIANS((D211) - INDEX('Dataset_Wisata'!$D$12:$D$622, MATCH('Dashboard'!$C$9, 'Dataset_Wisata'!$A$12:$A$622, 0)))/2)^2)) * 1.3</f>
        <v/>
      </c>
      <c r="J211" s="21">
        <f>ROUND(I211 * IF('Dashboard'!$C$6&lt;=1, 2250, IF('Dashboard'!$C$6&lt;=4, 5150, 6000)), 0)</f>
        <v/>
      </c>
      <c r="K211" s="30" t="n">
        <v>0.25213485588303</v>
      </c>
      <c r="L211" s="30" t="n">
        <v>0.7400533052956862</v>
      </c>
      <c r="M211" s="30" t="n">
        <v>0.007811838821283838</v>
      </c>
      <c r="N211" s="31">
        <f>ABS(E211-$F$6)</f>
        <v/>
      </c>
      <c r="O211" s="31">
        <f>ABS(E211-$F$7)</f>
        <v/>
      </c>
      <c r="P211" s="31">
        <f>ABS(E211-$F$8)</f>
        <v/>
      </c>
      <c r="Q211" s="14">
        <f>IF(K211&gt;=MAX(L211,M211), "Hemat", IF(L211&gt;=M211, "Balanced", "Premium"))</f>
        <v/>
      </c>
      <c r="R211" s="30" t="n">
        <v>0.2521350299012498</v>
      </c>
      <c r="S211" s="30" t="n">
        <v>0.740053126637755</v>
      </c>
      <c r="T211" s="30" t="n">
        <v>0.007811843460995218</v>
      </c>
      <c r="U211" s="31">
        <f>ABS(E211-$G$6)</f>
        <v/>
      </c>
      <c r="V211" s="31">
        <f>ABS(E211-$G$7)</f>
        <v/>
      </c>
      <c r="W211" s="31">
        <f>ABS(E211-$G$8)</f>
        <v/>
      </c>
      <c r="X211" s="14">
        <f>IF(R211&gt;=MAX(S211,T211), "Hemat", IF(S211&gt;=T211, "Balanced", "Premium"))</f>
        <v/>
      </c>
    </row>
    <row r="212">
      <c r="A212" s="14" t="n">
        <v>208</v>
      </c>
      <c r="B212" s="7" t="inlineStr">
        <is>
          <t>Batu Secret Zoo</t>
        </is>
      </c>
      <c r="C212" s="26" t="n">
        <v>-7.8893819</v>
      </c>
      <c r="D212" s="26" t="n">
        <v>112.5282242</v>
      </c>
      <c r="E212" s="21" t="n">
        <v>125000</v>
      </c>
      <c r="F212" s="27" t="n">
        <v>4.8</v>
      </c>
      <c r="G212" s="28" t="n">
        <v>4812</v>
      </c>
      <c r="H212" s="14" t="inlineStr">
        <is>
          <t>Wisata Umum</t>
        </is>
      </c>
      <c r="I212" s="29">
        <f>6371 * 2 * ASIN(SQRT(SIN(RADIANS((C212) - INDEX('Dataset_Wisata'!$C$12:$C$622, MATCH('Dashboard'!$C$9, 'Dataset_Wisata'!$A$12:$A$622, 0)))/2)^2 + COS(RADIANS(INDEX('Dataset_Wisata'!$C$12:$C$622, MATCH('Dashboard'!$C$9, 'Dataset_Wisata'!$A$12:$A$622, 0)))) * COS(RADIANS(C212)) * SIN(RADIANS((D212) - INDEX('Dataset_Wisata'!$D$12:$D$622, MATCH('Dashboard'!$C$9, 'Dataset_Wisata'!$A$12:$A$622, 0)))/2)^2)) * 1.3</f>
        <v/>
      </c>
      <c r="J212" s="21">
        <f>ROUND(I212 * IF('Dashboard'!$C$6&lt;=1, 2250, IF('Dashboard'!$C$6&lt;=4, 5150, 6000)), 0)</f>
        <v/>
      </c>
      <c r="K212" s="30" t="n">
        <v>0.1286833953283746</v>
      </c>
      <c r="L212" s="30" t="n">
        <v>0.3045630368798342</v>
      </c>
      <c r="M212" s="30" t="n">
        <v>0.5667535677917911</v>
      </c>
      <c r="N212" s="31">
        <f>ABS(E212-$F$6)</f>
        <v/>
      </c>
      <c r="O212" s="31">
        <f>ABS(E212-$F$7)</f>
        <v/>
      </c>
      <c r="P212" s="31">
        <f>ABS(E212-$F$8)</f>
        <v/>
      </c>
      <c r="Q212" s="14">
        <f>IF(K212&gt;=MAX(L212,M212), "Hemat", IF(L212&gt;=M212, "Balanced", "Premium"))</f>
        <v/>
      </c>
      <c r="R212" s="30" t="n">
        <v>0.1286833984339585</v>
      </c>
      <c r="S212" s="30" t="n">
        <v>0.3045630940165462</v>
      </c>
      <c r="T212" s="30" t="n">
        <v>0.5667535075494953</v>
      </c>
      <c r="U212" s="31">
        <f>ABS(E212-$G$6)</f>
        <v/>
      </c>
      <c r="V212" s="31">
        <f>ABS(E212-$G$7)</f>
        <v/>
      </c>
      <c r="W212" s="31">
        <f>ABS(E212-$G$8)</f>
        <v/>
      </c>
      <c r="X212" s="14">
        <f>IF(R212&gt;=MAX(S212,T212), "Hemat", IF(S212&gt;=T212, "Balanced", "Premium"))</f>
        <v/>
      </c>
    </row>
    <row r="213">
      <c r="A213" s="14" t="n">
        <v>209</v>
      </c>
      <c r="B213" s="7" t="inlineStr">
        <is>
          <t>Jelajah 5 Benua</t>
        </is>
      </c>
      <c r="C213" s="26" t="n">
        <v>-7.889858</v>
      </c>
      <c r="D213" s="26" t="n">
        <v>112.5257911</v>
      </c>
      <c r="E213" s="21" t="n">
        <v>4000</v>
      </c>
      <c r="F213" s="27" t="n">
        <v>4.1</v>
      </c>
      <c r="G213" s="28" t="n">
        <v>71</v>
      </c>
      <c r="H213" s="14" t="inlineStr">
        <is>
          <t>Wisata Umum</t>
        </is>
      </c>
      <c r="I213" s="29">
        <f>6371 * 2 * ASIN(SQRT(SIN(RADIANS((C213) - INDEX('Dataset_Wisata'!$C$12:$C$622, MATCH('Dashboard'!$C$9, 'Dataset_Wisata'!$A$12:$A$622, 0)))/2)^2 + COS(RADIANS(INDEX('Dataset_Wisata'!$C$12:$C$622, MATCH('Dashboard'!$C$9, 'Dataset_Wisata'!$A$12:$A$622, 0)))) * COS(RADIANS(C213)) * SIN(RADIANS((D213) - INDEX('Dataset_Wisata'!$D$12:$D$622, MATCH('Dashboard'!$C$9, 'Dataset_Wisata'!$A$12:$A$622, 0)))/2)^2)) * 1.3</f>
        <v/>
      </c>
      <c r="J213" s="21">
        <f>ROUND(I213 * IF('Dashboard'!$C$6&lt;=1, 2250, IF('Dashboard'!$C$6&lt;=4, 5150, 6000)), 0)</f>
        <v/>
      </c>
      <c r="K213" s="30" t="n">
        <v>0.9850704495082249</v>
      </c>
      <c r="L213" s="30" t="n">
        <v>0.01397920321249498</v>
      </c>
      <c r="M213" s="30" t="n">
        <v>0.0009503472792801274</v>
      </c>
      <c r="N213" s="31">
        <f>ABS(E213-$F$6)</f>
        <v/>
      </c>
      <c r="O213" s="31">
        <f>ABS(E213-$F$7)</f>
        <v/>
      </c>
      <c r="P213" s="31">
        <f>ABS(E213-$F$8)</f>
        <v/>
      </c>
      <c r="Q213" s="14">
        <f>IF(K213&gt;=MAX(L213,M213), "Hemat", IF(L213&gt;=M213, "Balanced", "Premium"))</f>
        <v/>
      </c>
      <c r="R213" s="30" t="n">
        <v>0.9850704499761633</v>
      </c>
      <c r="S213" s="30" t="n">
        <v>0.01397920255310339</v>
      </c>
      <c r="T213" s="30" t="n">
        <v>0.0009503474707333068</v>
      </c>
      <c r="U213" s="31">
        <f>ABS(E213-$G$6)</f>
        <v/>
      </c>
      <c r="V213" s="31">
        <f>ABS(E213-$G$7)</f>
        <v/>
      </c>
      <c r="W213" s="31">
        <f>ABS(E213-$G$8)</f>
        <v/>
      </c>
      <c r="X213" s="14">
        <f>IF(R213&gt;=MAX(S213,T213), "Hemat", IF(S213&gt;=T213, "Balanced", "Premium"))</f>
        <v/>
      </c>
    </row>
    <row r="214">
      <c r="A214" s="14" t="n">
        <v>210</v>
      </c>
      <c r="B214" s="7" t="inlineStr">
        <is>
          <t>Batu Rafting</t>
        </is>
      </c>
      <c r="C214" s="26" t="n">
        <v>-7.8920678</v>
      </c>
      <c r="D214" s="26" t="n">
        <v>112.5325663</v>
      </c>
      <c r="E214" s="21" t="n">
        <v>200000</v>
      </c>
      <c r="F214" s="27" t="n">
        <v>4.4</v>
      </c>
      <c r="G214" s="28" t="n">
        <v>506</v>
      </c>
      <c r="H214" s="14" t="inlineStr">
        <is>
          <t>Wisata Umum</t>
        </is>
      </c>
      <c r="I214" s="29">
        <f>6371 * 2 * ASIN(SQRT(SIN(RADIANS((C214) - INDEX('Dataset_Wisata'!$C$12:$C$622, MATCH('Dashboard'!$C$9, 'Dataset_Wisata'!$A$12:$A$622, 0)))/2)^2 + COS(RADIANS(INDEX('Dataset_Wisata'!$C$12:$C$622, MATCH('Dashboard'!$C$9, 'Dataset_Wisata'!$A$12:$A$622, 0)))) * COS(RADIANS(C214)) * SIN(RADIANS((D214) - INDEX('Dataset_Wisata'!$D$12:$D$622, MATCH('Dashboard'!$C$9, 'Dataset_Wisata'!$A$12:$A$622, 0)))/2)^2)) * 1.3</f>
        <v/>
      </c>
      <c r="J214" s="21">
        <f>ROUND(I214 * IF('Dashboard'!$C$6&lt;=1, 2250, IF('Dashboard'!$C$6&lt;=4, 5150, 6000)), 0)</f>
        <v/>
      </c>
      <c r="K214" s="30" t="n">
        <v>0.01065731058024464</v>
      </c>
      <c r="L214" s="30" t="n">
        <v>0.0171726338531923</v>
      </c>
      <c r="M214" s="30" t="n">
        <v>0.9721700555665631</v>
      </c>
      <c r="N214" s="31">
        <f>ABS(E214-$F$6)</f>
        <v/>
      </c>
      <c r="O214" s="31">
        <f>ABS(E214-$F$7)</f>
        <v/>
      </c>
      <c r="P214" s="31">
        <f>ABS(E214-$F$8)</f>
        <v/>
      </c>
      <c r="Q214" s="14">
        <f>IF(K214&gt;=MAX(L214,M214), "Hemat", IF(L214&gt;=M214, "Balanced", "Premium"))</f>
        <v/>
      </c>
      <c r="R214" s="30" t="n">
        <v>0.01065730722964056</v>
      </c>
      <c r="S214" s="30" t="n">
        <v>0.01717262983817335</v>
      </c>
      <c r="T214" s="30" t="n">
        <v>0.9721700629321861</v>
      </c>
      <c r="U214" s="31">
        <f>ABS(E214-$G$6)</f>
        <v/>
      </c>
      <c r="V214" s="31">
        <f>ABS(E214-$G$7)</f>
        <v/>
      </c>
      <c r="W214" s="31">
        <f>ABS(E214-$G$8)</f>
        <v/>
      </c>
      <c r="X214" s="14">
        <f>IF(R214&gt;=MAX(S214,T214), "Hemat", IF(S214&gt;=T214, "Balanced", "Premium"))</f>
        <v/>
      </c>
    </row>
    <row r="215">
      <c r="A215" s="14" t="n">
        <v>211</v>
      </c>
      <c r="B215" s="7" t="inlineStr">
        <is>
          <t>Museum Satwa Jawa Timur Park 2</t>
        </is>
      </c>
      <c r="C215" s="26" t="n">
        <v>-7.8888179</v>
      </c>
      <c r="D215" s="26" t="n">
        <v>112.5295605</v>
      </c>
      <c r="E215" s="21" t="n">
        <v>140000</v>
      </c>
      <c r="F215" s="27" t="n">
        <v>4.8</v>
      </c>
      <c r="G215" s="28" t="n">
        <v>1276</v>
      </c>
      <c r="H215" s="14" t="inlineStr">
        <is>
          <t>Wisata Umum</t>
        </is>
      </c>
      <c r="I215" s="29">
        <f>6371 * 2 * ASIN(SQRT(SIN(RADIANS((C215) - INDEX('Dataset_Wisata'!$C$12:$C$622, MATCH('Dashboard'!$C$9, 'Dataset_Wisata'!$A$12:$A$622, 0)))/2)^2 + COS(RADIANS(INDEX('Dataset_Wisata'!$C$12:$C$622, MATCH('Dashboard'!$C$9, 'Dataset_Wisata'!$A$12:$A$622, 0)))) * COS(RADIANS(C215)) * SIN(RADIANS((D215) - INDEX('Dataset_Wisata'!$D$12:$D$622, MATCH('Dashboard'!$C$9, 'Dataset_Wisata'!$A$12:$A$622, 0)))/2)^2)) * 1.3</f>
        <v/>
      </c>
      <c r="J215" s="21">
        <f>ROUND(I215 * IF('Dashboard'!$C$6&lt;=1, 2250, IF('Dashboard'!$C$6&lt;=4, 5150, 6000)), 0)</f>
        <v/>
      </c>
      <c r="K215" s="30" t="n">
        <v>0.07288126501156823</v>
      </c>
      <c r="L215" s="30" t="n">
        <v>0.1529766698002726</v>
      </c>
      <c r="M215" s="30" t="n">
        <v>0.7741420651881591</v>
      </c>
      <c r="N215" s="31">
        <f>ABS(E215-$F$6)</f>
        <v/>
      </c>
      <c r="O215" s="31">
        <f>ABS(E215-$F$7)</f>
        <v/>
      </c>
      <c r="P215" s="31">
        <f>ABS(E215-$F$8)</f>
        <v/>
      </c>
      <c r="Q215" s="14">
        <f>IF(K215&gt;=MAX(L215,M215), "Hemat", IF(L215&gt;=M215, "Balanced", "Premium"))</f>
        <v/>
      </c>
      <c r="R215" s="30" t="n">
        <v>0.07288127330234195</v>
      </c>
      <c r="S215" s="30" t="n">
        <v>0.1529767079571055</v>
      </c>
      <c r="T215" s="30" t="n">
        <v>0.7741420187405526</v>
      </c>
      <c r="U215" s="31">
        <f>ABS(E215-$G$6)</f>
        <v/>
      </c>
      <c r="V215" s="31">
        <f>ABS(E215-$G$7)</f>
        <v/>
      </c>
      <c r="W215" s="31">
        <f>ABS(E215-$G$8)</f>
        <v/>
      </c>
      <c r="X215" s="14">
        <f>IF(R215&gt;=MAX(S215,T215), "Hemat", IF(S215&gt;=T215, "Balanced", "Premium"))</f>
        <v/>
      </c>
    </row>
    <row r="216">
      <c r="A216" s="14" t="n">
        <v>212</v>
      </c>
      <c r="B216" s="7" t="inlineStr">
        <is>
          <t>Puncak Basundara</t>
        </is>
      </c>
      <c r="C216" s="26" t="n">
        <v>-7.9025509</v>
      </c>
      <c r="D216" s="26" t="n">
        <v>112.4977627</v>
      </c>
      <c r="E216" s="21" t="n">
        <v>10000</v>
      </c>
      <c r="F216" s="27" t="n">
        <v>4.6</v>
      </c>
      <c r="G216" s="28" t="n">
        <v>160</v>
      </c>
      <c r="H216" s="14" t="inlineStr">
        <is>
          <t>Wisata Umum</t>
        </is>
      </c>
      <c r="I216" s="29">
        <f>6371 * 2 * ASIN(SQRT(SIN(RADIANS((C216) - INDEX('Dataset_Wisata'!$C$12:$C$622, MATCH('Dashboard'!$C$9, 'Dataset_Wisata'!$A$12:$A$622, 0)))/2)^2 + COS(RADIANS(INDEX('Dataset_Wisata'!$C$12:$C$622, MATCH('Dashboard'!$C$9, 'Dataset_Wisata'!$A$12:$A$622, 0)))) * COS(RADIANS(C216)) * SIN(RADIANS((D216) - INDEX('Dataset_Wisata'!$D$12:$D$622, MATCH('Dashboard'!$C$9, 'Dataset_Wisata'!$A$12:$A$622, 0)))/2)^2)) * 1.3</f>
        <v/>
      </c>
      <c r="J216" s="21">
        <f>ROUND(I216 * IF('Dashboard'!$C$6&lt;=1, 2250, IF('Dashboard'!$C$6&lt;=4, 5150, 6000)), 0)</f>
        <v/>
      </c>
      <c r="K216" s="30" t="n">
        <v>0.9998126508185596</v>
      </c>
      <c r="L216" s="30" t="n">
        <v>0.0001775718391516968</v>
      </c>
      <c r="M216" s="30" t="n">
        <v>9.7773422886897e-06</v>
      </c>
      <c r="N216" s="31">
        <f>ABS(E216-$F$6)</f>
        <v/>
      </c>
      <c r="O216" s="31">
        <f>ABS(E216-$F$7)</f>
        <v/>
      </c>
      <c r="P216" s="31">
        <f>ABS(E216-$F$8)</f>
        <v/>
      </c>
      <c r="Q216" s="14">
        <f>IF(K216&gt;=MAX(L216,M216), "Hemat", IF(L216&gt;=M216, "Balanced", "Premium"))</f>
        <v/>
      </c>
      <c r="R216" s="30" t="n">
        <v>0.9998126513362043</v>
      </c>
      <c r="S216" s="30" t="n">
        <v>0.0001775713458315561</v>
      </c>
      <c r="T216" s="30" t="n">
        <v>9.777317964159987e-06</v>
      </c>
      <c r="U216" s="31">
        <f>ABS(E216-$G$6)</f>
        <v/>
      </c>
      <c r="V216" s="31">
        <f>ABS(E216-$G$7)</f>
        <v/>
      </c>
      <c r="W216" s="31">
        <f>ABS(E216-$G$8)</f>
        <v/>
      </c>
      <c r="X216" s="14">
        <f>IF(R216&gt;=MAX(S216,T216), "Hemat", IF(S216&gt;=T216, "Balanced", "Premium"))</f>
        <v/>
      </c>
    </row>
    <row r="217">
      <c r="A217" s="14" t="n">
        <v>213</v>
      </c>
      <c r="B217" s="7" t="inlineStr">
        <is>
          <t>Sweet Memories Selfie</t>
        </is>
      </c>
      <c r="C217" s="26" t="n">
        <v>-7.8879028</v>
      </c>
      <c r="D217" s="26" t="n">
        <v>112.5290513</v>
      </c>
      <c r="E217" s="21" t="n">
        <v>30000</v>
      </c>
      <c r="F217" s="27" t="n">
        <v>4.8</v>
      </c>
      <c r="G217" s="28" t="n">
        <v>26</v>
      </c>
      <c r="H217" s="14" t="inlineStr">
        <is>
          <t>Wisata Umum</t>
        </is>
      </c>
      <c r="I217" s="29">
        <f>6371 * 2 * ASIN(SQRT(SIN(RADIANS((C217) - INDEX('Dataset_Wisata'!$C$12:$C$622, MATCH('Dashboard'!$C$9, 'Dataset_Wisata'!$A$12:$A$622, 0)))/2)^2 + COS(RADIANS(INDEX('Dataset_Wisata'!$C$12:$C$622, MATCH('Dashboard'!$C$9, 'Dataset_Wisata'!$A$12:$A$622, 0)))) * COS(RADIANS(C217)) * SIN(RADIANS((D217) - INDEX('Dataset_Wisata'!$D$12:$D$622, MATCH('Dashboard'!$C$9, 'Dataset_Wisata'!$A$12:$A$622, 0)))/2)^2)) * 1.3</f>
        <v/>
      </c>
      <c r="J217" s="21">
        <f>ROUND(I217 * IF('Dashboard'!$C$6&lt;=1, 2250, IF('Dashboard'!$C$6&lt;=4, 5150, 6000)), 0)</f>
        <v/>
      </c>
      <c r="K217" s="30" t="n">
        <v>0.4800921289599558</v>
      </c>
      <c r="L217" s="30" t="n">
        <v>0.5109191138653489</v>
      </c>
      <c r="M217" s="30" t="n">
        <v>0.008988757174695291</v>
      </c>
      <c r="N217" s="31">
        <f>ABS(E217-$F$6)</f>
        <v/>
      </c>
      <c r="O217" s="31">
        <f>ABS(E217-$F$7)</f>
        <v/>
      </c>
      <c r="P217" s="31">
        <f>ABS(E217-$F$8)</f>
        <v/>
      </c>
      <c r="Q217" s="14">
        <f>IF(K217&gt;=MAX(L217,M217), "Hemat", IF(L217&gt;=M217, "Balanced", "Premium"))</f>
        <v/>
      </c>
      <c r="R217" s="30" t="n">
        <v>0.4800923067166307</v>
      </c>
      <c r="S217" s="30" t="n">
        <v>0.5109189337438159</v>
      </c>
      <c r="T217" s="30" t="n">
        <v>0.008988759539553422</v>
      </c>
      <c r="U217" s="31">
        <f>ABS(E217-$G$6)</f>
        <v/>
      </c>
      <c r="V217" s="31">
        <f>ABS(E217-$G$7)</f>
        <v/>
      </c>
      <c r="W217" s="31">
        <f>ABS(E217-$G$8)</f>
        <v/>
      </c>
      <c r="X217" s="14">
        <f>IF(R217&gt;=MAX(S217,T217), "Hemat", IF(S217&gt;=T217, "Balanced", "Premium"))</f>
        <v/>
      </c>
    </row>
    <row r="218">
      <c r="A218" s="14" t="n">
        <v>214</v>
      </c>
      <c r="B218" s="7" t="inlineStr">
        <is>
          <t>Kapal Nabi Nuh</t>
        </is>
      </c>
      <c r="C218" s="26" t="n">
        <v>-7.8898934</v>
      </c>
      <c r="D218" s="26" t="n">
        <v>112.5273515</v>
      </c>
      <c r="E218" s="21" t="n">
        <v>50000</v>
      </c>
      <c r="F218" s="27" t="n">
        <v>4.2</v>
      </c>
      <c r="G218" s="28" t="n">
        <v>33</v>
      </c>
      <c r="H218" s="14" t="inlineStr">
        <is>
          <t>Tujuan Wisata · 4G6G+2WX</t>
        </is>
      </c>
      <c r="I218" s="29">
        <f>6371 * 2 * ASIN(SQRT(SIN(RADIANS((C218) - INDEX('Dataset_Wisata'!$C$12:$C$622, MATCH('Dashboard'!$C$9, 'Dataset_Wisata'!$A$12:$A$622, 0)))/2)^2 + COS(RADIANS(INDEX('Dataset_Wisata'!$C$12:$C$622, MATCH('Dashboard'!$C$9, 'Dataset_Wisata'!$A$12:$A$622, 0)))) * COS(RADIANS(C218)) * SIN(RADIANS((D218) - INDEX('Dataset_Wisata'!$D$12:$D$622, MATCH('Dashboard'!$C$9, 'Dataset_Wisata'!$A$12:$A$622, 0)))/2)^2)) * 1.3</f>
        <v/>
      </c>
      <c r="J218" s="21">
        <f>ROUND(I218 * IF('Dashboard'!$C$6&lt;=1, 2250, IF('Dashboard'!$C$6&lt;=4, 5150, 6000)), 0)</f>
        <v/>
      </c>
      <c r="K218" s="30" t="n">
        <v>5.758531237204236e-06</v>
      </c>
      <c r="L218" s="30" t="n">
        <v>0.9999936821294634</v>
      </c>
      <c r="M218" s="30" t="n">
        <v>5.593392994189334e-07</v>
      </c>
      <c r="N218" s="31">
        <f>ABS(E218-$F$6)</f>
        <v/>
      </c>
      <c r="O218" s="31">
        <f>ABS(E218-$F$7)</f>
        <v/>
      </c>
      <c r="P218" s="31">
        <f>ABS(E218-$F$8)</f>
        <v/>
      </c>
      <c r="Q218" s="14">
        <f>IF(K218&gt;=MAX(L218,M218), "Hemat", IF(L218&gt;=M218, "Balanced", "Premium"))</f>
        <v/>
      </c>
      <c r="R218" s="30" t="n">
        <v>5.757754513908737e-06</v>
      </c>
      <c r="S218" s="30" t="n">
        <v>0.9999936829816778</v>
      </c>
      <c r="T218" s="30" t="n">
        <v>5.592638083270285e-07</v>
      </c>
      <c r="U218" s="31">
        <f>ABS(E218-$G$6)</f>
        <v/>
      </c>
      <c r="V218" s="31">
        <f>ABS(E218-$G$7)</f>
        <v/>
      </c>
      <c r="W218" s="31">
        <f>ABS(E218-$G$8)</f>
        <v/>
      </c>
      <c r="X218" s="14">
        <f>IF(R218&gt;=MAX(S218,T218), "Hemat", IF(S218&gt;=T218, "Balanced", "Premium"))</f>
        <v/>
      </c>
    </row>
    <row r="219">
      <c r="A219" s="14" t="n">
        <v>215</v>
      </c>
      <c r="B219" s="7" t="inlineStr">
        <is>
          <t>Kampung Sapi Adventure</t>
        </is>
      </c>
      <c r="C219" s="26" t="n">
        <v>-7.8876971</v>
      </c>
      <c r="D219" s="26" t="n">
        <v>112.5504373</v>
      </c>
      <c r="E219" s="21" t="n">
        <v>10000</v>
      </c>
      <c r="F219" s="27" t="n">
        <v>4.4</v>
      </c>
      <c r="G219" s="28" t="n">
        <v>93</v>
      </c>
      <c r="H219" s="14" t="inlineStr">
        <is>
          <t>Tujuan Wisata · Gg. 1</t>
        </is>
      </c>
      <c r="I219" s="29">
        <f>6371 * 2 * ASIN(SQRT(SIN(RADIANS((C219) - INDEX('Dataset_Wisata'!$C$12:$C$622, MATCH('Dashboard'!$C$9, 'Dataset_Wisata'!$A$12:$A$622, 0)))/2)^2 + COS(RADIANS(INDEX('Dataset_Wisata'!$C$12:$C$622, MATCH('Dashboard'!$C$9, 'Dataset_Wisata'!$A$12:$A$622, 0)))) * COS(RADIANS(C219)) * SIN(RADIANS((D219) - INDEX('Dataset_Wisata'!$D$12:$D$622, MATCH('Dashboard'!$C$9, 'Dataset_Wisata'!$A$12:$A$622, 0)))/2)^2)) * 1.3</f>
        <v/>
      </c>
      <c r="J219" s="21">
        <f>ROUND(I219 * IF('Dashboard'!$C$6&lt;=1, 2250, IF('Dashboard'!$C$6&lt;=4, 5150, 6000)), 0)</f>
        <v/>
      </c>
      <c r="K219" s="30" t="n">
        <v>0.9998126508185596</v>
      </c>
      <c r="L219" s="30" t="n">
        <v>0.0001775718391516968</v>
      </c>
      <c r="M219" s="30" t="n">
        <v>9.7773422886897e-06</v>
      </c>
      <c r="N219" s="31">
        <f>ABS(E219-$F$6)</f>
        <v/>
      </c>
      <c r="O219" s="31">
        <f>ABS(E219-$F$7)</f>
        <v/>
      </c>
      <c r="P219" s="31">
        <f>ABS(E219-$F$8)</f>
        <v/>
      </c>
      <c r="Q219" s="14">
        <f>IF(K219&gt;=MAX(L219,M219), "Hemat", IF(L219&gt;=M219, "Balanced", "Premium"))</f>
        <v/>
      </c>
      <c r="R219" s="30" t="n">
        <v>0.9998126513362043</v>
      </c>
      <c r="S219" s="30" t="n">
        <v>0.0001775713458315561</v>
      </c>
      <c r="T219" s="30" t="n">
        <v>9.777317964159987e-06</v>
      </c>
      <c r="U219" s="31">
        <f>ABS(E219-$G$6)</f>
        <v/>
      </c>
      <c r="V219" s="31">
        <f>ABS(E219-$G$7)</f>
        <v/>
      </c>
      <c r="W219" s="31">
        <f>ABS(E219-$G$8)</f>
        <v/>
      </c>
      <c r="X219" s="14">
        <f>IF(R219&gt;=MAX(S219,T219), "Hemat", IF(S219&gt;=T219, "Balanced", "Premium"))</f>
        <v/>
      </c>
    </row>
    <row r="220">
      <c r="A220" s="14" t="n">
        <v>216</v>
      </c>
      <c r="B220" s="7" t="inlineStr">
        <is>
          <t>Museum Angkut</t>
        </is>
      </c>
      <c r="C220" s="26" t="n">
        <v>-7.8790652</v>
      </c>
      <c r="D220" s="26" t="n">
        <v>112.5187151</v>
      </c>
      <c r="E220" s="21" t="n">
        <v>104500</v>
      </c>
      <c r="F220" s="27" t="n">
        <v>4.7</v>
      </c>
      <c r="G220" s="28" t="n">
        <v>58042</v>
      </c>
      <c r="H220" s="14" t="inlineStr">
        <is>
          <t>Museum Angkut</t>
        </is>
      </c>
      <c r="I220" s="29">
        <f>6371 * 2 * ASIN(SQRT(SIN(RADIANS((C220) - INDEX('Dataset_Wisata'!$C$12:$C$622, MATCH('Dashboard'!$C$9, 'Dataset_Wisata'!$A$12:$A$622, 0)))/2)^2 + COS(RADIANS(INDEX('Dataset_Wisata'!$C$12:$C$622, MATCH('Dashboard'!$C$9, 'Dataset_Wisata'!$A$12:$A$622, 0)))) * COS(RADIANS(C220)) * SIN(RADIANS((D220) - INDEX('Dataset_Wisata'!$D$12:$D$622, MATCH('Dashboard'!$C$9, 'Dataset_Wisata'!$A$12:$A$622, 0)))/2)^2)) * 1.3</f>
        <v/>
      </c>
      <c r="J220" s="21">
        <f>ROUND(I220 * IF('Dashboard'!$C$6&lt;=1, 2250, IF('Dashboard'!$C$6&lt;=4, 5150, 6000)), 0)</f>
        <v/>
      </c>
      <c r="K220" s="30" t="n">
        <v>0.1781941209167374</v>
      </c>
      <c r="L220" s="30" t="n">
        <v>0.539870154700268</v>
      </c>
      <c r="M220" s="30" t="n">
        <v>0.2819357243829945</v>
      </c>
      <c r="N220" s="31">
        <f>ABS(E220-$F$6)</f>
        <v/>
      </c>
      <c r="O220" s="31">
        <f>ABS(E220-$F$7)</f>
        <v/>
      </c>
      <c r="P220" s="31">
        <f>ABS(E220-$F$8)</f>
        <v/>
      </c>
      <c r="Q220" s="14">
        <f>IF(K220&gt;=MAX(L220,M220), "Hemat", IF(L220&gt;=M220, "Balanced", "Premium"))</f>
        <v/>
      </c>
      <c r="R220" s="30" t="n">
        <v>0.1781941041632479</v>
      </c>
      <c r="S220" s="30" t="n">
        <v>0.5398702263036114</v>
      </c>
      <c r="T220" s="30" t="n">
        <v>0.2819356695331407</v>
      </c>
      <c r="U220" s="31">
        <f>ABS(E220-$G$6)</f>
        <v/>
      </c>
      <c r="V220" s="31">
        <f>ABS(E220-$G$7)</f>
        <v/>
      </c>
      <c r="W220" s="31">
        <f>ABS(E220-$G$8)</f>
        <v/>
      </c>
      <c r="X220" s="14">
        <f>IF(R220&gt;=MAX(S220,T220), "Hemat", IF(S220&gt;=T220, "Balanced", "Premium"))</f>
        <v/>
      </c>
    </row>
    <row r="221">
      <c r="A221" s="14" t="n">
        <v>217</v>
      </c>
      <c r="B221" s="7" t="inlineStr">
        <is>
          <t>Kaliwatu Rafting</t>
        </is>
      </c>
      <c r="C221" s="26" t="n">
        <v>-7.863917</v>
      </c>
      <c r="D221" s="26" t="n">
        <v>112.5344443</v>
      </c>
      <c r="E221" s="21" t="n">
        <v>185000</v>
      </c>
      <c r="F221" s="27" t="n">
        <v>4.6</v>
      </c>
      <c r="G221" s="28" t="n">
        <v>780</v>
      </c>
      <c r="H221" s="14" t="inlineStr">
        <is>
          <t>Wisata Umum</t>
        </is>
      </c>
      <c r="I221" s="29">
        <f>6371 * 2 * ASIN(SQRT(SIN(RADIANS((C221) - INDEX('Dataset_Wisata'!$C$12:$C$622, MATCH('Dashboard'!$C$9, 'Dataset_Wisata'!$A$12:$A$622, 0)))/2)^2 + COS(RADIANS(INDEX('Dataset_Wisata'!$C$12:$C$622, MATCH('Dashboard'!$C$9, 'Dataset_Wisata'!$A$12:$A$622, 0)))) * COS(RADIANS(C221)) * SIN(RADIANS((D221) - INDEX('Dataset_Wisata'!$D$12:$D$622, MATCH('Dashboard'!$C$9, 'Dataset_Wisata'!$A$12:$A$622, 0)))/2)^2)) * 1.3</f>
        <v/>
      </c>
      <c r="J221" s="21">
        <f>ROUND(I221 * IF('Dashboard'!$C$6&lt;=1, 2250, IF('Dashboard'!$C$6&lt;=4, 5150, 6000)), 0)</f>
        <v/>
      </c>
      <c r="K221" s="30" t="n">
        <v>0.0007932099614807688</v>
      </c>
      <c r="L221" s="30" t="n">
        <v>0.001339080097054641</v>
      </c>
      <c r="M221" s="30" t="n">
        <v>0.9978677099414646</v>
      </c>
      <c r="N221" s="31">
        <f>ABS(E221-$F$6)</f>
        <v/>
      </c>
      <c r="O221" s="31">
        <f>ABS(E221-$F$7)</f>
        <v/>
      </c>
      <c r="P221" s="31">
        <f>ABS(E221-$F$8)</f>
        <v/>
      </c>
      <c r="Q221" s="14">
        <f>IF(K221&gt;=MAX(L221,M221), "Hemat", IF(L221&gt;=M221, "Balanced", "Premium"))</f>
        <v/>
      </c>
      <c r="R221" s="30" t="n">
        <v>0.0007932089181736103</v>
      </c>
      <c r="S221" s="30" t="n">
        <v>0.001339078455900745</v>
      </c>
      <c r="T221" s="30" t="n">
        <v>0.9978677126259257</v>
      </c>
      <c r="U221" s="31">
        <f>ABS(E221-$G$6)</f>
        <v/>
      </c>
      <c r="V221" s="31">
        <f>ABS(E221-$G$7)</f>
        <v/>
      </c>
      <c r="W221" s="31">
        <f>ABS(E221-$G$8)</f>
        <v/>
      </c>
      <c r="X221" s="14">
        <f>IF(R221&gt;=MAX(S221,T221), "Hemat", IF(S221&gt;=T221, "Balanced", "Premium"))</f>
        <v/>
      </c>
    </row>
    <row r="222">
      <c r="A222" s="14" t="n">
        <v>218</v>
      </c>
      <c r="B222" s="7" t="inlineStr">
        <is>
          <t>Batu Love Garden - BALOGA</t>
        </is>
      </c>
      <c r="C222" s="26" t="n">
        <v>-7.8633297</v>
      </c>
      <c r="D222" s="26" t="n">
        <v>112.5429244</v>
      </c>
      <c r="E222" s="21" t="n">
        <v>50000</v>
      </c>
      <c r="F222" s="27" t="n">
        <v>4.6</v>
      </c>
      <c r="G222" s="28" t="n">
        <v>6465</v>
      </c>
      <c r="H222" s="14" t="inlineStr">
        <is>
          <t>Taman hiburan dengan kupu-kupu</t>
        </is>
      </c>
      <c r="I222" s="29">
        <f>6371 * 2 * ASIN(SQRT(SIN(RADIANS((C222) - INDEX('Dataset_Wisata'!$C$12:$C$622, MATCH('Dashboard'!$C$9, 'Dataset_Wisata'!$A$12:$A$622, 0)))/2)^2 + COS(RADIANS(INDEX('Dataset_Wisata'!$C$12:$C$622, MATCH('Dashboard'!$C$9, 'Dataset_Wisata'!$A$12:$A$622, 0)))) * COS(RADIANS(C222)) * SIN(RADIANS((D222) - INDEX('Dataset_Wisata'!$D$12:$D$622, MATCH('Dashboard'!$C$9, 'Dataset_Wisata'!$A$12:$A$622, 0)))/2)^2)) * 1.3</f>
        <v/>
      </c>
      <c r="J222" s="21">
        <f>ROUND(I222 * IF('Dashboard'!$C$6&lt;=1, 2250, IF('Dashboard'!$C$6&lt;=4, 5150, 6000)), 0)</f>
        <v/>
      </c>
      <c r="K222" s="30" t="n">
        <v>5.758531237204236e-06</v>
      </c>
      <c r="L222" s="30" t="n">
        <v>0.9999936821294634</v>
      </c>
      <c r="M222" s="30" t="n">
        <v>5.593392994189334e-07</v>
      </c>
      <c r="N222" s="31">
        <f>ABS(E222-$F$6)</f>
        <v/>
      </c>
      <c r="O222" s="31">
        <f>ABS(E222-$F$7)</f>
        <v/>
      </c>
      <c r="P222" s="31">
        <f>ABS(E222-$F$8)</f>
        <v/>
      </c>
      <c r="Q222" s="14">
        <f>IF(K222&gt;=MAX(L222,M222), "Hemat", IF(L222&gt;=M222, "Balanced", "Premium"))</f>
        <v/>
      </c>
      <c r="R222" s="30" t="n">
        <v>5.757754513908737e-06</v>
      </c>
      <c r="S222" s="30" t="n">
        <v>0.9999936829816778</v>
      </c>
      <c r="T222" s="30" t="n">
        <v>5.592638083270285e-07</v>
      </c>
      <c r="U222" s="31">
        <f>ABS(E222-$G$6)</f>
        <v/>
      </c>
      <c r="V222" s="31">
        <f>ABS(E222-$G$7)</f>
        <v/>
      </c>
      <c r="W222" s="31">
        <f>ABS(E222-$G$8)</f>
        <v/>
      </c>
      <c r="X222" s="14">
        <f>IF(R222&gt;=MAX(S222,T222), "Hemat", IF(S222&gt;=T222, "Balanced", "Premium"))</f>
        <v/>
      </c>
    </row>
    <row r="223">
      <c r="A223" s="14" t="n">
        <v>219</v>
      </c>
      <c r="B223" s="7" t="inlineStr">
        <is>
          <t>Taman Wilis</t>
        </is>
      </c>
      <c r="C223" s="26" t="n">
        <v>-7.870136</v>
      </c>
      <c r="D223" s="26" t="n">
        <v>112.530953</v>
      </c>
      <c r="E223" s="21" t="n">
        <v>5000</v>
      </c>
      <c r="F223" s="27" t="n">
        <v>4.3</v>
      </c>
      <c r="G223" s="28" t="n">
        <v>390</v>
      </c>
      <c r="H223" s="14" t="inlineStr">
        <is>
          <t>Taman Wilis</t>
        </is>
      </c>
      <c r="I223" s="29">
        <f>6371 * 2 * ASIN(SQRT(SIN(RADIANS((C223) - INDEX('Dataset_Wisata'!$C$12:$C$622, MATCH('Dashboard'!$C$9, 'Dataset_Wisata'!$A$12:$A$622, 0)))/2)^2 + COS(RADIANS(INDEX('Dataset_Wisata'!$C$12:$C$622, MATCH('Dashboard'!$C$9, 'Dataset_Wisata'!$A$12:$A$622, 0)))) * COS(RADIANS(C223)) * SIN(RADIANS((D223) - INDEX('Dataset_Wisata'!$D$12:$D$622, MATCH('Dashboard'!$C$9, 'Dataset_Wisata'!$A$12:$A$622, 0)))/2)^2)) * 1.3</f>
        <v/>
      </c>
      <c r="J223" s="21">
        <f>ROUND(I223 * IF('Dashboard'!$C$6&lt;=1, 2250, IF('Dashboard'!$C$6&lt;=4, 5150, 6000)), 0)</f>
        <v/>
      </c>
      <c r="K223" s="30" t="n">
        <v>0.9895566543895754</v>
      </c>
      <c r="L223" s="30" t="n">
        <v>0.009798611400025654</v>
      </c>
      <c r="M223" s="30" t="n">
        <v>0.0006447342103988783</v>
      </c>
      <c r="N223" s="31">
        <f>ABS(E223-$F$6)</f>
        <v/>
      </c>
      <c r="O223" s="31">
        <f>ABS(E223-$F$7)</f>
        <v/>
      </c>
      <c r="P223" s="31">
        <f>ABS(E223-$F$8)</f>
        <v/>
      </c>
      <c r="Q223" s="14">
        <f>IF(K223&gt;=MAX(L223,M223), "Hemat", IF(L223&gt;=M223, "Balanced", "Premium"))</f>
        <v/>
      </c>
      <c r="R223" s="30" t="n">
        <v>0.9895566542341836</v>
      </c>
      <c r="S223" s="30" t="n">
        <v>0.00979861139170024</v>
      </c>
      <c r="T223" s="30" t="n">
        <v>0.00064473437411607</v>
      </c>
      <c r="U223" s="31">
        <f>ABS(E223-$G$6)</f>
        <v/>
      </c>
      <c r="V223" s="31">
        <f>ABS(E223-$G$7)</f>
        <v/>
      </c>
      <c r="W223" s="31">
        <f>ABS(E223-$G$8)</f>
        <v/>
      </c>
      <c r="X223" s="14">
        <f>IF(R223&gt;=MAX(S223,T223), "Hemat", IF(S223&gt;=T223, "Balanced", "Premium"))</f>
        <v/>
      </c>
    </row>
    <row r="224">
      <c r="A224" s="14" t="n">
        <v>221</v>
      </c>
      <c r="B224" s="7" t="inlineStr">
        <is>
          <t>Wisata Desa Agro Bumiaji</t>
        </is>
      </c>
      <c r="C224" s="26" t="n">
        <v>-7.8583285</v>
      </c>
      <c r="D224" s="26" t="n">
        <v>112.5378621</v>
      </c>
      <c r="E224" s="21" t="n">
        <v>20000</v>
      </c>
      <c r="F224" s="27" t="n">
        <v>4.4</v>
      </c>
      <c r="G224" s="28" t="n">
        <v>146</v>
      </c>
      <c r="H224" s="14" t="inlineStr">
        <is>
          <t>Wisata Desa Agro Bumiaji</t>
        </is>
      </c>
      <c r="I224" s="29">
        <f>6371 * 2 * ASIN(SQRT(SIN(RADIANS((C224) - INDEX('Dataset_Wisata'!$C$12:$C$622, MATCH('Dashboard'!$C$9, 'Dataset_Wisata'!$A$12:$A$622, 0)))/2)^2 + COS(RADIANS(INDEX('Dataset_Wisata'!$C$12:$C$622, MATCH('Dashboard'!$C$9, 'Dataset_Wisata'!$A$12:$A$622, 0)))) * COS(RADIANS(C224)) * SIN(RADIANS((D224) - INDEX('Dataset_Wisata'!$D$12:$D$622, MATCH('Dashboard'!$C$9, 'Dataset_Wisata'!$A$12:$A$622, 0)))/2)^2)) * 1.3</f>
        <v/>
      </c>
      <c r="J224" s="21">
        <f>ROUND(I224 * IF('Dashboard'!$C$6&lt;=1, 2250, IF('Dashboard'!$C$6&lt;=4, 5150, 6000)), 0)</f>
        <v/>
      </c>
      <c r="K224" s="30" t="n">
        <v>0.8862296979094436</v>
      </c>
      <c r="L224" s="30" t="n">
        <v>0.1099329410905347</v>
      </c>
      <c r="M224" s="30" t="n">
        <v>0.003837361000021699</v>
      </c>
      <c r="N224" s="31">
        <f>ABS(E224-$F$6)</f>
        <v/>
      </c>
      <c r="O224" s="31">
        <f>ABS(E224-$F$7)</f>
        <v/>
      </c>
      <c r="P224" s="31">
        <f>ABS(E224-$F$8)</f>
        <v/>
      </c>
      <c r="Q224" s="14">
        <f>IF(K224&gt;=MAX(L224,M224), "Hemat", IF(L224&gt;=M224, "Balanced", "Premium"))</f>
        <v/>
      </c>
      <c r="R224" s="30" t="n">
        <v>0.8862297532761809</v>
      </c>
      <c r="S224" s="30" t="n">
        <v>0.1099328861159962</v>
      </c>
      <c r="T224" s="30" t="n">
        <v>0.003837360607822898</v>
      </c>
      <c r="U224" s="31">
        <f>ABS(E224-$G$6)</f>
        <v/>
      </c>
      <c r="V224" s="31">
        <f>ABS(E224-$G$7)</f>
        <v/>
      </c>
      <c r="W224" s="31">
        <f>ABS(E224-$G$8)</f>
        <v/>
      </c>
      <c r="X224" s="14">
        <f>IF(R224&gt;=MAX(S224,T224), "Hemat", IF(S224&gt;=T224, "Balanced", "Premium"))</f>
        <v/>
      </c>
    </row>
    <row r="225">
      <c r="A225" s="14" t="n">
        <v>222</v>
      </c>
      <c r="B225" s="7" t="inlineStr">
        <is>
          <t>Wisata Bunga Sidomulyo</t>
        </is>
      </c>
      <c r="C225" s="26" t="n">
        <v>-7.8629154</v>
      </c>
      <c r="D225" s="26" t="n">
        <v>112.526721</v>
      </c>
      <c r="E225" s="21" t="n">
        <v>10000</v>
      </c>
      <c r="F225" s="27" t="n">
        <v>4.6</v>
      </c>
      <c r="G225" s="28" t="n">
        <v>70</v>
      </c>
      <c r="H225" s="14" t="inlineStr">
        <is>
          <t>Wisata Bunga Sidomulyo</t>
        </is>
      </c>
      <c r="I225" s="29">
        <f>6371 * 2 * ASIN(SQRT(SIN(RADIANS((C225) - INDEX('Dataset_Wisata'!$C$12:$C$622, MATCH('Dashboard'!$C$9, 'Dataset_Wisata'!$A$12:$A$622, 0)))/2)^2 + COS(RADIANS(INDEX('Dataset_Wisata'!$C$12:$C$622, MATCH('Dashboard'!$C$9, 'Dataset_Wisata'!$A$12:$A$622, 0)))) * COS(RADIANS(C225)) * SIN(RADIANS((D225) - INDEX('Dataset_Wisata'!$D$12:$D$622, MATCH('Dashboard'!$C$9, 'Dataset_Wisata'!$A$12:$A$622, 0)))/2)^2)) * 1.3</f>
        <v/>
      </c>
      <c r="J225" s="21">
        <f>ROUND(I225 * IF('Dashboard'!$C$6&lt;=1, 2250, IF('Dashboard'!$C$6&lt;=4, 5150, 6000)), 0)</f>
        <v/>
      </c>
      <c r="K225" s="30" t="n">
        <v>0.9998126508185596</v>
      </c>
      <c r="L225" s="30" t="n">
        <v>0.0001775718391516968</v>
      </c>
      <c r="M225" s="30" t="n">
        <v>9.7773422886897e-06</v>
      </c>
      <c r="N225" s="31">
        <f>ABS(E225-$F$6)</f>
        <v/>
      </c>
      <c r="O225" s="31">
        <f>ABS(E225-$F$7)</f>
        <v/>
      </c>
      <c r="P225" s="31">
        <f>ABS(E225-$F$8)</f>
        <v/>
      </c>
      <c r="Q225" s="14">
        <f>IF(K225&gt;=MAX(L225,M225), "Hemat", IF(L225&gt;=M225, "Balanced", "Premium"))</f>
        <v/>
      </c>
      <c r="R225" s="30" t="n">
        <v>0.9998126513362043</v>
      </c>
      <c r="S225" s="30" t="n">
        <v>0.0001775713458315561</v>
      </c>
      <c r="T225" s="30" t="n">
        <v>9.777317964159987e-06</v>
      </c>
      <c r="U225" s="31">
        <f>ABS(E225-$G$6)</f>
        <v/>
      </c>
      <c r="V225" s="31">
        <f>ABS(E225-$G$7)</f>
        <v/>
      </c>
      <c r="W225" s="31">
        <f>ABS(E225-$G$8)</f>
        <v/>
      </c>
      <c r="X225" s="14">
        <f>IF(R225&gt;=MAX(S225,T225), "Hemat", IF(S225&gt;=T225, "Balanced", "Premium"))</f>
        <v/>
      </c>
    </row>
    <row r="226">
      <c r="A226" s="14" t="n">
        <v>223</v>
      </c>
      <c r="B226" s="7" t="inlineStr">
        <is>
          <t>Omah Budaya Slamet</t>
        </is>
      </c>
      <c r="C226" s="26" t="n">
        <v>-7.8593095</v>
      </c>
      <c r="D226" s="26" t="n">
        <v>112.5343266</v>
      </c>
      <c r="E226" s="21" t="n">
        <v>0</v>
      </c>
      <c r="F226" s="27" t="n">
        <v>4.6</v>
      </c>
      <c r="G226" s="28" t="n">
        <v>133</v>
      </c>
      <c r="H226" s="14" t="inlineStr">
        <is>
          <t>Wisata Umum</t>
        </is>
      </c>
      <c r="I226" s="29">
        <f>6371 * 2 * ASIN(SQRT(SIN(RADIANS((C226) - INDEX('Dataset_Wisata'!$C$12:$C$622, MATCH('Dashboard'!$C$9, 'Dataset_Wisata'!$A$12:$A$622, 0)))/2)^2 + COS(RADIANS(INDEX('Dataset_Wisata'!$C$12:$C$622, MATCH('Dashboard'!$C$9, 'Dataset_Wisata'!$A$12:$A$622, 0)))) * COS(RADIANS(C226)) * SIN(RADIANS((D226) - INDEX('Dataset_Wisata'!$D$12:$D$622, MATCH('Dashboard'!$C$9, 'Dataset_Wisata'!$A$12:$A$622, 0)))/2)^2)) * 1.3</f>
        <v/>
      </c>
      <c r="J226" s="21">
        <f>ROUND(I226 * IF('Dashboard'!$C$6&lt;=1, 2250, IF('Dashboard'!$C$6&lt;=4, 5150, 6000)), 0)</f>
        <v/>
      </c>
      <c r="K226" s="30" t="n">
        <v>0.9626824510005771</v>
      </c>
      <c r="L226" s="30" t="n">
        <v>0.03465542295845363</v>
      </c>
      <c r="M226" s="30" t="n">
        <v>0.002662126040969366</v>
      </c>
      <c r="N226" s="31">
        <f>ABS(E226-$F$6)</f>
        <v/>
      </c>
      <c r="O226" s="31">
        <f>ABS(E226-$F$7)</f>
        <v/>
      </c>
      <c r="P226" s="31">
        <f>ABS(E226-$F$8)</f>
        <v/>
      </c>
      <c r="Q226" s="14">
        <f>IF(K226&gt;=MAX(L226,M226), "Hemat", IF(L226&gt;=M226, "Balanced", "Premium"))</f>
        <v/>
      </c>
      <c r="R226" s="30" t="n">
        <v>0.9626824549241798</v>
      </c>
      <c r="S226" s="30" t="n">
        <v>0.03465541875469833</v>
      </c>
      <c r="T226" s="30" t="n">
        <v>0.002662126321121907</v>
      </c>
      <c r="U226" s="31">
        <f>ABS(E226-$G$6)</f>
        <v/>
      </c>
      <c r="V226" s="31">
        <f>ABS(E226-$G$7)</f>
        <v/>
      </c>
      <c r="W226" s="31">
        <f>ABS(E226-$G$8)</f>
        <v/>
      </c>
      <c r="X226" s="14">
        <f>IF(R226&gt;=MAX(S226,T226), "Hemat", IF(S226&gt;=T226, "Balanced", "Premium"))</f>
        <v/>
      </c>
    </row>
    <row r="227">
      <c r="A227" s="14" t="n">
        <v>224</v>
      </c>
      <c r="B227" s="7" t="inlineStr">
        <is>
          <t>Kebun Strawberry Kusuma Agrowisata</t>
        </is>
      </c>
      <c r="C227" s="26" t="n">
        <v>-7.8777143</v>
      </c>
      <c r="D227" s="26" t="n">
        <v>112.5127656</v>
      </c>
      <c r="E227" s="21" t="n">
        <v>10000</v>
      </c>
      <c r="F227" s="27" t="n">
        <v>4.4</v>
      </c>
      <c r="G227" s="28" t="n">
        <v>399</v>
      </c>
      <c r="H227" s="14" t="inlineStr">
        <is>
          <t>Kebun Strawberry Kusuma Agrowisata</t>
        </is>
      </c>
      <c r="I227" s="29">
        <f>6371 * 2 * ASIN(SQRT(SIN(RADIANS((C227) - INDEX('Dataset_Wisata'!$C$12:$C$622, MATCH('Dashboard'!$C$9, 'Dataset_Wisata'!$A$12:$A$622, 0)))/2)^2 + COS(RADIANS(INDEX('Dataset_Wisata'!$C$12:$C$622, MATCH('Dashboard'!$C$9, 'Dataset_Wisata'!$A$12:$A$622, 0)))) * COS(RADIANS(C227)) * SIN(RADIANS((D227) - INDEX('Dataset_Wisata'!$D$12:$D$622, MATCH('Dashboard'!$C$9, 'Dataset_Wisata'!$A$12:$A$622, 0)))/2)^2)) * 1.3</f>
        <v/>
      </c>
      <c r="J227" s="21">
        <f>ROUND(I227 * IF('Dashboard'!$C$6&lt;=1, 2250, IF('Dashboard'!$C$6&lt;=4, 5150, 6000)), 0)</f>
        <v/>
      </c>
      <c r="K227" s="30" t="n">
        <v>0.9998126508185596</v>
      </c>
      <c r="L227" s="30" t="n">
        <v>0.0001775718391516968</v>
      </c>
      <c r="M227" s="30" t="n">
        <v>9.7773422886897e-06</v>
      </c>
      <c r="N227" s="31">
        <f>ABS(E227-$F$6)</f>
        <v/>
      </c>
      <c r="O227" s="31">
        <f>ABS(E227-$F$7)</f>
        <v/>
      </c>
      <c r="P227" s="31">
        <f>ABS(E227-$F$8)</f>
        <v/>
      </c>
      <c r="Q227" s="14">
        <f>IF(K227&gt;=MAX(L227,M227), "Hemat", IF(L227&gt;=M227, "Balanced", "Premium"))</f>
        <v/>
      </c>
      <c r="R227" s="30" t="n">
        <v>0.9998126513362043</v>
      </c>
      <c r="S227" s="30" t="n">
        <v>0.0001775713458315561</v>
      </c>
      <c r="T227" s="30" t="n">
        <v>9.777317964159987e-06</v>
      </c>
      <c r="U227" s="31">
        <f>ABS(E227-$G$6)</f>
        <v/>
      </c>
      <c r="V227" s="31">
        <f>ABS(E227-$G$7)</f>
        <v/>
      </c>
      <c r="W227" s="31">
        <f>ABS(E227-$G$8)</f>
        <v/>
      </c>
      <c r="X227" s="14">
        <f>IF(R227&gt;=MAX(S227,T227), "Hemat", IF(S227&gt;=T227, "Balanced", "Premium"))</f>
        <v/>
      </c>
    </row>
    <row r="228">
      <c r="A228" s="14" t="n">
        <v>226</v>
      </c>
      <c r="B228" s="7" t="inlineStr">
        <is>
          <t>Jawa Timur Park 1</t>
        </is>
      </c>
      <c r="C228" s="26" t="n">
        <v>-7.884152</v>
      </c>
      <c r="D228" s="26" t="n">
        <v>112.5248269</v>
      </c>
      <c r="E228" s="21" t="n">
        <v>40000</v>
      </c>
      <c r="F228" s="27" t="n">
        <v>4.5</v>
      </c>
      <c r="G228" s="28" t="n">
        <v>18797</v>
      </c>
      <c r="H228" s="14" t="inlineStr">
        <is>
          <t>Taman hiburan dengan pertunjukan budaya</t>
        </is>
      </c>
      <c r="I228" s="29">
        <f>6371 * 2 * ASIN(SQRT(SIN(RADIANS((C228) - INDEX('Dataset_Wisata'!$C$12:$C$622, MATCH('Dashboard'!$C$9, 'Dataset_Wisata'!$A$12:$A$622, 0)))/2)^2 + COS(RADIANS(INDEX('Dataset_Wisata'!$C$12:$C$622, MATCH('Dashboard'!$C$9, 'Dataset_Wisata'!$A$12:$A$622, 0)))) * COS(RADIANS(C228)) * SIN(RADIANS((D228) - INDEX('Dataset_Wisata'!$D$12:$D$622, MATCH('Dashboard'!$C$9, 'Dataset_Wisata'!$A$12:$A$622, 0)))/2)^2)) * 1.3</f>
        <v/>
      </c>
      <c r="J228" s="21">
        <f>ROUND(I228 * IF('Dashboard'!$C$6&lt;=1, 2250, IF('Dashboard'!$C$6&lt;=4, 5150, 6000)), 0)</f>
        <v/>
      </c>
      <c r="K228" s="30" t="n">
        <v>0.09475584772458329</v>
      </c>
      <c r="L228" s="30" t="n">
        <v>0.9007407836685044</v>
      </c>
      <c r="M228" s="30" t="n">
        <v>0.004503368606912272</v>
      </c>
      <c r="N228" s="31">
        <f>ABS(E228-$F$6)</f>
        <v/>
      </c>
      <c r="O228" s="31">
        <f>ABS(E228-$F$7)</f>
        <v/>
      </c>
      <c r="P228" s="31">
        <f>ABS(E228-$F$8)</f>
        <v/>
      </c>
      <c r="Q228" s="14">
        <f>IF(K228&gt;=MAX(L228,M228), "Hemat", IF(L228&gt;=M228, "Balanced", "Premium"))</f>
        <v/>
      </c>
      <c r="R228" s="30" t="n">
        <v>0.09475596450885283</v>
      </c>
      <c r="S228" s="30" t="n">
        <v>0.9007406617370142</v>
      </c>
      <c r="T228" s="30" t="n">
        <v>0.004503373754133038</v>
      </c>
      <c r="U228" s="31">
        <f>ABS(E228-$G$6)</f>
        <v/>
      </c>
      <c r="V228" s="31">
        <f>ABS(E228-$G$7)</f>
        <v/>
      </c>
      <c r="W228" s="31">
        <f>ABS(E228-$G$8)</f>
        <v/>
      </c>
      <c r="X228" s="14">
        <f>IF(R228&gt;=MAX(S228,T228), "Hemat", IF(S228&gt;=T228, "Balanced", "Premium"))</f>
        <v/>
      </c>
    </row>
    <row r="229">
      <c r="A229" s="14" t="n">
        <v>227</v>
      </c>
      <c r="B229" s="7" t="inlineStr">
        <is>
          <t>Kwan Im Tong (Guan Yin Dang) (Mahayana, Tridharma)</t>
        </is>
      </c>
      <c r="C229" s="26" t="n">
        <v>-7.8698906</v>
      </c>
      <c r="D229" s="26" t="n">
        <v>112.524267</v>
      </c>
      <c r="E229" s="21" t="n">
        <v>0</v>
      </c>
      <c r="F229" s="27" t="n">
        <v>4.9</v>
      </c>
      <c r="G229" s="28" t="n">
        <v>66</v>
      </c>
      <c r="H229" s="14" t="inlineStr">
        <is>
          <t>Wisata Umum</t>
        </is>
      </c>
      <c r="I229" s="29">
        <f>6371 * 2 * ASIN(SQRT(SIN(RADIANS((C229) - INDEX('Dataset_Wisata'!$C$12:$C$622, MATCH('Dashboard'!$C$9, 'Dataset_Wisata'!$A$12:$A$622, 0)))/2)^2 + COS(RADIANS(INDEX('Dataset_Wisata'!$C$12:$C$622, MATCH('Dashboard'!$C$9, 'Dataset_Wisata'!$A$12:$A$622, 0)))) * COS(RADIANS(C229)) * SIN(RADIANS((D229) - INDEX('Dataset_Wisata'!$D$12:$D$622, MATCH('Dashboard'!$C$9, 'Dataset_Wisata'!$A$12:$A$622, 0)))/2)^2)) * 1.3</f>
        <v/>
      </c>
      <c r="J229" s="21">
        <f>ROUND(I229 * IF('Dashboard'!$C$6&lt;=1, 2250, IF('Dashboard'!$C$6&lt;=4, 5150, 6000)), 0)</f>
        <v/>
      </c>
      <c r="K229" s="30" t="n">
        <v>0.9626824510005771</v>
      </c>
      <c r="L229" s="30" t="n">
        <v>0.03465542295845363</v>
      </c>
      <c r="M229" s="30" t="n">
        <v>0.002662126040969366</v>
      </c>
      <c r="N229" s="31">
        <f>ABS(E229-$F$6)</f>
        <v/>
      </c>
      <c r="O229" s="31">
        <f>ABS(E229-$F$7)</f>
        <v/>
      </c>
      <c r="P229" s="31">
        <f>ABS(E229-$F$8)</f>
        <v/>
      </c>
      <c r="Q229" s="14">
        <f>IF(K229&gt;=MAX(L229,M229), "Hemat", IF(L229&gt;=M229, "Balanced", "Premium"))</f>
        <v/>
      </c>
      <c r="R229" s="30" t="n">
        <v>0.9626824549241798</v>
      </c>
      <c r="S229" s="30" t="n">
        <v>0.03465541875469833</v>
      </c>
      <c r="T229" s="30" t="n">
        <v>0.002662126321121907</v>
      </c>
      <c r="U229" s="31">
        <f>ABS(E229-$G$6)</f>
        <v/>
      </c>
      <c r="V229" s="31">
        <f>ABS(E229-$G$7)</f>
        <v/>
      </c>
      <c r="W229" s="31">
        <f>ABS(E229-$G$8)</f>
        <v/>
      </c>
      <c r="X229" s="14">
        <f>IF(R229&gt;=MAX(S229,T229), "Hemat", IF(S229&gt;=T229, "Balanced", "Premium"))</f>
        <v/>
      </c>
    </row>
    <row r="230">
      <c r="A230" s="14" t="n">
        <v>228</v>
      </c>
      <c r="B230" s="7" t="inlineStr">
        <is>
          <t>Tirta Nirwana Songgoriti</t>
        </is>
      </c>
      <c r="C230" s="26" t="n">
        <v>-7.865754</v>
      </c>
      <c r="D230" s="26" t="n">
        <v>112.4932518</v>
      </c>
      <c r="E230" s="21" t="n">
        <v>15000</v>
      </c>
      <c r="F230" s="27" t="n">
        <v>4.3</v>
      </c>
      <c r="G230" s="28" t="n">
        <v>643</v>
      </c>
      <c r="H230" s="14" t="inlineStr">
        <is>
          <t>Wisata Umum</t>
        </is>
      </c>
      <c r="I230" s="29">
        <f>6371 * 2 * ASIN(SQRT(SIN(RADIANS((C230) - INDEX('Dataset_Wisata'!$C$12:$C$622, MATCH('Dashboard'!$C$9, 'Dataset_Wisata'!$A$12:$A$622, 0)))/2)^2 + COS(RADIANS(INDEX('Dataset_Wisata'!$C$12:$C$622, MATCH('Dashboard'!$C$9, 'Dataset_Wisata'!$A$12:$A$622, 0)))) * COS(RADIANS(C230)) * SIN(RADIANS((D230) - INDEX('Dataset_Wisata'!$D$12:$D$622, MATCH('Dashboard'!$C$9, 'Dataset_Wisata'!$A$12:$A$622, 0)))/2)^2)) * 1.3</f>
        <v/>
      </c>
      <c r="J230" s="21">
        <f>ROUND(I230 * IF('Dashboard'!$C$6&lt;=1, 2250, IF('Dashboard'!$C$6&lt;=4, 5150, 6000)), 0)</f>
        <v/>
      </c>
      <c r="K230" s="30" t="n">
        <v>0.9744283047002794</v>
      </c>
      <c r="L230" s="30" t="n">
        <v>0.02447712712252609</v>
      </c>
      <c r="M230" s="30" t="n">
        <v>0.001094568177194568</v>
      </c>
      <c r="N230" s="31">
        <f>ABS(E230-$F$6)</f>
        <v/>
      </c>
      <c r="O230" s="31">
        <f>ABS(E230-$F$7)</f>
        <v/>
      </c>
      <c r="P230" s="31">
        <f>ABS(E230-$F$8)</f>
        <v/>
      </c>
      <c r="Q230" s="14">
        <f>IF(K230&gt;=MAX(L230,M230), "Hemat", IF(L230&gt;=M230, "Balanced", "Premium"))</f>
        <v/>
      </c>
      <c r="R230" s="30" t="n">
        <v>0.9744283195785179</v>
      </c>
      <c r="S230" s="30" t="n">
        <v>0.02447711252884811</v>
      </c>
      <c r="T230" s="30" t="n">
        <v>0.001094567892634054</v>
      </c>
      <c r="U230" s="31">
        <f>ABS(E230-$G$6)</f>
        <v/>
      </c>
      <c r="V230" s="31">
        <f>ABS(E230-$G$7)</f>
        <v/>
      </c>
      <c r="W230" s="31">
        <f>ABS(E230-$G$8)</f>
        <v/>
      </c>
      <c r="X230" s="14">
        <f>IF(R230&gt;=MAX(S230,T230), "Hemat", IF(S230&gt;=T230, "Balanced", "Premium"))</f>
        <v/>
      </c>
    </row>
    <row r="231">
      <c r="A231" s="14" t="n">
        <v>229</v>
      </c>
      <c r="B231" s="7" t="inlineStr">
        <is>
          <t>KAMPUNG LA BATU</t>
        </is>
      </c>
      <c r="C231" s="26" t="n">
        <v>-7.837207</v>
      </c>
      <c r="D231" s="26" t="n">
        <v>112.5173368</v>
      </c>
      <c r="E231" s="21" t="n">
        <v>10000</v>
      </c>
      <c r="F231" s="27" t="n">
        <v>3.7</v>
      </c>
      <c r="G231" s="28" t="n">
        <v>88</v>
      </c>
      <c r="H231" s="14" t="inlineStr">
        <is>
          <t>Wisata Umum</t>
        </is>
      </c>
      <c r="I231" s="29">
        <f>6371 * 2 * ASIN(SQRT(SIN(RADIANS((C231) - INDEX('Dataset_Wisata'!$C$12:$C$622, MATCH('Dashboard'!$C$9, 'Dataset_Wisata'!$A$12:$A$622, 0)))/2)^2 + COS(RADIANS(INDEX('Dataset_Wisata'!$C$12:$C$622, MATCH('Dashboard'!$C$9, 'Dataset_Wisata'!$A$12:$A$622, 0)))) * COS(RADIANS(C231)) * SIN(RADIANS((D231) - INDEX('Dataset_Wisata'!$D$12:$D$622, MATCH('Dashboard'!$C$9, 'Dataset_Wisata'!$A$12:$A$622, 0)))/2)^2)) * 1.3</f>
        <v/>
      </c>
      <c r="J231" s="21">
        <f>ROUND(I231 * IF('Dashboard'!$C$6&lt;=1, 2250, IF('Dashboard'!$C$6&lt;=4, 5150, 6000)), 0)</f>
        <v/>
      </c>
      <c r="K231" s="30" t="n">
        <v>0.9998126508185596</v>
      </c>
      <c r="L231" s="30" t="n">
        <v>0.0001775718391516968</v>
      </c>
      <c r="M231" s="30" t="n">
        <v>9.7773422886897e-06</v>
      </c>
      <c r="N231" s="31">
        <f>ABS(E231-$F$6)</f>
        <v/>
      </c>
      <c r="O231" s="31">
        <f>ABS(E231-$F$7)</f>
        <v/>
      </c>
      <c r="P231" s="31">
        <f>ABS(E231-$F$8)</f>
        <v/>
      </c>
      <c r="Q231" s="14">
        <f>IF(K231&gt;=MAX(L231,M231), "Hemat", IF(L231&gt;=M231, "Balanced", "Premium"))</f>
        <v/>
      </c>
      <c r="R231" s="30" t="n">
        <v>0.9998126513362043</v>
      </c>
      <c r="S231" s="30" t="n">
        <v>0.0001775713458315561</v>
      </c>
      <c r="T231" s="30" t="n">
        <v>9.777317964159987e-06</v>
      </c>
      <c r="U231" s="31">
        <f>ABS(E231-$G$6)</f>
        <v/>
      </c>
      <c r="V231" s="31">
        <f>ABS(E231-$G$7)</f>
        <v/>
      </c>
      <c r="W231" s="31">
        <f>ABS(E231-$G$8)</f>
        <v/>
      </c>
      <c r="X231" s="14">
        <f>IF(R231&gt;=MAX(S231,T231), "Hemat", IF(S231&gt;=T231, "Balanced", "Premium"))</f>
        <v/>
      </c>
    </row>
    <row r="232">
      <c r="A232" s="14" t="n">
        <v>230</v>
      </c>
      <c r="B232" s="7" t="inlineStr">
        <is>
          <t>Wisata Bukit Kungkuk</t>
        </is>
      </c>
      <c r="C232" s="26" t="n">
        <v>-7.8312347</v>
      </c>
      <c r="D232" s="26" t="n">
        <v>112.5180804</v>
      </c>
      <c r="E232" s="21" t="n">
        <v>65000</v>
      </c>
      <c r="F232" s="27" t="n">
        <v>4.5</v>
      </c>
      <c r="G232" s="28" t="n">
        <v>114</v>
      </c>
      <c r="H232" s="14" t="inlineStr">
        <is>
          <t>Wisata Bukit Kungkuk</t>
        </is>
      </c>
      <c r="I232" s="29">
        <f>6371 * 2 * ASIN(SQRT(SIN(RADIANS((C232) - INDEX('Dataset_Wisata'!$C$12:$C$622, MATCH('Dashboard'!$C$9, 'Dataset_Wisata'!$A$12:$A$622, 0)))/2)^2 + COS(RADIANS(INDEX('Dataset_Wisata'!$C$12:$C$622, MATCH('Dashboard'!$C$9, 'Dataset_Wisata'!$A$12:$A$622, 0)))) * COS(RADIANS(C232)) * SIN(RADIANS((D232) - INDEX('Dataset_Wisata'!$D$12:$D$622, MATCH('Dashboard'!$C$9, 'Dataset_Wisata'!$A$12:$A$622, 0)))/2)^2)) * 1.3</f>
        <v/>
      </c>
      <c r="J232" s="21">
        <f>ROUND(I232 * IF('Dashboard'!$C$6&lt;=1, 2250, IF('Dashboard'!$C$6&lt;=4, 5150, 6000)), 0)</f>
        <v/>
      </c>
      <c r="K232" s="30" t="n">
        <v>0.06773863595836273</v>
      </c>
      <c r="L232" s="30" t="n">
        <v>0.9164802209938576</v>
      </c>
      <c r="M232" s="30" t="n">
        <v>0.01578114304777962</v>
      </c>
      <c r="N232" s="31">
        <f>ABS(E232-$F$6)</f>
        <v/>
      </c>
      <c r="O232" s="31">
        <f>ABS(E232-$F$7)</f>
        <v/>
      </c>
      <c r="P232" s="31">
        <f>ABS(E232-$F$8)</f>
        <v/>
      </c>
      <c r="Q232" s="14">
        <f>IF(K232&gt;=MAX(L232,M232), "Hemat", IF(L232&gt;=M232, "Balanced", "Premium"))</f>
        <v/>
      </c>
      <c r="R232" s="30" t="n">
        <v>0.0677385835385851</v>
      </c>
      <c r="S232" s="30" t="n">
        <v>0.9164802868958721</v>
      </c>
      <c r="T232" s="30" t="n">
        <v>0.01578112956554284</v>
      </c>
      <c r="U232" s="31">
        <f>ABS(E232-$G$6)</f>
        <v/>
      </c>
      <c r="V232" s="31">
        <f>ABS(E232-$G$7)</f>
        <v/>
      </c>
      <c r="W232" s="31">
        <f>ABS(E232-$G$8)</f>
        <v/>
      </c>
      <c r="X232" s="14">
        <f>IF(R232&gt;=MAX(S232,T232), "Hemat", IF(S232&gt;=T232, "Balanced", "Premium"))</f>
        <v/>
      </c>
    </row>
    <row r="233">
      <c r="A233" s="14" t="n">
        <v>231</v>
      </c>
      <c r="B233" s="7" t="inlineStr">
        <is>
          <t>Taman Goa Pandawa</t>
        </is>
      </c>
      <c r="C233" s="26" t="n">
        <v>-7.8513378</v>
      </c>
      <c r="D233" s="26" t="n">
        <v>112.502935</v>
      </c>
      <c r="E233" s="21" t="n">
        <v>35000</v>
      </c>
      <c r="F233" s="27" t="n">
        <v>4.3</v>
      </c>
      <c r="G233" s="28" t="n">
        <v>81</v>
      </c>
      <c r="H233" s="14" t="inlineStr">
        <is>
          <t>Taman Goa Pandawa</t>
        </is>
      </c>
      <c r="I233" s="29">
        <f>6371 * 2 * ASIN(SQRT(SIN(RADIANS((C233) - INDEX('Dataset_Wisata'!$C$12:$C$622, MATCH('Dashboard'!$C$9, 'Dataset_Wisata'!$A$12:$A$622, 0)))/2)^2 + COS(RADIANS(INDEX('Dataset_Wisata'!$C$12:$C$622, MATCH('Dashboard'!$C$9, 'Dataset_Wisata'!$A$12:$A$622, 0)))) * COS(RADIANS(C233)) * SIN(RADIANS((D233) - INDEX('Dataset_Wisata'!$D$12:$D$622, MATCH('Dashboard'!$C$9, 'Dataset_Wisata'!$A$12:$A$622, 0)))/2)^2)) * 1.3</f>
        <v/>
      </c>
      <c r="J233" s="21">
        <f>ROUND(I233 * IF('Dashboard'!$C$6&lt;=1, 2250, IF('Dashboard'!$C$6&lt;=4, 5150, 6000)), 0)</f>
        <v/>
      </c>
      <c r="K233" s="30" t="n">
        <v>0.25213485588303</v>
      </c>
      <c r="L233" s="30" t="n">
        <v>0.7400533052956862</v>
      </c>
      <c r="M233" s="30" t="n">
        <v>0.007811838821283838</v>
      </c>
      <c r="N233" s="31">
        <f>ABS(E233-$F$6)</f>
        <v/>
      </c>
      <c r="O233" s="31">
        <f>ABS(E233-$F$7)</f>
        <v/>
      </c>
      <c r="P233" s="31">
        <f>ABS(E233-$F$8)</f>
        <v/>
      </c>
      <c r="Q233" s="14">
        <f>IF(K233&gt;=MAX(L233,M233), "Hemat", IF(L233&gt;=M233, "Balanced", "Premium"))</f>
        <v/>
      </c>
      <c r="R233" s="30" t="n">
        <v>0.2521350299012498</v>
      </c>
      <c r="S233" s="30" t="n">
        <v>0.740053126637755</v>
      </c>
      <c r="T233" s="30" t="n">
        <v>0.007811843460995218</v>
      </c>
      <c r="U233" s="31">
        <f>ABS(E233-$G$6)</f>
        <v/>
      </c>
      <c r="V233" s="31">
        <f>ABS(E233-$G$7)</f>
        <v/>
      </c>
      <c r="W233" s="31">
        <f>ABS(E233-$G$8)</f>
        <v/>
      </c>
      <c r="X233" s="14">
        <f>IF(R233&gt;=MAX(S233,T233), "Hemat", IF(S233&gt;=T233, "Balanced", "Premium"))</f>
        <v/>
      </c>
    </row>
    <row r="234">
      <c r="A234" s="14" t="n">
        <v>232</v>
      </c>
      <c r="B234" s="7" t="inlineStr">
        <is>
          <t>Kampung Sakura Sidomulyo</t>
        </is>
      </c>
      <c r="C234" s="26" t="n">
        <v>-7.8421974</v>
      </c>
      <c r="D234" s="26" t="n">
        <v>112.5258407</v>
      </c>
      <c r="E234" s="21" t="n">
        <v>10000</v>
      </c>
      <c r="F234" s="27" t="n">
        <v>4.5</v>
      </c>
      <c r="G234" s="28" t="n">
        <v>65</v>
      </c>
      <c r="H234" s="14" t="inlineStr">
        <is>
          <t>Wisata Umum</t>
        </is>
      </c>
      <c r="I234" s="29">
        <f>6371 * 2 * ASIN(SQRT(SIN(RADIANS((C234) - INDEX('Dataset_Wisata'!$C$12:$C$622, MATCH('Dashboard'!$C$9, 'Dataset_Wisata'!$A$12:$A$622, 0)))/2)^2 + COS(RADIANS(INDEX('Dataset_Wisata'!$C$12:$C$622, MATCH('Dashboard'!$C$9, 'Dataset_Wisata'!$A$12:$A$622, 0)))) * COS(RADIANS(C234)) * SIN(RADIANS((D234) - INDEX('Dataset_Wisata'!$D$12:$D$622, MATCH('Dashboard'!$C$9, 'Dataset_Wisata'!$A$12:$A$622, 0)))/2)^2)) * 1.3</f>
        <v/>
      </c>
      <c r="J234" s="21">
        <f>ROUND(I234 * IF('Dashboard'!$C$6&lt;=1, 2250, IF('Dashboard'!$C$6&lt;=4, 5150, 6000)), 0)</f>
        <v/>
      </c>
      <c r="K234" s="30" t="n">
        <v>0.9998126508185596</v>
      </c>
      <c r="L234" s="30" t="n">
        <v>0.0001775718391516968</v>
      </c>
      <c r="M234" s="30" t="n">
        <v>9.7773422886897e-06</v>
      </c>
      <c r="N234" s="31">
        <f>ABS(E234-$F$6)</f>
        <v/>
      </c>
      <c r="O234" s="31">
        <f>ABS(E234-$F$7)</f>
        <v/>
      </c>
      <c r="P234" s="31">
        <f>ABS(E234-$F$8)</f>
        <v/>
      </c>
      <c r="Q234" s="14">
        <f>IF(K234&gt;=MAX(L234,M234), "Hemat", IF(L234&gt;=M234, "Balanced", "Premium"))</f>
        <v/>
      </c>
      <c r="R234" s="30" t="n">
        <v>0.9998126513362043</v>
      </c>
      <c r="S234" s="30" t="n">
        <v>0.0001775713458315561</v>
      </c>
      <c r="T234" s="30" t="n">
        <v>9.777317964159987e-06</v>
      </c>
      <c r="U234" s="31">
        <f>ABS(E234-$G$6)</f>
        <v/>
      </c>
      <c r="V234" s="31">
        <f>ABS(E234-$G$7)</f>
        <v/>
      </c>
      <c r="W234" s="31">
        <f>ABS(E234-$G$8)</f>
        <v/>
      </c>
      <c r="X234" s="14">
        <f>IF(R234&gt;=MAX(S234,T234), "Hemat", IF(S234&gt;=T234, "Balanced", "Premium"))</f>
        <v/>
      </c>
    </row>
    <row r="235">
      <c r="A235" s="14" t="n">
        <v>233</v>
      </c>
      <c r="B235" s="7" t="inlineStr">
        <is>
          <t>Puthuk Tritih</t>
        </is>
      </c>
      <c r="C235" s="26" t="n">
        <v>-7.8595824</v>
      </c>
      <c r="D235" s="26" t="n">
        <v>112.5181143</v>
      </c>
      <c r="E235" s="21" t="n">
        <v>20000</v>
      </c>
      <c r="F235" s="27" t="n">
        <v>4.8</v>
      </c>
      <c r="G235" s="28" t="n">
        <v>178</v>
      </c>
      <c r="H235" s="14" t="inlineStr">
        <is>
          <t>Wisata Umum</t>
        </is>
      </c>
      <c r="I235" s="29">
        <f>6371 * 2 * ASIN(SQRT(SIN(RADIANS((C235) - INDEX('Dataset_Wisata'!$C$12:$C$622, MATCH('Dashboard'!$C$9, 'Dataset_Wisata'!$A$12:$A$622, 0)))/2)^2 + COS(RADIANS(INDEX('Dataset_Wisata'!$C$12:$C$622, MATCH('Dashboard'!$C$9, 'Dataset_Wisata'!$A$12:$A$622, 0)))) * COS(RADIANS(C235)) * SIN(RADIANS((D235) - INDEX('Dataset_Wisata'!$D$12:$D$622, MATCH('Dashboard'!$C$9, 'Dataset_Wisata'!$A$12:$A$622, 0)))/2)^2)) * 1.3</f>
        <v/>
      </c>
      <c r="J235" s="21">
        <f>ROUND(I235 * IF('Dashboard'!$C$6&lt;=1, 2250, IF('Dashboard'!$C$6&lt;=4, 5150, 6000)), 0)</f>
        <v/>
      </c>
      <c r="K235" s="30" t="n">
        <v>0.8862296979094436</v>
      </c>
      <c r="L235" s="30" t="n">
        <v>0.1099329410905347</v>
      </c>
      <c r="M235" s="30" t="n">
        <v>0.003837361000021699</v>
      </c>
      <c r="N235" s="31">
        <f>ABS(E235-$F$6)</f>
        <v/>
      </c>
      <c r="O235" s="31">
        <f>ABS(E235-$F$7)</f>
        <v/>
      </c>
      <c r="P235" s="31">
        <f>ABS(E235-$F$8)</f>
        <v/>
      </c>
      <c r="Q235" s="14">
        <f>IF(K235&gt;=MAX(L235,M235), "Hemat", IF(L235&gt;=M235, "Balanced", "Premium"))</f>
        <v/>
      </c>
      <c r="R235" s="30" t="n">
        <v>0.8862297532761809</v>
      </c>
      <c r="S235" s="30" t="n">
        <v>0.1099328861159962</v>
      </c>
      <c r="T235" s="30" t="n">
        <v>0.003837360607822898</v>
      </c>
      <c r="U235" s="31">
        <f>ABS(E235-$G$6)</f>
        <v/>
      </c>
      <c r="V235" s="31">
        <f>ABS(E235-$G$7)</f>
        <v/>
      </c>
      <c r="W235" s="31">
        <f>ABS(E235-$G$8)</f>
        <v/>
      </c>
      <c r="X235" s="14">
        <f>IF(R235&gt;=MAX(S235,T235), "Hemat", IF(S235&gt;=T235, "Balanced", "Premium"))</f>
        <v/>
      </c>
    </row>
    <row r="236">
      <c r="A236" s="14" t="n">
        <v>234</v>
      </c>
      <c r="B236" s="7" t="inlineStr">
        <is>
          <t>Tiara Apel (Lokasi kebun pindah2, minta sharelok admin saja)</t>
        </is>
      </c>
      <c r="C236" s="26" t="n">
        <v>-7.8126747</v>
      </c>
      <c r="D236" s="26" t="n">
        <v>112.5388551</v>
      </c>
      <c r="E236" s="21" t="n">
        <v>25000</v>
      </c>
      <c r="F236" s="27" t="n">
        <v>4.8</v>
      </c>
      <c r="G236" s="28" t="n">
        <v>99</v>
      </c>
      <c r="H236" s="14" t="inlineStr">
        <is>
          <t>Tujuan Wisata</t>
        </is>
      </c>
      <c r="I236" s="29">
        <f>6371 * 2 * ASIN(SQRT(SIN(RADIANS((C236) - INDEX('Dataset_Wisata'!$C$12:$C$622, MATCH('Dashboard'!$C$9, 'Dataset_Wisata'!$A$12:$A$622, 0)))/2)^2 + COS(RADIANS(INDEX('Dataset_Wisata'!$C$12:$C$622, MATCH('Dashboard'!$C$9, 'Dataset_Wisata'!$A$12:$A$622, 0)))) * COS(RADIANS(C236)) * SIN(RADIANS((D236) - INDEX('Dataset_Wisata'!$D$12:$D$622, MATCH('Dashboard'!$C$9, 'Dataset_Wisata'!$A$12:$A$622, 0)))/2)^2)) * 1.3</f>
        <v/>
      </c>
      <c r="J236" s="21">
        <f>ROUND(I236 * IF('Dashboard'!$C$6&lt;=1, 2250, IF('Dashboard'!$C$6&lt;=4, 5150, 6000)), 0)</f>
        <v/>
      </c>
      <c r="K236" s="30" t="n">
        <v>0.714779317495253</v>
      </c>
      <c r="L236" s="30" t="n">
        <v>0.2780482755376564</v>
      </c>
      <c r="M236" s="30" t="n">
        <v>0.0071724069670906</v>
      </c>
      <c r="N236" s="31">
        <f>ABS(E236-$F$6)</f>
        <v/>
      </c>
      <c r="O236" s="31">
        <f>ABS(E236-$F$7)</f>
        <v/>
      </c>
      <c r="P236" s="31">
        <f>ABS(E236-$F$8)</f>
        <v/>
      </c>
      <c r="Q236" s="14">
        <f>IF(K236&gt;=MAX(L236,M236), "Hemat", IF(L236&gt;=M236, "Balanced", "Premium"))</f>
        <v/>
      </c>
      <c r="R236" s="30" t="n">
        <v>0.7147794395425007</v>
      </c>
      <c r="S236" s="30" t="n">
        <v>0.2780481531707544</v>
      </c>
      <c r="T236" s="30" t="n">
        <v>0.007172407286744955</v>
      </c>
      <c r="U236" s="31">
        <f>ABS(E236-$G$6)</f>
        <v/>
      </c>
      <c r="V236" s="31">
        <f>ABS(E236-$G$7)</f>
        <v/>
      </c>
      <c r="W236" s="31">
        <f>ABS(E236-$G$8)</f>
        <v/>
      </c>
      <c r="X236" s="14">
        <f>IF(R236&gt;=MAX(S236,T236), "Hemat", IF(S236&gt;=T236, "Balanced", "Premium"))</f>
        <v/>
      </c>
    </row>
    <row r="237">
      <c r="A237" s="14" t="n">
        <v>235</v>
      </c>
      <c r="B237" s="7" t="inlineStr">
        <is>
          <t>Petik apel malang &amp; petik jeruk keprok "BATU AGRO APEL" kota batu, malang</t>
        </is>
      </c>
      <c r="C237" s="26" t="n">
        <v>-7.8290189</v>
      </c>
      <c r="D237" s="26" t="n">
        <v>112.5239806</v>
      </c>
      <c r="E237" s="21" t="n">
        <v>25000</v>
      </c>
      <c r="F237" s="27" t="n">
        <v>4.3</v>
      </c>
      <c r="G237" s="28" t="n">
        <v>535</v>
      </c>
      <c r="H237" s="14" t="inlineStr">
        <is>
          <t>Wisata Umum</t>
        </is>
      </c>
      <c r="I237" s="29">
        <f>6371 * 2 * ASIN(SQRT(SIN(RADIANS((C237) - INDEX('Dataset_Wisata'!$C$12:$C$622, MATCH('Dashboard'!$C$9, 'Dataset_Wisata'!$A$12:$A$622, 0)))/2)^2 + COS(RADIANS(INDEX('Dataset_Wisata'!$C$12:$C$622, MATCH('Dashboard'!$C$9, 'Dataset_Wisata'!$A$12:$A$622, 0)))) * COS(RADIANS(C237)) * SIN(RADIANS((D237) - INDEX('Dataset_Wisata'!$D$12:$D$622, MATCH('Dashboard'!$C$9, 'Dataset_Wisata'!$A$12:$A$622, 0)))/2)^2)) * 1.3</f>
        <v/>
      </c>
      <c r="J237" s="21">
        <f>ROUND(I237 * IF('Dashboard'!$C$6&lt;=1, 2250, IF('Dashboard'!$C$6&lt;=4, 5150, 6000)), 0)</f>
        <v/>
      </c>
      <c r="K237" s="30" t="n">
        <v>0.714779317495253</v>
      </c>
      <c r="L237" s="30" t="n">
        <v>0.2780482755376564</v>
      </c>
      <c r="M237" s="30" t="n">
        <v>0.0071724069670906</v>
      </c>
      <c r="N237" s="31">
        <f>ABS(E237-$F$6)</f>
        <v/>
      </c>
      <c r="O237" s="31">
        <f>ABS(E237-$F$7)</f>
        <v/>
      </c>
      <c r="P237" s="31">
        <f>ABS(E237-$F$8)</f>
        <v/>
      </c>
      <c r="Q237" s="14">
        <f>IF(K237&gt;=MAX(L237,M237), "Hemat", IF(L237&gt;=M237, "Balanced", "Premium"))</f>
        <v/>
      </c>
      <c r="R237" s="30" t="n">
        <v>0.7147794395425007</v>
      </c>
      <c r="S237" s="30" t="n">
        <v>0.2780481531707544</v>
      </c>
      <c r="T237" s="30" t="n">
        <v>0.007172407286744955</v>
      </c>
      <c r="U237" s="31">
        <f>ABS(E237-$G$6)</f>
        <v/>
      </c>
      <c r="V237" s="31">
        <f>ABS(E237-$G$7)</f>
        <v/>
      </c>
      <c r="W237" s="31">
        <f>ABS(E237-$G$8)</f>
        <v/>
      </c>
      <c r="X237" s="14">
        <f>IF(R237&gt;=MAX(S237,T237), "Hemat", IF(S237&gt;=T237, "Balanced", "Premium"))</f>
        <v/>
      </c>
    </row>
    <row r="238">
      <c r="A238" s="14" t="n">
        <v>236</v>
      </c>
      <c r="B238" s="7" t="inlineStr">
        <is>
          <t>Wisata Petik Jeruk Kota Batu</t>
        </is>
      </c>
      <c r="C238" s="26" t="n">
        <v>-7.8528588</v>
      </c>
      <c r="D238" s="26" t="n">
        <v>112.5269787</v>
      </c>
      <c r="E238" s="21" t="n">
        <v>20000</v>
      </c>
      <c r="F238" s="27" t="n">
        <v>4.9</v>
      </c>
      <c r="G238" s="28" t="n">
        <v>45</v>
      </c>
      <c r="H238" s="14" t="inlineStr">
        <is>
          <t>Wisata Petik Jeruk Kota Batu</t>
        </is>
      </c>
      <c r="I238" s="29">
        <f>6371 * 2 * ASIN(SQRT(SIN(RADIANS((C238) - INDEX('Dataset_Wisata'!$C$12:$C$622, MATCH('Dashboard'!$C$9, 'Dataset_Wisata'!$A$12:$A$622, 0)))/2)^2 + COS(RADIANS(INDEX('Dataset_Wisata'!$C$12:$C$622, MATCH('Dashboard'!$C$9, 'Dataset_Wisata'!$A$12:$A$622, 0)))) * COS(RADIANS(C238)) * SIN(RADIANS((D238) - INDEX('Dataset_Wisata'!$D$12:$D$622, MATCH('Dashboard'!$C$9, 'Dataset_Wisata'!$A$12:$A$622, 0)))/2)^2)) * 1.3</f>
        <v/>
      </c>
      <c r="J238" s="21">
        <f>ROUND(I238 * IF('Dashboard'!$C$6&lt;=1, 2250, IF('Dashboard'!$C$6&lt;=4, 5150, 6000)), 0)</f>
        <v/>
      </c>
      <c r="K238" s="30" t="n">
        <v>0.8862296979094436</v>
      </c>
      <c r="L238" s="30" t="n">
        <v>0.1099329410905347</v>
      </c>
      <c r="M238" s="30" t="n">
        <v>0.003837361000021699</v>
      </c>
      <c r="N238" s="31">
        <f>ABS(E238-$F$6)</f>
        <v/>
      </c>
      <c r="O238" s="31">
        <f>ABS(E238-$F$7)</f>
        <v/>
      </c>
      <c r="P238" s="31">
        <f>ABS(E238-$F$8)</f>
        <v/>
      </c>
      <c r="Q238" s="14">
        <f>IF(K238&gt;=MAX(L238,M238), "Hemat", IF(L238&gt;=M238, "Balanced", "Premium"))</f>
        <v/>
      </c>
      <c r="R238" s="30" t="n">
        <v>0.8862297532761809</v>
      </c>
      <c r="S238" s="30" t="n">
        <v>0.1099328861159962</v>
      </c>
      <c r="T238" s="30" t="n">
        <v>0.003837360607822898</v>
      </c>
      <c r="U238" s="31">
        <f>ABS(E238-$G$6)</f>
        <v/>
      </c>
      <c r="V238" s="31">
        <f>ABS(E238-$G$7)</f>
        <v/>
      </c>
      <c r="W238" s="31">
        <f>ABS(E238-$G$8)</f>
        <v/>
      </c>
      <c r="X238" s="14">
        <f>IF(R238&gt;=MAX(S238,T238), "Hemat", IF(S238&gt;=T238, "Balanced", "Premium"))</f>
        <v/>
      </c>
    </row>
    <row r="239">
      <c r="A239" s="14" t="n">
        <v>237</v>
      </c>
      <c r="B239" s="7" t="inlineStr">
        <is>
          <t>Air Terjun Coban Talun</t>
        </is>
      </c>
      <c r="C239" s="26" t="n">
        <v>-7.8039184</v>
      </c>
      <c r="D239" s="26" t="n">
        <v>112.5164789</v>
      </c>
      <c r="E239" s="21" t="n">
        <v>12000</v>
      </c>
      <c r="F239" s="27" t="n">
        <v>4.6</v>
      </c>
      <c r="G239" s="28" t="n">
        <v>511</v>
      </c>
      <c r="H239" s="14" t="inlineStr">
        <is>
          <t>Wisata Umum</t>
        </is>
      </c>
      <c r="I239" s="29">
        <f>6371 * 2 * ASIN(SQRT(SIN(RADIANS((C239) - INDEX('Dataset_Wisata'!$C$12:$C$622, MATCH('Dashboard'!$C$9, 'Dataset_Wisata'!$A$12:$A$622, 0)))/2)^2 + COS(RADIANS(INDEX('Dataset_Wisata'!$C$12:$C$622, MATCH('Dashboard'!$C$9, 'Dataset_Wisata'!$A$12:$A$622, 0)))) * COS(RADIANS(C239)) * SIN(RADIANS((D239) - INDEX('Dataset_Wisata'!$D$12:$D$622, MATCH('Dashboard'!$C$9, 'Dataset_Wisata'!$A$12:$A$622, 0)))/2)^2)) * 1.3</f>
        <v/>
      </c>
      <c r="J239" s="21">
        <f>ROUND(I239 * IF('Dashboard'!$C$6&lt;=1, 2250, IF('Dashboard'!$C$6&lt;=4, 5150, 6000)), 0)</f>
        <v/>
      </c>
      <c r="K239" s="30" t="n">
        <v>0.9953331113352144</v>
      </c>
      <c r="L239" s="30" t="n">
        <v>0.004440977722193821</v>
      </c>
      <c r="M239" s="30" t="n">
        <v>0.0002259109425918517</v>
      </c>
      <c r="N239" s="31">
        <f>ABS(E239-$F$6)</f>
        <v/>
      </c>
      <c r="O239" s="31">
        <f>ABS(E239-$F$7)</f>
        <v/>
      </c>
      <c r="P239" s="31">
        <f>ABS(E239-$F$8)</f>
        <v/>
      </c>
      <c r="Q239" s="14">
        <f>IF(K239&gt;=MAX(L239,M239), "Hemat", IF(L239&gt;=M239, "Balanced", "Premium"))</f>
        <v/>
      </c>
      <c r="R239" s="30" t="n">
        <v>0.995333115264566</v>
      </c>
      <c r="S239" s="30" t="n">
        <v>0.004440973917012225</v>
      </c>
      <c r="T239" s="30" t="n">
        <v>0.0002259108184216892</v>
      </c>
      <c r="U239" s="31">
        <f>ABS(E239-$G$6)</f>
        <v/>
      </c>
      <c r="V239" s="31">
        <f>ABS(E239-$G$7)</f>
        <v/>
      </c>
      <c r="W239" s="31">
        <f>ABS(E239-$G$8)</f>
        <v/>
      </c>
      <c r="X239" s="14">
        <f>IF(R239&gt;=MAX(S239,T239), "Hemat", IF(S239&gt;=T239, "Balanced", "Premium"))</f>
        <v/>
      </c>
    </row>
    <row r="240">
      <c r="A240" s="14" t="n">
        <v>238</v>
      </c>
      <c r="B240" s="7" t="inlineStr">
        <is>
          <t>Wisata Bunga Potong Krisan</t>
        </is>
      </c>
      <c r="C240" s="26" t="n">
        <v>-7.813074</v>
      </c>
      <c r="D240" s="26" t="n">
        <v>112.5301772</v>
      </c>
      <c r="E240" s="21" t="n">
        <v>10000</v>
      </c>
      <c r="F240" s="27" t="n">
        <v>4.3</v>
      </c>
      <c r="G240" s="28" t="n">
        <v>91</v>
      </c>
      <c r="H240" s="14" t="inlineStr">
        <is>
          <t>Wisata Bunga Potong Krisan</t>
        </is>
      </c>
      <c r="I240" s="29">
        <f>6371 * 2 * ASIN(SQRT(SIN(RADIANS((C240) - INDEX('Dataset_Wisata'!$C$12:$C$622, MATCH('Dashboard'!$C$9, 'Dataset_Wisata'!$A$12:$A$622, 0)))/2)^2 + COS(RADIANS(INDEX('Dataset_Wisata'!$C$12:$C$622, MATCH('Dashboard'!$C$9, 'Dataset_Wisata'!$A$12:$A$622, 0)))) * COS(RADIANS(C240)) * SIN(RADIANS((D240) - INDEX('Dataset_Wisata'!$D$12:$D$622, MATCH('Dashboard'!$C$9, 'Dataset_Wisata'!$A$12:$A$622, 0)))/2)^2)) * 1.3</f>
        <v/>
      </c>
      <c r="J240" s="21">
        <f>ROUND(I240 * IF('Dashboard'!$C$6&lt;=1, 2250, IF('Dashboard'!$C$6&lt;=4, 5150, 6000)), 0)</f>
        <v/>
      </c>
      <c r="K240" s="30" t="n">
        <v>0.9998126508185596</v>
      </c>
      <c r="L240" s="30" t="n">
        <v>0.0001775718391516968</v>
      </c>
      <c r="M240" s="30" t="n">
        <v>9.7773422886897e-06</v>
      </c>
      <c r="N240" s="31">
        <f>ABS(E240-$F$6)</f>
        <v/>
      </c>
      <c r="O240" s="31">
        <f>ABS(E240-$F$7)</f>
        <v/>
      </c>
      <c r="P240" s="31">
        <f>ABS(E240-$F$8)</f>
        <v/>
      </c>
      <c r="Q240" s="14">
        <f>IF(K240&gt;=MAX(L240,M240), "Hemat", IF(L240&gt;=M240, "Balanced", "Premium"))</f>
        <v/>
      </c>
      <c r="R240" s="30" t="n">
        <v>0.9998126513362043</v>
      </c>
      <c r="S240" s="30" t="n">
        <v>0.0001775713458315561</v>
      </c>
      <c r="T240" s="30" t="n">
        <v>9.777317964159987e-06</v>
      </c>
      <c r="U240" s="31">
        <f>ABS(E240-$G$6)</f>
        <v/>
      </c>
      <c r="V240" s="31">
        <f>ABS(E240-$G$7)</f>
        <v/>
      </c>
      <c r="W240" s="31">
        <f>ABS(E240-$G$8)</f>
        <v/>
      </c>
      <c r="X240" s="14">
        <f>IF(R240&gt;=MAX(S240,T240), "Hemat", IF(S240&gt;=T240, "Balanced", "Premium"))</f>
        <v/>
      </c>
    </row>
    <row r="241">
      <c r="A241" s="14" t="n">
        <v>239</v>
      </c>
      <c r="B241" s="7" t="inlineStr">
        <is>
          <t>Tabebuia tree &amp; Plants Suplier Landscape by Roseasterina jual / sell Pohon</t>
        </is>
      </c>
      <c r="C241" s="26" t="n">
        <v>-7.836453</v>
      </c>
      <c r="D241" s="26" t="n">
        <v>112.5195161</v>
      </c>
      <c r="E241" s="21" t="n">
        <v>15000</v>
      </c>
      <c r="F241" s="27" t="n">
        <v>4.6</v>
      </c>
      <c r="G241" s="28" t="n">
        <v>23</v>
      </c>
      <c r="H241" s="14" t="inlineStr">
        <is>
          <t>Wisata Umum</t>
        </is>
      </c>
      <c r="I241" s="29">
        <f>6371 * 2 * ASIN(SQRT(SIN(RADIANS((C241) - INDEX('Dataset_Wisata'!$C$12:$C$622, MATCH('Dashboard'!$C$9, 'Dataset_Wisata'!$A$12:$A$622, 0)))/2)^2 + COS(RADIANS(INDEX('Dataset_Wisata'!$C$12:$C$622, MATCH('Dashboard'!$C$9, 'Dataset_Wisata'!$A$12:$A$622, 0)))) * COS(RADIANS(C241)) * SIN(RADIANS((D241) - INDEX('Dataset_Wisata'!$D$12:$D$622, MATCH('Dashboard'!$C$9, 'Dataset_Wisata'!$A$12:$A$622, 0)))/2)^2)) * 1.3</f>
        <v/>
      </c>
      <c r="J241" s="21">
        <f>ROUND(I241 * IF('Dashboard'!$C$6&lt;=1, 2250, IF('Dashboard'!$C$6&lt;=4, 5150, 6000)), 0)</f>
        <v/>
      </c>
      <c r="K241" s="30" t="n">
        <v>0.9744283047002794</v>
      </c>
      <c r="L241" s="30" t="n">
        <v>0.02447712712252609</v>
      </c>
      <c r="M241" s="30" t="n">
        <v>0.001094568177194568</v>
      </c>
      <c r="N241" s="31">
        <f>ABS(E241-$F$6)</f>
        <v/>
      </c>
      <c r="O241" s="31">
        <f>ABS(E241-$F$7)</f>
        <v/>
      </c>
      <c r="P241" s="31">
        <f>ABS(E241-$F$8)</f>
        <v/>
      </c>
      <c r="Q241" s="14">
        <f>IF(K241&gt;=MAX(L241,M241), "Hemat", IF(L241&gt;=M241, "Balanced", "Premium"))</f>
        <v/>
      </c>
      <c r="R241" s="30" t="n">
        <v>0.9744283195785179</v>
      </c>
      <c r="S241" s="30" t="n">
        <v>0.02447711252884811</v>
      </c>
      <c r="T241" s="30" t="n">
        <v>0.001094567892634054</v>
      </c>
      <c r="U241" s="31">
        <f>ABS(E241-$G$6)</f>
        <v/>
      </c>
      <c r="V241" s="31">
        <f>ABS(E241-$G$7)</f>
        <v/>
      </c>
      <c r="W241" s="31">
        <f>ABS(E241-$G$8)</f>
        <v/>
      </c>
      <c r="X241" s="14">
        <f>IF(R241&gt;=MAX(S241,T241), "Hemat", IF(S241&gt;=T241, "Balanced", "Premium"))</f>
        <v/>
      </c>
    </row>
    <row r="242">
      <c r="A242" s="14" t="n">
        <v>240</v>
      </c>
      <c r="B242" s="7" t="inlineStr">
        <is>
          <t>Loket 2 wisata bumi kahyangan BRAKSENG"</t>
        </is>
      </c>
      <c r="C242" s="26" t="n">
        <v>-7.7708459</v>
      </c>
      <c r="D242" s="26" t="n">
        <v>112.5347058</v>
      </c>
      <c r="E242" s="21" t="n">
        <v>5000</v>
      </c>
      <c r="F242" s="27" t="n">
        <v>4.4</v>
      </c>
      <c r="G242" s="28" t="n">
        <v>36</v>
      </c>
      <c r="H242" s="14" t="inlineStr">
        <is>
          <t>Wisata Umum</t>
        </is>
      </c>
      <c r="I242" s="29">
        <f>6371 * 2 * ASIN(SQRT(SIN(RADIANS((C242) - INDEX('Dataset_Wisata'!$C$12:$C$622, MATCH('Dashboard'!$C$9, 'Dataset_Wisata'!$A$12:$A$622, 0)))/2)^2 + COS(RADIANS(INDEX('Dataset_Wisata'!$C$12:$C$622, MATCH('Dashboard'!$C$9, 'Dataset_Wisata'!$A$12:$A$622, 0)))) * COS(RADIANS(C242)) * SIN(RADIANS((D242) - INDEX('Dataset_Wisata'!$D$12:$D$622, MATCH('Dashboard'!$C$9, 'Dataset_Wisata'!$A$12:$A$622, 0)))/2)^2)) * 1.3</f>
        <v/>
      </c>
      <c r="J242" s="21">
        <f>ROUND(I242 * IF('Dashboard'!$C$6&lt;=1, 2250, IF('Dashboard'!$C$6&lt;=4, 5150, 6000)), 0)</f>
        <v/>
      </c>
      <c r="K242" s="30" t="n">
        <v>0.9895566543895754</v>
      </c>
      <c r="L242" s="30" t="n">
        <v>0.009798611400025654</v>
      </c>
      <c r="M242" s="30" t="n">
        <v>0.0006447342103988783</v>
      </c>
      <c r="N242" s="31">
        <f>ABS(E242-$F$6)</f>
        <v/>
      </c>
      <c r="O242" s="31">
        <f>ABS(E242-$F$7)</f>
        <v/>
      </c>
      <c r="P242" s="31">
        <f>ABS(E242-$F$8)</f>
        <v/>
      </c>
      <c r="Q242" s="14">
        <f>IF(K242&gt;=MAX(L242,M242), "Hemat", IF(L242&gt;=M242, "Balanced", "Premium"))</f>
        <v/>
      </c>
      <c r="R242" s="30" t="n">
        <v>0.9895566542341836</v>
      </c>
      <c r="S242" s="30" t="n">
        <v>0.00979861139170024</v>
      </c>
      <c r="T242" s="30" t="n">
        <v>0.00064473437411607</v>
      </c>
      <c r="U242" s="31">
        <f>ABS(E242-$G$6)</f>
        <v/>
      </c>
      <c r="V242" s="31">
        <f>ABS(E242-$G$7)</f>
        <v/>
      </c>
      <c r="W242" s="31">
        <f>ABS(E242-$G$8)</f>
        <v/>
      </c>
      <c r="X242" s="14">
        <f>IF(R242&gt;=MAX(S242,T242), "Hemat", IF(S242&gt;=T242, "Balanced", "Premium"))</f>
        <v/>
      </c>
    </row>
    <row r="243">
      <c r="A243" s="14" t="n">
        <v>241</v>
      </c>
      <c r="B243" s="7" t="inlineStr">
        <is>
          <t>Agrowisata kota batu</t>
        </is>
      </c>
      <c r="C243" s="26" t="n">
        <v>-7.782166</v>
      </c>
      <c r="D243" s="26" t="n">
        <v>112.5282246</v>
      </c>
      <c r="E243" s="21" t="n">
        <v>25000</v>
      </c>
      <c r="F243" s="27" t="n">
        <v>4.3</v>
      </c>
      <c r="G243" s="28" t="n">
        <v>81</v>
      </c>
      <c r="H243" s="14" t="inlineStr">
        <is>
          <t>Agrowisata kota batu</t>
        </is>
      </c>
      <c r="I243" s="29">
        <f>6371 * 2 * ASIN(SQRT(SIN(RADIANS((C243) - INDEX('Dataset_Wisata'!$C$12:$C$622, MATCH('Dashboard'!$C$9, 'Dataset_Wisata'!$A$12:$A$622, 0)))/2)^2 + COS(RADIANS(INDEX('Dataset_Wisata'!$C$12:$C$622, MATCH('Dashboard'!$C$9, 'Dataset_Wisata'!$A$12:$A$622, 0)))) * COS(RADIANS(C243)) * SIN(RADIANS((D243) - INDEX('Dataset_Wisata'!$D$12:$D$622, MATCH('Dashboard'!$C$9, 'Dataset_Wisata'!$A$12:$A$622, 0)))/2)^2)) * 1.3</f>
        <v/>
      </c>
      <c r="J243" s="21">
        <f>ROUND(I243 * IF('Dashboard'!$C$6&lt;=1, 2250, IF('Dashboard'!$C$6&lt;=4, 5150, 6000)), 0)</f>
        <v/>
      </c>
      <c r="K243" s="30" t="n">
        <v>0.714779317495253</v>
      </c>
      <c r="L243" s="30" t="n">
        <v>0.2780482755376564</v>
      </c>
      <c r="M243" s="30" t="n">
        <v>0.0071724069670906</v>
      </c>
      <c r="N243" s="31">
        <f>ABS(E243-$F$6)</f>
        <v/>
      </c>
      <c r="O243" s="31">
        <f>ABS(E243-$F$7)</f>
        <v/>
      </c>
      <c r="P243" s="31">
        <f>ABS(E243-$F$8)</f>
        <v/>
      </c>
      <c r="Q243" s="14">
        <f>IF(K243&gt;=MAX(L243,M243), "Hemat", IF(L243&gt;=M243, "Balanced", "Premium"))</f>
        <v/>
      </c>
      <c r="R243" s="30" t="n">
        <v>0.7147794395425007</v>
      </c>
      <c r="S243" s="30" t="n">
        <v>0.2780481531707544</v>
      </c>
      <c r="T243" s="30" t="n">
        <v>0.007172407286744955</v>
      </c>
      <c r="U243" s="31">
        <f>ABS(E243-$G$6)</f>
        <v/>
      </c>
      <c r="V243" s="31">
        <f>ABS(E243-$G$7)</f>
        <v/>
      </c>
      <c r="W243" s="31">
        <f>ABS(E243-$G$8)</f>
        <v/>
      </c>
      <c r="X243" s="14">
        <f>IF(R243&gt;=MAX(S243,T243), "Hemat", IF(S243&gt;=T243, "Balanced", "Premium"))</f>
        <v/>
      </c>
    </row>
    <row r="244">
      <c r="A244" s="14" t="n">
        <v>242</v>
      </c>
      <c r="B244" s="7" t="inlineStr">
        <is>
          <t>Puncak Kalindra Batu</t>
        </is>
      </c>
      <c r="C244" s="26" t="n">
        <v>-7.8088033</v>
      </c>
      <c r="D244" s="26" t="n">
        <v>112.5176017</v>
      </c>
      <c r="E244" s="21" t="n">
        <v>10000</v>
      </c>
      <c r="F244" s="27" t="n">
        <v>4.8</v>
      </c>
      <c r="G244" s="28" t="n">
        <v>147</v>
      </c>
      <c r="H244" s="14" t="inlineStr">
        <is>
          <t>Wisata Umum</t>
        </is>
      </c>
      <c r="I244" s="29">
        <f>6371 * 2 * ASIN(SQRT(SIN(RADIANS((C244) - INDEX('Dataset_Wisata'!$C$12:$C$622, MATCH('Dashboard'!$C$9, 'Dataset_Wisata'!$A$12:$A$622, 0)))/2)^2 + COS(RADIANS(INDEX('Dataset_Wisata'!$C$12:$C$622, MATCH('Dashboard'!$C$9, 'Dataset_Wisata'!$A$12:$A$622, 0)))) * COS(RADIANS(C244)) * SIN(RADIANS((D244) - INDEX('Dataset_Wisata'!$D$12:$D$622, MATCH('Dashboard'!$C$9, 'Dataset_Wisata'!$A$12:$A$622, 0)))/2)^2)) * 1.3</f>
        <v/>
      </c>
      <c r="J244" s="21">
        <f>ROUND(I244 * IF('Dashboard'!$C$6&lt;=1, 2250, IF('Dashboard'!$C$6&lt;=4, 5150, 6000)), 0)</f>
        <v/>
      </c>
      <c r="K244" s="30" t="n">
        <v>0.9998126508185596</v>
      </c>
      <c r="L244" s="30" t="n">
        <v>0.0001775718391516968</v>
      </c>
      <c r="M244" s="30" t="n">
        <v>9.7773422886897e-06</v>
      </c>
      <c r="N244" s="31">
        <f>ABS(E244-$F$6)</f>
        <v/>
      </c>
      <c r="O244" s="31">
        <f>ABS(E244-$F$7)</f>
        <v/>
      </c>
      <c r="P244" s="31">
        <f>ABS(E244-$F$8)</f>
        <v/>
      </c>
      <c r="Q244" s="14">
        <f>IF(K244&gt;=MAX(L244,M244), "Hemat", IF(L244&gt;=M244, "Balanced", "Premium"))</f>
        <v/>
      </c>
      <c r="R244" s="30" t="n">
        <v>0.9998126513362043</v>
      </c>
      <c r="S244" s="30" t="n">
        <v>0.0001775713458315561</v>
      </c>
      <c r="T244" s="30" t="n">
        <v>9.777317964159987e-06</v>
      </c>
      <c r="U244" s="31">
        <f>ABS(E244-$G$6)</f>
        <v/>
      </c>
      <c r="V244" s="31">
        <f>ABS(E244-$G$7)</f>
        <v/>
      </c>
      <c r="W244" s="31">
        <f>ABS(E244-$G$8)</f>
        <v/>
      </c>
      <c r="X244" s="14">
        <f>IF(R244&gt;=MAX(S244,T244), "Hemat", IF(S244&gt;=T244, "Balanced", "Premium"))</f>
        <v/>
      </c>
    </row>
    <row r="245">
      <c r="A245" s="14" t="n">
        <v>243</v>
      </c>
      <c r="B245" s="7" t="inlineStr">
        <is>
          <t>MIKUTOPIA</t>
        </is>
      </c>
      <c r="C245" s="26" t="n">
        <v>-7.8121273</v>
      </c>
      <c r="D245" s="26" t="n">
        <v>112.5304657</v>
      </c>
      <c r="E245" s="21" t="n">
        <v>45000</v>
      </c>
      <c r="F245" s="27" t="n">
        <v>4.3</v>
      </c>
      <c r="G245" s="28" t="n">
        <v>482</v>
      </c>
      <c r="H245" s="14" t="inlineStr">
        <is>
          <t>Wahana Taman Hiburan</t>
        </is>
      </c>
      <c r="I245" s="29">
        <f>6371 * 2 * ASIN(SQRT(SIN(RADIANS((C245) - INDEX('Dataset_Wisata'!$C$12:$C$622, MATCH('Dashboard'!$C$9, 'Dataset_Wisata'!$A$12:$A$622, 0)))/2)^2 + COS(RADIANS(INDEX('Dataset_Wisata'!$C$12:$C$622, MATCH('Dashboard'!$C$9, 'Dataset_Wisata'!$A$12:$A$622, 0)))) * COS(RADIANS(C245)) * SIN(RADIANS((D245) - INDEX('Dataset_Wisata'!$D$12:$D$622, MATCH('Dashboard'!$C$9, 'Dataset_Wisata'!$A$12:$A$622, 0)))/2)^2)) * 1.3</f>
        <v/>
      </c>
      <c r="J245" s="21">
        <f>ROUND(I245 * IF('Dashboard'!$C$6&lt;=1, 2250, IF('Dashboard'!$C$6&lt;=4, 5150, 6000)), 0)</f>
        <v/>
      </c>
      <c r="K245" s="30" t="n">
        <v>0.01865911409062753</v>
      </c>
      <c r="L245" s="30" t="n">
        <v>0.9800492830679586</v>
      </c>
      <c r="M245" s="30" t="n">
        <v>0.001291602841413916</v>
      </c>
      <c r="N245" s="31">
        <f>ABS(E245-$F$6)</f>
        <v/>
      </c>
      <c r="O245" s="31">
        <f>ABS(E245-$F$7)</f>
        <v/>
      </c>
      <c r="P245" s="31">
        <f>ABS(E245-$F$8)</f>
        <v/>
      </c>
      <c r="Q245" s="14">
        <f>IF(K245&gt;=MAX(L245,M245), "Hemat", IF(L245&gt;=M245, "Balanced", "Premium"))</f>
        <v/>
      </c>
      <c r="R245" s="30" t="n">
        <v>0.01865916371049316</v>
      </c>
      <c r="S245" s="30" t="n">
        <v>0.9800492301234441</v>
      </c>
      <c r="T245" s="30" t="n">
        <v>0.001291606166062711</v>
      </c>
      <c r="U245" s="31">
        <f>ABS(E245-$G$6)</f>
        <v/>
      </c>
      <c r="V245" s="31">
        <f>ABS(E245-$G$7)</f>
        <v/>
      </c>
      <c r="W245" s="31">
        <f>ABS(E245-$G$8)</f>
        <v/>
      </c>
      <c r="X245" s="14">
        <f>IF(R245&gt;=MAX(S245,T245), "Hemat", IF(S245&gt;=T245, "Balanced", "Premium"))</f>
        <v/>
      </c>
    </row>
    <row r="246">
      <c r="A246" s="14" t="n">
        <v>244</v>
      </c>
      <c r="B246" s="7" t="inlineStr">
        <is>
          <t>BRAKSENG Loket 2</t>
        </is>
      </c>
      <c r="C246" s="26" t="n">
        <v>-7.7716598</v>
      </c>
      <c r="D246" s="26" t="n">
        <v>112.5312876</v>
      </c>
      <c r="E246" s="21" t="n">
        <v>5000</v>
      </c>
      <c r="F246" s="27" t="n">
        <v>4.7</v>
      </c>
      <c r="G246" s="28" t="n">
        <v>57</v>
      </c>
      <c r="H246" s="14" t="inlineStr">
        <is>
          <t>Wisata Umum</t>
        </is>
      </c>
      <c r="I246" s="29">
        <f>6371 * 2 * ASIN(SQRT(SIN(RADIANS((C246) - INDEX('Dataset_Wisata'!$C$12:$C$622, MATCH('Dashboard'!$C$9, 'Dataset_Wisata'!$A$12:$A$622, 0)))/2)^2 + COS(RADIANS(INDEX('Dataset_Wisata'!$C$12:$C$622, MATCH('Dashboard'!$C$9, 'Dataset_Wisata'!$A$12:$A$622, 0)))) * COS(RADIANS(C246)) * SIN(RADIANS((D246) - INDEX('Dataset_Wisata'!$D$12:$D$622, MATCH('Dashboard'!$C$9, 'Dataset_Wisata'!$A$12:$A$622, 0)))/2)^2)) * 1.3</f>
        <v/>
      </c>
      <c r="J246" s="21">
        <f>ROUND(I246 * IF('Dashboard'!$C$6&lt;=1, 2250, IF('Dashboard'!$C$6&lt;=4, 5150, 6000)), 0)</f>
        <v/>
      </c>
      <c r="K246" s="30" t="n">
        <v>0.9895566543895754</v>
      </c>
      <c r="L246" s="30" t="n">
        <v>0.009798611400025654</v>
      </c>
      <c r="M246" s="30" t="n">
        <v>0.0006447342103988783</v>
      </c>
      <c r="N246" s="31">
        <f>ABS(E246-$F$6)</f>
        <v/>
      </c>
      <c r="O246" s="31">
        <f>ABS(E246-$F$7)</f>
        <v/>
      </c>
      <c r="P246" s="31">
        <f>ABS(E246-$F$8)</f>
        <v/>
      </c>
      <c r="Q246" s="14">
        <f>IF(K246&gt;=MAX(L246,M246), "Hemat", IF(L246&gt;=M246, "Balanced", "Premium"))</f>
        <v/>
      </c>
      <c r="R246" s="30" t="n">
        <v>0.9895566542341836</v>
      </c>
      <c r="S246" s="30" t="n">
        <v>0.00979861139170024</v>
      </c>
      <c r="T246" s="30" t="n">
        <v>0.00064473437411607</v>
      </c>
      <c r="U246" s="31">
        <f>ABS(E246-$G$6)</f>
        <v/>
      </c>
      <c r="V246" s="31">
        <f>ABS(E246-$G$7)</f>
        <v/>
      </c>
      <c r="W246" s="31">
        <f>ABS(E246-$G$8)</f>
        <v/>
      </c>
      <c r="X246" s="14">
        <f>IF(R246&gt;=MAX(S246,T246), "Hemat", IF(S246&gt;=T246, "Balanced", "Premium"))</f>
        <v/>
      </c>
    </row>
    <row r="247">
      <c r="A247" s="14" t="n">
        <v>245</v>
      </c>
      <c r="B247" s="7" t="inlineStr">
        <is>
          <t>SAWAH GENTING</t>
        </is>
      </c>
      <c r="C247" s="26" t="n">
        <v>-7.8257674</v>
      </c>
      <c r="D247" s="26" t="n">
        <v>112.5331102</v>
      </c>
      <c r="E247" s="21" t="n">
        <v>12500</v>
      </c>
      <c r="F247" s="27" t="n">
        <v>4.4</v>
      </c>
      <c r="G247" s="28" t="n">
        <v>31</v>
      </c>
      <c r="H247" s="14" t="inlineStr">
        <is>
          <t>Wisata Umum</t>
        </is>
      </c>
      <c r="I247" s="29">
        <f>6371 * 2 * ASIN(SQRT(SIN(RADIANS((C247) - INDEX('Dataset_Wisata'!$C$12:$C$622, MATCH('Dashboard'!$C$9, 'Dataset_Wisata'!$A$12:$A$622, 0)))/2)^2 + COS(RADIANS(INDEX('Dataset_Wisata'!$C$12:$C$622, MATCH('Dashboard'!$C$9, 'Dataset_Wisata'!$A$12:$A$622, 0)))) * COS(RADIANS(C247)) * SIN(RADIANS((D247) - INDEX('Dataset_Wisata'!$D$12:$D$622, MATCH('Dashboard'!$C$9, 'Dataset_Wisata'!$A$12:$A$622, 0)))/2)^2)) * 1.3</f>
        <v/>
      </c>
      <c r="J247" s="21">
        <f>ROUND(I247 * IF('Dashboard'!$C$6&lt;=1, 2250, IF('Dashboard'!$C$6&lt;=4, 5150, 6000)), 0)</f>
        <v/>
      </c>
      <c r="K247" s="30" t="n">
        <v>0.9931494932878779</v>
      </c>
      <c r="L247" s="30" t="n">
        <v>0.006525333214398045</v>
      </c>
      <c r="M247" s="30" t="n">
        <v>0.0003251734977240752</v>
      </c>
      <c r="N247" s="31">
        <f>ABS(E247-$F$6)</f>
        <v/>
      </c>
      <c r="O247" s="31">
        <f>ABS(E247-$F$7)</f>
        <v/>
      </c>
      <c r="P247" s="31">
        <f>ABS(E247-$F$8)</f>
        <v/>
      </c>
      <c r="Q247" s="14">
        <f>IF(K247&gt;=MAX(L247,M247), "Hemat", IF(L247&gt;=M247, "Balanced", "Premium"))</f>
        <v/>
      </c>
      <c r="R247" s="30" t="n">
        <v>0.993149498497744</v>
      </c>
      <c r="S247" s="30" t="n">
        <v>0.00652532815528229</v>
      </c>
      <c r="T247" s="30" t="n">
        <v>0.0003251733469736963</v>
      </c>
      <c r="U247" s="31">
        <f>ABS(E247-$G$6)</f>
        <v/>
      </c>
      <c r="V247" s="31">
        <f>ABS(E247-$G$7)</f>
        <v/>
      </c>
      <c r="W247" s="31">
        <f>ABS(E247-$G$8)</f>
        <v/>
      </c>
      <c r="X247" s="14">
        <f>IF(R247&gt;=MAX(S247,T247), "Hemat", IF(S247&gt;=T247, "Balanced", "Premium"))</f>
        <v/>
      </c>
    </row>
    <row r="248">
      <c r="A248" s="14" t="n">
        <v>246</v>
      </c>
      <c r="B248" s="7" t="inlineStr">
        <is>
          <t>Wisata petik apel batu malang</t>
        </is>
      </c>
      <c r="C248" s="26" t="n">
        <v>-7.8142006</v>
      </c>
      <c r="D248" s="26" t="n">
        <v>112.5295994</v>
      </c>
      <c r="E248" s="21" t="n">
        <v>20000</v>
      </c>
      <c r="F248" s="27" t="n">
        <v>4.5</v>
      </c>
      <c r="G248" s="28" t="n">
        <v>272</v>
      </c>
      <c r="H248" s="14" t="inlineStr">
        <is>
          <t>Wisata petik apel batu malang</t>
        </is>
      </c>
      <c r="I248" s="29">
        <f>6371 * 2 * ASIN(SQRT(SIN(RADIANS((C248) - INDEX('Dataset_Wisata'!$C$12:$C$622, MATCH('Dashboard'!$C$9, 'Dataset_Wisata'!$A$12:$A$622, 0)))/2)^2 + COS(RADIANS(INDEX('Dataset_Wisata'!$C$12:$C$622, MATCH('Dashboard'!$C$9, 'Dataset_Wisata'!$A$12:$A$622, 0)))) * COS(RADIANS(C248)) * SIN(RADIANS((D248) - INDEX('Dataset_Wisata'!$D$12:$D$622, MATCH('Dashboard'!$C$9, 'Dataset_Wisata'!$A$12:$A$622, 0)))/2)^2)) * 1.3</f>
        <v/>
      </c>
      <c r="J248" s="21">
        <f>ROUND(I248 * IF('Dashboard'!$C$6&lt;=1, 2250, IF('Dashboard'!$C$6&lt;=4, 5150, 6000)), 0)</f>
        <v/>
      </c>
      <c r="K248" s="30" t="n">
        <v>0.8862296979094436</v>
      </c>
      <c r="L248" s="30" t="n">
        <v>0.1099329410905347</v>
      </c>
      <c r="M248" s="30" t="n">
        <v>0.003837361000021699</v>
      </c>
      <c r="N248" s="31">
        <f>ABS(E248-$F$6)</f>
        <v/>
      </c>
      <c r="O248" s="31">
        <f>ABS(E248-$F$7)</f>
        <v/>
      </c>
      <c r="P248" s="31">
        <f>ABS(E248-$F$8)</f>
        <v/>
      </c>
      <c r="Q248" s="14">
        <f>IF(K248&gt;=MAX(L248,M248), "Hemat", IF(L248&gt;=M248, "Balanced", "Premium"))</f>
        <v/>
      </c>
      <c r="R248" s="30" t="n">
        <v>0.8862297532761809</v>
      </c>
      <c r="S248" s="30" t="n">
        <v>0.1099328861159962</v>
      </c>
      <c r="T248" s="30" t="n">
        <v>0.003837360607822898</v>
      </c>
      <c r="U248" s="31">
        <f>ABS(E248-$G$6)</f>
        <v/>
      </c>
      <c r="V248" s="31">
        <f>ABS(E248-$G$7)</f>
        <v/>
      </c>
      <c r="W248" s="31">
        <f>ABS(E248-$G$8)</f>
        <v/>
      </c>
      <c r="X248" s="14">
        <f>IF(R248&gt;=MAX(S248,T248), "Hemat", IF(S248&gt;=T248, "Balanced", "Premium"))</f>
        <v/>
      </c>
    </row>
    <row r="249">
      <c r="A249" s="14" t="n">
        <v>247</v>
      </c>
      <c r="B249" s="7" t="inlineStr">
        <is>
          <t>wisata petik jeruk super agro kota batu</t>
        </is>
      </c>
      <c r="C249" s="26" t="n">
        <v>-7.8333467</v>
      </c>
      <c r="D249" s="26" t="n">
        <v>112.5216271</v>
      </c>
      <c r="E249" s="21" t="n">
        <v>25000</v>
      </c>
      <c r="F249" s="27" t="n">
        <v>5</v>
      </c>
      <c r="G249" s="28" t="n">
        <v>26</v>
      </c>
      <c r="H249" s="14" t="inlineStr">
        <is>
          <t>Tujuan Wisata · Jl. Semeru</t>
        </is>
      </c>
      <c r="I249" s="29">
        <f>6371 * 2 * ASIN(SQRT(SIN(RADIANS((C249) - INDEX('Dataset_Wisata'!$C$12:$C$622, MATCH('Dashboard'!$C$9, 'Dataset_Wisata'!$A$12:$A$622, 0)))/2)^2 + COS(RADIANS(INDEX('Dataset_Wisata'!$C$12:$C$622, MATCH('Dashboard'!$C$9, 'Dataset_Wisata'!$A$12:$A$622, 0)))) * COS(RADIANS(C249)) * SIN(RADIANS((D249) - INDEX('Dataset_Wisata'!$D$12:$D$622, MATCH('Dashboard'!$C$9, 'Dataset_Wisata'!$A$12:$A$622, 0)))/2)^2)) * 1.3</f>
        <v/>
      </c>
      <c r="J249" s="21">
        <f>ROUND(I249 * IF('Dashboard'!$C$6&lt;=1, 2250, IF('Dashboard'!$C$6&lt;=4, 5150, 6000)), 0)</f>
        <v/>
      </c>
      <c r="K249" s="30" t="n">
        <v>0.714779317495253</v>
      </c>
      <c r="L249" s="30" t="n">
        <v>0.2780482755376564</v>
      </c>
      <c r="M249" s="30" t="n">
        <v>0.0071724069670906</v>
      </c>
      <c r="N249" s="31">
        <f>ABS(E249-$F$6)</f>
        <v/>
      </c>
      <c r="O249" s="31">
        <f>ABS(E249-$F$7)</f>
        <v/>
      </c>
      <c r="P249" s="31">
        <f>ABS(E249-$F$8)</f>
        <v/>
      </c>
      <c r="Q249" s="14">
        <f>IF(K249&gt;=MAX(L249,M249), "Hemat", IF(L249&gt;=M249, "Balanced", "Premium"))</f>
        <v/>
      </c>
      <c r="R249" s="30" t="n">
        <v>0.7147794395425007</v>
      </c>
      <c r="S249" s="30" t="n">
        <v>0.2780481531707544</v>
      </c>
      <c r="T249" s="30" t="n">
        <v>0.007172407286744955</v>
      </c>
      <c r="U249" s="31">
        <f>ABS(E249-$G$6)</f>
        <v/>
      </c>
      <c r="V249" s="31">
        <f>ABS(E249-$G$7)</f>
        <v/>
      </c>
      <c r="W249" s="31">
        <f>ABS(E249-$G$8)</f>
        <v/>
      </c>
      <c r="X249" s="14">
        <f>IF(R249&gt;=MAX(S249,T249), "Hemat", IF(S249&gt;=T249, "Balanced", "Premium"))</f>
        <v/>
      </c>
    </row>
    <row r="250">
      <c r="A250" s="14" t="n">
        <v>248</v>
      </c>
      <c r="B250" s="7" t="inlineStr">
        <is>
          <t>Kebun Kitala Wisata Petik Strawberry</t>
        </is>
      </c>
      <c r="C250" s="26" t="n">
        <v>-7.7928915</v>
      </c>
      <c r="D250" s="26" t="n">
        <v>112.5324796</v>
      </c>
      <c r="E250" s="21" t="n">
        <v>20000</v>
      </c>
      <c r="F250" s="27" t="n">
        <v>4.9</v>
      </c>
      <c r="G250" s="28" t="n">
        <v>46</v>
      </c>
      <c r="H250" s="14" t="inlineStr">
        <is>
          <t>Kebun Kitala Wisata Petik Strawberry</t>
        </is>
      </c>
      <c r="I250" s="29">
        <f>6371 * 2 * ASIN(SQRT(SIN(RADIANS((C250) - INDEX('Dataset_Wisata'!$C$12:$C$622, MATCH('Dashboard'!$C$9, 'Dataset_Wisata'!$A$12:$A$622, 0)))/2)^2 + COS(RADIANS(INDEX('Dataset_Wisata'!$C$12:$C$622, MATCH('Dashboard'!$C$9, 'Dataset_Wisata'!$A$12:$A$622, 0)))) * COS(RADIANS(C250)) * SIN(RADIANS((D250) - INDEX('Dataset_Wisata'!$D$12:$D$622, MATCH('Dashboard'!$C$9, 'Dataset_Wisata'!$A$12:$A$622, 0)))/2)^2)) * 1.3</f>
        <v/>
      </c>
      <c r="J250" s="21">
        <f>ROUND(I250 * IF('Dashboard'!$C$6&lt;=1, 2250, IF('Dashboard'!$C$6&lt;=4, 5150, 6000)), 0)</f>
        <v/>
      </c>
      <c r="K250" s="30" t="n">
        <v>0.8862296979094436</v>
      </c>
      <c r="L250" s="30" t="n">
        <v>0.1099329410905347</v>
      </c>
      <c r="M250" s="30" t="n">
        <v>0.003837361000021699</v>
      </c>
      <c r="N250" s="31">
        <f>ABS(E250-$F$6)</f>
        <v/>
      </c>
      <c r="O250" s="31">
        <f>ABS(E250-$F$7)</f>
        <v/>
      </c>
      <c r="P250" s="31">
        <f>ABS(E250-$F$8)</f>
        <v/>
      </c>
      <c r="Q250" s="14">
        <f>IF(K250&gt;=MAX(L250,M250), "Hemat", IF(L250&gt;=M250, "Balanced", "Premium"))</f>
        <v/>
      </c>
      <c r="R250" s="30" t="n">
        <v>0.8862297532761809</v>
      </c>
      <c r="S250" s="30" t="n">
        <v>0.1099328861159962</v>
      </c>
      <c r="T250" s="30" t="n">
        <v>0.003837360607822898</v>
      </c>
      <c r="U250" s="31">
        <f>ABS(E250-$G$6)</f>
        <v/>
      </c>
      <c r="V250" s="31">
        <f>ABS(E250-$G$7)</f>
        <v/>
      </c>
      <c r="W250" s="31">
        <f>ABS(E250-$G$8)</f>
        <v/>
      </c>
      <c r="X250" s="14">
        <f>IF(R250&gt;=MAX(S250,T250), "Hemat", IF(S250&gt;=T250, "Balanced", "Premium"))</f>
        <v/>
      </c>
    </row>
    <row r="251">
      <c r="A251" s="14" t="n">
        <v>249</v>
      </c>
      <c r="B251" s="7" t="inlineStr">
        <is>
          <t>Pura Luhur Giri Arjuno</t>
        </is>
      </c>
      <c r="C251" s="26" t="n">
        <v>-7.7852789</v>
      </c>
      <c r="D251" s="26" t="n">
        <v>112.5473145</v>
      </c>
      <c r="E251" s="21" t="n">
        <v>0</v>
      </c>
      <c r="F251" s="27" t="n">
        <v>4.7</v>
      </c>
      <c r="G251" s="28" t="n">
        <v>426</v>
      </c>
      <c r="H251" s="14" t="inlineStr">
        <is>
          <t>Wisata Umum</t>
        </is>
      </c>
      <c r="I251" s="29">
        <f>6371 * 2 * ASIN(SQRT(SIN(RADIANS((C251) - INDEX('Dataset_Wisata'!$C$12:$C$622, MATCH('Dashboard'!$C$9, 'Dataset_Wisata'!$A$12:$A$622, 0)))/2)^2 + COS(RADIANS(INDEX('Dataset_Wisata'!$C$12:$C$622, MATCH('Dashboard'!$C$9, 'Dataset_Wisata'!$A$12:$A$622, 0)))) * COS(RADIANS(C251)) * SIN(RADIANS((D251) - INDEX('Dataset_Wisata'!$D$12:$D$622, MATCH('Dashboard'!$C$9, 'Dataset_Wisata'!$A$12:$A$622, 0)))/2)^2)) * 1.3</f>
        <v/>
      </c>
      <c r="J251" s="21">
        <f>ROUND(I251 * IF('Dashboard'!$C$6&lt;=1, 2250, IF('Dashboard'!$C$6&lt;=4, 5150, 6000)), 0)</f>
        <v/>
      </c>
      <c r="K251" s="30" t="n">
        <v>0.9626824510005771</v>
      </c>
      <c r="L251" s="30" t="n">
        <v>0.03465542295845363</v>
      </c>
      <c r="M251" s="30" t="n">
        <v>0.002662126040969366</v>
      </c>
      <c r="N251" s="31">
        <f>ABS(E251-$F$6)</f>
        <v/>
      </c>
      <c r="O251" s="31">
        <f>ABS(E251-$F$7)</f>
        <v/>
      </c>
      <c r="P251" s="31">
        <f>ABS(E251-$F$8)</f>
        <v/>
      </c>
      <c r="Q251" s="14">
        <f>IF(K251&gt;=MAX(L251,M251), "Hemat", IF(L251&gt;=M251, "Balanced", "Premium"))</f>
        <v/>
      </c>
      <c r="R251" s="30" t="n">
        <v>0.9626824549241798</v>
      </c>
      <c r="S251" s="30" t="n">
        <v>0.03465541875469833</v>
      </c>
      <c r="T251" s="30" t="n">
        <v>0.002662126321121907</v>
      </c>
      <c r="U251" s="31">
        <f>ABS(E251-$G$6)</f>
        <v/>
      </c>
      <c r="V251" s="31">
        <f>ABS(E251-$G$7)</f>
        <v/>
      </c>
      <c r="W251" s="31">
        <f>ABS(E251-$G$8)</f>
        <v/>
      </c>
      <c r="X251" s="14">
        <f>IF(R251&gt;=MAX(S251,T251), "Hemat", IF(S251&gt;=T251, "Balanced", "Premium"))</f>
        <v/>
      </c>
    </row>
    <row r="252">
      <c r="A252" s="14" t="n">
        <v>250</v>
      </c>
      <c r="B252" s="7" t="inlineStr">
        <is>
          <t>Bekas Pabrik Jamur Sumber Brantas</t>
        </is>
      </c>
      <c r="C252" s="26" t="n">
        <v>-7.7445816</v>
      </c>
      <c r="D252" s="26" t="n">
        <v>112.5299683</v>
      </c>
      <c r="E252" s="21" t="n">
        <v>5000</v>
      </c>
      <c r="F252" s="27" t="n">
        <v>4.4</v>
      </c>
      <c r="G252" s="28" t="n">
        <v>893</v>
      </c>
      <c r="H252" s="14" t="inlineStr">
        <is>
          <t>Wisata Umum</t>
        </is>
      </c>
      <c r="I252" s="29">
        <f>6371 * 2 * ASIN(SQRT(SIN(RADIANS((C252) - INDEX('Dataset_Wisata'!$C$12:$C$622, MATCH('Dashboard'!$C$9, 'Dataset_Wisata'!$A$12:$A$622, 0)))/2)^2 + COS(RADIANS(INDEX('Dataset_Wisata'!$C$12:$C$622, MATCH('Dashboard'!$C$9, 'Dataset_Wisata'!$A$12:$A$622, 0)))) * COS(RADIANS(C252)) * SIN(RADIANS((D252) - INDEX('Dataset_Wisata'!$D$12:$D$622, MATCH('Dashboard'!$C$9, 'Dataset_Wisata'!$A$12:$A$622, 0)))/2)^2)) * 1.3</f>
        <v/>
      </c>
      <c r="J252" s="21">
        <f>ROUND(I252 * IF('Dashboard'!$C$6&lt;=1, 2250, IF('Dashboard'!$C$6&lt;=4, 5150, 6000)), 0)</f>
        <v/>
      </c>
      <c r="K252" s="30" t="n">
        <v>0.9895566543895754</v>
      </c>
      <c r="L252" s="30" t="n">
        <v>0.009798611400025654</v>
      </c>
      <c r="M252" s="30" t="n">
        <v>0.0006447342103988783</v>
      </c>
      <c r="N252" s="31">
        <f>ABS(E252-$F$6)</f>
        <v/>
      </c>
      <c r="O252" s="31">
        <f>ABS(E252-$F$7)</f>
        <v/>
      </c>
      <c r="P252" s="31">
        <f>ABS(E252-$F$8)</f>
        <v/>
      </c>
      <c r="Q252" s="14">
        <f>IF(K252&gt;=MAX(L252,M252), "Hemat", IF(L252&gt;=M252, "Balanced", "Premium"))</f>
        <v/>
      </c>
      <c r="R252" s="30" t="n">
        <v>0.9895566542341836</v>
      </c>
      <c r="S252" s="30" t="n">
        <v>0.00979861139170024</v>
      </c>
      <c r="T252" s="30" t="n">
        <v>0.00064473437411607</v>
      </c>
      <c r="U252" s="31">
        <f>ABS(E252-$G$6)</f>
        <v/>
      </c>
      <c r="V252" s="31">
        <f>ABS(E252-$G$7)</f>
        <v/>
      </c>
      <c r="W252" s="31">
        <f>ABS(E252-$G$8)</f>
        <v/>
      </c>
      <c r="X252" s="14">
        <f>IF(R252&gt;=MAX(S252,T252), "Hemat", IF(S252&gt;=T252, "Balanced", "Premium"))</f>
        <v/>
      </c>
    </row>
    <row r="253">
      <c r="A253" s="14" t="n">
        <v>251</v>
      </c>
      <c r="B253" s="7" t="inlineStr">
        <is>
          <t>Cangar</t>
        </is>
      </c>
      <c r="C253" s="26" t="n">
        <v>-7.7394125</v>
      </c>
      <c r="D253" s="26" t="n">
        <v>112.5328906</v>
      </c>
      <c r="E253" s="21" t="n">
        <v>20000</v>
      </c>
      <c r="F253" s="27" t="n">
        <v>4.7</v>
      </c>
      <c r="G253" s="28" t="n">
        <v>672</v>
      </c>
      <c r="H253" s="14" t="inlineStr">
        <is>
          <t>Wisata Umum</t>
        </is>
      </c>
      <c r="I253" s="29">
        <f>6371 * 2 * ASIN(SQRT(SIN(RADIANS((C253) - INDEX('Dataset_Wisata'!$C$12:$C$622, MATCH('Dashboard'!$C$9, 'Dataset_Wisata'!$A$12:$A$622, 0)))/2)^2 + COS(RADIANS(INDEX('Dataset_Wisata'!$C$12:$C$622, MATCH('Dashboard'!$C$9, 'Dataset_Wisata'!$A$12:$A$622, 0)))) * COS(RADIANS(C253)) * SIN(RADIANS((D253) - INDEX('Dataset_Wisata'!$D$12:$D$622, MATCH('Dashboard'!$C$9, 'Dataset_Wisata'!$A$12:$A$622, 0)))/2)^2)) * 1.3</f>
        <v/>
      </c>
      <c r="J253" s="21">
        <f>ROUND(I253 * IF('Dashboard'!$C$6&lt;=1, 2250, IF('Dashboard'!$C$6&lt;=4, 5150, 6000)), 0)</f>
        <v/>
      </c>
      <c r="K253" s="30" t="n">
        <v>0.8862296979094436</v>
      </c>
      <c r="L253" s="30" t="n">
        <v>0.1099329410905347</v>
      </c>
      <c r="M253" s="30" t="n">
        <v>0.003837361000021699</v>
      </c>
      <c r="N253" s="31">
        <f>ABS(E253-$F$6)</f>
        <v/>
      </c>
      <c r="O253" s="31">
        <f>ABS(E253-$F$7)</f>
        <v/>
      </c>
      <c r="P253" s="31">
        <f>ABS(E253-$F$8)</f>
        <v/>
      </c>
      <c r="Q253" s="14">
        <f>IF(K253&gt;=MAX(L253,M253), "Hemat", IF(L253&gt;=M253, "Balanced", "Premium"))</f>
        <v/>
      </c>
      <c r="R253" s="30" t="n">
        <v>0.8862297532761809</v>
      </c>
      <c r="S253" s="30" t="n">
        <v>0.1099328861159962</v>
      </c>
      <c r="T253" s="30" t="n">
        <v>0.003837360607822898</v>
      </c>
      <c r="U253" s="31">
        <f>ABS(E253-$G$6)</f>
        <v/>
      </c>
      <c r="V253" s="31">
        <f>ABS(E253-$G$7)</f>
        <v/>
      </c>
      <c r="W253" s="31">
        <f>ABS(E253-$G$8)</f>
        <v/>
      </c>
      <c r="X253" s="14">
        <f>IF(R253&gt;=MAX(S253,T253), "Hemat", IF(S253&gt;=T253, "Balanced", "Premium"))</f>
        <v/>
      </c>
    </row>
    <row r="254">
      <c r="A254" s="14" t="n">
        <v>252</v>
      </c>
      <c r="B254" s="7" t="inlineStr">
        <is>
          <t>Gua Jepang</t>
        </is>
      </c>
      <c r="C254" s="26" t="n">
        <v>-7.7423282</v>
      </c>
      <c r="D254" s="26" t="n">
        <v>112.5337783</v>
      </c>
      <c r="E254" s="21" t="n">
        <v>10000</v>
      </c>
      <c r="F254" s="27" t="n">
        <v>4.2</v>
      </c>
      <c r="G254" s="28" t="n">
        <v>111</v>
      </c>
      <c r="H254" s="14" t="inlineStr">
        <is>
          <t>Wisata Umum</t>
        </is>
      </c>
      <c r="I254" s="29">
        <f>6371 * 2 * ASIN(SQRT(SIN(RADIANS((C254) - INDEX('Dataset_Wisata'!$C$12:$C$622, MATCH('Dashboard'!$C$9, 'Dataset_Wisata'!$A$12:$A$622, 0)))/2)^2 + COS(RADIANS(INDEX('Dataset_Wisata'!$C$12:$C$622, MATCH('Dashboard'!$C$9, 'Dataset_Wisata'!$A$12:$A$622, 0)))) * COS(RADIANS(C254)) * SIN(RADIANS((D254) - INDEX('Dataset_Wisata'!$D$12:$D$622, MATCH('Dashboard'!$C$9, 'Dataset_Wisata'!$A$12:$A$622, 0)))/2)^2)) * 1.3</f>
        <v/>
      </c>
      <c r="J254" s="21">
        <f>ROUND(I254 * IF('Dashboard'!$C$6&lt;=1, 2250, IF('Dashboard'!$C$6&lt;=4, 5150, 6000)), 0)</f>
        <v/>
      </c>
      <c r="K254" s="30" t="n">
        <v>0.9998126508185596</v>
      </c>
      <c r="L254" s="30" t="n">
        <v>0.0001775718391516968</v>
      </c>
      <c r="M254" s="30" t="n">
        <v>9.7773422886897e-06</v>
      </c>
      <c r="N254" s="31">
        <f>ABS(E254-$F$6)</f>
        <v/>
      </c>
      <c r="O254" s="31">
        <f>ABS(E254-$F$7)</f>
        <v/>
      </c>
      <c r="P254" s="31">
        <f>ABS(E254-$F$8)</f>
        <v/>
      </c>
      <c r="Q254" s="14">
        <f>IF(K254&gt;=MAX(L254,M254), "Hemat", IF(L254&gt;=M254, "Balanced", "Premium"))</f>
        <v/>
      </c>
      <c r="R254" s="30" t="n">
        <v>0.9998126513362043</v>
      </c>
      <c r="S254" s="30" t="n">
        <v>0.0001775713458315561</v>
      </c>
      <c r="T254" s="30" t="n">
        <v>9.777317964159987e-06</v>
      </c>
      <c r="U254" s="31">
        <f>ABS(E254-$G$6)</f>
        <v/>
      </c>
      <c r="V254" s="31">
        <f>ABS(E254-$G$7)</f>
        <v/>
      </c>
      <c r="W254" s="31">
        <f>ABS(E254-$G$8)</f>
        <v/>
      </c>
      <c r="X254" s="14">
        <f>IF(R254&gt;=MAX(S254,T254), "Hemat", IF(S254&gt;=T254, "Balanced", "Premium"))</f>
        <v/>
      </c>
    </row>
    <row r="255">
      <c r="A255" s="14" t="n">
        <v>253</v>
      </c>
      <c r="B255" s="7" t="inlineStr">
        <is>
          <t>Pantai Batu Bengkung</t>
        </is>
      </c>
      <c r="C255" s="26" t="n">
        <v>-8.430187500000001</v>
      </c>
      <c r="D255" s="26" t="n">
        <v>112.6151875</v>
      </c>
      <c r="E255" s="21" t="n">
        <v>10000</v>
      </c>
      <c r="F255" s="27" t="n">
        <v>4.7</v>
      </c>
      <c r="G255" s="28" t="n">
        <v>2789</v>
      </c>
      <c r="H255" s="14" t="inlineStr">
        <is>
          <t>Pantai Batu Bengkung</t>
        </is>
      </c>
      <c r="I255" s="29">
        <f>6371 * 2 * ASIN(SQRT(SIN(RADIANS((C255) - INDEX('Dataset_Wisata'!$C$12:$C$622, MATCH('Dashboard'!$C$9, 'Dataset_Wisata'!$A$12:$A$622, 0)))/2)^2 + COS(RADIANS(INDEX('Dataset_Wisata'!$C$12:$C$622, MATCH('Dashboard'!$C$9, 'Dataset_Wisata'!$A$12:$A$622, 0)))) * COS(RADIANS(C255)) * SIN(RADIANS((D255) - INDEX('Dataset_Wisata'!$D$12:$D$622, MATCH('Dashboard'!$C$9, 'Dataset_Wisata'!$A$12:$A$622, 0)))/2)^2)) * 1.3</f>
        <v/>
      </c>
      <c r="J255" s="21">
        <f>ROUND(I255 * IF('Dashboard'!$C$6&lt;=1, 2250, IF('Dashboard'!$C$6&lt;=4, 5150, 6000)), 0)</f>
        <v/>
      </c>
      <c r="K255" s="30" t="n">
        <v>0.9998126508185596</v>
      </c>
      <c r="L255" s="30" t="n">
        <v>0.0001775718391516968</v>
      </c>
      <c r="M255" s="30" t="n">
        <v>9.7773422886897e-06</v>
      </c>
      <c r="N255" s="31">
        <f>ABS(E255-$F$6)</f>
        <v/>
      </c>
      <c r="O255" s="31">
        <f>ABS(E255-$F$7)</f>
        <v/>
      </c>
      <c r="P255" s="31">
        <f>ABS(E255-$F$8)</f>
        <v/>
      </c>
      <c r="Q255" s="14">
        <f>IF(K255&gt;=MAX(L255,M255), "Hemat", IF(L255&gt;=M255, "Balanced", "Premium"))</f>
        <v/>
      </c>
      <c r="R255" s="30" t="n">
        <v>0.9998126513362043</v>
      </c>
      <c r="S255" s="30" t="n">
        <v>0.0001775713458315561</v>
      </c>
      <c r="T255" s="30" t="n">
        <v>9.777317964159987e-06</v>
      </c>
      <c r="U255" s="31">
        <f>ABS(E255-$G$6)</f>
        <v/>
      </c>
      <c r="V255" s="31">
        <f>ABS(E255-$G$7)</f>
        <v/>
      </c>
      <c r="W255" s="31">
        <f>ABS(E255-$G$8)</f>
        <v/>
      </c>
      <c r="X255" s="14">
        <f>IF(R255&gt;=MAX(S255,T255), "Hemat", IF(S255&gt;=T255, "Balanced", "Premium"))</f>
        <v/>
      </c>
    </row>
    <row r="256">
      <c r="A256" s="14" t="n">
        <v>254</v>
      </c>
      <c r="B256" s="7" t="inlineStr">
        <is>
          <t>REST AREA TAWON</t>
        </is>
      </c>
      <c r="C256" s="26" t="n">
        <v>-8.3924608</v>
      </c>
      <c r="D256" s="26" t="n">
        <v>112.5636428</v>
      </c>
      <c r="E256" s="21" t="n">
        <v>25000</v>
      </c>
      <c r="F256" s="27" t="n">
        <v>4.8</v>
      </c>
      <c r="G256" s="28" t="n">
        <v>25</v>
      </c>
      <c r="H256" s="14" t="inlineStr">
        <is>
          <t>Tujuan Wisata · JH57+369</t>
        </is>
      </c>
      <c r="I256" s="29">
        <f>6371 * 2 * ASIN(SQRT(SIN(RADIANS((C256) - INDEX('Dataset_Wisata'!$C$12:$C$622, MATCH('Dashboard'!$C$9, 'Dataset_Wisata'!$A$12:$A$622, 0)))/2)^2 + COS(RADIANS(INDEX('Dataset_Wisata'!$C$12:$C$622, MATCH('Dashboard'!$C$9, 'Dataset_Wisata'!$A$12:$A$622, 0)))) * COS(RADIANS(C256)) * SIN(RADIANS((D256) - INDEX('Dataset_Wisata'!$D$12:$D$622, MATCH('Dashboard'!$C$9, 'Dataset_Wisata'!$A$12:$A$622, 0)))/2)^2)) * 1.3</f>
        <v/>
      </c>
      <c r="J256" s="21">
        <f>ROUND(I256 * IF('Dashboard'!$C$6&lt;=1, 2250, IF('Dashboard'!$C$6&lt;=4, 5150, 6000)), 0)</f>
        <v/>
      </c>
      <c r="K256" s="30" t="n">
        <v>0.714779317495253</v>
      </c>
      <c r="L256" s="30" t="n">
        <v>0.2780482755376564</v>
      </c>
      <c r="M256" s="30" t="n">
        <v>0.0071724069670906</v>
      </c>
      <c r="N256" s="31">
        <f>ABS(E256-$F$6)</f>
        <v/>
      </c>
      <c r="O256" s="31">
        <f>ABS(E256-$F$7)</f>
        <v/>
      </c>
      <c r="P256" s="31">
        <f>ABS(E256-$F$8)</f>
        <v/>
      </c>
      <c r="Q256" s="14">
        <f>IF(K256&gt;=MAX(L256,M256), "Hemat", IF(L256&gt;=M256, "Balanced", "Premium"))</f>
        <v/>
      </c>
      <c r="R256" s="30" t="n">
        <v>0.7147794395425007</v>
      </c>
      <c r="S256" s="30" t="n">
        <v>0.2780481531707544</v>
      </c>
      <c r="T256" s="30" t="n">
        <v>0.007172407286744955</v>
      </c>
      <c r="U256" s="31">
        <f>ABS(E256-$G$6)</f>
        <v/>
      </c>
      <c r="V256" s="31">
        <f>ABS(E256-$G$7)</f>
        <v/>
      </c>
      <c r="W256" s="31">
        <f>ABS(E256-$G$8)</f>
        <v/>
      </c>
      <c r="X256" s="14">
        <f>IF(R256&gt;=MAX(S256,T256), "Hemat", IF(S256&gt;=T256, "Balanced", "Premium"))</f>
        <v/>
      </c>
    </row>
    <row r="257">
      <c r="A257" s="14" t="n">
        <v>255</v>
      </c>
      <c r="B257" s="7" t="inlineStr">
        <is>
          <t>LOKET &amp; INFORMASI WISATA PANTAI NGUDEL</t>
        </is>
      </c>
      <c r="C257" s="26" t="n">
        <v>-8.4146983</v>
      </c>
      <c r="D257" s="26" t="n">
        <v>112.5855267</v>
      </c>
      <c r="E257" s="21" t="n">
        <v>15000</v>
      </c>
      <c r="F257" s="27" t="n">
        <v>4.3</v>
      </c>
      <c r="G257" s="28" t="n">
        <v>33</v>
      </c>
      <c r="H257" s="14" t="inlineStr">
        <is>
          <t>Wisata Umum</t>
        </is>
      </c>
      <c r="I257" s="29">
        <f>6371 * 2 * ASIN(SQRT(SIN(RADIANS((C257) - INDEX('Dataset_Wisata'!$C$12:$C$622, MATCH('Dashboard'!$C$9, 'Dataset_Wisata'!$A$12:$A$622, 0)))/2)^2 + COS(RADIANS(INDEX('Dataset_Wisata'!$C$12:$C$622, MATCH('Dashboard'!$C$9, 'Dataset_Wisata'!$A$12:$A$622, 0)))) * COS(RADIANS(C257)) * SIN(RADIANS((D257) - INDEX('Dataset_Wisata'!$D$12:$D$622, MATCH('Dashboard'!$C$9, 'Dataset_Wisata'!$A$12:$A$622, 0)))/2)^2)) * 1.3</f>
        <v/>
      </c>
      <c r="J257" s="21">
        <f>ROUND(I257 * IF('Dashboard'!$C$6&lt;=1, 2250, IF('Dashboard'!$C$6&lt;=4, 5150, 6000)), 0)</f>
        <v/>
      </c>
      <c r="K257" s="30" t="n">
        <v>0.9744283047002794</v>
      </c>
      <c r="L257" s="30" t="n">
        <v>0.02447712712252609</v>
      </c>
      <c r="M257" s="30" t="n">
        <v>0.001094568177194568</v>
      </c>
      <c r="N257" s="31">
        <f>ABS(E257-$F$6)</f>
        <v/>
      </c>
      <c r="O257" s="31">
        <f>ABS(E257-$F$7)</f>
        <v/>
      </c>
      <c r="P257" s="31">
        <f>ABS(E257-$F$8)</f>
        <v/>
      </c>
      <c r="Q257" s="14">
        <f>IF(K257&gt;=MAX(L257,M257), "Hemat", IF(L257&gt;=M257, "Balanced", "Premium"))</f>
        <v/>
      </c>
      <c r="R257" s="30" t="n">
        <v>0.9744283195785179</v>
      </c>
      <c r="S257" s="30" t="n">
        <v>0.02447711252884811</v>
      </c>
      <c r="T257" s="30" t="n">
        <v>0.001094567892634054</v>
      </c>
      <c r="U257" s="31">
        <f>ABS(E257-$G$6)</f>
        <v/>
      </c>
      <c r="V257" s="31">
        <f>ABS(E257-$G$7)</f>
        <v/>
      </c>
      <c r="W257" s="31">
        <f>ABS(E257-$G$8)</f>
        <v/>
      </c>
      <c r="X257" s="14">
        <f>IF(R257&gt;=MAX(S257,T257), "Hemat", IF(S257&gt;=T257, "Balanced", "Premium"))</f>
        <v/>
      </c>
    </row>
    <row r="258">
      <c r="A258" s="14" t="n">
        <v>256</v>
      </c>
      <c r="B258" s="7" t="inlineStr">
        <is>
          <t>Muara Paradise</t>
        </is>
      </c>
      <c r="C258" s="26" t="n">
        <v>-8.4030643</v>
      </c>
      <c r="D258" s="26" t="n">
        <v>112.5453749</v>
      </c>
      <c r="E258" s="21" t="n">
        <v>75000</v>
      </c>
      <c r="F258" s="27" t="n">
        <v>5</v>
      </c>
      <c r="G258" s="28" t="n">
        <v>22</v>
      </c>
      <c r="H258" s="14" t="inlineStr">
        <is>
          <t>Wisata Umum</t>
        </is>
      </c>
      <c r="I258" s="29">
        <f>6371 * 2 * ASIN(SQRT(SIN(RADIANS((C258) - INDEX('Dataset_Wisata'!$C$12:$C$622, MATCH('Dashboard'!$C$9, 'Dataset_Wisata'!$A$12:$A$622, 0)))/2)^2 + COS(RADIANS(INDEX('Dataset_Wisata'!$C$12:$C$622, MATCH('Dashboard'!$C$9, 'Dataset_Wisata'!$A$12:$A$622, 0)))) * COS(RADIANS(C258)) * SIN(RADIANS((D258) - INDEX('Dataset_Wisata'!$D$12:$D$622, MATCH('Dashboard'!$C$9, 'Dataset_Wisata'!$A$12:$A$622, 0)))/2)^2)) * 1.3</f>
        <v/>
      </c>
      <c r="J258" s="21">
        <f>ROUND(I258 * IF('Dashboard'!$C$6&lt;=1, 2250, IF('Dashboard'!$C$6&lt;=4, 5150, 6000)), 0)</f>
        <v/>
      </c>
      <c r="K258" s="30" t="n">
        <v>0.1218465268050967</v>
      </c>
      <c r="L258" s="30" t="n">
        <v>0.8307384148966545</v>
      </c>
      <c r="M258" s="30" t="n">
        <v>0.04741505829824878</v>
      </c>
      <c r="N258" s="31">
        <f>ABS(E258-$F$6)</f>
        <v/>
      </c>
      <c r="O258" s="31">
        <f>ABS(E258-$F$7)</f>
        <v/>
      </c>
      <c r="P258" s="31">
        <f>ABS(E258-$F$8)</f>
        <v/>
      </c>
      <c r="Q258" s="14">
        <f>IF(K258&gt;=MAX(L258,M258), "Hemat", IF(L258&gt;=M258, "Balanced", "Premium"))</f>
        <v/>
      </c>
      <c r="R258" s="30" t="n">
        <v>0.1218464763656933</v>
      </c>
      <c r="S258" s="30" t="n">
        <v>0.8307384888671129</v>
      </c>
      <c r="T258" s="30" t="n">
        <v>0.04741503476719393</v>
      </c>
      <c r="U258" s="31">
        <f>ABS(E258-$G$6)</f>
        <v/>
      </c>
      <c r="V258" s="31">
        <f>ABS(E258-$G$7)</f>
        <v/>
      </c>
      <c r="W258" s="31">
        <f>ABS(E258-$G$8)</f>
        <v/>
      </c>
      <c r="X258" s="14">
        <f>IF(R258&gt;=MAX(S258,T258), "Hemat", IF(S258&gt;=T258, "Balanced", "Premium"))</f>
        <v/>
      </c>
    </row>
    <row r="259">
      <c r="A259" s="14" t="n">
        <v>257</v>
      </c>
      <c r="B259" s="7" t="inlineStr">
        <is>
          <t>Pantai Banyu Meneng</t>
        </is>
      </c>
      <c r="C259" s="26" t="n">
        <v>-8.3963397</v>
      </c>
      <c r="D259" s="26" t="n">
        <v>112.5150428</v>
      </c>
      <c r="E259" s="21" t="n">
        <v>15000</v>
      </c>
      <c r="F259" s="27" t="n">
        <v>4.6</v>
      </c>
      <c r="G259" s="28" t="n">
        <v>2236</v>
      </c>
      <c r="H259" s="14" t="inlineStr">
        <is>
          <t>Pantai Banyu Meneng</t>
        </is>
      </c>
      <c r="I259" s="29">
        <f>6371 * 2 * ASIN(SQRT(SIN(RADIANS((C259) - INDEX('Dataset_Wisata'!$C$12:$C$622, MATCH('Dashboard'!$C$9, 'Dataset_Wisata'!$A$12:$A$622, 0)))/2)^2 + COS(RADIANS(INDEX('Dataset_Wisata'!$C$12:$C$622, MATCH('Dashboard'!$C$9, 'Dataset_Wisata'!$A$12:$A$622, 0)))) * COS(RADIANS(C259)) * SIN(RADIANS((D259) - INDEX('Dataset_Wisata'!$D$12:$D$622, MATCH('Dashboard'!$C$9, 'Dataset_Wisata'!$A$12:$A$622, 0)))/2)^2)) * 1.3</f>
        <v/>
      </c>
      <c r="J259" s="21">
        <f>ROUND(I259 * IF('Dashboard'!$C$6&lt;=1, 2250, IF('Dashboard'!$C$6&lt;=4, 5150, 6000)), 0)</f>
        <v/>
      </c>
      <c r="K259" s="30" t="n">
        <v>0.9744283047002794</v>
      </c>
      <c r="L259" s="30" t="n">
        <v>0.02447712712252609</v>
      </c>
      <c r="M259" s="30" t="n">
        <v>0.001094568177194568</v>
      </c>
      <c r="N259" s="31">
        <f>ABS(E259-$F$6)</f>
        <v/>
      </c>
      <c r="O259" s="31">
        <f>ABS(E259-$F$7)</f>
        <v/>
      </c>
      <c r="P259" s="31">
        <f>ABS(E259-$F$8)</f>
        <v/>
      </c>
      <c r="Q259" s="14">
        <f>IF(K259&gt;=MAX(L259,M259), "Hemat", IF(L259&gt;=M259, "Balanced", "Premium"))</f>
        <v/>
      </c>
      <c r="R259" s="30" t="n">
        <v>0.9744283195785179</v>
      </c>
      <c r="S259" s="30" t="n">
        <v>0.02447711252884811</v>
      </c>
      <c r="T259" s="30" t="n">
        <v>0.001094567892634054</v>
      </c>
      <c r="U259" s="31">
        <f>ABS(E259-$G$6)</f>
        <v/>
      </c>
      <c r="V259" s="31">
        <f>ABS(E259-$G$7)</f>
        <v/>
      </c>
      <c r="W259" s="31">
        <f>ABS(E259-$G$8)</f>
        <v/>
      </c>
      <c r="X259" s="14">
        <f>IF(R259&gt;=MAX(S259,T259), "Hemat", IF(S259&gt;=T259, "Balanced", "Premium"))</f>
        <v/>
      </c>
    </row>
    <row r="260">
      <c r="A260" s="14" t="n">
        <v>258</v>
      </c>
      <c r="B260" s="7" t="inlineStr">
        <is>
          <t>Pantai Mbehi</t>
        </is>
      </c>
      <c r="C260" s="26" t="n">
        <v>-8.4022358</v>
      </c>
      <c r="D260" s="26" t="n">
        <v>112.5043082</v>
      </c>
      <c r="E260" s="21" t="n">
        <v>10000</v>
      </c>
      <c r="F260" s="27" t="n">
        <v>4.5</v>
      </c>
      <c r="G260" s="28" t="n">
        <v>164</v>
      </c>
      <c r="H260" s="14" t="inlineStr">
        <is>
          <t>Pantai Mbehi</t>
        </is>
      </c>
      <c r="I260" s="29">
        <f>6371 * 2 * ASIN(SQRT(SIN(RADIANS((C260) - INDEX('Dataset_Wisata'!$C$12:$C$622, MATCH('Dashboard'!$C$9, 'Dataset_Wisata'!$A$12:$A$622, 0)))/2)^2 + COS(RADIANS(INDEX('Dataset_Wisata'!$C$12:$C$622, MATCH('Dashboard'!$C$9, 'Dataset_Wisata'!$A$12:$A$622, 0)))) * COS(RADIANS(C260)) * SIN(RADIANS((D260) - INDEX('Dataset_Wisata'!$D$12:$D$622, MATCH('Dashboard'!$C$9, 'Dataset_Wisata'!$A$12:$A$622, 0)))/2)^2)) * 1.3</f>
        <v/>
      </c>
      <c r="J260" s="21">
        <f>ROUND(I260 * IF('Dashboard'!$C$6&lt;=1, 2250, IF('Dashboard'!$C$6&lt;=4, 5150, 6000)), 0)</f>
        <v/>
      </c>
      <c r="K260" s="30" t="n">
        <v>0.9998126508185596</v>
      </c>
      <c r="L260" s="30" t="n">
        <v>0.0001775718391516968</v>
      </c>
      <c r="M260" s="30" t="n">
        <v>9.7773422886897e-06</v>
      </c>
      <c r="N260" s="31">
        <f>ABS(E260-$F$6)</f>
        <v/>
      </c>
      <c r="O260" s="31">
        <f>ABS(E260-$F$7)</f>
        <v/>
      </c>
      <c r="P260" s="31">
        <f>ABS(E260-$F$8)</f>
        <v/>
      </c>
      <c r="Q260" s="14">
        <f>IF(K260&gt;=MAX(L260,M260), "Hemat", IF(L260&gt;=M260, "Balanced", "Premium"))</f>
        <v/>
      </c>
      <c r="R260" s="30" t="n">
        <v>0.9998126513362043</v>
      </c>
      <c r="S260" s="30" t="n">
        <v>0.0001775713458315561</v>
      </c>
      <c r="T260" s="30" t="n">
        <v>9.777317964159987e-06</v>
      </c>
      <c r="U260" s="31">
        <f>ABS(E260-$G$6)</f>
        <v/>
      </c>
      <c r="V260" s="31">
        <f>ABS(E260-$G$7)</f>
        <v/>
      </c>
      <c r="W260" s="31">
        <f>ABS(E260-$G$8)</f>
        <v/>
      </c>
      <c r="X260" s="14">
        <f>IF(R260&gt;=MAX(S260,T260), "Hemat", IF(S260&gt;=T260, "Balanced", "Premium"))</f>
        <v/>
      </c>
    </row>
    <row r="261">
      <c r="A261" s="14" t="n">
        <v>259</v>
      </c>
      <c r="B261" s="7" t="inlineStr">
        <is>
          <t>Kolam Jambegede. Samaq Asri Budidaya Ikan</t>
        </is>
      </c>
      <c r="C261" s="26" t="n">
        <v>-8.181006099999999</v>
      </c>
      <c r="D261" s="26" t="n">
        <v>112.5625404</v>
      </c>
      <c r="E261" s="21" t="n">
        <v>5000</v>
      </c>
      <c r="F261" s="27" t="n">
        <v>4.2</v>
      </c>
      <c r="G261" s="28" t="n">
        <v>36</v>
      </c>
      <c r="H261" s="14" t="inlineStr">
        <is>
          <t>Tujuan Wisata · RH96+P7F</t>
        </is>
      </c>
      <c r="I261" s="29">
        <f>6371 * 2 * ASIN(SQRT(SIN(RADIANS((C261) - INDEX('Dataset_Wisata'!$C$12:$C$622, MATCH('Dashboard'!$C$9, 'Dataset_Wisata'!$A$12:$A$622, 0)))/2)^2 + COS(RADIANS(INDEX('Dataset_Wisata'!$C$12:$C$622, MATCH('Dashboard'!$C$9, 'Dataset_Wisata'!$A$12:$A$622, 0)))) * COS(RADIANS(C261)) * SIN(RADIANS((D261) - INDEX('Dataset_Wisata'!$D$12:$D$622, MATCH('Dashboard'!$C$9, 'Dataset_Wisata'!$A$12:$A$622, 0)))/2)^2)) * 1.3</f>
        <v/>
      </c>
      <c r="J261" s="21">
        <f>ROUND(I261 * IF('Dashboard'!$C$6&lt;=1, 2250, IF('Dashboard'!$C$6&lt;=4, 5150, 6000)), 0)</f>
        <v/>
      </c>
      <c r="K261" s="30" t="n">
        <v>0.9895566543895754</v>
      </c>
      <c r="L261" s="30" t="n">
        <v>0.009798611400025654</v>
      </c>
      <c r="M261" s="30" t="n">
        <v>0.0006447342103988783</v>
      </c>
      <c r="N261" s="31">
        <f>ABS(E261-$F$6)</f>
        <v/>
      </c>
      <c r="O261" s="31">
        <f>ABS(E261-$F$7)</f>
        <v/>
      </c>
      <c r="P261" s="31">
        <f>ABS(E261-$F$8)</f>
        <v/>
      </c>
      <c r="Q261" s="14">
        <f>IF(K261&gt;=MAX(L261,M261), "Hemat", IF(L261&gt;=M261, "Balanced", "Premium"))</f>
        <v/>
      </c>
      <c r="R261" s="30" t="n">
        <v>0.9895566542341836</v>
      </c>
      <c r="S261" s="30" t="n">
        <v>0.00979861139170024</v>
      </c>
      <c r="T261" s="30" t="n">
        <v>0.00064473437411607</v>
      </c>
      <c r="U261" s="31">
        <f>ABS(E261-$G$6)</f>
        <v/>
      </c>
      <c r="V261" s="31">
        <f>ABS(E261-$G$7)</f>
        <v/>
      </c>
      <c r="W261" s="31">
        <f>ABS(E261-$G$8)</f>
        <v/>
      </c>
      <c r="X261" s="14">
        <f>IF(R261&gt;=MAX(S261,T261), "Hemat", IF(S261&gt;=T261, "Balanced", "Premium"))</f>
        <v/>
      </c>
    </row>
    <row r="262">
      <c r="A262" s="14" t="n">
        <v>260</v>
      </c>
      <c r="B262" s="7" t="inlineStr">
        <is>
          <t>TAMAN TOPENG SENGGURUH KEPANJEN</t>
        </is>
      </c>
      <c r="C262" s="26" t="n">
        <v>-8.1766135</v>
      </c>
      <c r="D262" s="26" t="n">
        <v>112.5499927</v>
      </c>
      <c r="E262" s="21" t="n">
        <v>8000</v>
      </c>
      <c r="F262" s="27" t="n">
        <v>4.6</v>
      </c>
      <c r="G262" s="28" t="n">
        <v>94</v>
      </c>
      <c r="H262" s="14" t="inlineStr">
        <is>
          <t>TAMAN TOPENG SENGGURUH KEPANJEN</t>
        </is>
      </c>
      <c r="I262" s="29">
        <f>6371 * 2 * ASIN(SQRT(SIN(RADIANS((C262) - INDEX('Dataset_Wisata'!$C$12:$C$622, MATCH('Dashboard'!$C$9, 'Dataset_Wisata'!$A$12:$A$622, 0)))/2)^2 + COS(RADIANS(INDEX('Dataset_Wisata'!$C$12:$C$622, MATCH('Dashboard'!$C$9, 'Dataset_Wisata'!$A$12:$A$622, 0)))) * COS(RADIANS(C262)) * SIN(RADIANS((D262) - INDEX('Dataset_Wisata'!$D$12:$D$622, MATCH('Dashboard'!$C$9, 'Dataset_Wisata'!$A$12:$A$622, 0)))/2)^2)) * 1.3</f>
        <v/>
      </c>
      <c r="J262" s="21">
        <f>ROUND(I262 * IF('Dashboard'!$C$6&lt;=1, 2250, IF('Dashboard'!$C$6&lt;=4, 5150, 6000)), 0)</f>
        <v/>
      </c>
      <c r="K262" s="30" t="n">
        <v>0.9987011480460599</v>
      </c>
      <c r="L262" s="30" t="n">
        <v>0.001226123503144755</v>
      </c>
      <c r="M262" s="30" t="n">
        <v>7.272845079538573e-05</v>
      </c>
      <c r="N262" s="31">
        <f>ABS(E262-$F$6)</f>
        <v/>
      </c>
      <c r="O262" s="31">
        <f>ABS(E262-$F$7)</f>
        <v/>
      </c>
      <c r="P262" s="31">
        <f>ABS(E262-$F$8)</f>
        <v/>
      </c>
      <c r="Q262" s="14">
        <f>IF(K262&gt;=MAX(L262,M262), "Hemat", IF(L262&gt;=M262, "Balanced", "Premium"))</f>
        <v/>
      </c>
      <c r="R262" s="30" t="n">
        <v>0.9987011472813523</v>
      </c>
      <c r="S262" s="30" t="n">
        <v>0.001226124206149059</v>
      </c>
      <c r="T262" s="30" t="n">
        <v>7.272851249855953e-05</v>
      </c>
      <c r="U262" s="31">
        <f>ABS(E262-$G$6)</f>
        <v/>
      </c>
      <c r="V262" s="31">
        <f>ABS(E262-$G$7)</f>
        <v/>
      </c>
      <c r="W262" s="31">
        <f>ABS(E262-$G$8)</f>
        <v/>
      </c>
      <c r="X262" s="14">
        <f>IF(R262&gt;=MAX(S262,T262), "Hemat", IF(S262&gt;=T262, "Balanced", "Premium"))</f>
        <v/>
      </c>
    </row>
    <row r="263">
      <c r="A263" s="14" t="n">
        <v>261</v>
      </c>
      <c r="B263" s="7" t="inlineStr">
        <is>
          <t>Penyebrangan Jurang Toleh</t>
        </is>
      </c>
      <c r="C263" s="26" t="n">
        <v>-8.1783217</v>
      </c>
      <c r="D263" s="26" t="n">
        <v>112.4790013</v>
      </c>
      <c r="E263" s="21" t="n">
        <v>10000</v>
      </c>
      <c r="F263" s="27" t="n">
        <v>4.9</v>
      </c>
      <c r="G263" s="28" t="n">
        <v>35</v>
      </c>
      <c r="H263" s="14" t="inlineStr">
        <is>
          <t>Wisata Umum</t>
        </is>
      </c>
      <c r="I263" s="29">
        <f>6371 * 2 * ASIN(SQRT(SIN(RADIANS((C263) - INDEX('Dataset_Wisata'!$C$12:$C$622, MATCH('Dashboard'!$C$9, 'Dataset_Wisata'!$A$12:$A$622, 0)))/2)^2 + COS(RADIANS(INDEX('Dataset_Wisata'!$C$12:$C$622, MATCH('Dashboard'!$C$9, 'Dataset_Wisata'!$A$12:$A$622, 0)))) * COS(RADIANS(C263)) * SIN(RADIANS((D263) - INDEX('Dataset_Wisata'!$D$12:$D$622, MATCH('Dashboard'!$C$9, 'Dataset_Wisata'!$A$12:$A$622, 0)))/2)^2)) * 1.3</f>
        <v/>
      </c>
      <c r="J263" s="21">
        <f>ROUND(I263 * IF('Dashboard'!$C$6&lt;=1, 2250, IF('Dashboard'!$C$6&lt;=4, 5150, 6000)), 0)</f>
        <v/>
      </c>
      <c r="K263" s="30" t="n">
        <v>0.9998126508185596</v>
      </c>
      <c r="L263" s="30" t="n">
        <v>0.0001775718391516968</v>
      </c>
      <c r="M263" s="30" t="n">
        <v>9.7773422886897e-06</v>
      </c>
      <c r="N263" s="31">
        <f>ABS(E263-$F$6)</f>
        <v/>
      </c>
      <c r="O263" s="31">
        <f>ABS(E263-$F$7)</f>
        <v/>
      </c>
      <c r="P263" s="31">
        <f>ABS(E263-$F$8)</f>
        <v/>
      </c>
      <c r="Q263" s="14">
        <f>IF(K263&gt;=MAX(L263,M263), "Hemat", IF(L263&gt;=M263, "Balanced", "Premium"))</f>
        <v/>
      </c>
      <c r="R263" s="30" t="n">
        <v>0.9998126513362043</v>
      </c>
      <c r="S263" s="30" t="n">
        <v>0.0001775713458315561</v>
      </c>
      <c r="T263" s="30" t="n">
        <v>9.777317964159987e-06</v>
      </c>
      <c r="U263" s="31">
        <f>ABS(E263-$G$6)</f>
        <v/>
      </c>
      <c r="V263" s="31">
        <f>ABS(E263-$G$7)</f>
        <v/>
      </c>
      <c r="W263" s="31">
        <f>ABS(E263-$G$8)</f>
        <v/>
      </c>
      <c r="X263" s="14">
        <f>IF(R263&gt;=MAX(S263,T263), "Hemat", IF(S263&gt;=T263, "Balanced", "Premium"))</f>
        <v/>
      </c>
    </row>
    <row r="264">
      <c r="A264" s="14" t="n">
        <v>262</v>
      </c>
      <c r="B264" s="7" t="inlineStr">
        <is>
          <t>Sumber Sira Putukrejo</t>
        </is>
      </c>
      <c r="C264" s="26" t="n">
        <v>-8.122829299999999</v>
      </c>
      <c r="D264" s="26" t="n">
        <v>112.6206066</v>
      </c>
      <c r="E264" s="21" t="n">
        <v>10000</v>
      </c>
      <c r="F264" s="27" t="n">
        <v>4.4</v>
      </c>
      <c r="G264" s="28" t="n">
        <v>4537</v>
      </c>
      <c r="H264" s="14" t="inlineStr">
        <is>
          <t>Wisata Umum</t>
        </is>
      </c>
      <c r="I264" s="29">
        <f>6371 * 2 * ASIN(SQRT(SIN(RADIANS((C264) - INDEX('Dataset_Wisata'!$C$12:$C$622, MATCH('Dashboard'!$C$9, 'Dataset_Wisata'!$A$12:$A$622, 0)))/2)^2 + COS(RADIANS(INDEX('Dataset_Wisata'!$C$12:$C$622, MATCH('Dashboard'!$C$9, 'Dataset_Wisata'!$A$12:$A$622, 0)))) * COS(RADIANS(C264)) * SIN(RADIANS((D264) - INDEX('Dataset_Wisata'!$D$12:$D$622, MATCH('Dashboard'!$C$9, 'Dataset_Wisata'!$A$12:$A$622, 0)))/2)^2)) * 1.3</f>
        <v/>
      </c>
      <c r="J264" s="21">
        <f>ROUND(I264 * IF('Dashboard'!$C$6&lt;=1, 2250, IF('Dashboard'!$C$6&lt;=4, 5150, 6000)), 0)</f>
        <v/>
      </c>
      <c r="K264" s="30" t="n">
        <v>0.9998126508185596</v>
      </c>
      <c r="L264" s="30" t="n">
        <v>0.0001775718391516968</v>
      </c>
      <c r="M264" s="30" t="n">
        <v>9.7773422886897e-06</v>
      </c>
      <c r="N264" s="31">
        <f>ABS(E264-$F$6)</f>
        <v/>
      </c>
      <c r="O264" s="31">
        <f>ABS(E264-$F$7)</f>
        <v/>
      </c>
      <c r="P264" s="31">
        <f>ABS(E264-$F$8)</f>
        <v/>
      </c>
      <c r="Q264" s="14">
        <f>IF(K264&gt;=MAX(L264,M264), "Hemat", IF(L264&gt;=M264, "Balanced", "Premium"))</f>
        <v/>
      </c>
      <c r="R264" s="30" t="n">
        <v>0.9998126513362043</v>
      </c>
      <c r="S264" s="30" t="n">
        <v>0.0001775713458315561</v>
      </c>
      <c r="T264" s="30" t="n">
        <v>9.777317964159987e-06</v>
      </c>
      <c r="U264" s="31">
        <f>ABS(E264-$G$6)</f>
        <v/>
      </c>
      <c r="V264" s="31">
        <f>ABS(E264-$G$7)</f>
        <v/>
      </c>
      <c r="W264" s="31">
        <f>ABS(E264-$G$8)</f>
        <v/>
      </c>
      <c r="X264" s="14">
        <f>IF(R264&gt;=MAX(S264,T264), "Hemat", IF(S264&gt;=T264, "Balanced", "Premium"))</f>
        <v/>
      </c>
    </row>
    <row r="265">
      <c r="A265" s="14" t="n">
        <v>263</v>
      </c>
      <c r="B265" s="7" t="inlineStr">
        <is>
          <t>Taman Contong Kepanjen</t>
        </is>
      </c>
      <c r="C265" s="26" t="n">
        <v>-8.1326476</v>
      </c>
      <c r="D265" s="26" t="n">
        <v>112.5727016</v>
      </c>
      <c r="E265" s="21" t="n">
        <v>10000</v>
      </c>
      <c r="F265" s="27" t="n">
        <v>4.5</v>
      </c>
      <c r="G265" s="28" t="n">
        <v>39</v>
      </c>
      <c r="H265" s="14" t="inlineStr">
        <is>
          <t>Taman Contong Kepanjen</t>
        </is>
      </c>
      <c r="I265" s="29">
        <f>6371 * 2 * ASIN(SQRT(SIN(RADIANS((C265) - INDEX('Dataset_Wisata'!$C$12:$C$622, MATCH('Dashboard'!$C$9, 'Dataset_Wisata'!$A$12:$A$622, 0)))/2)^2 + COS(RADIANS(INDEX('Dataset_Wisata'!$C$12:$C$622, MATCH('Dashboard'!$C$9, 'Dataset_Wisata'!$A$12:$A$622, 0)))) * COS(RADIANS(C265)) * SIN(RADIANS((D265) - INDEX('Dataset_Wisata'!$D$12:$D$622, MATCH('Dashboard'!$C$9, 'Dataset_Wisata'!$A$12:$A$622, 0)))/2)^2)) * 1.3</f>
        <v/>
      </c>
      <c r="J265" s="21">
        <f>ROUND(I265 * IF('Dashboard'!$C$6&lt;=1, 2250, IF('Dashboard'!$C$6&lt;=4, 5150, 6000)), 0)</f>
        <v/>
      </c>
      <c r="K265" s="30" t="n">
        <v>0.9998126508185596</v>
      </c>
      <c r="L265" s="30" t="n">
        <v>0.0001775718391516968</v>
      </c>
      <c r="M265" s="30" t="n">
        <v>9.7773422886897e-06</v>
      </c>
      <c r="N265" s="31">
        <f>ABS(E265-$F$6)</f>
        <v/>
      </c>
      <c r="O265" s="31">
        <f>ABS(E265-$F$7)</f>
        <v/>
      </c>
      <c r="P265" s="31">
        <f>ABS(E265-$F$8)</f>
        <v/>
      </c>
      <c r="Q265" s="14">
        <f>IF(K265&gt;=MAX(L265,M265), "Hemat", IF(L265&gt;=M265, "Balanced", "Premium"))</f>
        <v/>
      </c>
      <c r="R265" s="30" t="n">
        <v>0.9998126513362043</v>
      </c>
      <c r="S265" s="30" t="n">
        <v>0.0001775713458315561</v>
      </c>
      <c r="T265" s="30" t="n">
        <v>9.777317964159987e-06</v>
      </c>
      <c r="U265" s="31">
        <f>ABS(E265-$G$6)</f>
        <v/>
      </c>
      <c r="V265" s="31">
        <f>ABS(E265-$G$7)</f>
        <v/>
      </c>
      <c r="W265" s="31">
        <f>ABS(E265-$G$8)</f>
        <v/>
      </c>
      <c r="X265" s="14">
        <f>IF(R265&gt;=MAX(S265,T265), "Hemat", IF(S265&gt;=T265, "Balanced", "Premium"))</f>
        <v/>
      </c>
    </row>
    <row r="266">
      <c r="A266" s="14" t="n">
        <v>264</v>
      </c>
      <c r="B266" s="7" t="inlineStr">
        <is>
          <t>Monumen Peniwen Affair</t>
        </is>
      </c>
      <c r="C266" s="26" t="n">
        <v>-8.108818299999999</v>
      </c>
      <c r="D266" s="26" t="n">
        <v>112.4700734</v>
      </c>
      <c r="E266" s="21" t="n">
        <v>60000</v>
      </c>
      <c r="F266" s="27" t="n">
        <v>4.6</v>
      </c>
      <c r="G266" s="28" t="n">
        <v>172</v>
      </c>
      <c r="H266" s="14" t="inlineStr">
        <is>
          <t>Wisata Umum</t>
        </is>
      </c>
      <c r="I266" s="29">
        <f>6371 * 2 * ASIN(SQRT(SIN(RADIANS((C266) - INDEX('Dataset_Wisata'!$C$12:$C$622, MATCH('Dashboard'!$C$9, 'Dataset_Wisata'!$A$12:$A$622, 0)))/2)^2 + COS(RADIANS(INDEX('Dataset_Wisata'!$C$12:$C$622, MATCH('Dashboard'!$C$9, 'Dataset_Wisata'!$A$12:$A$622, 0)))) * COS(RADIANS(C266)) * SIN(RADIANS((D266) - INDEX('Dataset_Wisata'!$D$12:$D$622, MATCH('Dashboard'!$C$9, 'Dataset_Wisata'!$A$12:$A$622, 0)))/2)^2)) * 1.3</f>
        <v/>
      </c>
      <c r="J266" s="21">
        <f>ROUND(I266 * IF('Dashboard'!$C$6&lt;=1, 2250, IF('Dashboard'!$C$6&lt;=4, 5150, 6000)), 0)</f>
        <v/>
      </c>
      <c r="K266" s="30" t="n">
        <v>0.03813560740753515</v>
      </c>
      <c r="L266" s="30" t="n">
        <v>0.9551077970041918</v>
      </c>
      <c r="M266" s="30" t="n">
        <v>0.006756595588273031</v>
      </c>
      <c r="N266" s="31">
        <f>ABS(E266-$F$6)</f>
        <v/>
      </c>
      <c r="O266" s="31">
        <f>ABS(E266-$F$7)</f>
        <v/>
      </c>
      <c r="P266" s="31">
        <f>ABS(E266-$F$8)</f>
        <v/>
      </c>
      <c r="Q266" s="14">
        <f>IF(K266&gt;=MAX(L266,M266), "Hemat", IF(L266&gt;=M266, "Balanced", "Premium"))</f>
        <v/>
      </c>
      <c r="R266" s="30" t="n">
        <v>0.03813556102953696</v>
      </c>
      <c r="S266" s="30" t="n">
        <v>0.9551078521424723</v>
      </c>
      <c r="T266" s="30" t="n">
        <v>0.00675658682799073</v>
      </c>
      <c r="U266" s="31">
        <f>ABS(E266-$G$6)</f>
        <v/>
      </c>
      <c r="V266" s="31">
        <f>ABS(E266-$G$7)</f>
        <v/>
      </c>
      <c r="W266" s="31">
        <f>ABS(E266-$G$8)</f>
        <v/>
      </c>
      <c r="X266" s="14">
        <f>IF(R266&gt;=MAX(S266,T266), "Hemat", IF(S266&gt;=T266, "Balanced", "Premium"))</f>
        <v/>
      </c>
    </row>
    <row r="267">
      <c r="A267" s="14" t="n">
        <v>265</v>
      </c>
      <c r="B267" s="7" t="inlineStr">
        <is>
          <t>Monumen Juang</t>
        </is>
      </c>
      <c r="C267" s="26" t="n">
        <v>-7.9775531</v>
      </c>
      <c r="D267" s="26" t="n">
        <v>112.636329</v>
      </c>
      <c r="E267" s="21" t="n">
        <v>15000</v>
      </c>
      <c r="F267" s="27" t="n">
        <v>4.3</v>
      </c>
      <c r="G267" s="28" t="n">
        <v>86</v>
      </c>
      <c r="H267" s="14" t="inlineStr">
        <is>
          <t>Wisata Umum</t>
        </is>
      </c>
      <c r="I267" s="29">
        <f>6371 * 2 * ASIN(SQRT(SIN(RADIANS((C267) - INDEX('Dataset_Wisata'!$C$12:$C$622, MATCH('Dashboard'!$C$9, 'Dataset_Wisata'!$A$12:$A$622, 0)))/2)^2 + COS(RADIANS(INDEX('Dataset_Wisata'!$C$12:$C$622, MATCH('Dashboard'!$C$9, 'Dataset_Wisata'!$A$12:$A$622, 0)))) * COS(RADIANS(C267)) * SIN(RADIANS((D267) - INDEX('Dataset_Wisata'!$D$12:$D$622, MATCH('Dashboard'!$C$9, 'Dataset_Wisata'!$A$12:$A$622, 0)))/2)^2)) * 1.3</f>
        <v/>
      </c>
      <c r="J267" s="21">
        <f>ROUND(I267 * IF('Dashboard'!$C$6&lt;=1, 2250, IF('Dashboard'!$C$6&lt;=4, 5150, 6000)), 0)</f>
        <v/>
      </c>
      <c r="K267" s="30" t="n">
        <v>0.9744283047002794</v>
      </c>
      <c r="L267" s="30" t="n">
        <v>0.02447712712252609</v>
      </c>
      <c r="M267" s="30" t="n">
        <v>0.001094568177194568</v>
      </c>
      <c r="N267" s="31">
        <f>ABS(E267-$F$6)</f>
        <v/>
      </c>
      <c r="O267" s="31">
        <f>ABS(E267-$F$7)</f>
        <v/>
      </c>
      <c r="P267" s="31">
        <f>ABS(E267-$F$8)</f>
        <v/>
      </c>
      <c r="Q267" s="14">
        <f>IF(K267&gt;=MAX(L267,M267), "Hemat", IF(L267&gt;=M267, "Balanced", "Premium"))</f>
        <v/>
      </c>
      <c r="R267" s="30" t="n">
        <v>0.9744283195785179</v>
      </c>
      <c r="S267" s="30" t="n">
        <v>0.02447711252884811</v>
      </c>
      <c r="T267" s="30" t="n">
        <v>0.001094567892634054</v>
      </c>
      <c r="U267" s="31">
        <f>ABS(E267-$G$6)</f>
        <v/>
      </c>
      <c r="V267" s="31">
        <f>ABS(E267-$G$7)</f>
        <v/>
      </c>
      <c r="W267" s="31">
        <f>ABS(E267-$G$8)</f>
        <v/>
      </c>
      <c r="X267" s="14">
        <f>IF(R267&gt;=MAX(S267,T267), "Hemat", IF(S267&gt;=T267, "Balanced", "Premium"))</f>
        <v/>
      </c>
    </row>
    <row r="268">
      <c r="A268" s="14" t="n">
        <v>266</v>
      </c>
      <c r="B268" s="7" t="inlineStr">
        <is>
          <t>Wisata Kampung Putih Malang</t>
        </is>
      </c>
      <c r="C268" s="26" t="n">
        <v>-7.9727599</v>
      </c>
      <c r="D268" s="26" t="n">
        <v>112.6309237</v>
      </c>
      <c r="E268" s="21" t="n">
        <v>2000</v>
      </c>
      <c r="F268" s="27" t="n">
        <v>4.2</v>
      </c>
      <c r="G268" s="28" t="n">
        <v>234</v>
      </c>
      <c r="H268" s="14" t="inlineStr">
        <is>
          <t>Wisata Kampung Putih Malang</t>
        </is>
      </c>
      <c r="I268" s="29">
        <f>6371 * 2 * ASIN(SQRT(SIN(RADIANS((C268) - INDEX('Dataset_Wisata'!$C$12:$C$622, MATCH('Dashboard'!$C$9, 'Dataset_Wisata'!$A$12:$A$622, 0)))/2)^2 + COS(RADIANS(INDEX('Dataset_Wisata'!$C$12:$C$622, MATCH('Dashboard'!$C$9, 'Dataset_Wisata'!$A$12:$A$622, 0)))) * COS(RADIANS(C268)) * SIN(RADIANS((D268) - INDEX('Dataset_Wisata'!$D$12:$D$622, MATCH('Dashboard'!$C$9, 'Dataset_Wisata'!$A$12:$A$622, 0)))/2)^2)) * 1.3</f>
        <v/>
      </c>
      <c r="J268" s="21">
        <f>ROUND(I268 * IF('Dashboard'!$C$6&lt;=1, 2250, IF('Dashboard'!$C$6&lt;=4, 5150, 6000)), 0)</f>
        <v/>
      </c>
      <c r="K268" s="30" t="n">
        <v>0.9745968037531486</v>
      </c>
      <c r="L268" s="30" t="n">
        <v>0.02368856650344644</v>
      </c>
      <c r="M268" s="30" t="n">
        <v>0.001714629743404906</v>
      </c>
      <c r="N268" s="31">
        <f>ABS(E268-$F$6)</f>
        <v/>
      </c>
      <c r="O268" s="31">
        <f>ABS(E268-$F$7)</f>
        <v/>
      </c>
      <c r="P268" s="31">
        <f>ABS(E268-$F$8)</f>
        <v/>
      </c>
      <c r="Q268" s="14">
        <f>IF(K268&gt;=MAX(L268,M268), "Hemat", IF(L268&gt;=M268, "Balanced", "Premium"))</f>
        <v/>
      </c>
      <c r="R268" s="30" t="n">
        <v>0.9745968058205632</v>
      </c>
      <c r="S268" s="30" t="n">
        <v>0.02368856419646389</v>
      </c>
      <c r="T268" s="30" t="n">
        <v>0.001714629982972894</v>
      </c>
      <c r="U268" s="31">
        <f>ABS(E268-$G$6)</f>
        <v/>
      </c>
      <c r="V268" s="31">
        <f>ABS(E268-$G$7)</f>
        <v/>
      </c>
      <c r="W268" s="31">
        <f>ABS(E268-$G$8)</f>
        <v/>
      </c>
      <c r="X268" s="14">
        <f>IF(R268&gt;=MAX(S268,T268), "Hemat", IF(S268&gt;=T268, "Balanced", "Premium"))</f>
        <v/>
      </c>
    </row>
    <row r="269">
      <c r="A269" s="14" t="n">
        <v>267</v>
      </c>
      <c r="B269" s="7" t="inlineStr">
        <is>
          <t>KWJ MALANG</t>
        </is>
      </c>
      <c r="C269" s="26" t="n">
        <v>-7.9831</v>
      </c>
      <c r="D269" s="26" t="n">
        <v>112.6374847</v>
      </c>
      <c r="E269" s="21" t="n">
        <v>5000</v>
      </c>
      <c r="F269" s="27" t="n">
        <v>4.5</v>
      </c>
      <c r="G269" s="28" t="n">
        <v>287</v>
      </c>
      <c r="H269" s="14" t="inlineStr">
        <is>
          <t>Wisata Umum</t>
        </is>
      </c>
      <c r="I269" s="29">
        <f>6371 * 2 * ASIN(SQRT(SIN(RADIANS((C269) - INDEX('Dataset_Wisata'!$C$12:$C$622, MATCH('Dashboard'!$C$9, 'Dataset_Wisata'!$A$12:$A$622, 0)))/2)^2 + COS(RADIANS(INDEX('Dataset_Wisata'!$C$12:$C$622, MATCH('Dashboard'!$C$9, 'Dataset_Wisata'!$A$12:$A$622, 0)))) * COS(RADIANS(C269)) * SIN(RADIANS((D269) - INDEX('Dataset_Wisata'!$D$12:$D$622, MATCH('Dashboard'!$C$9, 'Dataset_Wisata'!$A$12:$A$622, 0)))/2)^2)) * 1.3</f>
        <v/>
      </c>
      <c r="J269" s="21">
        <f>ROUND(I269 * IF('Dashboard'!$C$6&lt;=1, 2250, IF('Dashboard'!$C$6&lt;=4, 5150, 6000)), 0)</f>
        <v/>
      </c>
      <c r="K269" s="30" t="n">
        <v>0.9895566543895754</v>
      </c>
      <c r="L269" s="30" t="n">
        <v>0.009798611400025654</v>
      </c>
      <c r="M269" s="30" t="n">
        <v>0.0006447342103988783</v>
      </c>
      <c r="N269" s="31">
        <f>ABS(E269-$F$6)</f>
        <v/>
      </c>
      <c r="O269" s="31">
        <f>ABS(E269-$F$7)</f>
        <v/>
      </c>
      <c r="P269" s="31">
        <f>ABS(E269-$F$8)</f>
        <v/>
      </c>
      <c r="Q269" s="14">
        <f>IF(K269&gt;=MAX(L269,M269), "Hemat", IF(L269&gt;=M269, "Balanced", "Premium"))</f>
        <v/>
      </c>
      <c r="R269" s="30" t="n">
        <v>0.9895566542341836</v>
      </c>
      <c r="S269" s="30" t="n">
        <v>0.00979861139170024</v>
      </c>
      <c r="T269" s="30" t="n">
        <v>0.00064473437411607</v>
      </c>
      <c r="U269" s="31">
        <f>ABS(E269-$G$6)</f>
        <v/>
      </c>
      <c r="V269" s="31">
        <f>ABS(E269-$G$7)</f>
        <v/>
      </c>
      <c r="W269" s="31">
        <f>ABS(E269-$G$8)</f>
        <v/>
      </c>
      <c r="X269" s="14">
        <f>IF(R269&gt;=MAX(S269,T269), "Hemat", IF(S269&gt;=T269, "Balanced", "Premium"))</f>
        <v/>
      </c>
    </row>
    <row r="270">
      <c r="A270" s="14" t="n">
        <v>268</v>
      </c>
      <c r="B270" s="7" t="inlineStr">
        <is>
          <t>Kolam Renang Lembah Wagir</t>
        </is>
      </c>
      <c r="C270" s="26" t="n">
        <v>-8.0073781</v>
      </c>
      <c r="D270" s="26" t="n">
        <v>112.5745081</v>
      </c>
      <c r="E270" s="21" t="n">
        <v>10000</v>
      </c>
      <c r="F270" s="27" t="n">
        <v>4.5</v>
      </c>
      <c r="G270" s="28" t="n">
        <v>99</v>
      </c>
      <c r="H270" s="14" t="inlineStr">
        <is>
          <t>Kolam Renang Lembah Wagir</t>
        </is>
      </c>
      <c r="I270" s="29">
        <f>6371 * 2 * ASIN(SQRT(SIN(RADIANS((C270) - INDEX('Dataset_Wisata'!$C$12:$C$622, MATCH('Dashboard'!$C$9, 'Dataset_Wisata'!$A$12:$A$622, 0)))/2)^2 + COS(RADIANS(INDEX('Dataset_Wisata'!$C$12:$C$622, MATCH('Dashboard'!$C$9, 'Dataset_Wisata'!$A$12:$A$622, 0)))) * COS(RADIANS(C270)) * SIN(RADIANS((D270) - INDEX('Dataset_Wisata'!$D$12:$D$622, MATCH('Dashboard'!$C$9, 'Dataset_Wisata'!$A$12:$A$622, 0)))/2)^2)) * 1.3</f>
        <v/>
      </c>
      <c r="J270" s="21">
        <f>ROUND(I270 * IF('Dashboard'!$C$6&lt;=1, 2250, IF('Dashboard'!$C$6&lt;=4, 5150, 6000)), 0)</f>
        <v/>
      </c>
      <c r="K270" s="30" t="n">
        <v>0.9998126508185596</v>
      </c>
      <c r="L270" s="30" t="n">
        <v>0.0001775718391516968</v>
      </c>
      <c r="M270" s="30" t="n">
        <v>9.7773422886897e-06</v>
      </c>
      <c r="N270" s="31">
        <f>ABS(E270-$F$6)</f>
        <v/>
      </c>
      <c r="O270" s="31">
        <f>ABS(E270-$F$7)</f>
        <v/>
      </c>
      <c r="P270" s="31">
        <f>ABS(E270-$F$8)</f>
        <v/>
      </c>
      <c r="Q270" s="14">
        <f>IF(K270&gt;=MAX(L270,M270), "Hemat", IF(L270&gt;=M270, "Balanced", "Premium"))</f>
        <v/>
      </c>
      <c r="R270" s="30" t="n">
        <v>0.9998126513362043</v>
      </c>
      <c r="S270" s="30" t="n">
        <v>0.0001775713458315561</v>
      </c>
      <c r="T270" s="30" t="n">
        <v>9.777317964159987e-06</v>
      </c>
      <c r="U270" s="31">
        <f>ABS(E270-$G$6)</f>
        <v/>
      </c>
      <c r="V270" s="31">
        <f>ABS(E270-$G$7)</f>
        <v/>
      </c>
      <c r="W270" s="31">
        <f>ABS(E270-$G$8)</f>
        <v/>
      </c>
      <c r="X270" s="14">
        <f>IF(R270&gt;=MAX(S270,T270), "Hemat", IF(S270&gt;=T270, "Balanced", "Premium"))</f>
        <v/>
      </c>
    </row>
    <row r="271">
      <c r="A271" s="14" t="n">
        <v>269</v>
      </c>
      <c r="B271" s="7" t="inlineStr">
        <is>
          <t>Wana Wisata Perhutani Malang</t>
        </is>
      </c>
      <c r="C271" s="26" t="n">
        <v>-7.968701</v>
      </c>
      <c r="D271" s="26" t="n">
        <v>112.6351501</v>
      </c>
      <c r="E271" s="21" t="n">
        <v>35000</v>
      </c>
      <c r="F271" s="27" t="n">
        <v>4.6</v>
      </c>
      <c r="G271" s="28" t="n">
        <v>99</v>
      </c>
      <c r="H271" s="14" t="inlineStr">
        <is>
          <t>Wana Wisata Perhutani Malang</t>
        </is>
      </c>
      <c r="I271" s="29">
        <f>6371 * 2 * ASIN(SQRT(SIN(RADIANS((C271) - INDEX('Dataset_Wisata'!$C$12:$C$622, MATCH('Dashboard'!$C$9, 'Dataset_Wisata'!$A$12:$A$622, 0)))/2)^2 + COS(RADIANS(INDEX('Dataset_Wisata'!$C$12:$C$622, MATCH('Dashboard'!$C$9, 'Dataset_Wisata'!$A$12:$A$622, 0)))) * COS(RADIANS(C271)) * SIN(RADIANS((D271) - INDEX('Dataset_Wisata'!$D$12:$D$622, MATCH('Dashboard'!$C$9, 'Dataset_Wisata'!$A$12:$A$622, 0)))/2)^2)) * 1.3</f>
        <v/>
      </c>
      <c r="J271" s="21">
        <f>ROUND(I271 * IF('Dashboard'!$C$6&lt;=1, 2250, IF('Dashboard'!$C$6&lt;=4, 5150, 6000)), 0)</f>
        <v/>
      </c>
      <c r="K271" s="30" t="n">
        <v>0.25213485588303</v>
      </c>
      <c r="L271" s="30" t="n">
        <v>0.7400533052956862</v>
      </c>
      <c r="M271" s="30" t="n">
        <v>0.007811838821283838</v>
      </c>
      <c r="N271" s="31">
        <f>ABS(E271-$F$6)</f>
        <v/>
      </c>
      <c r="O271" s="31">
        <f>ABS(E271-$F$7)</f>
        <v/>
      </c>
      <c r="P271" s="31">
        <f>ABS(E271-$F$8)</f>
        <v/>
      </c>
      <c r="Q271" s="14">
        <f>IF(K271&gt;=MAX(L271,M271), "Hemat", IF(L271&gt;=M271, "Balanced", "Premium"))</f>
        <v/>
      </c>
      <c r="R271" s="30" t="n">
        <v>0.2521350299012498</v>
      </c>
      <c r="S271" s="30" t="n">
        <v>0.740053126637755</v>
      </c>
      <c r="T271" s="30" t="n">
        <v>0.007811843460995218</v>
      </c>
      <c r="U271" s="31">
        <f>ABS(E271-$G$6)</f>
        <v/>
      </c>
      <c r="V271" s="31">
        <f>ABS(E271-$G$7)</f>
        <v/>
      </c>
      <c r="W271" s="31">
        <f>ABS(E271-$G$8)</f>
        <v/>
      </c>
      <c r="X271" s="14">
        <f>IF(R271&gt;=MAX(S271,T271), "Hemat", IF(S271&gt;=T271, "Balanced", "Premium"))</f>
        <v/>
      </c>
    </row>
    <row r="272">
      <c r="A272" s="14" t="n">
        <v>270</v>
      </c>
      <c r="B272" s="7" t="inlineStr">
        <is>
          <t>Taman Kunang Kunang</t>
        </is>
      </c>
      <c r="C272" s="26" t="n">
        <v>-7.9631613</v>
      </c>
      <c r="D272" s="26" t="n">
        <v>112.6236354</v>
      </c>
      <c r="E272" s="21" t="n">
        <v>10000</v>
      </c>
      <c r="F272" s="27" t="n">
        <v>4.3</v>
      </c>
      <c r="G272" s="28" t="n">
        <v>2381</v>
      </c>
      <c r="H272" s="14" t="inlineStr">
        <is>
          <t>Taman Kunang Kunang</t>
        </is>
      </c>
      <c r="I272" s="29">
        <f>6371 * 2 * ASIN(SQRT(SIN(RADIANS((C272) - INDEX('Dataset_Wisata'!$C$12:$C$622, MATCH('Dashboard'!$C$9, 'Dataset_Wisata'!$A$12:$A$622, 0)))/2)^2 + COS(RADIANS(INDEX('Dataset_Wisata'!$C$12:$C$622, MATCH('Dashboard'!$C$9, 'Dataset_Wisata'!$A$12:$A$622, 0)))) * COS(RADIANS(C272)) * SIN(RADIANS((D272) - INDEX('Dataset_Wisata'!$D$12:$D$622, MATCH('Dashboard'!$C$9, 'Dataset_Wisata'!$A$12:$A$622, 0)))/2)^2)) * 1.3</f>
        <v/>
      </c>
      <c r="J272" s="21">
        <f>ROUND(I272 * IF('Dashboard'!$C$6&lt;=1, 2250, IF('Dashboard'!$C$6&lt;=4, 5150, 6000)), 0)</f>
        <v/>
      </c>
      <c r="K272" s="30" t="n">
        <v>0.9998126508185596</v>
      </c>
      <c r="L272" s="30" t="n">
        <v>0.0001775718391516968</v>
      </c>
      <c r="M272" s="30" t="n">
        <v>9.7773422886897e-06</v>
      </c>
      <c r="N272" s="31">
        <f>ABS(E272-$F$6)</f>
        <v/>
      </c>
      <c r="O272" s="31">
        <f>ABS(E272-$F$7)</f>
        <v/>
      </c>
      <c r="P272" s="31">
        <f>ABS(E272-$F$8)</f>
        <v/>
      </c>
      <c r="Q272" s="14">
        <f>IF(K272&gt;=MAX(L272,M272), "Hemat", IF(L272&gt;=M272, "Balanced", "Premium"))</f>
        <v/>
      </c>
      <c r="R272" s="30" t="n">
        <v>0.9998126513362043</v>
      </c>
      <c r="S272" s="30" t="n">
        <v>0.0001775713458315561</v>
      </c>
      <c r="T272" s="30" t="n">
        <v>9.777317964159987e-06</v>
      </c>
      <c r="U272" s="31">
        <f>ABS(E272-$G$6)</f>
        <v/>
      </c>
      <c r="V272" s="31">
        <f>ABS(E272-$G$7)</f>
        <v/>
      </c>
      <c r="W272" s="31">
        <f>ABS(E272-$G$8)</f>
        <v/>
      </c>
      <c r="X272" s="14">
        <f>IF(R272&gt;=MAX(S272,T272), "Hemat", IF(S272&gt;=T272, "Balanced", "Premium"))</f>
        <v/>
      </c>
    </row>
    <row r="273">
      <c r="A273" s="14" t="n">
        <v>271</v>
      </c>
      <c r="B273" s="7" t="inlineStr">
        <is>
          <t>Taman Ijen</t>
        </is>
      </c>
      <c r="C273" s="26" t="n">
        <v>-7.9677826</v>
      </c>
      <c r="D273" s="26" t="n">
        <v>112.6238808</v>
      </c>
      <c r="E273" s="21" t="n">
        <v>5000</v>
      </c>
      <c r="F273" s="27" t="n">
        <v>4.7</v>
      </c>
      <c r="G273" s="28" t="n">
        <v>3426</v>
      </c>
      <c r="H273" s="14" t="inlineStr">
        <is>
          <t>Taman Ijen</t>
        </is>
      </c>
      <c r="I273" s="29">
        <f>6371 * 2 * ASIN(SQRT(SIN(RADIANS((C273) - INDEX('Dataset_Wisata'!$C$12:$C$622, MATCH('Dashboard'!$C$9, 'Dataset_Wisata'!$A$12:$A$622, 0)))/2)^2 + COS(RADIANS(INDEX('Dataset_Wisata'!$C$12:$C$622, MATCH('Dashboard'!$C$9, 'Dataset_Wisata'!$A$12:$A$622, 0)))) * COS(RADIANS(C273)) * SIN(RADIANS((D273) - INDEX('Dataset_Wisata'!$D$12:$D$622, MATCH('Dashboard'!$C$9, 'Dataset_Wisata'!$A$12:$A$622, 0)))/2)^2)) * 1.3</f>
        <v/>
      </c>
      <c r="J273" s="21">
        <f>ROUND(I273 * IF('Dashboard'!$C$6&lt;=1, 2250, IF('Dashboard'!$C$6&lt;=4, 5150, 6000)), 0)</f>
        <v/>
      </c>
      <c r="K273" s="30" t="n">
        <v>0.9895566543895754</v>
      </c>
      <c r="L273" s="30" t="n">
        <v>0.009798611400025654</v>
      </c>
      <c r="M273" s="30" t="n">
        <v>0.0006447342103988783</v>
      </c>
      <c r="N273" s="31">
        <f>ABS(E273-$F$6)</f>
        <v/>
      </c>
      <c r="O273" s="31">
        <f>ABS(E273-$F$7)</f>
        <v/>
      </c>
      <c r="P273" s="31">
        <f>ABS(E273-$F$8)</f>
        <v/>
      </c>
      <c r="Q273" s="14">
        <f>IF(K273&gt;=MAX(L273,M273), "Hemat", IF(L273&gt;=M273, "Balanced", "Premium"))</f>
        <v/>
      </c>
      <c r="R273" s="30" t="n">
        <v>0.9895566542341836</v>
      </c>
      <c r="S273" s="30" t="n">
        <v>0.00979861139170024</v>
      </c>
      <c r="T273" s="30" t="n">
        <v>0.00064473437411607</v>
      </c>
      <c r="U273" s="31">
        <f>ABS(E273-$G$6)</f>
        <v/>
      </c>
      <c r="V273" s="31">
        <f>ABS(E273-$G$7)</f>
        <v/>
      </c>
      <c r="W273" s="31">
        <f>ABS(E273-$G$8)</f>
        <v/>
      </c>
      <c r="X273" s="14">
        <f>IF(R273&gt;=MAX(S273,T273), "Hemat", IF(S273&gt;=T273, "Balanced", "Premium"))</f>
        <v/>
      </c>
    </row>
    <row r="274">
      <c r="A274" s="14" t="n">
        <v>272</v>
      </c>
      <c r="B274" s="7" t="inlineStr">
        <is>
          <t>Taman Kota</t>
        </is>
      </c>
      <c r="C274" s="26" t="n">
        <v>-7.9619865</v>
      </c>
      <c r="D274" s="26" t="n">
        <v>112.6243744</v>
      </c>
      <c r="E274" s="21" t="n">
        <v>25000</v>
      </c>
      <c r="F274" s="27" t="n">
        <v>4.6</v>
      </c>
      <c r="G274" s="28" t="n">
        <v>347</v>
      </c>
      <c r="H274" s="14" t="inlineStr">
        <is>
          <t>Taman Kota</t>
        </is>
      </c>
      <c r="I274" s="29">
        <f>6371 * 2 * ASIN(SQRT(SIN(RADIANS((C274) - INDEX('Dataset_Wisata'!$C$12:$C$622, MATCH('Dashboard'!$C$9, 'Dataset_Wisata'!$A$12:$A$622, 0)))/2)^2 + COS(RADIANS(INDEX('Dataset_Wisata'!$C$12:$C$622, MATCH('Dashboard'!$C$9, 'Dataset_Wisata'!$A$12:$A$622, 0)))) * COS(RADIANS(C274)) * SIN(RADIANS((D274) - INDEX('Dataset_Wisata'!$D$12:$D$622, MATCH('Dashboard'!$C$9, 'Dataset_Wisata'!$A$12:$A$622, 0)))/2)^2)) * 1.3</f>
        <v/>
      </c>
      <c r="J274" s="21">
        <f>ROUND(I274 * IF('Dashboard'!$C$6&lt;=1, 2250, IF('Dashboard'!$C$6&lt;=4, 5150, 6000)), 0)</f>
        <v/>
      </c>
      <c r="K274" s="30" t="n">
        <v>0.714779317495253</v>
      </c>
      <c r="L274" s="30" t="n">
        <v>0.2780482755376564</v>
      </c>
      <c r="M274" s="30" t="n">
        <v>0.0071724069670906</v>
      </c>
      <c r="N274" s="31">
        <f>ABS(E274-$F$6)</f>
        <v/>
      </c>
      <c r="O274" s="31">
        <f>ABS(E274-$F$7)</f>
        <v/>
      </c>
      <c r="P274" s="31">
        <f>ABS(E274-$F$8)</f>
        <v/>
      </c>
      <c r="Q274" s="14">
        <f>IF(K274&gt;=MAX(L274,M274), "Hemat", IF(L274&gt;=M274, "Balanced", "Premium"))</f>
        <v/>
      </c>
      <c r="R274" s="30" t="n">
        <v>0.7147794395425007</v>
      </c>
      <c r="S274" s="30" t="n">
        <v>0.2780481531707544</v>
      </c>
      <c r="T274" s="30" t="n">
        <v>0.007172407286744955</v>
      </c>
      <c r="U274" s="31">
        <f>ABS(E274-$G$6)</f>
        <v/>
      </c>
      <c r="V274" s="31">
        <f>ABS(E274-$G$7)</f>
        <v/>
      </c>
      <c r="W274" s="31">
        <f>ABS(E274-$G$8)</f>
        <v/>
      </c>
      <c r="X274" s="14">
        <f>IF(R274&gt;=MAX(S274,T274), "Hemat", IF(S274&gt;=T274, "Balanced", "Premium"))</f>
        <v/>
      </c>
    </row>
    <row r="275">
      <c r="A275" s="14" t="n">
        <v>273</v>
      </c>
      <c r="B275" s="7" t="inlineStr">
        <is>
          <t>Candi Badut</t>
        </is>
      </c>
      <c r="C275" s="26" t="n">
        <v>-7.957826</v>
      </c>
      <c r="D275" s="26" t="n">
        <v>112.5986198</v>
      </c>
      <c r="E275" s="21" t="n">
        <v>10000</v>
      </c>
      <c r="F275" s="27" t="n">
        <v>4.5</v>
      </c>
      <c r="G275" s="28" t="n">
        <v>1750</v>
      </c>
      <c r="H275" s="14" t="inlineStr">
        <is>
          <t>Wisata Umum</t>
        </is>
      </c>
      <c r="I275" s="29">
        <f>6371 * 2 * ASIN(SQRT(SIN(RADIANS((C275) - INDEX('Dataset_Wisata'!$C$12:$C$622, MATCH('Dashboard'!$C$9, 'Dataset_Wisata'!$A$12:$A$622, 0)))/2)^2 + COS(RADIANS(INDEX('Dataset_Wisata'!$C$12:$C$622, MATCH('Dashboard'!$C$9, 'Dataset_Wisata'!$A$12:$A$622, 0)))) * COS(RADIANS(C275)) * SIN(RADIANS((D275) - INDEX('Dataset_Wisata'!$D$12:$D$622, MATCH('Dashboard'!$C$9, 'Dataset_Wisata'!$A$12:$A$622, 0)))/2)^2)) * 1.3</f>
        <v/>
      </c>
      <c r="J275" s="21">
        <f>ROUND(I275 * IF('Dashboard'!$C$6&lt;=1, 2250, IF('Dashboard'!$C$6&lt;=4, 5150, 6000)), 0)</f>
        <v/>
      </c>
      <c r="K275" s="30" t="n">
        <v>0.9998126508185596</v>
      </c>
      <c r="L275" s="30" t="n">
        <v>0.0001775718391516968</v>
      </c>
      <c r="M275" s="30" t="n">
        <v>9.7773422886897e-06</v>
      </c>
      <c r="N275" s="31">
        <f>ABS(E275-$F$6)</f>
        <v/>
      </c>
      <c r="O275" s="31">
        <f>ABS(E275-$F$7)</f>
        <v/>
      </c>
      <c r="P275" s="31">
        <f>ABS(E275-$F$8)</f>
        <v/>
      </c>
      <c r="Q275" s="14">
        <f>IF(K275&gt;=MAX(L275,M275), "Hemat", IF(L275&gt;=M275, "Balanced", "Premium"))</f>
        <v/>
      </c>
      <c r="R275" s="30" t="n">
        <v>0.9998126513362043</v>
      </c>
      <c r="S275" s="30" t="n">
        <v>0.0001775713458315561</v>
      </c>
      <c r="T275" s="30" t="n">
        <v>9.777317964159987e-06</v>
      </c>
      <c r="U275" s="31">
        <f>ABS(E275-$G$6)</f>
        <v/>
      </c>
      <c r="V275" s="31">
        <f>ABS(E275-$G$7)</f>
        <v/>
      </c>
      <c r="W275" s="31">
        <f>ABS(E275-$G$8)</f>
        <v/>
      </c>
      <c r="X275" s="14">
        <f>IF(R275&gt;=MAX(S275,T275), "Hemat", IF(S275&gt;=T275, "Balanced", "Premium"))</f>
        <v/>
      </c>
    </row>
    <row r="276">
      <c r="A276" s="14" t="n">
        <v>274</v>
      </c>
      <c r="B276" s="7" t="inlineStr">
        <is>
          <t>Unimaz Rajut</t>
        </is>
      </c>
      <c r="C276" s="26" t="n">
        <v>-7.9649155</v>
      </c>
      <c r="D276" s="26" t="n">
        <v>112.5961882</v>
      </c>
      <c r="E276" s="21" t="n">
        <v>50000</v>
      </c>
      <c r="F276" s="27" t="n">
        <v>4.2</v>
      </c>
      <c r="G276" s="28" t="n">
        <v>116</v>
      </c>
      <c r="H276" s="14" t="inlineStr">
        <is>
          <t>Wisata Umum</t>
        </is>
      </c>
      <c r="I276" s="29">
        <f>6371 * 2 * ASIN(SQRT(SIN(RADIANS((C276) - INDEX('Dataset_Wisata'!$C$12:$C$622, MATCH('Dashboard'!$C$9, 'Dataset_Wisata'!$A$12:$A$622, 0)))/2)^2 + COS(RADIANS(INDEX('Dataset_Wisata'!$C$12:$C$622, MATCH('Dashboard'!$C$9, 'Dataset_Wisata'!$A$12:$A$622, 0)))) * COS(RADIANS(C276)) * SIN(RADIANS((D276) - INDEX('Dataset_Wisata'!$D$12:$D$622, MATCH('Dashboard'!$C$9, 'Dataset_Wisata'!$A$12:$A$622, 0)))/2)^2)) * 1.3</f>
        <v/>
      </c>
      <c r="J276" s="21">
        <f>ROUND(I276 * IF('Dashboard'!$C$6&lt;=1, 2250, IF('Dashboard'!$C$6&lt;=4, 5150, 6000)), 0)</f>
        <v/>
      </c>
      <c r="K276" s="30" t="n">
        <v>5.758531237204236e-06</v>
      </c>
      <c r="L276" s="30" t="n">
        <v>0.9999936821294634</v>
      </c>
      <c r="M276" s="30" t="n">
        <v>5.593392994189334e-07</v>
      </c>
      <c r="N276" s="31">
        <f>ABS(E276-$F$6)</f>
        <v/>
      </c>
      <c r="O276" s="31">
        <f>ABS(E276-$F$7)</f>
        <v/>
      </c>
      <c r="P276" s="31">
        <f>ABS(E276-$F$8)</f>
        <v/>
      </c>
      <c r="Q276" s="14">
        <f>IF(K276&gt;=MAX(L276,M276), "Hemat", IF(L276&gt;=M276, "Balanced", "Premium"))</f>
        <v/>
      </c>
      <c r="R276" s="30" t="n">
        <v>5.757754513908737e-06</v>
      </c>
      <c r="S276" s="30" t="n">
        <v>0.9999936829816778</v>
      </c>
      <c r="T276" s="30" t="n">
        <v>5.592638083270285e-07</v>
      </c>
      <c r="U276" s="31">
        <f>ABS(E276-$G$6)</f>
        <v/>
      </c>
      <c r="V276" s="31">
        <f>ABS(E276-$G$7)</f>
        <v/>
      </c>
      <c r="W276" s="31">
        <f>ABS(E276-$G$8)</f>
        <v/>
      </c>
      <c r="X276" s="14">
        <f>IF(R276&gt;=MAX(S276,T276), "Hemat", IF(S276&gt;=T276, "Balanced", "Premium"))</f>
        <v/>
      </c>
    </row>
    <row r="277">
      <c r="A277" s="14" t="n">
        <v>275</v>
      </c>
      <c r="B277" s="7" t="inlineStr">
        <is>
          <t>Museum Brawijaya</t>
        </is>
      </c>
      <c r="C277" s="26" t="n">
        <v>-7.9721325</v>
      </c>
      <c r="D277" s="26" t="n">
        <v>112.621209</v>
      </c>
      <c r="E277" s="21" t="n">
        <v>3000</v>
      </c>
      <c r="F277" s="27" t="n">
        <v>4.5</v>
      </c>
      <c r="G277" s="28" t="n">
        <v>7199</v>
      </c>
      <c r="H277" s="14" t="inlineStr">
        <is>
          <t>Museum Brawijaya</t>
        </is>
      </c>
      <c r="I277" s="29">
        <f>6371 * 2 * ASIN(SQRT(SIN(RADIANS((C277) - INDEX('Dataset_Wisata'!$C$12:$C$622, MATCH('Dashboard'!$C$9, 'Dataset_Wisata'!$A$12:$A$622, 0)))/2)^2 + COS(RADIANS(INDEX('Dataset_Wisata'!$C$12:$C$622, MATCH('Dashboard'!$C$9, 'Dataset_Wisata'!$A$12:$A$622, 0)))) * COS(RADIANS(C277)) * SIN(RADIANS((D277) - INDEX('Dataset_Wisata'!$D$12:$D$622, MATCH('Dashboard'!$C$9, 'Dataset_Wisata'!$A$12:$A$622, 0)))/2)^2)) * 1.3</f>
        <v/>
      </c>
      <c r="J277" s="21">
        <f>ROUND(I277 * IF('Dashboard'!$C$6&lt;=1, 2250, IF('Dashboard'!$C$6&lt;=4, 5150, 6000)), 0)</f>
        <v/>
      </c>
      <c r="K277" s="30" t="n">
        <v>0.9800529386550435</v>
      </c>
      <c r="L277" s="30" t="n">
        <v>0.01863901730741549</v>
      </c>
      <c r="M277" s="30" t="n">
        <v>0.001308044037540998</v>
      </c>
      <c r="N277" s="31">
        <f>ABS(E277-$F$6)</f>
        <v/>
      </c>
      <c r="O277" s="31">
        <f>ABS(E277-$F$7)</f>
        <v/>
      </c>
      <c r="P277" s="31">
        <f>ABS(E277-$F$8)</f>
        <v/>
      </c>
      <c r="Q277" s="14">
        <f>IF(K277&gt;=MAX(L277,M277), "Hemat", IF(L277&gt;=M277, "Balanced", "Premium"))</f>
        <v/>
      </c>
      <c r="R277" s="30" t="n">
        <v>0.9800529398761559</v>
      </c>
      <c r="S277" s="30" t="n">
        <v>0.01863901586968426</v>
      </c>
      <c r="T277" s="30" t="n">
        <v>0.001308044254159759</v>
      </c>
      <c r="U277" s="31">
        <f>ABS(E277-$G$6)</f>
        <v/>
      </c>
      <c r="V277" s="31">
        <f>ABS(E277-$G$7)</f>
        <v/>
      </c>
      <c r="W277" s="31">
        <f>ABS(E277-$G$8)</f>
        <v/>
      </c>
      <c r="X277" s="14">
        <f>IF(R277&gt;=MAX(S277,T277), "Hemat", IF(S277&gt;=T277, "Balanced", "Premium"))</f>
        <v/>
      </c>
    </row>
    <row r="278">
      <c r="A278" s="14" t="n">
        <v>276</v>
      </c>
      <c r="B278" s="7" t="inlineStr">
        <is>
          <t>Museum Zoologi Frater Vianney</t>
        </is>
      </c>
      <c r="C278" s="26" t="n">
        <v>-7.9586239</v>
      </c>
      <c r="D278" s="26" t="n">
        <v>112.5963661</v>
      </c>
      <c r="E278" s="21" t="n">
        <v>20000</v>
      </c>
      <c r="F278" s="27" t="n">
        <v>4.6</v>
      </c>
      <c r="G278" s="28" t="n">
        <v>276</v>
      </c>
      <c r="H278" s="14" t="inlineStr">
        <is>
          <t>Museum Zoologi Frater Vianney</t>
        </is>
      </c>
      <c r="I278" s="29">
        <f>6371 * 2 * ASIN(SQRT(SIN(RADIANS((C278) - INDEX('Dataset_Wisata'!$C$12:$C$622, MATCH('Dashboard'!$C$9, 'Dataset_Wisata'!$A$12:$A$622, 0)))/2)^2 + COS(RADIANS(INDEX('Dataset_Wisata'!$C$12:$C$622, MATCH('Dashboard'!$C$9, 'Dataset_Wisata'!$A$12:$A$622, 0)))) * COS(RADIANS(C278)) * SIN(RADIANS((D278) - INDEX('Dataset_Wisata'!$D$12:$D$622, MATCH('Dashboard'!$C$9, 'Dataset_Wisata'!$A$12:$A$622, 0)))/2)^2)) * 1.3</f>
        <v/>
      </c>
      <c r="J278" s="21">
        <f>ROUND(I278 * IF('Dashboard'!$C$6&lt;=1, 2250, IF('Dashboard'!$C$6&lt;=4, 5150, 6000)), 0)</f>
        <v/>
      </c>
      <c r="K278" s="30" t="n">
        <v>0.8862296979094436</v>
      </c>
      <c r="L278" s="30" t="n">
        <v>0.1099329410905347</v>
      </c>
      <c r="M278" s="30" t="n">
        <v>0.003837361000021699</v>
      </c>
      <c r="N278" s="31">
        <f>ABS(E278-$F$6)</f>
        <v/>
      </c>
      <c r="O278" s="31">
        <f>ABS(E278-$F$7)</f>
        <v/>
      </c>
      <c r="P278" s="31">
        <f>ABS(E278-$F$8)</f>
        <v/>
      </c>
      <c r="Q278" s="14">
        <f>IF(K278&gt;=MAX(L278,M278), "Hemat", IF(L278&gt;=M278, "Balanced", "Premium"))</f>
        <v/>
      </c>
      <c r="R278" s="30" t="n">
        <v>0.8862297532761809</v>
      </c>
      <c r="S278" s="30" t="n">
        <v>0.1099328861159962</v>
      </c>
      <c r="T278" s="30" t="n">
        <v>0.003837360607822898</v>
      </c>
      <c r="U278" s="31">
        <f>ABS(E278-$G$6)</f>
        <v/>
      </c>
      <c r="V278" s="31">
        <f>ABS(E278-$G$7)</f>
        <v/>
      </c>
      <c r="W278" s="31">
        <f>ABS(E278-$G$8)</f>
        <v/>
      </c>
      <c r="X278" s="14">
        <f>IF(R278&gt;=MAX(S278,T278), "Hemat", IF(S278&gt;=T278, "Balanced", "Premium"))</f>
        <v/>
      </c>
    </row>
    <row r="279">
      <c r="A279" s="14" t="n">
        <v>277</v>
      </c>
      <c r="B279" s="7" t="inlineStr">
        <is>
          <t>Taman Krida Budaya Jawa Timur</t>
        </is>
      </c>
      <c r="C279" s="26" t="n">
        <v>-7.9426232</v>
      </c>
      <c r="D279" s="26" t="n">
        <v>112.6225314</v>
      </c>
      <c r="E279" s="21" t="n">
        <v>0</v>
      </c>
      <c r="F279" s="27" t="n">
        <v>4.5</v>
      </c>
      <c r="G279" s="28" t="n">
        <v>7519</v>
      </c>
      <c r="H279" s="14" t="inlineStr">
        <is>
          <t>Taman Krida Budaya Jawa Timur</t>
        </is>
      </c>
      <c r="I279" s="29">
        <f>6371 * 2 * ASIN(SQRT(SIN(RADIANS((C279) - INDEX('Dataset_Wisata'!$C$12:$C$622, MATCH('Dashboard'!$C$9, 'Dataset_Wisata'!$A$12:$A$622, 0)))/2)^2 + COS(RADIANS(INDEX('Dataset_Wisata'!$C$12:$C$622, MATCH('Dashboard'!$C$9, 'Dataset_Wisata'!$A$12:$A$622, 0)))) * COS(RADIANS(C279)) * SIN(RADIANS((D279) - INDEX('Dataset_Wisata'!$D$12:$D$622, MATCH('Dashboard'!$C$9, 'Dataset_Wisata'!$A$12:$A$622, 0)))/2)^2)) * 1.3</f>
        <v/>
      </c>
      <c r="J279" s="21">
        <f>ROUND(I279 * IF('Dashboard'!$C$6&lt;=1, 2250, IF('Dashboard'!$C$6&lt;=4, 5150, 6000)), 0)</f>
        <v/>
      </c>
      <c r="K279" s="30" t="n">
        <v>0.9626824510005771</v>
      </c>
      <c r="L279" s="30" t="n">
        <v>0.03465542295845363</v>
      </c>
      <c r="M279" s="30" t="n">
        <v>0.002662126040969366</v>
      </c>
      <c r="N279" s="31">
        <f>ABS(E279-$F$6)</f>
        <v/>
      </c>
      <c r="O279" s="31">
        <f>ABS(E279-$F$7)</f>
        <v/>
      </c>
      <c r="P279" s="31">
        <f>ABS(E279-$F$8)</f>
        <v/>
      </c>
      <c r="Q279" s="14">
        <f>IF(K279&gt;=MAX(L279,M279), "Hemat", IF(L279&gt;=M279, "Balanced", "Premium"))</f>
        <v/>
      </c>
      <c r="R279" s="30" t="n">
        <v>0.9626824549241798</v>
      </c>
      <c r="S279" s="30" t="n">
        <v>0.03465541875469833</v>
      </c>
      <c r="T279" s="30" t="n">
        <v>0.002662126321121907</v>
      </c>
      <c r="U279" s="31">
        <f>ABS(E279-$G$6)</f>
        <v/>
      </c>
      <c r="V279" s="31">
        <f>ABS(E279-$G$7)</f>
        <v/>
      </c>
      <c r="W279" s="31">
        <f>ABS(E279-$G$8)</f>
        <v/>
      </c>
      <c r="X279" s="14">
        <f>IF(R279&gt;=MAX(S279,T279), "Hemat", IF(S279&gt;=T279, "Balanced", "Premium"))</f>
        <v/>
      </c>
    </row>
    <row r="280">
      <c r="A280" s="14" t="n">
        <v>278</v>
      </c>
      <c r="B280" s="7" t="inlineStr">
        <is>
          <t>Kampung Wisata Keramik Dinoyo</t>
        </is>
      </c>
      <c r="C280" s="26" t="n">
        <v>-7.9418156</v>
      </c>
      <c r="D280" s="26" t="n">
        <v>112.6116907</v>
      </c>
      <c r="E280" s="21" t="n">
        <v>35000</v>
      </c>
      <c r="F280" s="27" t="n">
        <v>4.4</v>
      </c>
      <c r="G280" s="28" t="n">
        <v>741</v>
      </c>
      <c r="H280" s="14" t="inlineStr">
        <is>
          <t>Kampung Wisata Keramik Dinoyo</t>
        </is>
      </c>
      <c r="I280" s="29">
        <f>6371 * 2 * ASIN(SQRT(SIN(RADIANS((C280) - INDEX('Dataset_Wisata'!$C$12:$C$622, MATCH('Dashboard'!$C$9, 'Dataset_Wisata'!$A$12:$A$622, 0)))/2)^2 + COS(RADIANS(INDEX('Dataset_Wisata'!$C$12:$C$622, MATCH('Dashboard'!$C$9, 'Dataset_Wisata'!$A$12:$A$622, 0)))) * COS(RADIANS(C280)) * SIN(RADIANS((D280) - INDEX('Dataset_Wisata'!$D$12:$D$622, MATCH('Dashboard'!$C$9, 'Dataset_Wisata'!$A$12:$A$622, 0)))/2)^2)) * 1.3</f>
        <v/>
      </c>
      <c r="J280" s="21">
        <f>ROUND(I280 * IF('Dashboard'!$C$6&lt;=1, 2250, IF('Dashboard'!$C$6&lt;=4, 5150, 6000)), 0)</f>
        <v/>
      </c>
      <c r="K280" s="30" t="n">
        <v>0.25213485588303</v>
      </c>
      <c r="L280" s="30" t="n">
        <v>0.7400533052956862</v>
      </c>
      <c r="M280" s="30" t="n">
        <v>0.007811838821283838</v>
      </c>
      <c r="N280" s="31">
        <f>ABS(E280-$F$6)</f>
        <v/>
      </c>
      <c r="O280" s="31">
        <f>ABS(E280-$F$7)</f>
        <v/>
      </c>
      <c r="P280" s="31">
        <f>ABS(E280-$F$8)</f>
        <v/>
      </c>
      <c r="Q280" s="14">
        <f>IF(K280&gt;=MAX(L280,M280), "Hemat", IF(L280&gt;=M280, "Balanced", "Premium"))</f>
        <v/>
      </c>
      <c r="R280" s="30" t="n">
        <v>0.2521350299012498</v>
      </c>
      <c r="S280" s="30" t="n">
        <v>0.740053126637755</v>
      </c>
      <c r="T280" s="30" t="n">
        <v>0.007811843460995218</v>
      </c>
      <c r="U280" s="31">
        <f>ABS(E280-$G$6)</f>
        <v/>
      </c>
      <c r="V280" s="31">
        <f>ABS(E280-$G$7)</f>
        <v/>
      </c>
      <c r="W280" s="31">
        <f>ABS(E280-$G$8)</f>
        <v/>
      </c>
      <c r="X280" s="14">
        <f>IF(R280&gt;=MAX(S280,T280), "Hemat", IF(S280&gt;=T280, "Balanced", "Premium"))</f>
        <v/>
      </c>
    </row>
    <row r="281">
      <c r="A281" s="14" t="n">
        <v>279</v>
      </c>
      <c r="B281" s="7" t="inlineStr">
        <is>
          <t>Kampoeng Dokar</t>
        </is>
      </c>
      <c r="C281" s="26" t="n">
        <v>-7.9147081</v>
      </c>
      <c r="D281" s="26" t="n">
        <v>112.563754</v>
      </c>
      <c r="E281" s="21" t="n">
        <v>30000</v>
      </c>
      <c r="F281" s="27" t="n">
        <v>4.7</v>
      </c>
      <c r="G281" s="28" t="n">
        <v>22</v>
      </c>
      <c r="H281" s="14" t="inlineStr">
        <is>
          <t>Tujuan Wisata · 3HP7+4G6, RW.004</t>
        </is>
      </c>
      <c r="I281" s="29">
        <f>6371 * 2 * ASIN(SQRT(SIN(RADIANS((C281) - INDEX('Dataset_Wisata'!$C$12:$C$622, MATCH('Dashboard'!$C$9, 'Dataset_Wisata'!$A$12:$A$622, 0)))/2)^2 + COS(RADIANS(INDEX('Dataset_Wisata'!$C$12:$C$622, MATCH('Dashboard'!$C$9, 'Dataset_Wisata'!$A$12:$A$622, 0)))) * COS(RADIANS(C281)) * SIN(RADIANS((D281) - INDEX('Dataset_Wisata'!$D$12:$D$622, MATCH('Dashboard'!$C$9, 'Dataset_Wisata'!$A$12:$A$622, 0)))/2)^2)) * 1.3</f>
        <v/>
      </c>
      <c r="J281" s="21">
        <f>ROUND(I281 * IF('Dashboard'!$C$6&lt;=1, 2250, IF('Dashboard'!$C$6&lt;=4, 5150, 6000)), 0)</f>
        <v/>
      </c>
      <c r="K281" s="30" t="n">
        <v>0.4800921289599558</v>
      </c>
      <c r="L281" s="30" t="n">
        <v>0.5109191138653489</v>
      </c>
      <c r="M281" s="30" t="n">
        <v>0.008988757174695291</v>
      </c>
      <c r="N281" s="31">
        <f>ABS(E281-$F$6)</f>
        <v/>
      </c>
      <c r="O281" s="31">
        <f>ABS(E281-$F$7)</f>
        <v/>
      </c>
      <c r="P281" s="31">
        <f>ABS(E281-$F$8)</f>
        <v/>
      </c>
      <c r="Q281" s="14">
        <f>IF(K281&gt;=MAX(L281,M281), "Hemat", IF(L281&gt;=M281, "Balanced", "Premium"))</f>
        <v/>
      </c>
      <c r="R281" s="30" t="n">
        <v>0.4800923067166307</v>
      </c>
      <c r="S281" s="30" t="n">
        <v>0.5109189337438159</v>
      </c>
      <c r="T281" s="30" t="n">
        <v>0.008988759539553422</v>
      </c>
      <c r="U281" s="31">
        <f>ABS(E281-$G$6)</f>
        <v/>
      </c>
      <c r="V281" s="31">
        <f>ABS(E281-$G$7)</f>
        <v/>
      </c>
      <c r="W281" s="31">
        <f>ABS(E281-$G$8)</f>
        <v/>
      </c>
      <c r="X281" s="14">
        <f>IF(R281&gt;=MAX(S281,T281), "Hemat", IF(S281&gt;=T281, "Balanced", "Premium"))</f>
        <v/>
      </c>
    </row>
    <row r="282">
      <c r="A282" s="14" t="n">
        <v>280</v>
      </c>
      <c r="B282" s="7" t="inlineStr">
        <is>
          <t>Kebun Jeruk Pak Taufik</t>
        </is>
      </c>
      <c r="C282" s="26" t="n">
        <v>-7.93816</v>
      </c>
      <c r="D282" s="26" t="n">
        <v>112.5664001</v>
      </c>
      <c r="E282" s="21" t="n">
        <v>20000</v>
      </c>
      <c r="F282" s="27" t="n">
        <v>4.7</v>
      </c>
      <c r="G282" s="28" t="n">
        <v>25</v>
      </c>
      <c r="H282" s="14" t="inlineStr">
        <is>
          <t>Tujuan Wisata · 3H68+JGX</t>
        </is>
      </c>
      <c r="I282" s="29">
        <f>6371 * 2 * ASIN(SQRT(SIN(RADIANS((C282) - INDEX('Dataset_Wisata'!$C$12:$C$622, MATCH('Dashboard'!$C$9, 'Dataset_Wisata'!$A$12:$A$622, 0)))/2)^2 + COS(RADIANS(INDEX('Dataset_Wisata'!$C$12:$C$622, MATCH('Dashboard'!$C$9, 'Dataset_Wisata'!$A$12:$A$622, 0)))) * COS(RADIANS(C282)) * SIN(RADIANS((D282) - INDEX('Dataset_Wisata'!$D$12:$D$622, MATCH('Dashboard'!$C$9, 'Dataset_Wisata'!$A$12:$A$622, 0)))/2)^2)) * 1.3</f>
        <v/>
      </c>
      <c r="J282" s="21">
        <f>ROUND(I282 * IF('Dashboard'!$C$6&lt;=1, 2250, IF('Dashboard'!$C$6&lt;=4, 5150, 6000)), 0)</f>
        <v/>
      </c>
      <c r="K282" s="30" t="n">
        <v>0.8862296979094436</v>
      </c>
      <c r="L282" s="30" t="n">
        <v>0.1099329410905347</v>
      </c>
      <c r="M282" s="30" t="n">
        <v>0.003837361000021699</v>
      </c>
      <c r="N282" s="31">
        <f>ABS(E282-$F$6)</f>
        <v/>
      </c>
      <c r="O282" s="31">
        <f>ABS(E282-$F$7)</f>
        <v/>
      </c>
      <c r="P282" s="31">
        <f>ABS(E282-$F$8)</f>
        <v/>
      </c>
      <c r="Q282" s="14">
        <f>IF(K282&gt;=MAX(L282,M282), "Hemat", IF(L282&gt;=M282, "Balanced", "Premium"))</f>
        <v/>
      </c>
      <c r="R282" s="30" t="n">
        <v>0.8862297532761809</v>
      </c>
      <c r="S282" s="30" t="n">
        <v>0.1099328861159962</v>
      </c>
      <c r="T282" s="30" t="n">
        <v>0.003837360607822898</v>
      </c>
      <c r="U282" s="31">
        <f>ABS(E282-$G$6)</f>
        <v/>
      </c>
      <c r="V282" s="31">
        <f>ABS(E282-$G$7)</f>
        <v/>
      </c>
      <c r="W282" s="31">
        <f>ABS(E282-$G$8)</f>
        <v/>
      </c>
      <c r="X282" s="14">
        <f>IF(R282&gt;=MAX(S282,T282), "Hemat", IF(S282&gt;=T282, "Balanced", "Premium"))</f>
        <v/>
      </c>
    </row>
    <row r="283">
      <c r="A283" s="14" t="n">
        <v>281</v>
      </c>
      <c r="B283" s="7" t="inlineStr">
        <is>
          <t>Sevenfield Sport Wisata Air</t>
        </is>
      </c>
      <c r="C283" s="26" t="n">
        <v>-7.9090204</v>
      </c>
      <c r="D283" s="26" t="n">
        <v>112.6278515</v>
      </c>
      <c r="E283" s="21" t="n">
        <v>7000</v>
      </c>
      <c r="F283" s="27" t="n">
        <v>4.2</v>
      </c>
      <c r="G283" s="28" t="n">
        <v>1613</v>
      </c>
      <c r="H283" s="14" t="inlineStr">
        <is>
          <t>Sevenfield Sport Wisata Air</t>
        </is>
      </c>
      <c r="I283" s="29">
        <f>6371 * 2 * ASIN(SQRT(SIN(RADIANS((C283) - INDEX('Dataset_Wisata'!$C$12:$C$622, MATCH('Dashboard'!$C$9, 'Dataset_Wisata'!$A$12:$A$622, 0)))/2)^2 + COS(RADIANS(INDEX('Dataset_Wisata'!$C$12:$C$622, MATCH('Dashboard'!$C$9, 'Dataset_Wisata'!$A$12:$A$622, 0)))) * COS(RADIANS(C283)) * SIN(RADIANS((D283) - INDEX('Dataset_Wisata'!$D$12:$D$622, MATCH('Dashboard'!$C$9, 'Dataset_Wisata'!$A$12:$A$622, 0)))/2)^2)) * 1.3</f>
        <v/>
      </c>
      <c r="J283" s="21">
        <f>ROUND(I283 * IF('Dashboard'!$C$6&lt;=1, 2250, IF('Dashboard'!$C$6&lt;=4, 5150, 6000)), 0)</f>
        <v/>
      </c>
      <c r="K283" s="30" t="n">
        <v>0.9964990922780733</v>
      </c>
      <c r="L283" s="30" t="n">
        <v>0.003298187596112103</v>
      </c>
      <c r="M283" s="30" t="n">
        <v>0.0002027201258145054</v>
      </c>
      <c r="N283" s="31">
        <f>ABS(E283-$F$6)</f>
        <v/>
      </c>
      <c r="O283" s="31">
        <f>ABS(E283-$F$7)</f>
        <v/>
      </c>
      <c r="P283" s="31">
        <f>ABS(E283-$F$8)</f>
        <v/>
      </c>
      <c r="Q283" s="14">
        <f>IF(K283&gt;=MAX(L283,M283), "Hemat", IF(L283&gt;=M283, "Balanced", "Premium"))</f>
        <v/>
      </c>
      <c r="R283" s="30" t="n">
        <v>0.9964990914496938</v>
      </c>
      <c r="S283" s="30" t="n">
        <v>0.003298188325346893</v>
      </c>
      <c r="T283" s="30" t="n">
        <v>0.000202720224959229</v>
      </c>
      <c r="U283" s="31">
        <f>ABS(E283-$G$6)</f>
        <v/>
      </c>
      <c r="V283" s="31">
        <f>ABS(E283-$G$7)</f>
        <v/>
      </c>
      <c r="W283" s="31">
        <f>ABS(E283-$G$8)</f>
        <v/>
      </c>
      <c r="X283" s="14">
        <f>IF(R283&gt;=MAX(S283,T283), "Hemat", IF(S283&gt;=T283, "Balanced", "Premium"))</f>
        <v/>
      </c>
    </row>
    <row r="284">
      <c r="A284" s="14" t="n">
        <v>282</v>
      </c>
      <c r="B284" s="7" t="inlineStr">
        <is>
          <t>Farm Garden - Kampung Sapi Adventure</t>
        </is>
      </c>
      <c r="C284" s="26" t="n">
        <v>-7.8881342</v>
      </c>
      <c r="D284" s="26" t="n">
        <v>112.5497265</v>
      </c>
      <c r="E284" s="21" t="n">
        <v>10000</v>
      </c>
      <c r="F284" s="27" t="n">
        <v>4.3</v>
      </c>
      <c r="G284" s="28" t="n">
        <v>27</v>
      </c>
      <c r="H284" s="14" t="inlineStr">
        <is>
          <t>Tujuan Wisata</t>
        </is>
      </c>
      <c r="I284" s="29">
        <f>6371 * 2 * ASIN(SQRT(SIN(RADIANS((C284) - INDEX('Dataset_Wisata'!$C$12:$C$622, MATCH('Dashboard'!$C$9, 'Dataset_Wisata'!$A$12:$A$622, 0)))/2)^2 + COS(RADIANS(INDEX('Dataset_Wisata'!$C$12:$C$622, MATCH('Dashboard'!$C$9, 'Dataset_Wisata'!$A$12:$A$622, 0)))) * COS(RADIANS(C284)) * SIN(RADIANS((D284) - INDEX('Dataset_Wisata'!$D$12:$D$622, MATCH('Dashboard'!$C$9, 'Dataset_Wisata'!$A$12:$A$622, 0)))/2)^2)) * 1.3</f>
        <v/>
      </c>
      <c r="J284" s="21">
        <f>ROUND(I284 * IF('Dashboard'!$C$6&lt;=1, 2250, IF('Dashboard'!$C$6&lt;=4, 5150, 6000)), 0)</f>
        <v/>
      </c>
      <c r="K284" s="30" t="n">
        <v>0.9998126508185596</v>
      </c>
      <c r="L284" s="30" t="n">
        <v>0.0001775718391516968</v>
      </c>
      <c r="M284" s="30" t="n">
        <v>9.7773422886897e-06</v>
      </c>
      <c r="N284" s="31">
        <f>ABS(E284-$F$6)</f>
        <v/>
      </c>
      <c r="O284" s="31">
        <f>ABS(E284-$F$7)</f>
        <v/>
      </c>
      <c r="P284" s="31">
        <f>ABS(E284-$F$8)</f>
        <v/>
      </c>
      <c r="Q284" s="14">
        <f>IF(K284&gt;=MAX(L284,M284), "Hemat", IF(L284&gt;=M284, "Balanced", "Premium"))</f>
        <v/>
      </c>
      <c r="R284" s="30" t="n">
        <v>0.9998126513362043</v>
      </c>
      <c r="S284" s="30" t="n">
        <v>0.0001775713458315561</v>
      </c>
      <c r="T284" s="30" t="n">
        <v>9.777317964159987e-06</v>
      </c>
      <c r="U284" s="31">
        <f>ABS(E284-$G$6)</f>
        <v/>
      </c>
      <c r="V284" s="31">
        <f>ABS(E284-$G$7)</f>
        <v/>
      </c>
      <c r="W284" s="31">
        <f>ABS(E284-$G$8)</f>
        <v/>
      </c>
      <c r="X284" s="14">
        <f>IF(R284&gt;=MAX(S284,T284), "Hemat", IF(S284&gt;=T284, "Balanced", "Premium"))</f>
        <v/>
      </c>
    </row>
    <row r="285">
      <c r="A285" s="14" t="n">
        <v>283</v>
      </c>
      <c r="B285" s="7" t="inlineStr">
        <is>
          <t>Museum Musik Dunia Jawa Timur Park 3</t>
        </is>
      </c>
      <c r="C285" s="26" t="n">
        <v>-7.8959215</v>
      </c>
      <c r="D285" s="26" t="n">
        <v>112.553471</v>
      </c>
      <c r="E285" s="21" t="n">
        <v>30000</v>
      </c>
      <c r="F285" s="27" t="n">
        <v>4.7</v>
      </c>
      <c r="G285" s="28" t="n">
        <v>218</v>
      </c>
      <c r="H285" s="14" t="inlineStr">
        <is>
          <t>Wisata Umum</t>
        </is>
      </c>
      <c r="I285" s="29">
        <f>6371 * 2 * ASIN(SQRT(SIN(RADIANS((C285) - INDEX('Dataset_Wisata'!$C$12:$C$622, MATCH('Dashboard'!$C$9, 'Dataset_Wisata'!$A$12:$A$622, 0)))/2)^2 + COS(RADIANS(INDEX('Dataset_Wisata'!$C$12:$C$622, MATCH('Dashboard'!$C$9, 'Dataset_Wisata'!$A$12:$A$622, 0)))) * COS(RADIANS(C285)) * SIN(RADIANS((D285) - INDEX('Dataset_Wisata'!$D$12:$D$622, MATCH('Dashboard'!$C$9, 'Dataset_Wisata'!$A$12:$A$622, 0)))/2)^2)) * 1.3</f>
        <v/>
      </c>
      <c r="J285" s="21">
        <f>ROUND(I285 * IF('Dashboard'!$C$6&lt;=1, 2250, IF('Dashboard'!$C$6&lt;=4, 5150, 6000)), 0)</f>
        <v/>
      </c>
      <c r="K285" s="30" t="n">
        <v>0.4800921289599558</v>
      </c>
      <c r="L285" s="30" t="n">
        <v>0.5109191138653489</v>
      </c>
      <c r="M285" s="30" t="n">
        <v>0.008988757174695291</v>
      </c>
      <c r="N285" s="31">
        <f>ABS(E285-$F$6)</f>
        <v/>
      </c>
      <c r="O285" s="31">
        <f>ABS(E285-$F$7)</f>
        <v/>
      </c>
      <c r="P285" s="31">
        <f>ABS(E285-$F$8)</f>
        <v/>
      </c>
      <c r="Q285" s="14">
        <f>IF(K285&gt;=MAX(L285,M285), "Hemat", IF(L285&gt;=M285, "Balanced", "Premium"))</f>
        <v/>
      </c>
      <c r="R285" s="30" t="n">
        <v>0.4800923067166307</v>
      </c>
      <c r="S285" s="30" t="n">
        <v>0.5109189337438159</v>
      </c>
      <c r="T285" s="30" t="n">
        <v>0.008988759539553422</v>
      </c>
      <c r="U285" s="31">
        <f>ABS(E285-$G$6)</f>
        <v/>
      </c>
      <c r="V285" s="31">
        <f>ABS(E285-$G$7)</f>
        <v/>
      </c>
      <c r="W285" s="31">
        <f>ABS(E285-$G$8)</f>
        <v/>
      </c>
      <c r="X285" s="14">
        <f>IF(R285&gt;=MAX(S285,T285), "Hemat", IF(S285&gt;=T285, "Balanced", "Premium"))</f>
        <v/>
      </c>
    </row>
    <row r="286">
      <c r="A286" s="14" t="n">
        <v>284</v>
      </c>
      <c r="B286" s="7" t="inlineStr">
        <is>
          <t>Milenial Glow Garden</t>
        </is>
      </c>
      <c r="C286" s="26" t="n">
        <v>-7.8988554</v>
      </c>
      <c r="D286" s="26" t="n">
        <v>112.5547462</v>
      </c>
      <c r="E286" s="21" t="n">
        <v>89100</v>
      </c>
      <c r="F286" s="27" t="n">
        <v>4.7</v>
      </c>
      <c r="G286" s="28" t="n">
        <v>2737</v>
      </c>
      <c r="H286" s="14" t="inlineStr">
        <is>
          <t>Wisata Umum</t>
        </is>
      </c>
      <c r="I286" s="29">
        <f>6371 * 2 * ASIN(SQRT(SIN(RADIANS((C286) - INDEX('Dataset_Wisata'!$C$12:$C$622, MATCH('Dashboard'!$C$9, 'Dataset_Wisata'!$A$12:$A$622, 0)))/2)^2 + COS(RADIANS(INDEX('Dataset_Wisata'!$C$12:$C$622, MATCH('Dashboard'!$C$9, 'Dataset_Wisata'!$A$12:$A$622, 0)))) * COS(RADIANS(C286)) * SIN(RADIANS((D286) - INDEX('Dataset_Wisata'!$D$12:$D$622, MATCH('Dashboard'!$C$9, 'Dataset_Wisata'!$A$12:$A$622, 0)))/2)^2)) * 1.3</f>
        <v/>
      </c>
      <c r="J286" s="21">
        <f>ROUND(I286 * IF('Dashboard'!$C$6&lt;=1, 2250, IF('Dashboard'!$C$6&lt;=4, 5150, 6000)), 0)</f>
        <v/>
      </c>
      <c r="K286" s="30" t="n">
        <v>0.16966881490942</v>
      </c>
      <c r="L286" s="30" t="n">
        <v>0.7002664836349678</v>
      </c>
      <c r="M286" s="30" t="n">
        <v>0.1300647014556122</v>
      </c>
      <c r="N286" s="31">
        <f>ABS(E286-$F$6)</f>
        <v/>
      </c>
      <c r="O286" s="31">
        <f>ABS(E286-$F$7)</f>
        <v/>
      </c>
      <c r="P286" s="31">
        <f>ABS(E286-$F$8)</f>
        <v/>
      </c>
      <c r="Q286" s="14">
        <f>IF(K286&gt;=MAX(L286,M286), "Hemat", IF(L286&gt;=M286, "Balanced", "Premium"))</f>
        <v/>
      </c>
      <c r="R286" s="30" t="n">
        <v>0.1696687790281793</v>
      </c>
      <c r="S286" s="30" t="n">
        <v>0.7002665585301223</v>
      </c>
      <c r="T286" s="30" t="n">
        <v>0.1300646624416984</v>
      </c>
      <c r="U286" s="31">
        <f>ABS(E286-$G$6)</f>
        <v/>
      </c>
      <c r="V286" s="31">
        <f>ABS(E286-$G$7)</f>
        <v/>
      </c>
      <c r="W286" s="31">
        <f>ABS(E286-$G$8)</f>
        <v/>
      </c>
      <c r="X286" s="14">
        <f>IF(R286&gt;=MAX(S286,T286), "Hemat", IF(S286&gt;=T286, "Balanced", "Premium"))</f>
        <v/>
      </c>
    </row>
    <row r="287">
      <c r="A287" s="14" t="n">
        <v>285</v>
      </c>
      <c r="B287" s="7" t="inlineStr">
        <is>
          <t>Rafting Sahabat Air</t>
        </is>
      </c>
      <c r="C287" s="26" t="n">
        <v>-7.902448</v>
      </c>
      <c r="D287" s="26" t="n">
        <v>112.57126</v>
      </c>
      <c r="E287" s="21" t="n">
        <v>195000</v>
      </c>
      <c r="F287" s="27" t="n">
        <v>4.4</v>
      </c>
      <c r="G287" s="28" t="n">
        <v>295</v>
      </c>
      <c r="H287" s="14" t="inlineStr">
        <is>
          <t>Wisata Umum</t>
        </is>
      </c>
      <c r="I287" s="29">
        <f>6371 * 2 * ASIN(SQRT(SIN(RADIANS((C287) - INDEX('Dataset_Wisata'!$C$12:$C$622, MATCH('Dashboard'!$C$9, 'Dataset_Wisata'!$A$12:$A$622, 0)))/2)^2 + COS(RADIANS(INDEX('Dataset_Wisata'!$C$12:$C$622, MATCH('Dashboard'!$C$9, 'Dataset_Wisata'!$A$12:$A$622, 0)))) * COS(RADIANS(C287)) * SIN(RADIANS((D287) - INDEX('Dataset_Wisata'!$D$12:$D$622, MATCH('Dashboard'!$C$9, 'Dataset_Wisata'!$A$12:$A$622, 0)))/2)^2)) * 1.3</f>
        <v/>
      </c>
      <c r="J287" s="21">
        <f>ROUND(I287 * IF('Dashboard'!$C$6&lt;=1, 2250, IF('Dashboard'!$C$6&lt;=4, 5150, 6000)), 0)</f>
        <v/>
      </c>
      <c r="K287" s="30" t="n">
        <v>0.006382905918539301</v>
      </c>
      <c r="L287" s="30" t="n">
        <v>0.01043606099716179</v>
      </c>
      <c r="M287" s="30" t="n">
        <v>0.9831810330842988</v>
      </c>
      <c r="N287" s="31">
        <f>ABS(E287-$F$6)</f>
        <v/>
      </c>
      <c r="O287" s="31">
        <f>ABS(E287-$F$7)</f>
        <v/>
      </c>
      <c r="P287" s="31">
        <f>ABS(E287-$F$8)</f>
        <v/>
      </c>
      <c r="Q287" s="14">
        <f>IF(K287&gt;=MAX(L287,M287), "Hemat", IF(L287&gt;=M287, "Balanced", "Premium"))</f>
        <v/>
      </c>
      <c r="R287" s="30" t="n">
        <v>0.006382903203423195</v>
      </c>
      <c r="S287" s="30" t="n">
        <v>0.0104360574285197</v>
      </c>
      <c r="T287" s="30" t="n">
        <v>0.9831810393680571</v>
      </c>
      <c r="U287" s="31">
        <f>ABS(E287-$G$6)</f>
        <v/>
      </c>
      <c r="V287" s="31">
        <f>ABS(E287-$G$7)</f>
        <v/>
      </c>
      <c r="W287" s="31">
        <f>ABS(E287-$G$8)</f>
        <v/>
      </c>
      <c r="X287" s="14">
        <f>IF(R287&gt;=MAX(S287,T287), "Hemat", IF(S287&gt;=T287, "Balanced", "Premium"))</f>
        <v/>
      </c>
    </row>
    <row r="288">
      <c r="A288" s="14" t="n">
        <v>286</v>
      </c>
      <c r="B288" s="7" t="inlineStr">
        <is>
          <t>Museum Art Gallery</t>
        </is>
      </c>
      <c r="C288" s="26" t="n">
        <v>-7.889176</v>
      </c>
      <c r="D288" s="26" t="n">
        <v>112.5295895</v>
      </c>
      <c r="E288" s="21" t="n">
        <v>25000</v>
      </c>
      <c r="F288" s="27" t="n">
        <v>4.6</v>
      </c>
      <c r="G288" s="28" t="n">
        <v>49</v>
      </c>
      <c r="H288" s="14" t="inlineStr">
        <is>
          <t>Museum Art Gallery</t>
        </is>
      </c>
      <c r="I288" s="29">
        <f>6371 * 2 * ASIN(SQRT(SIN(RADIANS((C288) - INDEX('Dataset_Wisata'!$C$12:$C$622, MATCH('Dashboard'!$C$9, 'Dataset_Wisata'!$A$12:$A$622, 0)))/2)^2 + COS(RADIANS(INDEX('Dataset_Wisata'!$C$12:$C$622, MATCH('Dashboard'!$C$9, 'Dataset_Wisata'!$A$12:$A$622, 0)))) * COS(RADIANS(C288)) * SIN(RADIANS((D288) - INDEX('Dataset_Wisata'!$D$12:$D$622, MATCH('Dashboard'!$C$9, 'Dataset_Wisata'!$A$12:$A$622, 0)))/2)^2)) * 1.3</f>
        <v/>
      </c>
      <c r="J288" s="21">
        <f>ROUND(I288 * IF('Dashboard'!$C$6&lt;=1, 2250, IF('Dashboard'!$C$6&lt;=4, 5150, 6000)), 0)</f>
        <v/>
      </c>
      <c r="K288" s="30" t="n">
        <v>0.714779317495253</v>
      </c>
      <c r="L288" s="30" t="n">
        <v>0.2780482755376564</v>
      </c>
      <c r="M288" s="30" t="n">
        <v>0.0071724069670906</v>
      </c>
      <c r="N288" s="31">
        <f>ABS(E288-$F$6)</f>
        <v/>
      </c>
      <c r="O288" s="31">
        <f>ABS(E288-$F$7)</f>
        <v/>
      </c>
      <c r="P288" s="31">
        <f>ABS(E288-$F$8)</f>
        <v/>
      </c>
      <c r="Q288" s="14">
        <f>IF(K288&gt;=MAX(L288,M288), "Hemat", IF(L288&gt;=M288, "Balanced", "Premium"))</f>
        <v/>
      </c>
      <c r="R288" s="30" t="n">
        <v>0.7147794395425007</v>
      </c>
      <c r="S288" s="30" t="n">
        <v>0.2780481531707544</v>
      </c>
      <c r="T288" s="30" t="n">
        <v>0.007172407286744955</v>
      </c>
      <c r="U288" s="31">
        <f>ABS(E288-$G$6)</f>
        <v/>
      </c>
      <c r="V288" s="31">
        <f>ABS(E288-$G$7)</f>
        <v/>
      </c>
      <c r="W288" s="31">
        <f>ABS(E288-$G$8)</f>
        <v/>
      </c>
      <c r="X288" s="14">
        <f>IF(R288&gt;=MAX(S288,T288), "Hemat", IF(S288&gt;=T288, "Balanced", "Premium"))</f>
        <v/>
      </c>
    </row>
    <row r="289">
      <c r="A289" s="14" t="n">
        <v>287</v>
      </c>
      <c r="B289" s="7" t="inlineStr">
        <is>
          <t>Kampoeng Wisata De Berran</t>
        </is>
      </c>
      <c r="C289" s="26" t="n">
        <v>-7.8907364</v>
      </c>
      <c r="D289" s="26" t="n">
        <v>112.5419283</v>
      </c>
      <c r="E289" s="21" t="n">
        <v>10000</v>
      </c>
      <c r="F289" s="27" t="n">
        <v>4.3</v>
      </c>
      <c r="G289" s="28" t="n">
        <v>883</v>
      </c>
      <c r="H289" s="14" t="inlineStr">
        <is>
          <t>Kampoeng Wisata De Berran</t>
        </is>
      </c>
      <c r="I289" s="29">
        <f>6371 * 2 * ASIN(SQRT(SIN(RADIANS((C289) - INDEX('Dataset_Wisata'!$C$12:$C$622, MATCH('Dashboard'!$C$9, 'Dataset_Wisata'!$A$12:$A$622, 0)))/2)^2 + COS(RADIANS(INDEX('Dataset_Wisata'!$C$12:$C$622, MATCH('Dashboard'!$C$9, 'Dataset_Wisata'!$A$12:$A$622, 0)))) * COS(RADIANS(C289)) * SIN(RADIANS((D289) - INDEX('Dataset_Wisata'!$D$12:$D$622, MATCH('Dashboard'!$C$9, 'Dataset_Wisata'!$A$12:$A$622, 0)))/2)^2)) * 1.3</f>
        <v/>
      </c>
      <c r="J289" s="21">
        <f>ROUND(I289 * IF('Dashboard'!$C$6&lt;=1, 2250, IF('Dashboard'!$C$6&lt;=4, 5150, 6000)), 0)</f>
        <v/>
      </c>
      <c r="K289" s="30" t="n">
        <v>0.9998126508185596</v>
      </c>
      <c r="L289" s="30" t="n">
        <v>0.0001775718391516968</v>
      </c>
      <c r="M289" s="30" t="n">
        <v>9.7773422886897e-06</v>
      </c>
      <c r="N289" s="31">
        <f>ABS(E289-$F$6)</f>
        <v/>
      </c>
      <c r="O289" s="31">
        <f>ABS(E289-$F$7)</f>
        <v/>
      </c>
      <c r="P289" s="31">
        <f>ABS(E289-$F$8)</f>
        <v/>
      </c>
      <c r="Q289" s="14">
        <f>IF(K289&gt;=MAX(L289,M289), "Hemat", IF(L289&gt;=M289, "Balanced", "Premium"))</f>
        <v/>
      </c>
      <c r="R289" s="30" t="n">
        <v>0.9998126513362043</v>
      </c>
      <c r="S289" s="30" t="n">
        <v>0.0001775713458315561</v>
      </c>
      <c r="T289" s="30" t="n">
        <v>9.777317964159987e-06</v>
      </c>
      <c r="U289" s="31">
        <f>ABS(E289-$G$6)</f>
        <v/>
      </c>
      <c r="V289" s="31">
        <f>ABS(E289-$G$7)</f>
        <v/>
      </c>
      <c r="W289" s="31">
        <f>ABS(E289-$G$8)</f>
        <v/>
      </c>
      <c r="X289" s="14">
        <f>IF(R289&gt;=MAX(S289,T289), "Hemat", IF(S289&gt;=T289, "Balanced", "Premium"))</f>
        <v/>
      </c>
    </row>
    <row r="290">
      <c r="A290" s="14" t="n">
        <v>288</v>
      </c>
      <c r="B290" s="7" t="inlineStr">
        <is>
          <t>Taman Wisata Lembah Dieng</t>
        </is>
      </c>
      <c r="C290" s="26" t="n">
        <v>-7.9654754</v>
      </c>
      <c r="D290" s="26" t="n">
        <v>112.5987742</v>
      </c>
      <c r="E290" s="21" t="n">
        <v>10000</v>
      </c>
      <c r="F290" s="27" t="n">
        <v>4.4</v>
      </c>
      <c r="G290" s="28" t="n">
        <v>3908</v>
      </c>
      <c r="H290" s="14" t="inlineStr">
        <is>
          <t>Taman Wisata Lembah Dieng</t>
        </is>
      </c>
      <c r="I290" s="29">
        <f>6371 * 2 * ASIN(SQRT(SIN(RADIANS((C290) - INDEX('Dataset_Wisata'!$C$12:$C$622, MATCH('Dashboard'!$C$9, 'Dataset_Wisata'!$A$12:$A$622, 0)))/2)^2 + COS(RADIANS(INDEX('Dataset_Wisata'!$C$12:$C$622, MATCH('Dashboard'!$C$9, 'Dataset_Wisata'!$A$12:$A$622, 0)))) * COS(RADIANS(C290)) * SIN(RADIANS((D290) - INDEX('Dataset_Wisata'!$D$12:$D$622, MATCH('Dashboard'!$C$9, 'Dataset_Wisata'!$A$12:$A$622, 0)))/2)^2)) * 1.3</f>
        <v/>
      </c>
      <c r="J290" s="21">
        <f>ROUND(I290 * IF('Dashboard'!$C$6&lt;=1, 2250, IF('Dashboard'!$C$6&lt;=4, 5150, 6000)), 0)</f>
        <v/>
      </c>
      <c r="K290" s="30" t="n">
        <v>0.9998126508185596</v>
      </c>
      <c r="L290" s="30" t="n">
        <v>0.0001775718391516968</v>
      </c>
      <c r="M290" s="30" t="n">
        <v>9.7773422886897e-06</v>
      </c>
      <c r="N290" s="31">
        <f>ABS(E290-$F$6)</f>
        <v/>
      </c>
      <c r="O290" s="31">
        <f>ABS(E290-$F$7)</f>
        <v/>
      </c>
      <c r="P290" s="31">
        <f>ABS(E290-$F$8)</f>
        <v/>
      </c>
      <c r="Q290" s="14">
        <f>IF(K290&gt;=MAX(L290,M290), "Hemat", IF(L290&gt;=M290, "Balanced", "Premium"))</f>
        <v/>
      </c>
      <c r="R290" s="30" t="n">
        <v>0.9998126513362043</v>
      </c>
      <c r="S290" s="30" t="n">
        <v>0.0001775713458315561</v>
      </c>
      <c r="T290" s="30" t="n">
        <v>9.777317964159987e-06</v>
      </c>
      <c r="U290" s="31">
        <f>ABS(E290-$G$6)</f>
        <v/>
      </c>
      <c r="V290" s="31">
        <f>ABS(E290-$G$7)</f>
        <v/>
      </c>
      <c r="W290" s="31">
        <f>ABS(E290-$G$8)</f>
        <v/>
      </c>
      <c r="X290" s="14">
        <f>IF(R290&gt;=MAX(S290,T290), "Hemat", IF(S290&gt;=T290, "Balanced", "Premium"))</f>
        <v/>
      </c>
    </row>
    <row r="291">
      <c r="A291" s="14" t="n">
        <v>289</v>
      </c>
      <c r="B291" s="7" t="inlineStr">
        <is>
          <t>Malang Skyland</t>
        </is>
      </c>
      <c r="C291" s="26" t="n">
        <v>-7.867401</v>
      </c>
      <c r="D291" s="26" t="n">
        <v>112.5760073</v>
      </c>
      <c r="E291" s="21" t="n">
        <v>45000</v>
      </c>
      <c r="F291" s="27" t="n">
        <v>4.2</v>
      </c>
      <c r="G291" s="28" t="n">
        <v>2954</v>
      </c>
      <c r="H291" s="14" t="inlineStr">
        <is>
          <t>Wisata Umum</t>
        </is>
      </c>
      <c r="I291" s="29">
        <f>6371 * 2 * ASIN(SQRT(SIN(RADIANS((C291) - INDEX('Dataset_Wisata'!$C$12:$C$622, MATCH('Dashboard'!$C$9, 'Dataset_Wisata'!$A$12:$A$622, 0)))/2)^2 + COS(RADIANS(INDEX('Dataset_Wisata'!$C$12:$C$622, MATCH('Dashboard'!$C$9, 'Dataset_Wisata'!$A$12:$A$622, 0)))) * COS(RADIANS(C291)) * SIN(RADIANS((D291) - INDEX('Dataset_Wisata'!$D$12:$D$622, MATCH('Dashboard'!$C$9, 'Dataset_Wisata'!$A$12:$A$622, 0)))/2)^2)) * 1.3</f>
        <v/>
      </c>
      <c r="J291" s="21">
        <f>ROUND(I291 * IF('Dashboard'!$C$6&lt;=1, 2250, IF('Dashboard'!$C$6&lt;=4, 5150, 6000)), 0)</f>
        <v/>
      </c>
      <c r="K291" s="30" t="n">
        <v>0.01865911409062753</v>
      </c>
      <c r="L291" s="30" t="n">
        <v>0.9800492830679586</v>
      </c>
      <c r="M291" s="30" t="n">
        <v>0.001291602841413916</v>
      </c>
      <c r="N291" s="31">
        <f>ABS(E291-$F$6)</f>
        <v/>
      </c>
      <c r="O291" s="31">
        <f>ABS(E291-$F$7)</f>
        <v/>
      </c>
      <c r="P291" s="31">
        <f>ABS(E291-$F$8)</f>
        <v/>
      </c>
      <c r="Q291" s="14">
        <f>IF(K291&gt;=MAX(L291,M291), "Hemat", IF(L291&gt;=M291, "Balanced", "Premium"))</f>
        <v/>
      </c>
      <c r="R291" s="30" t="n">
        <v>0.01865916371049316</v>
      </c>
      <c r="S291" s="30" t="n">
        <v>0.9800492301234441</v>
      </c>
      <c r="T291" s="30" t="n">
        <v>0.001291606166062711</v>
      </c>
      <c r="U291" s="31">
        <f>ABS(E291-$G$6)</f>
        <v/>
      </c>
      <c r="V291" s="31">
        <f>ABS(E291-$G$7)</f>
        <v/>
      </c>
      <c r="W291" s="31">
        <f>ABS(E291-$G$8)</f>
        <v/>
      </c>
      <c r="X291" s="14">
        <f>IF(R291&gt;=MAX(S291,T291), "Hemat", IF(S291&gt;=T291, "Balanced", "Premium"))</f>
        <v/>
      </c>
    </row>
    <row r="292">
      <c r="A292" s="14" t="n">
        <v>290</v>
      </c>
      <c r="B292" s="7" t="inlineStr">
        <is>
          <t>Sumber Cinde</t>
        </is>
      </c>
      <c r="C292" s="26" t="n">
        <v>-7.8581086</v>
      </c>
      <c r="D292" s="26" t="n">
        <v>112.5436315</v>
      </c>
      <c r="E292" s="21" t="n">
        <v>10000</v>
      </c>
      <c r="F292" s="27" t="n">
        <v>4.3</v>
      </c>
      <c r="G292" s="28" t="n">
        <v>142</v>
      </c>
      <c r="H292" s="14" t="inlineStr">
        <is>
          <t>Wisata Umum</t>
        </is>
      </c>
      <c r="I292" s="29">
        <f>6371 * 2 * ASIN(SQRT(SIN(RADIANS((C292) - INDEX('Dataset_Wisata'!$C$12:$C$622, MATCH('Dashboard'!$C$9, 'Dataset_Wisata'!$A$12:$A$622, 0)))/2)^2 + COS(RADIANS(INDEX('Dataset_Wisata'!$C$12:$C$622, MATCH('Dashboard'!$C$9, 'Dataset_Wisata'!$A$12:$A$622, 0)))) * COS(RADIANS(C292)) * SIN(RADIANS((D292) - INDEX('Dataset_Wisata'!$D$12:$D$622, MATCH('Dashboard'!$C$9, 'Dataset_Wisata'!$A$12:$A$622, 0)))/2)^2)) * 1.3</f>
        <v/>
      </c>
      <c r="J292" s="21">
        <f>ROUND(I292 * IF('Dashboard'!$C$6&lt;=1, 2250, IF('Dashboard'!$C$6&lt;=4, 5150, 6000)), 0)</f>
        <v/>
      </c>
      <c r="K292" s="30" t="n">
        <v>0.9998126508185596</v>
      </c>
      <c r="L292" s="30" t="n">
        <v>0.0001775718391516968</v>
      </c>
      <c r="M292" s="30" t="n">
        <v>9.7773422886897e-06</v>
      </c>
      <c r="N292" s="31">
        <f>ABS(E292-$F$6)</f>
        <v/>
      </c>
      <c r="O292" s="31">
        <f>ABS(E292-$F$7)</f>
        <v/>
      </c>
      <c r="P292" s="31">
        <f>ABS(E292-$F$8)</f>
        <v/>
      </c>
      <c r="Q292" s="14">
        <f>IF(K292&gt;=MAX(L292,M292), "Hemat", IF(L292&gt;=M292, "Balanced", "Premium"))</f>
        <v/>
      </c>
      <c r="R292" s="30" t="n">
        <v>0.9998126513362043</v>
      </c>
      <c r="S292" s="30" t="n">
        <v>0.0001775713458315561</v>
      </c>
      <c r="T292" s="30" t="n">
        <v>9.777317964159987e-06</v>
      </c>
      <c r="U292" s="31">
        <f>ABS(E292-$G$6)</f>
        <v/>
      </c>
      <c r="V292" s="31">
        <f>ABS(E292-$G$7)</f>
        <v/>
      </c>
      <c r="W292" s="31">
        <f>ABS(E292-$G$8)</f>
        <v/>
      </c>
      <c r="X292" s="14">
        <f>IF(R292&gt;=MAX(S292,T292), "Hemat", IF(S292&gt;=T292, "Balanced", "Premium"))</f>
        <v/>
      </c>
    </row>
    <row r="293">
      <c r="A293" s="14" t="n">
        <v>291</v>
      </c>
      <c r="B293" s="7" t="inlineStr">
        <is>
          <t>Hilltop</t>
        </is>
      </c>
      <c r="C293" s="26" t="n">
        <v>-7.8279375</v>
      </c>
      <c r="D293" s="26" t="n">
        <v>112.5535469</v>
      </c>
      <c r="E293" s="21" t="n">
        <v>10000</v>
      </c>
      <c r="F293" s="27" t="n">
        <v>4.5</v>
      </c>
      <c r="G293" s="28" t="n">
        <v>67</v>
      </c>
      <c r="H293" s="14" t="inlineStr">
        <is>
          <t>Tujuan Wisata · 5HC3+RCF</t>
        </is>
      </c>
      <c r="I293" s="29">
        <f>6371 * 2 * ASIN(SQRT(SIN(RADIANS((C293) - INDEX('Dataset_Wisata'!$C$12:$C$622, MATCH('Dashboard'!$C$9, 'Dataset_Wisata'!$A$12:$A$622, 0)))/2)^2 + COS(RADIANS(INDEX('Dataset_Wisata'!$C$12:$C$622, MATCH('Dashboard'!$C$9, 'Dataset_Wisata'!$A$12:$A$622, 0)))) * COS(RADIANS(C293)) * SIN(RADIANS((D293) - INDEX('Dataset_Wisata'!$D$12:$D$622, MATCH('Dashboard'!$C$9, 'Dataset_Wisata'!$A$12:$A$622, 0)))/2)^2)) * 1.3</f>
        <v/>
      </c>
      <c r="J293" s="21">
        <f>ROUND(I293 * IF('Dashboard'!$C$6&lt;=1, 2250, IF('Dashboard'!$C$6&lt;=4, 5150, 6000)), 0)</f>
        <v/>
      </c>
      <c r="K293" s="30" t="n">
        <v>0.9998126508185596</v>
      </c>
      <c r="L293" s="30" t="n">
        <v>0.0001775718391516968</v>
      </c>
      <c r="M293" s="30" t="n">
        <v>9.7773422886897e-06</v>
      </c>
      <c r="N293" s="31">
        <f>ABS(E293-$F$6)</f>
        <v/>
      </c>
      <c r="O293" s="31">
        <f>ABS(E293-$F$7)</f>
        <v/>
      </c>
      <c r="P293" s="31">
        <f>ABS(E293-$F$8)</f>
        <v/>
      </c>
      <c r="Q293" s="14">
        <f>IF(K293&gt;=MAX(L293,M293), "Hemat", IF(L293&gt;=M293, "Balanced", "Premium"))</f>
        <v/>
      </c>
      <c r="R293" s="30" t="n">
        <v>0.9998126513362043</v>
      </c>
      <c r="S293" s="30" t="n">
        <v>0.0001775713458315561</v>
      </c>
      <c r="T293" s="30" t="n">
        <v>9.777317964159987e-06</v>
      </c>
      <c r="U293" s="31">
        <f>ABS(E293-$G$6)</f>
        <v/>
      </c>
      <c r="V293" s="31">
        <f>ABS(E293-$G$7)</f>
        <v/>
      </c>
      <c r="W293" s="31">
        <f>ABS(E293-$G$8)</f>
        <v/>
      </c>
      <c r="X293" s="14">
        <f>IF(R293&gt;=MAX(S293,T293), "Hemat", IF(S293&gt;=T293, "Balanced", "Premium"))</f>
        <v/>
      </c>
    </row>
    <row r="294">
      <c r="A294" s="14" t="n">
        <v>292</v>
      </c>
      <c r="B294" s="7" t="inlineStr">
        <is>
          <t>Offroad Coban Talun - Offroad Batu Malang</t>
        </is>
      </c>
      <c r="C294" s="26" t="n">
        <v>-7.8010468</v>
      </c>
      <c r="D294" s="26" t="n">
        <v>112.5176383</v>
      </c>
      <c r="E294" s="21" t="n">
        <v>7500</v>
      </c>
      <c r="F294" s="27" t="n">
        <v>4.9</v>
      </c>
      <c r="G294" s="28" t="n">
        <v>165</v>
      </c>
      <c r="H294" s="14" t="inlineStr">
        <is>
          <t>Wisata Umum</t>
        </is>
      </c>
      <c r="I294" s="29">
        <f>6371 * 2 * ASIN(SQRT(SIN(RADIANS((C294) - INDEX('Dataset_Wisata'!$C$12:$C$622, MATCH('Dashboard'!$C$9, 'Dataset_Wisata'!$A$12:$A$622, 0)))/2)^2 + COS(RADIANS(INDEX('Dataset_Wisata'!$C$12:$C$622, MATCH('Dashboard'!$C$9, 'Dataset_Wisata'!$A$12:$A$622, 0)))) * COS(RADIANS(C294)) * SIN(RADIANS((D294) - INDEX('Dataset_Wisata'!$D$12:$D$622, MATCH('Dashboard'!$C$9, 'Dataset_Wisata'!$A$12:$A$622, 0)))/2)^2)) * 1.3</f>
        <v/>
      </c>
      <c r="J294" s="21">
        <f>ROUND(I294 * IF('Dashboard'!$C$6&lt;=1, 2250, IF('Dashboard'!$C$6&lt;=4, 5150, 6000)), 0)</f>
        <v/>
      </c>
      <c r="K294" s="30" t="n">
        <v>0.9977205282859762</v>
      </c>
      <c r="L294" s="30" t="n">
        <v>0.002149657617863785</v>
      </c>
      <c r="M294" s="30" t="n">
        <v>0.0001298140961599537</v>
      </c>
      <c r="N294" s="31">
        <f>ABS(E294-$F$6)</f>
        <v/>
      </c>
      <c r="O294" s="31">
        <f>ABS(E294-$F$7)</f>
        <v/>
      </c>
      <c r="P294" s="31">
        <f>ABS(E294-$F$8)</f>
        <v/>
      </c>
      <c r="Q294" s="14">
        <f>IF(K294&gt;=MAX(L294,M294), "Hemat", IF(L294&gt;=M294, "Balanced", "Premium"))</f>
        <v/>
      </c>
      <c r="R294" s="30" t="n">
        <v>0.9977205274493423</v>
      </c>
      <c r="S294" s="30" t="n">
        <v>0.002149658373618826</v>
      </c>
      <c r="T294" s="30" t="n">
        <v>0.0001298141770389646</v>
      </c>
      <c r="U294" s="31">
        <f>ABS(E294-$G$6)</f>
        <v/>
      </c>
      <c r="V294" s="31">
        <f>ABS(E294-$G$7)</f>
        <v/>
      </c>
      <c r="W294" s="31">
        <f>ABS(E294-$G$8)</f>
        <v/>
      </c>
      <c r="X294" s="14">
        <f>IF(R294&gt;=MAX(S294,T294), "Hemat", IF(S294&gt;=T294, "Balanced", "Premium"))</f>
        <v/>
      </c>
    </row>
    <row r="295">
      <c r="A295" s="14" t="n">
        <v>293</v>
      </c>
      <c r="B295" s="7" t="inlineStr">
        <is>
          <t>Kebun Apel Di Batu</t>
        </is>
      </c>
      <c r="C295" s="26" t="n">
        <v>-7.8125415</v>
      </c>
      <c r="D295" s="26" t="n">
        <v>112.5296186</v>
      </c>
      <c r="E295" s="21" t="n">
        <v>20000</v>
      </c>
      <c r="F295" s="27" t="n">
        <v>4.4</v>
      </c>
      <c r="G295" s="28" t="n">
        <v>151</v>
      </c>
      <c r="H295" s="14" t="inlineStr">
        <is>
          <t>Wisata Umum</t>
        </is>
      </c>
      <c r="I295" s="29">
        <f>6371 * 2 * ASIN(SQRT(SIN(RADIANS((C295) - INDEX('Dataset_Wisata'!$C$12:$C$622, MATCH('Dashboard'!$C$9, 'Dataset_Wisata'!$A$12:$A$622, 0)))/2)^2 + COS(RADIANS(INDEX('Dataset_Wisata'!$C$12:$C$622, MATCH('Dashboard'!$C$9, 'Dataset_Wisata'!$A$12:$A$622, 0)))) * COS(RADIANS(C295)) * SIN(RADIANS((D295) - INDEX('Dataset_Wisata'!$D$12:$D$622, MATCH('Dashboard'!$C$9, 'Dataset_Wisata'!$A$12:$A$622, 0)))/2)^2)) * 1.3</f>
        <v/>
      </c>
      <c r="J295" s="21">
        <f>ROUND(I295 * IF('Dashboard'!$C$6&lt;=1, 2250, IF('Dashboard'!$C$6&lt;=4, 5150, 6000)), 0)</f>
        <v/>
      </c>
      <c r="K295" s="30" t="n">
        <v>0.8862296979094436</v>
      </c>
      <c r="L295" s="30" t="n">
        <v>0.1099329410905347</v>
      </c>
      <c r="M295" s="30" t="n">
        <v>0.003837361000021699</v>
      </c>
      <c r="N295" s="31">
        <f>ABS(E295-$F$6)</f>
        <v/>
      </c>
      <c r="O295" s="31">
        <f>ABS(E295-$F$7)</f>
        <v/>
      </c>
      <c r="P295" s="31">
        <f>ABS(E295-$F$8)</f>
        <v/>
      </c>
      <c r="Q295" s="14">
        <f>IF(K295&gt;=MAX(L295,M295), "Hemat", IF(L295&gt;=M295, "Balanced", "Premium"))</f>
        <v/>
      </c>
      <c r="R295" s="30" t="n">
        <v>0.8862297532761809</v>
      </c>
      <c r="S295" s="30" t="n">
        <v>0.1099328861159962</v>
      </c>
      <c r="T295" s="30" t="n">
        <v>0.003837360607822898</v>
      </c>
      <c r="U295" s="31">
        <f>ABS(E295-$G$6)</f>
        <v/>
      </c>
      <c r="V295" s="31">
        <f>ABS(E295-$G$7)</f>
        <v/>
      </c>
      <c r="W295" s="31">
        <f>ABS(E295-$G$8)</f>
        <v/>
      </c>
      <c r="X295" s="14">
        <f>IF(R295&gt;=MAX(S295,T295), "Hemat", IF(S295&gt;=T295, "Balanced", "Premium"))</f>
        <v/>
      </c>
    </row>
    <row r="296">
      <c r="A296" s="14" t="n">
        <v>294</v>
      </c>
      <c r="B296" s="7" t="inlineStr">
        <is>
          <t>Pantai Singit ꦥꦼꦱꦶꦱꦶꦂꦱꦶꦔꦶꦠ꧀</t>
        </is>
      </c>
      <c r="C296" s="26" t="n">
        <v>-8.419302</v>
      </c>
      <c r="D296" s="26" t="n">
        <v>112.6048018</v>
      </c>
      <c r="E296" s="21" t="n">
        <v>15000</v>
      </c>
      <c r="F296" s="27" t="n">
        <v>4.8</v>
      </c>
      <c r="G296" s="28" t="n">
        <v>20</v>
      </c>
      <c r="H296" s="14" t="inlineStr">
        <is>
          <t>Pantai Singit ꦥꦼꦱꦶꦱꦶꦂꦱꦶꦔꦶꦠ꧀</t>
        </is>
      </c>
      <c r="I296" s="29">
        <f>6371 * 2 * ASIN(SQRT(SIN(RADIANS((C296) - INDEX('Dataset_Wisata'!$C$12:$C$622, MATCH('Dashboard'!$C$9, 'Dataset_Wisata'!$A$12:$A$622, 0)))/2)^2 + COS(RADIANS(INDEX('Dataset_Wisata'!$C$12:$C$622, MATCH('Dashboard'!$C$9, 'Dataset_Wisata'!$A$12:$A$622, 0)))) * COS(RADIANS(C296)) * SIN(RADIANS((D296) - INDEX('Dataset_Wisata'!$D$12:$D$622, MATCH('Dashboard'!$C$9, 'Dataset_Wisata'!$A$12:$A$622, 0)))/2)^2)) * 1.3</f>
        <v/>
      </c>
      <c r="J296" s="21">
        <f>ROUND(I296 * IF('Dashboard'!$C$6&lt;=1, 2250, IF('Dashboard'!$C$6&lt;=4, 5150, 6000)), 0)</f>
        <v/>
      </c>
      <c r="K296" s="30" t="n">
        <v>0.9744283047002794</v>
      </c>
      <c r="L296" s="30" t="n">
        <v>0.02447712712252609</v>
      </c>
      <c r="M296" s="30" t="n">
        <v>0.001094568177194568</v>
      </c>
      <c r="N296" s="31">
        <f>ABS(E296-$F$6)</f>
        <v/>
      </c>
      <c r="O296" s="31">
        <f>ABS(E296-$F$7)</f>
        <v/>
      </c>
      <c r="P296" s="31">
        <f>ABS(E296-$F$8)</f>
        <v/>
      </c>
      <c r="Q296" s="14">
        <f>IF(K296&gt;=MAX(L296,M296), "Hemat", IF(L296&gt;=M296, "Balanced", "Premium"))</f>
        <v/>
      </c>
      <c r="R296" s="30" t="n">
        <v>0.9744283195785179</v>
      </c>
      <c r="S296" s="30" t="n">
        <v>0.02447711252884811</v>
      </c>
      <c r="T296" s="30" t="n">
        <v>0.001094567892634054</v>
      </c>
      <c r="U296" s="31">
        <f>ABS(E296-$G$6)</f>
        <v/>
      </c>
      <c r="V296" s="31">
        <f>ABS(E296-$G$7)</f>
        <v/>
      </c>
      <c r="W296" s="31">
        <f>ABS(E296-$G$8)</f>
        <v/>
      </c>
      <c r="X296" s="14">
        <f>IF(R296&gt;=MAX(S296,T296), "Hemat", IF(S296&gt;=T296, "Balanced", "Premium"))</f>
        <v/>
      </c>
    </row>
    <row r="297">
      <c r="A297" s="14" t="n">
        <v>295</v>
      </c>
      <c r="B297" s="7" t="inlineStr">
        <is>
          <t>Pantai Buncaran ꦥꦼꦱꦶꦱꦶꦂꦧꦸꦚ꧀ꦕꦫꦤ꧀</t>
        </is>
      </c>
      <c r="C297" s="26" t="n">
        <v>-8.4165454</v>
      </c>
      <c r="D297" s="26" t="n">
        <v>112.5954665</v>
      </c>
      <c r="E297" s="21" t="n">
        <v>7000</v>
      </c>
      <c r="F297" s="27" t="n">
        <v>4.4</v>
      </c>
      <c r="G297" s="28" t="n">
        <v>59</v>
      </c>
      <c r="H297" s="14" t="inlineStr">
        <is>
          <t>Pantai Buncaran ꦥꦼꦱꦶꦱꦶꦂꦧꦸꦚ꧀ꦕꦫꦤ꧀</t>
        </is>
      </c>
      <c r="I297" s="29">
        <f>6371 * 2 * ASIN(SQRT(SIN(RADIANS((C297) - INDEX('Dataset_Wisata'!$C$12:$C$622, MATCH('Dashboard'!$C$9, 'Dataset_Wisata'!$A$12:$A$622, 0)))/2)^2 + COS(RADIANS(INDEX('Dataset_Wisata'!$C$12:$C$622, MATCH('Dashboard'!$C$9, 'Dataset_Wisata'!$A$12:$A$622, 0)))) * COS(RADIANS(C297)) * SIN(RADIANS((D297) - INDEX('Dataset_Wisata'!$D$12:$D$622, MATCH('Dashboard'!$C$9, 'Dataset_Wisata'!$A$12:$A$622, 0)))/2)^2)) * 1.3</f>
        <v/>
      </c>
      <c r="J297" s="21">
        <f>ROUND(I297 * IF('Dashboard'!$C$6&lt;=1, 2250, IF('Dashboard'!$C$6&lt;=4, 5150, 6000)), 0)</f>
        <v/>
      </c>
      <c r="K297" s="30" t="n">
        <v>0.9964990922780733</v>
      </c>
      <c r="L297" s="30" t="n">
        <v>0.003298187596112103</v>
      </c>
      <c r="M297" s="30" t="n">
        <v>0.0002027201258145054</v>
      </c>
      <c r="N297" s="31">
        <f>ABS(E297-$F$6)</f>
        <v/>
      </c>
      <c r="O297" s="31">
        <f>ABS(E297-$F$7)</f>
        <v/>
      </c>
      <c r="P297" s="31">
        <f>ABS(E297-$F$8)</f>
        <v/>
      </c>
      <c r="Q297" s="14">
        <f>IF(K297&gt;=MAX(L297,M297), "Hemat", IF(L297&gt;=M297, "Balanced", "Premium"))</f>
        <v/>
      </c>
      <c r="R297" s="30" t="n">
        <v>0.9964990914496938</v>
      </c>
      <c r="S297" s="30" t="n">
        <v>0.003298188325346893</v>
      </c>
      <c r="T297" s="30" t="n">
        <v>0.000202720224959229</v>
      </c>
      <c r="U297" s="31">
        <f>ABS(E297-$G$6)</f>
        <v/>
      </c>
      <c r="V297" s="31">
        <f>ABS(E297-$G$7)</f>
        <v/>
      </c>
      <c r="W297" s="31">
        <f>ABS(E297-$G$8)</f>
        <v/>
      </c>
      <c r="X297" s="14">
        <f>IF(R297&gt;=MAX(S297,T297), "Hemat", IF(S297&gt;=T297, "Balanced", "Premium"))</f>
        <v/>
      </c>
    </row>
    <row r="298">
      <c r="A298" s="14" t="n">
        <v>296</v>
      </c>
      <c r="B298" s="7" t="inlineStr">
        <is>
          <t>Pantai Karang ꦥꦼꦱꦶꦱꦶꦂꦏꦫꦁ</t>
        </is>
      </c>
      <c r="C298" s="26" t="n">
        <v>-8.418192700000001</v>
      </c>
      <c r="D298" s="26" t="n">
        <v>112.6005472</v>
      </c>
      <c r="E298" s="21" t="n">
        <v>15000</v>
      </c>
      <c r="F298" s="27" t="n">
        <v>4.4</v>
      </c>
      <c r="G298" s="28" t="n">
        <v>27</v>
      </c>
      <c r="H298" s="14" t="inlineStr">
        <is>
          <t>Pantai Karang ꦥꦼꦱꦶꦱꦶꦂꦏꦫꦁ</t>
        </is>
      </c>
      <c r="I298" s="29">
        <f>6371 * 2 * ASIN(SQRT(SIN(RADIANS((C298) - INDEX('Dataset_Wisata'!$C$12:$C$622, MATCH('Dashboard'!$C$9, 'Dataset_Wisata'!$A$12:$A$622, 0)))/2)^2 + COS(RADIANS(INDEX('Dataset_Wisata'!$C$12:$C$622, MATCH('Dashboard'!$C$9, 'Dataset_Wisata'!$A$12:$A$622, 0)))) * COS(RADIANS(C298)) * SIN(RADIANS((D298) - INDEX('Dataset_Wisata'!$D$12:$D$622, MATCH('Dashboard'!$C$9, 'Dataset_Wisata'!$A$12:$A$622, 0)))/2)^2)) * 1.3</f>
        <v/>
      </c>
      <c r="J298" s="21">
        <f>ROUND(I298 * IF('Dashboard'!$C$6&lt;=1, 2250, IF('Dashboard'!$C$6&lt;=4, 5150, 6000)), 0)</f>
        <v/>
      </c>
      <c r="K298" s="30" t="n">
        <v>0.9744283047002794</v>
      </c>
      <c r="L298" s="30" t="n">
        <v>0.02447712712252609</v>
      </c>
      <c r="M298" s="30" t="n">
        <v>0.001094568177194568</v>
      </c>
      <c r="N298" s="31">
        <f>ABS(E298-$F$6)</f>
        <v/>
      </c>
      <c r="O298" s="31">
        <f>ABS(E298-$F$7)</f>
        <v/>
      </c>
      <c r="P298" s="31">
        <f>ABS(E298-$F$8)</f>
        <v/>
      </c>
      <c r="Q298" s="14">
        <f>IF(K298&gt;=MAX(L298,M298), "Hemat", IF(L298&gt;=M298, "Balanced", "Premium"))</f>
        <v/>
      </c>
      <c r="R298" s="30" t="n">
        <v>0.9744283195785179</v>
      </c>
      <c r="S298" s="30" t="n">
        <v>0.02447711252884811</v>
      </c>
      <c r="T298" s="30" t="n">
        <v>0.001094567892634054</v>
      </c>
      <c r="U298" s="31">
        <f>ABS(E298-$G$6)</f>
        <v/>
      </c>
      <c r="V298" s="31">
        <f>ABS(E298-$G$7)</f>
        <v/>
      </c>
      <c r="W298" s="31">
        <f>ABS(E298-$G$8)</f>
        <v/>
      </c>
      <c r="X298" s="14">
        <f>IF(R298&gt;=MAX(S298,T298), "Hemat", IF(S298&gt;=T298, "Balanced", "Premium"))</f>
        <v/>
      </c>
    </row>
    <row r="299">
      <c r="A299" s="14" t="n">
        <v>297</v>
      </c>
      <c r="B299" s="7" t="inlineStr">
        <is>
          <t>Pantai Tanjung Penyu</t>
        </is>
      </c>
      <c r="C299" s="26" t="n">
        <v>-8.436109399999999</v>
      </c>
      <c r="D299" s="26" t="n">
        <v>112.6476701</v>
      </c>
      <c r="E299" s="21" t="n">
        <v>10000</v>
      </c>
      <c r="F299" s="27" t="n">
        <v>4.7</v>
      </c>
      <c r="G299" s="28" t="n">
        <v>3646</v>
      </c>
      <c r="H299" s="14" t="inlineStr">
        <is>
          <t>Pantai Tanjung Penyu</t>
        </is>
      </c>
      <c r="I299" s="29">
        <f>6371 * 2 * ASIN(SQRT(SIN(RADIANS((C299) - INDEX('Dataset_Wisata'!$C$12:$C$622, MATCH('Dashboard'!$C$9, 'Dataset_Wisata'!$A$12:$A$622, 0)))/2)^2 + COS(RADIANS(INDEX('Dataset_Wisata'!$C$12:$C$622, MATCH('Dashboard'!$C$9, 'Dataset_Wisata'!$A$12:$A$622, 0)))) * COS(RADIANS(C299)) * SIN(RADIANS((D299) - INDEX('Dataset_Wisata'!$D$12:$D$622, MATCH('Dashboard'!$C$9, 'Dataset_Wisata'!$A$12:$A$622, 0)))/2)^2)) * 1.3</f>
        <v/>
      </c>
      <c r="J299" s="21">
        <f>ROUND(I299 * IF('Dashboard'!$C$6&lt;=1, 2250, IF('Dashboard'!$C$6&lt;=4, 5150, 6000)), 0)</f>
        <v/>
      </c>
      <c r="K299" s="30" t="n">
        <v>0.9998126508185596</v>
      </c>
      <c r="L299" s="30" t="n">
        <v>0.0001775718391516968</v>
      </c>
      <c r="M299" s="30" t="n">
        <v>9.7773422886897e-06</v>
      </c>
      <c r="N299" s="31">
        <f>ABS(E299-$F$6)</f>
        <v/>
      </c>
      <c r="O299" s="31">
        <f>ABS(E299-$F$7)</f>
        <v/>
      </c>
      <c r="P299" s="31">
        <f>ABS(E299-$F$8)</f>
        <v/>
      </c>
      <c r="Q299" s="14">
        <f>IF(K299&gt;=MAX(L299,M299), "Hemat", IF(L299&gt;=M299, "Balanced", "Premium"))</f>
        <v/>
      </c>
      <c r="R299" s="30" t="n">
        <v>0.9998126513362043</v>
      </c>
      <c r="S299" s="30" t="n">
        <v>0.0001775713458315561</v>
      </c>
      <c r="T299" s="30" t="n">
        <v>9.777317964159987e-06</v>
      </c>
      <c r="U299" s="31">
        <f>ABS(E299-$G$6)</f>
        <v/>
      </c>
      <c r="V299" s="31">
        <f>ABS(E299-$G$7)</f>
        <v/>
      </c>
      <c r="W299" s="31">
        <f>ABS(E299-$G$8)</f>
        <v/>
      </c>
      <c r="X299" s="14">
        <f>IF(R299&gt;=MAX(S299,T299), "Hemat", IF(S299&gt;=T299, "Balanced", "Premium"))</f>
        <v/>
      </c>
    </row>
    <row r="300">
      <c r="A300" s="14" t="n">
        <v>298</v>
      </c>
      <c r="B300" s="7" t="inlineStr">
        <is>
          <t>Pantai Wedi Klopo</t>
        </is>
      </c>
      <c r="C300" s="26" t="n">
        <v>-8.428312500000001</v>
      </c>
      <c r="D300" s="26" t="n">
        <v>112.6153125</v>
      </c>
      <c r="E300" s="21" t="n">
        <v>5000</v>
      </c>
      <c r="F300" s="27" t="n">
        <v>4.4</v>
      </c>
      <c r="G300" s="28" t="n">
        <v>61</v>
      </c>
      <c r="H300" s="14" t="inlineStr">
        <is>
          <t>Pantai Wedi Klopo</t>
        </is>
      </c>
      <c r="I300" s="29">
        <f>6371 * 2 * ASIN(SQRT(SIN(RADIANS((C300) - INDEX('Dataset_Wisata'!$C$12:$C$622, MATCH('Dashboard'!$C$9, 'Dataset_Wisata'!$A$12:$A$622, 0)))/2)^2 + COS(RADIANS(INDEX('Dataset_Wisata'!$C$12:$C$622, MATCH('Dashboard'!$C$9, 'Dataset_Wisata'!$A$12:$A$622, 0)))) * COS(RADIANS(C300)) * SIN(RADIANS((D300) - INDEX('Dataset_Wisata'!$D$12:$D$622, MATCH('Dashboard'!$C$9, 'Dataset_Wisata'!$A$12:$A$622, 0)))/2)^2)) * 1.3</f>
        <v/>
      </c>
      <c r="J300" s="21">
        <f>ROUND(I300 * IF('Dashboard'!$C$6&lt;=1, 2250, IF('Dashboard'!$C$6&lt;=4, 5150, 6000)), 0)</f>
        <v/>
      </c>
      <c r="K300" s="30" t="n">
        <v>0.9895566543895754</v>
      </c>
      <c r="L300" s="30" t="n">
        <v>0.009798611400025654</v>
      </c>
      <c r="M300" s="30" t="n">
        <v>0.0006447342103988783</v>
      </c>
      <c r="N300" s="31">
        <f>ABS(E300-$F$6)</f>
        <v/>
      </c>
      <c r="O300" s="31">
        <f>ABS(E300-$F$7)</f>
        <v/>
      </c>
      <c r="P300" s="31">
        <f>ABS(E300-$F$8)</f>
        <v/>
      </c>
      <c r="Q300" s="14">
        <f>IF(K300&gt;=MAX(L300,M300), "Hemat", IF(L300&gt;=M300, "Balanced", "Premium"))</f>
        <v/>
      </c>
      <c r="R300" s="30" t="n">
        <v>0.9895566542341836</v>
      </c>
      <c r="S300" s="30" t="n">
        <v>0.00979861139170024</v>
      </c>
      <c r="T300" s="30" t="n">
        <v>0.00064473437411607</v>
      </c>
      <c r="U300" s="31">
        <f>ABS(E300-$G$6)</f>
        <v/>
      </c>
      <c r="V300" s="31">
        <f>ABS(E300-$G$7)</f>
        <v/>
      </c>
      <c r="W300" s="31">
        <f>ABS(E300-$G$8)</f>
        <v/>
      </c>
      <c r="X300" s="14">
        <f>IF(R300&gt;=MAX(S300,T300), "Hemat", IF(S300&gt;=T300, "Balanced", "Premium"))</f>
        <v/>
      </c>
    </row>
    <row r="301">
      <c r="A301" s="14" t="n">
        <v>299</v>
      </c>
      <c r="B301" s="7" t="inlineStr">
        <is>
          <t>Gunung Gede Sumberejo</t>
        </is>
      </c>
      <c r="C301" s="26" t="n">
        <v>-8.247082000000001</v>
      </c>
      <c r="D301" s="26" t="n">
        <v>112.610271</v>
      </c>
      <c r="E301" s="21" t="n">
        <v>34000</v>
      </c>
      <c r="F301" s="27" t="n">
        <v>4.6</v>
      </c>
      <c r="G301" s="28" t="n">
        <v>20</v>
      </c>
      <c r="H301" s="14" t="inlineStr">
        <is>
          <t>Gunung Gede Sumberejo</t>
        </is>
      </c>
      <c r="I301" s="29">
        <f>6371 * 2 * ASIN(SQRT(SIN(RADIANS((C301) - INDEX('Dataset_Wisata'!$C$12:$C$622, MATCH('Dashboard'!$C$9, 'Dataset_Wisata'!$A$12:$A$622, 0)))/2)^2 + COS(RADIANS(INDEX('Dataset_Wisata'!$C$12:$C$622, MATCH('Dashboard'!$C$9, 'Dataset_Wisata'!$A$12:$A$622, 0)))) * COS(RADIANS(C301)) * SIN(RADIANS((D301) - INDEX('Dataset_Wisata'!$D$12:$D$622, MATCH('Dashboard'!$C$9, 'Dataset_Wisata'!$A$12:$A$622, 0)))/2)^2)) * 1.3</f>
        <v/>
      </c>
      <c r="J301" s="21">
        <f>ROUND(I301 * IF('Dashboard'!$C$6&lt;=1, 2250, IF('Dashboard'!$C$6&lt;=4, 5150, 6000)), 0)</f>
        <v/>
      </c>
      <c r="K301" s="30" t="n">
        <v>0.2934384260199264</v>
      </c>
      <c r="L301" s="30" t="n">
        <v>0.6982828064084319</v>
      </c>
      <c r="M301" s="30" t="n">
        <v>0.008278767571641713</v>
      </c>
      <c r="N301" s="31">
        <f>ABS(E301-$F$6)</f>
        <v/>
      </c>
      <c r="O301" s="31">
        <f>ABS(E301-$F$7)</f>
        <v/>
      </c>
      <c r="P301" s="31">
        <f>ABS(E301-$F$8)</f>
        <v/>
      </c>
      <c r="Q301" s="14">
        <f>IF(K301&gt;=MAX(L301,M301), "Hemat", IF(L301&gt;=M301, "Balanced", "Premium"))</f>
        <v/>
      </c>
      <c r="R301" s="30" t="n">
        <v>0.2934386062241977</v>
      </c>
      <c r="S301" s="30" t="n">
        <v>0.6982826219315168</v>
      </c>
      <c r="T301" s="30" t="n">
        <v>0.008278771844285488</v>
      </c>
      <c r="U301" s="31">
        <f>ABS(E301-$G$6)</f>
        <v/>
      </c>
      <c r="V301" s="31">
        <f>ABS(E301-$G$7)</f>
        <v/>
      </c>
      <c r="W301" s="31">
        <f>ABS(E301-$G$8)</f>
        <v/>
      </c>
      <c r="X301" s="14">
        <f>IF(R301&gt;=MAX(S301,T301), "Hemat", IF(S301&gt;=T301, "Balanced", "Premium"))</f>
        <v/>
      </c>
    </row>
    <row r="302">
      <c r="A302" s="14" t="n">
        <v>300</v>
      </c>
      <c r="B302" s="7" t="inlineStr">
        <is>
          <t>Wisata Sumber Janji</t>
        </is>
      </c>
      <c r="C302" s="26" t="n">
        <v>-8.1958053</v>
      </c>
      <c r="D302" s="26" t="n">
        <v>112.6829786</v>
      </c>
      <c r="E302" s="21" t="n">
        <v>5000</v>
      </c>
      <c r="F302" s="27" t="n">
        <v>3.8</v>
      </c>
      <c r="G302" s="28" t="n">
        <v>28</v>
      </c>
      <c r="H302" s="14" t="inlineStr">
        <is>
          <t>Wisata Sumber Janji</t>
        </is>
      </c>
      <c r="I302" s="29">
        <f>6371 * 2 * ASIN(SQRT(SIN(RADIANS((C302) - INDEX('Dataset_Wisata'!$C$12:$C$622, MATCH('Dashboard'!$C$9, 'Dataset_Wisata'!$A$12:$A$622, 0)))/2)^2 + COS(RADIANS(INDEX('Dataset_Wisata'!$C$12:$C$622, MATCH('Dashboard'!$C$9, 'Dataset_Wisata'!$A$12:$A$622, 0)))) * COS(RADIANS(C302)) * SIN(RADIANS((D302) - INDEX('Dataset_Wisata'!$D$12:$D$622, MATCH('Dashboard'!$C$9, 'Dataset_Wisata'!$A$12:$A$622, 0)))/2)^2)) * 1.3</f>
        <v/>
      </c>
      <c r="J302" s="21">
        <f>ROUND(I302 * IF('Dashboard'!$C$6&lt;=1, 2250, IF('Dashboard'!$C$6&lt;=4, 5150, 6000)), 0)</f>
        <v/>
      </c>
      <c r="K302" s="30" t="n">
        <v>0.9895566543895754</v>
      </c>
      <c r="L302" s="30" t="n">
        <v>0.009798611400025654</v>
      </c>
      <c r="M302" s="30" t="n">
        <v>0.0006447342103988783</v>
      </c>
      <c r="N302" s="31">
        <f>ABS(E302-$F$6)</f>
        <v/>
      </c>
      <c r="O302" s="31">
        <f>ABS(E302-$F$7)</f>
        <v/>
      </c>
      <c r="P302" s="31">
        <f>ABS(E302-$F$8)</f>
        <v/>
      </c>
      <c r="Q302" s="14">
        <f>IF(K302&gt;=MAX(L302,M302), "Hemat", IF(L302&gt;=M302, "Balanced", "Premium"))</f>
        <v/>
      </c>
      <c r="R302" s="30" t="n">
        <v>0.9895566542341836</v>
      </c>
      <c r="S302" s="30" t="n">
        <v>0.00979861139170024</v>
      </c>
      <c r="T302" s="30" t="n">
        <v>0.00064473437411607</v>
      </c>
      <c r="U302" s="31">
        <f>ABS(E302-$G$6)</f>
        <v/>
      </c>
      <c r="V302" s="31">
        <f>ABS(E302-$G$7)</f>
        <v/>
      </c>
      <c r="W302" s="31">
        <f>ABS(E302-$G$8)</f>
        <v/>
      </c>
      <c r="X302" s="14">
        <f>IF(R302&gt;=MAX(S302,T302), "Hemat", IF(S302&gt;=T302, "Balanced", "Premium"))</f>
        <v/>
      </c>
    </row>
    <row r="303">
      <c r="A303" s="14" t="n">
        <v>301</v>
      </c>
      <c r="B303" s="7" t="inlineStr">
        <is>
          <t>Taman Wisata " Sumber Alam "</t>
        </is>
      </c>
      <c r="C303" s="26" t="n">
        <v>-8.133994</v>
      </c>
      <c r="D303" s="26" t="n">
        <v>112.6817148</v>
      </c>
      <c r="E303" s="21" t="n">
        <v>10000</v>
      </c>
      <c r="F303" s="27" t="n">
        <v>4.1</v>
      </c>
      <c r="G303" s="28" t="n">
        <v>656</v>
      </c>
      <c r="H303" s="14" t="inlineStr">
        <is>
          <t>Wisata Umum</t>
        </is>
      </c>
      <c r="I303" s="29">
        <f>6371 * 2 * ASIN(SQRT(SIN(RADIANS((C303) - INDEX('Dataset_Wisata'!$C$12:$C$622, MATCH('Dashboard'!$C$9, 'Dataset_Wisata'!$A$12:$A$622, 0)))/2)^2 + COS(RADIANS(INDEX('Dataset_Wisata'!$C$12:$C$622, MATCH('Dashboard'!$C$9, 'Dataset_Wisata'!$A$12:$A$622, 0)))) * COS(RADIANS(C303)) * SIN(RADIANS((D303) - INDEX('Dataset_Wisata'!$D$12:$D$622, MATCH('Dashboard'!$C$9, 'Dataset_Wisata'!$A$12:$A$622, 0)))/2)^2)) * 1.3</f>
        <v/>
      </c>
      <c r="J303" s="21">
        <f>ROUND(I303 * IF('Dashboard'!$C$6&lt;=1, 2250, IF('Dashboard'!$C$6&lt;=4, 5150, 6000)), 0)</f>
        <v/>
      </c>
      <c r="K303" s="30" t="n">
        <v>0.9998126508185596</v>
      </c>
      <c r="L303" s="30" t="n">
        <v>0.0001775718391516968</v>
      </c>
      <c r="M303" s="30" t="n">
        <v>9.7773422886897e-06</v>
      </c>
      <c r="N303" s="31">
        <f>ABS(E303-$F$6)</f>
        <v/>
      </c>
      <c r="O303" s="31">
        <f>ABS(E303-$F$7)</f>
        <v/>
      </c>
      <c r="P303" s="31">
        <f>ABS(E303-$F$8)</f>
        <v/>
      </c>
      <c r="Q303" s="14">
        <f>IF(K303&gt;=MAX(L303,M303), "Hemat", IF(L303&gt;=M303, "Balanced", "Premium"))</f>
        <v/>
      </c>
      <c r="R303" s="30" t="n">
        <v>0.9998126513362043</v>
      </c>
      <c r="S303" s="30" t="n">
        <v>0.0001775713458315561</v>
      </c>
      <c r="T303" s="30" t="n">
        <v>9.777317964159987e-06</v>
      </c>
      <c r="U303" s="31">
        <f>ABS(E303-$G$6)</f>
        <v/>
      </c>
      <c r="V303" s="31">
        <f>ABS(E303-$G$7)</f>
        <v/>
      </c>
      <c r="W303" s="31">
        <f>ABS(E303-$G$8)</f>
        <v/>
      </c>
      <c r="X303" s="14">
        <f>IF(R303&gt;=MAX(S303,T303), "Hemat", IF(S303&gt;=T303, "Balanced", "Premium"))</f>
        <v/>
      </c>
    </row>
    <row r="304">
      <c r="A304" s="14" t="n">
        <v>302</v>
      </c>
      <c r="B304" s="7" t="inlineStr">
        <is>
          <t>Wisata Sumber Buntung</t>
        </is>
      </c>
      <c r="C304" s="26" t="n">
        <v>-8.2179561</v>
      </c>
      <c r="D304" s="26" t="n">
        <v>112.5890919</v>
      </c>
      <c r="E304" s="21" t="n">
        <v>5000</v>
      </c>
      <c r="F304" s="27" t="n">
        <v>4.4</v>
      </c>
      <c r="G304" s="28" t="n">
        <v>35</v>
      </c>
      <c r="H304" s="14" t="inlineStr">
        <is>
          <t>Wisata Sumber Buntung</t>
        </is>
      </c>
      <c r="I304" s="29">
        <f>6371 * 2 * ASIN(SQRT(SIN(RADIANS((C304) - INDEX('Dataset_Wisata'!$C$12:$C$622, MATCH('Dashboard'!$C$9, 'Dataset_Wisata'!$A$12:$A$622, 0)))/2)^2 + COS(RADIANS(INDEX('Dataset_Wisata'!$C$12:$C$622, MATCH('Dashboard'!$C$9, 'Dataset_Wisata'!$A$12:$A$622, 0)))) * COS(RADIANS(C304)) * SIN(RADIANS((D304) - INDEX('Dataset_Wisata'!$D$12:$D$622, MATCH('Dashboard'!$C$9, 'Dataset_Wisata'!$A$12:$A$622, 0)))/2)^2)) * 1.3</f>
        <v/>
      </c>
      <c r="J304" s="21">
        <f>ROUND(I304 * IF('Dashboard'!$C$6&lt;=1, 2250, IF('Dashboard'!$C$6&lt;=4, 5150, 6000)), 0)</f>
        <v/>
      </c>
      <c r="K304" s="30" t="n">
        <v>0.9895566543895754</v>
      </c>
      <c r="L304" s="30" t="n">
        <v>0.009798611400025654</v>
      </c>
      <c r="M304" s="30" t="n">
        <v>0.0006447342103988783</v>
      </c>
      <c r="N304" s="31">
        <f>ABS(E304-$F$6)</f>
        <v/>
      </c>
      <c r="O304" s="31">
        <f>ABS(E304-$F$7)</f>
        <v/>
      </c>
      <c r="P304" s="31">
        <f>ABS(E304-$F$8)</f>
        <v/>
      </c>
      <c r="Q304" s="14">
        <f>IF(K304&gt;=MAX(L304,M304), "Hemat", IF(L304&gt;=M304, "Balanced", "Premium"))</f>
        <v/>
      </c>
      <c r="R304" s="30" t="n">
        <v>0.9895566542341836</v>
      </c>
      <c r="S304" s="30" t="n">
        <v>0.00979861139170024</v>
      </c>
      <c r="T304" s="30" t="n">
        <v>0.00064473437411607</v>
      </c>
      <c r="U304" s="31">
        <f>ABS(E304-$G$6)</f>
        <v/>
      </c>
      <c r="V304" s="31">
        <f>ABS(E304-$G$7)</f>
        <v/>
      </c>
      <c r="W304" s="31">
        <f>ABS(E304-$G$8)</f>
        <v/>
      </c>
      <c r="X304" s="14">
        <f>IF(R304&gt;=MAX(S304,T304), "Hemat", IF(S304&gt;=T304, "Balanced", "Premium"))</f>
        <v/>
      </c>
    </row>
    <row r="305">
      <c r="A305" s="14" t="n">
        <v>304</v>
      </c>
      <c r="B305" s="7" t="inlineStr">
        <is>
          <t>Pemandian Sumber Jeruk</t>
        </is>
      </c>
      <c r="C305" s="26" t="n">
        <v>-8.1629991</v>
      </c>
      <c r="D305" s="26" t="n">
        <v>112.5942917</v>
      </c>
      <c r="E305" s="21" t="n">
        <v>5000</v>
      </c>
      <c r="F305" s="27" t="n">
        <v>4.4</v>
      </c>
      <c r="G305" s="28" t="n">
        <v>302</v>
      </c>
      <c r="H305" s="14" t="inlineStr">
        <is>
          <t>Wisata Umum</t>
        </is>
      </c>
      <c r="I305" s="29">
        <f>6371 * 2 * ASIN(SQRT(SIN(RADIANS((C305) - INDEX('Dataset_Wisata'!$C$12:$C$622, MATCH('Dashboard'!$C$9, 'Dataset_Wisata'!$A$12:$A$622, 0)))/2)^2 + COS(RADIANS(INDEX('Dataset_Wisata'!$C$12:$C$622, MATCH('Dashboard'!$C$9, 'Dataset_Wisata'!$A$12:$A$622, 0)))) * COS(RADIANS(C305)) * SIN(RADIANS((D305) - INDEX('Dataset_Wisata'!$D$12:$D$622, MATCH('Dashboard'!$C$9, 'Dataset_Wisata'!$A$12:$A$622, 0)))/2)^2)) * 1.3</f>
        <v/>
      </c>
      <c r="J305" s="21">
        <f>ROUND(I305 * IF('Dashboard'!$C$6&lt;=1, 2250, IF('Dashboard'!$C$6&lt;=4, 5150, 6000)), 0)</f>
        <v/>
      </c>
      <c r="K305" s="30" t="n">
        <v>0.9895566543895754</v>
      </c>
      <c r="L305" s="30" t="n">
        <v>0.009798611400025654</v>
      </c>
      <c r="M305" s="30" t="n">
        <v>0.0006447342103988783</v>
      </c>
      <c r="N305" s="31">
        <f>ABS(E305-$F$6)</f>
        <v/>
      </c>
      <c r="O305" s="31">
        <f>ABS(E305-$F$7)</f>
        <v/>
      </c>
      <c r="P305" s="31">
        <f>ABS(E305-$F$8)</f>
        <v/>
      </c>
      <c r="Q305" s="14">
        <f>IF(K305&gt;=MAX(L305,M305), "Hemat", IF(L305&gt;=M305, "Balanced", "Premium"))</f>
        <v/>
      </c>
      <c r="R305" s="30" t="n">
        <v>0.9895566542341836</v>
      </c>
      <c r="S305" s="30" t="n">
        <v>0.00979861139170024</v>
      </c>
      <c r="T305" s="30" t="n">
        <v>0.00064473437411607</v>
      </c>
      <c r="U305" s="31">
        <f>ABS(E305-$G$6)</f>
        <v/>
      </c>
      <c r="V305" s="31">
        <f>ABS(E305-$G$7)</f>
        <v/>
      </c>
      <c r="W305" s="31">
        <f>ABS(E305-$G$8)</f>
        <v/>
      </c>
      <c r="X305" s="14">
        <f>IF(R305&gt;=MAX(S305,T305), "Hemat", IF(S305&gt;=T305, "Balanced", "Premium"))</f>
        <v/>
      </c>
    </row>
    <row r="306">
      <c r="A306" s="14" t="n">
        <v>305</v>
      </c>
      <c r="B306" s="7" t="inlineStr">
        <is>
          <t>Mie ayam kali mbureng</t>
        </is>
      </c>
      <c r="C306" s="26" t="n">
        <v>-8.1568749</v>
      </c>
      <c r="D306" s="26" t="n">
        <v>112.5956717</v>
      </c>
      <c r="E306" s="21" t="n">
        <v>10000</v>
      </c>
      <c r="F306" s="27" t="n">
        <v>4.4</v>
      </c>
      <c r="G306" s="28" t="n">
        <v>128</v>
      </c>
      <c r="H306" s="14" t="inlineStr">
        <is>
          <t>Wisata Umum</t>
        </is>
      </c>
      <c r="I306" s="29">
        <f>6371 * 2 * ASIN(SQRT(SIN(RADIANS((C306) - INDEX('Dataset_Wisata'!$C$12:$C$622, MATCH('Dashboard'!$C$9, 'Dataset_Wisata'!$A$12:$A$622, 0)))/2)^2 + COS(RADIANS(INDEX('Dataset_Wisata'!$C$12:$C$622, MATCH('Dashboard'!$C$9, 'Dataset_Wisata'!$A$12:$A$622, 0)))) * COS(RADIANS(C306)) * SIN(RADIANS((D306) - INDEX('Dataset_Wisata'!$D$12:$D$622, MATCH('Dashboard'!$C$9, 'Dataset_Wisata'!$A$12:$A$622, 0)))/2)^2)) * 1.3</f>
        <v/>
      </c>
      <c r="J306" s="21">
        <f>ROUND(I306 * IF('Dashboard'!$C$6&lt;=1, 2250, IF('Dashboard'!$C$6&lt;=4, 5150, 6000)), 0)</f>
        <v/>
      </c>
      <c r="K306" s="30" t="n">
        <v>0.9998126508185596</v>
      </c>
      <c r="L306" s="30" t="n">
        <v>0.0001775718391516968</v>
      </c>
      <c r="M306" s="30" t="n">
        <v>9.7773422886897e-06</v>
      </c>
      <c r="N306" s="31">
        <f>ABS(E306-$F$6)</f>
        <v/>
      </c>
      <c r="O306" s="31">
        <f>ABS(E306-$F$7)</f>
        <v/>
      </c>
      <c r="P306" s="31">
        <f>ABS(E306-$F$8)</f>
        <v/>
      </c>
      <c r="Q306" s="14">
        <f>IF(K306&gt;=MAX(L306,M306), "Hemat", IF(L306&gt;=M306, "Balanced", "Premium"))</f>
        <v/>
      </c>
      <c r="R306" s="30" t="n">
        <v>0.9998126513362043</v>
      </c>
      <c r="S306" s="30" t="n">
        <v>0.0001775713458315561</v>
      </c>
      <c r="T306" s="30" t="n">
        <v>9.777317964159987e-06</v>
      </c>
      <c r="U306" s="31">
        <f>ABS(E306-$G$6)</f>
        <v/>
      </c>
      <c r="V306" s="31">
        <f>ABS(E306-$G$7)</f>
        <v/>
      </c>
      <c r="W306" s="31">
        <f>ABS(E306-$G$8)</f>
        <v/>
      </c>
      <c r="X306" s="14">
        <f>IF(R306&gt;=MAX(S306,T306), "Hemat", IF(S306&gt;=T306, "Balanced", "Premium"))</f>
        <v/>
      </c>
    </row>
    <row r="307">
      <c r="A307" s="14" t="n">
        <v>306</v>
      </c>
      <c r="B307" s="7" t="inlineStr">
        <is>
          <t>Kaliku</t>
        </is>
      </c>
      <c r="C307" s="26" t="n">
        <v>-8.058890399999999</v>
      </c>
      <c r="D307" s="26" t="n">
        <v>112.5993356</v>
      </c>
      <c r="E307" s="21" t="n">
        <v>45000</v>
      </c>
      <c r="F307" s="27" t="n">
        <v>4.3</v>
      </c>
      <c r="G307" s="28" t="n">
        <v>40</v>
      </c>
      <c r="H307" s="14" t="inlineStr">
        <is>
          <t>Wisata Umum</t>
        </is>
      </c>
      <c r="I307" s="29">
        <f>6371 * 2 * ASIN(SQRT(SIN(RADIANS((C307) - INDEX('Dataset_Wisata'!$C$12:$C$622, MATCH('Dashboard'!$C$9, 'Dataset_Wisata'!$A$12:$A$622, 0)))/2)^2 + COS(RADIANS(INDEX('Dataset_Wisata'!$C$12:$C$622, MATCH('Dashboard'!$C$9, 'Dataset_Wisata'!$A$12:$A$622, 0)))) * COS(RADIANS(C307)) * SIN(RADIANS((D307) - INDEX('Dataset_Wisata'!$D$12:$D$622, MATCH('Dashboard'!$C$9, 'Dataset_Wisata'!$A$12:$A$622, 0)))/2)^2)) * 1.3</f>
        <v/>
      </c>
      <c r="J307" s="21">
        <f>ROUND(I307 * IF('Dashboard'!$C$6&lt;=1, 2250, IF('Dashboard'!$C$6&lt;=4, 5150, 6000)), 0)</f>
        <v/>
      </c>
      <c r="K307" s="30" t="n">
        <v>0.01865911409062753</v>
      </c>
      <c r="L307" s="30" t="n">
        <v>0.9800492830679586</v>
      </c>
      <c r="M307" s="30" t="n">
        <v>0.001291602841413916</v>
      </c>
      <c r="N307" s="31">
        <f>ABS(E307-$F$6)</f>
        <v/>
      </c>
      <c r="O307" s="31">
        <f>ABS(E307-$F$7)</f>
        <v/>
      </c>
      <c r="P307" s="31">
        <f>ABS(E307-$F$8)</f>
        <v/>
      </c>
      <c r="Q307" s="14">
        <f>IF(K307&gt;=MAX(L307,M307), "Hemat", IF(L307&gt;=M307, "Balanced", "Premium"))</f>
        <v/>
      </c>
      <c r="R307" s="30" t="n">
        <v>0.01865916371049316</v>
      </c>
      <c r="S307" s="30" t="n">
        <v>0.9800492301234441</v>
      </c>
      <c r="T307" s="30" t="n">
        <v>0.001291606166062711</v>
      </c>
      <c r="U307" s="31">
        <f>ABS(E307-$G$6)</f>
        <v/>
      </c>
      <c r="V307" s="31">
        <f>ABS(E307-$G$7)</f>
        <v/>
      </c>
      <c r="W307" s="31">
        <f>ABS(E307-$G$8)</f>
        <v/>
      </c>
      <c r="X307" s="14">
        <f>IF(R307&gt;=MAX(S307,T307), "Hemat", IF(S307&gt;=T307, "Balanced", "Premium"))</f>
        <v/>
      </c>
    </row>
    <row r="308">
      <c r="A308" s="14" t="n">
        <v>307</v>
      </c>
      <c r="B308" s="7" t="inlineStr">
        <is>
          <t>Taman Wisata Edukasi Buring Kedungkandang</t>
        </is>
      </c>
      <c r="C308" s="26" t="n">
        <v>-7.9896814</v>
      </c>
      <c r="D308" s="26" t="n">
        <v>112.6539451</v>
      </c>
      <c r="E308" s="21" t="n">
        <v>5000</v>
      </c>
      <c r="F308" s="27" t="n">
        <v>4.3</v>
      </c>
      <c r="G308" s="28" t="n">
        <v>256</v>
      </c>
      <c r="H308" s="14" t="inlineStr">
        <is>
          <t>Taman Wisata Edukasi Buring Kedungkandang</t>
        </is>
      </c>
      <c r="I308" s="29">
        <f>6371 * 2 * ASIN(SQRT(SIN(RADIANS((C308) - INDEX('Dataset_Wisata'!$C$12:$C$622, MATCH('Dashboard'!$C$9, 'Dataset_Wisata'!$A$12:$A$622, 0)))/2)^2 + COS(RADIANS(INDEX('Dataset_Wisata'!$C$12:$C$622, MATCH('Dashboard'!$C$9, 'Dataset_Wisata'!$A$12:$A$622, 0)))) * COS(RADIANS(C308)) * SIN(RADIANS((D308) - INDEX('Dataset_Wisata'!$D$12:$D$622, MATCH('Dashboard'!$C$9, 'Dataset_Wisata'!$A$12:$A$622, 0)))/2)^2)) * 1.3</f>
        <v/>
      </c>
      <c r="J308" s="21">
        <f>ROUND(I308 * IF('Dashboard'!$C$6&lt;=1, 2250, IF('Dashboard'!$C$6&lt;=4, 5150, 6000)), 0)</f>
        <v/>
      </c>
      <c r="K308" s="30" t="n">
        <v>0.9895566543895754</v>
      </c>
      <c r="L308" s="30" t="n">
        <v>0.009798611400025654</v>
      </c>
      <c r="M308" s="30" t="n">
        <v>0.0006447342103988783</v>
      </c>
      <c r="N308" s="31">
        <f>ABS(E308-$F$6)</f>
        <v/>
      </c>
      <c r="O308" s="31">
        <f>ABS(E308-$F$7)</f>
        <v/>
      </c>
      <c r="P308" s="31">
        <f>ABS(E308-$F$8)</f>
        <v/>
      </c>
      <c r="Q308" s="14">
        <f>IF(K308&gt;=MAX(L308,M308), "Hemat", IF(L308&gt;=M308, "Balanced", "Premium"))</f>
        <v/>
      </c>
      <c r="R308" s="30" t="n">
        <v>0.9895566542341836</v>
      </c>
      <c r="S308" s="30" t="n">
        <v>0.00979861139170024</v>
      </c>
      <c r="T308" s="30" t="n">
        <v>0.00064473437411607</v>
      </c>
      <c r="U308" s="31">
        <f>ABS(E308-$G$6)</f>
        <v/>
      </c>
      <c r="V308" s="31">
        <f>ABS(E308-$G$7)</f>
        <v/>
      </c>
      <c r="W308" s="31">
        <f>ABS(E308-$G$8)</f>
        <v/>
      </c>
      <c r="X308" s="14">
        <f>IF(R308&gt;=MAX(S308,T308), "Hemat", IF(S308&gt;=T308, "Balanced", "Premium"))</f>
        <v/>
      </c>
    </row>
    <row r="309">
      <c r="A309" s="14" t="n">
        <v>308</v>
      </c>
      <c r="B309" s="7" t="inlineStr">
        <is>
          <t>Wisata Kampung Topeng</t>
        </is>
      </c>
      <c r="C309" s="26" t="n">
        <v>-8.027233300000001</v>
      </c>
      <c r="D309" s="26" t="n">
        <v>112.6749005</v>
      </c>
      <c r="E309" s="21" t="n">
        <v>5000</v>
      </c>
      <c r="F309" s="27" t="n">
        <v>4.1</v>
      </c>
      <c r="G309" s="28" t="n">
        <v>503</v>
      </c>
      <c r="H309" s="14" t="inlineStr">
        <is>
          <t>Wisata Kampung Topeng</t>
        </is>
      </c>
      <c r="I309" s="29">
        <f>6371 * 2 * ASIN(SQRT(SIN(RADIANS((C309) - INDEX('Dataset_Wisata'!$C$12:$C$622, MATCH('Dashboard'!$C$9, 'Dataset_Wisata'!$A$12:$A$622, 0)))/2)^2 + COS(RADIANS(INDEX('Dataset_Wisata'!$C$12:$C$622, MATCH('Dashboard'!$C$9, 'Dataset_Wisata'!$A$12:$A$622, 0)))) * COS(RADIANS(C309)) * SIN(RADIANS((D309) - INDEX('Dataset_Wisata'!$D$12:$D$622, MATCH('Dashboard'!$C$9, 'Dataset_Wisata'!$A$12:$A$622, 0)))/2)^2)) * 1.3</f>
        <v/>
      </c>
      <c r="J309" s="21">
        <f>ROUND(I309 * IF('Dashboard'!$C$6&lt;=1, 2250, IF('Dashboard'!$C$6&lt;=4, 5150, 6000)), 0)</f>
        <v/>
      </c>
      <c r="K309" s="30" t="n">
        <v>0.9895566543895754</v>
      </c>
      <c r="L309" s="30" t="n">
        <v>0.009798611400025654</v>
      </c>
      <c r="M309" s="30" t="n">
        <v>0.0006447342103988783</v>
      </c>
      <c r="N309" s="31">
        <f>ABS(E309-$F$6)</f>
        <v/>
      </c>
      <c r="O309" s="31">
        <f>ABS(E309-$F$7)</f>
        <v/>
      </c>
      <c r="P309" s="31">
        <f>ABS(E309-$F$8)</f>
        <v/>
      </c>
      <c r="Q309" s="14">
        <f>IF(K309&gt;=MAX(L309,M309), "Hemat", IF(L309&gt;=M309, "Balanced", "Premium"))</f>
        <v/>
      </c>
      <c r="R309" s="30" t="n">
        <v>0.9895566542341836</v>
      </c>
      <c r="S309" s="30" t="n">
        <v>0.00979861139170024</v>
      </c>
      <c r="T309" s="30" t="n">
        <v>0.00064473437411607</v>
      </c>
      <c r="U309" s="31">
        <f>ABS(E309-$G$6)</f>
        <v/>
      </c>
      <c r="V309" s="31">
        <f>ABS(E309-$G$7)</f>
        <v/>
      </c>
      <c r="W309" s="31">
        <f>ABS(E309-$G$8)</f>
        <v/>
      </c>
      <c r="X309" s="14">
        <f>IF(R309&gt;=MAX(S309,T309), "Hemat", IF(S309&gt;=T309, "Balanced", "Premium"))</f>
        <v/>
      </c>
    </row>
    <row r="310">
      <c r="A310" s="14" t="n">
        <v>309</v>
      </c>
      <c r="B310" s="7" t="inlineStr">
        <is>
          <t>Wisata aeng wonokoyo</t>
        </is>
      </c>
      <c r="C310" s="26" t="n">
        <v>-8.024007599999999</v>
      </c>
      <c r="D310" s="26" t="n">
        <v>112.6471628</v>
      </c>
      <c r="E310" s="21" t="n">
        <v>5000</v>
      </c>
      <c r="F310" s="27" t="n">
        <v>4.2</v>
      </c>
      <c r="G310" s="28" t="n">
        <v>37</v>
      </c>
      <c r="H310" s="14" t="inlineStr">
        <is>
          <t>Wisata aeng wonokoyo</t>
        </is>
      </c>
      <c r="I310" s="29">
        <f>6371 * 2 * ASIN(SQRT(SIN(RADIANS((C310) - INDEX('Dataset_Wisata'!$C$12:$C$622, MATCH('Dashboard'!$C$9, 'Dataset_Wisata'!$A$12:$A$622, 0)))/2)^2 + COS(RADIANS(INDEX('Dataset_Wisata'!$C$12:$C$622, MATCH('Dashboard'!$C$9, 'Dataset_Wisata'!$A$12:$A$622, 0)))) * COS(RADIANS(C310)) * SIN(RADIANS((D310) - INDEX('Dataset_Wisata'!$D$12:$D$622, MATCH('Dashboard'!$C$9, 'Dataset_Wisata'!$A$12:$A$622, 0)))/2)^2)) * 1.3</f>
        <v/>
      </c>
      <c r="J310" s="21">
        <f>ROUND(I310 * IF('Dashboard'!$C$6&lt;=1, 2250, IF('Dashboard'!$C$6&lt;=4, 5150, 6000)), 0)</f>
        <v/>
      </c>
      <c r="K310" s="30" t="n">
        <v>0.9895566543895754</v>
      </c>
      <c r="L310" s="30" t="n">
        <v>0.009798611400025654</v>
      </c>
      <c r="M310" s="30" t="n">
        <v>0.0006447342103988783</v>
      </c>
      <c r="N310" s="31">
        <f>ABS(E310-$F$6)</f>
        <v/>
      </c>
      <c r="O310" s="31">
        <f>ABS(E310-$F$7)</f>
        <v/>
      </c>
      <c r="P310" s="31">
        <f>ABS(E310-$F$8)</f>
        <v/>
      </c>
      <c r="Q310" s="14">
        <f>IF(K310&gt;=MAX(L310,M310), "Hemat", IF(L310&gt;=M310, "Balanced", "Premium"))</f>
        <v/>
      </c>
      <c r="R310" s="30" t="n">
        <v>0.9895566542341836</v>
      </c>
      <c r="S310" s="30" t="n">
        <v>0.00979861139170024</v>
      </c>
      <c r="T310" s="30" t="n">
        <v>0.00064473437411607</v>
      </c>
      <c r="U310" s="31">
        <f>ABS(E310-$G$6)</f>
        <v/>
      </c>
      <c r="V310" s="31">
        <f>ABS(E310-$G$7)</f>
        <v/>
      </c>
      <c r="W310" s="31">
        <f>ABS(E310-$G$8)</f>
        <v/>
      </c>
      <c r="X310" s="14">
        <f>IF(R310&gt;=MAX(S310,T310), "Hemat", IF(S310&gt;=T310, "Balanced", "Premium"))</f>
        <v/>
      </c>
    </row>
    <row r="311">
      <c r="A311" s="14" t="n">
        <v>310</v>
      </c>
      <c r="B311" s="7" t="inlineStr">
        <is>
          <t>Taman Merbabu</t>
        </is>
      </c>
      <c r="C311" s="26" t="n">
        <v>-7.967958</v>
      </c>
      <c r="D311" s="26" t="n">
        <v>112.6258225</v>
      </c>
      <c r="E311" s="21" t="n">
        <v>25000</v>
      </c>
      <c r="F311" s="27" t="n">
        <v>4.4</v>
      </c>
      <c r="G311" s="28" t="n">
        <v>1250</v>
      </c>
      <c r="H311" s="14" t="inlineStr">
        <is>
          <t>Taman Merbabu</t>
        </is>
      </c>
      <c r="I311" s="29">
        <f>6371 * 2 * ASIN(SQRT(SIN(RADIANS((C311) - INDEX('Dataset_Wisata'!$C$12:$C$622, MATCH('Dashboard'!$C$9, 'Dataset_Wisata'!$A$12:$A$622, 0)))/2)^2 + COS(RADIANS(INDEX('Dataset_Wisata'!$C$12:$C$622, MATCH('Dashboard'!$C$9, 'Dataset_Wisata'!$A$12:$A$622, 0)))) * COS(RADIANS(C311)) * SIN(RADIANS((D311) - INDEX('Dataset_Wisata'!$D$12:$D$622, MATCH('Dashboard'!$C$9, 'Dataset_Wisata'!$A$12:$A$622, 0)))/2)^2)) * 1.3</f>
        <v/>
      </c>
      <c r="J311" s="21">
        <f>ROUND(I311 * IF('Dashboard'!$C$6&lt;=1, 2250, IF('Dashboard'!$C$6&lt;=4, 5150, 6000)), 0)</f>
        <v/>
      </c>
      <c r="K311" s="30" t="n">
        <v>0.714779317495253</v>
      </c>
      <c r="L311" s="30" t="n">
        <v>0.2780482755376564</v>
      </c>
      <c r="M311" s="30" t="n">
        <v>0.0071724069670906</v>
      </c>
      <c r="N311" s="31">
        <f>ABS(E311-$F$6)</f>
        <v/>
      </c>
      <c r="O311" s="31">
        <f>ABS(E311-$F$7)</f>
        <v/>
      </c>
      <c r="P311" s="31">
        <f>ABS(E311-$F$8)</f>
        <v/>
      </c>
      <c r="Q311" s="14">
        <f>IF(K311&gt;=MAX(L311,M311), "Hemat", IF(L311&gt;=M311, "Balanced", "Premium"))</f>
        <v/>
      </c>
      <c r="R311" s="30" t="n">
        <v>0.7147794395425007</v>
      </c>
      <c r="S311" s="30" t="n">
        <v>0.2780481531707544</v>
      </c>
      <c r="T311" s="30" t="n">
        <v>0.007172407286744955</v>
      </c>
      <c r="U311" s="31">
        <f>ABS(E311-$G$6)</f>
        <v/>
      </c>
      <c r="V311" s="31">
        <f>ABS(E311-$G$7)</f>
        <v/>
      </c>
      <c r="W311" s="31">
        <f>ABS(E311-$G$8)</f>
        <v/>
      </c>
      <c r="X311" s="14">
        <f>IF(R311&gt;=MAX(S311,T311), "Hemat", IF(S311&gt;=T311, "Balanced", "Premium"))</f>
        <v/>
      </c>
    </row>
    <row r="312">
      <c r="A312" s="14" t="n">
        <v>311</v>
      </c>
      <c r="B312" s="7" t="inlineStr">
        <is>
          <t>Taman Trunojoyo</t>
        </is>
      </c>
      <c r="C312" s="26" t="n">
        <v>-7.9764328</v>
      </c>
      <c r="D312" s="26" t="n">
        <v>112.6365191</v>
      </c>
      <c r="E312" s="21" t="n">
        <v>0</v>
      </c>
      <c r="F312" s="27" t="n">
        <v>4.4</v>
      </c>
      <c r="G312" s="28" t="n">
        <v>2549</v>
      </c>
      <c r="H312" s="14" t="inlineStr">
        <is>
          <t>Taman Trunojoyo</t>
        </is>
      </c>
      <c r="I312" s="29">
        <f>6371 * 2 * ASIN(SQRT(SIN(RADIANS((C312) - INDEX('Dataset_Wisata'!$C$12:$C$622, MATCH('Dashboard'!$C$9, 'Dataset_Wisata'!$A$12:$A$622, 0)))/2)^2 + COS(RADIANS(INDEX('Dataset_Wisata'!$C$12:$C$622, MATCH('Dashboard'!$C$9, 'Dataset_Wisata'!$A$12:$A$622, 0)))) * COS(RADIANS(C312)) * SIN(RADIANS((D312) - INDEX('Dataset_Wisata'!$D$12:$D$622, MATCH('Dashboard'!$C$9, 'Dataset_Wisata'!$A$12:$A$622, 0)))/2)^2)) * 1.3</f>
        <v/>
      </c>
      <c r="J312" s="21">
        <f>ROUND(I312 * IF('Dashboard'!$C$6&lt;=1, 2250, IF('Dashboard'!$C$6&lt;=4, 5150, 6000)), 0)</f>
        <v/>
      </c>
      <c r="K312" s="30" t="n">
        <v>0.9626824510005771</v>
      </c>
      <c r="L312" s="30" t="n">
        <v>0.03465542295845363</v>
      </c>
      <c r="M312" s="30" t="n">
        <v>0.002662126040969366</v>
      </c>
      <c r="N312" s="31">
        <f>ABS(E312-$F$6)</f>
        <v/>
      </c>
      <c r="O312" s="31">
        <f>ABS(E312-$F$7)</f>
        <v/>
      </c>
      <c r="P312" s="31">
        <f>ABS(E312-$F$8)</f>
        <v/>
      </c>
      <c r="Q312" s="14">
        <f>IF(K312&gt;=MAX(L312,M312), "Hemat", IF(L312&gt;=M312, "Balanced", "Premium"))</f>
        <v/>
      </c>
      <c r="R312" s="30" t="n">
        <v>0.9626824549241798</v>
      </c>
      <c r="S312" s="30" t="n">
        <v>0.03465541875469833</v>
      </c>
      <c r="T312" s="30" t="n">
        <v>0.002662126321121907</v>
      </c>
      <c r="U312" s="31">
        <f>ABS(E312-$G$6)</f>
        <v/>
      </c>
      <c r="V312" s="31">
        <f>ABS(E312-$G$7)</f>
        <v/>
      </c>
      <c r="W312" s="31">
        <f>ABS(E312-$G$8)</f>
        <v/>
      </c>
      <c r="X312" s="14">
        <f>IF(R312&gt;=MAX(S312,T312), "Hemat", IF(S312&gt;=T312, "Balanced", "Premium"))</f>
        <v/>
      </c>
    </row>
    <row r="313">
      <c r="A313" s="14" t="n">
        <v>312</v>
      </c>
      <c r="B313" s="7" t="inlineStr">
        <is>
          <t>Graha Tumapel</t>
        </is>
      </c>
      <c r="C313" s="26" t="n">
        <v>-7.9782186</v>
      </c>
      <c r="D313" s="26" t="n">
        <v>112.6327729</v>
      </c>
      <c r="E313" s="21" t="n">
        <v>5000</v>
      </c>
      <c r="F313" s="27" t="n">
        <v>4.4</v>
      </c>
      <c r="G313" s="28" t="n">
        <v>394</v>
      </c>
      <c r="H313" s="14" t="inlineStr">
        <is>
          <t>Wisata Umum</t>
        </is>
      </c>
      <c r="I313" s="29">
        <f>6371 * 2 * ASIN(SQRT(SIN(RADIANS((C313) - INDEX('Dataset_Wisata'!$C$12:$C$622, MATCH('Dashboard'!$C$9, 'Dataset_Wisata'!$A$12:$A$622, 0)))/2)^2 + COS(RADIANS(INDEX('Dataset_Wisata'!$C$12:$C$622, MATCH('Dashboard'!$C$9, 'Dataset_Wisata'!$A$12:$A$622, 0)))) * COS(RADIANS(C313)) * SIN(RADIANS((D313) - INDEX('Dataset_Wisata'!$D$12:$D$622, MATCH('Dashboard'!$C$9, 'Dataset_Wisata'!$A$12:$A$622, 0)))/2)^2)) * 1.3</f>
        <v/>
      </c>
      <c r="J313" s="21">
        <f>ROUND(I313 * IF('Dashboard'!$C$6&lt;=1, 2250, IF('Dashboard'!$C$6&lt;=4, 5150, 6000)), 0)</f>
        <v/>
      </c>
      <c r="K313" s="30" t="n">
        <v>0.9895566543895754</v>
      </c>
      <c r="L313" s="30" t="n">
        <v>0.009798611400025654</v>
      </c>
      <c r="M313" s="30" t="n">
        <v>0.0006447342103988783</v>
      </c>
      <c r="N313" s="31">
        <f>ABS(E313-$F$6)</f>
        <v/>
      </c>
      <c r="O313" s="31">
        <f>ABS(E313-$F$7)</f>
        <v/>
      </c>
      <c r="P313" s="31">
        <f>ABS(E313-$F$8)</f>
        <v/>
      </c>
      <c r="Q313" s="14">
        <f>IF(K313&gt;=MAX(L313,M313), "Hemat", IF(L313&gt;=M313, "Balanced", "Premium"))</f>
        <v/>
      </c>
      <c r="R313" s="30" t="n">
        <v>0.9895566542341836</v>
      </c>
      <c r="S313" s="30" t="n">
        <v>0.00979861139170024</v>
      </c>
      <c r="T313" s="30" t="n">
        <v>0.00064473437411607</v>
      </c>
      <c r="U313" s="31">
        <f>ABS(E313-$G$6)</f>
        <v/>
      </c>
      <c r="V313" s="31">
        <f>ABS(E313-$G$7)</f>
        <v/>
      </c>
      <c r="W313" s="31">
        <f>ABS(E313-$G$8)</f>
        <v/>
      </c>
      <c r="X313" s="14">
        <f>IF(R313&gt;=MAX(S313,T313), "Hemat", IF(S313&gt;=T313, "Balanced", "Premium"))</f>
        <v/>
      </c>
    </row>
    <row r="314">
      <c r="A314" s="14" t="n">
        <v>313</v>
      </c>
      <c r="B314" s="7" t="inlineStr">
        <is>
          <t>Kampung Biru Arema</t>
        </is>
      </c>
      <c r="C314" s="26" t="n">
        <v>-7.9813051</v>
      </c>
      <c r="D314" s="26" t="n">
        <v>112.6376925</v>
      </c>
      <c r="E314" s="21" t="n">
        <v>5000</v>
      </c>
      <c r="F314" s="27" t="n">
        <v>4.5</v>
      </c>
      <c r="G314" s="28" t="n">
        <v>924</v>
      </c>
      <c r="H314" s="14" t="inlineStr">
        <is>
          <t>"- Spot wisata murah</t>
        </is>
      </c>
      <c r="I314" s="29">
        <f>6371 * 2 * ASIN(SQRT(SIN(RADIANS((C314) - INDEX('Dataset_Wisata'!$C$12:$C$622, MATCH('Dashboard'!$C$9, 'Dataset_Wisata'!$A$12:$A$622, 0)))/2)^2 + COS(RADIANS(INDEX('Dataset_Wisata'!$C$12:$C$622, MATCH('Dashboard'!$C$9, 'Dataset_Wisata'!$A$12:$A$622, 0)))) * COS(RADIANS(C314)) * SIN(RADIANS((D314) - INDEX('Dataset_Wisata'!$D$12:$D$622, MATCH('Dashboard'!$C$9, 'Dataset_Wisata'!$A$12:$A$622, 0)))/2)^2)) * 1.3</f>
        <v/>
      </c>
      <c r="J314" s="21">
        <f>ROUND(I314 * IF('Dashboard'!$C$6&lt;=1, 2250, IF('Dashboard'!$C$6&lt;=4, 5150, 6000)), 0)</f>
        <v/>
      </c>
      <c r="K314" s="30" t="n">
        <v>0.9895566543895754</v>
      </c>
      <c r="L314" s="30" t="n">
        <v>0.009798611400025654</v>
      </c>
      <c r="M314" s="30" t="n">
        <v>0.0006447342103988783</v>
      </c>
      <c r="N314" s="31">
        <f>ABS(E314-$F$6)</f>
        <v/>
      </c>
      <c r="O314" s="31">
        <f>ABS(E314-$F$7)</f>
        <v/>
      </c>
      <c r="P314" s="31">
        <f>ABS(E314-$F$8)</f>
        <v/>
      </c>
      <c r="Q314" s="14">
        <f>IF(K314&gt;=MAX(L314,M314), "Hemat", IF(L314&gt;=M314, "Balanced", "Premium"))</f>
        <v/>
      </c>
      <c r="R314" s="30" t="n">
        <v>0.9895566542341836</v>
      </c>
      <c r="S314" s="30" t="n">
        <v>0.00979861139170024</v>
      </c>
      <c r="T314" s="30" t="n">
        <v>0.00064473437411607</v>
      </c>
      <c r="U314" s="31">
        <f>ABS(E314-$G$6)</f>
        <v/>
      </c>
      <c r="V314" s="31">
        <f>ABS(E314-$G$7)</f>
        <v/>
      </c>
      <c r="W314" s="31">
        <f>ABS(E314-$G$8)</f>
        <v/>
      </c>
      <c r="X314" s="14">
        <f>IF(R314&gt;=MAX(S314,T314), "Hemat", IF(S314&gt;=T314, "Balanced", "Premium"))</f>
        <v/>
      </c>
    </row>
    <row r="315">
      <c r="A315" s="14" t="n">
        <v>314</v>
      </c>
      <c r="B315" s="7" t="inlineStr">
        <is>
          <t>Taman Slamet</t>
        </is>
      </c>
      <c r="C315" s="26" t="n">
        <v>-7.973708</v>
      </c>
      <c r="D315" s="26" t="n">
        <v>112.6224499</v>
      </c>
      <c r="E315" s="21" t="n">
        <v>5000</v>
      </c>
      <c r="F315" s="27" t="n">
        <v>4.4</v>
      </c>
      <c r="G315" s="28" t="n">
        <v>4410</v>
      </c>
      <c r="H315" s="14" t="inlineStr">
        <is>
          <t>Taman Slamet</t>
        </is>
      </c>
      <c r="I315" s="29">
        <f>6371 * 2 * ASIN(SQRT(SIN(RADIANS((C315) - INDEX('Dataset_Wisata'!$C$12:$C$622, MATCH('Dashboard'!$C$9, 'Dataset_Wisata'!$A$12:$A$622, 0)))/2)^2 + COS(RADIANS(INDEX('Dataset_Wisata'!$C$12:$C$622, MATCH('Dashboard'!$C$9, 'Dataset_Wisata'!$A$12:$A$622, 0)))) * COS(RADIANS(C315)) * SIN(RADIANS((D315) - INDEX('Dataset_Wisata'!$D$12:$D$622, MATCH('Dashboard'!$C$9, 'Dataset_Wisata'!$A$12:$A$622, 0)))/2)^2)) * 1.3</f>
        <v/>
      </c>
      <c r="J315" s="21">
        <f>ROUND(I315 * IF('Dashboard'!$C$6&lt;=1, 2250, IF('Dashboard'!$C$6&lt;=4, 5150, 6000)), 0)</f>
        <v/>
      </c>
      <c r="K315" s="30" t="n">
        <v>0.9895566543895754</v>
      </c>
      <c r="L315" s="30" t="n">
        <v>0.009798611400025654</v>
      </c>
      <c r="M315" s="30" t="n">
        <v>0.0006447342103988783</v>
      </c>
      <c r="N315" s="31">
        <f>ABS(E315-$F$6)</f>
        <v/>
      </c>
      <c r="O315" s="31">
        <f>ABS(E315-$F$7)</f>
        <v/>
      </c>
      <c r="P315" s="31">
        <f>ABS(E315-$F$8)</f>
        <v/>
      </c>
      <c r="Q315" s="14">
        <f>IF(K315&gt;=MAX(L315,M315), "Hemat", IF(L315&gt;=M315, "Balanced", "Premium"))</f>
        <v/>
      </c>
      <c r="R315" s="30" t="n">
        <v>0.9895566542341836</v>
      </c>
      <c r="S315" s="30" t="n">
        <v>0.00979861139170024</v>
      </c>
      <c r="T315" s="30" t="n">
        <v>0.00064473437411607</v>
      </c>
      <c r="U315" s="31">
        <f>ABS(E315-$G$6)</f>
        <v/>
      </c>
      <c r="V315" s="31">
        <f>ABS(E315-$G$7)</f>
        <v/>
      </c>
      <c r="W315" s="31">
        <f>ABS(E315-$G$8)</f>
        <v/>
      </c>
      <c r="X315" s="14">
        <f>IF(R315&gt;=MAX(S315,T315), "Hemat", IF(S315&gt;=T315, "Balanced", "Premium"))</f>
        <v/>
      </c>
    </row>
    <row r="316">
      <c r="A316" s="14" t="n">
        <v>315</v>
      </c>
      <c r="B316" s="7" t="inlineStr">
        <is>
          <t>Alun Alun Tugu Malang - Jan Pieterszoon Coen Plein</t>
        </is>
      </c>
      <c r="C316" s="26" t="n">
        <v>-7.977143</v>
      </c>
      <c r="D316" s="26" t="n">
        <v>112.6340478</v>
      </c>
      <c r="E316" s="21" t="n">
        <v>5000</v>
      </c>
      <c r="F316" s="27" t="n">
        <v>4.6</v>
      </c>
      <c r="G316" s="28" t="n">
        <v>14089</v>
      </c>
      <c r="H316" s="14" t="inlineStr">
        <is>
          <t>Wisata Umum</t>
        </is>
      </c>
      <c r="I316" s="29">
        <f>6371 * 2 * ASIN(SQRT(SIN(RADIANS((C316) - INDEX('Dataset_Wisata'!$C$12:$C$622, MATCH('Dashboard'!$C$9, 'Dataset_Wisata'!$A$12:$A$622, 0)))/2)^2 + COS(RADIANS(INDEX('Dataset_Wisata'!$C$12:$C$622, MATCH('Dashboard'!$C$9, 'Dataset_Wisata'!$A$12:$A$622, 0)))) * COS(RADIANS(C316)) * SIN(RADIANS((D316) - INDEX('Dataset_Wisata'!$D$12:$D$622, MATCH('Dashboard'!$C$9, 'Dataset_Wisata'!$A$12:$A$622, 0)))/2)^2)) * 1.3</f>
        <v/>
      </c>
      <c r="J316" s="21">
        <f>ROUND(I316 * IF('Dashboard'!$C$6&lt;=1, 2250, IF('Dashboard'!$C$6&lt;=4, 5150, 6000)), 0)</f>
        <v/>
      </c>
      <c r="K316" s="30" t="n">
        <v>0.9895566543895754</v>
      </c>
      <c r="L316" s="30" t="n">
        <v>0.009798611400025654</v>
      </c>
      <c r="M316" s="30" t="n">
        <v>0.0006447342103988783</v>
      </c>
      <c r="N316" s="31">
        <f>ABS(E316-$F$6)</f>
        <v/>
      </c>
      <c r="O316" s="31">
        <f>ABS(E316-$F$7)</f>
        <v/>
      </c>
      <c r="P316" s="31">
        <f>ABS(E316-$F$8)</f>
        <v/>
      </c>
      <c r="Q316" s="14">
        <f>IF(K316&gt;=MAX(L316,M316), "Hemat", IF(L316&gt;=M316, "Balanced", "Premium"))</f>
        <v/>
      </c>
      <c r="R316" s="30" t="n">
        <v>0.9895566542341836</v>
      </c>
      <c r="S316" s="30" t="n">
        <v>0.00979861139170024</v>
      </c>
      <c r="T316" s="30" t="n">
        <v>0.00064473437411607</v>
      </c>
      <c r="U316" s="31">
        <f>ABS(E316-$G$6)</f>
        <v/>
      </c>
      <c r="V316" s="31">
        <f>ABS(E316-$G$7)</f>
        <v/>
      </c>
      <c r="W316" s="31">
        <f>ABS(E316-$G$8)</f>
        <v/>
      </c>
      <c r="X316" s="14">
        <f>IF(R316&gt;=MAX(S316,T316), "Hemat", IF(S316&gt;=T316, "Balanced", "Premium"))</f>
        <v/>
      </c>
    </row>
    <row r="317">
      <c r="A317" s="14" t="n">
        <v>316</v>
      </c>
      <c r="B317" s="7" t="inlineStr">
        <is>
          <t>Gramophone Taman Cerme</t>
        </is>
      </c>
      <c r="C317" s="26" t="n">
        <v>-7.9703423</v>
      </c>
      <c r="D317" s="26" t="n">
        <v>112.6252428</v>
      </c>
      <c r="E317" s="21" t="n">
        <v>0</v>
      </c>
      <c r="F317" s="27" t="n">
        <v>4.4</v>
      </c>
      <c r="G317" s="28" t="n">
        <v>123</v>
      </c>
      <c r="H317" s="14" t="inlineStr">
        <is>
          <t>Gramophone Taman Cerme</t>
        </is>
      </c>
      <c r="I317" s="29">
        <f>6371 * 2 * ASIN(SQRT(SIN(RADIANS((C317) - INDEX('Dataset_Wisata'!$C$12:$C$622, MATCH('Dashboard'!$C$9, 'Dataset_Wisata'!$A$12:$A$622, 0)))/2)^2 + COS(RADIANS(INDEX('Dataset_Wisata'!$C$12:$C$622, MATCH('Dashboard'!$C$9, 'Dataset_Wisata'!$A$12:$A$622, 0)))) * COS(RADIANS(C317)) * SIN(RADIANS((D317) - INDEX('Dataset_Wisata'!$D$12:$D$622, MATCH('Dashboard'!$C$9, 'Dataset_Wisata'!$A$12:$A$622, 0)))/2)^2)) * 1.3</f>
        <v/>
      </c>
      <c r="J317" s="21">
        <f>ROUND(I317 * IF('Dashboard'!$C$6&lt;=1, 2250, IF('Dashboard'!$C$6&lt;=4, 5150, 6000)), 0)</f>
        <v/>
      </c>
      <c r="K317" s="30" t="n">
        <v>0.9626824510005771</v>
      </c>
      <c r="L317" s="30" t="n">
        <v>0.03465542295845363</v>
      </c>
      <c r="M317" s="30" t="n">
        <v>0.002662126040969366</v>
      </c>
      <c r="N317" s="31">
        <f>ABS(E317-$F$6)</f>
        <v/>
      </c>
      <c r="O317" s="31">
        <f>ABS(E317-$F$7)</f>
        <v/>
      </c>
      <c r="P317" s="31">
        <f>ABS(E317-$F$8)</f>
        <v/>
      </c>
      <c r="Q317" s="14">
        <f>IF(K317&gt;=MAX(L317,M317), "Hemat", IF(L317&gt;=M317, "Balanced", "Premium"))</f>
        <v/>
      </c>
      <c r="R317" s="30" t="n">
        <v>0.9626824549241798</v>
      </c>
      <c r="S317" s="30" t="n">
        <v>0.03465541875469833</v>
      </c>
      <c r="T317" s="30" t="n">
        <v>0.002662126321121907</v>
      </c>
      <c r="U317" s="31">
        <f>ABS(E317-$G$6)</f>
        <v/>
      </c>
      <c r="V317" s="31">
        <f>ABS(E317-$G$7)</f>
        <v/>
      </c>
      <c r="W317" s="31">
        <f>ABS(E317-$G$8)</f>
        <v/>
      </c>
      <c r="X317" s="14">
        <f>IF(R317&gt;=MAX(S317,T317), "Hemat", IF(S317&gt;=T317, "Balanced", "Premium"))</f>
        <v/>
      </c>
    </row>
    <row r="318">
      <c r="A318" s="14" t="n">
        <v>317</v>
      </c>
      <c r="B318" s="7" t="inlineStr">
        <is>
          <t>Brawijaya Edupark</t>
        </is>
      </c>
      <c r="C318" s="26" t="n">
        <v>-7.975767</v>
      </c>
      <c r="D318" s="26" t="n">
        <v>112.631746</v>
      </c>
      <c r="E318" s="21" t="n">
        <v>20000</v>
      </c>
      <c r="F318" s="27" t="n">
        <v>4.2</v>
      </c>
      <c r="G318" s="28" t="n">
        <v>2999</v>
      </c>
      <c r="H318" s="14" t="inlineStr">
        <is>
          <t>Wisata Umum</t>
        </is>
      </c>
      <c r="I318" s="29">
        <f>6371 * 2 * ASIN(SQRT(SIN(RADIANS((C318) - INDEX('Dataset_Wisata'!$C$12:$C$622, MATCH('Dashboard'!$C$9, 'Dataset_Wisata'!$A$12:$A$622, 0)))/2)^2 + COS(RADIANS(INDEX('Dataset_Wisata'!$C$12:$C$622, MATCH('Dashboard'!$C$9, 'Dataset_Wisata'!$A$12:$A$622, 0)))) * COS(RADIANS(C318)) * SIN(RADIANS((D318) - INDEX('Dataset_Wisata'!$D$12:$D$622, MATCH('Dashboard'!$C$9, 'Dataset_Wisata'!$A$12:$A$622, 0)))/2)^2)) * 1.3</f>
        <v/>
      </c>
      <c r="J318" s="21">
        <f>ROUND(I318 * IF('Dashboard'!$C$6&lt;=1, 2250, IF('Dashboard'!$C$6&lt;=4, 5150, 6000)), 0)</f>
        <v/>
      </c>
      <c r="K318" s="30" t="n">
        <v>0.8862296979094436</v>
      </c>
      <c r="L318" s="30" t="n">
        <v>0.1099329410905347</v>
      </c>
      <c r="M318" s="30" t="n">
        <v>0.003837361000021699</v>
      </c>
      <c r="N318" s="31">
        <f>ABS(E318-$F$6)</f>
        <v/>
      </c>
      <c r="O318" s="31">
        <f>ABS(E318-$F$7)</f>
        <v/>
      </c>
      <c r="P318" s="31">
        <f>ABS(E318-$F$8)</f>
        <v/>
      </c>
      <c r="Q318" s="14">
        <f>IF(K318&gt;=MAX(L318,M318), "Hemat", IF(L318&gt;=M318, "Balanced", "Premium"))</f>
        <v/>
      </c>
      <c r="R318" s="30" t="n">
        <v>0.8862297532761809</v>
      </c>
      <c r="S318" s="30" t="n">
        <v>0.1099328861159962</v>
      </c>
      <c r="T318" s="30" t="n">
        <v>0.003837360607822898</v>
      </c>
      <c r="U318" s="31">
        <f>ABS(E318-$G$6)</f>
        <v/>
      </c>
      <c r="V318" s="31">
        <f>ABS(E318-$G$7)</f>
        <v/>
      </c>
      <c r="W318" s="31">
        <f>ABS(E318-$G$8)</f>
        <v/>
      </c>
      <c r="X318" s="14">
        <f>IF(R318&gt;=MAX(S318,T318), "Hemat", IF(S318&gt;=T318, "Balanced", "Premium"))</f>
        <v/>
      </c>
    </row>
    <row r="319">
      <c r="A319" s="14" t="n">
        <v>318</v>
      </c>
      <c r="B319" s="7" t="inlineStr">
        <is>
          <t>Hutan Kota Malabar Malang</t>
        </is>
      </c>
      <c r="C319" s="26" t="n">
        <v>-7.9685</v>
      </c>
      <c r="D319" s="26" t="n">
        <v>112.626514</v>
      </c>
      <c r="E319" s="21" t="n">
        <v>2000</v>
      </c>
      <c r="F319" s="27" t="n">
        <v>4.3</v>
      </c>
      <c r="G319" s="28" t="n">
        <v>1514</v>
      </c>
      <c r="H319" s="14" t="inlineStr">
        <is>
          <t>Wisata Umum</t>
        </is>
      </c>
      <c r="I319" s="29">
        <f>6371 * 2 * ASIN(SQRT(SIN(RADIANS((C319) - INDEX('Dataset_Wisata'!$C$12:$C$622, MATCH('Dashboard'!$C$9, 'Dataset_Wisata'!$A$12:$A$622, 0)))/2)^2 + COS(RADIANS(INDEX('Dataset_Wisata'!$C$12:$C$622, MATCH('Dashboard'!$C$9, 'Dataset_Wisata'!$A$12:$A$622, 0)))) * COS(RADIANS(C319)) * SIN(RADIANS((D319) - INDEX('Dataset_Wisata'!$D$12:$D$622, MATCH('Dashboard'!$C$9, 'Dataset_Wisata'!$A$12:$A$622, 0)))/2)^2)) * 1.3</f>
        <v/>
      </c>
      <c r="J319" s="21">
        <f>ROUND(I319 * IF('Dashboard'!$C$6&lt;=1, 2250, IF('Dashboard'!$C$6&lt;=4, 5150, 6000)), 0)</f>
        <v/>
      </c>
      <c r="K319" s="30" t="n">
        <v>0.9745968037531486</v>
      </c>
      <c r="L319" s="30" t="n">
        <v>0.02368856650344644</v>
      </c>
      <c r="M319" s="30" t="n">
        <v>0.001714629743404906</v>
      </c>
      <c r="N319" s="31">
        <f>ABS(E319-$F$6)</f>
        <v/>
      </c>
      <c r="O319" s="31">
        <f>ABS(E319-$F$7)</f>
        <v/>
      </c>
      <c r="P319" s="31">
        <f>ABS(E319-$F$8)</f>
        <v/>
      </c>
      <c r="Q319" s="14">
        <f>IF(K319&gt;=MAX(L319,M319), "Hemat", IF(L319&gt;=M319, "Balanced", "Premium"))</f>
        <v/>
      </c>
      <c r="R319" s="30" t="n">
        <v>0.9745968058205632</v>
      </c>
      <c r="S319" s="30" t="n">
        <v>0.02368856419646389</v>
      </c>
      <c r="T319" s="30" t="n">
        <v>0.001714629982972894</v>
      </c>
      <c r="U319" s="31">
        <f>ABS(E319-$G$6)</f>
        <v/>
      </c>
      <c r="V319" s="31">
        <f>ABS(E319-$G$7)</f>
        <v/>
      </c>
      <c r="W319" s="31">
        <f>ABS(E319-$G$8)</f>
        <v/>
      </c>
      <c r="X319" s="14">
        <f>IF(R319&gt;=MAX(S319,T319), "Hemat", IF(S319&gt;=T319, "Balanced", "Premium"))</f>
        <v/>
      </c>
    </row>
    <row r="320">
      <c r="A320" s="14" t="n">
        <v>319</v>
      </c>
      <c r="B320" s="7" t="inlineStr">
        <is>
          <t>Kampoeng Heritage Kajoetangan</t>
        </is>
      </c>
      <c r="C320" s="26" t="n">
        <v>-7.978964</v>
      </c>
      <c r="D320" s="26" t="n">
        <v>112.6292965</v>
      </c>
      <c r="E320" s="21" t="n">
        <v>10000</v>
      </c>
      <c r="F320" s="27" t="n">
        <v>4.6</v>
      </c>
      <c r="G320" s="28" t="n">
        <v>6593</v>
      </c>
      <c r="H320" s="14" t="inlineStr">
        <is>
          <t>Wisata Umum</t>
        </is>
      </c>
      <c r="I320" s="29">
        <f>6371 * 2 * ASIN(SQRT(SIN(RADIANS((C320) - INDEX('Dataset_Wisata'!$C$12:$C$622, MATCH('Dashboard'!$C$9, 'Dataset_Wisata'!$A$12:$A$622, 0)))/2)^2 + COS(RADIANS(INDEX('Dataset_Wisata'!$C$12:$C$622, MATCH('Dashboard'!$C$9, 'Dataset_Wisata'!$A$12:$A$622, 0)))) * COS(RADIANS(C320)) * SIN(RADIANS((D320) - INDEX('Dataset_Wisata'!$D$12:$D$622, MATCH('Dashboard'!$C$9, 'Dataset_Wisata'!$A$12:$A$622, 0)))/2)^2)) * 1.3</f>
        <v/>
      </c>
      <c r="J320" s="21">
        <f>ROUND(I320 * IF('Dashboard'!$C$6&lt;=1, 2250, IF('Dashboard'!$C$6&lt;=4, 5150, 6000)), 0)</f>
        <v/>
      </c>
      <c r="K320" s="30" t="n">
        <v>0.9998126508185596</v>
      </c>
      <c r="L320" s="30" t="n">
        <v>0.0001775718391516968</v>
      </c>
      <c r="M320" s="30" t="n">
        <v>9.7773422886897e-06</v>
      </c>
      <c r="N320" s="31">
        <f>ABS(E320-$F$6)</f>
        <v/>
      </c>
      <c r="O320" s="31">
        <f>ABS(E320-$F$7)</f>
        <v/>
      </c>
      <c r="P320" s="31">
        <f>ABS(E320-$F$8)</f>
        <v/>
      </c>
      <c r="Q320" s="14">
        <f>IF(K320&gt;=MAX(L320,M320), "Hemat", IF(L320&gt;=M320, "Balanced", "Premium"))</f>
        <v/>
      </c>
      <c r="R320" s="30" t="n">
        <v>0.9998126513362043</v>
      </c>
      <c r="S320" s="30" t="n">
        <v>0.0001775713458315561</v>
      </c>
      <c r="T320" s="30" t="n">
        <v>9.777317964159987e-06</v>
      </c>
      <c r="U320" s="31">
        <f>ABS(E320-$G$6)</f>
        <v/>
      </c>
      <c r="V320" s="31">
        <f>ABS(E320-$G$7)</f>
        <v/>
      </c>
      <c r="W320" s="31">
        <f>ABS(E320-$G$8)</f>
        <v/>
      </c>
      <c r="X320" s="14">
        <f>IF(R320&gt;=MAX(S320,T320), "Hemat", IF(S320&gt;=T320, "Balanced", "Premium"))</f>
        <v/>
      </c>
    </row>
    <row r="321">
      <c r="A321" s="14" t="n">
        <v>320</v>
      </c>
      <c r="B321" s="7" t="inlineStr">
        <is>
          <t>Idjen Boulevard</t>
        </is>
      </c>
      <c r="C321" s="26" t="n">
        <v>-7.9723826</v>
      </c>
      <c r="D321" s="26" t="n">
        <v>112.6218276</v>
      </c>
      <c r="E321" s="21" t="n">
        <v>2000</v>
      </c>
      <c r="F321" s="27" t="n">
        <v>4.8</v>
      </c>
      <c r="G321" s="28" t="n">
        <v>5650</v>
      </c>
      <c r="H321" s="14" t="inlineStr">
        <is>
          <t>Wisata Umum</t>
        </is>
      </c>
      <c r="I321" s="29">
        <f>6371 * 2 * ASIN(SQRT(SIN(RADIANS((C321) - INDEX('Dataset_Wisata'!$C$12:$C$622, MATCH('Dashboard'!$C$9, 'Dataset_Wisata'!$A$12:$A$622, 0)))/2)^2 + COS(RADIANS(INDEX('Dataset_Wisata'!$C$12:$C$622, MATCH('Dashboard'!$C$9, 'Dataset_Wisata'!$A$12:$A$622, 0)))) * COS(RADIANS(C321)) * SIN(RADIANS((D321) - INDEX('Dataset_Wisata'!$D$12:$D$622, MATCH('Dashboard'!$C$9, 'Dataset_Wisata'!$A$12:$A$622, 0)))/2)^2)) * 1.3</f>
        <v/>
      </c>
      <c r="J321" s="21">
        <f>ROUND(I321 * IF('Dashboard'!$C$6&lt;=1, 2250, IF('Dashboard'!$C$6&lt;=4, 5150, 6000)), 0)</f>
        <v/>
      </c>
      <c r="K321" s="30" t="n">
        <v>0.9745968037531486</v>
      </c>
      <c r="L321" s="30" t="n">
        <v>0.02368856650344644</v>
      </c>
      <c r="M321" s="30" t="n">
        <v>0.001714629743404906</v>
      </c>
      <c r="N321" s="31">
        <f>ABS(E321-$F$6)</f>
        <v/>
      </c>
      <c r="O321" s="31">
        <f>ABS(E321-$F$7)</f>
        <v/>
      </c>
      <c r="P321" s="31">
        <f>ABS(E321-$F$8)</f>
        <v/>
      </c>
      <c r="Q321" s="14">
        <f>IF(K321&gt;=MAX(L321,M321), "Hemat", IF(L321&gt;=M321, "Balanced", "Premium"))</f>
        <v/>
      </c>
      <c r="R321" s="30" t="n">
        <v>0.9745968058205632</v>
      </c>
      <c r="S321" s="30" t="n">
        <v>0.02368856419646389</v>
      </c>
      <c r="T321" s="30" t="n">
        <v>0.001714629982972894</v>
      </c>
      <c r="U321" s="31">
        <f>ABS(E321-$G$6)</f>
        <v/>
      </c>
      <c r="V321" s="31">
        <f>ABS(E321-$G$7)</f>
        <v/>
      </c>
      <c r="W321" s="31">
        <f>ABS(E321-$G$8)</f>
        <v/>
      </c>
      <c r="X321" s="14">
        <f>IF(R321&gt;=MAX(S321,T321), "Hemat", IF(S321&gt;=T321, "Balanced", "Premium"))</f>
        <v/>
      </c>
    </row>
    <row r="322">
      <c r="A322" s="14" t="n">
        <v>321</v>
      </c>
      <c r="B322" s="7" t="inlineStr">
        <is>
          <t>Wisata Kali Cemplong</t>
        </is>
      </c>
      <c r="C322" s="26" t="n">
        <v>-7.9608731</v>
      </c>
      <c r="D322" s="26" t="n">
        <v>112.6612112</v>
      </c>
      <c r="E322" s="21" t="n">
        <v>5000</v>
      </c>
      <c r="F322" s="27" t="n">
        <v>4.3</v>
      </c>
      <c r="G322" s="28" t="n">
        <v>442</v>
      </c>
      <c r="H322" s="14" t="inlineStr">
        <is>
          <t>Wisata Kali Cemplong</t>
        </is>
      </c>
      <c r="I322" s="29">
        <f>6371 * 2 * ASIN(SQRT(SIN(RADIANS((C322) - INDEX('Dataset_Wisata'!$C$12:$C$622, MATCH('Dashboard'!$C$9, 'Dataset_Wisata'!$A$12:$A$622, 0)))/2)^2 + COS(RADIANS(INDEX('Dataset_Wisata'!$C$12:$C$622, MATCH('Dashboard'!$C$9, 'Dataset_Wisata'!$A$12:$A$622, 0)))) * COS(RADIANS(C322)) * SIN(RADIANS((D322) - INDEX('Dataset_Wisata'!$D$12:$D$622, MATCH('Dashboard'!$C$9, 'Dataset_Wisata'!$A$12:$A$622, 0)))/2)^2)) * 1.3</f>
        <v/>
      </c>
      <c r="J322" s="21">
        <f>ROUND(I322 * IF('Dashboard'!$C$6&lt;=1, 2250, IF('Dashboard'!$C$6&lt;=4, 5150, 6000)), 0)</f>
        <v/>
      </c>
      <c r="K322" s="30" t="n">
        <v>0.9895566543895754</v>
      </c>
      <c r="L322" s="30" t="n">
        <v>0.009798611400025654</v>
      </c>
      <c r="M322" s="30" t="n">
        <v>0.0006447342103988783</v>
      </c>
      <c r="N322" s="31">
        <f>ABS(E322-$F$6)</f>
        <v/>
      </c>
      <c r="O322" s="31">
        <f>ABS(E322-$F$7)</f>
        <v/>
      </c>
      <c r="P322" s="31">
        <f>ABS(E322-$F$8)</f>
        <v/>
      </c>
      <c r="Q322" s="14">
        <f>IF(K322&gt;=MAX(L322,M322), "Hemat", IF(L322&gt;=M322, "Balanced", "Premium"))</f>
        <v/>
      </c>
      <c r="R322" s="30" t="n">
        <v>0.9895566542341836</v>
      </c>
      <c r="S322" s="30" t="n">
        <v>0.00979861139170024</v>
      </c>
      <c r="T322" s="30" t="n">
        <v>0.00064473437411607</v>
      </c>
      <c r="U322" s="31">
        <f>ABS(E322-$G$6)</f>
        <v/>
      </c>
      <c r="V322" s="31">
        <f>ABS(E322-$G$7)</f>
        <v/>
      </c>
      <c r="W322" s="31">
        <f>ABS(E322-$G$8)</f>
        <v/>
      </c>
      <c r="X322" s="14">
        <f>IF(R322&gt;=MAX(S322,T322), "Hemat", IF(S322&gt;=T322, "Balanced", "Premium"))</f>
        <v/>
      </c>
    </row>
    <row r="323">
      <c r="A323" s="14" t="n">
        <v>322</v>
      </c>
      <c r="B323" s="7" t="inlineStr">
        <is>
          <t>Taman Dempo</t>
        </is>
      </c>
      <c r="C323" s="26" t="n">
        <v>-7.96904</v>
      </c>
      <c r="D323" s="26" t="n">
        <v>112.6204436</v>
      </c>
      <c r="E323" s="21" t="n">
        <v>5000</v>
      </c>
      <c r="F323" s="27" t="n">
        <v>4.6</v>
      </c>
      <c r="G323" s="28" t="n">
        <v>397</v>
      </c>
      <c r="H323" s="14" t="inlineStr">
        <is>
          <t>Taman Dempo</t>
        </is>
      </c>
      <c r="I323" s="29">
        <f>6371 * 2 * ASIN(SQRT(SIN(RADIANS((C323) - INDEX('Dataset_Wisata'!$C$12:$C$622, MATCH('Dashboard'!$C$9, 'Dataset_Wisata'!$A$12:$A$622, 0)))/2)^2 + COS(RADIANS(INDEX('Dataset_Wisata'!$C$12:$C$622, MATCH('Dashboard'!$C$9, 'Dataset_Wisata'!$A$12:$A$622, 0)))) * COS(RADIANS(C323)) * SIN(RADIANS((D323) - INDEX('Dataset_Wisata'!$D$12:$D$622, MATCH('Dashboard'!$C$9, 'Dataset_Wisata'!$A$12:$A$622, 0)))/2)^2)) * 1.3</f>
        <v/>
      </c>
      <c r="J323" s="21">
        <f>ROUND(I323 * IF('Dashboard'!$C$6&lt;=1, 2250, IF('Dashboard'!$C$6&lt;=4, 5150, 6000)), 0)</f>
        <v/>
      </c>
      <c r="K323" s="30" t="n">
        <v>0.9895566543895754</v>
      </c>
      <c r="L323" s="30" t="n">
        <v>0.009798611400025654</v>
      </c>
      <c r="M323" s="30" t="n">
        <v>0.0006447342103988783</v>
      </c>
      <c r="N323" s="31">
        <f>ABS(E323-$F$6)</f>
        <v/>
      </c>
      <c r="O323" s="31">
        <f>ABS(E323-$F$7)</f>
        <v/>
      </c>
      <c r="P323" s="31">
        <f>ABS(E323-$F$8)</f>
        <v/>
      </c>
      <c r="Q323" s="14">
        <f>IF(K323&gt;=MAX(L323,M323), "Hemat", IF(L323&gt;=M323, "Balanced", "Premium"))</f>
        <v/>
      </c>
      <c r="R323" s="30" t="n">
        <v>0.9895566542341836</v>
      </c>
      <c r="S323" s="30" t="n">
        <v>0.00979861139170024</v>
      </c>
      <c r="T323" s="30" t="n">
        <v>0.00064473437411607</v>
      </c>
      <c r="U323" s="31">
        <f>ABS(E323-$G$6)</f>
        <v/>
      </c>
      <c r="V323" s="31">
        <f>ABS(E323-$G$7)</f>
        <v/>
      </c>
      <c r="W323" s="31">
        <f>ABS(E323-$G$8)</f>
        <v/>
      </c>
      <c r="X323" s="14">
        <f>IF(R323&gt;=MAX(S323,T323), "Hemat", IF(S323&gt;=T323, "Balanced", "Premium"))</f>
        <v/>
      </c>
    </row>
    <row r="324">
      <c r="A324" s="14" t="n">
        <v>323</v>
      </c>
      <c r="B324" s="7" t="inlineStr">
        <is>
          <t>Taman Tjerme</t>
        </is>
      </c>
      <c r="C324" s="26" t="n">
        <v>-7.9703954</v>
      </c>
      <c r="D324" s="26" t="n">
        <v>112.6252518</v>
      </c>
      <c r="E324" s="21" t="n">
        <v>30000</v>
      </c>
      <c r="F324" s="27" t="n">
        <v>4.4</v>
      </c>
      <c r="G324" s="28" t="n">
        <v>282</v>
      </c>
      <c r="H324" s="14" t="inlineStr">
        <is>
          <t>Taman Tjerme</t>
        </is>
      </c>
      <c r="I324" s="29">
        <f>6371 * 2 * ASIN(SQRT(SIN(RADIANS((C324) - INDEX('Dataset_Wisata'!$C$12:$C$622, MATCH('Dashboard'!$C$9, 'Dataset_Wisata'!$A$12:$A$622, 0)))/2)^2 + COS(RADIANS(INDEX('Dataset_Wisata'!$C$12:$C$622, MATCH('Dashboard'!$C$9, 'Dataset_Wisata'!$A$12:$A$622, 0)))) * COS(RADIANS(C324)) * SIN(RADIANS((D324) - INDEX('Dataset_Wisata'!$D$12:$D$622, MATCH('Dashboard'!$C$9, 'Dataset_Wisata'!$A$12:$A$622, 0)))/2)^2)) * 1.3</f>
        <v/>
      </c>
      <c r="J324" s="21">
        <f>ROUND(I324 * IF('Dashboard'!$C$6&lt;=1, 2250, IF('Dashboard'!$C$6&lt;=4, 5150, 6000)), 0)</f>
        <v/>
      </c>
      <c r="K324" s="30" t="n">
        <v>0.4800921289599558</v>
      </c>
      <c r="L324" s="30" t="n">
        <v>0.5109191138653489</v>
      </c>
      <c r="M324" s="30" t="n">
        <v>0.008988757174695291</v>
      </c>
      <c r="N324" s="31">
        <f>ABS(E324-$F$6)</f>
        <v/>
      </c>
      <c r="O324" s="31">
        <f>ABS(E324-$F$7)</f>
        <v/>
      </c>
      <c r="P324" s="31">
        <f>ABS(E324-$F$8)</f>
        <v/>
      </c>
      <c r="Q324" s="14">
        <f>IF(K324&gt;=MAX(L324,M324), "Hemat", IF(L324&gt;=M324, "Balanced", "Premium"))</f>
        <v/>
      </c>
      <c r="R324" s="30" t="n">
        <v>0.4800923067166307</v>
      </c>
      <c r="S324" s="30" t="n">
        <v>0.5109189337438159</v>
      </c>
      <c r="T324" s="30" t="n">
        <v>0.008988759539553422</v>
      </c>
      <c r="U324" s="31">
        <f>ABS(E324-$G$6)</f>
        <v/>
      </c>
      <c r="V324" s="31">
        <f>ABS(E324-$G$7)</f>
        <v/>
      </c>
      <c r="W324" s="31">
        <f>ABS(E324-$G$8)</f>
        <v/>
      </c>
      <c r="X324" s="14">
        <f>IF(R324&gt;=MAX(S324,T324), "Hemat", IF(S324&gt;=T324, "Balanced", "Premium"))</f>
        <v/>
      </c>
    </row>
    <row r="325">
      <c r="A325" s="14" t="n">
        <v>324</v>
      </c>
      <c r="B325" s="7" t="inlineStr">
        <is>
          <t>Wisata &amp; Edukasi Duta Pengangguran</t>
        </is>
      </c>
      <c r="C325" s="26" t="n">
        <v>-7.9832243</v>
      </c>
      <c r="D325" s="26" t="n">
        <v>112.6173156</v>
      </c>
      <c r="E325" s="21" t="n">
        <v>10000</v>
      </c>
      <c r="F325" s="27" t="n">
        <v>4.7</v>
      </c>
      <c r="G325" s="28" t="n">
        <v>22</v>
      </c>
      <c r="H325" s="14" t="inlineStr">
        <is>
          <t>Wisata &amp; Edukasi Duta Pengangguran</t>
        </is>
      </c>
      <c r="I325" s="29">
        <f>6371 * 2 * ASIN(SQRT(SIN(RADIANS((C325) - INDEX('Dataset_Wisata'!$C$12:$C$622, MATCH('Dashboard'!$C$9, 'Dataset_Wisata'!$A$12:$A$622, 0)))/2)^2 + COS(RADIANS(INDEX('Dataset_Wisata'!$C$12:$C$622, MATCH('Dashboard'!$C$9, 'Dataset_Wisata'!$A$12:$A$622, 0)))) * COS(RADIANS(C325)) * SIN(RADIANS((D325) - INDEX('Dataset_Wisata'!$D$12:$D$622, MATCH('Dashboard'!$C$9, 'Dataset_Wisata'!$A$12:$A$622, 0)))/2)^2)) * 1.3</f>
        <v/>
      </c>
      <c r="J325" s="21">
        <f>ROUND(I325 * IF('Dashboard'!$C$6&lt;=1, 2250, IF('Dashboard'!$C$6&lt;=4, 5150, 6000)), 0)</f>
        <v/>
      </c>
      <c r="K325" s="30" t="n">
        <v>0.9998126508185596</v>
      </c>
      <c r="L325" s="30" t="n">
        <v>0.0001775718391516968</v>
      </c>
      <c r="M325" s="30" t="n">
        <v>9.7773422886897e-06</v>
      </c>
      <c r="N325" s="31">
        <f>ABS(E325-$F$6)</f>
        <v/>
      </c>
      <c r="O325" s="31">
        <f>ABS(E325-$F$7)</f>
        <v/>
      </c>
      <c r="P325" s="31">
        <f>ABS(E325-$F$8)</f>
        <v/>
      </c>
      <c r="Q325" s="14">
        <f>IF(K325&gt;=MAX(L325,M325), "Hemat", IF(L325&gt;=M325, "Balanced", "Premium"))</f>
        <v/>
      </c>
      <c r="R325" s="30" t="n">
        <v>0.9998126513362043</v>
      </c>
      <c r="S325" s="30" t="n">
        <v>0.0001775713458315561</v>
      </c>
      <c r="T325" s="30" t="n">
        <v>9.777317964159987e-06</v>
      </c>
      <c r="U325" s="31">
        <f>ABS(E325-$G$6)</f>
        <v/>
      </c>
      <c r="V325" s="31">
        <f>ABS(E325-$G$7)</f>
        <v/>
      </c>
      <c r="W325" s="31">
        <f>ABS(E325-$G$8)</f>
        <v/>
      </c>
      <c r="X325" s="14">
        <f>IF(R325&gt;=MAX(S325,T325), "Hemat", IF(S325&gt;=T325, "Balanced", "Premium"))</f>
        <v/>
      </c>
    </row>
    <row r="326">
      <c r="A326" s="14" t="n">
        <v>325</v>
      </c>
      <c r="B326" s="7" t="inlineStr">
        <is>
          <t>Sweetmemoriesselfie</t>
        </is>
      </c>
      <c r="C326" s="26" t="n">
        <v>-7.983933</v>
      </c>
      <c r="D326" s="26" t="n">
        <v>112.6321102</v>
      </c>
      <c r="E326" s="21" t="n">
        <v>30000</v>
      </c>
      <c r="F326" s="27" t="n">
        <v>4.8</v>
      </c>
      <c r="G326" s="28" t="n">
        <v>149</v>
      </c>
      <c r="H326" s="14" t="inlineStr">
        <is>
          <t>Wisata Umum</t>
        </is>
      </c>
      <c r="I326" s="29">
        <f>6371 * 2 * ASIN(SQRT(SIN(RADIANS((C326) - INDEX('Dataset_Wisata'!$C$12:$C$622, MATCH('Dashboard'!$C$9, 'Dataset_Wisata'!$A$12:$A$622, 0)))/2)^2 + COS(RADIANS(INDEX('Dataset_Wisata'!$C$12:$C$622, MATCH('Dashboard'!$C$9, 'Dataset_Wisata'!$A$12:$A$622, 0)))) * COS(RADIANS(C326)) * SIN(RADIANS((D326) - INDEX('Dataset_Wisata'!$D$12:$D$622, MATCH('Dashboard'!$C$9, 'Dataset_Wisata'!$A$12:$A$622, 0)))/2)^2)) * 1.3</f>
        <v/>
      </c>
      <c r="J326" s="21">
        <f>ROUND(I326 * IF('Dashboard'!$C$6&lt;=1, 2250, IF('Dashboard'!$C$6&lt;=4, 5150, 6000)), 0)</f>
        <v/>
      </c>
      <c r="K326" s="30" t="n">
        <v>0.4800921289599558</v>
      </c>
      <c r="L326" s="30" t="n">
        <v>0.5109191138653489</v>
      </c>
      <c r="M326" s="30" t="n">
        <v>0.008988757174695291</v>
      </c>
      <c r="N326" s="31">
        <f>ABS(E326-$F$6)</f>
        <v/>
      </c>
      <c r="O326" s="31">
        <f>ABS(E326-$F$7)</f>
        <v/>
      </c>
      <c r="P326" s="31">
        <f>ABS(E326-$F$8)</f>
        <v/>
      </c>
      <c r="Q326" s="14">
        <f>IF(K326&gt;=MAX(L326,M326), "Hemat", IF(L326&gt;=M326, "Balanced", "Premium"))</f>
        <v/>
      </c>
      <c r="R326" s="30" t="n">
        <v>0.4800923067166307</v>
      </c>
      <c r="S326" s="30" t="n">
        <v>0.5109189337438159</v>
      </c>
      <c r="T326" s="30" t="n">
        <v>0.008988759539553422</v>
      </c>
      <c r="U326" s="31">
        <f>ABS(E326-$G$6)</f>
        <v/>
      </c>
      <c r="V326" s="31">
        <f>ABS(E326-$G$7)</f>
        <v/>
      </c>
      <c r="W326" s="31">
        <f>ABS(E326-$G$8)</f>
        <v/>
      </c>
      <c r="X326" s="14">
        <f>IF(R326&gt;=MAX(S326,T326), "Hemat", IF(S326&gt;=T326, "Balanced", "Premium"))</f>
        <v/>
      </c>
    </row>
    <row r="327">
      <c r="A327" s="14" t="n">
        <v>326</v>
      </c>
      <c r="B327" s="7" t="inlineStr">
        <is>
          <t>Masjid Agung Jami' Kota Malang</t>
        </is>
      </c>
      <c r="C327" s="26" t="n">
        <v>-7.9823828</v>
      </c>
      <c r="D327" s="26" t="n">
        <v>112.6297224</v>
      </c>
      <c r="E327" s="21" t="n">
        <v>0</v>
      </c>
      <c r="F327" s="27" t="n">
        <v>4.8</v>
      </c>
      <c r="G327" s="28" t="n">
        <v>6668</v>
      </c>
      <c r="H327" s="14" t="inlineStr">
        <is>
          <t>Masjid Agung Jami' Kota Malang</t>
        </is>
      </c>
      <c r="I327" s="29">
        <f>6371 * 2 * ASIN(SQRT(SIN(RADIANS((C327) - INDEX('Dataset_Wisata'!$C$12:$C$622, MATCH('Dashboard'!$C$9, 'Dataset_Wisata'!$A$12:$A$622, 0)))/2)^2 + COS(RADIANS(INDEX('Dataset_Wisata'!$C$12:$C$622, MATCH('Dashboard'!$C$9, 'Dataset_Wisata'!$A$12:$A$622, 0)))) * COS(RADIANS(C327)) * SIN(RADIANS((D327) - INDEX('Dataset_Wisata'!$D$12:$D$622, MATCH('Dashboard'!$C$9, 'Dataset_Wisata'!$A$12:$A$622, 0)))/2)^2)) * 1.3</f>
        <v/>
      </c>
      <c r="J327" s="21">
        <f>ROUND(I327 * IF('Dashboard'!$C$6&lt;=1, 2250, IF('Dashboard'!$C$6&lt;=4, 5150, 6000)), 0)</f>
        <v/>
      </c>
      <c r="K327" s="30" t="n">
        <v>0.9626824510005771</v>
      </c>
      <c r="L327" s="30" t="n">
        <v>0.03465542295845363</v>
      </c>
      <c r="M327" s="30" t="n">
        <v>0.002662126040969366</v>
      </c>
      <c r="N327" s="31">
        <f>ABS(E327-$F$6)</f>
        <v/>
      </c>
      <c r="O327" s="31">
        <f>ABS(E327-$F$7)</f>
        <v/>
      </c>
      <c r="P327" s="31">
        <f>ABS(E327-$F$8)</f>
        <v/>
      </c>
      <c r="Q327" s="14">
        <f>IF(K327&gt;=MAX(L327,M327), "Hemat", IF(L327&gt;=M327, "Balanced", "Premium"))</f>
        <v/>
      </c>
      <c r="R327" s="30" t="n">
        <v>0.9626824549241798</v>
      </c>
      <c r="S327" s="30" t="n">
        <v>0.03465541875469833</v>
      </c>
      <c r="T327" s="30" t="n">
        <v>0.002662126321121907</v>
      </c>
      <c r="U327" s="31">
        <f>ABS(E327-$G$6)</f>
        <v/>
      </c>
      <c r="V327" s="31">
        <f>ABS(E327-$G$7)</f>
        <v/>
      </c>
      <c r="W327" s="31">
        <f>ABS(E327-$G$8)</f>
        <v/>
      </c>
      <c r="X327" s="14">
        <f>IF(R327&gt;=MAX(S327,T327), "Hemat", IF(S327&gt;=T327, "Balanced", "Premium"))</f>
        <v/>
      </c>
    </row>
    <row r="328">
      <c r="A328" s="14" t="n">
        <v>327</v>
      </c>
      <c r="B328" s="7" t="inlineStr">
        <is>
          <t>Taman Singha Merjosari</t>
        </is>
      </c>
      <c r="C328" s="26" t="n">
        <v>-7.9452159</v>
      </c>
      <c r="D328" s="26" t="n">
        <v>112.6031939</v>
      </c>
      <c r="E328" s="21" t="n">
        <v>2000</v>
      </c>
      <c r="F328" s="27" t="n">
        <v>4.5</v>
      </c>
      <c r="G328" s="28" t="n">
        <v>9471</v>
      </c>
      <c r="H328" s="14" t="inlineStr">
        <is>
          <t>Taman Singha Merjosari</t>
        </is>
      </c>
      <c r="I328" s="29">
        <f>6371 * 2 * ASIN(SQRT(SIN(RADIANS((C328) - INDEX('Dataset_Wisata'!$C$12:$C$622, MATCH('Dashboard'!$C$9, 'Dataset_Wisata'!$A$12:$A$622, 0)))/2)^2 + COS(RADIANS(INDEX('Dataset_Wisata'!$C$12:$C$622, MATCH('Dashboard'!$C$9, 'Dataset_Wisata'!$A$12:$A$622, 0)))) * COS(RADIANS(C328)) * SIN(RADIANS((D328) - INDEX('Dataset_Wisata'!$D$12:$D$622, MATCH('Dashboard'!$C$9, 'Dataset_Wisata'!$A$12:$A$622, 0)))/2)^2)) * 1.3</f>
        <v/>
      </c>
      <c r="J328" s="21">
        <f>ROUND(I328 * IF('Dashboard'!$C$6&lt;=1, 2250, IF('Dashboard'!$C$6&lt;=4, 5150, 6000)), 0)</f>
        <v/>
      </c>
      <c r="K328" s="30" t="n">
        <v>0.9745968037531486</v>
      </c>
      <c r="L328" s="30" t="n">
        <v>0.02368856650344644</v>
      </c>
      <c r="M328" s="30" t="n">
        <v>0.001714629743404906</v>
      </c>
      <c r="N328" s="31">
        <f>ABS(E328-$F$6)</f>
        <v/>
      </c>
      <c r="O328" s="31">
        <f>ABS(E328-$F$7)</f>
        <v/>
      </c>
      <c r="P328" s="31">
        <f>ABS(E328-$F$8)</f>
        <v/>
      </c>
      <c r="Q328" s="14">
        <f>IF(K328&gt;=MAX(L328,M328), "Hemat", IF(L328&gt;=M328, "Balanced", "Premium"))</f>
        <v/>
      </c>
      <c r="R328" s="30" t="n">
        <v>0.9745968058205632</v>
      </c>
      <c r="S328" s="30" t="n">
        <v>0.02368856419646389</v>
      </c>
      <c r="T328" s="30" t="n">
        <v>0.001714629982972894</v>
      </c>
      <c r="U328" s="31">
        <f>ABS(E328-$G$6)</f>
        <v/>
      </c>
      <c r="V328" s="31">
        <f>ABS(E328-$G$7)</f>
        <v/>
      </c>
      <c r="W328" s="31">
        <f>ABS(E328-$G$8)</f>
        <v/>
      </c>
      <c r="X328" s="14">
        <f>IF(R328&gt;=MAX(S328,T328), "Hemat", IF(S328&gt;=T328, "Balanced", "Premium"))</f>
        <v/>
      </c>
    </row>
    <row r="329">
      <c r="A329" s="14" t="n">
        <v>328</v>
      </c>
      <c r="B329" s="7" t="inlineStr">
        <is>
          <t>Kampung Budaya Polowijen</t>
        </is>
      </c>
      <c r="C329" s="26" t="n">
        <v>-7.9293194</v>
      </c>
      <c r="D329" s="26" t="n">
        <v>112.6433852</v>
      </c>
      <c r="E329" s="21" t="n">
        <v>50000</v>
      </c>
      <c r="F329" s="27" t="n">
        <v>4.5</v>
      </c>
      <c r="G329" s="28" t="n">
        <v>556</v>
      </c>
      <c r="H329" s="14" t="inlineStr">
        <is>
          <t>Wisata Umum</t>
        </is>
      </c>
      <c r="I329" s="29">
        <f>6371 * 2 * ASIN(SQRT(SIN(RADIANS((C329) - INDEX('Dataset_Wisata'!$C$12:$C$622, MATCH('Dashboard'!$C$9, 'Dataset_Wisata'!$A$12:$A$622, 0)))/2)^2 + COS(RADIANS(INDEX('Dataset_Wisata'!$C$12:$C$622, MATCH('Dashboard'!$C$9, 'Dataset_Wisata'!$A$12:$A$622, 0)))) * COS(RADIANS(C329)) * SIN(RADIANS((D329) - INDEX('Dataset_Wisata'!$D$12:$D$622, MATCH('Dashboard'!$C$9, 'Dataset_Wisata'!$A$12:$A$622, 0)))/2)^2)) * 1.3</f>
        <v/>
      </c>
      <c r="J329" s="21">
        <f>ROUND(I329 * IF('Dashboard'!$C$6&lt;=1, 2250, IF('Dashboard'!$C$6&lt;=4, 5150, 6000)), 0)</f>
        <v/>
      </c>
      <c r="K329" s="30" t="n">
        <v>5.758531237204236e-06</v>
      </c>
      <c r="L329" s="30" t="n">
        <v>0.9999936821294634</v>
      </c>
      <c r="M329" s="30" t="n">
        <v>5.593392994189334e-07</v>
      </c>
      <c r="N329" s="31">
        <f>ABS(E329-$F$6)</f>
        <v/>
      </c>
      <c r="O329" s="31">
        <f>ABS(E329-$F$7)</f>
        <v/>
      </c>
      <c r="P329" s="31">
        <f>ABS(E329-$F$8)</f>
        <v/>
      </c>
      <c r="Q329" s="14">
        <f>IF(K329&gt;=MAX(L329,M329), "Hemat", IF(L329&gt;=M329, "Balanced", "Premium"))</f>
        <v/>
      </c>
      <c r="R329" s="30" t="n">
        <v>5.757754513908737e-06</v>
      </c>
      <c r="S329" s="30" t="n">
        <v>0.9999936829816778</v>
      </c>
      <c r="T329" s="30" t="n">
        <v>5.592638083270285e-07</v>
      </c>
      <c r="U329" s="31">
        <f>ABS(E329-$G$6)</f>
        <v/>
      </c>
      <c r="V329" s="31">
        <f>ABS(E329-$G$7)</f>
        <v/>
      </c>
      <c r="W329" s="31">
        <f>ABS(E329-$G$8)</f>
        <v/>
      </c>
      <c r="X329" s="14">
        <f>IF(R329&gt;=MAX(S329,T329), "Hemat", IF(S329&gt;=T329, "Balanced", "Premium"))</f>
        <v/>
      </c>
    </row>
    <row r="330">
      <c r="A330" s="14" t="n">
        <v>329</v>
      </c>
      <c r="B330" s="7" t="inlineStr">
        <is>
          <t>Hutan Tidar</t>
        </is>
      </c>
      <c r="C330" s="26" t="n">
        <v>-7.9626791</v>
      </c>
      <c r="D330" s="26" t="n">
        <v>112.6015873</v>
      </c>
      <c r="E330" s="21" t="n">
        <v>5000</v>
      </c>
      <c r="F330" s="27" t="n">
        <v>4.7</v>
      </c>
      <c r="G330" s="28" t="n">
        <v>22</v>
      </c>
      <c r="H330" s="14" t="inlineStr">
        <is>
          <t>Taman Kota · 2JP2+WJG</t>
        </is>
      </c>
      <c r="I330" s="29">
        <f>6371 * 2 * ASIN(SQRT(SIN(RADIANS((C330) - INDEX('Dataset_Wisata'!$C$12:$C$622, MATCH('Dashboard'!$C$9, 'Dataset_Wisata'!$A$12:$A$622, 0)))/2)^2 + COS(RADIANS(INDEX('Dataset_Wisata'!$C$12:$C$622, MATCH('Dashboard'!$C$9, 'Dataset_Wisata'!$A$12:$A$622, 0)))) * COS(RADIANS(C330)) * SIN(RADIANS((D330) - INDEX('Dataset_Wisata'!$D$12:$D$622, MATCH('Dashboard'!$C$9, 'Dataset_Wisata'!$A$12:$A$622, 0)))/2)^2)) * 1.3</f>
        <v/>
      </c>
      <c r="J330" s="21">
        <f>ROUND(I330 * IF('Dashboard'!$C$6&lt;=1, 2250, IF('Dashboard'!$C$6&lt;=4, 5150, 6000)), 0)</f>
        <v/>
      </c>
      <c r="K330" s="30" t="n">
        <v>0.9895566543895754</v>
      </c>
      <c r="L330" s="30" t="n">
        <v>0.009798611400025654</v>
      </c>
      <c r="M330" s="30" t="n">
        <v>0.0006447342103988783</v>
      </c>
      <c r="N330" s="31">
        <f>ABS(E330-$F$6)</f>
        <v/>
      </c>
      <c r="O330" s="31">
        <f>ABS(E330-$F$7)</f>
        <v/>
      </c>
      <c r="P330" s="31">
        <f>ABS(E330-$F$8)</f>
        <v/>
      </c>
      <c r="Q330" s="14">
        <f>IF(K330&gt;=MAX(L330,M330), "Hemat", IF(L330&gt;=M330, "Balanced", "Premium"))</f>
        <v/>
      </c>
      <c r="R330" s="30" t="n">
        <v>0.9895566542341836</v>
      </c>
      <c r="S330" s="30" t="n">
        <v>0.00979861139170024</v>
      </c>
      <c r="T330" s="30" t="n">
        <v>0.00064473437411607</v>
      </c>
      <c r="U330" s="31">
        <f>ABS(E330-$G$6)</f>
        <v/>
      </c>
      <c r="V330" s="31">
        <f>ABS(E330-$G$7)</f>
        <v/>
      </c>
      <c r="W330" s="31">
        <f>ABS(E330-$G$8)</f>
        <v/>
      </c>
      <c r="X330" s="14">
        <f>IF(R330&gt;=MAX(S330,T330), "Hemat", IF(S330&gt;=T330, "Balanced", "Premium"))</f>
        <v/>
      </c>
    </row>
    <row r="331">
      <c r="A331" s="14" t="n">
        <v>330</v>
      </c>
      <c r="B331" s="7" t="inlineStr">
        <is>
          <t>Taman Bunga Merjosari</t>
        </is>
      </c>
      <c r="C331" s="26" t="n">
        <v>-7.9455053</v>
      </c>
      <c r="D331" s="26" t="n">
        <v>112.6042153</v>
      </c>
      <c r="E331" s="21" t="n">
        <v>35000</v>
      </c>
      <c r="F331" s="27" t="n">
        <v>4.7</v>
      </c>
      <c r="G331" s="28" t="n">
        <v>686</v>
      </c>
      <c r="H331" s="14" t="inlineStr">
        <is>
          <t>Taman Bunga Merjosari</t>
        </is>
      </c>
      <c r="I331" s="29">
        <f>6371 * 2 * ASIN(SQRT(SIN(RADIANS((C331) - INDEX('Dataset_Wisata'!$C$12:$C$622, MATCH('Dashboard'!$C$9, 'Dataset_Wisata'!$A$12:$A$622, 0)))/2)^2 + COS(RADIANS(INDEX('Dataset_Wisata'!$C$12:$C$622, MATCH('Dashboard'!$C$9, 'Dataset_Wisata'!$A$12:$A$622, 0)))) * COS(RADIANS(C331)) * SIN(RADIANS((D331) - INDEX('Dataset_Wisata'!$D$12:$D$622, MATCH('Dashboard'!$C$9, 'Dataset_Wisata'!$A$12:$A$622, 0)))/2)^2)) * 1.3</f>
        <v/>
      </c>
      <c r="J331" s="21">
        <f>ROUND(I331 * IF('Dashboard'!$C$6&lt;=1, 2250, IF('Dashboard'!$C$6&lt;=4, 5150, 6000)), 0)</f>
        <v/>
      </c>
      <c r="K331" s="30" t="n">
        <v>0.25213485588303</v>
      </c>
      <c r="L331" s="30" t="n">
        <v>0.7400533052956862</v>
      </c>
      <c r="M331" s="30" t="n">
        <v>0.007811838821283838</v>
      </c>
      <c r="N331" s="31">
        <f>ABS(E331-$F$6)</f>
        <v/>
      </c>
      <c r="O331" s="31">
        <f>ABS(E331-$F$7)</f>
        <v/>
      </c>
      <c r="P331" s="31">
        <f>ABS(E331-$F$8)</f>
        <v/>
      </c>
      <c r="Q331" s="14">
        <f>IF(K331&gt;=MAX(L331,M331), "Hemat", IF(L331&gt;=M331, "Balanced", "Premium"))</f>
        <v/>
      </c>
      <c r="R331" s="30" t="n">
        <v>0.2521350299012498</v>
      </c>
      <c r="S331" s="30" t="n">
        <v>0.740053126637755</v>
      </c>
      <c r="T331" s="30" t="n">
        <v>0.007811843460995218</v>
      </c>
      <c r="U331" s="31">
        <f>ABS(E331-$G$6)</f>
        <v/>
      </c>
      <c r="V331" s="31">
        <f>ABS(E331-$G$7)</f>
        <v/>
      </c>
      <c r="W331" s="31">
        <f>ABS(E331-$G$8)</f>
        <v/>
      </c>
      <c r="X331" s="14">
        <f>IF(R331&gt;=MAX(S331,T331), "Hemat", IF(S331&gt;=T331, "Balanced", "Premium"))</f>
        <v/>
      </c>
    </row>
    <row r="332">
      <c r="A332" s="14" t="n">
        <v>331</v>
      </c>
      <c r="B332" s="7" t="inlineStr">
        <is>
          <t>Taman Bermain &amp; Olahraga</t>
        </is>
      </c>
      <c r="C332" s="26" t="n">
        <v>-7.962465</v>
      </c>
      <c r="D332" s="26" t="n">
        <v>112.5926851</v>
      </c>
      <c r="E332" s="21" t="n">
        <v>52000</v>
      </c>
      <c r="F332" s="27" t="n">
        <v>4.3</v>
      </c>
      <c r="G332" s="28" t="n">
        <v>152</v>
      </c>
      <c r="H332" s="14" t="inlineStr">
        <is>
          <t>Taman Bermain &amp; Olahraga</t>
        </is>
      </c>
      <c r="I332" s="29">
        <f>6371 * 2 * ASIN(SQRT(SIN(RADIANS((C332) - INDEX('Dataset_Wisata'!$C$12:$C$622, MATCH('Dashboard'!$C$9, 'Dataset_Wisata'!$A$12:$A$622, 0)))/2)^2 + COS(RADIANS(INDEX('Dataset_Wisata'!$C$12:$C$622, MATCH('Dashboard'!$C$9, 'Dataset_Wisata'!$A$12:$A$622, 0)))) * COS(RADIANS(C332)) * SIN(RADIANS((D332) - INDEX('Dataset_Wisata'!$D$12:$D$622, MATCH('Dashboard'!$C$9, 'Dataset_Wisata'!$A$12:$A$622, 0)))/2)^2)) * 1.3</f>
        <v/>
      </c>
      <c r="J332" s="21">
        <f>ROUND(I332 * IF('Dashboard'!$C$6&lt;=1, 2250, IF('Dashboard'!$C$6&lt;=4, 5150, 6000)), 0)</f>
        <v/>
      </c>
      <c r="K332" s="30" t="n">
        <v>0.00242498065773481</v>
      </c>
      <c r="L332" s="30" t="n">
        <v>0.9973074914361805</v>
      </c>
      <c r="M332" s="30" t="n">
        <v>0.0002675279060846935</v>
      </c>
      <c r="N332" s="31">
        <f>ABS(E332-$F$6)</f>
        <v/>
      </c>
      <c r="O332" s="31">
        <f>ABS(E332-$F$7)</f>
        <v/>
      </c>
      <c r="P332" s="31">
        <f>ABS(E332-$F$8)</f>
        <v/>
      </c>
      <c r="Q332" s="14">
        <f>IF(K332&gt;=MAX(L332,M332), "Hemat", IF(L332&gt;=M332, "Balanced", "Premium"))</f>
        <v/>
      </c>
      <c r="R332" s="30" t="n">
        <v>0.002424965599322075</v>
      </c>
      <c r="S332" s="30" t="n">
        <v>0.9973075081777607</v>
      </c>
      <c r="T332" s="30" t="n">
        <v>0.0002675262229172161</v>
      </c>
      <c r="U332" s="31">
        <f>ABS(E332-$G$6)</f>
        <v/>
      </c>
      <c r="V332" s="31">
        <f>ABS(E332-$G$7)</f>
        <v/>
      </c>
      <c r="W332" s="31">
        <f>ABS(E332-$G$8)</f>
        <v/>
      </c>
      <c r="X332" s="14">
        <f>IF(R332&gt;=MAX(S332,T332), "Hemat", IF(S332&gt;=T332, "Balanced", "Premium"))</f>
        <v/>
      </c>
    </row>
    <row r="333">
      <c r="A333" s="14" t="n">
        <v>332</v>
      </c>
      <c r="B333" s="7" t="inlineStr">
        <is>
          <t>Candi Karang Besuki</t>
        </is>
      </c>
      <c r="C333" s="26" t="n">
        <v>-7.9523109</v>
      </c>
      <c r="D333" s="26" t="n">
        <v>112.5997719</v>
      </c>
      <c r="E333" s="21" t="n">
        <v>10000</v>
      </c>
      <c r="F333" s="27" t="n">
        <v>4.5</v>
      </c>
      <c r="G333" s="28" t="n">
        <v>149</v>
      </c>
      <c r="H333" s="14" t="inlineStr">
        <is>
          <t>Wisata Umum</t>
        </is>
      </c>
      <c r="I333" s="29">
        <f>6371 * 2 * ASIN(SQRT(SIN(RADIANS((C333) - INDEX('Dataset_Wisata'!$C$12:$C$622, MATCH('Dashboard'!$C$9, 'Dataset_Wisata'!$A$12:$A$622, 0)))/2)^2 + COS(RADIANS(INDEX('Dataset_Wisata'!$C$12:$C$622, MATCH('Dashboard'!$C$9, 'Dataset_Wisata'!$A$12:$A$622, 0)))) * COS(RADIANS(C333)) * SIN(RADIANS((D333) - INDEX('Dataset_Wisata'!$D$12:$D$622, MATCH('Dashboard'!$C$9, 'Dataset_Wisata'!$A$12:$A$622, 0)))/2)^2)) * 1.3</f>
        <v/>
      </c>
      <c r="J333" s="21">
        <f>ROUND(I333 * IF('Dashboard'!$C$6&lt;=1, 2250, IF('Dashboard'!$C$6&lt;=4, 5150, 6000)), 0)</f>
        <v/>
      </c>
      <c r="K333" s="30" t="n">
        <v>0.9998126508185596</v>
      </c>
      <c r="L333" s="30" t="n">
        <v>0.0001775718391516968</v>
      </c>
      <c r="M333" s="30" t="n">
        <v>9.7773422886897e-06</v>
      </c>
      <c r="N333" s="31">
        <f>ABS(E333-$F$6)</f>
        <v/>
      </c>
      <c r="O333" s="31">
        <f>ABS(E333-$F$7)</f>
        <v/>
      </c>
      <c r="P333" s="31">
        <f>ABS(E333-$F$8)</f>
        <v/>
      </c>
      <c r="Q333" s="14">
        <f>IF(K333&gt;=MAX(L333,M333), "Hemat", IF(L333&gt;=M333, "Balanced", "Premium"))</f>
        <v/>
      </c>
      <c r="R333" s="30" t="n">
        <v>0.9998126513362043</v>
      </c>
      <c r="S333" s="30" t="n">
        <v>0.0001775713458315561</v>
      </c>
      <c r="T333" s="30" t="n">
        <v>9.777317964159987e-06</v>
      </c>
      <c r="U333" s="31">
        <f>ABS(E333-$G$6)</f>
        <v/>
      </c>
      <c r="V333" s="31">
        <f>ABS(E333-$G$7)</f>
        <v/>
      </c>
      <c r="W333" s="31">
        <f>ABS(E333-$G$8)</f>
        <v/>
      </c>
      <c r="X333" s="14">
        <f>IF(R333&gt;=MAX(S333,T333), "Hemat", IF(S333&gt;=T333, "Balanced", "Premium"))</f>
        <v/>
      </c>
    </row>
    <row r="334">
      <c r="A334" s="14" t="n">
        <v>333</v>
      </c>
      <c r="B334" s="7" t="inlineStr">
        <is>
          <t>Taman Lalu Lintas Merjosari Malang</t>
        </is>
      </c>
      <c r="C334" s="26" t="n">
        <v>-7.9455095</v>
      </c>
      <c r="D334" s="26" t="n">
        <v>112.6026756</v>
      </c>
      <c r="E334" s="21" t="n">
        <v>30000</v>
      </c>
      <c r="F334" s="27" t="n">
        <v>4.5</v>
      </c>
      <c r="G334" s="28" t="n">
        <v>135</v>
      </c>
      <c r="H334" s="14" t="inlineStr">
        <is>
          <t>Taman Lalu Lintas Merjosari Malang</t>
        </is>
      </c>
      <c r="I334" s="29">
        <f>6371 * 2 * ASIN(SQRT(SIN(RADIANS((C334) - INDEX('Dataset_Wisata'!$C$12:$C$622, MATCH('Dashboard'!$C$9, 'Dataset_Wisata'!$A$12:$A$622, 0)))/2)^2 + COS(RADIANS(INDEX('Dataset_Wisata'!$C$12:$C$622, MATCH('Dashboard'!$C$9, 'Dataset_Wisata'!$A$12:$A$622, 0)))) * COS(RADIANS(C334)) * SIN(RADIANS((D334) - INDEX('Dataset_Wisata'!$D$12:$D$622, MATCH('Dashboard'!$C$9, 'Dataset_Wisata'!$A$12:$A$622, 0)))/2)^2)) * 1.3</f>
        <v/>
      </c>
      <c r="J334" s="21">
        <f>ROUND(I334 * IF('Dashboard'!$C$6&lt;=1, 2250, IF('Dashboard'!$C$6&lt;=4, 5150, 6000)), 0)</f>
        <v/>
      </c>
      <c r="K334" s="30" t="n">
        <v>0.4800921289599558</v>
      </c>
      <c r="L334" s="30" t="n">
        <v>0.5109191138653489</v>
      </c>
      <c r="M334" s="30" t="n">
        <v>0.008988757174695291</v>
      </c>
      <c r="N334" s="31">
        <f>ABS(E334-$F$6)</f>
        <v/>
      </c>
      <c r="O334" s="31">
        <f>ABS(E334-$F$7)</f>
        <v/>
      </c>
      <c r="P334" s="31">
        <f>ABS(E334-$F$8)</f>
        <v/>
      </c>
      <c r="Q334" s="14">
        <f>IF(K334&gt;=MAX(L334,M334), "Hemat", IF(L334&gt;=M334, "Balanced", "Premium"))</f>
        <v/>
      </c>
      <c r="R334" s="30" t="n">
        <v>0.4800923067166307</v>
      </c>
      <c r="S334" s="30" t="n">
        <v>0.5109189337438159</v>
      </c>
      <c r="T334" s="30" t="n">
        <v>0.008988759539553422</v>
      </c>
      <c r="U334" s="31">
        <f>ABS(E334-$G$6)</f>
        <v/>
      </c>
      <c r="V334" s="31">
        <f>ABS(E334-$G$7)</f>
        <v/>
      </c>
      <c r="W334" s="31">
        <f>ABS(E334-$G$8)</f>
        <v/>
      </c>
      <c r="X334" s="14">
        <f>IF(R334&gt;=MAX(S334,T334), "Hemat", IF(S334&gt;=T334, "Balanced", "Premium"))</f>
        <v/>
      </c>
    </row>
    <row r="335">
      <c r="A335" s="14" t="n">
        <v>334</v>
      </c>
      <c r="B335" s="7" t="inlineStr">
        <is>
          <t>Kampung Cempluk</t>
        </is>
      </c>
      <c r="C335" s="26" t="n">
        <v>-7.9680344</v>
      </c>
      <c r="D335" s="26" t="n">
        <v>112.5964792</v>
      </c>
      <c r="E335" s="21" t="n">
        <v>30000</v>
      </c>
      <c r="F335" s="27" t="n">
        <v>4.5</v>
      </c>
      <c r="G335" s="28" t="n">
        <v>332</v>
      </c>
      <c r="H335" s="14" t="inlineStr">
        <is>
          <t>Wisata Umum</t>
        </is>
      </c>
      <c r="I335" s="29">
        <f>6371 * 2 * ASIN(SQRT(SIN(RADIANS((C335) - INDEX('Dataset_Wisata'!$C$12:$C$622, MATCH('Dashboard'!$C$9, 'Dataset_Wisata'!$A$12:$A$622, 0)))/2)^2 + COS(RADIANS(INDEX('Dataset_Wisata'!$C$12:$C$622, MATCH('Dashboard'!$C$9, 'Dataset_Wisata'!$A$12:$A$622, 0)))) * COS(RADIANS(C335)) * SIN(RADIANS((D335) - INDEX('Dataset_Wisata'!$D$12:$D$622, MATCH('Dashboard'!$C$9, 'Dataset_Wisata'!$A$12:$A$622, 0)))/2)^2)) * 1.3</f>
        <v/>
      </c>
      <c r="J335" s="21">
        <f>ROUND(I335 * IF('Dashboard'!$C$6&lt;=1, 2250, IF('Dashboard'!$C$6&lt;=4, 5150, 6000)), 0)</f>
        <v/>
      </c>
      <c r="K335" s="30" t="n">
        <v>0.4800921289599558</v>
      </c>
      <c r="L335" s="30" t="n">
        <v>0.5109191138653489</v>
      </c>
      <c r="M335" s="30" t="n">
        <v>0.008988757174695291</v>
      </c>
      <c r="N335" s="31">
        <f>ABS(E335-$F$6)</f>
        <v/>
      </c>
      <c r="O335" s="31">
        <f>ABS(E335-$F$7)</f>
        <v/>
      </c>
      <c r="P335" s="31">
        <f>ABS(E335-$F$8)</f>
        <v/>
      </c>
      <c r="Q335" s="14">
        <f>IF(K335&gt;=MAX(L335,M335), "Hemat", IF(L335&gt;=M335, "Balanced", "Premium"))</f>
        <v/>
      </c>
      <c r="R335" s="30" t="n">
        <v>0.4800923067166307</v>
      </c>
      <c r="S335" s="30" t="n">
        <v>0.5109189337438159</v>
      </c>
      <c r="T335" s="30" t="n">
        <v>0.008988759539553422</v>
      </c>
      <c r="U335" s="31">
        <f>ABS(E335-$G$6)</f>
        <v/>
      </c>
      <c r="V335" s="31">
        <f>ABS(E335-$G$7)</f>
        <v/>
      </c>
      <c r="W335" s="31">
        <f>ABS(E335-$G$8)</f>
        <v/>
      </c>
      <c r="X335" s="14">
        <f>IF(R335&gt;=MAX(S335,T335), "Hemat", IF(S335&gt;=T335, "Balanced", "Premium"))</f>
        <v/>
      </c>
    </row>
    <row r="336">
      <c r="A336" s="14" t="n">
        <v>335</v>
      </c>
      <c r="B336" s="7" t="inlineStr">
        <is>
          <t>EXTREME SPORTS CENTER INDONESIA</t>
        </is>
      </c>
      <c r="C336" s="26" t="n">
        <v>-7.9411286</v>
      </c>
      <c r="D336" s="26" t="n">
        <v>112.5976053</v>
      </c>
      <c r="E336" s="21" t="n">
        <v>35000</v>
      </c>
      <c r="F336" s="27" t="n">
        <v>5</v>
      </c>
      <c r="G336" s="28" t="n">
        <v>72</v>
      </c>
      <c r="H336" s="14" t="inlineStr">
        <is>
          <t>Wisata Umum</t>
        </is>
      </c>
      <c r="I336" s="29">
        <f>6371 * 2 * ASIN(SQRT(SIN(RADIANS((C336) - INDEX('Dataset_Wisata'!$C$12:$C$622, MATCH('Dashboard'!$C$9, 'Dataset_Wisata'!$A$12:$A$622, 0)))/2)^2 + COS(RADIANS(INDEX('Dataset_Wisata'!$C$12:$C$622, MATCH('Dashboard'!$C$9, 'Dataset_Wisata'!$A$12:$A$622, 0)))) * COS(RADIANS(C336)) * SIN(RADIANS((D336) - INDEX('Dataset_Wisata'!$D$12:$D$622, MATCH('Dashboard'!$C$9, 'Dataset_Wisata'!$A$12:$A$622, 0)))/2)^2)) * 1.3</f>
        <v/>
      </c>
      <c r="J336" s="21">
        <f>ROUND(I336 * IF('Dashboard'!$C$6&lt;=1, 2250, IF('Dashboard'!$C$6&lt;=4, 5150, 6000)), 0)</f>
        <v/>
      </c>
      <c r="K336" s="30" t="n">
        <v>0.25213485588303</v>
      </c>
      <c r="L336" s="30" t="n">
        <v>0.7400533052956862</v>
      </c>
      <c r="M336" s="30" t="n">
        <v>0.007811838821283838</v>
      </c>
      <c r="N336" s="31">
        <f>ABS(E336-$F$6)</f>
        <v/>
      </c>
      <c r="O336" s="31">
        <f>ABS(E336-$F$7)</f>
        <v/>
      </c>
      <c r="P336" s="31">
        <f>ABS(E336-$F$8)</f>
        <v/>
      </c>
      <c r="Q336" s="14">
        <f>IF(K336&gt;=MAX(L336,M336), "Hemat", IF(L336&gt;=M336, "Balanced", "Premium"))</f>
        <v/>
      </c>
      <c r="R336" s="30" t="n">
        <v>0.2521350299012498</v>
      </c>
      <c r="S336" s="30" t="n">
        <v>0.740053126637755</v>
      </c>
      <c r="T336" s="30" t="n">
        <v>0.007811843460995218</v>
      </c>
      <c r="U336" s="31">
        <f>ABS(E336-$G$6)</f>
        <v/>
      </c>
      <c r="V336" s="31">
        <f>ABS(E336-$G$7)</f>
        <v/>
      </c>
      <c r="W336" s="31">
        <f>ABS(E336-$G$8)</f>
        <v/>
      </c>
      <c r="X336" s="14">
        <f>IF(R336&gt;=MAX(S336,T336), "Hemat", IF(S336&gt;=T336, "Balanced", "Premium"))</f>
        <v/>
      </c>
    </row>
    <row r="337">
      <c r="A337" s="14" t="n">
        <v>336</v>
      </c>
      <c r="B337" s="7" t="inlineStr">
        <is>
          <t>Kebun Botol</t>
        </is>
      </c>
      <c r="C337" s="26" t="n">
        <v>-7.9272369</v>
      </c>
      <c r="D337" s="26" t="n">
        <v>112.6034267</v>
      </c>
      <c r="E337" s="21" t="n">
        <v>20000</v>
      </c>
      <c r="F337" s="27" t="n">
        <v>5</v>
      </c>
      <c r="G337" s="28" t="n">
        <v>52</v>
      </c>
      <c r="H337" s="14" t="inlineStr">
        <is>
          <t>Wisata Umum</t>
        </is>
      </c>
      <c r="I337" s="29">
        <f>6371 * 2 * ASIN(SQRT(SIN(RADIANS((C337) - INDEX('Dataset_Wisata'!$C$12:$C$622, MATCH('Dashboard'!$C$9, 'Dataset_Wisata'!$A$12:$A$622, 0)))/2)^2 + COS(RADIANS(INDEX('Dataset_Wisata'!$C$12:$C$622, MATCH('Dashboard'!$C$9, 'Dataset_Wisata'!$A$12:$A$622, 0)))) * COS(RADIANS(C337)) * SIN(RADIANS((D337) - INDEX('Dataset_Wisata'!$D$12:$D$622, MATCH('Dashboard'!$C$9, 'Dataset_Wisata'!$A$12:$A$622, 0)))/2)^2)) * 1.3</f>
        <v/>
      </c>
      <c r="J337" s="21">
        <f>ROUND(I337 * IF('Dashboard'!$C$6&lt;=1, 2250, IF('Dashboard'!$C$6&lt;=4, 5150, 6000)), 0)</f>
        <v/>
      </c>
      <c r="K337" s="30" t="n">
        <v>0.8862296979094436</v>
      </c>
      <c r="L337" s="30" t="n">
        <v>0.1099329410905347</v>
      </c>
      <c r="M337" s="30" t="n">
        <v>0.003837361000021699</v>
      </c>
      <c r="N337" s="31">
        <f>ABS(E337-$F$6)</f>
        <v/>
      </c>
      <c r="O337" s="31">
        <f>ABS(E337-$F$7)</f>
        <v/>
      </c>
      <c r="P337" s="31">
        <f>ABS(E337-$F$8)</f>
        <v/>
      </c>
      <c r="Q337" s="14">
        <f>IF(K337&gt;=MAX(L337,M337), "Hemat", IF(L337&gt;=M337, "Balanced", "Premium"))</f>
        <v/>
      </c>
      <c r="R337" s="30" t="n">
        <v>0.8862297532761809</v>
      </c>
      <c r="S337" s="30" t="n">
        <v>0.1099328861159962</v>
      </c>
      <c r="T337" s="30" t="n">
        <v>0.003837360607822898</v>
      </c>
      <c r="U337" s="31">
        <f>ABS(E337-$G$6)</f>
        <v/>
      </c>
      <c r="V337" s="31">
        <f>ABS(E337-$G$7)</f>
        <v/>
      </c>
      <c r="W337" s="31">
        <f>ABS(E337-$G$8)</f>
        <v/>
      </c>
      <c r="X337" s="14">
        <f>IF(R337&gt;=MAX(S337,T337), "Hemat", IF(S337&gt;=T337, "Balanced", "Premium"))</f>
        <v/>
      </c>
    </row>
    <row r="338">
      <c r="A338" s="14" t="n">
        <v>337</v>
      </c>
      <c r="B338" s="7" t="inlineStr">
        <is>
          <t>Taman Terapi (ITP)</t>
        </is>
      </c>
      <c r="C338" s="26" t="n">
        <v>-7.9339336</v>
      </c>
      <c r="D338" s="26" t="n">
        <v>112.6028358</v>
      </c>
      <c r="E338" s="21" t="n">
        <v>0</v>
      </c>
      <c r="F338" s="27" t="n">
        <v>3.8</v>
      </c>
      <c r="G338" s="28" t="n">
        <v>84</v>
      </c>
      <c r="H338" s="14" t="inlineStr">
        <is>
          <t>Taman Terapi (ITP)</t>
        </is>
      </c>
      <c r="I338" s="29">
        <f>6371 * 2 * ASIN(SQRT(SIN(RADIANS((C338) - INDEX('Dataset_Wisata'!$C$12:$C$622, MATCH('Dashboard'!$C$9, 'Dataset_Wisata'!$A$12:$A$622, 0)))/2)^2 + COS(RADIANS(INDEX('Dataset_Wisata'!$C$12:$C$622, MATCH('Dashboard'!$C$9, 'Dataset_Wisata'!$A$12:$A$622, 0)))) * COS(RADIANS(C338)) * SIN(RADIANS((D338) - INDEX('Dataset_Wisata'!$D$12:$D$622, MATCH('Dashboard'!$C$9, 'Dataset_Wisata'!$A$12:$A$622, 0)))/2)^2)) * 1.3</f>
        <v/>
      </c>
      <c r="J338" s="21">
        <f>ROUND(I338 * IF('Dashboard'!$C$6&lt;=1, 2250, IF('Dashboard'!$C$6&lt;=4, 5150, 6000)), 0)</f>
        <v/>
      </c>
      <c r="K338" s="30" t="n">
        <v>0.9626824510005771</v>
      </c>
      <c r="L338" s="30" t="n">
        <v>0.03465542295845363</v>
      </c>
      <c r="M338" s="30" t="n">
        <v>0.002662126040969366</v>
      </c>
      <c r="N338" s="31">
        <f>ABS(E338-$F$6)</f>
        <v/>
      </c>
      <c r="O338" s="31">
        <f>ABS(E338-$F$7)</f>
        <v/>
      </c>
      <c r="P338" s="31">
        <f>ABS(E338-$F$8)</f>
        <v/>
      </c>
      <c r="Q338" s="14">
        <f>IF(K338&gt;=MAX(L338,M338), "Hemat", IF(L338&gt;=M338, "Balanced", "Premium"))</f>
        <v/>
      </c>
      <c r="R338" s="30" t="n">
        <v>0.9626824549241798</v>
      </c>
      <c r="S338" s="30" t="n">
        <v>0.03465541875469833</v>
      </c>
      <c r="T338" s="30" t="n">
        <v>0.002662126321121907</v>
      </c>
      <c r="U338" s="31">
        <f>ABS(E338-$G$6)</f>
        <v/>
      </c>
      <c r="V338" s="31">
        <f>ABS(E338-$G$7)</f>
        <v/>
      </c>
      <c r="W338" s="31">
        <f>ABS(E338-$G$8)</f>
        <v/>
      </c>
      <c r="X338" s="14">
        <f>IF(R338&gt;=MAX(S338,T338), "Hemat", IF(S338&gt;=T338, "Balanced", "Premium"))</f>
        <v/>
      </c>
    </row>
    <row r="339">
      <c r="A339" s="14" t="n">
        <v>338</v>
      </c>
      <c r="B339" s="7" t="inlineStr">
        <is>
          <t>Kawasan Wisata Lembah Dieng Malang - Indonesia Jenius Partner</t>
        </is>
      </c>
      <c r="C339" s="26" t="n">
        <v>-7.9651201</v>
      </c>
      <c r="D339" s="26" t="n">
        <v>112.5964449</v>
      </c>
      <c r="E339" s="21" t="n">
        <v>10000</v>
      </c>
      <c r="F339" s="27" t="n">
        <v>3.8</v>
      </c>
      <c r="G339" s="28" t="n">
        <v>95</v>
      </c>
      <c r="H339" s="14" t="inlineStr">
        <is>
          <t>Wisata Umum</t>
        </is>
      </c>
      <c r="I339" s="29">
        <f>6371 * 2 * ASIN(SQRT(SIN(RADIANS((C339) - INDEX('Dataset_Wisata'!$C$12:$C$622, MATCH('Dashboard'!$C$9, 'Dataset_Wisata'!$A$12:$A$622, 0)))/2)^2 + COS(RADIANS(INDEX('Dataset_Wisata'!$C$12:$C$622, MATCH('Dashboard'!$C$9, 'Dataset_Wisata'!$A$12:$A$622, 0)))) * COS(RADIANS(C339)) * SIN(RADIANS((D339) - INDEX('Dataset_Wisata'!$D$12:$D$622, MATCH('Dashboard'!$C$9, 'Dataset_Wisata'!$A$12:$A$622, 0)))/2)^2)) * 1.3</f>
        <v/>
      </c>
      <c r="J339" s="21">
        <f>ROUND(I339 * IF('Dashboard'!$C$6&lt;=1, 2250, IF('Dashboard'!$C$6&lt;=4, 5150, 6000)), 0)</f>
        <v/>
      </c>
      <c r="K339" s="30" t="n">
        <v>0.9998126508185596</v>
      </c>
      <c r="L339" s="30" t="n">
        <v>0.0001775718391516968</v>
      </c>
      <c r="M339" s="30" t="n">
        <v>9.7773422886897e-06</v>
      </c>
      <c r="N339" s="31">
        <f>ABS(E339-$F$6)</f>
        <v/>
      </c>
      <c r="O339" s="31">
        <f>ABS(E339-$F$7)</f>
        <v/>
      </c>
      <c r="P339" s="31">
        <f>ABS(E339-$F$8)</f>
        <v/>
      </c>
      <c r="Q339" s="14">
        <f>IF(K339&gt;=MAX(L339,M339), "Hemat", IF(L339&gt;=M339, "Balanced", "Premium"))</f>
        <v/>
      </c>
      <c r="R339" s="30" t="n">
        <v>0.9998126513362043</v>
      </c>
      <c r="S339" s="30" t="n">
        <v>0.0001775713458315561</v>
      </c>
      <c r="T339" s="30" t="n">
        <v>9.777317964159987e-06</v>
      </c>
      <c r="U339" s="31">
        <f>ABS(E339-$G$6)</f>
        <v/>
      </c>
      <c r="V339" s="31">
        <f>ABS(E339-$G$7)</f>
        <v/>
      </c>
      <c r="W339" s="31">
        <f>ABS(E339-$G$8)</f>
        <v/>
      </c>
      <c r="X339" s="14">
        <f>IF(R339&gt;=MAX(S339,T339), "Hemat", IF(S339&gt;=T339, "Balanced", "Premium"))</f>
        <v/>
      </c>
    </row>
    <row r="340">
      <c r="A340" s="14" t="n">
        <v>339</v>
      </c>
      <c r="B340" s="7" t="inlineStr">
        <is>
          <t>Alun-alun Karangploso</t>
        </is>
      </c>
      <c r="C340" s="26" t="n">
        <v>-7.8928351</v>
      </c>
      <c r="D340" s="26" t="n">
        <v>112.5948164</v>
      </c>
      <c r="E340" s="21" t="n">
        <v>0</v>
      </c>
      <c r="F340" s="27" t="n">
        <v>4</v>
      </c>
      <c r="G340" s="28" t="n">
        <v>656</v>
      </c>
      <c r="H340" s="14" t="inlineStr">
        <is>
          <t>Taman · </t>
        </is>
      </c>
      <c r="I340" s="29">
        <f>6371 * 2 * ASIN(SQRT(SIN(RADIANS((C340) - INDEX('Dataset_Wisata'!$C$12:$C$622, MATCH('Dashboard'!$C$9, 'Dataset_Wisata'!$A$12:$A$622, 0)))/2)^2 + COS(RADIANS(INDEX('Dataset_Wisata'!$C$12:$C$622, MATCH('Dashboard'!$C$9, 'Dataset_Wisata'!$A$12:$A$622, 0)))) * COS(RADIANS(C340)) * SIN(RADIANS((D340) - INDEX('Dataset_Wisata'!$D$12:$D$622, MATCH('Dashboard'!$C$9, 'Dataset_Wisata'!$A$12:$A$622, 0)))/2)^2)) * 1.3</f>
        <v/>
      </c>
      <c r="J340" s="21">
        <f>ROUND(I340 * IF('Dashboard'!$C$6&lt;=1, 2250, IF('Dashboard'!$C$6&lt;=4, 5150, 6000)), 0)</f>
        <v/>
      </c>
      <c r="K340" s="30" t="n">
        <v>0.9626824510005771</v>
      </c>
      <c r="L340" s="30" t="n">
        <v>0.03465542295845363</v>
      </c>
      <c r="M340" s="30" t="n">
        <v>0.002662126040969366</v>
      </c>
      <c r="N340" s="31">
        <f>ABS(E340-$F$6)</f>
        <v/>
      </c>
      <c r="O340" s="31">
        <f>ABS(E340-$F$7)</f>
        <v/>
      </c>
      <c r="P340" s="31">
        <f>ABS(E340-$F$8)</f>
        <v/>
      </c>
      <c r="Q340" s="14">
        <f>IF(K340&gt;=MAX(L340,M340), "Hemat", IF(L340&gt;=M340, "Balanced", "Premium"))</f>
        <v/>
      </c>
      <c r="R340" s="30" t="n">
        <v>0.9626824549241798</v>
      </c>
      <c r="S340" s="30" t="n">
        <v>0.03465541875469833</v>
      </c>
      <c r="T340" s="30" t="n">
        <v>0.002662126321121907</v>
      </c>
      <c r="U340" s="31">
        <f>ABS(E340-$G$6)</f>
        <v/>
      </c>
      <c r="V340" s="31">
        <f>ABS(E340-$G$7)</f>
        <v/>
      </c>
      <c r="W340" s="31">
        <f>ABS(E340-$G$8)</f>
        <v/>
      </c>
      <c r="X340" s="14">
        <f>IF(R340&gt;=MAX(S340,T340), "Hemat", IF(S340&gt;=T340, "Balanced", "Premium"))</f>
        <v/>
      </c>
    </row>
    <row r="341">
      <c r="A341" s="14" t="n">
        <v>340</v>
      </c>
      <c r="B341" s="7" t="inlineStr">
        <is>
          <t>Desa Wisata Pendem</t>
        </is>
      </c>
      <c r="C341" s="26" t="n">
        <v>-7.8970849</v>
      </c>
      <c r="D341" s="26" t="n">
        <v>112.5772481</v>
      </c>
      <c r="E341" s="21" t="n">
        <v>7500</v>
      </c>
      <c r="F341" s="27" t="n">
        <v>4.6</v>
      </c>
      <c r="G341" s="28" t="n">
        <v>20</v>
      </c>
      <c r="H341" s="14" t="inlineStr">
        <is>
          <t>Desa Wisata Pendem</t>
        </is>
      </c>
      <c r="I341" s="29">
        <f>6371 * 2 * ASIN(SQRT(SIN(RADIANS((C341) - INDEX('Dataset_Wisata'!$C$12:$C$622, MATCH('Dashboard'!$C$9, 'Dataset_Wisata'!$A$12:$A$622, 0)))/2)^2 + COS(RADIANS(INDEX('Dataset_Wisata'!$C$12:$C$622, MATCH('Dashboard'!$C$9, 'Dataset_Wisata'!$A$12:$A$622, 0)))) * COS(RADIANS(C341)) * SIN(RADIANS((D341) - INDEX('Dataset_Wisata'!$D$12:$D$622, MATCH('Dashboard'!$C$9, 'Dataset_Wisata'!$A$12:$A$622, 0)))/2)^2)) * 1.3</f>
        <v/>
      </c>
      <c r="J341" s="21">
        <f>ROUND(I341 * IF('Dashboard'!$C$6&lt;=1, 2250, IF('Dashboard'!$C$6&lt;=4, 5150, 6000)), 0)</f>
        <v/>
      </c>
      <c r="K341" s="30" t="n">
        <v>0.9977205282859762</v>
      </c>
      <c r="L341" s="30" t="n">
        <v>0.002149657617863785</v>
      </c>
      <c r="M341" s="30" t="n">
        <v>0.0001298140961599537</v>
      </c>
      <c r="N341" s="31">
        <f>ABS(E341-$F$6)</f>
        <v/>
      </c>
      <c r="O341" s="31">
        <f>ABS(E341-$F$7)</f>
        <v/>
      </c>
      <c r="P341" s="31">
        <f>ABS(E341-$F$8)</f>
        <v/>
      </c>
      <c r="Q341" s="14">
        <f>IF(K341&gt;=MAX(L341,M341), "Hemat", IF(L341&gt;=M341, "Balanced", "Premium"))</f>
        <v/>
      </c>
      <c r="R341" s="30" t="n">
        <v>0.9977205274493423</v>
      </c>
      <c r="S341" s="30" t="n">
        <v>0.002149658373618826</v>
      </c>
      <c r="T341" s="30" t="n">
        <v>0.0001298141770389646</v>
      </c>
      <c r="U341" s="31">
        <f>ABS(E341-$G$6)</f>
        <v/>
      </c>
      <c r="V341" s="31">
        <f>ABS(E341-$G$7)</f>
        <v/>
      </c>
      <c r="W341" s="31">
        <f>ABS(E341-$G$8)</f>
        <v/>
      </c>
      <c r="X341" s="14">
        <f>IF(R341&gt;=MAX(S341,T341), "Hemat", IF(S341&gt;=T341, "Balanced", "Premium"))</f>
        <v/>
      </c>
    </row>
    <row r="342">
      <c r="A342" s="14" t="n">
        <v>341</v>
      </c>
      <c r="B342" s="7" t="inlineStr">
        <is>
          <t>Gerbang Masuk Kota Wisata Batu</t>
        </is>
      </c>
      <c r="C342" s="26" t="n">
        <v>-7.910433</v>
      </c>
      <c r="D342" s="26" t="n">
        <v>112.580618</v>
      </c>
      <c r="E342" s="21" t="n">
        <v>35000</v>
      </c>
      <c r="F342" s="27" t="n">
        <v>4.3</v>
      </c>
      <c r="G342" s="28" t="n">
        <v>197</v>
      </c>
      <c r="H342" s="14" t="inlineStr">
        <is>
          <t>Gerbang Masuk Kota Wisata Batu</t>
        </is>
      </c>
      <c r="I342" s="29">
        <f>6371 * 2 * ASIN(SQRT(SIN(RADIANS((C342) - INDEX('Dataset_Wisata'!$C$12:$C$622, MATCH('Dashboard'!$C$9, 'Dataset_Wisata'!$A$12:$A$622, 0)))/2)^2 + COS(RADIANS(INDEX('Dataset_Wisata'!$C$12:$C$622, MATCH('Dashboard'!$C$9, 'Dataset_Wisata'!$A$12:$A$622, 0)))) * COS(RADIANS(C342)) * SIN(RADIANS((D342) - INDEX('Dataset_Wisata'!$D$12:$D$622, MATCH('Dashboard'!$C$9, 'Dataset_Wisata'!$A$12:$A$622, 0)))/2)^2)) * 1.3</f>
        <v/>
      </c>
      <c r="J342" s="21">
        <f>ROUND(I342 * IF('Dashboard'!$C$6&lt;=1, 2250, IF('Dashboard'!$C$6&lt;=4, 5150, 6000)), 0)</f>
        <v/>
      </c>
      <c r="K342" s="30" t="n">
        <v>0.25213485588303</v>
      </c>
      <c r="L342" s="30" t="n">
        <v>0.7400533052956862</v>
      </c>
      <c r="M342" s="30" t="n">
        <v>0.007811838821283838</v>
      </c>
      <c r="N342" s="31">
        <f>ABS(E342-$F$6)</f>
        <v/>
      </c>
      <c r="O342" s="31">
        <f>ABS(E342-$F$7)</f>
        <v/>
      </c>
      <c r="P342" s="31">
        <f>ABS(E342-$F$8)</f>
        <v/>
      </c>
      <c r="Q342" s="14">
        <f>IF(K342&gt;=MAX(L342,M342), "Hemat", IF(L342&gt;=M342, "Balanced", "Premium"))</f>
        <v/>
      </c>
      <c r="R342" s="30" t="n">
        <v>0.2521350299012498</v>
      </c>
      <c r="S342" s="30" t="n">
        <v>0.740053126637755</v>
      </c>
      <c r="T342" s="30" t="n">
        <v>0.007811843460995218</v>
      </c>
      <c r="U342" s="31">
        <f>ABS(E342-$G$6)</f>
        <v/>
      </c>
      <c r="V342" s="31">
        <f>ABS(E342-$G$7)</f>
        <v/>
      </c>
      <c r="W342" s="31">
        <f>ABS(E342-$G$8)</f>
        <v/>
      </c>
      <c r="X342" s="14">
        <f>IF(R342&gt;=MAX(S342,T342), "Hemat", IF(S342&gt;=T342, "Balanced", "Premium"))</f>
        <v/>
      </c>
    </row>
    <row r="343">
      <c r="A343" s="14" t="n">
        <v>342</v>
      </c>
      <c r="B343" s="7" t="inlineStr">
        <is>
          <t>The Legend Star - Jawa Timur Park 3</t>
        </is>
      </c>
      <c r="C343" s="26" t="n">
        <v>-7.8992846</v>
      </c>
      <c r="D343" s="26" t="n">
        <v>112.5522486</v>
      </c>
      <c r="E343" s="21" t="n">
        <v>89100</v>
      </c>
      <c r="F343" s="27" t="n">
        <v>4.7</v>
      </c>
      <c r="G343" s="28" t="n">
        <v>2149</v>
      </c>
      <c r="H343" s="14" t="inlineStr">
        <is>
          <t>Wisata Umum</t>
        </is>
      </c>
      <c r="I343" s="29">
        <f>6371 * 2 * ASIN(SQRT(SIN(RADIANS((C343) - INDEX('Dataset_Wisata'!$C$12:$C$622, MATCH('Dashboard'!$C$9, 'Dataset_Wisata'!$A$12:$A$622, 0)))/2)^2 + COS(RADIANS(INDEX('Dataset_Wisata'!$C$12:$C$622, MATCH('Dashboard'!$C$9, 'Dataset_Wisata'!$A$12:$A$622, 0)))) * COS(RADIANS(C343)) * SIN(RADIANS((D343) - INDEX('Dataset_Wisata'!$D$12:$D$622, MATCH('Dashboard'!$C$9, 'Dataset_Wisata'!$A$12:$A$622, 0)))/2)^2)) * 1.3</f>
        <v/>
      </c>
      <c r="J343" s="21">
        <f>ROUND(I343 * IF('Dashboard'!$C$6&lt;=1, 2250, IF('Dashboard'!$C$6&lt;=4, 5150, 6000)), 0)</f>
        <v/>
      </c>
      <c r="K343" s="30" t="n">
        <v>0.16966881490942</v>
      </c>
      <c r="L343" s="30" t="n">
        <v>0.7002664836349678</v>
      </c>
      <c r="M343" s="30" t="n">
        <v>0.1300647014556122</v>
      </c>
      <c r="N343" s="31">
        <f>ABS(E343-$F$6)</f>
        <v/>
      </c>
      <c r="O343" s="31">
        <f>ABS(E343-$F$7)</f>
        <v/>
      </c>
      <c r="P343" s="31">
        <f>ABS(E343-$F$8)</f>
        <v/>
      </c>
      <c r="Q343" s="14">
        <f>IF(K343&gt;=MAX(L343,M343), "Hemat", IF(L343&gt;=M343, "Balanced", "Premium"))</f>
        <v/>
      </c>
      <c r="R343" s="30" t="n">
        <v>0.1696687790281793</v>
      </c>
      <c r="S343" s="30" t="n">
        <v>0.7002665585301223</v>
      </c>
      <c r="T343" s="30" t="n">
        <v>0.1300646624416984</v>
      </c>
      <c r="U343" s="31">
        <f>ABS(E343-$G$6)</f>
        <v/>
      </c>
      <c r="V343" s="31">
        <f>ABS(E343-$G$7)</f>
        <v/>
      </c>
      <c r="W343" s="31">
        <f>ABS(E343-$G$8)</f>
        <v/>
      </c>
      <c r="X343" s="14">
        <f>IF(R343&gt;=MAX(S343,T343), "Hemat", IF(S343&gt;=T343, "Balanced", "Premium"))</f>
        <v/>
      </c>
    </row>
    <row r="344">
      <c r="A344" s="14" t="n">
        <v>343</v>
      </c>
      <c r="B344" s="7" t="inlineStr">
        <is>
          <t>Wisata Kota Batu</t>
        </is>
      </c>
      <c r="C344" s="26" t="n">
        <v>-7.8800431</v>
      </c>
      <c r="D344" s="26" t="n">
        <v>112.5367315</v>
      </c>
      <c r="E344" s="21" t="n">
        <v>16000</v>
      </c>
      <c r="F344" s="27" t="n">
        <v>4.6</v>
      </c>
      <c r="G344" s="28" t="n">
        <v>23</v>
      </c>
      <c r="H344" s="14" t="inlineStr">
        <is>
          <t>Wisata Kota Batu</t>
        </is>
      </c>
      <c r="I344" s="29">
        <f>6371 * 2 * ASIN(SQRT(SIN(RADIANS((C344) - INDEX('Dataset_Wisata'!$C$12:$C$622, MATCH('Dashboard'!$C$9, 'Dataset_Wisata'!$A$12:$A$622, 0)))/2)^2 + COS(RADIANS(INDEX('Dataset_Wisata'!$C$12:$C$622, MATCH('Dashboard'!$C$9, 'Dataset_Wisata'!$A$12:$A$622, 0)))) * COS(RADIANS(C344)) * SIN(RADIANS((D344) - INDEX('Dataset_Wisata'!$D$12:$D$622, MATCH('Dashboard'!$C$9, 'Dataset_Wisata'!$A$12:$A$622, 0)))/2)^2)) * 1.3</f>
        <v/>
      </c>
      <c r="J344" s="21">
        <f>ROUND(I344 * IF('Dashboard'!$C$6&lt;=1, 2250, IF('Dashboard'!$C$6&lt;=4, 5150, 6000)), 0)</f>
        <v/>
      </c>
      <c r="K344" s="30" t="n">
        <v>0.9627381572228676</v>
      </c>
      <c r="L344" s="30" t="n">
        <v>0.03573563728926455</v>
      </c>
      <c r="M344" s="30" t="n">
        <v>0.001526205487867857</v>
      </c>
      <c r="N344" s="31">
        <f>ABS(E344-$F$6)</f>
        <v/>
      </c>
      <c r="O344" s="31">
        <f>ABS(E344-$F$7)</f>
        <v/>
      </c>
      <c r="P344" s="31">
        <f>ABS(E344-$F$8)</f>
        <v/>
      </c>
      <c r="Q344" s="14">
        <f>IF(K344&gt;=MAX(L344,M344), "Hemat", IF(L344&gt;=M344, "Balanced", "Premium"))</f>
        <v/>
      </c>
      <c r="R344" s="30" t="n">
        <v>0.9627381777533726</v>
      </c>
      <c r="S344" s="30" t="n">
        <v>0.03573561709163443</v>
      </c>
      <c r="T344" s="30" t="n">
        <v>0.001526205154993105</v>
      </c>
      <c r="U344" s="31">
        <f>ABS(E344-$G$6)</f>
        <v/>
      </c>
      <c r="V344" s="31">
        <f>ABS(E344-$G$7)</f>
        <v/>
      </c>
      <c r="W344" s="31">
        <f>ABS(E344-$G$8)</f>
        <v/>
      </c>
      <c r="X344" s="14">
        <f>IF(R344&gt;=MAX(S344,T344), "Hemat", IF(S344&gt;=T344, "Balanced", "Premium"))</f>
        <v/>
      </c>
    </row>
    <row r="345">
      <c r="A345" s="14" t="n">
        <v>344</v>
      </c>
      <c r="B345" s="7" t="inlineStr">
        <is>
          <t>Drive Thru Park</t>
        </is>
      </c>
      <c r="C345" s="26" t="n">
        <v>-7.8885452</v>
      </c>
      <c r="D345" s="26" t="n">
        <v>112.5301093</v>
      </c>
      <c r="E345" s="21" t="n">
        <v>80750</v>
      </c>
      <c r="F345" s="27" t="n">
        <v>4.3</v>
      </c>
      <c r="G345" s="28" t="n">
        <v>368</v>
      </c>
      <c r="H345" s="14" t="inlineStr">
        <is>
          <t>Wisata Umum</t>
        </is>
      </c>
      <c r="I345" s="29">
        <f>6371 * 2 * ASIN(SQRT(SIN(RADIANS((C345) - INDEX('Dataset_Wisata'!$C$12:$C$622, MATCH('Dashboard'!$C$9, 'Dataset_Wisata'!$A$12:$A$622, 0)))/2)^2 + COS(RADIANS(INDEX('Dataset_Wisata'!$C$12:$C$622, MATCH('Dashboard'!$C$9, 'Dataset_Wisata'!$A$12:$A$622, 0)))) * COS(RADIANS(C345)) * SIN(RADIANS((D345) - INDEX('Dataset_Wisata'!$D$12:$D$622, MATCH('Dashboard'!$C$9, 'Dataset_Wisata'!$A$12:$A$622, 0)))/2)^2)) * 1.3</f>
        <v/>
      </c>
      <c r="J345" s="21">
        <f>ROUND(I345 * IF('Dashboard'!$C$6&lt;=1, 2250, IF('Dashboard'!$C$6&lt;=4, 5150, 6000)), 0)</f>
        <v/>
      </c>
      <c r="K345" s="30" t="n">
        <v>0.1458773903822556</v>
      </c>
      <c r="L345" s="30" t="n">
        <v>0.7789538505829549</v>
      </c>
      <c r="M345" s="30" t="n">
        <v>0.07516875903478962</v>
      </c>
      <c r="N345" s="31">
        <f>ABS(E345-$F$6)</f>
        <v/>
      </c>
      <c r="O345" s="31">
        <f>ABS(E345-$F$7)</f>
        <v/>
      </c>
      <c r="P345" s="31">
        <f>ABS(E345-$F$8)</f>
        <v/>
      </c>
      <c r="Q345" s="14">
        <f>IF(K345&gt;=MAX(L345,M345), "Hemat", IF(L345&gt;=M345, "Balanced", "Premium"))</f>
        <v/>
      </c>
      <c r="R345" s="30" t="n">
        <v>0.1458773450431912</v>
      </c>
      <c r="S345" s="30" t="n">
        <v>0.778953925623762</v>
      </c>
      <c r="T345" s="30" t="n">
        <v>0.0751687293330469</v>
      </c>
      <c r="U345" s="31">
        <f>ABS(E345-$G$6)</f>
        <v/>
      </c>
      <c r="V345" s="31">
        <f>ABS(E345-$G$7)</f>
        <v/>
      </c>
      <c r="W345" s="31">
        <f>ABS(E345-$G$8)</f>
        <v/>
      </c>
      <c r="X345" s="14">
        <f>IF(R345&gt;=MAX(S345,T345), "Hemat", IF(S345&gt;=T345, "Balanced", "Premium"))</f>
        <v/>
      </c>
    </row>
    <row r="346">
      <c r="A346" s="14" t="n">
        <v>345</v>
      </c>
      <c r="B346" s="7" t="inlineStr">
        <is>
          <t>Jawa Timur Park 2</t>
        </is>
      </c>
      <c r="C346" s="26" t="n">
        <v>-7.888021</v>
      </c>
      <c r="D346" s="26" t="n">
        <v>112.5295442</v>
      </c>
      <c r="E346" s="21" t="n">
        <v>155000</v>
      </c>
      <c r="F346" s="27" t="n">
        <v>4.7</v>
      </c>
      <c r="G346" s="28" t="n">
        <v>52926</v>
      </c>
      <c r="H346" s="14" t="inlineStr">
        <is>
          <t>Taman hiburan ilmu pengetahuan alam</t>
        </is>
      </c>
      <c r="I346" s="29">
        <f>6371 * 2 * ASIN(SQRT(SIN(RADIANS((C346) - INDEX('Dataset_Wisata'!$C$12:$C$622, MATCH('Dashboard'!$C$9, 'Dataset_Wisata'!$A$12:$A$622, 0)))/2)^2 + COS(RADIANS(INDEX('Dataset_Wisata'!$C$12:$C$622, MATCH('Dashboard'!$C$9, 'Dataset_Wisata'!$A$12:$A$622, 0)))) * COS(RADIANS(C346)) * SIN(RADIANS((D346) - INDEX('Dataset_Wisata'!$D$12:$D$622, MATCH('Dashboard'!$C$9, 'Dataset_Wisata'!$A$12:$A$622, 0)))/2)^2)) * 1.3</f>
        <v/>
      </c>
      <c r="J346" s="21">
        <f>ROUND(I346 * IF('Dashboard'!$C$6&lt;=1, 2250, IF('Dashboard'!$C$6&lt;=4, 5150, 6000)), 0)</f>
        <v/>
      </c>
      <c r="K346" s="30" t="n">
        <v>0.02727268581798942</v>
      </c>
      <c r="L346" s="30" t="n">
        <v>0.05229507118297788</v>
      </c>
      <c r="M346" s="30" t="n">
        <v>0.9204322429990327</v>
      </c>
      <c r="N346" s="31">
        <f>ABS(E346-$F$6)</f>
        <v/>
      </c>
      <c r="O346" s="31">
        <f>ABS(E346-$F$7)</f>
        <v/>
      </c>
      <c r="P346" s="31">
        <f>ABS(E346-$F$8)</f>
        <v/>
      </c>
      <c r="Q346" s="14">
        <f>IF(K346&gt;=MAX(L346,M346), "Hemat", IF(L346&gt;=M346, "Balanced", "Premium"))</f>
        <v/>
      </c>
      <c r="R346" s="30" t="n">
        <v>0.02727269245028811</v>
      </c>
      <c r="S346" s="30" t="n">
        <v>0.05229508996197996</v>
      </c>
      <c r="T346" s="30" t="n">
        <v>0.920432217587732</v>
      </c>
      <c r="U346" s="31">
        <f>ABS(E346-$G$6)</f>
        <v/>
      </c>
      <c r="V346" s="31">
        <f>ABS(E346-$G$7)</f>
        <v/>
      </c>
      <c r="W346" s="31">
        <f>ABS(E346-$G$8)</f>
        <v/>
      </c>
      <c r="X346" s="14">
        <f>IF(R346&gt;=MAX(S346,T346), "Hemat", IF(S346&gt;=T346, "Balanced", "Premium"))</f>
        <v/>
      </c>
    </row>
    <row r="347">
      <c r="A347" s="14" t="n">
        <v>346</v>
      </c>
      <c r="B347" s="7" t="inlineStr">
        <is>
          <t>Museum D'Topeng Kingdom (INDONESIAN HERITAGE MUSEUM) Jatim Park 1</t>
        </is>
      </c>
      <c r="C347" s="26" t="n">
        <v>-7.8839221</v>
      </c>
      <c r="D347" s="26" t="n">
        <v>112.5249057</v>
      </c>
      <c r="E347" s="21" t="n">
        <v>39600</v>
      </c>
      <c r="F347" s="27" t="n">
        <v>4.6</v>
      </c>
      <c r="G347" s="28" t="n">
        <v>57</v>
      </c>
      <c r="H347" s="14" t="inlineStr">
        <is>
          <t>Wisata Umum</t>
        </is>
      </c>
      <c r="I347" s="29">
        <f>6371 * 2 * ASIN(SQRT(SIN(RADIANS((C347) - INDEX('Dataset_Wisata'!$C$12:$C$622, MATCH('Dashboard'!$C$9, 'Dataset_Wisata'!$A$12:$A$622, 0)))/2)^2 + COS(RADIANS(INDEX('Dataset_Wisata'!$C$12:$C$622, MATCH('Dashboard'!$C$9, 'Dataset_Wisata'!$A$12:$A$622, 0)))) * COS(RADIANS(C347)) * SIN(RADIANS((D347) - INDEX('Dataset_Wisata'!$D$12:$D$622, MATCH('Dashboard'!$C$9, 'Dataset_Wisata'!$A$12:$A$622, 0)))/2)^2)) * 1.3</f>
        <v/>
      </c>
      <c r="J347" s="21">
        <f>ROUND(I347 * IF('Dashboard'!$C$6&lt;=1, 2250, IF('Dashboard'!$C$6&lt;=4, 5150, 6000)), 0)</f>
        <v/>
      </c>
      <c r="K347" s="30" t="n">
        <v>0.1041717008381722</v>
      </c>
      <c r="L347" s="30" t="n">
        <v>0.891033733024663</v>
      </c>
      <c r="M347" s="30" t="n">
        <v>0.004794566137164689</v>
      </c>
      <c r="N347" s="31">
        <f>ABS(E347-$F$6)</f>
        <v/>
      </c>
      <c r="O347" s="31">
        <f>ABS(E347-$F$7)</f>
        <v/>
      </c>
      <c r="P347" s="31">
        <f>ABS(E347-$F$8)</f>
        <v/>
      </c>
      <c r="Q347" s="14">
        <f>IF(K347&gt;=MAX(L347,M347), "Hemat", IF(L347&gt;=M347, "Balanced", "Premium"))</f>
        <v/>
      </c>
      <c r="R347" s="30" t="n">
        <v>0.1041718231240292</v>
      </c>
      <c r="S347" s="30" t="n">
        <v>0.8910336055417356</v>
      </c>
      <c r="T347" s="30" t="n">
        <v>0.004794571334235141</v>
      </c>
      <c r="U347" s="31">
        <f>ABS(E347-$G$6)</f>
        <v/>
      </c>
      <c r="V347" s="31">
        <f>ABS(E347-$G$7)</f>
        <v/>
      </c>
      <c r="W347" s="31">
        <f>ABS(E347-$G$8)</f>
        <v/>
      </c>
      <c r="X347" s="14">
        <f>IF(R347&gt;=MAX(S347,T347), "Hemat", IF(S347&gt;=T347, "Balanced", "Premium"))</f>
        <v/>
      </c>
    </row>
    <row r="348">
      <c r="A348" s="14" t="n">
        <v>347</v>
      </c>
      <c r="B348" s="7" t="inlineStr">
        <is>
          <t>Petik Apel Kota Batu</t>
        </is>
      </c>
      <c r="C348" s="26" t="n">
        <v>-7.860566</v>
      </c>
      <c r="D348" s="26" t="n">
        <v>112.5266957</v>
      </c>
      <c r="E348" s="21" t="n">
        <v>20000</v>
      </c>
      <c r="F348" s="27" t="n">
        <v>3.7</v>
      </c>
      <c r="G348" s="28" t="n">
        <v>23</v>
      </c>
      <c r="H348" s="14" t="inlineStr">
        <is>
          <t>Wisata Umum</t>
        </is>
      </c>
      <c r="I348" s="29">
        <f>6371 * 2 * ASIN(SQRT(SIN(RADIANS((C348) - INDEX('Dataset_Wisata'!$C$12:$C$622, MATCH('Dashboard'!$C$9, 'Dataset_Wisata'!$A$12:$A$622, 0)))/2)^2 + COS(RADIANS(INDEX('Dataset_Wisata'!$C$12:$C$622, MATCH('Dashboard'!$C$9, 'Dataset_Wisata'!$A$12:$A$622, 0)))) * COS(RADIANS(C348)) * SIN(RADIANS((D348) - INDEX('Dataset_Wisata'!$D$12:$D$622, MATCH('Dashboard'!$C$9, 'Dataset_Wisata'!$A$12:$A$622, 0)))/2)^2)) * 1.3</f>
        <v/>
      </c>
      <c r="J348" s="21">
        <f>ROUND(I348 * IF('Dashboard'!$C$6&lt;=1, 2250, IF('Dashboard'!$C$6&lt;=4, 5150, 6000)), 0)</f>
        <v/>
      </c>
      <c r="K348" s="30" t="n">
        <v>0.8862296979094436</v>
      </c>
      <c r="L348" s="30" t="n">
        <v>0.1099329410905347</v>
      </c>
      <c r="M348" s="30" t="n">
        <v>0.003837361000021699</v>
      </c>
      <c r="N348" s="31">
        <f>ABS(E348-$F$6)</f>
        <v/>
      </c>
      <c r="O348" s="31">
        <f>ABS(E348-$F$7)</f>
        <v/>
      </c>
      <c r="P348" s="31">
        <f>ABS(E348-$F$8)</f>
        <v/>
      </c>
      <c r="Q348" s="14">
        <f>IF(K348&gt;=MAX(L348,M348), "Hemat", IF(L348&gt;=M348, "Balanced", "Premium"))</f>
        <v/>
      </c>
      <c r="R348" s="30" t="n">
        <v>0.8862297532761809</v>
      </c>
      <c r="S348" s="30" t="n">
        <v>0.1099328861159962</v>
      </c>
      <c r="T348" s="30" t="n">
        <v>0.003837360607822898</v>
      </c>
      <c r="U348" s="31">
        <f>ABS(E348-$G$6)</f>
        <v/>
      </c>
      <c r="V348" s="31">
        <f>ABS(E348-$G$7)</f>
        <v/>
      </c>
      <c r="W348" s="31">
        <f>ABS(E348-$G$8)</f>
        <v/>
      </c>
      <c r="X348" s="14">
        <f>IF(R348&gt;=MAX(S348,T348), "Hemat", IF(S348&gt;=T348, "Balanced", "Premium"))</f>
        <v/>
      </c>
    </row>
    <row r="349">
      <c r="A349" s="14" t="n">
        <v>348</v>
      </c>
      <c r="B349" s="7" t="inlineStr">
        <is>
          <t>Wisata Sumber Air " DAM COKRO " Lowoksari</t>
        </is>
      </c>
      <c r="C349" s="26" t="n">
        <v>-7.9000712</v>
      </c>
      <c r="D349" s="26" t="n">
        <v>112.6239566</v>
      </c>
      <c r="E349" s="21" t="n">
        <v>7000</v>
      </c>
      <c r="F349" s="27" t="n">
        <v>4.3</v>
      </c>
      <c r="G349" s="28" t="n">
        <v>123</v>
      </c>
      <c r="H349" s="14" t="inlineStr">
        <is>
          <t>Tujuan Wisata · </t>
        </is>
      </c>
      <c r="I349" s="29">
        <f>6371 * 2 * ASIN(SQRT(SIN(RADIANS((C349) - INDEX('Dataset_Wisata'!$C$12:$C$622, MATCH('Dashboard'!$C$9, 'Dataset_Wisata'!$A$12:$A$622, 0)))/2)^2 + COS(RADIANS(INDEX('Dataset_Wisata'!$C$12:$C$622, MATCH('Dashboard'!$C$9, 'Dataset_Wisata'!$A$12:$A$622, 0)))) * COS(RADIANS(C349)) * SIN(RADIANS((D349) - INDEX('Dataset_Wisata'!$D$12:$D$622, MATCH('Dashboard'!$C$9, 'Dataset_Wisata'!$A$12:$A$622, 0)))/2)^2)) * 1.3</f>
        <v/>
      </c>
      <c r="J349" s="21">
        <f>ROUND(I349 * IF('Dashboard'!$C$6&lt;=1, 2250, IF('Dashboard'!$C$6&lt;=4, 5150, 6000)), 0)</f>
        <v/>
      </c>
      <c r="K349" s="30" t="n">
        <v>0.9964990922780733</v>
      </c>
      <c r="L349" s="30" t="n">
        <v>0.003298187596112103</v>
      </c>
      <c r="M349" s="30" t="n">
        <v>0.0002027201258145054</v>
      </c>
      <c r="N349" s="31">
        <f>ABS(E349-$F$6)</f>
        <v/>
      </c>
      <c r="O349" s="31">
        <f>ABS(E349-$F$7)</f>
        <v/>
      </c>
      <c r="P349" s="31">
        <f>ABS(E349-$F$8)</f>
        <v/>
      </c>
      <c r="Q349" s="14">
        <f>IF(K349&gt;=MAX(L349,M349), "Hemat", IF(L349&gt;=M349, "Balanced", "Premium"))</f>
        <v/>
      </c>
      <c r="R349" s="30" t="n">
        <v>0.9964990914496938</v>
      </c>
      <c r="S349" s="30" t="n">
        <v>0.003298188325346893</v>
      </c>
      <c r="T349" s="30" t="n">
        <v>0.000202720224959229</v>
      </c>
      <c r="U349" s="31">
        <f>ABS(E349-$G$6)</f>
        <v/>
      </c>
      <c r="V349" s="31">
        <f>ABS(E349-$G$7)</f>
        <v/>
      </c>
      <c r="W349" s="31">
        <f>ABS(E349-$G$8)</f>
        <v/>
      </c>
      <c r="X349" s="14">
        <f>IF(R349&gt;=MAX(S349,T349), "Hemat", IF(S349&gt;=T349, "Balanced", "Premium"))</f>
        <v/>
      </c>
    </row>
    <row r="350">
      <c r="A350" s="14" t="n">
        <v>349</v>
      </c>
      <c r="B350" s="7" t="inlineStr">
        <is>
          <t>Puncak BALUPUG dalas 89</t>
        </is>
      </c>
      <c r="C350" s="26" t="n">
        <v>-7.8428929</v>
      </c>
      <c r="D350" s="26" t="n">
        <v>112.5490211</v>
      </c>
      <c r="E350" s="21" t="n">
        <v>65214</v>
      </c>
      <c r="F350" s="27" t="n">
        <v>4.8</v>
      </c>
      <c r="G350" s="28" t="n">
        <v>33</v>
      </c>
      <c r="H350" s="14" t="inlineStr">
        <is>
          <t>Tujuan Wisata · Unnamed Road</t>
        </is>
      </c>
      <c r="I350" s="29">
        <f>6371 * 2 * ASIN(SQRT(SIN(RADIANS((C350) - INDEX('Dataset_Wisata'!$C$12:$C$622, MATCH('Dashboard'!$C$9, 'Dataset_Wisata'!$A$12:$A$622, 0)))/2)^2 + COS(RADIANS(INDEX('Dataset_Wisata'!$C$12:$C$622, MATCH('Dashboard'!$C$9, 'Dataset_Wisata'!$A$12:$A$622, 0)))) * COS(RADIANS(C350)) * SIN(RADIANS((D350) - INDEX('Dataset_Wisata'!$D$12:$D$622, MATCH('Dashboard'!$C$9, 'Dataset_Wisata'!$A$12:$A$622, 0)))/2)^2)) * 1.3</f>
        <v/>
      </c>
      <c r="J350" s="21">
        <f>ROUND(I350 * IF('Dashboard'!$C$6&lt;=1, 2250, IF('Dashboard'!$C$6&lt;=4, 5150, 6000)), 0)</f>
        <v/>
      </c>
      <c r="K350" s="30" t="n">
        <v>0.0690068194573905</v>
      </c>
      <c r="L350" s="30" t="n">
        <v>0.91473200482329</v>
      </c>
      <c r="M350" s="30" t="n">
        <v>0.01626117571931951</v>
      </c>
      <c r="N350" s="31">
        <f>ABS(E350-$F$6)</f>
        <v/>
      </c>
      <c r="O350" s="31">
        <f>ABS(E350-$F$7)</f>
        <v/>
      </c>
      <c r="P350" s="31">
        <f>ABS(E350-$F$8)</f>
        <v/>
      </c>
      <c r="Q350" s="14">
        <f>IF(K350&gt;=MAX(L350,M350), "Hemat", IF(L350&gt;=M350, "Balanced", "Premium"))</f>
        <v/>
      </c>
      <c r="R350" s="30" t="n">
        <v>0.06900676692211985</v>
      </c>
      <c r="S350" s="30" t="n">
        <v>0.9147320710471203</v>
      </c>
      <c r="T350" s="30" t="n">
        <v>0.01626116203075989</v>
      </c>
      <c r="U350" s="31">
        <f>ABS(E350-$G$6)</f>
        <v/>
      </c>
      <c r="V350" s="31">
        <f>ABS(E350-$G$7)</f>
        <v/>
      </c>
      <c r="W350" s="31">
        <f>ABS(E350-$G$8)</f>
        <v/>
      </c>
      <c r="X350" s="14">
        <f>IF(R350&gt;=MAX(S350,T350), "Hemat", IF(S350&gt;=T350, "Balanced", "Premium"))</f>
        <v/>
      </c>
    </row>
    <row r="351">
      <c r="A351" s="14" t="n">
        <v>350</v>
      </c>
      <c r="B351" s="7" t="inlineStr">
        <is>
          <t>Mall Bunga Sidomulyo</t>
        </is>
      </c>
      <c r="C351" s="26" t="n">
        <v>-7.846413</v>
      </c>
      <c r="D351" s="26" t="n">
        <v>112.5226571</v>
      </c>
      <c r="E351" s="21" t="n">
        <v>2000</v>
      </c>
      <c r="F351" s="27" t="n">
        <v>4.8</v>
      </c>
      <c r="G351" s="28" t="n">
        <v>121</v>
      </c>
      <c r="H351" s="14" t="inlineStr">
        <is>
          <t>Mall Bunga Sidomulyo</t>
        </is>
      </c>
      <c r="I351" s="29">
        <f>6371 * 2 * ASIN(SQRT(SIN(RADIANS((C351) - INDEX('Dataset_Wisata'!$C$12:$C$622, MATCH('Dashboard'!$C$9, 'Dataset_Wisata'!$A$12:$A$622, 0)))/2)^2 + COS(RADIANS(INDEX('Dataset_Wisata'!$C$12:$C$622, MATCH('Dashboard'!$C$9, 'Dataset_Wisata'!$A$12:$A$622, 0)))) * COS(RADIANS(C351)) * SIN(RADIANS((D351) - INDEX('Dataset_Wisata'!$D$12:$D$622, MATCH('Dashboard'!$C$9, 'Dataset_Wisata'!$A$12:$A$622, 0)))/2)^2)) * 1.3</f>
        <v/>
      </c>
      <c r="J351" s="21">
        <f>ROUND(I351 * IF('Dashboard'!$C$6&lt;=1, 2250, IF('Dashboard'!$C$6&lt;=4, 5150, 6000)), 0)</f>
        <v/>
      </c>
      <c r="K351" s="30" t="n">
        <v>0.9745968037531486</v>
      </c>
      <c r="L351" s="30" t="n">
        <v>0.02368856650344644</v>
      </c>
      <c r="M351" s="30" t="n">
        <v>0.001714629743404906</v>
      </c>
      <c r="N351" s="31">
        <f>ABS(E351-$F$6)</f>
        <v/>
      </c>
      <c r="O351" s="31">
        <f>ABS(E351-$F$7)</f>
        <v/>
      </c>
      <c r="P351" s="31">
        <f>ABS(E351-$F$8)</f>
        <v/>
      </c>
      <c r="Q351" s="14">
        <f>IF(K351&gt;=MAX(L351,M351), "Hemat", IF(L351&gt;=M351, "Balanced", "Premium"))</f>
        <v/>
      </c>
      <c r="R351" s="30" t="n">
        <v>0.9745968058205632</v>
      </c>
      <c r="S351" s="30" t="n">
        <v>0.02368856419646389</v>
      </c>
      <c r="T351" s="30" t="n">
        <v>0.001714629982972894</v>
      </c>
      <c r="U351" s="31">
        <f>ABS(E351-$G$6)</f>
        <v/>
      </c>
      <c r="V351" s="31">
        <f>ABS(E351-$G$7)</f>
        <v/>
      </c>
      <c r="W351" s="31">
        <f>ABS(E351-$G$8)</f>
        <v/>
      </c>
      <c r="X351" s="14">
        <f>IF(R351&gt;=MAX(S351,T351), "Hemat", IF(S351&gt;=T351, "Balanced", "Premium"))</f>
        <v/>
      </c>
    </row>
    <row r="352">
      <c r="A352" s="14" t="n">
        <v>351</v>
      </c>
      <c r="B352" s="7" t="inlineStr">
        <is>
          <t>Wisata Religi Gunung Mujur ꦒꦸꦤꦸꦁꦩꦸꦗꦸꦂ</t>
        </is>
      </c>
      <c r="C352" s="26" t="n">
        <v>-7.8263032</v>
      </c>
      <c r="D352" s="26" t="n">
        <v>112.5931148</v>
      </c>
      <c r="E352" s="21" t="n">
        <v>0</v>
      </c>
      <c r="F352" s="27" t="n">
        <v>4.6</v>
      </c>
      <c r="G352" s="28" t="n">
        <v>53</v>
      </c>
      <c r="H352" s="14" t="inlineStr">
        <is>
          <t>Wisata Religi Gunung Mujur ꦒꦸꦤꦸꦁꦩꦸꦗꦸꦂ</t>
        </is>
      </c>
      <c r="I352" s="29">
        <f>6371 * 2 * ASIN(SQRT(SIN(RADIANS((C352) - INDEX('Dataset_Wisata'!$C$12:$C$622, MATCH('Dashboard'!$C$9, 'Dataset_Wisata'!$A$12:$A$622, 0)))/2)^2 + COS(RADIANS(INDEX('Dataset_Wisata'!$C$12:$C$622, MATCH('Dashboard'!$C$9, 'Dataset_Wisata'!$A$12:$A$622, 0)))) * COS(RADIANS(C352)) * SIN(RADIANS((D352) - INDEX('Dataset_Wisata'!$D$12:$D$622, MATCH('Dashboard'!$C$9, 'Dataset_Wisata'!$A$12:$A$622, 0)))/2)^2)) * 1.3</f>
        <v/>
      </c>
      <c r="J352" s="21">
        <f>ROUND(I352 * IF('Dashboard'!$C$6&lt;=1, 2250, IF('Dashboard'!$C$6&lt;=4, 5150, 6000)), 0)</f>
        <v/>
      </c>
      <c r="K352" s="30" t="n">
        <v>0.9626824510005771</v>
      </c>
      <c r="L352" s="30" t="n">
        <v>0.03465542295845363</v>
      </c>
      <c r="M352" s="30" t="n">
        <v>0.002662126040969366</v>
      </c>
      <c r="N352" s="31">
        <f>ABS(E352-$F$6)</f>
        <v/>
      </c>
      <c r="O352" s="31">
        <f>ABS(E352-$F$7)</f>
        <v/>
      </c>
      <c r="P352" s="31">
        <f>ABS(E352-$F$8)</f>
        <v/>
      </c>
      <c r="Q352" s="14">
        <f>IF(K352&gt;=MAX(L352,M352), "Hemat", IF(L352&gt;=M352, "Balanced", "Premium"))</f>
        <v/>
      </c>
      <c r="R352" s="30" t="n">
        <v>0.9626824549241798</v>
      </c>
      <c r="S352" s="30" t="n">
        <v>0.03465541875469833</v>
      </c>
      <c r="T352" s="30" t="n">
        <v>0.002662126321121907</v>
      </c>
      <c r="U352" s="31">
        <f>ABS(E352-$G$6)</f>
        <v/>
      </c>
      <c r="V352" s="31">
        <f>ABS(E352-$G$7)</f>
        <v/>
      </c>
      <c r="W352" s="31">
        <f>ABS(E352-$G$8)</f>
        <v/>
      </c>
      <c r="X352" s="14">
        <f>IF(R352&gt;=MAX(S352,T352), "Hemat", IF(S352&gt;=T352, "Balanced", "Premium"))</f>
        <v/>
      </c>
    </row>
    <row r="353">
      <c r="A353" s="14" t="n">
        <v>352</v>
      </c>
      <c r="B353" s="7" t="inlineStr">
        <is>
          <t>Rest Area Wisata Petik Apel "Mitra Apel"</t>
        </is>
      </c>
      <c r="C353" s="26" t="n">
        <v>-7.8532121</v>
      </c>
      <c r="D353" s="26" t="n">
        <v>112.5271929</v>
      </c>
      <c r="E353" s="21" t="n">
        <v>15000</v>
      </c>
      <c r="F353" s="27" t="n">
        <v>4.3</v>
      </c>
      <c r="G353" s="28" t="n">
        <v>621</v>
      </c>
      <c r="H353" s="14" t="inlineStr">
        <is>
          <t>Wisata Umum</t>
        </is>
      </c>
      <c r="I353" s="29">
        <f>6371 * 2 * ASIN(SQRT(SIN(RADIANS((C353) - INDEX('Dataset_Wisata'!$C$12:$C$622, MATCH('Dashboard'!$C$9, 'Dataset_Wisata'!$A$12:$A$622, 0)))/2)^2 + COS(RADIANS(INDEX('Dataset_Wisata'!$C$12:$C$622, MATCH('Dashboard'!$C$9, 'Dataset_Wisata'!$A$12:$A$622, 0)))) * COS(RADIANS(C353)) * SIN(RADIANS((D353) - INDEX('Dataset_Wisata'!$D$12:$D$622, MATCH('Dashboard'!$C$9, 'Dataset_Wisata'!$A$12:$A$622, 0)))/2)^2)) * 1.3</f>
        <v/>
      </c>
      <c r="J353" s="21">
        <f>ROUND(I353 * IF('Dashboard'!$C$6&lt;=1, 2250, IF('Dashboard'!$C$6&lt;=4, 5150, 6000)), 0)</f>
        <v/>
      </c>
      <c r="K353" s="30" t="n">
        <v>0.9744283047002794</v>
      </c>
      <c r="L353" s="30" t="n">
        <v>0.02447712712252609</v>
      </c>
      <c r="M353" s="30" t="n">
        <v>0.001094568177194568</v>
      </c>
      <c r="N353" s="31">
        <f>ABS(E353-$F$6)</f>
        <v/>
      </c>
      <c r="O353" s="31">
        <f>ABS(E353-$F$7)</f>
        <v/>
      </c>
      <c r="P353" s="31">
        <f>ABS(E353-$F$8)</f>
        <v/>
      </c>
      <c r="Q353" s="14">
        <f>IF(K353&gt;=MAX(L353,M353), "Hemat", IF(L353&gt;=M353, "Balanced", "Premium"))</f>
        <v/>
      </c>
      <c r="R353" s="30" t="n">
        <v>0.9744283195785179</v>
      </c>
      <c r="S353" s="30" t="n">
        <v>0.02447711252884811</v>
      </c>
      <c r="T353" s="30" t="n">
        <v>0.001094567892634054</v>
      </c>
      <c r="U353" s="31">
        <f>ABS(E353-$G$6)</f>
        <v/>
      </c>
      <c r="V353" s="31">
        <f>ABS(E353-$G$7)</f>
        <v/>
      </c>
      <c r="W353" s="31">
        <f>ABS(E353-$G$8)</f>
        <v/>
      </c>
      <c r="X353" s="14">
        <f>IF(R353&gt;=MAX(S353,T353), "Hemat", IF(S353&gt;=T353, "Balanced", "Premium"))</f>
        <v/>
      </c>
    </row>
    <row r="354">
      <c r="A354" s="14" t="n">
        <v>353</v>
      </c>
      <c r="B354" s="7" t="inlineStr">
        <is>
          <t>Petik jeruk LEMBAH MANAH pak Agus</t>
        </is>
      </c>
      <c r="C354" s="26" t="n">
        <v>-7.8576799</v>
      </c>
      <c r="D354" s="26" t="n">
        <v>112.585842</v>
      </c>
      <c r="E354" s="21" t="n">
        <v>20000</v>
      </c>
      <c r="F354" s="27" t="n">
        <v>4.7</v>
      </c>
      <c r="G354" s="28" t="n">
        <v>99</v>
      </c>
      <c r="H354" s="14" t="inlineStr">
        <is>
          <t>Wisata Umum</t>
        </is>
      </c>
      <c r="I354" s="29">
        <f>6371 * 2 * ASIN(SQRT(SIN(RADIANS((C354) - INDEX('Dataset_Wisata'!$C$12:$C$622, MATCH('Dashboard'!$C$9, 'Dataset_Wisata'!$A$12:$A$622, 0)))/2)^2 + COS(RADIANS(INDEX('Dataset_Wisata'!$C$12:$C$622, MATCH('Dashboard'!$C$9, 'Dataset_Wisata'!$A$12:$A$622, 0)))) * COS(RADIANS(C354)) * SIN(RADIANS((D354) - INDEX('Dataset_Wisata'!$D$12:$D$622, MATCH('Dashboard'!$C$9, 'Dataset_Wisata'!$A$12:$A$622, 0)))/2)^2)) * 1.3</f>
        <v/>
      </c>
      <c r="J354" s="21">
        <f>ROUND(I354 * IF('Dashboard'!$C$6&lt;=1, 2250, IF('Dashboard'!$C$6&lt;=4, 5150, 6000)), 0)</f>
        <v/>
      </c>
      <c r="K354" s="30" t="n">
        <v>0.8862296979094436</v>
      </c>
      <c r="L354" s="30" t="n">
        <v>0.1099329410905347</v>
      </c>
      <c r="M354" s="30" t="n">
        <v>0.003837361000021699</v>
      </c>
      <c r="N354" s="31">
        <f>ABS(E354-$F$6)</f>
        <v/>
      </c>
      <c r="O354" s="31">
        <f>ABS(E354-$F$7)</f>
        <v/>
      </c>
      <c r="P354" s="31">
        <f>ABS(E354-$F$8)</f>
        <v/>
      </c>
      <c r="Q354" s="14">
        <f>IF(K354&gt;=MAX(L354,M354), "Hemat", IF(L354&gt;=M354, "Balanced", "Premium"))</f>
        <v/>
      </c>
      <c r="R354" s="30" t="n">
        <v>0.8862297532761809</v>
      </c>
      <c r="S354" s="30" t="n">
        <v>0.1099328861159962</v>
      </c>
      <c r="T354" s="30" t="n">
        <v>0.003837360607822898</v>
      </c>
      <c r="U354" s="31">
        <f>ABS(E354-$G$6)</f>
        <v/>
      </c>
      <c r="V354" s="31">
        <f>ABS(E354-$G$7)</f>
        <v/>
      </c>
      <c r="W354" s="31">
        <f>ABS(E354-$G$8)</f>
        <v/>
      </c>
      <c r="X354" s="14">
        <f>IF(R354&gt;=MAX(S354,T354), "Hemat", IF(S354&gt;=T354, "Balanced", "Premium"))</f>
        <v/>
      </c>
    </row>
    <row r="355">
      <c r="A355" s="14" t="n">
        <v>354</v>
      </c>
      <c r="B355" s="7" t="inlineStr">
        <is>
          <t>Wisata petik apel jeruk strawberry makan sepuasnya</t>
        </is>
      </c>
      <c r="C355" s="26" t="n">
        <v>-7.8389206</v>
      </c>
      <c r="D355" s="26" t="n">
        <v>112.5282869</v>
      </c>
      <c r="E355" s="21" t="n">
        <v>20000</v>
      </c>
      <c r="F355" s="27" t="n">
        <v>4.9</v>
      </c>
      <c r="G355" s="28" t="n">
        <v>31</v>
      </c>
      <c r="H355" s="14" t="inlineStr">
        <is>
          <t>Wisata Umum</t>
        </is>
      </c>
      <c r="I355" s="29">
        <f>6371 * 2 * ASIN(SQRT(SIN(RADIANS((C355) - INDEX('Dataset_Wisata'!$C$12:$C$622, MATCH('Dashboard'!$C$9, 'Dataset_Wisata'!$A$12:$A$622, 0)))/2)^2 + COS(RADIANS(INDEX('Dataset_Wisata'!$C$12:$C$622, MATCH('Dashboard'!$C$9, 'Dataset_Wisata'!$A$12:$A$622, 0)))) * COS(RADIANS(C355)) * SIN(RADIANS((D355) - INDEX('Dataset_Wisata'!$D$12:$D$622, MATCH('Dashboard'!$C$9, 'Dataset_Wisata'!$A$12:$A$622, 0)))/2)^2)) * 1.3</f>
        <v/>
      </c>
      <c r="J355" s="21">
        <f>ROUND(I355 * IF('Dashboard'!$C$6&lt;=1, 2250, IF('Dashboard'!$C$6&lt;=4, 5150, 6000)), 0)</f>
        <v/>
      </c>
      <c r="K355" s="30" t="n">
        <v>0.8862296979094436</v>
      </c>
      <c r="L355" s="30" t="n">
        <v>0.1099329410905347</v>
      </c>
      <c r="M355" s="30" t="n">
        <v>0.003837361000021699</v>
      </c>
      <c r="N355" s="31">
        <f>ABS(E355-$F$6)</f>
        <v/>
      </c>
      <c r="O355" s="31">
        <f>ABS(E355-$F$7)</f>
        <v/>
      </c>
      <c r="P355" s="31">
        <f>ABS(E355-$F$8)</f>
        <v/>
      </c>
      <c r="Q355" s="14">
        <f>IF(K355&gt;=MAX(L355,M355), "Hemat", IF(L355&gt;=M355, "Balanced", "Premium"))</f>
        <v/>
      </c>
      <c r="R355" s="30" t="n">
        <v>0.8862297532761809</v>
      </c>
      <c r="S355" s="30" t="n">
        <v>0.1099328861159962</v>
      </c>
      <c r="T355" s="30" t="n">
        <v>0.003837360607822898</v>
      </c>
      <c r="U355" s="31">
        <f>ABS(E355-$G$6)</f>
        <v/>
      </c>
      <c r="V355" s="31">
        <f>ABS(E355-$G$7)</f>
        <v/>
      </c>
      <c r="W355" s="31">
        <f>ABS(E355-$G$8)</f>
        <v/>
      </c>
      <c r="X355" s="14">
        <f>IF(R355&gt;=MAX(S355,T355), "Hemat", IF(S355&gt;=T355, "Balanced", "Premium"))</f>
        <v/>
      </c>
    </row>
    <row r="356">
      <c r="A356" s="14" t="n">
        <v>355</v>
      </c>
      <c r="B356" s="7" t="inlineStr">
        <is>
          <t>Wisata Petik Apel KTMA</t>
        </is>
      </c>
      <c r="C356" s="26" t="n">
        <v>-7.8249876</v>
      </c>
      <c r="D356" s="26" t="n">
        <v>112.5298624</v>
      </c>
      <c r="E356" s="21" t="n">
        <v>25000</v>
      </c>
      <c r="F356" s="27" t="n">
        <v>4.1</v>
      </c>
      <c r="G356" s="28" t="n">
        <v>462</v>
      </c>
      <c r="H356" s="14" t="inlineStr">
        <is>
          <t>Wisata Petik Apel KTMA</t>
        </is>
      </c>
      <c r="I356" s="29">
        <f>6371 * 2 * ASIN(SQRT(SIN(RADIANS((C356) - INDEX('Dataset_Wisata'!$C$12:$C$622, MATCH('Dashboard'!$C$9, 'Dataset_Wisata'!$A$12:$A$622, 0)))/2)^2 + COS(RADIANS(INDEX('Dataset_Wisata'!$C$12:$C$622, MATCH('Dashboard'!$C$9, 'Dataset_Wisata'!$A$12:$A$622, 0)))) * COS(RADIANS(C356)) * SIN(RADIANS((D356) - INDEX('Dataset_Wisata'!$D$12:$D$622, MATCH('Dashboard'!$C$9, 'Dataset_Wisata'!$A$12:$A$622, 0)))/2)^2)) * 1.3</f>
        <v/>
      </c>
      <c r="J356" s="21">
        <f>ROUND(I356 * IF('Dashboard'!$C$6&lt;=1, 2250, IF('Dashboard'!$C$6&lt;=4, 5150, 6000)), 0)</f>
        <v/>
      </c>
      <c r="K356" s="30" t="n">
        <v>0.714779317495253</v>
      </c>
      <c r="L356" s="30" t="n">
        <v>0.2780482755376564</v>
      </c>
      <c r="M356" s="30" t="n">
        <v>0.0071724069670906</v>
      </c>
      <c r="N356" s="31">
        <f>ABS(E356-$F$6)</f>
        <v/>
      </c>
      <c r="O356" s="31">
        <f>ABS(E356-$F$7)</f>
        <v/>
      </c>
      <c r="P356" s="31">
        <f>ABS(E356-$F$8)</f>
        <v/>
      </c>
      <c r="Q356" s="14">
        <f>IF(K356&gt;=MAX(L356,M356), "Hemat", IF(L356&gt;=M356, "Balanced", "Premium"))</f>
        <v/>
      </c>
      <c r="R356" s="30" t="n">
        <v>0.7147794395425007</v>
      </c>
      <c r="S356" s="30" t="n">
        <v>0.2780481531707544</v>
      </c>
      <c r="T356" s="30" t="n">
        <v>0.007172407286744955</v>
      </c>
      <c r="U356" s="31">
        <f>ABS(E356-$G$6)</f>
        <v/>
      </c>
      <c r="V356" s="31">
        <f>ABS(E356-$G$7)</f>
        <v/>
      </c>
      <c r="W356" s="31">
        <f>ABS(E356-$G$8)</f>
        <v/>
      </c>
      <c r="X356" s="14">
        <f>IF(R356&gt;=MAX(S356,T356), "Hemat", IF(S356&gt;=T356, "Balanced", "Premium"))</f>
        <v/>
      </c>
    </row>
    <row r="357">
      <c r="A357" s="14" t="n">
        <v>356</v>
      </c>
      <c r="B357" s="7" t="inlineStr">
        <is>
          <t>Budug Asu 1422 Mdpl</t>
        </is>
      </c>
      <c r="C357" s="26" t="n">
        <v>-7.8066024</v>
      </c>
      <c r="D357" s="26" t="n">
        <v>112.6192365</v>
      </c>
      <c r="E357" s="21" t="n">
        <v>15000</v>
      </c>
      <c r="F357" s="27" t="n">
        <v>4.7</v>
      </c>
      <c r="G357" s="28" t="n">
        <v>429</v>
      </c>
      <c r="H357" s="14" t="inlineStr">
        <is>
          <t>Wisata Umum</t>
        </is>
      </c>
      <c r="I357" s="29">
        <f>6371 * 2 * ASIN(SQRT(SIN(RADIANS((C357) - INDEX('Dataset_Wisata'!$C$12:$C$622, MATCH('Dashboard'!$C$9, 'Dataset_Wisata'!$A$12:$A$622, 0)))/2)^2 + COS(RADIANS(INDEX('Dataset_Wisata'!$C$12:$C$622, MATCH('Dashboard'!$C$9, 'Dataset_Wisata'!$A$12:$A$622, 0)))) * COS(RADIANS(C357)) * SIN(RADIANS((D357) - INDEX('Dataset_Wisata'!$D$12:$D$622, MATCH('Dashboard'!$C$9, 'Dataset_Wisata'!$A$12:$A$622, 0)))/2)^2)) * 1.3</f>
        <v/>
      </c>
      <c r="J357" s="21">
        <f>ROUND(I357 * IF('Dashboard'!$C$6&lt;=1, 2250, IF('Dashboard'!$C$6&lt;=4, 5150, 6000)), 0)</f>
        <v/>
      </c>
      <c r="K357" s="30" t="n">
        <v>0.9744283047002794</v>
      </c>
      <c r="L357" s="30" t="n">
        <v>0.02447712712252609</v>
      </c>
      <c r="M357" s="30" t="n">
        <v>0.001094568177194568</v>
      </c>
      <c r="N357" s="31">
        <f>ABS(E357-$F$6)</f>
        <v/>
      </c>
      <c r="O357" s="31">
        <f>ABS(E357-$F$7)</f>
        <v/>
      </c>
      <c r="P357" s="31">
        <f>ABS(E357-$F$8)</f>
        <v/>
      </c>
      <c r="Q357" s="14">
        <f>IF(K357&gt;=MAX(L357,M357), "Hemat", IF(L357&gt;=M357, "Balanced", "Premium"))</f>
        <v/>
      </c>
      <c r="R357" s="30" t="n">
        <v>0.9744283195785179</v>
      </c>
      <c r="S357" s="30" t="n">
        <v>0.02447711252884811</v>
      </c>
      <c r="T357" s="30" t="n">
        <v>0.001094567892634054</v>
      </c>
      <c r="U357" s="31">
        <f>ABS(E357-$G$6)</f>
        <v/>
      </c>
      <c r="V357" s="31">
        <f>ABS(E357-$G$7)</f>
        <v/>
      </c>
      <c r="W357" s="31">
        <f>ABS(E357-$G$8)</f>
        <v/>
      </c>
      <c r="X357" s="14">
        <f>IF(R357&gt;=MAX(S357,T357), "Hemat", IF(S357&gt;=T357, "Balanced", "Premium"))</f>
        <v/>
      </c>
    </row>
    <row r="358">
      <c r="A358" s="14" t="n">
        <v>357</v>
      </c>
      <c r="B358" s="7" t="inlineStr">
        <is>
          <t>Agrowisata Teh Wonosari</t>
        </is>
      </c>
      <c r="C358" s="26" t="n">
        <v>-7.8204902</v>
      </c>
      <c r="D358" s="26" t="n">
        <v>112.6431502</v>
      </c>
      <c r="E358" s="21" t="n">
        <v>15000</v>
      </c>
      <c r="F358" s="27" t="n">
        <v>4.5</v>
      </c>
      <c r="G358" s="28" t="n">
        <v>7905</v>
      </c>
      <c r="H358" s="14" t="inlineStr">
        <is>
          <t>Agrowisata Teh Wonosari</t>
        </is>
      </c>
      <c r="I358" s="29">
        <f>6371 * 2 * ASIN(SQRT(SIN(RADIANS((C358) - INDEX('Dataset_Wisata'!$C$12:$C$622, MATCH('Dashboard'!$C$9, 'Dataset_Wisata'!$A$12:$A$622, 0)))/2)^2 + COS(RADIANS(INDEX('Dataset_Wisata'!$C$12:$C$622, MATCH('Dashboard'!$C$9, 'Dataset_Wisata'!$A$12:$A$622, 0)))) * COS(RADIANS(C358)) * SIN(RADIANS((D358) - INDEX('Dataset_Wisata'!$D$12:$D$622, MATCH('Dashboard'!$C$9, 'Dataset_Wisata'!$A$12:$A$622, 0)))/2)^2)) * 1.3</f>
        <v/>
      </c>
      <c r="J358" s="21">
        <f>ROUND(I358 * IF('Dashboard'!$C$6&lt;=1, 2250, IF('Dashboard'!$C$6&lt;=4, 5150, 6000)), 0)</f>
        <v/>
      </c>
      <c r="K358" s="30" t="n">
        <v>0.9744283047002794</v>
      </c>
      <c r="L358" s="30" t="n">
        <v>0.02447712712252609</v>
      </c>
      <c r="M358" s="30" t="n">
        <v>0.001094568177194568</v>
      </c>
      <c r="N358" s="31">
        <f>ABS(E358-$F$6)</f>
        <v/>
      </c>
      <c r="O358" s="31">
        <f>ABS(E358-$F$7)</f>
        <v/>
      </c>
      <c r="P358" s="31">
        <f>ABS(E358-$F$8)</f>
        <v/>
      </c>
      <c r="Q358" s="14">
        <f>IF(K358&gt;=MAX(L358,M358), "Hemat", IF(L358&gt;=M358, "Balanced", "Premium"))</f>
        <v/>
      </c>
      <c r="R358" s="30" t="n">
        <v>0.9744283195785179</v>
      </c>
      <c r="S358" s="30" t="n">
        <v>0.02447711252884811</v>
      </c>
      <c r="T358" s="30" t="n">
        <v>0.001094567892634054</v>
      </c>
      <c r="U358" s="31">
        <f>ABS(E358-$G$6)</f>
        <v/>
      </c>
      <c r="V358" s="31">
        <f>ABS(E358-$G$7)</f>
        <v/>
      </c>
      <c r="W358" s="31">
        <f>ABS(E358-$G$8)</f>
        <v/>
      </c>
      <c r="X358" s="14">
        <f>IF(R358&gt;=MAX(S358,T358), "Hemat", IF(S358&gt;=T358, "Balanced", "Premium"))</f>
        <v/>
      </c>
    </row>
    <row r="359">
      <c r="A359" s="14" t="n">
        <v>358</v>
      </c>
      <c r="B359" s="7" t="inlineStr">
        <is>
          <t>Pantai Jolangkung ꦥꦼꦱꦶꦱꦶꦂꦗꦺꦴꦭꦔ꧀ꦏꦸꦁ</t>
        </is>
      </c>
      <c r="C359" s="26" t="n">
        <v>-8.428199299999999</v>
      </c>
      <c r="D359" s="26" t="n">
        <v>112.6285449</v>
      </c>
      <c r="E359" s="21" t="n">
        <v>10000</v>
      </c>
      <c r="F359" s="27" t="n">
        <v>4.5</v>
      </c>
      <c r="G359" s="28" t="n">
        <v>772</v>
      </c>
      <c r="H359" s="14" t="inlineStr">
        <is>
          <t>Pantai Jolangkung ꦥꦼꦱꦶꦱꦶꦂꦗꦺꦴꦭꦔ꧀ꦏꦸꦁ</t>
        </is>
      </c>
      <c r="I359" s="29">
        <f>6371 * 2 * ASIN(SQRT(SIN(RADIANS((C359) - INDEX('Dataset_Wisata'!$C$12:$C$622, MATCH('Dashboard'!$C$9, 'Dataset_Wisata'!$A$12:$A$622, 0)))/2)^2 + COS(RADIANS(INDEX('Dataset_Wisata'!$C$12:$C$622, MATCH('Dashboard'!$C$9, 'Dataset_Wisata'!$A$12:$A$622, 0)))) * COS(RADIANS(C359)) * SIN(RADIANS((D359) - INDEX('Dataset_Wisata'!$D$12:$D$622, MATCH('Dashboard'!$C$9, 'Dataset_Wisata'!$A$12:$A$622, 0)))/2)^2)) * 1.3</f>
        <v/>
      </c>
      <c r="J359" s="21">
        <f>ROUND(I359 * IF('Dashboard'!$C$6&lt;=1, 2250, IF('Dashboard'!$C$6&lt;=4, 5150, 6000)), 0)</f>
        <v/>
      </c>
      <c r="K359" s="30" t="n">
        <v>0.9998126508185596</v>
      </c>
      <c r="L359" s="30" t="n">
        <v>0.0001775718391516968</v>
      </c>
      <c r="M359" s="30" t="n">
        <v>9.7773422886897e-06</v>
      </c>
      <c r="N359" s="31">
        <f>ABS(E359-$F$6)</f>
        <v/>
      </c>
      <c r="O359" s="31">
        <f>ABS(E359-$F$7)</f>
        <v/>
      </c>
      <c r="P359" s="31">
        <f>ABS(E359-$F$8)</f>
        <v/>
      </c>
      <c r="Q359" s="14">
        <f>IF(K359&gt;=MAX(L359,M359), "Hemat", IF(L359&gt;=M359, "Balanced", "Premium"))</f>
        <v/>
      </c>
      <c r="R359" s="30" t="n">
        <v>0.9998126513362043</v>
      </c>
      <c r="S359" s="30" t="n">
        <v>0.0001775713458315561</v>
      </c>
      <c r="T359" s="30" t="n">
        <v>9.777317964159987e-06</v>
      </c>
      <c r="U359" s="31">
        <f>ABS(E359-$G$6)</f>
        <v/>
      </c>
      <c r="V359" s="31">
        <f>ABS(E359-$G$7)</f>
        <v/>
      </c>
      <c r="W359" s="31">
        <f>ABS(E359-$G$8)</f>
        <v/>
      </c>
      <c r="X359" s="14">
        <f>IF(R359&gt;=MAX(S359,T359), "Hemat", IF(S359&gt;=T359, "Balanced", "Premium"))</f>
        <v/>
      </c>
    </row>
    <row r="360">
      <c r="A360" s="14" t="n">
        <v>359</v>
      </c>
      <c r="B360" s="7" t="inlineStr">
        <is>
          <t>Pantai Kangen ꦥꦼꦱꦶꦱꦶꦂꦏꦔꦼꦤ꧀</t>
        </is>
      </c>
      <c r="C360" s="26" t="n">
        <v>-8.4295823</v>
      </c>
      <c r="D360" s="26" t="n">
        <v>112.632713</v>
      </c>
      <c r="E360" s="21" t="n">
        <v>10000</v>
      </c>
      <c r="F360" s="27" t="n">
        <v>4.5</v>
      </c>
      <c r="G360" s="28" t="n">
        <v>297</v>
      </c>
      <c r="H360" s="14" t="inlineStr">
        <is>
          <t>Pantai Kangen ꦥꦼꦱꦶꦱꦶꦂꦏꦔꦼꦤ꧀</t>
        </is>
      </c>
      <c r="I360" s="29">
        <f>6371 * 2 * ASIN(SQRT(SIN(RADIANS((C360) - INDEX('Dataset_Wisata'!$C$12:$C$622, MATCH('Dashboard'!$C$9, 'Dataset_Wisata'!$A$12:$A$622, 0)))/2)^2 + COS(RADIANS(INDEX('Dataset_Wisata'!$C$12:$C$622, MATCH('Dashboard'!$C$9, 'Dataset_Wisata'!$A$12:$A$622, 0)))) * COS(RADIANS(C360)) * SIN(RADIANS((D360) - INDEX('Dataset_Wisata'!$D$12:$D$622, MATCH('Dashboard'!$C$9, 'Dataset_Wisata'!$A$12:$A$622, 0)))/2)^2)) * 1.3</f>
        <v/>
      </c>
      <c r="J360" s="21">
        <f>ROUND(I360 * IF('Dashboard'!$C$6&lt;=1, 2250, IF('Dashboard'!$C$6&lt;=4, 5150, 6000)), 0)</f>
        <v/>
      </c>
      <c r="K360" s="30" t="n">
        <v>0.9998126508185596</v>
      </c>
      <c r="L360" s="30" t="n">
        <v>0.0001775718391516968</v>
      </c>
      <c r="M360" s="30" t="n">
        <v>9.7773422886897e-06</v>
      </c>
      <c r="N360" s="31">
        <f>ABS(E360-$F$6)</f>
        <v/>
      </c>
      <c r="O360" s="31">
        <f>ABS(E360-$F$7)</f>
        <v/>
      </c>
      <c r="P360" s="31">
        <f>ABS(E360-$F$8)</f>
        <v/>
      </c>
      <c r="Q360" s="14">
        <f>IF(K360&gt;=MAX(L360,M360), "Hemat", IF(L360&gt;=M360, "Balanced", "Premium"))</f>
        <v/>
      </c>
      <c r="R360" s="30" t="n">
        <v>0.9998126513362043</v>
      </c>
      <c r="S360" s="30" t="n">
        <v>0.0001775713458315561</v>
      </c>
      <c r="T360" s="30" t="n">
        <v>9.777317964159987e-06</v>
      </c>
      <c r="U360" s="31">
        <f>ABS(E360-$G$6)</f>
        <v/>
      </c>
      <c r="V360" s="31">
        <f>ABS(E360-$G$7)</f>
        <v/>
      </c>
      <c r="W360" s="31">
        <f>ABS(E360-$G$8)</f>
        <v/>
      </c>
      <c r="X360" s="14">
        <f>IF(R360&gt;=MAX(S360,T360), "Hemat", IF(S360&gt;=T360, "Balanced", "Premium"))</f>
        <v/>
      </c>
    </row>
    <row r="361">
      <c r="A361" s="14" t="n">
        <v>360</v>
      </c>
      <c r="B361" s="7" t="inlineStr">
        <is>
          <t>Gunung Getun ꦒꦸꦤꦸꦁꦒꦼꦠꦸꦤ꧀</t>
        </is>
      </c>
      <c r="C361" s="26" t="n">
        <v>-8.438207500000001</v>
      </c>
      <c r="D361" s="26" t="n">
        <v>112.6437569</v>
      </c>
      <c r="E361" s="21" t="n">
        <v>10000</v>
      </c>
      <c r="F361" s="27" t="n">
        <v>4.2</v>
      </c>
      <c r="G361" s="28" t="n">
        <v>113</v>
      </c>
      <c r="H361" s="14" t="inlineStr">
        <is>
          <t>Gunung Getun ꦒꦸꦤꦸꦁꦒꦼꦠꦸꦤ꧀</t>
        </is>
      </c>
      <c r="I361" s="29">
        <f>6371 * 2 * ASIN(SQRT(SIN(RADIANS((C361) - INDEX('Dataset_Wisata'!$C$12:$C$622, MATCH('Dashboard'!$C$9, 'Dataset_Wisata'!$A$12:$A$622, 0)))/2)^2 + COS(RADIANS(INDEX('Dataset_Wisata'!$C$12:$C$622, MATCH('Dashboard'!$C$9, 'Dataset_Wisata'!$A$12:$A$622, 0)))) * COS(RADIANS(C361)) * SIN(RADIANS((D361) - INDEX('Dataset_Wisata'!$D$12:$D$622, MATCH('Dashboard'!$C$9, 'Dataset_Wisata'!$A$12:$A$622, 0)))/2)^2)) * 1.3</f>
        <v/>
      </c>
      <c r="J361" s="21">
        <f>ROUND(I361 * IF('Dashboard'!$C$6&lt;=1, 2250, IF('Dashboard'!$C$6&lt;=4, 5150, 6000)), 0)</f>
        <v/>
      </c>
      <c r="K361" s="30" t="n">
        <v>0.9998126508185596</v>
      </c>
      <c r="L361" s="30" t="n">
        <v>0.0001775718391516968</v>
      </c>
      <c r="M361" s="30" t="n">
        <v>9.7773422886897e-06</v>
      </c>
      <c r="N361" s="31">
        <f>ABS(E361-$F$6)</f>
        <v/>
      </c>
      <c r="O361" s="31">
        <f>ABS(E361-$F$7)</f>
        <v/>
      </c>
      <c r="P361" s="31">
        <f>ABS(E361-$F$8)</f>
        <v/>
      </c>
      <c r="Q361" s="14">
        <f>IF(K361&gt;=MAX(L361,M361), "Hemat", IF(L361&gt;=M361, "Balanced", "Premium"))</f>
        <v/>
      </c>
      <c r="R361" s="30" t="n">
        <v>0.9998126513362043</v>
      </c>
      <c r="S361" s="30" t="n">
        <v>0.0001775713458315561</v>
      </c>
      <c r="T361" s="30" t="n">
        <v>9.777317964159987e-06</v>
      </c>
      <c r="U361" s="31">
        <f>ABS(E361-$G$6)</f>
        <v/>
      </c>
      <c r="V361" s="31">
        <f>ABS(E361-$G$7)</f>
        <v/>
      </c>
      <c r="W361" s="31">
        <f>ABS(E361-$G$8)</f>
        <v/>
      </c>
      <c r="X361" s="14">
        <f>IF(R361&gt;=MAX(S361,T361), "Hemat", IF(S361&gt;=T361, "Balanced", "Premium"))</f>
        <v/>
      </c>
    </row>
    <row r="362">
      <c r="A362" s="14" t="n">
        <v>361</v>
      </c>
      <c r="B362" s="7" t="inlineStr">
        <is>
          <t>Pantai Gopit ꦥꦼꦱꦶꦱꦶꦂꦒꦺꦴꦥꦶꦠ꧀</t>
        </is>
      </c>
      <c r="C362" s="26" t="n">
        <v>-8.426076699999999</v>
      </c>
      <c r="D362" s="26" t="n">
        <v>112.6147673</v>
      </c>
      <c r="E362" s="21" t="n">
        <v>15000</v>
      </c>
      <c r="F362" s="27" t="n">
        <v>4.7</v>
      </c>
      <c r="G362" s="28" t="n">
        <v>192</v>
      </c>
      <c r="H362" s="14" t="inlineStr">
        <is>
          <t>Pantai Gopit ꦥꦼꦱꦶꦱꦶꦂꦒꦺꦴꦥꦶꦠ꧀</t>
        </is>
      </c>
      <c r="I362" s="29">
        <f>6371 * 2 * ASIN(SQRT(SIN(RADIANS((C362) - INDEX('Dataset_Wisata'!$C$12:$C$622, MATCH('Dashboard'!$C$9, 'Dataset_Wisata'!$A$12:$A$622, 0)))/2)^2 + COS(RADIANS(INDEX('Dataset_Wisata'!$C$12:$C$622, MATCH('Dashboard'!$C$9, 'Dataset_Wisata'!$A$12:$A$622, 0)))) * COS(RADIANS(C362)) * SIN(RADIANS((D362) - INDEX('Dataset_Wisata'!$D$12:$D$622, MATCH('Dashboard'!$C$9, 'Dataset_Wisata'!$A$12:$A$622, 0)))/2)^2)) * 1.3</f>
        <v/>
      </c>
      <c r="J362" s="21">
        <f>ROUND(I362 * IF('Dashboard'!$C$6&lt;=1, 2250, IF('Dashboard'!$C$6&lt;=4, 5150, 6000)), 0)</f>
        <v/>
      </c>
      <c r="K362" s="30" t="n">
        <v>0.9744283047002794</v>
      </c>
      <c r="L362" s="30" t="n">
        <v>0.02447712712252609</v>
      </c>
      <c r="M362" s="30" t="n">
        <v>0.001094568177194568</v>
      </c>
      <c r="N362" s="31">
        <f>ABS(E362-$F$6)</f>
        <v/>
      </c>
      <c r="O362" s="31">
        <f>ABS(E362-$F$7)</f>
        <v/>
      </c>
      <c r="P362" s="31">
        <f>ABS(E362-$F$8)</f>
        <v/>
      </c>
      <c r="Q362" s="14">
        <f>IF(K362&gt;=MAX(L362,M362), "Hemat", IF(L362&gt;=M362, "Balanced", "Premium"))</f>
        <v/>
      </c>
      <c r="R362" s="30" t="n">
        <v>0.9744283195785179</v>
      </c>
      <c r="S362" s="30" t="n">
        <v>0.02447711252884811</v>
      </c>
      <c r="T362" s="30" t="n">
        <v>0.001094567892634054</v>
      </c>
      <c r="U362" s="31">
        <f>ABS(E362-$G$6)</f>
        <v/>
      </c>
      <c r="V362" s="31">
        <f>ABS(E362-$G$7)</f>
        <v/>
      </c>
      <c r="W362" s="31">
        <f>ABS(E362-$G$8)</f>
        <v/>
      </c>
      <c r="X362" s="14">
        <f>IF(R362&gt;=MAX(S362,T362), "Hemat", IF(S362&gt;=T362, "Balanced", "Premium"))</f>
        <v/>
      </c>
    </row>
    <row r="363">
      <c r="A363" s="14" t="n">
        <v>362</v>
      </c>
      <c r="B363" s="7" t="inlineStr">
        <is>
          <t>Pantai Bajulmati</t>
        </is>
      </c>
      <c r="C363" s="26" t="n">
        <v>-8.4303083</v>
      </c>
      <c r="D363" s="26" t="n">
        <v>112.6351609</v>
      </c>
      <c r="E363" s="21" t="n">
        <v>10000</v>
      </c>
      <c r="F363" s="27" t="n">
        <v>4.6</v>
      </c>
      <c r="G363" s="28" t="n">
        <v>68</v>
      </c>
      <c r="H363" s="14" t="inlineStr">
        <is>
          <t>Pantai Bajulmati</t>
        </is>
      </c>
      <c r="I363" s="29">
        <f>6371 * 2 * ASIN(SQRT(SIN(RADIANS((C363) - INDEX('Dataset_Wisata'!$C$12:$C$622, MATCH('Dashboard'!$C$9, 'Dataset_Wisata'!$A$12:$A$622, 0)))/2)^2 + COS(RADIANS(INDEX('Dataset_Wisata'!$C$12:$C$622, MATCH('Dashboard'!$C$9, 'Dataset_Wisata'!$A$12:$A$622, 0)))) * COS(RADIANS(C363)) * SIN(RADIANS((D363) - INDEX('Dataset_Wisata'!$D$12:$D$622, MATCH('Dashboard'!$C$9, 'Dataset_Wisata'!$A$12:$A$622, 0)))/2)^2)) * 1.3</f>
        <v/>
      </c>
      <c r="J363" s="21">
        <f>ROUND(I363 * IF('Dashboard'!$C$6&lt;=1, 2250, IF('Dashboard'!$C$6&lt;=4, 5150, 6000)), 0)</f>
        <v/>
      </c>
      <c r="K363" s="30" t="n">
        <v>0.9998126508185596</v>
      </c>
      <c r="L363" s="30" t="n">
        <v>0.0001775718391516968</v>
      </c>
      <c r="M363" s="30" t="n">
        <v>9.7773422886897e-06</v>
      </c>
      <c r="N363" s="31">
        <f>ABS(E363-$F$6)</f>
        <v/>
      </c>
      <c r="O363" s="31">
        <f>ABS(E363-$F$7)</f>
        <v/>
      </c>
      <c r="P363" s="31">
        <f>ABS(E363-$F$8)</f>
        <v/>
      </c>
      <c r="Q363" s="14">
        <f>IF(K363&gt;=MAX(L363,M363), "Hemat", IF(L363&gt;=M363, "Balanced", "Premium"))</f>
        <v/>
      </c>
      <c r="R363" s="30" t="n">
        <v>0.9998126513362043</v>
      </c>
      <c r="S363" s="30" t="n">
        <v>0.0001775713458315561</v>
      </c>
      <c r="T363" s="30" t="n">
        <v>9.777317964159987e-06</v>
      </c>
      <c r="U363" s="31">
        <f>ABS(E363-$G$6)</f>
        <v/>
      </c>
      <c r="V363" s="31">
        <f>ABS(E363-$G$7)</f>
        <v/>
      </c>
      <c r="W363" s="31">
        <f>ABS(E363-$G$8)</f>
        <v/>
      </c>
      <c r="X363" s="14">
        <f>IF(R363&gt;=MAX(S363,T363), "Hemat", IF(S363&gt;=T363, "Balanced", "Premium"))</f>
        <v/>
      </c>
    </row>
    <row r="364">
      <c r="A364" s="14" t="n">
        <v>363</v>
      </c>
      <c r="B364" s="7" t="inlineStr">
        <is>
          <t>WISATA BAN KINTIR</t>
        </is>
      </c>
      <c r="C364" s="26" t="n">
        <v>-8.1689218</v>
      </c>
      <c r="D364" s="26" t="n">
        <v>112.6926228</v>
      </c>
      <c r="E364" s="21" t="n">
        <v>15000</v>
      </c>
      <c r="F364" s="27" t="n">
        <v>5</v>
      </c>
      <c r="G364" s="28" t="n">
        <v>21</v>
      </c>
      <c r="H364" s="14" t="inlineStr">
        <is>
          <t>WISATA BAN KINTIR</t>
        </is>
      </c>
      <c r="I364" s="29">
        <f>6371 * 2 * ASIN(SQRT(SIN(RADIANS((C364) - INDEX('Dataset_Wisata'!$C$12:$C$622, MATCH('Dashboard'!$C$9, 'Dataset_Wisata'!$A$12:$A$622, 0)))/2)^2 + COS(RADIANS(INDEX('Dataset_Wisata'!$C$12:$C$622, MATCH('Dashboard'!$C$9, 'Dataset_Wisata'!$A$12:$A$622, 0)))) * COS(RADIANS(C364)) * SIN(RADIANS((D364) - INDEX('Dataset_Wisata'!$D$12:$D$622, MATCH('Dashboard'!$C$9, 'Dataset_Wisata'!$A$12:$A$622, 0)))/2)^2)) * 1.3</f>
        <v/>
      </c>
      <c r="J364" s="21">
        <f>ROUND(I364 * IF('Dashboard'!$C$6&lt;=1, 2250, IF('Dashboard'!$C$6&lt;=4, 5150, 6000)), 0)</f>
        <v/>
      </c>
      <c r="K364" s="30" t="n">
        <v>0.9744283047002794</v>
      </c>
      <c r="L364" s="30" t="n">
        <v>0.02447712712252609</v>
      </c>
      <c r="M364" s="30" t="n">
        <v>0.001094568177194568</v>
      </c>
      <c r="N364" s="31">
        <f>ABS(E364-$F$6)</f>
        <v/>
      </c>
      <c r="O364" s="31">
        <f>ABS(E364-$F$7)</f>
        <v/>
      </c>
      <c r="P364" s="31">
        <f>ABS(E364-$F$8)</f>
        <v/>
      </c>
      <c r="Q364" s="14">
        <f>IF(K364&gt;=MAX(L364,M364), "Hemat", IF(L364&gt;=M364, "Balanced", "Premium"))</f>
        <v/>
      </c>
      <c r="R364" s="30" t="n">
        <v>0.9744283195785179</v>
      </c>
      <c r="S364" s="30" t="n">
        <v>0.02447711252884811</v>
      </c>
      <c r="T364" s="30" t="n">
        <v>0.001094567892634054</v>
      </c>
      <c r="U364" s="31">
        <f>ABS(E364-$G$6)</f>
        <v/>
      </c>
      <c r="V364" s="31">
        <f>ABS(E364-$G$7)</f>
        <v/>
      </c>
      <c r="W364" s="31">
        <f>ABS(E364-$G$8)</f>
        <v/>
      </c>
      <c r="X364" s="14">
        <f>IF(R364&gt;=MAX(S364,T364), "Hemat", IF(S364&gt;=T364, "Balanced", "Premium"))</f>
        <v/>
      </c>
    </row>
    <row r="365">
      <c r="A365" s="14" t="n">
        <v>364</v>
      </c>
      <c r="B365" s="7" t="inlineStr">
        <is>
          <t>Watu Leter</t>
        </is>
      </c>
      <c r="C365" s="26" t="n">
        <v>-8.4452265</v>
      </c>
      <c r="D365" s="26" t="n">
        <v>112.6484049</v>
      </c>
      <c r="E365" s="21" t="n">
        <v>10000</v>
      </c>
      <c r="F365" s="27" t="n">
        <v>4.7</v>
      </c>
      <c r="G365" s="28" t="n">
        <v>351</v>
      </c>
      <c r="H365" s="14" t="inlineStr">
        <is>
          <t>Wisata Umum</t>
        </is>
      </c>
      <c r="I365" s="29">
        <f>6371 * 2 * ASIN(SQRT(SIN(RADIANS((C365) - INDEX('Dataset_Wisata'!$C$12:$C$622, MATCH('Dashboard'!$C$9, 'Dataset_Wisata'!$A$12:$A$622, 0)))/2)^2 + COS(RADIANS(INDEX('Dataset_Wisata'!$C$12:$C$622, MATCH('Dashboard'!$C$9, 'Dataset_Wisata'!$A$12:$A$622, 0)))) * COS(RADIANS(C365)) * SIN(RADIANS((D365) - INDEX('Dataset_Wisata'!$D$12:$D$622, MATCH('Dashboard'!$C$9, 'Dataset_Wisata'!$A$12:$A$622, 0)))/2)^2)) * 1.3</f>
        <v/>
      </c>
      <c r="J365" s="21">
        <f>ROUND(I365 * IF('Dashboard'!$C$6&lt;=1, 2250, IF('Dashboard'!$C$6&lt;=4, 5150, 6000)), 0)</f>
        <v/>
      </c>
      <c r="K365" s="30" t="n">
        <v>0.9998126508185596</v>
      </c>
      <c r="L365" s="30" t="n">
        <v>0.0001775718391516968</v>
      </c>
      <c r="M365" s="30" t="n">
        <v>9.7773422886897e-06</v>
      </c>
      <c r="N365" s="31">
        <f>ABS(E365-$F$6)</f>
        <v/>
      </c>
      <c r="O365" s="31">
        <f>ABS(E365-$F$7)</f>
        <v/>
      </c>
      <c r="P365" s="31">
        <f>ABS(E365-$F$8)</f>
        <v/>
      </c>
      <c r="Q365" s="14">
        <f>IF(K365&gt;=MAX(L365,M365), "Hemat", IF(L365&gt;=M365, "Balanced", "Premium"))</f>
        <v/>
      </c>
      <c r="R365" s="30" t="n">
        <v>0.9998126513362043</v>
      </c>
      <c r="S365" s="30" t="n">
        <v>0.0001775713458315561</v>
      </c>
      <c r="T365" s="30" t="n">
        <v>9.777317964159987e-06</v>
      </c>
      <c r="U365" s="31">
        <f>ABS(E365-$G$6)</f>
        <v/>
      </c>
      <c r="V365" s="31">
        <f>ABS(E365-$G$7)</f>
        <v/>
      </c>
      <c r="W365" s="31">
        <f>ABS(E365-$G$8)</f>
        <v/>
      </c>
      <c r="X365" s="14">
        <f>IF(R365&gt;=MAX(S365,T365), "Hemat", IF(S365&gt;=T365, "Balanced", "Premium"))</f>
        <v/>
      </c>
    </row>
    <row r="366">
      <c r="A366" s="14" t="n">
        <v>365</v>
      </c>
      <c r="B366" s="7" t="inlineStr">
        <is>
          <t>Pantai Parang Dowo</t>
        </is>
      </c>
      <c r="C366" s="26" t="n">
        <v>-8.4283824</v>
      </c>
      <c r="D366" s="26" t="n">
        <v>112.62536</v>
      </c>
      <c r="E366" s="21" t="n">
        <v>10000</v>
      </c>
      <c r="F366" s="27" t="n">
        <v>4.5</v>
      </c>
      <c r="G366" s="28" t="n">
        <v>1058</v>
      </c>
      <c r="H366" s="14" t="inlineStr">
        <is>
          <t>Pantai Parang Dowo</t>
        </is>
      </c>
      <c r="I366" s="29">
        <f>6371 * 2 * ASIN(SQRT(SIN(RADIANS((C366) - INDEX('Dataset_Wisata'!$C$12:$C$622, MATCH('Dashboard'!$C$9, 'Dataset_Wisata'!$A$12:$A$622, 0)))/2)^2 + COS(RADIANS(INDEX('Dataset_Wisata'!$C$12:$C$622, MATCH('Dashboard'!$C$9, 'Dataset_Wisata'!$A$12:$A$622, 0)))) * COS(RADIANS(C366)) * SIN(RADIANS((D366) - INDEX('Dataset_Wisata'!$D$12:$D$622, MATCH('Dashboard'!$C$9, 'Dataset_Wisata'!$A$12:$A$622, 0)))/2)^2)) * 1.3</f>
        <v/>
      </c>
      <c r="J366" s="21">
        <f>ROUND(I366 * IF('Dashboard'!$C$6&lt;=1, 2250, IF('Dashboard'!$C$6&lt;=4, 5150, 6000)), 0)</f>
        <v/>
      </c>
      <c r="K366" s="30" t="n">
        <v>0.9998126508185596</v>
      </c>
      <c r="L366" s="30" t="n">
        <v>0.0001775718391516968</v>
      </c>
      <c r="M366" s="30" t="n">
        <v>9.7773422886897e-06</v>
      </c>
      <c r="N366" s="31">
        <f>ABS(E366-$F$6)</f>
        <v/>
      </c>
      <c r="O366" s="31">
        <f>ABS(E366-$F$7)</f>
        <v/>
      </c>
      <c r="P366" s="31">
        <f>ABS(E366-$F$8)</f>
        <v/>
      </c>
      <c r="Q366" s="14">
        <f>IF(K366&gt;=MAX(L366,M366), "Hemat", IF(L366&gt;=M366, "Balanced", "Premium"))</f>
        <v/>
      </c>
      <c r="R366" s="30" t="n">
        <v>0.9998126513362043</v>
      </c>
      <c r="S366" s="30" t="n">
        <v>0.0001775713458315561</v>
      </c>
      <c r="T366" s="30" t="n">
        <v>9.777317964159987e-06</v>
      </c>
      <c r="U366" s="31">
        <f>ABS(E366-$G$6)</f>
        <v/>
      </c>
      <c r="V366" s="31">
        <f>ABS(E366-$G$7)</f>
        <v/>
      </c>
      <c r="W366" s="31">
        <f>ABS(E366-$G$8)</f>
        <v/>
      </c>
      <c r="X366" s="14">
        <f>IF(R366&gt;=MAX(S366,T366), "Hemat", IF(S366&gt;=T366, "Balanced", "Premium"))</f>
        <v/>
      </c>
    </row>
    <row r="367">
      <c r="A367" s="14" t="n">
        <v>366</v>
      </c>
      <c r="B367" s="7" t="inlineStr">
        <is>
          <t>Pantai Mahadewi</t>
        </is>
      </c>
      <c r="C367" s="26" t="n">
        <v>-8.432359</v>
      </c>
      <c r="D367" s="26" t="n">
        <v>112.638237</v>
      </c>
      <c r="E367" s="21" t="n">
        <v>10000</v>
      </c>
      <c r="F367" s="27" t="n">
        <v>5</v>
      </c>
      <c r="G367" s="28" t="n">
        <v>35</v>
      </c>
      <c r="H367" s="14" t="inlineStr">
        <is>
          <t>Pantai Mahadewi</t>
        </is>
      </c>
      <c r="I367" s="29">
        <f>6371 * 2 * ASIN(SQRT(SIN(RADIANS((C367) - INDEX('Dataset_Wisata'!$C$12:$C$622, MATCH('Dashboard'!$C$9, 'Dataset_Wisata'!$A$12:$A$622, 0)))/2)^2 + COS(RADIANS(INDEX('Dataset_Wisata'!$C$12:$C$622, MATCH('Dashboard'!$C$9, 'Dataset_Wisata'!$A$12:$A$622, 0)))) * COS(RADIANS(C367)) * SIN(RADIANS((D367) - INDEX('Dataset_Wisata'!$D$12:$D$622, MATCH('Dashboard'!$C$9, 'Dataset_Wisata'!$A$12:$A$622, 0)))/2)^2)) * 1.3</f>
        <v/>
      </c>
      <c r="J367" s="21">
        <f>ROUND(I367 * IF('Dashboard'!$C$6&lt;=1, 2250, IF('Dashboard'!$C$6&lt;=4, 5150, 6000)), 0)</f>
        <v/>
      </c>
      <c r="K367" s="30" t="n">
        <v>0.9998126508185596</v>
      </c>
      <c r="L367" s="30" t="n">
        <v>0.0001775718391516968</v>
      </c>
      <c r="M367" s="30" t="n">
        <v>9.7773422886897e-06</v>
      </c>
      <c r="N367" s="31">
        <f>ABS(E367-$F$6)</f>
        <v/>
      </c>
      <c r="O367" s="31">
        <f>ABS(E367-$F$7)</f>
        <v/>
      </c>
      <c r="P367" s="31">
        <f>ABS(E367-$F$8)</f>
        <v/>
      </c>
      <c r="Q367" s="14">
        <f>IF(K367&gt;=MAX(L367,M367), "Hemat", IF(L367&gt;=M367, "Balanced", "Premium"))</f>
        <v/>
      </c>
      <c r="R367" s="30" t="n">
        <v>0.9998126513362043</v>
      </c>
      <c r="S367" s="30" t="n">
        <v>0.0001775713458315561</v>
      </c>
      <c r="T367" s="30" t="n">
        <v>9.777317964159987e-06</v>
      </c>
      <c r="U367" s="31">
        <f>ABS(E367-$G$6)</f>
        <v/>
      </c>
      <c r="V367" s="31">
        <f>ABS(E367-$G$7)</f>
        <v/>
      </c>
      <c r="W367" s="31">
        <f>ABS(E367-$G$8)</f>
        <v/>
      </c>
      <c r="X367" s="14">
        <f>IF(R367&gt;=MAX(S367,T367), "Hemat", IF(S367&gt;=T367, "Balanced", "Premium"))</f>
        <v/>
      </c>
    </row>
    <row r="368">
      <c r="A368" s="14" t="n">
        <v>367</v>
      </c>
      <c r="B368" s="7" t="inlineStr">
        <is>
          <t>COBAN PANDAWA</t>
        </is>
      </c>
      <c r="C368" s="26" t="n">
        <v>-8.3106761</v>
      </c>
      <c r="D368" s="26" t="n">
        <v>112.7842676</v>
      </c>
      <c r="E368" s="21" t="n">
        <v>10000</v>
      </c>
      <c r="F368" s="27" t="n">
        <v>4.3</v>
      </c>
      <c r="G368" s="28" t="n">
        <v>121</v>
      </c>
      <c r="H368" s="14" t="inlineStr">
        <is>
          <t>Wisata Umum</t>
        </is>
      </c>
      <c r="I368" s="29">
        <f>6371 * 2 * ASIN(SQRT(SIN(RADIANS((C368) - INDEX('Dataset_Wisata'!$C$12:$C$622, MATCH('Dashboard'!$C$9, 'Dataset_Wisata'!$A$12:$A$622, 0)))/2)^2 + COS(RADIANS(INDEX('Dataset_Wisata'!$C$12:$C$622, MATCH('Dashboard'!$C$9, 'Dataset_Wisata'!$A$12:$A$622, 0)))) * COS(RADIANS(C368)) * SIN(RADIANS((D368) - INDEX('Dataset_Wisata'!$D$12:$D$622, MATCH('Dashboard'!$C$9, 'Dataset_Wisata'!$A$12:$A$622, 0)))/2)^2)) * 1.3</f>
        <v/>
      </c>
      <c r="J368" s="21">
        <f>ROUND(I368 * IF('Dashboard'!$C$6&lt;=1, 2250, IF('Dashboard'!$C$6&lt;=4, 5150, 6000)), 0)</f>
        <v/>
      </c>
      <c r="K368" s="30" t="n">
        <v>0.9998126508185596</v>
      </c>
      <c r="L368" s="30" t="n">
        <v>0.0001775718391516968</v>
      </c>
      <c r="M368" s="30" t="n">
        <v>9.7773422886897e-06</v>
      </c>
      <c r="N368" s="31">
        <f>ABS(E368-$F$6)</f>
        <v/>
      </c>
      <c r="O368" s="31">
        <f>ABS(E368-$F$7)</f>
        <v/>
      </c>
      <c r="P368" s="31">
        <f>ABS(E368-$F$8)</f>
        <v/>
      </c>
      <c r="Q368" s="14">
        <f>IF(K368&gt;=MAX(L368,M368), "Hemat", IF(L368&gt;=M368, "Balanced", "Premium"))</f>
        <v/>
      </c>
      <c r="R368" s="30" t="n">
        <v>0.9998126513362043</v>
      </c>
      <c r="S368" s="30" t="n">
        <v>0.0001775713458315561</v>
      </c>
      <c r="T368" s="30" t="n">
        <v>9.777317964159987e-06</v>
      </c>
      <c r="U368" s="31">
        <f>ABS(E368-$G$6)</f>
        <v/>
      </c>
      <c r="V368" s="31">
        <f>ABS(E368-$G$7)</f>
        <v/>
      </c>
      <c r="W368" s="31">
        <f>ABS(E368-$G$8)</f>
        <v/>
      </c>
      <c r="X368" s="14">
        <f>IF(R368&gt;=MAX(S368,T368), "Hemat", IF(S368&gt;=T368, "Balanced", "Premium"))</f>
        <v/>
      </c>
    </row>
    <row r="369">
      <c r="A369" s="14" t="n">
        <v>368</v>
      </c>
      <c r="B369" s="7" t="inlineStr">
        <is>
          <t>Coban Nirwana</t>
        </is>
      </c>
      <c r="C369" s="26" t="n">
        <v>-8.310087100000001</v>
      </c>
      <c r="D369" s="26" t="n">
        <v>112.667504</v>
      </c>
      <c r="E369" s="21" t="n">
        <v>35000</v>
      </c>
      <c r="F369" s="27" t="n">
        <v>4.2</v>
      </c>
      <c r="G369" s="28" t="n">
        <v>394</v>
      </c>
      <c r="H369" s="14" t="inlineStr">
        <is>
          <t>Tujuan Wisata · </t>
        </is>
      </c>
      <c r="I369" s="29">
        <f>6371 * 2 * ASIN(SQRT(SIN(RADIANS((C369) - INDEX('Dataset_Wisata'!$C$12:$C$622, MATCH('Dashboard'!$C$9, 'Dataset_Wisata'!$A$12:$A$622, 0)))/2)^2 + COS(RADIANS(INDEX('Dataset_Wisata'!$C$12:$C$622, MATCH('Dashboard'!$C$9, 'Dataset_Wisata'!$A$12:$A$622, 0)))) * COS(RADIANS(C369)) * SIN(RADIANS((D369) - INDEX('Dataset_Wisata'!$D$12:$D$622, MATCH('Dashboard'!$C$9, 'Dataset_Wisata'!$A$12:$A$622, 0)))/2)^2)) * 1.3</f>
        <v/>
      </c>
      <c r="J369" s="21">
        <f>ROUND(I369 * IF('Dashboard'!$C$6&lt;=1, 2250, IF('Dashboard'!$C$6&lt;=4, 5150, 6000)), 0)</f>
        <v/>
      </c>
      <c r="K369" s="30" t="n">
        <v>0.25213485588303</v>
      </c>
      <c r="L369" s="30" t="n">
        <v>0.7400533052956862</v>
      </c>
      <c r="M369" s="30" t="n">
        <v>0.007811838821283838</v>
      </c>
      <c r="N369" s="31">
        <f>ABS(E369-$F$6)</f>
        <v/>
      </c>
      <c r="O369" s="31">
        <f>ABS(E369-$F$7)</f>
        <v/>
      </c>
      <c r="P369" s="31">
        <f>ABS(E369-$F$8)</f>
        <v/>
      </c>
      <c r="Q369" s="14">
        <f>IF(K369&gt;=MAX(L369,M369), "Hemat", IF(L369&gt;=M369, "Balanced", "Premium"))</f>
        <v/>
      </c>
      <c r="R369" s="30" t="n">
        <v>0.2521350299012498</v>
      </c>
      <c r="S369" s="30" t="n">
        <v>0.740053126637755</v>
      </c>
      <c r="T369" s="30" t="n">
        <v>0.007811843460995218</v>
      </c>
      <c r="U369" s="31">
        <f>ABS(E369-$G$6)</f>
        <v/>
      </c>
      <c r="V369" s="31">
        <f>ABS(E369-$G$7)</f>
        <v/>
      </c>
      <c r="W369" s="31">
        <f>ABS(E369-$G$8)</f>
        <v/>
      </c>
      <c r="X369" s="14">
        <f>IF(R369&gt;=MAX(S369,T369), "Hemat", IF(S369&gt;=T369, "Balanced", "Premium"))</f>
        <v/>
      </c>
    </row>
    <row r="370">
      <c r="A370" s="14" t="n">
        <v>369</v>
      </c>
      <c r="B370" s="7" t="inlineStr">
        <is>
          <t>Waduk Andeman</t>
        </is>
      </c>
      <c r="C370" s="26" t="n">
        <v>-8.1552091</v>
      </c>
      <c r="D370" s="26" t="n">
        <v>112.7622395</v>
      </c>
      <c r="E370" s="21" t="n">
        <v>10000</v>
      </c>
      <c r="F370" s="27" t="n">
        <v>4.3</v>
      </c>
      <c r="G370" s="28" t="n">
        <v>73</v>
      </c>
      <c r="H370" s="14" t="inlineStr">
        <is>
          <t>Tujuan Wisata · RQV6+WV9</t>
        </is>
      </c>
      <c r="I370" s="29">
        <f>6371 * 2 * ASIN(SQRT(SIN(RADIANS((C370) - INDEX('Dataset_Wisata'!$C$12:$C$622, MATCH('Dashboard'!$C$9, 'Dataset_Wisata'!$A$12:$A$622, 0)))/2)^2 + COS(RADIANS(INDEX('Dataset_Wisata'!$C$12:$C$622, MATCH('Dashboard'!$C$9, 'Dataset_Wisata'!$A$12:$A$622, 0)))) * COS(RADIANS(C370)) * SIN(RADIANS((D370) - INDEX('Dataset_Wisata'!$D$12:$D$622, MATCH('Dashboard'!$C$9, 'Dataset_Wisata'!$A$12:$A$622, 0)))/2)^2)) * 1.3</f>
        <v/>
      </c>
      <c r="J370" s="21">
        <f>ROUND(I370 * IF('Dashboard'!$C$6&lt;=1, 2250, IF('Dashboard'!$C$6&lt;=4, 5150, 6000)), 0)</f>
        <v/>
      </c>
      <c r="K370" s="30" t="n">
        <v>0.9998126508185596</v>
      </c>
      <c r="L370" s="30" t="n">
        <v>0.0001775718391516968</v>
      </c>
      <c r="M370" s="30" t="n">
        <v>9.7773422886897e-06</v>
      </c>
      <c r="N370" s="31">
        <f>ABS(E370-$F$6)</f>
        <v/>
      </c>
      <c r="O370" s="31">
        <f>ABS(E370-$F$7)</f>
        <v/>
      </c>
      <c r="P370" s="31">
        <f>ABS(E370-$F$8)</f>
        <v/>
      </c>
      <c r="Q370" s="14">
        <f>IF(K370&gt;=MAX(L370,M370), "Hemat", IF(L370&gt;=M370, "Balanced", "Premium"))</f>
        <v/>
      </c>
      <c r="R370" s="30" t="n">
        <v>0.9998126513362043</v>
      </c>
      <c r="S370" s="30" t="n">
        <v>0.0001775713458315561</v>
      </c>
      <c r="T370" s="30" t="n">
        <v>9.777317964159987e-06</v>
      </c>
      <c r="U370" s="31">
        <f>ABS(E370-$G$6)</f>
        <v/>
      </c>
      <c r="V370" s="31">
        <f>ABS(E370-$G$7)</f>
        <v/>
      </c>
      <c r="W370" s="31">
        <f>ABS(E370-$G$8)</f>
        <v/>
      </c>
      <c r="X370" s="14">
        <f>IF(R370&gt;=MAX(S370,T370), "Hemat", IF(S370&gt;=T370, "Balanced", "Premium"))</f>
        <v/>
      </c>
    </row>
    <row r="371">
      <c r="A371" s="14" t="n">
        <v>370</v>
      </c>
      <c r="B371" s="7" t="inlineStr">
        <is>
          <t>Puncak Kapur Segaran</t>
        </is>
      </c>
      <c r="C371" s="26" t="n">
        <v>-8.248860199999999</v>
      </c>
      <c r="D371" s="26" t="n">
        <v>112.6370746</v>
      </c>
      <c r="E371" s="21" t="n">
        <v>3500</v>
      </c>
      <c r="F371" s="27" t="n">
        <v>4.3</v>
      </c>
      <c r="G371" s="28" t="n">
        <v>22</v>
      </c>
      <c r="H371" s="14" t="inlineStr">
        <is>
          <t>Wisata Umum</t>
        </is>
      </c>
      <c r="I371" s="29">
        <f>6371 * 2 * ASIN(SQRT(SIN(RADIANS((C371) - INDEX('Dataset_Wisata'!$C$12:$C$622, MATCH('Dashboard'!$C$9, 'Dataset_Wisata'!$A$12:$A$622, 0)))/2)^2 + COS(RADIANS(INDEX('Dataset_Wisata'!$C$12:$C$622, MATCH('Dashboard'!$C$9, 'Dataset_Wisata'!$A$12:$A$622, 0)))) * COS(RADIANS(C371)) * SIN(RADIANS((D371) - INDEX('Dataset_Wisata'!$D$12:$D$622, MATCH('Dashboard'!$C$9, 'Dataset_Wisata'!$A$12:$A$622, 0)))/2)^2)) * 1.3</f>
        <v/>
      </c>
      <c r="J371" s="21">
        <f>ROUND(I371 * IF('Dashboard'!$C$6&lt;=1, 2250, IF('Dashboard'!$C$6&lt;=4, 5150, 6000)), 0)</f>
        <v/>
      </c>
      <c r="K371" s="30" t="n">
        <v>0.9826220282229389</v>
      </c>
      <c r="L371" s="30" t="n">
        <v>0.01625508534699643</v>
      </c>
      <c r="M371" s="30" t="n">
        <v>0.001122886430064657</v>
      </c>
      <c r="N371" s="31">
        <f>ABS(E371-$F$6)</f>
        <v/>
      </c>
      <c r="O371" s="31">
        <f>ABS(E371-$F$7)</f>
        <v/>
      </c>
      <c r="P371" s="31">
        <f>ABS(E371-$F$8)</f>
        <v/>
      </c>
      <c r="Q371" s="14">
        <f>IF(K371&gt;=MAX(L371,M371), "Hemat", IF(L371&gt;=M371, "Balanced", "Premium"))</f>
        <v/>
      </c>
      <c r="R371" s="30" t="n">
        <v>0.9826220290536886</v>
      </c>
      <c r="S371" s="30" t="n">
        <v>0.01625508431191182</v>
      </c>
      <c r="T371" s="30" t="n">
        <v>0.001122886634399612</v>
      </c>
      <c r="U371" s="31">
        <f>ABS(E371-$G$6)</f>
        <v/>
      </c>
      <c r="V371" s="31">
        <f>ABS(E371-$G$7)</f>
        <v/>
      </c>
      <c r="W371" s="31">
        <f>ABS(E371-$G$8)</f>
        <v/>
      </c>
      <c r="X371" s="14">
        <f>IF(R371&gt;=MAX(S371,T371), "Hemat", IF(S371&gt;=T371, "Balanced", "Premium"))</f>
        <v/>
      </c>
    </row>
    <row r="372">
      <c r="A372" s="14" t="n">
        <v>371</v>
      </c>
      <c r="B372" s="7" t="inlineStr">
        <is>
          <t>Wisata batu licin</t>
        </is>
      </c>
      <c r="C372" s="26" t="n">
        <v>-8.1302393</v>
      </c>
      <c r="D372" s="26" t="n">
        <v>112.6141431</v>
      </c>
      <c r="E372" s="21" t="n">
        <v>5000</v>
      </c>
      <c r="F372" s="27" t="n">
        <v>4.4</v>
      </c>
      <c r="G372" s="28" t="n">
        <v>101</v>
      </c>
      <c r="H372" s="14" t="inlineStr">
        <is>
          <t>Wisata batu licin</t>
        </is>
      </c>
      <c r="I372" s="29">
        <f>6371 * 2 * ASIN(SQRT(SIN(RADIANS((C372) - INDEX('Dataset_Wisata'!$C$12:$C$622, MATCH('Dashboard'!$C$9, 'Dataset_Wisata'!$A$12:$A$622, 0)))/2)^2 + COS(RADIANS(INDEX('Dataset_Wisata'!$C$12:$C$622, MATCH('Dashboard'!$C$9, 'Dataset_Wisata'!$A$12:$A$622, 0)))) * COS(RADIANS(C372)) * SIN(RADIANS((D372) - INDEX('Dataset_Wisata'!$D$12:$D$622, MATCH('Dashboard'!$C$9, 'Dataset_Wisata'!$A$12:$A$622, 0)))/2)^2)) * 1.3</f>
        <v/>
      </c>
      <c r="J372" s="21">
        <f>ROUND(I372 * IF('Dashboard'!$C$6&lt;=1, 2250, IF('Dashboard'!$C$6&lt;=4, 5150, 6000)), 0)</f>
        <v/>
      </c>
      <c r="K372" s="30" t="n">
        <v>0.9895566543895754</v>
      </c>
      <c r="L372" s="30" t="n">
        <v>0.009798611400025654</v>
      </c>
      <c r="M372" s="30" t="n">
        <v>0.0006447342103988783</v>
      </c>
      <c r="N372" s="31">
        <f>ABS(E372-$F$6)</f>
        <v/>
      </c>
      <c r="O372" s="31">
        <f>ABS(E372-$F$7)</f>
        <v/>
      </c>
      <c r="P372" s="31">
        <f>ABS(E372-$F$8)</f>
        <v/>
      </c>
      <c r="Q372" s="14">
        <f>IF(K372&gt;=MAX(L372,M372), "Hemat", IF(L372&gt;=M372, "Balanced", "Premium"))</f>
        <v/>
      </c>
      <c r="R372" s="30" t="n">
        <v>0.9895566542341836</v>
      </c>
      <c r="S372" s="30" t="n">
        <v>0.00979861139170024</v>
      </c>
      <c r="T372" s="30" t="n">
        <v>0.00064473437411607</v>
      </c>
      <c r="U372" s="31">
        <f>ABS(E372-$G$6)</f>
        <v/>
      </c>
      <c r="V372" s="31">
        <f>ABS(E372-$G$7)</f>
        <v/>
      </c>
      <c r="W372" s="31">
        <f>ABS(E372-$G$8)</f>
        <v/>
      </c>
      <c r="X372" s="14">
        <f>IF(R372&gt;=MAX(S372,T372), "Hemat", IF(S372&gt;=T372, "Balanced", "Premium"))</f>
        <v/>
      </c>
    </row>
    <row r="373">
      <c r="A373" s="14" t="n">
        <v>372</v>
      </c>
      <c r="B373" s="7" t="inlineStr">
        <is>
          <t>Monumen Pancasila</t>
        </is>
      </c>
      <c r="C373" s="26" t="n">
        <v>-8.18074</v>
      </c>
      <c r="D373" s="26" t="n">
        <v>112.6160991</v>
      </c>
      <c r="E373" s="21" t="n">
        <v>5000</v>
      </c>
      <c r="F373" s="27" t="n">
        <v>4.3</v>
      </c>
      <c r="G373" s="28" t="n">
        <v>56</v>
      </c>
      <c r="H373" s="14" t="inlineStr">
        <is>
          <t>Taman · RJ98+PC5, Jl. Babussalam</t>
        </is>
      </c>
      <c r="I373" s="29">
        <f>6371 * 2 * ASIN(SQRT(SIN(RADIANS((C373) - INDEX('Dataset_Wisata'!$C$12:$C$622, MATCH('Dashboard'!$C$9, 'Dataset_Wisata'!$A$12:$A$622, 0)))/2)^2 + COS(RADIANS(INDEX('Dataset_Wisata'!$C$12:$C$622, MATCH('Dashboard'!$C$9, 'Dataset_Wisata'!$A$12:$A$622, 0)))) * COS(RADIANS(C373)) * SIN(RADIANS((D373) - INDEX('Dataset_Wisata'!$D$12:$D$622, MATCH('Dashboard'!$C$9, 'Dataset_Wisata'!$A$12:$A$622, 0)))/2)^2)) * 1.3</f>
        <v/>
      </c>
      <c r="J373" s="21">
        <f>ROUND(I373 * IF('Dashboard'!$C$6&lt;=1, 2250, IF('Dashboard'!$C$6&lt;=4, 5150, 6000)), 0)</f>
        <v/>
      </c>
      <c r="K373" s="30" t="n">
        <v>0.9895566543895754</v>
      </c>
      <c r="L373" s="30" t="n">
        <v>0.009798611400025654</v>
      </c>
      <c r="M373" s="30" t="n">
        <v>0.0006447342103988783</v>
      </c>
      <c r="N373" s="31">
        <f>ABS(E373-$F$6)</f>
        <v/>
      </c>
      <c r="O373" s="31">
        <f>ABS(E373-$F$7)</f>
        <v/>
      </c>
      <c r="P373" s="31">
        <f>ABS(E373-$F$8)</f>
        <v/>
      </c>
      <c r="Q373" s="14">
        <f>IF(K373&gt;=MAX(L373,M373), "Hemat", IF(L373&gt;=M373, "Balanced", "Premium"))</f>
        <v/>
      </c>
      <c r="R373" s="30" t="n">
        <v>0.9895566542341836</v>
      </c>
      <c r="S373" s="30" t="n">
        <v>0.00979861139170024</v>
      </c>
      <c r="T373" s="30" t="n">
        <v>0.00064473437411607</v>
      </c>
      <c r="U373" s="31">
        <f>ABS(E373-$G$6)</f>
        <v/>
      </c>
      <c r="V373" s="31">
        <f>ABS(E373-$G$7)</f>
        <v/>
      </c>
      <c r="W373" s="31">
        <f>ABS(E373-$G$8)</f>
        <v/>
      </c>
      <c r="X373" s="14">
        <f>IF(R373&gt;=MAX(S373,T373), "Hemat", IF(S373&gt;=T373, "Balanced", "Premium"))</f>
        <v/>
      </c>
    </row>
    <row r="374">
      <c r="A374" s="14" t="n">
        <v>375</v>
      </c>
      <c r="B374" s="7" t="inlineStr">
        <is>
          <t>Kampung Tridi</t>
        </is>
      </c>
      <c r="C374" s="26" t="n">
        <v>-7.9822081</v>
      </c>
      <c r="D374" s="26" t="n">
        <v>112.638085</v>
      </c>
      <c r="E374" s="21" t="n">
        <v>5000</v>
      </c>
      <c r="F374" s="27" t="n">
        <v>4.4</v>
      </c>
      <c r="G374" s="28" t="n">
        <v>3321</v>
      </c>
      <c r="H374" s="14" t="inlineStr">
        <is>
          <t>Wisata Umum</t>
        </is>
      </c>
      <c r="I374" s="29">
        <f>6371 * 2 * ASIN(SQRT(SIN(RADIANS((C374) - INDEX('Dataset_Wisata'!$C$12:$C$622, MATCH('Dashboard'!$C$9, 'Dataset_Wisata'!$A$12:$A$622, 0)))/2)^2 + COS(RADIANS(INDEX('Dataset_Wisata'!$C$12:$C$622, MATCH('Dashboard'!$C$9, 'Dataset_Wisata'!$A$12:$A$622, 0)))) * COS(RADIANS(C374)) * SIN(RADIANS((D374) - INDEX('Dataset_Wisata'!$D$12:$D$622, MATCH('Dashboard'!$C$9, 'Dataset_Wisata'!$A$12:$A$622, 0)))/2)^2)) * 1.3</f>
        <v/>
      </c>
      <c r="J374" s="21">
        <f>ROUND(I374 * IF('Dashboard'!$C$6&lt;=1, 2250, IF('Dashboard'!$C$6&lt;=4, 5150, 6000)), 0)</f>
        <v/>
      </c>
      <c r="K374" s="30" t="n">
        <v>0.9895566543895754</v>
      </c>
      <c r="L374" s="30" t="n">
        <v>0.009798611400025654</v>
      </c>
      <c r="M374" s="30" t="n">
        <v>0.0006447342103988783</v>
      </c>
      <c r="N374" s="31">
        <f>ABS(E374-$F$6)</f>
        <v/>
      </c>
      <c r="O374" s="31">
        <f>ABS(E374-$F$7)</f>
        <v/>
      </c>
      <c r="P374" s="31">
        <f>ABS(E374-$F$8)</f>
        <v/>
      </c>
      <c r="Q374" s="14">
        <f>IF(K374&gt;=MAX(L374,M374), "Hemat", IF(L374&gt;=M374, "Balanced", "Premium"))</f>
        <v/>
      </c>
      <c r="R374" s="30" t="n">
        <v>0.9895566542341836</v>
      </c>
      <c r="S374" s="30" t="n">
        <v>0.00979861139170024</v>
      </c>
      <c r="T374" s="30" t="n">
        <v>0.00064473437411607</v>
      </c>
      <c r="U374" s="31">
        <f>ABS(E374-$G$6)</f>
        <v/>
      </c>
      <c r="V374" s="31">
        <f>ABS(E374-$G$7)</f>
        <v/>
      </c>
      <c r="W374" s="31">
        <f>ABS(E374-$G$8)</f>
        <v/>
      </c>
      <c r="X374" s="14">
        <f>IF(R374&gt;=MAX(S374,T374), "Hemat", IF(S374&gt;=T374, "Balanced", "Premium"))</f>
        <v/>
      </c>
    </row>
    <row r="375">
      <c r="A375" s="14" t="n">
        <v>376</v>
      </c>
      <c r="B375" s="7" t="inlineStr">
        <is>
          <t>Coban Amprong</t>
        </is>
      </c>
      <c r="C375" s="26" t="n">
        <v>-7.99282</v>
      </c>
      <c r="D375" s="26" t="n">
        <v>112.6495368</v>
      </c>
      <c r="E375" s="21" t="n">
        <v>35000</v>
      </c>
      <c r="F375" s="27" t="n">
        <v>4</v>
      </c>
      <c r="G375" s="28" t="n">
        <v>41</v>
      </c>
      <c r="H375" s="14" t="inlineStr">
        <is>
          <t>Wisata Umum</t>
        </is>
      </c>
      <c r="I375" s="29">
        <f>6371 * 2 * ASIN(SQRT(SIN(RADIANS((C375) - INDEX('Dataset_Wisata'!$C$12:$C$622, MATCH('Dashboard'!$C$9, 'Dataset_Wisata'!$A$12:$A$622, 0)))/2)^2 + COS(RADIANS(INDEX('Dataset_Wisata'!$C$12:$C$622, MATCH('Dashboard'!$C$9, 'Dataset_Wisata'!$A$12:$A$622, 0)))) * COS(RADIANS(C375)) * SIN(RADIANS((D375) - INDEX('Dataset_Wisata'!$D$12:$D$622, MATCH('Dashboard'!$C$9, 'Dataset_Wisata'!$A$12:$A$622, 0)))/2)^2)) * 1.3</f>
        <v/>
      </c>
      <c r="J375" s="21">
        <f>ROUND(I375 * IF('Dashboard'!$C$6&lt;=1, 2250, IF('Dashboard'!$C$6&lt;=4, 5150, 6000)), 0)</f>
        <v/>
      </c>
      <c r="K375" s="30" t="n">
        <v>0.25213485588303</v>
      </c>
      <c r="L375" s="30" t="n">
        <v>0.7400533052956862</v>
      </c>
      <c r="M375" s="30" t="n">
        <v>0.007811838821283838</v>
      </c>
      <c r="N375" s="31">
        <f>ABS(E375-$F$6)</f>
        <v/>
      </c>
      <c r="O375" s="31">
        <f>ABS(E375-$F$7)</f>
        <v/>
      </c>
      <c r="P375" s="31">
        <f>ABS(E375-$F$8)</f>
        <v/>
      </c>
      <c r="Q375" s="14">
        <f>IF(K375&gt;=MAX(L375,M375), "Hemat", IF(L375&gt;=M375, "Balanced", "Premium"))</f>
        <v/>
      </c>
      <c r="R375" s="30" t="n">
        <v>0.2521350299012498</v>
      </c>
      <c r="S375" s="30" t="n">
        <v>0.740053126637755</v>
      </c>
      <c r="T375" s="30" t="n">
        <v>0.007811843460995218</v>
      </c>
      <c r="U375" s="31">
        <f>ABS(E375-$G$6)</f>
        <v/>
      </c>
      <c r="V375" s="31">
        <f>ABS(E375-$G$7)</f>
        <v/>
      </c>
      <c r="W375" s="31">
        <f>ABS(E375-$G$8)</f>
        <v/>
      </c>
      <c r="X375" s="14">
        <f>IF(R375&gt;=MAX(S375,T375), "Hemat", IF(S375&gt;=T375, "Balanced", "Premium"))</f>
        <v/>
      </c>
    </row>
    <row r="376">
      <c r="A376" s="14" t="n">
        <v>377</v>
      </c>
      <c r="B376" s="7" t="inlineStr">
        <is>
          <t>Taman Wisata Air Wendit</t>
        </is>
      </c>
      <c r="C376" s="26" t="n">
        <v>-7.9524529</v>
      </c>
      <c r="D376" s="26" t="n">
        <v>112.6749379</v>
      </c>
      <c r="E376" s="21" t="n">
        <v>10500</v>
      </c>
      <c r="F376" s="27" t="n">
        <v>4.1</v>
      </c>
      <c r="G376" s="28" t="n">
        <v>8075</v>
      </c>
      <c r="H376" s="14" t="inlineStr">
        <is>
          <t>Taman Wisata Air Wendit</t>
        </is>
      </c>
      <c r="I376" s="29">
        <f>6371 * 2 * ASIN(SQRT(SIN(RADIANS((C376) - INDEX('Dataset_Wisata'!$C$12:$C$622, MATCH('Dashboard'!$C$9, 'Dataset_Wisata'!$A$12:$A$622, 0)))/2)^2 + COS(RADIANS(INDEX('Dataset_Wisata'!$C$12:$C$622, MATCH('Dashboard'!$C$9, 'Dataset_Wisata'!$A$12:$A$622, 0)))) * COS(RADIANS(C376)) * SIN(RADIANS((D376) - INDEX('Dataset_Wisata'!$D$12:$D$622, MATCH('Dashboard'!$C$9, 'Dataset_Wisata'!$A$12:$A$622, 0)))/2)^2)) * 1.3</f>
        <v/>
      </c>
      <c r="J376" s="21">
        <f>ROUND(I376 * IF('Dashboard'!$C$6&lt;=1, 2250, IF('Dashboard'!$C$6&lt;=4, 5150, 6000)), 0)</f>
        <v/>
      </c>
      <c r="K376" s="30" t="n">
        <v>0.9992778130390464</v>
      </c>
      <c r="L376" s="30" t="n">
        <v>0.0006851821779944199</v>
      </c>
      <c r="M376" s="30" t="n">
        <v>3.700478295920698e-05</v>
      </c>
      <c r="N376" s="31">
        <f>ABS(E376-$F$6)</f>
        <v/>
      </c>
      <c r="O376" s="31">
        <f>ABS(E376-$F$7)</f>
        <v/>
      </c>
      <c r="P376" s="31">
        <f>ABS(E376-$F$8)</f>
        <v/>
      </c>
      <c r="Q376" s="14">
        <f>IF(K376&gt;=MAX(L376,M376), "Hemat", IF(L376&gt;=M376, "Balanced", "Premium"))</f>
        <v/>
      </c>
      <c r="R376" s="30" t="n">
        <v>0.9992778141796984</v>
      </c>
      <c r="S376" s="30" t="n">
        <v>0.0006851810854547244</v>
      </c>
      <c r="T376" s="30" t="n">
        <v>3.70047348467947e-05</v>
      </c>
      <c r="U376" s="31">
        <f>ABS(E376-$G$6)</f>
        <v/>
      </c>
      <c r="V376" s="31">
        <f>ABS(E376-$G$7)</f>
        <v/>
      </c>
      <c r="W376" s="31">
        <f>ABS(E376-$G$8)</f>
        <v/>
      </c>
      <c r="X376" s="14">
        <f>IF(R376&gt;=MAX(S376,T376), "Hemat", IF(S376&gt;=T376, "Balanced", "Premium"))</f>
        <v/>
      </c>
    </row>
    <row r="377">
      <c r="A377" s="14" t="n">
        <v>378</v>
      </c>
      <c r="B377" s="7" t="inlineStr">
        <is>
          <t>Taman Edukasi Rolak Kedungkandang</t>
        </is>
      </c>
      <c r="C377" s="26" t="n">
        <v>-7.9897566</v>
      </c>
      <c r="D377" s="26" t="n">
        <v>112.6540108</v>
      </c>
      <c r="E377" s="21" t="n">
        <v>20000</v>
      </c>
      <c r="F377" s="27" t="n">
        <v>4.5</v>
      </c>
      <c r="G377" s="28" t="n">
        <v>232</v>
      </c>
      <c r="H377" s="14" t="inlineStr">
        <is>
          <t>Taman Edukasi Rolak Kedungkandang</t>
        </is>
      </c>
      <c r="I377" s="29">
        <f>6371 * 2 * ASIN(SQRT(SIN(RADIANS((C377) - INDEX('Dataset_Wisata'!$C$12:$C$622, MATCH('Dashboard'!$C$9, 'Dataset_Wisata'!$A$12:$A$622, 0)))/2)^2 + COS(RADIANS(INDEX('Dataset_Wisata'!$C$12:$C$622, MATCH('Dashboard'!$C$9, 'Dataset_Wisata'!$A$12:$A$622, 0)))) * COS(RADIANS(C377)) * SIN(RADIANS((D377) - INDEX('Dataset_Wisata'!$D$12:$D$622, MATCH('Dashboard'!$C$9, 'Dataset_Wisata'!$A$12:$A$622, 0)))/2)^2)) * 1.3</f>
        <v/>
      </c>
      <c r="J377" s="21">
        <f>ROUND(I377 * IF('Dashboard'!$C$6&lt;=1, 2250, IF('Dashboard'!$C$6&lt;=4, 5150, 6000)), 0)</f>
        <v/>
      </c>
      <c r="K377" s="30" t="n">
        <v>0.8862296979094436</v>
      </c>
      <c r="L377" s="30" t="n">
        <v>0.1099329410905347</v>
      </c>
      <c r="M377" s="30" t="n">
        <v>0.003837361000021699</v>
      </c>
      <c r="N377" s="31">
        <f>ABS(E377-$F$6)</f>
        <v/>
      </c>
      <c r="O377" s="31">
        <f>ABS(E377-$F$7)</f>
        <v/>
      </c>
      <c r="P377" s="31">
        <f>ABS(E377-$F$8)</f>
        <v/>
      </c>
      <c r="Q377" s="14">
        <f>IF(K377&gt;=MAX(L377,M377), "Hemat", IF(L377&gt;=M377, "Balanced", "Premium"))</f>
        <v/>
      </c>
      <c r="R377" s="30" t="n">
        <v>0.8862297532761809</v>
      </c>
      <c r="S377" s="30" t="n">
        <v>0.1099328861159962</v>
      </c>
      <c r="T377" s="30" t="n">
        <v>0.003837360607822898</v>
      </c>
      <c r="U377" s="31">
        <f>ABS(E377-$G$6)</f>
        <v/>
      </c>
      <c r="V377" s="31">
        <f>ABS(E377-$G$7)</f>
        <v/>
      </c>
      <c r="W377" s="31">
        <f>ABS(E377-$G$8)</f>
        <v/>
      </c>
      <c r="X377" s="14">
        <f>IF(R377&gt;=MAX(S377,T377), "Hemat", IF(S377&gt;=T377, "Balanced", "Premium"))</f>
        <v/>
      </c>
    </row>
    <row r="378">
      <c r="A378" s="14" t="n">
        <v>379</v>
      </c>
      <c r="B378" s="7" t="inlineStr">
        <is>
          <t>Jembatan Kaca Ngalam Indonesia</t>
        </is>
      </c>
      <c r="C378" s="26" t="n">
        <v>-7.9831936</v>
      </c>
      <c r="D378" s="26" t="n">
        <v>112.637773</v>
      </c>
      <c r="E378" s="21" t="n">
        <v>40000</v>
      </c>
      <c r="F378" s="27" t="n">
        <v>4.3</v>
      </c>
      <c r="G378" s="28" t="n">
        <v>122</v>
      </c>
      <c r="H378" s="14" t="inlineStr">
        <is>
          <t>Wisata Umum</t>
        </is>
      </c>
      <c r="I378" s="29">
        <f>6371 * 2 * ASIN(SQRT(SIN(RADIANS((C378) - INDEX('Dataset_Wisata'!$C$12:$C$622, MATCH('Dashboard'!$C$9, 'Dataset_Wisata'!$A$12:$A$622, 0)))/2)^2 + COS(RADIANS(INDEX('Dataset_Wisata'!$C$12:$C$622, MATCH('Dashboard'!$C$9, 'Dataset_Wisata'!$A$12:$A$622, 0)))) * COS(RADIANS(C378)) * SIN(RADIANS((D378) - INDEX('Dataset_Wisata'!$D$12:$D$622, MATCH('Dashboard'!$C$9, 'Dataset_Wisata'!$A$12:$A$622, 0)))/2)^2)) * 1.3</f>
        <v/>
      </c>
      <c r="J378" s="21">
        <f>ROUND(I378 * IF('Dashboard'!$C$6&lt;=1, 2250, IF('Dashboard'!$C$6&lt;=4, 5150, 6000)), 0)</f>
        <v/>
      </c>
      <c r="K378" s="30" t="n">
        <v>0.09475584772458329</v>
      </c>
      <c r="L378" s="30" t="n">
        <v>0.9007407836685044</v>
      </c>
      <c r="M378" s="30" t="n">
        <v>0.004503368606912272</v>
      </c>
      <c r="N378" s="31">
        <f>ABS(E378-$F$6)</f>
        <v/>
      </c>
      <c r="O378" s="31">
        <f>ABS(E378-$F$7)</f>
        <v/>
      </c>
      <c r="P378" s="31">
        <f>ABS(E378-$F$8)</f>
        <v/>
      </c>
      <c r="Q378" s="14">
        <f>IF(K378&gt;=MAX(L378,M378), "Hemat", IF(L378&gt;=M378, "Balanced", "Premium"))</f>
        <v/>
      </c>
      <c r="R378" s="30" t="n">
        <v>0.09475596450885283</v>
      </c>
      <c r="S378" s="30" t="n">
        <v>0.9007406617370142</v>
      </c>
      <c r="T378" s="30" t="n">
        <v>0.004503373754133038</v>
      </c>
      <c r="U378" s="31">
        <f>ABS(E378-$G$6)</f>
        <v/>
      </c>
      <c r="V378" s="31">
        <f>ABS(E378-$G$7)</f>
        <v/>
      </c>
      <c r="W378" s="31">
        <f>ABS(E378-$G$8)</f>
        <v/>
      </c>
      <c r="X378" s="14">
        <f>IF(R378&gt;=MAX(S378,T378), "Hemat", IF(S378&gt;=T378, "Balanced", "Premium"))</f>
        <v/>
      </c>
    </row>
    <row r="379">
      <c r="A379" s="14" t="n">
        <v>380</v>
      </c>
      <c r="B379" s="7" t="inlineStr">
        <is>
          <t>Kampung Kelir</t>
        </is>
      </c>
      <c r="C379" s="26" t="n">
        <v>-7.9912389</v>
      </c>
      <c r="D379" s="26" t="n">
        <v>112.6413326</v>
      </c>
      <c r="E379" s="21" t="n">
        <v>2000</v>
      </c>
      <c r="F379" s="27" t="n">
        <v>4.5</v>
      </c>
      <c r="G379" s="28" t="n">
        <v>50</v>
      </c>
      <c r="H379" s="14" t="inlineStr">
        <is>
          <t>Wisata Umum</t>
        </is>
      </c>
      <c r="I379" s="29">
        <f>6371 * 2 * ASIN(SQRT(SIN(RADIANS((C379) - INDEX('Dataset_Wisata'!$C$12:$C$622, MATCH('Dashboard'!$C$9, 'Dataset_Wisata'!$A$12:$A$622, 0)))/2)^2 + COS(RADIANS(INDEX('Dataset_Wisata'!$C$12:$C$622, MATCH('Dashboard'!$C$9, 'Dataset_Wisata'!$A$12:$A$622, 0)))) * COS(RADIANS(C379)) * SIN(RADIANS((D379) - INDEX('Dataset_Wisata'!$D$12:$D$622, MATCH('Dashboard'!$C$9, 'Dataset_Wisata'!$A$12:$A$622, 0)))/2)^2)) * 1.3</f>
        <v/>
      </c>
      <c r="J379" s="21">
        <f>ROUND(I379 * IF('Dashboard'!$C$6&lt;=1, 2250, IF('Dashboard'!$C$6&lt;=4, 5150, 6000)), 0)</f>
        <v/>
      </c>
      <c r="K379" s="30" t="n">
        <v>0.9745968037531486</v>
      </c>
      <c r="L379" s="30" t="n">
        <v>0.02368856650344644</v>
      </c>
      <c r="M379" s="30" t="n">
        <v>0.001714629743404906</v>
      </c>
      <c r="N379" s="31">
        <f>ABS(E379-$F$6)</f>
        <v/>
      </c>
      <c r="O379" s="31">
        <f>ABS(E379-$F$7)</f>
        <v/>
      </c>
      <c r="P379" s="31">
        <f>ABS(E379-$F$8)</f>
        <v/>
      </c>
      <c r="Q379" s="14">
        <f>IF(K379&gt;=MAX(L379,M379), "Hemat", IF(L379&gt;=M379, "Balanced", "Premium"))</f>
        <v/>
      </c>
      <c r="R379" s="30" t="n">
        <v>0.9745968058205632</v>
      </c>
      <c r="S379" s="30" t="n">
        <v>0.02368856419646389</v>
      </c>
      <c r="T379" s="30" t="n">
        <v>0.001714629982972894</v>
      </c>
      <c r="U379" s="31">
        <f>ABS(E379-$G$6)</f>
        <v/>
      </c>
      <c r="V379" s="31">
        <f>ABS(E379-$G$7)</f>
        <v/>
      </c>
      <c r="W379" s="31">
        <f>ABS(E379-$G$8)</f>
        <v/>
      </c>
      <c r="X379" s="14">
        <f>IF(R379&gt;=MAX(S379,T379), "Hemat", IF(S379&gt;=T379, "Balanced", "Premium"))</f>
        <v/>
      </c>
    </row>
    <row r="380">
      <c r="A380" s="14" t="n">
        <v>381</v>
      </c>
      <c r="B380" s="7" t="inlineStr">
        <is>
          <t>Kampung Warna Warni Jodipan</t>
        </is>
      </c>
      <c r="C380" s="26" t="n">
        <v>-7.9828797</v>
      </c>
      <c r="D380" s="26" t="n">
        <v>112.6372548</v>
      </c>
      <c r="E380" s="21" t="n">
        <v>5000</v>
      </c>
      <c r="F380" s="27" t="n">
        <v>4.5</v>
      </c>
      <c r="G380" s="28" t="n">
        <v>1845</v>
      </c>
      <c r="H380" s="14" t="inlineStr">
        <is>
          <t>Wisata Umum</t>
        </is>
      </c>
      <c r="I380" s="29">
        <f>6371 * 2 * ASIN(SQRT(SIN(RADIANS((C380) - INDEX('Dataset_Wisata'!$C$12:$C$622, MATCH('Dashboard'!$C$9, 'Dataset_Wisata'!$A$12:$A$622, 0)))/2)^2 + COS(RADIANS(INDEX('Dataset_Wisata'!$C$12:$C$622, MATCH('Dashboard'!$C$9, 'Dataset_Wisata'!$A$12:$A$622, 0)))) * COS(RADIANS(C380)) * SIN(RADIANS((D380) - INDEX('Dataset_Wisata'!$D$12:$D$622, MATCH('Dashboard'!$C$9, 'Dataset_Wisata'!$A$12:$A$622, 0)))/2)^2)) * 1.3</f>
        <v/>
      </c>
      <c r="J380" s="21">
        <f>ROUND(I380 * IF('Dashboard'!$C$6&lt;=1, 2250, IF('Dashboard'!$C$6&lt;=4, 5150, 6000)), 0)</f>
        <v/>
      </c>
      <c r="K380" s="30" t="n">
        <v>0.9895566543895754</v>
      </c>
      <c r="L380" s="30" t="n">
        <v>0.009798611400025654</v>
      </c>
      <c r="M380" s="30" t="n">
        <v>0.0006447342103988783</v>
      </c>
      <c r="N380" s="31">
        <f>ABS(E380-$F$6)</f>
        <v/>
      </c>
      <c r="O380" s="31">
        <f>ABS(E380-$F$7)</f>
        <v/>
      </c>
      <c r="P380" s="31">
        <f>ABS(E380-$F$8)</f>
        <v/>
      </c>
      <c r="Q380" s="14">
        <f>IF(K380&gt;=MAX(L380,M380), "Hemat", IF(L380&gt;=M380, "Balanced", "Premium"))</f>
        <v/>
      </c>
      <c r="R380" s="30" t="n">
        <v>0.9895566542341836</v>
      </c>
      <c r="S380" s="30" t="n">
        <v>0.00979861139170024</v>
      </c>
      <c r="T380" s="30" t="n">
        <v>0.00064473437411607</v>
      </c>
      <c r="U380" s="31">
        <f>ABS(E380-$G$6)</f>
        <v/>
      </c>
      <c r="V380" s="31">
        <f>ABS(E380-$G$7)</f>
        <v/>
      </c>
      <c r="W380" s="31">
        <f>ABS(E380-$G$8)</f>
        <v/>
      </c>
      <c r="X380" s="14">
        <f>IF(R380&gt;=MAX(S380,T380), "Hemat", IF(S380&gt;=T380, "Balanced", "Premium"))</f>
        <v/>
      </c>
    </row>
    <row r="381">
      <c r="A381" s="14" t="n">
        <v>382</v>
      </c>
      <c r="B381" s="7" t="inlineStr">
        <is>
          <t>Alun-Alun Malang</t>
        </is>
      </c>
      <c r="C381" s="26" t="n">
        <v>-7.9826145</v>
      </c>
      <c r="D381" s="26" t="n">
        <v>112.6308113</v>
      </c>
      <c r="E381" s="21" t="n">
        <v>5000</v>
      </c>
      <c r="F381" s="27" t="n">
        <v>4.6</v>
      </c>
      <c r="G381" s="28" t="n">
        <v>67398</v>
      </c>
      <c r="H381" s="14" t="inlineStr">
        <is>
          <t>Wisata Umum</t>
        </is>
      </c>
      <c r="I381" s="29">
        <f>6371 * 2 * ASIN(SQRT(SIN(RADIANS((C381) - INDEX('Dataset_Wisata'!$C$12:$C$622, MATCH('Dashboard'!$C$9, 'Dataset_Wisata'!$A$12:$A$622, 0)))/2)^2 + COS(RADIANS(INDEX('Dataset_Wisata'!$C$12:$C$622, MATCH('Dashboard'!$C$9, 'Dataset_Wisata'!$A$12:$A$622, 0)))) * COS(RADIANS(C381)) * SIN(RADIANS((D381) - INDEX('Dataset_Wisata'!$D$12:$D$622, MATCH('Dashboard'!$C$9, 'Dataset_Wisata'!$A$12:$A$622, 0)))/2)^2)) * 1.3</f>
        <v/>
      </c>
      <c r="J381" s="21">
        <f>ROUND(I381 * IF('Dashboard'!$C$6&lt;=1, 2250, IF('Dashboard'!$C$6&lt;=4, 5150, 6000)), 0)</f>
        <v/>
      </c>
      <c r="K381" s="30" t="n">
        <v>0.9895566543895754</v>
      </c>
      <c r="L381" s="30" t="n">
        <v>0.009798611400025654</v>
      </c>
      <c r="M381" s="30" t="n">
        <v>0.0006447342103988783</v>
      </c>
      <c r="N381" s="31">
        <f>ABS(E381-$F$6)</f>
        <v/>
      </c>
      <c r="O381" s="31">
        <f>ABS(E381-$F$7)</f>
        <v/>
      </c>
      <c r="P381" s="31">
        <f>ABS(E381-$F$8)</f>
        <v/>
      </c>
      <c r="Q381" s="14">
        <f>IF(K381&gt;=MAX(L381,M381), "Hemat", IF(L381&gt;=M381, "Balanced", "Premium"))</f>
        <v/>
      </c>
      <c r="R381" s="30" t="n">
        <v>0.9895566542341836</v>
      </c>
      <c r="S381" s="30" t="n">
        <v>0.00979861139170024</v>
      </c>
      <c r="T381" s="30" t="n">
        <v>0.00064473437411607</v>
      </c>
      <c r="U381" s="31">
        <f>ABS(E381-$G$6)</f>
        <v/>
      </c>
      <c r="V381" s="31">
        <f>ABS(E381-$G$7)</f>
        <v/>
      </c>
      <c r="W381" s="31">
        <f>ABS(E381-$G$8)</f>
        <v/>
      </c>
      <c r="X381" s="14">
        <f>IF(R381&gt;=MAX(S381,T381), "Hemat", IF(S381&gt;=T381, "Balanced", "Premium"))</f>
        <v/>
      </c>
    </row>
    <row r="382">
      <c r="A382" s="14" t="n">
        <v>383</v>
      </c>
      <c r="B382" s="7" t="inlineStr">
        <is>
          <t>Wisata Kayutangan Kota Malang</t>
        </is>
      </c>
      <c r="C382" s="26" t="n">
        <v>-7.9776301</v>
      </c>
      <c r="D382" s="26" t="n">
        <v>112.6293576</v>
      </c>
      <c r="E382" s="21" t="n">
        <v>10000</v>
      </c>
      <c r="F382" s="27" t="n">
        <v>4.8</v>
      </c>
      <c r="G382" s="28" t="n">
        <v>20</v>
      </c>
      <c r="H382" s="14" t="inlineStr">
        <is>
          <t>Wisata Kayutangan Kota Malang</t>
        </is>
      </c>
      <c r="I382" s="29">
        <f>6371 * 2 * ASIN(SQRT(SIN(RADIANS((C382) - INDEX('Dataset_Wisata'!$C$12:$C$622, MATCH('Dashboard'!$C$9, 'Dataset_Wisata'!$A$12:$A$622, 0)))/2)^2 + COS(RADIANS(INDEX('Dataset_Wisata'!$C$12:$C$622, MATCH('Dashboard'!$C$9, 'Dataset_Wisata'!$A$12:$A$622, 0)))) * COS(RADIANS(C382)) * SIN(RADIANS((D382) - INDEX('Dataset_Wisata'!$D$12:$D$622, MATCH('Dashboard'!$C$9, 'Dataset_Wisata'!$A$12:$A$622, 0)))/2)^2)) * 1.3</f>
        <v/>
      </c>
      <c r="J382" s="21">
        <f>ROUND(I382 * IF('Dashboard'!$C$6&lt;=1, 2250, IF('Dashboard'!$C$6&lt;=4, 5150, 6000)), 0)</f>
        <v/>
      </c>
      <c r="K382" s="30" t="n">
        <v>0.9998126508185596</v>
      </c>
      <c r="L382" s="30" t="n">
        <v>0.0001775718391516968</v>
      </c>
      <c r="M382" s="30" t="n">
        <v>9.7773422886897e-06</v>
      </c>
      <c r="N382" s="31">
        <f>ABS(E382-$F$6)</f>
        <v/>
      </c>
      <c r="O382" s="31">
        <f>ABS(E382-$F$7)</f>
        <v/>
      </c>
      <c r="P382" s="31">
        <f>ABS(E382-$F$8)</f>
        <v/>
      </c>
      <c r="Q382" s="14">
        <f>IF(K382&gt;=MAX(L382,M382), "Hemat", IF(L382&gt;=M382, "Balanced", "Premium"))</f>
        <v/>
      </c>
      <c r="R382" s="30" t="n">
        <v>0.9998126513362043</v>
      </c>
      <c r="S382" s="30" t="n">
        <v>0.0001775713458315561</v>
      </c>
      <c r="T382" s="30" t="n">
        <v>9.777317964159987e-06</v>
      </c>
      <c r="U382" s="31">
        <f>ABS(E382-$G$6)</f>
        <v/>
      </c>
      <c r="V382" s="31">
        <f>ABS(E382-$G$7)</f>
        <v/>
      </c>
      <c r="W382" s="31">
        <f>ABS(E382-$G$8)</f>
        <v/>
      </c>
      <c r="X382" s="14">
        <f>IF(R382&gt;=MAX(S382,T382), "Hemat", IF(S382&gt;=T382, "Balanced", "Premium"))</f>
        <v/>
      </c>
    </row>
    <row r="383">
      <c r="A383" s="14" t="n">
        <v>384</v>
      </c>
      <c r="B383" s="7" t="inlineStr">
        <is>
          <t>Pecinan Malang</t>
        </is>
      </c>
      <c r="C383" s="26" t="n">
        <v>-7.9860032</v>
      </c>
      <c r="D383" s="26" t="n">
        <v>112.6334661</v>
      </c>
      <c r="E383" s="21" t="n">
        <v>0</v>
      </c>
      <c r="F383" s="27" t="n">
        <v>4.5</v>
      </c>
      <c r="G383" s="28" t="n">
        <v>64</v>
      </c>
      <c r="H383" s="14" t="inlineStr">
        <is>
          <t>Wisata Umum</t>
        </is>
      </c>
      <c r="I383" s="29">
        <f>6371 * 2 * ASIN(SQRT(SIN(RADIANS((C383) - INDEX('Dataset_Wisata'!$C$12:$C$622, MATCH('Dashboard'!$C$9, 'Dataset_Wisata'!$A$12:$A$622, 0)))/2)^2 + COS(RADIANS(INDEX('Dataset_Wisata'!$C$12:$C$622, MATCH('Dashboard'!$C$9, 'Dataset_Wisata'!$A$12:$A$622, 0)))) * COS(RADIANS(C383)) * SIN(RADIANS((D383) - INDEX('Dataset_Wisata'!$D$12:$D$622, MATCH('Dashboard'!$C$9, 'Dataset_Wisata'!$A$12:$A$622, 0)))/2)^2)) * 1.3</f>
        <v/>
      </c>
      <c r="J383" s="21">
        <f>ROUND(I383 * IF('Dashboard'!$C$6&lt;=1, 2250, IF('Dashboard'!$C$6&lt;=4, 5150, 6000)), 0)</f>
        <v/>
      </c>
      <c r="K383" s="30" t="n">
        <v>0.9626824510005771</v>
      </c>
      <c r="L383" s="30" t="n">
        <v>0.03465542295845363</v>
      </c>
      <c r="M383" s="30" t="n">
        <v>0.002662126040969366</v>
      </c>
      <c r="N383" s="31">
        <f>ABS(E383-$F$6)</f>
        <v/>
      </c>
      <c r="O383" s="31">
        <f>ABS(E383-$F$7)</f>
        <v/>
      </c>
      <c r="P383" s="31">
        <f>ABS(E383-$F$8)</f>
        <v/>
      </c>
      <c r="Q383" s="14">
        <f>IF(K383&gt;=MAX(L383,M383), "Hemat", IF(L383&gt;=M383, "Balanced", "Premium"))</f>
        <v/>
      </c>
      <c r="R383" s="30" t="n">
        <v>0.9626824549241798</v>
      </c>
      <c r="S383" s="30" t="n">
        <v>0.03465541875469833</v>
      </c>
      <c r="T383" s="30" t="n">
        <v>0.002662126321121907</v>
      </c>
      <c r="U383" s="31">
        <f>ABS(E383-$G$6)</f>
        <v/>
      </c>
      <c r="V383" s="31">
        <f>ABS(E383-$G$7)</f>
        <v/>
      </c>
      <c r="W383" s="31">
        <f>ABS(E383-$G$8)</f>
        <v/>
      </c>
      <c r="X383" s="14">
        <f>IF(R383&gt;=MAX(S383,T383), "Hemat", IF(S383&gt;=T383, "Balanced", "Premium"))</f>
        <v/>
      </c>
    </row>
    <row r="384">
      <c r="A384" s="14" t="n">
        <v>385</v>
      </c>
      <c r="B384" s="7" t="inlineStr">
        <is>
          <t>TPU Kasin</t>
        </is>
      </c>
      <c r="C384" s="26" t="n">
        <v>-7.9896057</v>
      </c>
      <c r="D384" s="26" t="n">
        <v>112.6239566</v>
      </c>
      <c r="E384" s="21" t="n">
        <v>10000</v>
      </c>
      <c r="F384" s="27" t="n">
        <v>4.8</v>
      </c>
      <c r="G384" s="28" t="n">
        <v>82</v>
      </c>
      <c r="H384" s="14" t="inlineStr">
        <is>
          <t>Wisata Umum</t>
        </is>
      </c>
      <c r="I384" s="29">
        <f>6371 * 2 * ASIN(SQRT(SIN(RADIANS((C384) - INDEX('Dataset_Wisata'!$C$12:$C$622, MATCH('Dashboard'!$C$9, 'Dataset_Wisata'!$A$12:$A$622, 0)))/2)^2 + COS(RADIANS(INDEX('Dataset_Wisata'!$C$12:$C$622, MATCH('Dashboard'!$C$9, 'Dataset_Wisata'!$A$12:$A$622, 0)))) * COS(RADIANS(C384)) * SIN(RADIANS((D384) - INDEX('Dataset_Wisata'!$D$12:$D$622, MATCH('Dashboard'!$C$9, 'Dataset_Wisata'!$A$12:$A$622, 0)))/2)^2)) * 1.3</f>
        <v/>
      </c>
      <c r="J384" s="21">
        <f>ROUND(I384 * IF('Dashboard'!$C$6&lt;=1, 2250, IF('Dashboard'!$C$6&lt;=4, 5150, 6000)), 0)</f>
        <v/>
      </c>
      <c r="K384" s="30" t="n">
        <v>0.9998126508185596</v>
      </c>
      <c r="L384" s="30" t="n">
        <v>0.0001775718391516968</v>
      </c>
      <c r="M384" s="30" t="n">
        <v>9.7773422886897e-06</v>
      </c>
      <c r="N384" s="31">
        <f>ABS(E384-$F$6)</f>
        <v/>
      </c>
      <c r="O384" s="31">
        <f>ABS(E384-$F$7)</f>
        <v/>
      </c>
      <c r="P384" s="31">
        <f>ABS(E384-$F$8)</f>
        <v/>
      </c>
      <c r="Q384" s="14">
        <f>IF(K384&gt;=MAX(L384,M384), "Hemat", IF(L384&gt;=M384, "Balanced", "Premium"))</f>
        <v/>
      </c>
      <c r="R384" s="30" t="n">
        <v>0.9998126513362043</v>
      </c>
      <c r="S384" s="30" t="n">
        <v>0.0001775713458315561</v>
      </c>
      <c r="T384" s="30" t="n">
        <v>9.777317964159987e-06</v>
      </c>
      <c r="U384" s="31">
        <f>ABS(E384-$G$6)</f>
        <v/>
      </c>
      <c r="V384" s="31">
        <f>ABS(E384-$G$7)</f>
        <v/>
      </c>
      <c r="W384" s="31">
        <f>ABS(E384-$G$8)</f>
        <v/>
      </c>
      <c r="X384" s="14">
        <f>IF(R384&gt;=MAX(S384,T384), "Hemat", IF(S384&gt;=T384, "Balanced", "Premium"))</f>
        <v/>
      </c>
    </row>
    <row r="385">
      <c r="A385" s="14" t="n">
        <v>386</v>
      </c>
      <c r="B385" s="7" t="inlineStr">
        <is>
          <t>Oud Malang , Tweede Afstandpaal " Km 0 " - 0 Km Kota Malang</t>
        </is>
      </c>
      <c r="C385" s="26" t="n">
        <v>-7.9817898</v>
      </c>
      <c r="D385" s="26" t="n">
        <v>112.63121</v>
      </c>
      <c r="E385" s="21" t="n">
        <v>0</v>
      </c>
      <c r="F385" s="27" t="n">
        <v>4.6</v>
      </c>
      <c r="G385" s="28" t="n">
        <v>40</v>
      </c>
      <c r="H385" s="14" t="inlineStr">
        <is>
          <t>Wisata Umum</t>
        </is>
      </c>
      <c r="I385" s="29">
        <f>6371 * 2 * ASIN(SQRT(SIN(RADIANS((C385) - INDEX('Dataset_Wisata'!$C$12:$C$622, MATCH('Dashboard'!$C$9, 'Dataset_Wisata'!$A$12:$A$622, 0)))/2)^2 + COS(RADIANS(INDEX('Dataset_Wisata'!$C$12:$C$622, MATCH('Dashboard'!$C$9, 'Dataset_Wisata'!$A$12:$A$622, 0)))) * COS(RADIANS(C385)) * SIN(RADIANS((D385) - INDEX('Dataset_Wisata'!$D$12:$D$622, MATCH('Dashboard'!$C$9, 'Dataset_Wisata'!$A$12:$A$622, 0)))/2)^2)) * 1.3</f>
        <v/>
      </c>
      <c r="J385" s="21">
        <f>ROUND(I385 * IF('Dashboard'!$C$6&lt;=1, 2250, IF('Dashboard'!$C$6&lt;=4, 5150, 6000)), 0)</f>
        <v/>
      </c>
      <c r="K385" s="30" t="n">
        <v>0.9626824510005771</v>
      </c>
      <c r="L385" s="30" t="n">
        <v>0.03465542295845363</v>
      </c>
      <c r="M385" s="30" t="n">
        <v>0.002662126040969366</v>
      </c>
      <c r="N385" s="31">
        <f>ABS(E385-$F$6)</f>
        <v/>
      </c>
      <c r="O385" s="31">
        <f>ABS(E385-$F$7)</f>
        <v/>
      </c>
      <c r="P385" s="31">
        <f>ABS(E385-$F$8)</f>
        <v/>
      </c>
      <c r="Q385" s="14">
        <f>IF(K385&gt;=MAX(L385,M385), "Hemat", IF(L385&gt;=M385, "Balanced", "Premium"))</f>
        <v/>
      </c>
      <c r="R385" s="30" t="n">
        <v>0.9626824549241798</v>
      </c>
      <c r="S385" s="30" t="n">
        <v>0.03465541875469833</v>
      </c>
      <c r="T385" s="30" t="n">
        <v>0.002662126321121907</v>
      </c>
      <c r="U385" s="31">
        <f>ABS(E385-$G$6)</f>
        <v/>
      </c>
      <c r="V385" s="31">
        <f>ABS(E385-$G$7)</f>
        <v/>
      </c>
      <c r="W385" s="31">
        <f>ABS(E385-$G$8)</f>
        <v/>
      </c>
      <c r="X385" s="14">
        <f>IF(R385&gt;=MAX(S385,T385), "Hemat", IF(S385&gt;=T385, "Balanced", "Premium"))</f>
        <v/>
      </c>
    </row>
    <row r="386">
      <c r="A386" s="14" t="n">
        <v>387</v>
      </c>
      <c r="B386" s="7" t="inlineStr">
        <is>
          <t>Kayutangan Heritage</t>
        </is>
      </c>
      <c r="C386" s="26" t="n">
        <v>-7.9764311</v>
      </c>
      <c r="D386" s="26" t="n">
        <v>112.6293999</v>
      </c>
      <c r="E386" s="21" t="n">
        <v>10000</v>
      </c>
      <c r="F386" s="27" t="n">
        <v>4.7</v>
      </c>
      <c r="G386" s="28" t="n">
        <v>781</v>
      </c>
      <c r="H386" s="14" t="inlineStr">
        <is>
          <t>Wisata Umum</t>
        </is>
      </c>
      <c r="I386" s="29">
        <f>6371 * 2 * ASIN(SQRT(SIN(RADIANS((C386) - INDEX('Dataset_Wisata'!$C$12:$C$622, MATCH('Dashboard'!$C$9, 'Dataset_Wisata'!$A$12:$A$622, 0)))/2)^2 + COS(RADIANS(INDEX('Dataset_Wisata'!$C$12:$C$622, MATCH('Dashboard'!$C$9, 'Dataset_Wisata'!$A$12:$A$622, 0)))) * COS(RADIANS(C386)) * SIN(RADIANS((D386) - INDEX('Dataset_Wisata'!$D$12:$D$622, MATCH('Dashboard'!$C$9, 'Dataset_Wisata'!$A$12:$A$622, 0)))/2)^2)) * 1.3</f>
        <v/>
      </c>
      <c r="J386" s="21">
        <f>ROUND(I386 * IF('Dashboard'!$C$6&lt;=1, 2250, IF('Dashboard'!$C$6&lt;=4, 5150, 6000)), 0)</f>
        <v/>
      </c>
      <c r="K386" s="30" t="n">
        <v>0.9998126508185596</v>
      </c>
      <c r="L386" s="30" t="n">
        <v>0.0001775718391516968</v>
      </c>
      <c r="M386" s="30" t="n">
        <v>9.7773422886897e-06</v>
      </c>
      <c r="N386" s="31">
        <f>ABS(E386-$F$6)</f>
        <v/>
      </c>
      <c r="O386" s="31">
        <f>ABS(E386-$F$7)</f>
        <v/>
      </c>
      <c r="P386" s="31">
        <f>ABS(E386-$F$8)</f>
        <v/>
      </c>
      <c r="Q386" s="14">
        <f>IF(K386&gt;=MAX(L386,M386), "Hemat", IF(L386&gt;=M386, "Balanced", "Premium"))</f>
        <v/>
      </c>
      <c r="R386" s="30" t="n">
        <v>0.9998126513362043</v>
      </c>
      <c r="S386" s="30" t="n">
        <v>0.0001775713458315561</v>
      </c>
      <c r="T386" s="30" t="n">
        <v>9.777317964159987e-06</v>
      </c>
      <c r="U386" s="31">
        <f>ABS(E386-$G$6)</f>
        <v/>
      </c>
      <c r="V386" s="31">
        <f>ABS(E386-$G$7)</f>
        <v/>
      </c>
      <c r="W386" s="31">
        <f>ABS(E386-$G$8)</f>
        <v/>
      </c>
      <c r="X386" s="14">
        <f>IF(R386&gt;=MAX(S386,T386), "Hemat", IF(S386&gt;=T386, "Balanced", "Premium"))</f>
        <v/>
      </c>
    </row>
    <row r="387">
      <c r="A387" s="14" t="n">
        <v>388</v>
      </c>
      <c r="B387" s="7" t="inlineStr">
        <is>
          <t>Malang Heritage</t>
        </is>
      </c>
      <c r="C387" s="26" t="n">
        <v>-7.9781297</v>
      </c>
      <c r="D387" s="26" t="n">
        <v>112.629452</v>
      </c>
      <c r="E387" s="21" t="n">
        <v>10000</v>
      </c>
      <c r="F387" s="27" t="n">
        <v>4.6</v>
      </c>
      <c r="G387" s="28" t="n">
        <v>101</v>
      </c>
      <c r="H387" s="14" t="inlineStr">
        <is>
          <t>Wisata Umum</t>
        </is>
      </c>
      <c r="I387" s="29">
        <f>6371 * 2 * ASIN(SQRT(SIN(RADIANS((C387) - INDEX('Dataset_Wisata'!$C$12:$C$622, MATCH('Dashboard'!$C$9, 'Dataset_Wisata'!$A$12:$A$622, 0)))/2)^2 + COS(RADIANS(INDEX('Dataset_Wisata'!$C$12:$C$622, MATCH('Dashboard'!$C$9, 'Dataset_Wisata'!$A$12:$A$622, 0)))) * COS(RADIANS(C387)) * SIN(RADIANS((D387) - INDEX('Dataset_Wisata'!$D$12:$D$622, MATCH('Dashboard'!$C$9, 'Dataset_Wisata'!$A$12:$A$622, 0)))/2)^2)) * 1.3</f>
        <v/>
      </c>
      <c r="J387" s="21">
        <f>ROUND(I387 * IF('Dashboard'!$C$6&lt;=1, 2250, IF('Dashboard'!$C$6&lt;=4, 5150, 6000)), 0)</f>
        <v/>
      </c>
      <c r="K387" s="30" t="n">
        <v>0.9998126508185596</v>
      </c>
      <c r="L387" s="30" t="n">
        <v>0.0001775718391516968</v>
      </c>
      <c r="M387" s="30" t="n">
        <v>9.7773422886897e-06</v>
      </c>
      <c r="N387" s="31">
        <f>ABS(E387-$F$6)</f>
        <v/>
      </c>
      <c r="O387" s="31">
        <f>ABS(E387-$F$7)</f>
        <v/>
      </c>
      <c r="P387" s="31">
        <f>ABS(E387-$F$8)</f>
        <v/>
      </c>
      <c r="Q387" s="14">
        <f>IF(K387&gt;=MAX(L387,M387), "Hemat", IF(L387&gt;=M387, "Balanced", "Premium"))</f>
        <v/>
      </c>
      <c r="R387" s="30" t="n">
        <v>0.9998126513362043</v>
      </c>
      <c r="S387" s="30" t="n">
        <v>0.0001775713458315561</v>
      </c>
      <c r="T387" s="30" t="n">
        <v>9.777317964159987e-06</v>
      </c>
      <c r="U387" s="31">
        <f>ABS(E387-$G$6)</f>
        <v/>
      </c>
      <c r="V387" s="31">
        <f>ABS(E387-$G$7)</f>
        <v/>
      </c>
      <c r="W387" s="31">
        <f>ABS(E387-$G$8)</f>
        <v/>
      </c>
      <c r="X387" s="14">
        <f>IF(R387&gt;=MAX(S387,T387), "Hemat", IF(S387&gt;=T387, "Balanced", "Premium"))</f>
        <v/>
      </c>
    </row>
    <row r="388">
      <c r="A388" s="14" t="n">
        <v>389</v>
      </c>
      <c r="B388" s="7" t="inlineStr">
        <is>
          <t>Taman Halmahera</t>
        </is>
      </c>
      <c r="C388" s="26" t="n">
        <v>-7.9923625</v>
      </c>
      <c r="D388" s="26" t="n">
        <v>112.6282656</v>
      </c>
      <c r="E388" s="21" t="n">
        <v>0</v>
      </c>
      <c r="F388" s="27" t="n">
        <v>4.3</v>
      </c>
      <c r="G388" s="28" t="n">
        <v>118</v>
      </c>
      <c r="H388" s="14" t="inlineStr">
        <is>
          <t>Taman Halmahera</t>
        </is>
      </c>
      <c r="I388" s="29">
        <f>6371 * 2 * ASIN(SQRT(SIN(RADIANS((C388) - INDEX('Dataset_Wisata'!$C$12:$C$622, MATCH('Dashboard'!$C$9, 'Dataset_Wisata'!$A$12:$A$622, 0)))/2)^2 + COS(RADIANS(INDEX('Dataset_Wisata'!$C$12:$C$622, MATCH('Dashboard'!$C$9, 'Dataset_Wisata'!$A$12:$A$622, 0)))) * COS(RADIANS(C388)) * SIN(RADIANS((D388) - INDEX('Dataset_Wisata'!$D$12:$D$622, MATCH('Dashboard'!$C$9, 'Dataset_Wisata'!$A$12:$A$622, 0)))/2)^2)) * 1.3</f>
        <v/>
      </c>
      <c r="J388" s="21">
        <f>ROUND(I388 * IF('Dashboard'!$C$6&lt;=1, 2250, IF('Dashboard'!$C$6&lt;=4, 5150, 6000)), 0)</f>
        <v/>
      </c>
      <c r="K388" s="30" t="n">
        <v>0.9626824510005771</v>
      </c>
      <c r="L388" s="30" t="n">
        <v>0.03465542295845363</v>
      </c>
      <c r="M388" s="30" t="n">
        <v>0.002662126040969366</v>
      </c>
      <c r="N388" s="31">
        <f>ABS(E388-$F$6)</f>
        <v/>
      </c>
      <c r="O388" s="31">
        <f>ABS(E388-$F$7)</f>
        <v/>
      </c>
      <c r="P388" s="31">
        <f>ABS(E388-$F$8)</f>
        <v/>
      </c>
      <c r="Q388" s="14">
        <f>IF(K388&gt;=MAX(L388,M388), "Hemat", IF(L388&gt;=M388, "Balanced", "Premium"))</f>
        <v/>
      </c>
      <c r="R388" s="30" t="n">
        <v>0.9626824549241798</v>
      </c>
      <c r="S388" s="30" t="n">
        <v>0.03465541875469833</v>
      </c>
      <c r="T388" s="30" t="n">
        <v>0.002662126321121907</v>
      </c>
      <c r="U388" s="31">
        <f>ABS(E388-$G$6)</f>
        <v/>
      </c>
      <c r="V388" s="31">
        <f>ABS(E388-$G$7)</f>
        <v/>
      </c>
      <c r="W388" s="31">
        <f>ABS(E388-$G$8)</f>
        <v/>
      </c>
      <c r="X388" s="14">
        <f>IF(R388&gt;=MAX(S388,T388), "Hemat", IF(S388&gt;=T388, "Balanced", "Premium"))</f>
        <v/>
      </c>
    </row>
    <row r="389">
      <c r="A389" s="14" t="n">
        <v>391</v>
      </c>
      <c r="B389" s="7" t="inlineStr">
        <is>
          <t>Monumen Melati Kadet Suropati</t>
        </is>
      </c>
      <c r="C389" s="26" t="n">
        <v>-7.9722947</v>
      </c>
      <c r="D389" s="26" t="n">
        <v>112.6216063</v>
      </c>
      <c r="E389" s="21" t="n">
        <v>0</v>
      </c>
      <c r="F389" s="27" t="n">
        <v>4.5</v>
      </c>
      <c r="G389" s="28" t="n">
        <v>96</v>
      </c>
      <c r="H389" s="14" t="inlineStr">
        <is>
          <t>Wisata Umum</t>
        </is>
      </c>
      <c r="I389" s="29">
        <f>6371 * 2 * ASIN(SQRT(SIN(RADIANS((C389) - INDEX('Dataset_Wisata'!$C$12:$C$622, MATCH('Dashboard'!$C$9, 'Dataset_Wisata'!$A$12:$A$622, 0)))/2)^2 + COS(RADIANS(INDEX('Dataset_Wisata'!$C$12:$C$622, MATCH('Dashboard'!$C$9, 'Dataset_Wisata'!$A$12:$A$622, 0)))) * COS(RADIANS(C389)) * SIN(RADIANS((D389) - INDEX('Dataset_Wisata'!$D$12:$D$622, MATCH('Dashboard'!$C$9, 'Dataset_Wisata'!$A$12:$A$622, 0)))/2)^2)) * 1.3</f>
        <v/>
      </c>
      <c r="J389" s="21">
        <f>ROUND(I389 * IF('Dashboard'!$C$6&lt;=1, 2250, IF('Dashboard'!$C$6&lt;=4, 5150, 6000)), 0)</f>
        <v/>
      </c>
      <c r="K389" s="30" t="n">
        <v>0.9626824510005771</v>
      </c>
      <c r="L389" s="30" t="n">
        <v>0.03465542295845363</v>
      </c>
      <c r="M389" s="30" t="n">
        <v>0.002662126040969366</v>
      </c>
      <c r="N389" s="31">
        <f>ABS(E389-$F$6)</f>
        <v/>
      </c>
      <c r="O389" s="31">
        <f>ABS(E389-$F$7)</f>
        <v/>
      </c>
      <c r="P389" s="31">
        <f>ABS(E389-$F$8)</f>
        <v/>
      </c>
      <c r="Q389" s="14">
        <f>IF(K389&gt;=MAX(L389,M389), "Hemat", IF(L389&gt;=M389, "Balanced", "Premium"))</f>
        <v/>
      </c>
      <c r="R389" s="30" t="n">
        <v>0.9626824549241798</v>
      </c>
      <c r="S389" s="30" t="n">
        <v>0.03465541875469833</v>
      </c>
      <c r="T389" s="30" t="n">
        <v>0.002662126321121907</v>
      </c>
      <c r="U389" s="31">
        <f>ABS(E389-$G$6)</f>
        <v/>
      </c>
      <c r="V389" s="31">
        <f>ABS(E389-$G$7)</f>
        <v/>
      </c>
      <c r="W389" s="31">
        <f>ABS(E389-$G$8)</f>
        <v/>
      </c>
      <c r="X389" s="14">
        <f>IF(R389&gt;=MAX(S389,T389), "Hemat", IF(S389&gt;=T389, "Balanced", "Premium"))</f>
        <v/>
      </c>
    </row>
    <row r="390">
      <c r="A390" s="14" t="n">
        <v>392</v>
      </c>
      <c r="B390" s="7" t="inlineStr">
        <is>
          <t>De Rumah Park</t>
        </is>
      </c>
      <c r="C390" s="26" t="n">
        <v>-7.9567026</v>
      </c>
      <c r="D390" s="26" t="n">
        <v>112.6206672</v>
      </c>
      <c r="E390" s="21" t="n">
        <v>25000</v>
      </c>
      <c r="F390" s="27" t="n">
        <v>4.4</v>
      </c>
      <c r="G390" s="28" t="n">
        <v>101</v>
      </c>
      <c r="H390" s="14" t="inlineStr">
        <is>
          <t>Taman · De Rumah, Jalan</t>
        </is>
      </c>
      <c r="I390" s="29">
        <f>6371 * 2 * ASIN(SQRT(SIN(RADIANS((C390) - INDEX('Dataset_Wisata'!$C$12:$C$622, MATCH('Dashboard'!$C$9, 'Dataset_Wisata'!$A$12:$A$622, 0)))/2)^2 + COS(RADIANS(INDEX('Dataset_Wisata'!$C$12:$C$622, MATCH('Dashboard'!$C$9, 'Dataset_Wisata'!$A$12:$A$622, 0)))) * COS(RADIANS(C390)) * SIN(RADIANS((D390) - INDEX('Dataset_Wisata'!$D$12:$D$622, MATCH('Dashboard'!$C$9, 'Dataset_Wisata'!$A$12:$A$622, 0)))/2)^2)) * 1.3</f>
        <v/>
      </c>
      <c r="J390" s="21">
        <f>ROUND(I390 * IF('Dashboard'!$C$6&lt;=1, 2250, IF('Dashboard'!$C$6&lt;=4, 5150, 6000)), 0)</f>
        <v/>
      </c>
      <c r="K390" s="30" t="n">
        <v>0.714779317495253</v>
      </c>
      <c r="L390" s="30" t="n">
        <v>0.2780482755376564</v>
      </c>
      <c r="M390" s="30" t="n">
        <v>0.0071724069670906</v>
      </c>
      <c r="N390" s="31">
        <f>ABS(E390-$F$6)</f>
        <v/>
      </c>
      <c r="O390" s="31">
        <f>ABS(E390-$F$7)</f>
        <v/>
      </c>
      <c r="P390" s="31">
        <f>ABS(E390-$F$8)</f>
        <v/>
      </c>
      <c r="Q390" s="14">
        <f>IF(K390&gt;=MAX(L390,M390), "Hemat", IF(L390&gt;=M390, "Balanced", "Premium"))</f>
        <v/>
      </c>
      <c r="R390" s="30" t="n">
        <v>0.7147794395425007</v>
      </c>
      <c r="S390" s="30" t="n">
        <v>0.2780481531707544</v>
      </c>
      <c r="T390" s="30" t="n">
        <v>0.007172407286744955</v>
      </c>
      <c r="U390" s="31">
        <f>ABS(E390-$G$6)</f>
        <v/>
      </c>
      <c r="V390" s="31">
        <f>ABS(E390-$G$7)</f>
        <v/>
      </c>
      <c r="W390" s="31">
        <f>ABS(E390-$G$8)</f>
        <v/>
      </c>
      <c r="X390" s="14">
        <f>IF(R390&gt;=MAX(S390,T390), "Hemat", IF(S390&gt;=T390, "Balanced", "Premium"))</f>
        <v/>
      </c>
    </row>
    <row r="391">
      <c r="A391" s="14" t="n">
        <v>393</v>
      </c>
      <c r="B391" s="7" t="inlineStr">
        <is>
          <t>Dam Kadalpang</t>
        </is>
      </c>
      <c r="C391" s="26" t="n">
        <v>-7.9577925</v>
      </c>
      <c r="D391" s="26" t="n">
        <v>112.6243295</v>
      </c>
      <c r="E391" s="21" t="n">
        <v>5000</v>
      </c>
      <c r="F391" s="27" t="n">
        <v>4.1</v>
      </c>
      <c r="G391" s="28" t="n">
        <v>99</v>
      </c>
      <c r="H391" s="14" t="inlineStr">
        <is>
          <t>Wisata Umum</t>
        </is>
      </c>
      <c r="I391" s="29">
        <f>6371 * 2 * ASIN(SQRT(SIN(RADIANS((C391) - INDEX('Dataset_Wisata'!$C$12:$C$622, MATCH('Dashboard'!$C$9, 'Dataset_Wisata'!$A$12:$A$622, 0)))/2)^2 + COS(RADIANS(INDEX('Dataset_Wisata'!$C$12:$C$622, MATCH('Dashboard'!$C$9, 'Dataset_Wisata'!$A$12:$A$622, 0)))) * COS(RADIANS(C391)) * SIN(RADIANS((D391) - INDEX('Dataset_Wisata'!$D$12:$D$622, MATCH('Dashboard'!$C$9, 'Dataset_Wisata'!$A$12:$A$622, 0)))/2)^2)) * 1.3</f>
        <v/>
      </c>
      <c r="J391" s="21">
        <f>ROUND(I391 * IF('Dashboard'!$C$6&lt;=1, 2250, IF('Dashboard'!$C$6&lt;=4, 5150, 6000)), 0)</f>
        <v/>
      </c>
      <c r="K391" s="30" t="n">
        <v>0.9895566543895754</v>
      </c>
      <c r="L391" s="30" t="n">
        <v>0.009798611400025654</v>
      </c>
      <c r="M391" s="30" t="n">
        <v>0.0006447342103988783</v>
      </c>
      <c r="N391" s="31">
        <f>ABS(E391-$F$6)</f>
        <v/>
      </c>
      <c r="O391" s="31">
        <f>ABS(E391-$F$7)</f>
        <v/>
      </c>
      <c r="P391" s="31">
        <f>ABS(E391-$F$8)</f>
        <v/>
      </c>
      <c r="Q391" s="14">
        <f>IF(K391&gt;=MAX(L391,M391), "Hemat", IF(L391&gt;=M391, "Balanced", "Premium"))</f>
        <v/>
      </c>
      <c r="R391" s="30" t="n">
        <v>0.9895566542341836</v>
      </c>
      <c r="S391" s="30" t="n">
        <v>0.00979861139170024</v>
      </c>
      <c r="T391" s="30" t="n">
        <v>0.00064473437411607</v>
      </c>
      <c r="U391" s="31">
        <f>ABS(E391-$G$6)</f>
        <v/>
      </c>
      <c r="V391" s="31">
        <f>ABS(E391-$G$7)</f>
        <v/>
      </c>
      <c r="W391" s="31">
        <f>ABS(E391-$G$8)</f>
        <v/>
      </c>
      <c r="X391" s="14">
        <f>IF(R391&gt;=MAX(S391,T391), "Hemat", IF(S391&gt;=T391, "Balanced", "Premium"))</f>
        <v/>
      </c>
    </row>
    <row r="392">
      <c r="A392" s="14" t="n">
        <v>394</v>
      </c>
      <c r="B392" s="7" t="inlineStr">
        <is>
          <t>Monumen Tentara Genie Pelajar</t>
        </is>
      </c>
      <c r="C392" s="26" t="n">
        <v>-7.9753899</v>
      </c>
      <c r="D392" s="26" t="n">
        <v>112.6260551</v>
      </c>
      <c r="E392" s="21" t="n">
        <v>0</v>
      </c>
      <c r="F392" s="27" t="n">
        <v>4.6</v>
      </c>
      <c r="G392" s="28" t="n">
        <v>159</v>
      </c>
      <c r="H392" s="14" t="inlineStr">
        <is>
          <t>Wisata Umum</t>
        </is>
      </c>
      <c r="I392" s="29">
        <f>6371 * 2 * ASIN(SQRT(SIN(RADIANS((C392) - INDEX('Dataset_Wisata'!$C$12:$C$622, MATCH('Dashboard'!$C$9, 'Dataset_Wisata'!$A$12:$A$622, 0)))/2)^2 + COS(RADIANS(INDEX('Dataset_Wisata'!$C$12:$C$622, MATCH('Dashboard'!$C$9, 'Dataset_Wisata'!$A$12:$A$622, 0)))) * COS(RADIANS(C392)) * SIN(RADIANS((D392) - INDEX('Dataset_Wisata'!$D$12:$D$622, MATCH('Dashboard'!$C$9, 'Dataset_Wisata'!$A$12:$A$622, 0)))/2)^2)) * 1.3</f>
        <v/>
      </c>
      <c r="J392" s="21">
        <f>ROUND(I392 * IF('Dashboard'!$C$6&lt;=1, 2250, IF('Dashboard'!$C$6&lt;=4, 5150, 6000)), 0)</f>
        <v/>
      </c>
      <c r="K392" s="30" t="n">
        <v>0.9626824510005771</v>
      </c>
      <c r="L392" s="30" t="n">
        <v>0.03465542295845363</v>
      </c>
      <c r="M392" s="30" t="n">
        <v>0.002662126040969366</v>
      </c>
      <c r="N392" s="31">
        <f>ABS(E392-$F$6)</f>
        <v/>
      </c>
      <c r="O392" s="31">
        <f>ABS(E392-$F$7)</f>
        <v/>
      </c>
      <c r="P392" s="31">
        <f>ABS(E392-$F$8)</f>
        <v/>
      </c>
      <c r="Q392" s="14">
        <f>IF(K392&gt;=MAX(L392,M392), "Hemat", IF(L392&gt;=M392, "Balanced", "Premium"))</f>
        <v/>
      </c>
      <c r="R392" s="30" t="n">
        <v>0.9626824549241798</v>
      </c>
      <c r="S392" s="30" t="n">
        <v>0.03465541875469833</v>
      </c>
      <c r="T392" s="30" t="n">
        <v>0.002662126321121907</v>
      </c>
      <c r="U392" s="31">
        <f>ABS(E392-$G$6)</f>
        <v/>
      </c>
      <c r="V392" s="31">
        <f>ABS(E392-$G$7)</f>
        <v/>
      </c>
      <c r="W392" s="31">
        <f>ABS(E392-$G$8)</f>
        <v/>
      </c>
      <c r="X392" s="14">
        <f>IF(R392&gt;=MAX(S392,T392), "Hemat", IF(S392&gt;=T392, "Balanced", "Premium"))</f>
        <v/>
      </c>
    </row>
    <row r="393">
      <c r="A393" s="14" t="n">
        <v>395</v>
      </c>
      <c r="B393" s="7" t="inlineStr">
        <is>
          <t>Patung Mayor Hamid Rusdi</t>
        </is>
      </c>
      <c r="C393" s="26" t="n">
        <v>-7.9656449</v>
      </c>
      <c r="D393" s="26" t="n">
        <v>112.625161</v>
      </c>
      <c r="E393" s="21" t="n">
        <v>50000</v>
      </c>
      <c r="F393" s="27" t="n">
        <v>4.5</v>
      </c>
      <c r="G393" s="28" t="n">
        <v>47</v>
      </c>
      <c r="H393" s="14" t="inlineStr">
        <is>
          <t>Wisata Umum</t>
        </is>
      </c>
      <c r="I393" s="29">
        <f>6371 * 2 * ASIN(SQRT(SIN(RADIANS((C393) - INDEX('Dataset_Wisata'!$C$12:$C$622, MATCH('Dashboard'!$C$9, 'Dataset_Wisata'!$A$12:$A$622, 0)))/2)^2 + COS(RADIANS(INDEX('Dataset_Wisata'!$C$12:$C$622, MATCH('Dashboard'!$C$9, 'Dataset_Wisata'!$A$12:$A$622, 0)))) * COS(RADIANS(C393)) * SIN(RADIANS((D393) - INDEX('Dataset_Wisata'!$D$12:$D$622, MATCH('Dashboard'!$C$9, 'Dataset_Wisata'!$A$12:$A$622, 0)))/2)^2)) * 1.3</f>
        <v/>
      </c>
      <c r="J393" s="21">
        <f>ROUND(I393 * IF('Dashboard'!$C$6&lt;=1, 2250, IF('Dashboard'!$C$6&lt;=4, 5150, 6000)), 0)</f>
        <v/>
      </c>
      <c r="K393" s="30" t="n">
        <v>5.758531237204236e-06</v>
      </c>
      <c r="L393" s="30" t="n">
        <v>0.9999936821294634</v>
      </c>
      <c r="M393" s="30" t="n">
        <v>5.593392994189334e-07</v>
      </c>
      <c r="N393" s="31">
        <f>ABS(E393-$F$6)</f>
        <v/>
      </c>
      <c r="O393" s="31">
        <f>ABS(E393-$F$7)</f>
        <v/>
      </c>
      <c r="P393" s="31">
        <f>ABS(E393-$F$8)</f>
        <v/>
      </c>
      <c r="Q393" s="14">
        <f>IF(K393&gt;=MAX(L393,M393), "Hemat", IF(L393&gt;=M393, "Balanced", "Premium"))</f>
        <v/>
      </c>
      <c r="R393" s="30" t="n">
        <v>5.757754513908737e-06</v>
      </c>
      <c r="S393" s="30" t="n">
        <v>0.9999936829816778</v>
      </c>
      <c r="T393" s="30" t="n">
        <v>5.592638083270285e-07</v>
      </c>
      <c r="U393" s="31">
        <f>ABS(E393-$G$6)</f>
        <v/>
      </c>
      <c r="V393" s="31">
        <f>ABS(E393-$G$7)</f>
        <v/>
      </c>
      <c r="W393" s="31">
        <f>ABS(E393-$G$8)</f>
        <v/>
      </c>
      <c r="X393" s="14">
        <f>IF(R393&gt;=MAX(S393,T393), "Hemat", IF(S393&gt;=T393, "Balanced", "Premium"))</f>
        <v/>
      </c>
    </row>
    <row r="394">
      <c r="A394" s="14" t="n">
        <v>396</v>
      </c>
      <c r="B394" s="7" t="inlineStr">
        <is>
          <t>Masjid An-Nur</t>
        </is>
      </c>
      <c r="C394" s="26" t="n">
        <v>-7.9639168</v>
      </c>
      <c r="D394" s="26" t="n">
        <v>112.6294924</v>
      </c>
      <c r="E394" s="21" t="n">
        <v>10000</v>
      </c>
      <c r="F394" s="27" t="n">
        <v>4.8</v>
      </c>
      <c r="G394" s="28" t="n">
        <v>485</v>
      </c>
      <c r="H394" s="14" t="inlineStr">
        <is>
          <t>Masjid An-Nur</t>
        </is>
      </c>
      <c r="I394" s="29">
        <f>6371 * 2 * ASIN(SQRT(SIN(RADIANS((C394) - INDEX('Dataset_Wisata'!$C$12:$C$622, MATCH('Dashboard'!$C$9, 'Dataset_Wisata'!$A$12:$A$622, 0)))/2)^2 + COS(RADIANS(INDEX('Dataset_Wisata'!$C$12:$C$622, MATCH('Dashboard'!$C$9, 'Dataset_Wisata'!$A$12:$A$622, 0)))) * COS(RADIANS(C394)) * SIN(RADIANS((D394) - INDEX('Dataset_Wisata'!$D$12:$D$622, MATCH('Dashboard'!$C$9, 'Dataset_Wisata'!$A$12:$A$622, 0)))/2)^2)) * 1.3</f>
        <v/>
      </c>
      <c r="J394" s="21">
        <f>ROUND(I394 * IF('Dashboard'!$C$6&lt;=1, 2250, IF('Dashboard'!$C$6&lt;=4, 5150, 6000)), 0)</f>
        <v/>
      </c>
      <c r="K394" s="30" t="n">
        <v>0.9998126508185596</v>
      </c>
      <c r="L394" s="30" t="n">
        <v>0.0001775718391516968</v>
      </c>
      <c r="M394" s="30" t="n">
        <v>9.7773422886897e-06</v>
      </c>
      <c r="N394" s="31">
        <f>ABS(E394-$F$6)</f>
        <v/>
      </c>
      <c r="O394" s="31">
        <f>ABS(E394-$F$7)</f>
        <v/>
      </c>
      <c r="P394" s="31">
        <f>ABS(E394-$F$8)</f>
        <v/>
      </c>
      <c r="Q394" s="14">
        <f>IF(K394&gt;=MAX(L394,M394), "Hemat", IF(L394&gt;=M394, "Balanced", "Premium"))</f>
        <v/>
      </c>
      <c r="R394" s="30" t="n">
        <v>0.9998126513362043</v>
      </c>
      <c r="S394" s="30" t="n">
        <v>0.0001775713458315561</v>
      </c>
      <c r="T394" s="30" t="n">
        <v>9.777317964159987e-06</v>
      </c>
      <c r="U394" s="31">
        <f>ABS(E394-$G$6)</f>
        <v/>
      </c>
      <c r="V394" s="31">
        <f>ABS(E394-$G$7)</f>
        <v/>
      </c>
      <c r="W394" s="31">
        <f>ABS(E394-$G$8)</f>
        <v/>
      </c>
      <c r="X394" s="14">
        <f>IF(R394&gt;=MAX(S394,T394), "Hemat", IF(S394&gt;=T394, "Balanced", "Premium"))</f>
        <v/>
      </c>
    </row>
    <row r="395">
      <c r="A395" s="14" t="n">
        <v>397</v>
      </c>
      <c r="B395" s="7" t="inlineStr">
        <is>
          <t>Taman Bibit Mojolangu</t>
        </is>
      </c>
      <c r="C395" s="26" t="n">
        <v>-7.9330379</v>
      </c>
      <c r="D395" s="26" t="n">
        <v>112.6280413</v>
      </c>
      <c r="E395" s="21" t="n">
        <v>25000</v>
      </c>
      <c r="F395" s="27" t="n">
        <v>4.4</v>
      </c>
      <c r="G395" s="28" t="n">
        <v>192</v>
      </c>
      <c r="H395" s="14" t="inlineStr">
        <is>
          <t>Taman Bibit Mojolangu</t>
        </is>
      </c>
      <c r="I395" s="29">
        <f>6371 * 2 * ASIN(SQRT(SIN(RADIANS((C395) - INDEX('Dataset_Wisata'!$C$12:$C$622, MATCH('Dashboard'!$C$9, 'Dataset_Wisata'!$A$12:$A$622, 0)))/2)^2 + COS(RADIANS(INDEX('Dataset_Wisata'!$C$12:$C$622, MATCH('Dashboard'!$C$9, 'Dataset_Wisata'!$A$12:$A$622, 0)))) * COS(RADIANS(C395)) * SIN(RADIANS((D395) - INDEX('Dataset_Wisata'!$D$12:$D$622, MATCH('Dashboard'!$C$9, 'Dataset_Wisata'!$A$12:$A$622, 0)))/2)^2)) * 1.3</f>
        <v/>
      </c>
      <c r="J395" s="21">
        <f>ROUND(I395 * IF('Dashboard'!$C$6&lt;=1, 2250, IF('Dashboard'!$C$6&lt;=4, 5150, 6000)), 0)</f>
        <v/>
      </c>
      <c r="K395" s="30" t="n">
        <v>0.714779317495253</v>
      </c>
      <c r="L395" s="30" t="n">
        <v>0.2780482755376564</v>
      </c>
      <c r="M395" s="30" t="n">
        <v>0.0071724069670906</v>
      </c>
      <c r="N395" s="31">
        <f>ABS(E395-$F$6)</f>
        <v/>
      </c>
      <c r="O395" s="31">
        <f>ABS(E395-$F$7)</f>
        <v/>
      </c>
      <c r="P395" s="31">
        <f>ABS(E395-$F$8)</f>
        <v/>
      </c>
      <c r="Q395" s="14">
        <f>IF(K395&gt;=MAX(L395,M395), "Hemat", IF(L395&gt;=M395, "Balanced", "Premium"))</f>
        <v/>
      </c>
      <c r="R395" s="30" t="n">
        <v>0.7147794395425007</v>
      </c>
      <c r="S395" s="30" t="n">
        <v>0.2780481531707544</v>
      </c>
      <c r="T395" s="30" t="n">
        <v>0.007172407286744955</v>
      </c>
      <c r="U395" s="31">
        <f>ABS(E395-$G$6)</f>
        <v/>
      </c>
      <c r="V395" s="31">
        <f>ABS(E395-$G$7)</f>
        <v/>
      </c>
      <c r="W395" s="31">
        <f>ABS(E395-$G$8)</f>
        <v/>
      </c>
      <c r="X395" s="14">
        <f>IF(R395&gt;=MAX(S395,T395), "Hemat", IF(S395&gt;=T395, "Balanced", "Premium"))</f>
        <v/>
      </c>
    </row>
    <row r="396">
      <c r="A396" s="14" t="n">
        <v>398</v>
      </c>
      <c r="B396" s="7" t="inlineStr">
        <is>
          <t>Museum Mpu Purwa</t>
        </is>
      </c>
      <c r="C396" s="26" t="n">
        <v>-7.9403907</v>
      </c>
      <c r="D396" s="26" t="n">
        <v>112.6208237</v>
      </c>
      <c r="E396" s="21" t="n">
        <v>0</v>
      </c>
      <c r="F396" s="27" t="n">
        <v>4.6</v>
      </c>
      <c r="G396" s="28" t="n">
        <v>769</v>
      </c>
      <c r="H396" s="14" t="inlineStr">
        <is>
          <t>Museum Mpu Purwa</t>
        </is>
      </c>
      <c r="I396" s="29">
        <f>6371 * 2 * ASIN(SQRT(SIN(RADIANS((C396) - INDEX('Dataset_Wisata'!$C$12:$C$622, MATCH('Dashboard'!$C$9, 'Dataset_Wisata'!$A$12:$A$622, 0)))/2)^2 + COS(RADIANS(INDEX('Dataset_Wisata'!$C$12:$C$622, MATCH('Dashboard'!$C$9, 'Dataset_Wisata'!$A$12:$A$622, 0)))) * COS(RADIANS(C396)) * SIN(RADIANS((D396) - INDEX('Dataset_Wisata'!$D$12:$D$622, MATCH('Dashboard'!$C$9, 'Dataset_Wisata'!$A$12:$A$622, 0)))/2)^2)) * 1.3</f>
        <v/>
      </c>
      <c r="J396" s="21">
        <f>ROUND(I396 * IF('Dashboard'!$C$6&lt;=1, 2250, IF('Dashboard'!$C$6&lt;=4, 5150, 6000)), 0)</f>
        <v/>
      </c>
      <c r="K396" s="30" t="n">
        <v>0.9626824510005771</v>
      </c>
      <c r="L396" s="30" t="n">
        <v>0.03465542295845363</v>
      </c>
      <c r="M396" s="30" t="n">
        <v>0.002662126040969366</v>
      </c>
      <c r="N396" s="31">
        <f>ABS(E396-$F$6)</f>
        <v/>
      </c>
      <c r="O396" s="31">
        <f>ABS(E396-$F$7)</f>
        <v/>
      </c>
      <c r="P396" s="31">
        <f>ABS(E396-$F$8)</f>
        <v/>
      </c>
      <c r="Q396" s="14">
        <f>IF(K396&gt;=MAX(L396,M396), "Hemat", IF(L396&gt;=M396, "Balanced", "Premium"))</f>
        <v/>
      </c>
      <c r="R396" s="30" t="n">
        <v>0.9626824549241798</v>
      </c>
      <c r="S396" s="30" t="n">
        <v>0.03465541875469833</v>
      </c>
      <c r="T396" s="30" t="n">
        <v>0.002662126321121907</v>
      </c>
      <c r="U396" s="31">
        <f>ABS(E396-$G$6)</f>
        <v/>
      </c>
      <c r="V396" s="31">
        <f>ABS(E396-$G$7)</f>
        <v/>
      </c>
      <c r="W396" s="31">
        <f>ABS(E396-$G$8)</f>
        <v/>
      </c>
      <c r="X396" s="14">
        <f>IF(R396&gt;=MAX(S396,T396), "Hemat", IF(S396&gt;=T396, "Balanced", "Premium"))</f>
        <v/>
      </c>
    </row>
    <row r="397">
      <c r="A397" s="14" t="n">
        <v>399</v>
      </c>
      <c r="B397" s="7" t="inlineStr">
        <is>
          <t>Taman Kebun Bibit Mojolangu Kota Malang</t>
        </is>
      </c>
      <c r="C397" s="26" t="n">
        <v>-7.9321426</v>
      </c>
      <c r="D397" s="26" t="n">
        <v>112.6289351</v>
      </c>
      <c r="E397" s="21" t="n">
        <v>0</v>
      </c>
      <c r="F397" s="27" t="n">
        <v>4.4</v>
      </c>
      <c r="G397" s="28" t="n">
        <v>411</v>
      </c>
      <c r="H397" s="14" t="inlineStr">
        <is>
          <t>Taman · 3J9H+4HV</t>
        </is>
      </c>
      <c r="I397" s="29">
        <f>6371 * 2 * ASIN(SQRT(SIN(RADIANS((C397) - INDEX('Dataset_Wisata'!$C$12:$C$622, MATCH('Dashboard'!$C$9, 'Dataset_Wisata'!$A$12:$A$622, 0)))/2)^2 + COS(RADIANS(INDEX('Dataset_Wisata'!$C$12:$C$622, MATCH('Dashboard'!$C$9, 'Dataset_Wisata'!$A$12:$A$622, 0)))) * COS(RADIANS(C397)) * SIN(RADIANS((D397) - INDEX('Dataset_Wisata'!$D$12:$D$622, MATCH('Dashboard'!$C$9, 'Dataset_Wisata'!$A$12:$A$622, 0)))/2)^2)) * 1.3</f>
        <v/>
      </c>
      <c r="J397" s="21">
        <f>ROUND(I397 * IF('Dashboard'!$C$6&lt;=1, 2250, IF('Dashboard'!$C$6&lt;=4, 5150, 6000)), 0)</f>
        <v/>
      </c>
      <c r="K397" s="30" t="n">
        <v>0.9626824510005771</v>
      </c>
      <c r="L397" s="30" t="n">
        <v>0.03465542295845363</v>
      </c>
      <c r="M397" s="30" t="n">
        <v>0.002662126040969366</v>
      </c>
      <c r="N397" s="31">
        <f>ABS(E397-$F$6)</f>
        <v/>
      </c>
      <c r="O397" s="31">
        <f>ABS(E397-$F$7)</f>
        <v/>
      </c>
      <c r="P397" s="31">
        <f>ABS(E397-$F$8)</f>
        <v/>
      </c>
      <c r="Q397" s="14">
        <f>IF(K397&gt;=MAX(L397,M397), "Hemat", IF(L397&gt;=M397, "Balanced", "Premium"))</f>
        <v/>
      </c>
      <c r="R397" s="30" t="n">
        <v>0.9626824549241798</v>
      </c>
      <c r="S397" s="30" t="n">
        <v>0.03465541875469833</v>
      </c>
      <c r="T397" s="30" t="n">
        <v>0.002662126321121907</v>
      </c>
      <c r="U397" s="31">
        <f>ABS(E397-$G$6)</f>
        <v/>
      </c>
      <c r="V397" s="31">
        <f>ABS(E397-$G$7)</f>
        <v/>
      </c>
      <c r="W397" s="31">
        <f>ABS(E397-$G$8)</f>
        <v/>
      </c>
      <c r="X397" s="14">
        <f>IF(R397&gt;=MAX(S397,T397), "Hemat", IF(S397&gt;=T397, "Balanced", "Premium"))</f>
        <v/>
      </c>
    </row>
    <row r="398">
      <c r="A398" s="14" t="n">
        <v>400</v>
      </c>
      <c r="B398" s="7" t="inlineStr">
        <is>
          <t>Sumber Umbulan Singosari</t>
        </is>
      </c>
      <c r="C398" s="26" t="n">
        <v>-7.8952854</v>
      </c>
      <c r="D398" s="26" t="n">
        <v>112.6291233</v>
      </c>
      <c r="E398" s="21" t="n">
        <v>2000</v>
      </c>
      <c r="F398" s="27" t="n">
        <v>4.5</v>
      </c>
      <c r="G398" s="28" t="n">
        <v>1004</v>
      </c>
      <c r="H398" s="14" t="inlineStr">
        <is>
          <t>Wisata Umum</t>
        </is>
      </c>
      <c r="I398" s="29">
        <f>6371 * 2 * ASIN(SQRT(SIN(RADIANS((C398) - INDEX('Dataset_Wisata'!$C$12:$C$622, MATCH('Dashboard'!$C$9, 'Dataset_Wisata'!$A$12:$A$622, 0)))/2)^2 + COS(RADIANS(INDEX('Dataset_Wisata'!$C$12:$C$622, MATCH('Dashboard'!$C$9, 'Dataset_Wisata'!$A$12:$A$622, 0)))) * COS(RADIANS(C398)) * SIN(RADIANS((D398) - INDEX('Dataset_Wisata'!$D$12:$D$622, MATCH('Dashboard'!$C$9, 'Dataset_Wisata'!$A$12:$A$622, 0)))/2)^2)) * 1.3</f>
        <v/>
      </c>
      <c r="J398" s="21">
        <f>ROUND(I398 * IF('Dashboard'!$C$6&lt;=1, 2250, IF('Dashboard'!$C$6&lt;=4, 5150, 6000)), 0)</f>
        <v/>
      </c>
      <c r="K398" s="30" t="n">
        <v>0.9745968037531486</v>
      </c>
      <c r="L398" s="30" t="n">
        <v>0.02368856650344644</v>
      </c>
      <c r="M398" s="30" t="n">
        <v>0.001714629743404906</v>
      </c>
      <c r="N398" s="31">
        <f>ABS(E398-$F$6)</f>
        <v/>
      </c>
      <c r="O398" s="31">
        <f>ABS(E398-$F$7)</f>
        <v/>
      </c>
      <c r="P398" s="31">
        <f>ABS(E398-$F$8)</f>
        <v/>
      </c>
      <c r="Q398" s="14">
        <f>IF(K398&gt;=MAX(L398,M398), "Hemat", IF(L398&gt;=M398, "Balanced", "Premium"))</f>
        <v/>
      </c>
      <c r="R398" s="30" t="n">
        <v>0.9745968058205632</v>
      </c>
      <c r="S398" s="30" t="n">
        <v>0.02368856419646389</v>
      </c>
      <c r="T398" s="30" t="n">
        <v>0.001714629982972894</v>
      </c>
      <c r="U398" s="31">
        <f>ABS(E398-$G$6)</f>
        <v/>
      </c>
      <c r="V398" s="31">
        <f>ABS(E398-$G$7)</f>
        <v/>
      </c>
      <c r="W398" s="31">
        <f>ABS(E398-$G$8)</f>
        <v/>
      </c>
      <c r="X398" s="14">
        <f>IF(R398&gt;=MAX(S398,T398), "Hemat", IF(S398&gt;=T398, "Balanced", "Premium"))</f>
        <v/>
      </c>
    </row>
    <row r="399">
      <c r="A399" s="14" t="n">
        <v>401</v>
      </c>
      <c r="B399" s="7" t="inlineStr">
        <is>
          <t>Pemandian Sumber Nyolo</t>
        </is>
      </c>
      <c r="C399" s="26" t="n">
        <v>-7.87944</v>
      </c>
      <c r="D399" s="26" t="n">
        <v>112.6215332</v>
      </c>
      <c r="E399" s="21" t="n">
        <v>5000</v>
      </c>
      <c r="F399" s="27" t="n">
        <v>4.3</v>
      </c>
      <c r="G399" s="28" t="n">
        <v>777</v>
      </c>
      <c r="H399" s="14" t="inlineStr">
        <is>
          <t>Wisata Umum</t>
        </is>
      </c>
      <c r="I399" s="29">
        <f>6371 * 2 * ASIN(SQRT(SIN(RADIANS((C399) - INDEX('Dataset_Wisata'!$C$12:$C$622, MATCH('Dashboard'!$C$9, 'Dataset_Wisata'!$A$12:$A$622, 0)))/2)^2 + COS(RADIANS(INDEX('Dataset_Wisata'!$C$12:$C$622, MATCH('Dashboard'!$C$9, 'Dataset_Wisata'!$A$12:$A$622, 0)))) * COS(RADIANS(C399)) * SIN(RADIANS((D399) - INDEX('Dataset_Wisata'!$D$12:$D$622, MATCH('Dashboard'!$C$9, 'Dataset_Wisata'!$A$12:$A$622, 0)))/2)^2)) * 1.3</f>
        <v/>
      </c>
      <c r="J399" s="21">
        <f>ROUND(I399 * IF('Dashboard'!$C$6&lt;=1, 2250, IF('Dashboard'!$C$6&lt;=4, 5150, 6000)), 0)</f>
        <v/>
      </c>
      <c r="K399" s="30" t="n">
        <v>0.9895566543895754</v>
      </c>
      <c r="L399" s="30" t="n">
        <v>0.009798611400025654</v>
      </c>
      <c r="M399" s="30" t="n">
        <v>0.0006447342103988783</v>
      </c>
      <c r="N399" s="31">
        <f>ABS(E399-$F$6)</f>
        <v/>
      </c>
      <c r="O399" s="31">
        <f>ABS(E399-$F$7)</f>
        <v/>
      </c>
      <c r="P399" s="31">
        <f>ABS(E399-$F$8)</f>
        <v/>
      </c>
      <c r="Q399" s="14">
        <f>IF(K399&gt;=MAX(L399,M399), "Hemat", IF(L399&gt;=M399, "Balanced", "Premium"))</f>
        <v/>
      </c>
      <c r="R399" s="30" t="n">
        <v>0.9895566542341836</v>
      </c>
      <c r="S399" s="30" t="n">
        <v>0.00979861139170024</v>
      </c>
      <c r="T399" s="30" t="n">
        <v>0.00064473437411607</v>
      </c>
      <c r="U399" s="31">
        <f>ABS(E399-$G$6)</f>
        <v/>
      </c>
      <c r="V399" s="31">
        <f>ABS(E399-$G$7)</f>
        <v/>
      </c>
      <c r="W399" s="31">
        <f>ABS(E399-$G$8)</f>
        <v/>
      </c>
      <c r="X399" s="14">
        <f>IF(R399&gt;=MAX(S399,T399), "Hemat", IF(S399&gt;=T399, "Balanced", "Premium"))</f>
        <v/>
      </c>
    </row>
    <row r="400">
      <c r="A400" s="14" t="n">
        <v>402</v>
      </c>
      <c r="B400" s="7" t="inlineStr">
        <is>
          <t>Pemandian Sumber Umbulan Singosari</t>
        </is>
      </c>
      <c r="C400" s="26" t="n">
        <v>-7.8939945</v>
      </c>
      <c r="D400" s="26" t="n">
        <v>112.6278492</v>
      </c>
      <c r="E400" s="21" t="n">
        <v>2000</v>
      </c>
      <c r="F400" s="27" t="n">
        <v>4.4</v>
      </c>
      <c r="G400" s="28" t="n">
        <v>45</v>
      </c>
      <c r="H400" s="14" t="inlineStr">
        <is>
          <t>Tujuan Wisata · 4J4H+C45</t>
        </is>
      </c>
      <c r="I400" s="29">
        <f>6371 * 2 * ASIN(SQRT(SIN(RADIANS((C400) - INDEX('Dataset_Wisata'!$C$12:$C$622, MATCH('Dashboard'!$C$9, 'Dataset_Wisata'!$A$12:$A$622, 0)))/2)^2 + COS(RADIANS(INDEX('Dataset_Wisata'!$C$12:$C$622, MATCH('Dashboard'!$C$9, 'Dataset_Wisata'!$A$12:$A$622, 0)))) * COS(RADIANS(C400)) * SIN(RADIANS((D400) - INDEX('Dataset_Wisata'!$D$12:$D$622, MATCH('Dashboard'!$C$9, 'Dataset_Wisata'!$A$12:$A$622, 0)))/2)^2)) * 1.3</f>
        <v/>
      </c>
      <c r="J400" s="21">
        <f>ROUND(I400 * IF('Dashboard'!$C$6&lt;=1, 2250, IF('Dashboard'!$C$6&lt;=4, 5150, 6000)), 0)</f>
        <v/>
      </c>
      <c r="K400" s="30" t="n">
        <v>0.9745968037531486</v>
      </c>
      <c r="L400" s="30" t="n">
        <v>0.02368856650344644</v>
      </c>
      <c r="M400" s="30" t="n">
        <v>0.001714629743404906</v>
      </c>
      <c r="N400" s="31">
        <f>ABS(E400-$F$6)</f>
        <v/>
      </c>
      <c r="O400" s="31">
        <f>ABS(E400-$F$7)</f>
        <v/>
      </c>
      <c r="P400" s="31">
        <f>ABS(E400-$F$8)</f>
        <v/>
      </c>
      <c r="Q400" s="14">
        <f>IF(K400&gt;=MAX(L400,M400), "Hemat", IF(L400&gt;=M400, "Balanced", "Premium"))</f>
        <v/>
      </c>
      <c r="R400" s="30" t="n">
        <v>0.9745968058205632</v>
      </c>
      <c r="S400" s="30" t="n">
        <v>0.02368856419646389</v>
      </c>
      <c r="T400" s="30" t="n">
        <v>0.001714629982972894</v>
      </c>
      <c r="U400" s="31">
        <f>ABS(E400-$G$6)</f>
        <v/>
      </c>
      <c r="V400" s="31">
        <f>ABS(E400-$G$7)</f>
        <v/>
      </c>
      <c r="W400" s="31">
        <f>ABS(E400-$G$8)</f>
        <v/>
      </c>
      <c r="X400" s="14">
        <f>IF(R400&gt;=MAX(S400,T400), "Hemat", IF(S400&gt;=T400, "Balanced", "Premium"))</f>
        <v/>
      </c>
    </row>
    <row r="401">
      <c r="A401" s="14" t="n">
        <v>403</v>
      </c>
      <c r="B401" s="7" t="inlineStr">
        <is>
          <t>SUMBER UMBULAN NGENEP KERAJAN</t>
        </is>
      </c>
      <c r="C401" s="26" t="n">
        <v>-7.8989271</v>
      </c>
      <c r="D401" s="26" t="n">
        <v>112.6233729</v>
      </c>
      <c r="E401" s="21" t="n">
        <v>2000</v>
      </c>
      <c r="F401" s="27" t="n">
        <v>4.4</v>
      </c>
      <c r="G401" s="28" t="n">
        <v>206</v>
      </c>
      <c r="H401" s="14" t="inlineStr">
        <is>
          <t>Wisata Umum</t>
        </is>
      </c>
      <c r="I401" s="29">
        <f>6371 * 2 * ASIN(SQRT(SIN(RADIANS((C401) - INDEX('Dataset_Wisata'!$C$12:$C$622, MATCH('Dashboard'!$C$9, 'Dataset_Wisata'!$A$12:$A$622, 0)))/2)^2 + COS(RADIANS(INDEX('Dataset_Wisata'!$C$12:$C$622, MATCH('Dashboard'!$C$9, 'Dataset_Wisata'!$A$12:$A$622, 0)))) * COS(RADIANS(C401)) * SIN(RADIANS((D401) - INDEX('Dataset_Wisata'!$D$12:$D$622, MATCH('Dashboard'!$C$9, 'Dataset_Wisata'!$A$12:$A$622, 0)))/2)^2)) * 1.3</f>
        <v/>
      </c>
      <c r="J401" s="21">
        <f>ROUND(I401 * IF('Dashboard'!$C$6&lt;=1, 2250, IF('Dashboard'!$C$6&lt;=4, 5150, 6000)), 0)</f>
        <v/>
      </c>
      <c r="K401" s="30" t="n">
        <v>0.9745968037531486</v>
      </c>
      <c r="L401" s="30" t="n">
        <v>0.02368856650344644</v>
      </c>
      <c r="M401" s="30" t="n">
        <v>0.001714629743404906</v>
      </c>
      <c r="N401" s="31">
        <f>ABS(E401-$F$6)</f>
        <v/>
      </c>
      <c r="O401" s="31">
        <f>ABS(E401-$F$7)</f>
        <v/>
      </c>
      <c r="P401" s="31">
        <f>ABS(E401-$F$8)</f>
        <v/>
      </c>
      <c r="Q401" s="14">
        <f>IF(K401&gt;=MAX(L401,M401), "Hemat", IF(L401&gt;=M401, "Balanced", "Premium"))</f>
        <v/>
      </c>
      <c r="R401" s="30" t="n">
        <v>0.9745968058205632</v>
      </c>
      <c r="S401" s="30" t="n">
        <v>0.02368856419646389</v>
      </c>
      <c r="T401" s="30" t="n">
        <v>0.001714629982972894</v>
      </c>
      <c r="U401" s="31">
        <f>ABS(E401-$G$6)</f>
        <v/>
      </c>
      <c r="V401" s="31">
        <f>ABS(E401-$G$7)</f>
        <v/>
      </c>
      <c r="W401" s="31">
        <f>ABS(E401-$G$8)</f>
        <v/>
      </c>
      <c r="X401" s="14">
        <f>IF(R401&gt;=MAX(S401,T401), "Hemat", IF(S401&gt;=T401, "Balanced", "Premium"))</f>
        <v/>
      </c>
    </row>
    <row r="402">
      <c r="A402" s="14" t="n">
        <v>404</v>
      </c>
      <c r="B402" s="7" t="inlineStr">
        <is>
          <t>Akar Rumput ( Wisata Edukasi Pertanian )</t>
        </is>
      </c>
      <c r="C402" s="26" t="n">
        <v>-7.915014</v>
      </c>
      <c r="D402" s="26" t="n">
        <v>112.619593</v>
      </c>
      <c r="E402" s="21" t="n">
        <v>25000</v>
      </c>
      <c r="F402" s="27" t="n">
        <v>5</v>
      </c>
      <c r="G402" s="28" t="n">
        <v>22</v>
      </c>
      <c r="H402" s="14" t="inlineStr">
        <is>
          <t>Wisata Umum</t>
        </is>
      </c>
      <c r="I402" s="29">
        <f>6371 * 2 * ASIN(SQRT(SIN(RADIANS((C402) - INDEX('Dataset_Wisata'!$C$12:$C$622, MATCH('Dashboard'!$C$9, 'Dataset_Wisata'!$A$12:$A$622, 0)))/2)^2 + COS(RADIANS(INDEX('Dataset_Wisata'!$C$12:$C$622, MATCH('Dashboard'!$C$9, 'Dataset_Wisata'!$A$12:$A$622, 0)))) * COS(RADIANS(C402)) * SIN(RADIANS((D402) - INDEX('Dataset_Wisata'!$D$12:$D$622, MATCH('Dashboard'!$C$9, 'Dataset_Wisata'!$A$12:$A$622, 0)))/2)^2)) * 1.3</f>
        <v/>
      </c>
      <c r="J402" s="21">
        <f>ROUND(I402 * IF('Dashboard'!$C$6&lt;=1, 2250, IF('Dashboard'!$C$6&lt;=4, 5150, 6000)), 0)</f>
        <v/>
      </c>
      <c r="K402" s="30" t="n">
        <v>0.714779317495253</v>
      </c>
      <c r="L402" s="30" t="n">
        <v>0.2780482755376564</v>
      </c>
      <c r="M402" s="30" t="n">
        <v>0.0071724069670906</v>
      </c>
      <c r="N402" s="31">
        <f>ABS(E402-$F$6)</f>
        <v/>
      </c>
      <c r="O402" s="31">
        <f>ABS(E402-$F$7)</f>
        <v/>
      </c>
      <c r="P402" s="31">
        <f>ABS(E402-$F$8)</f>
        <v/>
      </c>
      <c r="Q402" s="14">
        <f>IF(K402&gt;=MAX(L402,M402), "Hemat", IF(L402&gt;=M402, "Balanced", "Premium"))</f>
        <v/>
      </c>
      <c r="R402" s="30" t="n">
        <v>0.7147794395425007</v>
      </c>
      <c r="S402" s="30" t="n">
        <v>0.2780481531707544</v>
      </c>
      <c r="T402" s="30" t="n">
        <v>0.007172407286744955</v>
      </c>
      <c r="U402" s="31">
        <f>ABS(E402-$G$6)</f>
        <v/>
      </c>
      <c r="V402" s="31">
        <f>ABS(E402-$G$7)</f>
        <v/>
      </c>
      <c r="W402" s="31">
        <f>ABS(E402-$G$8)</f>
        <v/>
      </c>
      <c r="X402" s="14">
        <f>IF(R402&gt;=MAX(S402,T402), "Hemat", IF(S402&gt;=T402, "Balanced", "Premium"))</f>
        <v/>
      </c>
    </row>
    <row r="403">
      <c r="A403" s="14" t="n">
        <v>405</v>
      </c>
      <c r="B403" s="7" t="inlineStr">
        <is>
          <t>Jembatan Soekarno Hatta Malang</t>
        </is>
      </c>
      <c r="C403" s="26" t="n">
        <v>-7.9495144</v>
      </c>
      <c r="D403" s="26" t="n">
        <v>112.6157799</v>
      </c>
      <c r="E403" s="21" t="n">
        <v>35000</v>
      </c>
      <c r="F403" s="27" t="n">
        <v>4.5</v>
      </c>
      <c r="G403" s="28" t="n">
        <v>3295</v>
      </c>
      <c r="H403" s="14" t="inlineStr">
        <is>
          <t>Wisata Umum</t>
        </is>
      </c>
      <c r="I403" s="29">
        <f>6371 * 2 * ASIN(SQRT(SIN(RADIANS((C403) - INDEX('Dataset_Wisata'!$C$12:$C$622, MATCH('Dashboard'!$C$9, 'Dataset_Wisata'!$A$12:$A$622, 0)))/2)^2 + COS(RADIANS(INDEX('Dataset_Wisata'!$C$12:$C$622, MATCH('Dashboard'!$C$9, 'Dataset_Wisata'!$A$12:$A$622, 0)))) * COS(RADIANS(C403)) * SIN(RADIANS((D403) - INDEX('Dataset_Wisata'!$D$12:$D$622, MATCH('Dashboard'!$C$9, 'Dataset_Wisata'!$A$12:$A$622, 0)))/2)^2)) * 1.3</f>
        <v/>
      </c>
      <c r="J403" s="21">
        <f>ROUND(I403 * IF('Dashboard'!$C$6&lt;=1, 2250, IF('Dashboard'!$C$6&lt;=4, 5150, 6000)), 0)</f>
        <v/>
      </c>
      <c r="K403" s="30" t="n">
        <v>0.25213485588303</v>
      </c>
      <c r="L403" s="30" t="n">
        <v>0.7400533052956862</v>
      </c>
      <c r="M403" s="30" t="n">
        <v>0.007811838821283838</v>
      </c>
      <c r="N403" s="31">
        <f>ABS(E403-$F$6)</f>
        <v/>
      </c>
      <c r="O403" s="31">
        <f>ABS(E403-$F$7)</f>
        <v/>
      </c>
      <c r="P403" s="31">
        <f>ABS(E403-$F$8)</f>
        <v/>
      </c>
      <c r="Q403" s="14">
        <f>IF(K403&gt;=MAX(L403,M403), "Hemat", IF(L403&gt;=M403, "Balanced", "Premium"))</f>
        <v/>
      </c>
      <c r="R403" s="30" t="n">
        <v>0.2521350299012498</v>
      </c>
      <c r="S403" s="30" t="n">
        <v>0.740053126637755</v>
      </c>
      <c r="T403" s="30" t="n">
        <v>0.007811843460995218</v>
      </c>
      <c r="U403" s="31">
        <f>ABS(E403-$G$6)</f>
        <v/>
      </c>
      <c r="V403" s="31">
        <f>ABS(E403-$G$7)</f>
        <v/>
      </c>
      <c r="W403" s="31">
        <f>ABS(E403-$G$8)</f>
        <v/>
      </c>
      <c r="X403" s="14">
        <f>IF(R403&gt;=MAX(S403,T403), "Hemat", IF(S403&gt;=T403, "Balanced", "Premium"))</f>
        <v/>
      </c>
    </row>
    <row r="404">
      <c r="A404" s="14" t="n">
        <v>406</v>
      </c>
      <c r="B404" s="7" t="inlineStr">
        <is>
          <t>Kolam pemancingan singo</t>
        </is>
      </c>
      <c r="C404" s="26" t="n">
        <v>-7.9420806</v>
      </c>
      <c r="D404" s="26" t="n">
        <v>112.6070694</v>
      </c>
      <c r="E404" s="21" t="n">
        <v>20000</v>
      </c>
      <c r="F404" s="27" t="n">
        <v>4.6</v>
      </c>
      <c r="G404" s="28" t="n">
        <v>20</v>
      </c>
      <c r="H404" s="14" t="inlineStr">
        <is>
          <t>Tujuan Wisata · 3J54+5R8</t>
        </is>
      </c>
      <c r="I404" s="29">
        <f>6371 * 2 * ASIN(SQRT(SIN(RADIANS((C404) - INDEX('Dataset_Wisata'!$C$12:$C$622, MATCH('Dashboard'!$C$9, 'Dataset_Wisata'!$A$12:$A$622, 0)))/2)^2 + COS(RADIANS(INDEX('Dataset_Wisata'!$C$12:$C$622, MATCH('Dashboard'!$C$9, 'Dataset_Wisata'!$A$12:$A$622, 0)))) * COS(RADIANS(C404)) * SIN(RADIANS((D404) - INDEX('Dataset_Wisata'!$D$12:$D$622, MATCH('Dashboard'!$C$9, 'Dataset_Wisata'!$A$12:$A$622, 0)))/2)^2)) * 1.3</f>
        <v/>
      </c>
      <c r="J404" s="21">
        <f>ROUND(I404 * IF('Dashboard'!$C$6&lt;=1, 2250, IF('Dashboard'!$C$6&lt;=4, 5150, 6000)), 0)</f>
        <v/>
      </c>
      <c r="K404" s="30" t="n">
        <v>0.8862296979094436</v>
      </c>
      <c r="L404" s="30" t="n">
        <v>0.1099329410905347</v>
      </c>
      <c r="M404" s="30" t="n">
        <v>0.003837361000021699</v>
      </c>
      <c r="N404" s="31">
        <f>ABS(E404-$F$6)</f>
        <v/>
      </c>
      <c r="O404" s="31">
        <f>ABS(E404-$F$7)</f>
        <v/>
      </c>
      <c r="P404" s="31">
        <f>ABS(E404-$F$8)</f>
        <v/>
      </c>
      <c r="Q404" s="14">
        <f>IF(K404&gt;=MAX(L404,M404), "Hemat", IF(L404&gt;=M404, "Balanced", "Premium"))</f>
        <v/>
      </c>
      <c r="R404" s="30" t="n">
        <v>0.8862297532761809</v>
      </c>
      <c r="S404" s="30" t="n">
        <v>0.1099328861159962</v>
      </c>
      <c r="T404" s="30" t="n">
        <v>0.003837360607822898</v>
      </c>
      <c r="U404" s="31">
        <f>ABS(E404-$G$6)</f>
        <v/>
      </c>
      <c r="V404" s="31">
        <f>ABS(E404-$G$7)</f>
        <v/>
      </c>
      <c r="W404" s="31">
        <f>ABS(E404-$G$8)</f>
        <v/>
      </c>
      <c r="X404" s="14">
        <f>IF(R404&gt;=MAX(S404,T404), "Hemat", IF(S404&gt;=T404, "Balanced", "Premium"))</f>
        <v/>
      </c>
    </row>
    <row r="405">
      <c r="A405" s="14" t="n">
        <v>407</v>
      </c>
      <c r="B405" s="7" t="inlineStr">
        <is>
          <t>Tugu Jam Rektorat Universitas Brawijaya</t>
        </is>
      </c>
      <c r="C405" s="26" t="n">
        <v>-7.9526114</v>
      </c>
      <c r="D405" s="26" t="n">
        <v>112.6144649</v>
      </c>
      <c r="E405" s="21" t="n">
        <v>3000</v>
      </c>
      <c r="F405" s="27" t="n">
        <v>4.8</v>
      </c>
      <c r="G405" s="28" t="n">
        <v>260</v>
      </c>
      <c r="H405" s="14" t="inlineStr">
        <is>
          <t>Wisata Umum</t>
        </is>
      </c>
      <c r="I405" s="29">
        <f>6371 * 2 * ASIN(SQRT(SIN(RADIANS((C405) - INDEX('Dataset_Wisata'!$C$12:$C$622, MATCH('Dashboard'!$C$9, 'Dataset_Wisata'!$A$12:$A$622, 0)))/2)^2 + COS(RADIANS(INDEX('Dataset_Wisata'!$C$12:$C$622, MATCH('Dashboard'!$C$9, 'Dataset_Wisata'!$A$12:$A$622, 0)))) * COS(RADIANS(C405)) * SIN(RADIANS((D405) - INDEX('Dataset_Wisata'!$D$12:$D$622, MATCH('Dashboard'!$C$9, 'Dataset_Wisata'!$A$12:$A$622, 0)))/2)^2)) * 1.3</f>
        <v/>
      </c>
      <c r="J405" s="21">
        <f>ROUND(I405 * IF('Dashboard'!$C$6&lt;=1, 2250, IF('Dashboard'!$C$6&lt;=4, 5150, 6000)), 0)</f>
        <v/>
      </c>
      <c r="K405" s="30" t="n">
        <v>0.9800529386550435</v>
      </c>
      <c r="L405" s="30" t="n">
        <v>0.01863901730741549</v>
      </c>
      <c r="M405" s="30" t="n">
        <v>0.001308044037540998</v>
      </c>
      <c r="N405" s="31">
        <f>ABS(E405-$F$6)</f>
        <v/>
      </c>
      <c r="O405" s="31">
        <f>ABS(E405-$F$7)</f>
        <v/>
      </c>
      <c r="P405" s="31">
        <f>ABS(E405-$F$8)</f>
        <v/>
      </c>
      <c r="Q405" s="14">
        <f>IF(K405&gt;=MAX(L405,M405), "Hemat", IF(L405&gt;=M405, "Balanced", "Premium"))</f>
        <v/>
      </c>
      <c r="R405" s="30" t="n">
        <v>0.9800529398761559</v>
      </c>
      <c r="S405" s="30" t="n">
        <v>0.01863901586968426</v>
      </c>
      <c r="T405" s="30" t="n">
        <v>0.001308044254159759</v>
      </c>
      <c r="U405" s="31">
        <f>ABS(E405-$G$6)</f>
        <v/>
      </c>
      <c r="V405" s="31">
        <f>ABS(E405-$G$7)</f>
        <v/>
      </c>
      <c r="W405" s="31">
        <f>ABS(E405-$G$8)</f>
        <v/>
      </c>
      <c r="X405" s="14">
        <f>IF(R405&gt;=MAX(S405,T405), "Hemat", IF(S405&gt;=T405, "Balanced", "Premium"))</f>
        <v/>
      </c>
    </row>
    <row r="406">
      <c r="A406" s="14" t="n">
        <v>408</v>
      </c>
      <c r="B406" s="7" t="inlineStr">
        <is>
          <t>Museum Musik Indonesia</t>
        </is>
      </c>
      <c r="C406" s="26" t="n">
        <v>-7.9389896</v>
      </c>
      <c r="D406" s="26" t="n">
        <v>112.628171</v>
      </c>
      <c r="E406" s="21" t="n">
        <v>39600</v>
      </c>
      <c r="F406" s="27" t="n">
        <v>4.4</v>
      </c>
      <c r="G406" s="28" t="n">
        <v>523</v>
      </c>
      <c r="H406" s="14" t="inlineStr">
        <is>
          <t>Museum Musik Indonesia</t>
        </is>
      </c>
      <c r="I406" s="29">
        <f>6371 * 2 * ASIN(SQRT(SIN(RADIANS((C406) - INDEX('Dataset_Wisata'!$C$12:$C$622, MATCH('Dashboard'!$C$9, 'Dataset_Wisata'!$A$12:$A$622, 0)))/2)^2 + COS(RADIANS(INDEX('Dataset_Wisata'!$C$12:$C$622, MATCH('Dashboard'!$C$9, 'Dataset_Wisata'!$A$12:$A$622, 0)))) * COS(RADIANS(C406)) * SIN(RADIANS((D406) - INDEX('Dataset_Wisata'!$D$12:$D$622, MATCH('Dashboard'!$C$9, 'Dataset_Wisata'!$A$12:$A$622, 0)))/2)^2)) * 1.3</f>
        <v/>
      </c>
      <c r="J406" s="21">
        <f>ROUND(I406 * IF('Dashboard'!$C$6&lt;=1, 2250, IF('Dashboard'!$C$6&lt;=4, 5150, 6000)), 0)</f>
        <v/>
      </c>
      <c r="K406" s="30" t="n">
        <v>0.1041717008381722</v>
      </c>
      <c r="L406" s="30" t="n">
        <v>0.891033733024663</v>
      </c>
      <c r="M406" s="30" t="n">
        <v>0.004794566137164689</v>
      </c>
      <c r="N406" s="31">
        <f>ABS(E406-$F$6)</f>
        <v/>
      </c>
      <c r="O406" s="31">
        <f>ABS(E406-$F$7)</f>
        <v/>
      </c>
      <c r="P406" s="31">
        <f>ABS(E406-$F$8)</f>
        <v/>
      </c>
      <c r="Q406" s="14">
        <f>IF(K406&gt;=MAX(L406,M406), "Hemat", IF(L406&gt;=M406, "Balanced", "Premium"))</f>
        <v/>
      </c>
      <c r="R406" s="30" t="n">
        <v>0.1041718231240292</v>
      </c>
      <c r="S406" s="30" t="n">
        <v>0.8910336055417356</v>
      </c>
      <c r="T406" s="30" t="n">
        <v>0.004794571334235141</v>
      </c>
      <c r="U406" s="31">
        <f>ABS(E406-$G$6)</f>
        <v/>
      </c>
      <c r="V406" s="31">
        <f>ABS(E406-$G$7)</f>
        <v/>
      </c>
      <c r="W406" s="31">
        <f>ABS(E406-$G$8)</f>
        <v/>
      </c>
      <c r="X406" s="14">
        <f>IF(R406&gt;=MAX(S406,T406), "Hemat", IF(S406&gt;=T406, "Balanced", "Premium"))</f>
        <v/>
      </c>
    </row>
    <row r="407">
      <c r="A407" s="14" t="n">
        <v>409</v>
      </c>
      <c r="B407" s="7" t="inlineStr">
        <is>
          <t>Kampung Edukasi Budaya Tradisi Batu</t>
        </is>
      </c>
      <c r="C407" s="26" t="n">
        <v>-7.8933127</v>
      </c>
      <c r="D407" s="26" t="n">
        <v>112.5738167</v>
      </c>
      <c r="E407" s="21" t="n">
        <v>50000</v>
      </c>
      <c r="F407" s="27" t="n">
        <v>4.6</v>
      </c>
      <c r="G407" s="28" t="n">
        <v>23</v>
      </c>
      <c r="H407" s="14" t="inlineStr">
        <is>
          <t>Tujuan Wisata · 4H4F+MGG</t>
        </is>
      </c>
      <c r="I407" s="29">
        <f>6371 * 2 * ASIN(SQRT(SIN(RADIANS((C407) - INDEX('Dataset_Wisata'!$C$12:$C$622, MATCH('Dashboard'!$C$9, 'Dataset_Wisata'!$A$12:$A$622, 0)))/2)^2 + COS(RADIANS(INDEX('Dataset_Wisata'!$C$12:$C$622, MATCH('Dashboard'!$C$9, 'Dataset_Wisata'!$A$12:$A$622, 0)))) * COS(RADIANS(C407)) * SIN(RADIANS((D407) - INDEX('Dataset_Wisata'!$D$12:$D$622, MATCH('Dashboard'!$C$9, 'Dataset_Wisata'!$A$12:$A$622, 0)))/2)^2)) * 1.3</f>
        <v/>
      </c>
      <c r="J407" s="21">
        <f>ROUND(I407 * IF('Dashboard'!$C$6&lt;=1, 2250, IF('Dashboard'!$C$6&lt;=4, 5150, 6000)), 0)</f>
        <v/>
      </c>
      <c r="K407" s="30" t="n">
        <v>5.758531237204236e-06</v>
      </c>
      <c r="L407" s="30" t="n">
        <v>0.9999936821294634</v>
      </c>
      <c r="M407" s="30" t="n">
        <v>5.593392994189334e-07</v>
      </c>
      <c r="N407" s="31">
        <f>ABS(E407-$F$6)</f>
        <v/>
      </c>
      <c r="O407" s="31">
        <f>ABS(E407-$F$7)</f>
        <v/>
      </c>
      <c r="P407" s="31">
        <f>ABS(E407-$F$8)</f>
        <v/>
      </c>
      <c r="Q407" s="14">
        <f>IF(K407&gt;=MAX(L407,M407), "Hemat", IF(L407&gt;=M407, "Balanced", "Premium"))</f>
        <v/>
      </c>
      <c r="R407" s="30" t="n">
        <v>5.757754513908737e-06</v>
      </c>
      <c r="S407" s="30" t="n">
        <v>0.9999936829816778</v>
      </c>
      <c r="T407" s="30" t="n">
        <v>5.592638083270285e-07</v>
      </c>
      <c r="U407" s="31">
        <f>ABS(E407-$G$6)</f>
        <v/>
      </c>
      <c r="V407" s="31">
        <f>ABS(E407-$G$7)</f>
        <v/>
      </c>
      <c r="W407" s="31">
        <f>ABS(E407-$G$8)</f>
        <v/>
      </c>
      <c r="X407" s="14">
        <f>IF(R407&gt;=MAX(S407,T407), "Hemat", IF(S407&gt;=T407, "Balanced", "Premium"))</f>
        <v/>
      </c>
    </row>
    <row r="408">
      <c r="A408" s="14" t="n">
        <v>410</v>
      </c>
      <c r="B408" s="7" t="inlineStr">
        <is>
          <t>WLK Wisata Lereng Kebun</t>
        </is>
      </c>
      <c r="C408" s="26" t="n">
        <v>-7.8611896</v>
      </c>
      <c r="D408" s="26" t="n">
        <v>112.5819024</v>
      </c>
      <c r="E408" s="21" t="n">
        <v>10000</v>
      </c>
      <c r="F408" s="27" t="n">
        <v>4.9</v>
      </c>
      <c r="G408" s="28" t="n">
        <v>240</v>
      </c>
      <c r="H408" s="14" t="inlineStr">
        <is>
          <t>WLK Wisata Lereng Kebun</t>
        </is>
      </c>
      <c r="I408" s="29">
        <f>6371 * 2 * ASIN(SQRT(SIN(RADIANS((C408) - INDEX('Dataset_Wisata'!$C$12:$C$622, MATCH('Dashboard'!$C$9, 'Dataset_Wisata'!$A$12:$A$622, 0)))/2)^2 + COS(RADIANS(INDEX('Dataset_Wisata'!$C$12:$C$622, MATCH('Dashboard'!$C$9, 'Dataset_Wisata'!$A$12:$A$622, 0)))) * COS(RADIANS(C408)) * SIN(RADIANS((D408) - INDEX('Dataset_Wisata'!$D$12:$D$622, MATCH('Dashboard'!$C$9, 'Dataset_Wisata'!$A$12:$A$622, 0)))/2)^2)) * 1.3</f>
        <v/>
      </c>
      <c r="J408" s="21">
        <f>ROUND(I408 * IF('Dashboard'!$C$6&lt;=1, 2250, IF('Dashboard'!$C$6&lt;=4, 5150, 6000)), 0)</f>
        <v/>
      </c>
      <c r="K408" s="30" t="n">
        <v>0.9998126508185596</v>
      </c>
      <c r="L408" s="30" t="n">
        <v>0.0001775718391516968</v>
      </c>
      <c r="M408" s="30" t="n">
        <v>9.7773422886897e-06</v>
      </c>
      <c r="N408" s="31">
        <f>ABS(E408-$F$6)</f>
        <v/>
      </c>
      <c r="O408" s="31">
        <f>ABS(E408-$F$7)</f>
        <v/>
      </c>
      <c r="P408" s="31">
        <f>ABS(E408-$F$8)</f>
        <v/>
      </c>
      <c r="Q408" s="14">
        <f>IF(K408&gt;=MAX(L408,M408), "Hemat", IF(L408&gt;=M408, "Balanced", "Premium"))</f>
        <v/>
      </c>
      <c r="R408" s="30" t="n">
        <v>0.9998126513362043</v>
      </c>
      <c r="S408" s="30" t="n">
        <v>0.0001775713458315561</v>
      </c>
      <c r="T408" s="30" t="n">
        <v>9.777317964159987e-06</v>
      </c>
      <c r="U408" s="31">
        <f>ABS(E408-$G$6)</f>
        <v/>
      </c>
      <c r="V408" s="31">
        <f>ABS(E408-$G$7)</f>
        <v/>
      </c>
      <c r="W408" s="31">
        <f>ABS(E408-$G$8)</f>
        <v/>
      </c>
      <c r="X408" s="14">
        <f>IF(R408&gt;=MAX(S408,T408), "Hemat", IF(S408&gt;=T408, "Balanced", "Premium"))</f>
        <v/>
      </c>
    </row>
    <row r="409">
      <c r="A409" s="14" t="n">
        <v>411</v>
      </c>
      <c r="B409" s="7" t="inlineStr">
        <is>
          <t>Gunung Wukir View Gn Arjuno</t>
        </is>
      </c>
      <c r="C409" s="26" t="n">
        <v>-7.8901554</v>
      </c>
      <c r="D409" s="26" t="n">
        <v>112.5674539</v>
      </c>
      <c r="E409" s="21" t="n">
        <v>21000</v>
      </c>
      <c r="F409" s="27" t="n">
        <v>4.7</v>
      </c>
      <c r="G409" s="28" t="n">
        <v>51</v>
      </c>
      <c r="H409" s="14" t="inlineStr">
        <is>
          <t>Gunung Wukir View Gn Arjuno</t>
        </is>
      </c>
      <c r="I409" s="29">
        <f>6371 * 2 * ASIN(SQRT(SIN(RADIANS((C409) - INDEX('Dataset_Wisata'!$C$12:$C$622, MATCH('Dashboard'!$C$9, 'Dataset_Wisata'!$A$12:$A$622, 0)))/2)^2 + COS(RADIANS(INDEX('Dataset_Wisata'!$C$12:$C$622, MATCH('Dashboard'!$C$9, 'Dataset_Wisata'!$A$12:$A$622, 0)))) * COS(RADIANS(C409)) * SIN(RADIANS((D409) - INDEX('Dataset_Wisata'!$D$12:$D$622, MATCH('Dashboard'!$C$9, 'Dataset_Wisata'!$A$12:$A$622, 0)))/2)^2)) * 1.3</f>
        <v/>
      </c>
      <c r="J409" s="21">
        <f>ROUND(I409 * IF('Dashboard'!$C$6&lt;=1, 2250, IF('Dashboard'!$C$6&lt;=4, 5150, 6000)), 0)</f>
        <v/>
      </c>
      <c r="K409" s="30" t="n">
        <v>0.8587772144115819</v>
      </c>
      <c r="L409" s="30" t="n">
        <v>0.1367083859831229</v>
      </c>
      <c r="M409" s="30" t="n">
        <v>0.00451439960529516</v>
      </c>
      <c r="N409" s="31">
        <f>ABS(E409-$F$6)</f>
        <v/>
      </c>
      <c r="O409" s="31">
        <f>ABS(E409-$F$7)</f>
        <v/>
      </c>
      <c r="P409" s="31">
        <f>ABS(E409-$F$8)</f>
        <v/>
      </c>
      <c r="Q409" s="14">
        <f>IF(K409&gt;=MAX(L409,M409), "Hemat", IF(L409&gt;=M409, "Balanced", "Premium"))</f>
        <v/>
      </c>
      <c r="R409" s="30" t="n">
        <v>0.858777281576985</v>
      </c>
      <c r="S409" s="30" t="n">
        <v>0.1367083191608161</v>
      </c>
      <c r="T409" s="30" t="n">
        <v>0.00451439926219901</v>
      </c>
      <c r="U409" s="31">
        <f>ABS(E409-$G$6)</f>
        <v/>
      </c>
      <c r="V409" s="31">
        <f>ABS(E409-$G$7)</f>
        <v/>
      </c>
      <c r="W409" s="31">
        <f>ABS(E409-$G$8)</f>
        <v/>
      </c>
      <c r="X409" s="14">
        <f>IF(R409&gt;=MAX(S409,T409), "Hemat", IF(S409&gt;=T409, "Balanced", "Premium"))</f>
        <v/>
      </c>
    </row>
    <row r="410">
      <c r="A410" s="14" t="n">
        <v>412</v>
      </c>
      <c r="B410" s="7" t="inlineStr">
        <is>
          <t>Wisata Petik Strawberry</t>
        </is>
      </c>
      <c r="C410" s="26" t="n">
        <v>-7.8684032</v>
      </c>
      <c r="D410" s="26" t="n">
        <v>112.5420956</v>
      </c>
      <c r="E410" s="21" t="n">
        <v>10000</v>
      </c>
      <c r="F410" s="27" t="n">
        <v>4.4</v>
      </c>
      <c r="G410" s="28" t="n">
        <v>47</v>
      </c>
      <c r="H410" s="14" t="inlineStr">
        <is>
          <t>Wisata Petik Strawberry</t>
        </is>
      </c>
      <c r="I410" s="29">
        <f>6371 * 2 * ASIN(SQRT(SIN(RADIANS((C410) - INDEX('Dataset_Wisata'!$C$12:$C$622, MATCH('Dashboard'!$C$9, 'Dataset_Wisata'!$A$12:$A$622, 0)))/2)^2 + COS(RADIANS(INDEX('Dataset_Wisata'!$C$12:$C$622, MATCH('Dashboard'!$C$9, 'Dataset_Wisata'!$A$12:$A$622, 0)))) * COS(RADIANS(C410)) * SIN(RADIANS((D410) - INDEX('Dataset_Wisata'!$D$12:$D$622, MATCH('Dashboard'!$C$9, 'Dataset_Wisata'!$A$12:$A$622, 0)))/2)^2)) * 1.3</f>
        <v/>
      </c>
      <c r="J410" s="21">
        <f>ROUND(I410 * IF('Dashboard'!$C$6&lt;=1, 2250, IF('Dashboard'!$C$6&lt;=4, 5150, 6000)), 0)</f>
        <v/>
      </c>
      <c r="K410" s="30" t="n">
        <v>0.9998126508185596</v>
      </c>
      <c r="L410" s="30" t="n">
        <v>0.0001775718391516968</v>
      </c>
      <c r="M410" s="30" t="n">
        <v>9.7773422886897e-06</v>
      </c>
      <c r="N410" s="31">
        <f>ABS(E410-$F$6)</f>
        <v/>
      </c>
      <c r="O410" s="31">
        <f>ABS(E410-$F$7)</f>
        <v/>
      </c>
      <c r="P410" s="31">
        <f>ABS(E410-$F$8)</f>
        <v/>
      </c>
      <c r="Q410" s="14">
        <f>IF(K410&gt;=MAX(L410,M410), "Hemat", IF(L410&gt;=M410, "Balanced", "Premium"))</f>
        <v/>
      </c>
      <c r="R410" s="30" t="n">
        <v>0.9998126513362043</v>
      </c>
      <c r="S410" s="30" t="n">
        <v>0.0001775713458315561</v>
      </c>
      <c r="T410" s="30" t="n">
        <v>9.777317964159987e-06</v>
      </c>
      <c r="U410" s="31">
        <f>ABS(E410-$G$6)</f>
        <v/>
      </c>
      <c r="V410" s="31">
        <f>ABS(E410-$G$7)</f>
        <v/>
      </c>
      <c r="W410" s="31">
        <f>ABS(E410-$G$8)</f>
        <v/>
      </c>
      <c r="X410" s="14">
        <f>IF(R410&gt;=MAX(S410,T410), "Hemat", IF(S410&gt;=T410, "Balanced", "Premium"))</f>
        <v/>
      </c>
    </row>
    <row r="411">
      <c r="A411" s="14" t="n">
        <v>413</v>
      </c>
      <c r="B411" s="7" t="inlineStr">
        <is>
          <t>BatuPaintball</t>
        </is>
      </c>
      <c r="C411" s="26" t="n">
        <v>-7.8886675</v>
      </c>
      <c r="D411" s="26" t="n">
        <v>112.5610424</v>
      </c>
      <c r="E411" s="21" t="n">
        <v>130000</v>
      </c>
      <c r="F411" s="27" t="n">
        <v>4.9</v>
      </c>
      <c r="G411" s="28" t="n">
        <v>265</v>
      </c>
      <c r="H411" s="14" t="inlineStr">
        <is>
          <t>Wisata Umum</t>
        </is>
      </c>
      <c r="I411" s="29">
        <f>6371 * 2 * ASIN(SQRT(SIN(RADIANS((C411) - INDEX('Dataset_Wisata'!$C$12:$C$622, MATCH('Dashboard'!$C$9, 'Dataset_Wisata'!$A$12:$A$622, 0)))/2)^2 + COS(RADIANS(INDEX('Dataset_Wisata'!$C$12:$C$622, MATCH('Dashboard'!$C$9, 'Dataset_Wisata'!$A$12:$A$622, 0)))) * COS(RADIANS(C411)) * SIN(RADIANS((D411) - INDEX('Dataset_Wisata'!$D$12:$D$622, MATCH('Dashboard'!$C$9, 'Dataset_Wisata'!$A$12:$A$622, 0)))/2)^2)) * 1.3</f>
        <v/>
      </c>
      <c r="J411" s="21">
        <f>ROUND(I411 * IF('Dashboard'!$C$6&lt;=1, 2250, IF('Dashboard'!$C$6&lt;=4, 5150, 6000)), 0)</f>
        <v/>
      </c>
      <c r="K411" s="30" t="n">
        <v>0.1103290922884322</v>
      </c>
      <c r="L411" s="30" t="n">
        <v>0.2498376042148518</v>
      </c>
      <c r="M411" s="30" t="n">
        <v>0.639833303496716</v>
      </c>
      <c r="N411" s="31">
        <f>ABS(E411-$F$6)</f>
        <v/>
      </c>
      <c r="O411" s="31">
        <f>ABS(E411-$F$7)</f>
        <v/>
      </c>
      <c r="P411" s="31">
        <f>ABS(E411-$F$8)</f>
        <v/>
      </c>
      <c r="Q411" s="14">
        <f>IF(K411&gt;=MAX(L411,M411), "Hemat", IF(L411&gt;=M411, "Balanced", "Premium"))</f>
        <v/>
      </c>
      <c r="R411" s="30" t="n">
        <v>0.1103290980846877</v>
      </c>
      <c r="S411" s="30" t="n">
        <v>0.249837655572535</v>
      </c>
      <c r="T411" s="30" t="n">
        <v>0.6398332463427774</v>
      </c>
      <c r="U411" s="31">
        <f>ABS(E411-$G$6)</f>
        <v/>
      </c>
      <c r="V411" s="31">
        <f>ABS(E411-$G$7)</f>
        <v/>
      </c>
      <c r="W411" s="31">
        <f>ABS(E411-$G$8)</f>
        <v/>
      </c>
      <c r="X411" s="14">
        <f>IF(R411&gt;=MAX(S411,T411), "Hemat", IF(S411&gt;=T411, "Balanced", "Premium"))</f>
        <v/>
      </c>
    </row>
    <row r="412">
      <c r="A412" s="14" t="n">
        <v>414</v>
      </c>
      <c r="B412" s="7" t="inlineStr">
        <is>
          <t>Tlogorejo Water Source</t>
        </is>
      </c>
      <c r="C412" s="26" t="n">
        <v>-7.8553478</v>
      </c>
      <c r="D412" s="26" t="n">
        <v>112.545879</v>
      </c>
      <c r="E412" s="21" t="n">
        <v>10000</v>
      </c>
      <c r="F412" s="27" t="n">
        <v>4.3</v>
      </c>
      <c r="G412" s="28" t="n">
        <v>52</v>
      </c>
      <c r="H412" s="14" t="inlineStr">
        <is>
          <t>Wisata Umum</t>
        </is>
      </c>
      <c r="I412" s="29">
        <f>6371 * 2 * ASIN(SQRT(SIN(RADIANS((C412) - INDEX('Dataset_Wisata'!$C$12:$C$622, MATCH('Dashboard'!$C$9, 'Dataset_Wisata'!$A$12:$A$622, 0)))/2)^2 + COS(RADIANS(INDEX('Dataset_Wisata'!$C$12:$C$622, MATCH('Dashboard'!$C$9, 'Dataset_Wisata'!$A$12:$A$622, 0)))) * COS(RADIANS(C412)) * SIN(RADIANS((D412) - INDEX('Dataset_Wisata'!$D$12:$D$622, MATCH('Dashboard'!$C$9, 'Dataset_Wisata'!$A$12:$A$622, 0)))/2)^2)) * 1.3</f>
        <v/>
      </c>
      <c r="J412" s="21">
        <f>ROUND(I412 * IF('Dashboard'!$C$6&lt;=1, 2250, IF('Dashboard'!$C$6&lt;=4, 5150, 6000)), 0)</f>
        <v/>
      </c>
      <c r="K412" s="30" t="n">
        <v>0.9998126508185596</v>
      </c>
      <c r="L412" s="30" t="n">
        <v>0.0001775718391516968</v>
      </c>
      <c r="M412" s="30" t="n">
        <v>9.7773422886897e-06</v>
      </c>
      <c r="N412" s="31">
        <f>ABS(E412-$F$6)</f>
        <v/>
      </c>
      <c r="O412" s="31">
        <f>ABS(E412-$F$7)</f>
        <v/>
      </c>
      <c r="P412" s="31">
        <f>ABS(E412-$F$8)</f>
        <v/>
      </c>
      <c r="Q412" s="14">
        <f>IF(K412&gt;=MAX(L412,M412), "Hemat", IF(L412&gt;=M412, "Balanced", "Premium"))</f>
        <v/>
      </c>
      <c r="R412" s="30" t="n">
        <v>0.9998126513362043</v>
      </c>
      <c r="S412" s="30" t="n">
        <v>0.0001775713458315561</v>
      </c>
      <c r="T412" s="30" t="n">
        <v>9.777317964159987e-06</v>
      </c>
      <c r="U412" s="31">
        <f>ABS(E412-$G$6)</f>
        <v/>
      </c>
      <c r="V412" s="31">
        <f>ABS(E412-$G$7)</f>
        <v/>
      </c>
      <c r="W412" s="31">
        <f>ABS(E412-$G$8)</f>
        <v/>
      </c>
      <c r="X412" s="14">
        <f>IF(R412&gt;=MAX(S412,T412), "Hemat", IF(S412&gt;=T412, "Balanced", "Premium"))</f>
        <v/>
      </c>
    </row>
    <row r="413">
      <c r="A413" s="14" t="n">
        <v>415</v>
      </c>
      <c r="B413" s="7" t="inlineStr">
        <is>
          <t>Puncak Budug Asu</t>
        </is>
      </c>
      <c r="C413" s="26" t="n">
        <v>-7.807287</v>
      </c>
      <c r="D413" s="26" t="n">
        <v>112.6214149</v>
      </c>
      <c r="E413" s="21" t="n">
        <v>10000</v>
      </c>
      <c r="F413" s="27" t="n">
        <v>4.7</v>
      </c>
      <c r="G413" s="28" t="n">
        <v>595</v>
      </c>
      <c r="H413" s="14" t="inlineStr">
        <is>
          <t>Tujuan Wisata · </t>
        </is>
      </c>
      <c r="I413" s="29">
        <f>6371 * 2 * ASIN(SQRT(SIN(RADIANS((C413) - INDEX('Dataset_Wisata'!$C$12:$C$622, MATCH('Dashboard'!$C$9, 'Dataset_Wisata'!$A$12:$A$622, 0)))/2)^2 + COS(RADIANS(INDEX('Dataset_Wisata'!$C$12:$C$622, MATCH('Dashboard'!$C$9, 'Dataset_Wisata'!$A$12:$A$622, 0)))) * COS(RADIANS(C413)) * SIN(RADIANS((D413) - INDEX('Dataset_Wisata'!$D$12:$D$622, MATCH('Dashboard'!$C$9, 'Dataset_Wisata'!$A$12:$A$622, 0)))/2)^2)) * 1.3</f>
        <v/>
      </c>
      <c r="J413" s="21">
        <f>ROUND(I413 * IF('Dashboard'!$C$6&lt;=1, 2250, IF('Dashboard'!$C$6&lt;=4, 5150, 6000)), 0)</f>
        <v/>
      </c>
      <c r="K413" s="30" t="n">
        <v>0.9998126508185596</v>
      </c>
      <c r="L413" s="30" t="n">
        <v>0.0001775718391516968</v>
      </c>
      <c r="M413" s="30" t="n">
        <v>9.7773422886897e-06</v>
      </c>
      <c r="N413" s="31">
        <f>ABS(E413-$F$6)</f>
        <v/>
      </c>
      <c r="O413" s="31">
        <f>ABS(E413-$F$7)</f>
        <v/>
      </c>
      <c r="P413" s="31">
        <f>ABS(E413-$F$8)</f>
        <v/>
      </c>
      <c r="Q413" s="14">
        <f>IF(K413&gt;=MAX(L413,M413), "Hemat", IF(L413&gt;=M413, "Balanced", "Premium"))</f>
        <v/>
      </c>
      <c r="R413" s="30" t="n">
        <v>0.9998126513362043</v>
      </c>
      <c r="S413" s="30" t="n">
        <v>0.0001775713458315561</v>
      </c>
      <c r="T413" s="30" t="n">
        <v>9.777317964159987e-06</v>
      </c>
      <c r="U413" s="31">
        <f>ABS(E413-$G$6)</f>
        <v/>
      </c>
      <c r="V413" s="31">
        <f>ABS(E413-$G$7)</f>
        <v/>
      </c>
      <c r="W413" s="31">
        <f>ABS(E413-$G$8)</f>
        <v/>
      </c>
      <c r="X413" s="14">
        <f>IF(R413&gt;=MAX(S413,T413), "Hemat", IF(S413&gt;=T413, "Balanced", "Premium"))</f>
        <v/>
      </c>
    </row>
    <row r="414">
      <c r="A414" s="14" t="n">
        <v>416</v>
      </c>
      <c r="B414" s="7" t="inlineStr">
        <is>
          <t>Arjuna Geopark</t>
        </is>
      </c>
      <c r="C414" s="26" t="n">
        <v>-7.8184952</v>
      </c>
      <c r="D414" s="26" t="n">
        <v>112.6463259</v>
      </c>
      <c r="E414" s="21" t="n">
        <v>20000</v>
      </c>
      <c r="F414" s="27" t="n">
        <v>4.8</v>
      </c>
      <c r="G414" s="28" t="n">
        <v>520</v>
      </c>
      <c r="H414" s="14" t="inlineStr">
        <is>
          <t>Wisata Umum</t>
        </is>
      </c>
      <c r="I414" s="29">
        <f>6371 * 2 * ASIN(SQRT(SIN(RADIANS((C414) - INDEX('Dataset_Wisata'!$C$12:$C$622, MATCH('Dashboard'!$C$9, 'Dataset_Wisata'!$A$12:$A$622, 0)))/2)^2 + COS(RADIANS(INDEX('Dataset_Wisata'!$C$12:$C$622, MATCH('Dashboard'!$C$9, 'Dataset_Wisata'!$A$12:$A$622, 0)))) * COS(RADIANS(C414)) * SIN(RADIANS((D414) - INDEX('Dataset_Wisata'!$D$12:$D$622, MATCH('Dashboard'!$C$9, 'Dataset_Wisata'!$A$12:$A$622, 0)))/2)^2)) * 1.3</f>
        <v/>
      </c>
      <c r="J414" s="21">
        <f>ROUND(I414 * IF('Dashboard'!$C$6&lt;=1, 2250, IF('Dashboard'!$C$6&lt;=4, 5150, 6000)), 0)</f>
        <v/>
      </c>
      <c r="K414" s="30" t="n">
        <v>0.8862296979094436</v>
      </c>
      <c r="L414" s="30" t="n">
        <v>0.1099329410905347</v>
      </c>
      <c r="M414" s="30" t="n">
        <v>0.003837361000021699</v>
      </c>
      <c r="N414" s="31">
        <f>ABS(E414-$F$6)</f>
        <v/>
      </c>
      <c r="O414" s="31">
        <f>ABS(E414-$F$7)</f>
        <v/>
      </c>
      <c r="P414" s="31">
        <f>ABS(E414-$F$8)</f>
        <v/>
      </c>
      <c r="Q414" s="14">
        <f>IF(K414&gt;=MAX(L414,M414), "Hemat", IF(L414&gt;=M414, "Balanced", "Premium"))</f>
        <v/>
      </c>
      <c r="R414" s="30" t="n">
        <v>0.8862297532761809</v>
      </c>
      <c r="S414" s="30" t="n">
        <v>0.1099328861159962</v>
      </c>
      <c r="T414" s="30" t="n">
        <v>0.003837360607822898</v>
      </c>
      <c r="U414" s="31">
        <f>ABS(E414-$G$6)</f>
        <v/>
      </c>
      <c r="V414" s="31">
        <f>ABS(E414-$G$7)</f>
        <v/>
      </c>
      <c r="W414" s="31">
        <f>ABS(E414-$G$8)</f>
        <v/>
      </c>
      <c r="X414" s="14">
        <f>IF(R414&gt;=MAX(S414,T414), "Hemat", IF(S414&gt;=T414, "Balanced", "Premium"))</f>
        <v/>
      </c>
    </row>
    <row r="415">
      <c r="A415" s="14" t="n">
        <v>417</v>
      </c>
      <c r="B415" s="7" t="inlineStr">
        <is>
          <t>Jembatan Cinta Bukit Kuneer</t>
        </is>
      </c>
      <c r="C415" s="26" t="n">
        <v>-7.8134559</v>
      </c>
      <c r="D415" s="26" t="n">
        <v>112.633615</v>
      </c>
      <c r="E415" s="21" t="n">
        <v>10000</v>
      </c>
      <c r="F415" s="27" t="n">
        <v>4.6</v>
      </c>
      <c r="G415" s="28" t="n">
        <v>124</v>
      </c>
      <c r="H415" s="14" t="inlineStr">
        <is>
          <t>Wisata Umum</t>
        </is>
      </c>
      <c r="I415" s="29">
        <f>6371 * 2 * ASIN(SQRT(SIN(RADIANS((C415) - INDEX('Dataset_Wisata'!$C$12:$C$622, MATCH('Dashboard'!$C$9, 'Dataset_Wisata'!$A$12:$A$622, 0)))/2)^2 + COS(RADIANS(INDEX('Dataset_Wisata'!$C$12:$C$622, MATCH('Dashboard'!$C$9, 'Dataset_Wisata'!$A$12:$A$622, 0)))) * COS(RADIANS(C415)) * SIN(RADIANS((D415) - INDEX('Dataset_Wisata'!$D$12:$D$622, MATCH('Dashboard'!$C$9, 'Dataset_Wisata'!$A$12:$A$622, 0)))/2)^2)) * 1.3</f>
        <v/>
      </c>
      <c r="J415" s="21">
        <f>ROUND(I415 * IF('Dashboard'!$C$6&lt;=1, 2250, IF('Dashboard'!$C$6&lt;=4, 5150, 6000)), 0)</f>
        <v/>
      </c>
      <c r="K415" s="30" t="n">
        <v>0.9998126508185596</v>
      </c>
      <c r="L415" s="30" t="n">
        <v>0.0001775718391516968</v>
      </c>
      <c r="M415" s="30" t="n">
        <v>9.7773422886897e-06</v>
      </c>
      <c r="N415" s="31">
        <f>ABS(E415-$F$6)</f>
        <v/>
      </c>
      <c r="O415" s="31">
        <f>ABS(E415-$F$7)</f>
        <v/>
      </c>
      <c r="P415" s="31">
        <f>ABS(E415-$F$8)</f>
        <v/>
      </c>
      <c r="Q415" s="14">
        <f>IF(K415&gt;=MAX(L415,M415), "Hemat", IF(L415&gt;=M415, "Balanced", "Premium"))</f>
        <v/>
      </c>
      <c r="R415" s="30" t="n">
        <v>0.9998126513362043</v>
      </c>
      <c r="S415" s="30" t="n">
        <v>0.0001775713458315561</v>
      </c>
      <c r="T415" s="30" t="n">
        <v>9.777317964159987e-06</v>
      </c>
      <c r="U415" s="31">
        <f>ABS(E415-$G$6)</f>
        <v/>
      </c>
      <c r="V415" s="31">
        <f>ABS(E415-$G$7)</f>
        <v/>
      </c>
      <c r="W415" s="31">
        <f>ABS(E415-$G$8)</f>
        <v/>
      </c>
      <c r="X415" s="14">
        <f>IF(R415&gt;=MAX(S415,T415), "Hemat", IF(S415&gt;=T415, "Balanced", "Premium"))</f>
        <v/>
      </c>
    </row>
    <row r="416">
      <c r="A416" s="14" t="n">
        <v>418</v>
      </c>
      <c r="B416" s="7" t="inlineStr">
        <is>
          <t>Pentungan Sari Waterpark</t>
        </is>
      </c>
      <c r="C416" s="26" t="n">
        <v>-7.8522273</v>
      </c>
      <c r="D416" s="26" t="n">
        <v>112.6583238</v>
      </c>
      <c r="E416" s="21" t="n">
        <v>5000</v>
      </c>
      <c r="F416" s="27" t="n">
        <v>4.5</v>
      </c>
      <c r="G416" s="28" t="n">
        <v>239</v>
      </c>
      <c r="H416" s="14" t="inlineStr">
        <is>
          <t>Tujuan Wisata · </t>
        </is>
      </c>
      <c r="I416" s="29">
        <f>6371 * 2 * ASIN(SQRT(SIN(RADIANS((C416) - INDEX('Dataset_Wisata'!$C$12:$C$622, MATCH('Dashboard'!$C$9, 'Dataset_Wisata'!$A$12:$A$622, 0)))/2)^2 + COS(RADIANS(INDEX('Dataset_Wisata'!$C$12:$C$622, MATCH('Dashboard'!$C$9, 'Dataset_Wisata'!$A$12:$A$622, 0)))) * COS(RADIANS(C416)) * SIN(RADIANS((D416) - INDEX('Dataset_Wisata'!$D$12:$D$622, MATCH('Dashboard'!$C$9, 'Dataset_Wisata'!$A$12:$A$622, 0)))/2)^2)) * 1.3</f>
        <v/>
      </c>
      <c r="J416" s="21">
        <f>ROUND(I416 * IF('Dashboard'!$C$6&lt;=1, 2250, IF('Dashboard'!$C$6&lt;=4, 5150, 6000)), 0)</f>
        <v/>
      </c>
      <c r="K416" s="30" t="n">
        <v>0.9895566543895754</v>
      </c>
      <c r="L416" s="30" t="n">
        <v>0.009798611400025654</v>
      </c>
      <c r="M416" s="30" t="n">
        <v>0.0006447342103988783</v>
      </c>
      <c r="N416" s="31">
        <f>ABS(E416-$F$6)</f>
        <v/>
      </c>
      <c r="O416" s="31">
        <f>ABS(E416-$F$7)</f>
        <v/>
      </c>
      <c r="P416" s="31">
        <f>ABS(E416-$F$8)</f>
        <v/>
      </c>
      <c r="Q416" s="14">
        <f>IF(K416&gt;=MAX(L416,M416), "Hemat", IF(L416&gt;=M416, "Balanced", "Premium"))</f>
        <v/>
      </c>
      <c r="R416" s="30" t="n">
        <v>0.9895566542341836</v>
      </c>
      <c r="S416" s="30" t="n">
        <v>0.00979861139170024</v>
      </c>
      <c r="T416" s="30" t="n">
        <v>0.00064473437411607</v>
      </c>
      <c r="U416" s="31">
        <f>ABS(E416-$G$6)</f>
        <v/>
      </c>
      <c r="V416" s="31">
        <f>ABS(E416-$G$7)</f>
        <v/>
      </c>
      <c r="W416" s="31">
        <f>ABS(E416-$G$8)</f>
        <v/>
      </c>
      <c r="X416" s="14">
        <f>IF(R416&gt;=MAX(S416,T416), "Hemat", IF(S416&gt;=T416, "Balanced", "Premium"))</f>
        <v/>
      </c>
    </row>
    <row r="417">
      <c r="A417" s="14" t="n">
        <v>419</v>
      </c>
      <c r="B417" s="7" t="inlineStr">
        <is>
          <t>Taman Arjuno</t>
        </is>
      </c>
      <c r="C417" s="26" t="n">
        <v>-7.859702</v>
      </c>
      <c r="D417" s="26" t="n">
        <v>112.6475082</v>
      </c>
      <c r="E417" s="21" t="n">
        <v>21000</v>
      </c>
      <c r="F417" s="27" t="n">
        <v>4.7</v>
      </c>
      <c r="G417" s="28" t="n">
        <v>336</v>
      </c>
      <c r="H417" s="14" t="inlineStr">
        <is>
          <t>Taman Arjuno</t>
        </is>
      </c>
      <c r="I417" s="29">
        <f>6371 * 2 * ASIN(SQRT(SIN(RADIANS((C417) - INDEX('Dataset_Wisata'!$C$12:$C$622, MATCH('Dashboard'!$C$9, 'Dataset_Wisata'!$A$12:$A$622, 0)))/2)^2 + COS(RADIANS(INDEX('Dataset_Wisata'!$C$12:$C$622, MATCH('Dashboard'!$C$9, 'Dataset_Wisata'!$A$12:$A$622, 0)))) * COS(RADIANS(C417)) * SIN(RADIANS((D417) - INDEX('Dataset_Wisata'!$D$12:$D$622, MATCH('Dashboard'!$C$9, 'Dataset_Wisata'!$A$12:$A$622, 0)))/2)^2)) * 1.3</f>
        <v/>
      </c>
      <c r="J417" s="21">
        <f>ROUND(I417 * IF('Dashboard'!$C$6&lt;=1, 2250, IF('Dashboard'!$C$6&lt;=4, 5150, 6000)), 0)</f>
        <v/>
      </c>
      <c r="K417" s="30" t="n">
        <v>0.8587772144115819</v>
      </c>
      <c r="L417" s="30" t="n">
        <v>0.1367083859831229</v>
      </c>
      <c r="M417" s="30" t="n">
        <v>0.00451439960529516</v>
      </c>
      <c r="N417" s="31">
        <f>ABS(E417-$F$6)</f>
        <v/>
      </c>
      <c r="O417" s="31">
        <f>ABS(E417-$F$7)</f>
        <v/>
      </c>
      <c r="P417" s="31">
        <f>ABS(E417-$F$8)</f>
        <v/>
      </c>
      <c r="Q417" s="14">
        <f>IF(K417&gt;=MAX(L417,M417), "Hemat", IF(L417&gt;=M417, "Balanced", "Premium"))</f>
        <v/>
      </c>
      <c r="R417" s="30" t="n">
        <v>0.858777281576985</v>
      </c>
      <c r="S417" s="30" t="n">
        <v>0.1367083191608161</v>
      </c>
      <c r="T417" s="30" t="n">
        <v>0.00451439926219901</v>
      </c>
      <c r="U417" s="31">
        <f>ABS(E417-$G$6)</f>
        <v/>
      </c>
      <c r="V417" s="31">
        <f>ABS(E417-$G$7)</f>
        <v/>
      </c>
      <c r="W417" s="31">
        <f>ABS(E417-$G$8)</f>
        <v/>
      </c>
      <c r="X417" s="14">
        <f>IF(R417&gt;=MAX(S417,T417), "Hemat", IF(S417&gt;=T417, "Balanced", "Premium"))</f>
        <v/>
      </c>
    </row>
    <row r="418">
      <c r="A418" s="14" t="n">
        <v>420</v>
      </c>
      <c r="B418" s="7" t="inlineStr">
        <is>
          <t>Tlogo Land</t>
        </is>
      </c>
      <c r="C418" s="26" t="n">
        <v>-7.8272887</v>
      </c>
      <c r="D418" s="26" t="n">
        <v>112.6810779</v>
      </c>
      <c r="E418" s="21" t="n">
        <v>10000</v>
      </c>
      <c r="F418" s="27" t="n">
        <v>4.3</v>
      </c>
      <c r="G418" s="28" t="n">
        <v>1590</v>
      </c>
      <c r="H418" s="14" t="inlineStr">
        <is>
          <t>Wisata Umum</t>
        </is>
      </c>
      <c r="I418" s="29">
        <f>6371 * 2 * ASIN(SQRT(SIN(RADIANS((C418) - INDEX('Dataset_Wisata'!$C$12:$C$622, MATCH('Dashboard'!$C$9, 'Dataset_Wisata'!$A$12:$A$622, 0)))/2)^2 + COS(RADIANS(INDEX('Dataset_Wisata'!$C$12:$C$622, MATCH('Dashboard'!$C$9, 'Dataset_Wisata'!$A$12:$A$622, 0)))) * COS(RADIANS(C418)) * SIN(RADIANS((D418) - INDEX('Dataset_Wisata'!$D$12:$D$622, MATCH('Dashboard'!$C$9, 'Dataset_Wisata'!$A$12:$A$622, 0)))/2)^2)) * 1.3</f>
        <v/>
      </c>
      <c r="J418" s="21">
        <f>ROUND(I418 * IF('Dashboard'!$C$6&lt;=1, 2250, IF('Dashboard'!$C$6&lt;=4, 5150, 6000)), 0)</f>
        <v/>
      </c>
      <c r="K418" s="30" t="n">
        <v>0.9998126508185596</v>
      </c>
      <c r="L418" s="30" t="n">
        <v>0.0001775718391516968</v>
      </c>
      <c r="M418" s="30" t="n">
        <v>9.7773422886897e-06</v>
      </c>
      <c r="N418" s="31">
        <f>ABS(E418-$F$6)</f>
        <v/>
      </c>
      <c r="O418" s="31">
        <f>ABS(E418-$F$7)</f>
        <v/>
      </c>
      <c r="P418" s="31">
        <f>ABS(E418-$F$8)</f>
        <v/>
      </c>
      <c r="Q418" s="14">
        <f>IF(K418&gt;=MAX(L418,M418), "Hemat", IF(L418&gt;=M418, "Balanced", "Premium"))</f>
        <v/>
      </c>
      <c r="R418" s="30" t="n">
        <v>0.9998126513362043</v>
      </c>
      <c r="S418" s="30" t="n">
        <v>0.0001775713458315561</v>
      </c>
      <c r="T418" s="30" t="n">
        <v>9.777317964159987e-06</v>
      </c>
      <c r="U418" s="31">
        <f>ABS(E418-$G$6)</f>
        <v/>
      </c>
      <c r="V418" s="31">
        <f>ABS(E418-$G$7)</f>
        <v/>
      </c>
      <c r="W418" s="31">
        <f>ABS(E418-$G$8)</f>
        <v/>
      </c>
      <c r="X418" s="14">
        <f>IF(R418&gt;=MAX(S418,T418), "Hemat", IF(S418&gt;=T418, "Balanced", "Premium"))</f>
        <v/>
      </c>
    </row>
    <row r="419">
      <c r="A419" s="14" t="n">
        <v>421</v>
      </c>
      <c r="B419" s="7" t="inlineStr">
        <is>
          <t>Candi Sumberawan</t>
        </is>
      </c>
      <c r="C419" s="26" t="n">
        <v>-7.8553968</v>
      </c>
      <c r="D419" s="26" t="n">
        <v>112.6447923</v>
      </c>
      <c r="E419" s="21" t="n">
        <v>10000</v>
      </c>
      <c r="F419" s="27" t="n">
        <v>4.6</v>
      </c>
      <c r="G419" s="28" t="n">
        <v>1419</v>
      </c>
      <c r="H419" s="14" t="inlineStr">
        <is>
          <t>Tujuan Wisata · </t>
        </is>
      </c>
      <c r="I419" s="29">
        <f>6371 * 2 * ASIN(SQRT(SIN(RADIANS((C419) - INDEX('Dataset_Wisata'!$C$12:$C$622, MATCH('Dashboard'!$C$9, 'Dataset_Wisata'!$A$12:$A$622, 0)))/2)^2 + COS(RADIANS(INDEX('Dataset_Wisata'!$C$12:$C$622, MATCH('Dashboard'!$C$9, 'Dataset_Wisata'!$A$12:$A$622, 0)))) * COS(RADIANS(C419)) * SIN(RADIANS((D419) - INDEX('Dataset_Wisata'!$D$12:$D$622, MATCH('Dashboard'!$C$9, 'Dataset_Wisata'!$A$12:$A$622, 0)))/2)^2)) * 1.3</f>
        <v/>
      </c>
      <c r="J419" s="21">
        <f>ROUND(I419 * IF('Dashboard'!$C$6&lt;=1, 2250, IF('Dashboard'!$C$6&lt;=4, 5150, 6000)), 0)</f>
        <v/>
      </c>
      <c r="K419" s="30" t="n">
        <v>0.9998126508185596</v>
      </c>
      <c r="L419" s="30" t="n">
        <v>0.0001775718391516968</v>
      </c>
      <c r="M419" s="30" t="n">
        <v>9.7773422886897e-06</v>
      </c>
      <c r="N419" s="31">
        <f>ABS(E419-$F$6)</f>
        <v/>
      </c>
      <c r="O419" s="31">
        <f>ABS(E419-$F$7)</f>
        <v/>
      </c>
      <c r="P419" s="31">
        <f>ABS(E419-$F$8)</f>
        <v/>
      </c>
      <c r="Q419" s="14">
        <f>IF(K419&gt;=MAX(L419,M419), "Hemat", IF(L419&gt;=M419, "Balanced", "Premium"))</f>
        <v/>
      </c>
      <c r="R419" s="30" t="n">
        <v>0.9998126513362043</v>
      </c>
      <c r="S419" s="30" t="n">
        <v>0.0001775713458315561</v>
      </c>
      <c r="T419" s="30" t="n">
        <v>9.777317964159987e-06</v>
      </c>
      <c r="U419" s="31">
        <f>ABS(E419-$G$6)</f>
        <v/>
      </c>
      <c r="V419" s="31">
        <f>ABS(E419-$G$7)</f>
        <v/>
      </c>
      <c r="W419" s="31">
        <f>ABS(E419-$G$8)</f>
        <v/>
      </c>
      <c r="X419" s="14">
        <f>IF(R419&gt;=MAX(S419,T419), "Hemat", IF(S419&gt;=T419, "Balanced", "Premium"))</f>
        <v/>
      </c>
    </row>
    <row r="420">
      <c r="A420" s="14" t="n">
        <v>422</v>
      </c>
      <c r="B420" s="7" t="inlineStr">
        <is>
          <t>Bukit Kuneer</t>
        </is>
      </c>
      <c r="C420" s="26" t="n">
        <v>-7.8127654</v>
      </c>
      <c r="D420" s="26" t="n">
        <v>112.6319932</v>
      </c>
      <c r="E420" s="21" t="n">
        <v>10000</v>
      </c>
      <c r="F420" s="27" t="n">
        <v>4.5</v>
      </c>
      <c r="G420" s="28" t="n">
        <v>1447</v>
      </c>
      <c r="H420" s="14" t="inlineStr">
        <is>
          <t>Wisata Umum</t>
        </is>
      </c>
      <c r="I420" s="29">
        <f>6371 * 2 * ASIN(SQRT(SIN(RADIANS((C420) - INDEX('Dataset_Wisata'!$C$12:$C$622, MATCH('Dashboard'!$C$9, 'Dataset_Wisata'!$A$12:$A$622, 0)))/2)^2 + COS(RADIANS(INDEX('Dataset_Wisata'!$C$12:$C$622, MATCH('Dashboard'!$C$9, 'Dataset_Wisata'!$A$12:$A$622, 0)))) * COS(RADIANS(C420)) * SIN(RADIANS((D420) - INDEX('Dataset_Wisata'!$D$12:$D$622, MATCH('Dashboard'!$C$9, 'Dataset_Wisata'!$A$12:$A$622, 0)))/2)^2)) * 1.3</f>
        <v/>
      </c>
      <c r="J420" s="21">
        <f>ROUND(I420 * IF('Dashboard'!$C$6&lt;=1, 2250, IF('Dashboard'!$C$6&lt;=4, 5150, 6000)), 0)</f>
        <v/>
      </c>
      <c r="K420" s="30" t="n">
        <v>0.9998126508185596</v>
      </c>
      <c r="L420" s="30" t="n">
        <v>0.0001775718391516968</v>
      </c>
      <c r="M420" s="30" t="n">
        <v>9.7773422886897e-06</v>
      </c>
      <c r="N420" s="31">
        <f>ABS(E420-$F$6)</f>
        <v/>
      </c>
      <c r="O420" s="31">
        <f>ABS(E420-$F$7)</f>
        <v/>
      </c>
      <c r="P420" s="31">
        <f>ABS(E420-$F$8)</f>
        <v/>
      </c>
      <c r="Q420" s="14">
        <f>IF(K420&gt;=MAX(L420,M420), "Hemat", IF(L420&gt;=M420, "Balanced", "Premium"))</f>
        <v/>
      </c>
      <c r="R420" s="30" t="n">
        <v>0.9998126513362043</v>
      </c>
      <c r="S420" s="30" t="n">
        <v>0.0001775713458315561</v>
      </c>
      <c r="T420" s="30" t="n">
        <v>9.777317964159987e-06</v>
      </c>
      <c r="U420" s="31">
        <f>ABS(E420-$G$6)</f>
        <v/>
      </c>
      <c r="V420" s="31">
        <f>ABS(E420-$G$7)</f>
        <v/>
      </c>
      <c r="W420" s="31">
        <f>ABS(E420-$G$8)</f>
        <v/>
      </c>
      <c r="X420" s="14">
        <f>IF(R420&gt;=MAX(S420,T420), "Hemat", IF(S420&gt;=T420, "Balanced", "Premium"))</f>
        <v/>
      </c>
    </row>
    <row r="421">
      <c r="A421" s="14" t="n">
        <v>423</v>
      </c>
      <c r="B421" s="7" t="inlineStr">
        <is>
          <t>Wisata Sumber Awan</t>
        </is>
      </c>
      <c r="C421" s="26" t="n">
        <v>-7.8553407</v>
      </c>
      <c r="D421" s="26" t="n">
        <v>112.6448098</v>
      </c>
      <c r="E421" s="21" t="n">
        <v>10000</v>
      </c>
      <c r="F421" s="27" t="n">
        <v>4.5</v>
      </c>
      <c r="G421" s="28" t="n">
        <v>28</v>
      </c>
      <c r="H421" s="14" t="inlineStr">
        <is>
          <t>Wisata Sumber Awan</t>
        </is>
      </c>
      <c r="I421" s="29">
        <f>6371 * 2 * ASIN(SQRT(SIN(RADIANS((C421) - INDEX('Dataset_Wisata'!$C$12:$C$622, MATCH('Dashboard'!$C$9, 'Dataset_Wisata'!$A$12:$A$622, 0)))/2)^2 + COS(RADIANS(INDEX('Dataset_Wisata'!$C$12:$C$622, MATCH('Dashboard'!$C$9, 'Dataset_Wisata'!$A$12:$A$622, 0)))) * COS(RADIANS(C421)) * SIN(RADIANS((D421) - INDEX('Dataset_Wisata'!$D$12:$D$622, MATCH('Dashboard'!$C$9, 'Dataset_Wisata'!$A$12:$A$622, 0)))/2)^2)) * 1.3</f>
        <v/>
      </c>
      <c r="J421" s="21">
        <f>ROUND(I421 * IF('Dashboard'!$C$6&lt;=1, 2250, IF('Dashboard'!$C$6&lt;=4, 5150, 6000)), 0)</f>
        <v/>
      </c>
      <c r="K421" s="30" t="n">
        <v>0.9998126508185596</v>
      </c>
      <c r="L421" s="30" t="n">
        <v>0.0001775718391516968</v>
      </c>
      <c r="M421" s="30" t="n">
        <v>9.7773422886897e-06</v>
      </c>
      <c r="N421" s="31">
        <f>ABS(E421-$F$6)</f>
        <v/>
      </c>
      <c r="O421" s="31">
        <f>ABS(E421-$F$7)</f>
        <v/>
      </c>
      <c r="P421" s="31">
        <f>ABS(E421-$F$8)</f>
        <v/>
      </c>
      <c r="Q421" s="14">
        <f>IF(K421&gt;=MAX(L421,M421), "Hemat", IF(L421&gt;=M421, "Balanced", "Premium"))</f>
        <v/>
      </c>
      <c r="R421" s="30" t="n">
        <v>0.9998126513362043</v>
      </c>
      <c r="S421" s="30" t="n">
        <v>0.0001775713458315561</v>
      </c>
      <c r="T421" s="30" t="n">
        <v>9.777317964159987e-06</v>
      </c>
      <c r="U421" s="31">
        <f>ABS(E421-$G$6)</f>
        <v/>
      </c>
      <c r="V421" s="31">
        <f>ABS(E421-$G$7)</f>
        <v/>
      </c>
      <c r="W421" s="31">
        <f>ABS(E421-$G$8)</f>
        <v/>
      </c>
      <c r="X421" s="14">
        <f>IF(R421&gt;=MAX(S421,T421), "Hemat", IF(S421&gt;=T421, "Balanced", "Premium"))</f>
        <v/>
      </c>
    </row>
    <row r="422">
      <c r="A422" s="14" t="n">
        <v>424</v>
      </c>
      <c r="B422" s="7" t="inlineStr">
        <is>
          <t>Wonosari Tea Plantation</t>
        </is>
      </c>
      <c r="C422" s="26" t="n">
        <v>-7.8203975</v>
      </c>
      <c r="D422" s="26" t="n">
        <v>112.6446857</v>
      </c>
      <c r="E422" s="21" t="n">
        <v>15000</v>
      </c>
      <c r="F422" s="27" t="n">
        <v>4.5</v>
      </c>
      <c r="G422" s="28" t="n">
        <v>602</v>
      </c>
      <c r="H422" s="14" t="inlineStr">
        <is>
          <t>Wisata Umum</t>
        </is>
      </c>
      <c r="I422" s="29">
        <f>6371 * 2 * ASIN(SQRT(SIN(RADIANS((C422) - INDEX('Dataset_Wisata'!$C$12:$C$622, MATCH('Dashboard'!$C$9, 'Dataset_Wisata'!$A$12:$A$622, 0)))/2)^2 + COS(RADIANS(INDEX('Dataset_Wisata'!$C$12:$C$622, MATCH('Dashboard'!$C$9, 'Dataset_Wisata'!$A$12:$A$622, 0)))) * COS(RADIANS(C422)) * SIN(RADIANS((D422) - INDEX('Dataset_Wisata'!$D$12:$D$622, MATCH('Dashboard'!$C$9, 'Dataset_Wisata'!$A$12:$A$622, 0)))/2)^2)) * 1.3</f>
        <v/>
      </c>
      <c r="J422" s="21">
        <f>ROUND(I422 * IF('Dashboard'!$C$6&lt;=1, 2250, IF('Dashboard'!$C$6&lt;=4, 5150, 6000)), 0)</f>
        <v/>
      </c>
      <c r="K422" s="30" t="n">
        <v>0.9744283047002794</v>
      </c>
      <c r="L422" s="30" t="n">
        <v>0.02447712712252609</v>
      </c>
      <c r="M422" s="30" t="n">
        <v>0.001094568177194568</v>
      </c>
      <c r="N422" s="31">
        <f>ABS(E422-$F$6)</f>
        <v/>
      </c>
      <c r="O422" s="31">
        <f>ABS(E422-$F$7)</f>
        <v/>
      </c>
      <c r="P422" s="31">
        <f>ABS(E422-$F$8)</f>
        <v/>
      </c>
      <c r="Q422" s="14">
        <f>IF(K422&gt;=MAX(L422,M422), "Hemat", IF(L422&gt;=M422, "Balanced", "Premium"))</f>
        <v/>
      </c>
      <c r="R422" s="30" t="n">
        <v>0.9744283195785179</v>
      </c>
      <c r="S422" s="30" t="n">
        <v>0.02447711252884811</v>
      </c>
      <c r="T422" s="30" t="n">
        <v>0.001094567892634054</v>
      </c>
      <c r="U422" s="31">
        <f>ABS(E422-$G$6)</f>
        <v/>
      </c>
      <c r="V422" s="31">
        <f>ABS(E422-$G$7)</f>
        <v/>
      </c>
      <c r="W422" s="31">
        <f>ABS(E422-$G$8)</f>
        <v/>
      </c>
      <c r="X422" s="14">
        <f>IF(R422&gt;=MAX(S422,T422), "Hemat", IF(S422&gt;=T422, "Balanced", "Premium"))</f>
        <v/>
      </c>
    </row>
    <row r="423">
      <c r="A423" s="14" t="n">
        <v>425</v>
      </c>
      <c r="B423" s="7" t="inlineStr">
        <is>
          <t>Bukit Asmara</t>
        </is>
      </c>
      <c r="C423" s="26" t="n">
        <v>-8.440946</v>
      </c>
      <c r="D423" s="26" t="n">
        <v>112.6642625</v>
      </c>
      <c r="E423" s="21" t="n">
        <v>15000</v>
      </c>
      <c r="F423" s="27" t="n">
        <v>4.7</v>
      </c>
      <c r="G423" s="28" t="n">
        <v>198</v>
      </c>
      <c r="H423" s="14" t="inlineStr">
        <is>
          <t>Wisata Umum</t>
        </is>
      </c>
      <c r="I423" s="29">
        <f>6371 * 2 * ASIN(SQRT(SIN(RADIANS((C423) - INDEX('Dataset_Wisata'!$C$12:$C$622, MATCH('Dashboard'!$C$9, 'Dataset_Wisata'!$A$12:$A$622, 0)))/2)^2 + COS(RADIANS(INDEX('Dataset_Wisata'!$C$12:$C$622, MATCH('Dashboard'!$C$9, 'Dataset_Wisata'!$A$12:$A$622, 0)))) * COS(RADIANS(C423)) * SIN(RADIANS((D423) - INDEX('Dataset_Wisata'!$D$12:$D$622, MATCH('Dashboard'!$C$9, 'Dataset_Wisata'!$A$12:$A$622, 0)))/2)^2)) * 1.3</f>
        <v/>
      </c>
      <c r="J423" s="21">
        <f>ROUND(I423 * IF('Dashboard'!$C$6&lt;=1, 2250, IF('Dashboard'!$C$6&lt;=4, 5150, 6000)), 0)</f>
        <v/>
      </c>
      <c r="K423" s="30" t="n">
        <v>0.9744283047002794</v>
      </c>
      <c r="L423" s="30" t="n">
        <v>0.02447712712252609</v>
      </c>
      <c r="M423" s="30" t="n">
        <v>0.001094568177194568</v>
      </c>
      <c r="N423" s="31">
        <f>ABS(E423-$F$6)</f>
        <v/>
      </c>
      <c r="O423" s="31">
        <f>ABS(E423-$F$7)</f>
        <v/>
      </c>
      <c r="P423" s="31">
        <f>ABS(E423-$F$8)</f>
        <v/>
      </c>
      <c r="Q423" s="14">
        <f>IF(K423&gt;=MAX(L423,M423), "Hemat", IF(L423&gt;=M423, "Balanced", "Premium"))</f>
        <v/>
      </c>
      <c r="R423" s="30" t="n">
        <v>0.9744283195785179</v>
      </c>
      <c r="S423" s="30" t="n">
        <v>0.02447711252884811</v>
      </c>
      <c r="T423" s="30" t="n">
        <v>0.001094567892634054</v>
      </c>
      <c r="U423" s="31">
        <f>ABS(E423-$G$6)</f>
        <v/>
      </c>
      <c r="V423" s="31">
        <f>ABS(E423-$G$7)</f>
        <v/>
      </c>
      <c r="W423" s="31">
        <f>ABS(E423-$G$8)</f>
        <v/>
      </c>
      <c r="X423" s="14">
        <f>IF(R423&gt;=MAX(S423,T423), "Hemat", IF(S423&gt;=T423, "Balanced", "Premium"))</f>
        <v/>
      </c>
    </row>
    <row r="424">
      <c r="A424" s="14" t="n">
        <v>426</v>
      </c>
      <c r="B424" s="7" t="inlineStr">
        <is>
          <t>Pantai Tamban</t>
        </is>
      </c>
      <c r="C424" s="26" t="n">
        <v>-8.417327500000001</v>
      </c>
      <c r="D424" s="26" t="n">
        <v>112.7103036</v>
      </c>
      <c r="E424" s="21" t="n">
        <v>5000</v>
      </c>
      <c r="F424" s="27" t="n">
        <v>4.6</v>
      </c>
      <c r="G424" s="28" t="n">
        <v>773</v>
      </c>
      <c r="H424" s="14" t="inlineStr">
        <is>
          <t>Pantai Tamban</t>
        </is>
      </c>
      <c r="I424" s="29">
        <f>6371 * 2 * ASIN(SQRT(SIN(RADIANS((C424) - INDEX('Dataset_Wisata'!$C$12:$C$622, MATCH('Dashboard'!$C$9, 'Dataset_Wisata'!$A$12:$A$622, 0)))/2)^2 + COS(RADIANS(INDEX('Dataset_Wisata'!$C$12:$C$622, MATCH('Dashboard'!$C$9, 'Dataset_Wisata'!$A$12:$A$622, 0)))) * COS(RADIANS(C424)) * SIN(RADIANS((D424) - INDEX('Dataset_Wisata'!$D$12:$D$622, MATCH('Dashboard'!$C$9, 'Dataset_Wisata'!$A$12:$A$622, 0)))/2)^2)) * 1.3</f>
        <v/>
      </c>
      <c r="J424" s="21">
        <f>ROUND(I424 * IF('Dashboard'!$C$6&lt;=1, 2250, IF('Dashboard'!$C$6&lt;=4, 5150, 6000)), 0)</f>
        <v/>
      </c>
      <c r="K424" s="30" t="n">
        <v>0.9895566543895754</v>
      </c>
      <c r="L424" s="30" t="n">
        <v>0.009798611400025654</v>
      </c>
      <c r="M424" s="30" t="n">
        <v>0.0006447342103988783</v>
      </c>
      <c r="N424" s="31">
        <f>ABS(E424-$F$6)</f>
        <v/>
      </c>
      <c r="O424" s="31">
        <f>ABS(E424-$F$7)</f>
        <v/>
      </c>
      <c r="P424" s="31">
        <f>ABS(E424-$F$8)</f>
        <v/>
      </c>
      <c r="Q424" s="14">
        <f>IF(K424&gt;=MAX(L424,M424), "Hemat", IF(L424&gt;=M424, "Balanced", "Premium"))</f>
        <v/>
      </c>
      <c r="R424" s="30" t="n">
        <v>0.9895566542341836</v>
      </c>
      <c r="S424" s="30" t="n">
        <v>0.00979861139170024</v>
      </c>
      <c r="T424" s="30" t="n">
        <v>0.00064473437411607</v>
      </c>
      <c r="U424" s="31">
        <f>ABS(E424-$G$6)</f>
        <v/>
      </c>
      <c r="V424" s="31">
        <f>ABS(E424-$G$7)</f>
        <v/>
      </c>
      <c r="W424" s="31">
        <f>ABS(E424-$G$8)</f>
        <v/>
      </c>
      <c r="X424" s="14">
        <f>IF(R424&gt;=MAX(S424,T424), "Hemat", IF(S424&gt;=T424, "Balanced", "Premium"))</f>
        <v/>
      </c>
    </row>
    <row r="425">
      <c r="A425" s="14" t="n">
        <v>427</v>
      </c>
      <c r="B425" s="7" t="inlineStr">
        <is>
          <t>Pantai Sendangbiru</t>
        </is>
      </c>
      <c r="C425" s="26" t="n">
        <v>-8.431425000000001</v>
      </c>
      <c r="D425" s="26" t="n">
        <v>112.6860615</v>
      </c>
      <c r="E425" s="21" t="n">
        <v>10000</v>
      </c>
      <c r="F425" s="27" t="n">
        <v>4.5</v>
      </c>
      <c r="G425" s="28" t="n">
        <v>1278</v>
      </c>
      <c r="H425" s="14" t="inlineStr">
        <is>
          <t>Pantai Sendangbiru</t>
        </is>
      </c>
      <c r="I425" s="29">
        <f>6371 * 2 * ASIN(SQRT(SIN(RADIANS((C425) - INDEX('Dataset_Wisata'!$C$12:$C$622, MATCH('Dashboard'!$C$9, 'Dataset_Wisata'!$A$12:$A$622, 0)))/2)^2 + COS(RADIANS(INDEX('Dataset_Wisata'!$C$12:$C$622, MATCH('Dashboard'!$C$9, 'Dataset_Wisata'!$A$12:$A$622, 0)))) * COS(RADIANS(C425)) * SIN(RADIANS((D425) - INDEX('Dataset_Wisata'!$D$12:$D$622, MATCH('Dashboard'!$C$9, 'Dataset_Wisata'!$A$12:$A$622, 0)))/2)^2)) * 1.3</f>
        <v/>
      </c>
      <c r="J425" s="21">
        <f>ROUND(I425 * IF('Dashboard'!$C$6&lt;=1, 2250, IF('Dashboard'!$C$6&lt;=4, 5150, 6000)), 0)</f>
        <v/>
      </c>
      <c r="K425" s="30" t="n">
        <v>0.9998126508185596</v>
      </c>
      <c r="L425" s="30" t="n">
        <v>0.0001775718391516968</v>
      </c>
      <c r="M425" s="30" t="n">
        <v>9.7773422886897e-06</v>
      </c>
      <c r="N425" s="31">
        <f>ABS(E425-$F$6)</f>
        <v/>
      </c>
      <c r="O425" s="31">
        <f>ABS(E425-$F$7)</f>
        <v/>
      </c>
      <c r="P425" s="31">
        <f>ABS(E425-$F$8)</f>
        <v/>
      </c>
      <c r="Q425" s="14">
        <f>IF(K425&gt;=MAX(L425,M425), "Hemat", IF(L425&gt;=M425, "Balanced", "Premium"))</f>
        <v/>
      </c>
      <c r="R425" s="30" t="n">
        <v>0.9998126513362043</v>
      </c>
      <c r="S425" s="30" t="n">
        <v>0.0001775713458315561</v>
      </c>
      <c r="T425" s="30" t="n">
        <v>9.777317964159987e-06</v>
      </c>
      <c r="U425" s="31">
        <f>ABS(E425-$G$6)</f>
        <v/>
      </c>
      <c r="V425" s="31">
        <f>ABS(E425-$G$7)</f>
        <v/>
      </c>
      <c r="W425" s="31">
        <f>ABS(E425-$G$8)</f>
        <v/>
      </c>
      <c r="X425" s="14">
        <f>IF(R425&gt;=MAX(S425,T425), "Hemat", IF(S425&gt;=T425, "Balanced", "Premium"))</f>
        <v/>
      </c>
    </row>
    <row r="426">
      <c r="A426" s="14" t="n">
        <v>428</v>
      </c>
      <c r="B426" s="7" t="inlineStr">
        <is>
          <t>Teluk Asmara Beach</t>
        </is>
      </c>
      <c r="C426" s="26" t="n">
        <v>-8.4429424</v>
      </c>
      <c r="D426" s="26" t="n">
        <v>112.6654655</v>
      </c>
      <c r="E426" s="21" t="n">
        <v>15000</v>
      </c>
      <c r="F426" s="27" t="n">
        <v>4.5</v>
      </c>
      <c r="G426" s="28" t="n">
        <v>122</v>
      </c>
      <c r="H426" s="14" t="inlineStr">
        <is>
          <t>Wisata Umum</t>
        </is>
      </c>
      <c r="I426" s="29">
        <f>6371 * 2 * ASIN(SQRT(SIN(RADIANS((C426) - INDEX('Dataset_Wisata'!$C$12:$C$622, MATCH('Dashboard'!$C$9, 'Dataset_Wisata'!$A$12:$A$622, 0)))/2)^2 + COS(RADIANS(INDEX('Dataset_Wisata'!$C$12:$C$622, MATCH('Dashboard'!$C$9, 'Dataset_Wisata'!$A$12:$A$622, 0)))) * COS(RADIANS(C426)) * SIN(RADIANS((D426) - INDEX('Dataset_Wisata'!$D$12:$D$622, MATCH('Dashboard'!$C$9, 'Dataset_Wisata'!$A$12:$A$622, 0)))/2)^2)) * 1.3</f>
        <v/>
      </c>
      <c r="J426" s="21">
        <f>ROUND(I426 * IF('Dashboard'!$C$6&lt;=1, 2250, IF('Dashboard'!$C$6&lt;=4, 5150, 6000)), 0)</f>
        <v/>
      </c>
      <c r="K426" s="30" t="n">
        <v>0.9744283047002794</v>
      </c>
      <c r="L426" s="30" t="n">
        <v>0.02447712712252609</v>
      </c>
      <c r="M426" s="30" t="n">
        <v>0.001094568177194568</v>
      </c>
      <c r="N426" s="31">
        <f>ABS(E426-$F$6)</f>
        <v/>
      </c>
      <c r="O426" s="31">
        <f>ABS(E426-$F$7)</f>
        <v/>
      </c>
      <c r="P426" s="31">
        <f>ABS(E426-$F$8)</f>
        <v/>
      </c>
      <c r="Q426" s="14">
        <f>IF(K426&gt;=MAX(L426,M426), "Hemat", IF(L426&gt;=M426, "Balanced", "Premium"))</f>
        <v/>
      </c>
      <c r="R426" s="30" t="n">
        <v>0.9744283195785179</v>
      </c>
      <c r="S426" s="30" t="n">
        <v>0.02447711252884811</v>
      </c>
      <c r="T426" s="30" t="n">
        <v>0.001094567892634054</v>
      </c>
      <c r="U426" s="31">
        <f>ABS(E426-$G$6)</f>
        <v/>
      </c>
      <c r="V426" s="31">
        <f>ABS(E426-$G$7)</f>
        <v/>
      </c>
      <c r="W426" s="31">
        <f>ABS(E426-$G$8)</f>
        <v/>
      </c>
      <c r="X426" s="14">
        <f>IF(R426&gt;=MAX(S426,T426), "Hemat", IF(S426&gt;=T426, "Balanced", "Premium"))</f>
        <v/>
      </c>
    </row>
    <row r="427">
      <c r="A427" s="14" t="n">
        <v>429</v>
      </c>
      <c r="B427" s="7" t="inlineStr">
        <is>
          <t>Pantai Sumenggung ꦥꦼꦱꦶꦱꦶꦂꦱꦸꦩꦼꦔ꧀ꦒꦸꦁ</t>
        </is>
      </c>
      <c r="C427" s="26" t="n">
        <v>-8.445020700000001</v>
      </c>
      <c r="D427" s="26" t="n">
        <v>112.6596044</v>
      </c>
      <c r="E427" s="21" t="n">
        <v>10000</v>
      </c>
      <c r="F427" s="27" t="n">
        <v>4.5</v>
      </c>
      <c r="G427" s="28" t="n">
        <v>26</v>
      </c>
      <c r="H427" s="14" t="inlineStr">
        <is>
          <t>Pantai Sumenggung ꦥꦼꦱꦶꦱꦶꦂꦱꦸꦩꦼꦔ꧀ꦒꦸꦁ</t>
        </is>
      </c>
      <c r="I427" s="29">
        <f>6371 * 2 * ASIN(SQRT(SIN(RADIANS((C427) - INDEX('Dataset_Wisata'!$C$12:$C$622, MATCH('Dashboard'!$C$9, 'Dataset_Wisata'!$A$12:$A$622, 0)))/2)^2 + COS(RADIANS(INDEX('Dataset_Wisata'!$C$12:$C$622, MATCH('Dashboard'!$C$9, 'Dataset_Wisata'!$A$12:$A$622, 0)))) * COS(RADIANS(C427)) * SIN(RADIANS((D427) - INDEX('Dataset_Wisata'!$D$12:$D$622, MATCH('Dashboard'!$C$9, 'Dataset_Wisata'!$A$12:$A$622, 0)))/2)^2)) * 1.3</f>
        <v/>
      </c>
      <c r="J427" s="21">
        <f>ROUND(I427 * IF('Dashboard'!$C$6&lt;=1, 2250, IF('Dashboard'!$C$6&lt;=4, 5150, 6000)), 0)</f>
        <v/>
      </c>
      <c r="K427" s="30" t="n">
        <v>0.9998126508185596</v>
      </c>
      <c r="L427" s="30" t="n">
        <v>0.0001775718391516968</v>
      </c>
      <c r="M427" s="30" t="n">
        <v>9.7773422886897e-06</v>
      </c>
      <c r="N427" s="31">
        <f>ABS(E427-$F$6)</f>
        <v/>
      </c>
      <c r="O427" s="31">
        <f>ABS(E427-$F$7)</f>
        <v/>
      </c>
      <c r="P427" s="31">
        <f>ABS(E427-$F$8)</f>
        <v/>
      </c>
      <c r="Q427" s="14">
        <f>IF(K427&gt;=MAX(L427,M427), "Hemat", IF(L427&gt;=M427, "Balanced", "Premium"))</f>
        <v/>
      </c>
      <c r="R427" s="30" t="n">
        <v>0.9998126513362043</v>
      </c>
      <c r="S427" s="30" t="n">
        <v>0.0001775713458315561</v>
      </c>
      <c r="T427" s="30" t="n">
        <v>9.777317964159987e-06</v>
      </c>
      <c r="U427" s="31">
        <f>ABS(E427-$G$6)</f>
        <v/>
      </c>
      <c r="V427" s="31">
        <f>ABS(E427-$G$7)</f>
        <v/>
      </c>
      <c r="W427" s="31">
        <f>ABS(E427-$G$8)</f>
        <v/>
      </c>
      <c r="X427" s="14">
        <f>IF(R427&gt;=MAX(S427,T427), "Hemat", IF(S427&gt;=T427, "Balanced", "Premium"))</f>
        <v/>
      </c>
    </row>
    <row r="428">
      <c r="A428" s="14" t="n">
        <v>430</v>
      </c>
      <c r="B428" s="7" t="inlineStr">
        <is>
          <t>Jembatan Bajulmati</t>
        </is>
      </c>
      <c r="C428" s="26" t="n">
        <v>-8.4367953</v>
      </c>
      <c r="D428" s="26" t="n">
        <v>112.6452933</v>
      </c>
      <c r="E428" s="21" t="n">
        <v>10000</v>
      </c>
      <c r="F428" s="27" t="n">
        <v>4.5</v>
      </c>
      <c r="G428" s="28" t="n">
        <v>985</v>
      </c>
      <c r="H428" s="14" t="inlineStr">
        <is>
          <t>Wisata Umum</t>
        </is>
      </c>
      <c r="I428" s="29">
        <f>6371 * 2 * ASIN(SQRT(SIN(RADIANS((C428) - INDEX('Dataset_Wisata'!$C$12:$C$622, MATCH('Dashboard'!$C$9, 'Dataset_Wisata'!$A$12:$A$622, 0)))/2)^2 + COS(RADIANS(INDEX('Dataset_Wisata'!$C$12:$C$622, MATCH('Dashboard'!$C$9, 'Dataset_Wisata'!$A$12:$A$622, 0)))) * COS(RADIANS(C428)) * SIN(RADIANS((D428) - INDEX('Dataset_Wisata'!$D$12:$D$622, MATCH('Dashboard'!$C$9, 'Dataset_Wisata'!$A$12:$A$622, 0)))/2)^2)) * 1.3</f>
        <v/>
      </c>
      <c r="J428" s="21">
        <f>ROUND(I428 * IF('Dashboard'!$C$6&lt;=1, 2250, IF('Dashboard'!$C$6&lt;=4, 5150, 6000)), 0)</f>
        <v/>
      </c>
      <c r="K428" s="30" t="n">
        <v>0.9998126508185596</v>
      </c>
      <c r="L428" s="30" t="n">
        <v>0.0001775718391516968</v>
      </c>
      <c r="M428" s="30" t="n">
        <v>9.7773422886897e-06</v>
      </c>
      <c r="N428" s="31">
        <f>ABS(E428-$F$6)</f>
        <v/>
      </c>
      <c r="O428" s="31">
        <f>ABS(E428-$F$7)</f>
        <v/>
      </c>
      <c r="P428" s="31">
        <f>ABS(E428-$F$8)</f>
        <v/>
      </c>
      <c r="Q428" s="14">
        <f>IF(K428&gt;=MAX(L428,M428), "Hemat", IF(L428&gt;=M428, "Balanced", "Premium"))</f>
        <v/>
      </c>
      <c r="R428" s="30" t="n">
        <v>0.9998126513362043</v>
      </c>
      <c r="S428" s="30" t="n">
        <v>0.0001775713458315561</v>
      </c>
      <c r="T428" s="30" t="n">
        <v>9.777317964159987e-06</v>
      </c>
      <c r="U428" s="31">
        <f>ABS(E428-$G$6)</f>
        <v/>
      </c>
      <c r="V428" s="31">
        <f>ABS(E428-$G$7)</f>
        <v/>
      </c>
      <c r="W428" s="31">
        <f>ABS(E428-$G$8)</f>
        <v/>
      </c>
      <c r="X428" s="14">
        <f>IF(R428&gt;=MAX(S428,T428), "Hemat", IF(S428&gt;=T428, "Balanced", "Premium"))</f>
        <v/>
      </c>
    </row>
    <row r="429">
      <c r="A429" s="14" t="n">
        <v>431</v>
      </c>
      <c r="B429" s="7" t="inlineStr">
        <is>
          <t>Rest Area Pesona Wono Agung</t>
        </is>
      </c>
      <c r="C429" s="26" t="n">
        <v>-8.3583236</v>
      </c>
      <c r="D429" s="26" t="n">
        <v>112.6771747</v>
      </c>
      <c r="E429" s="21" t="n">
        <v>20000</v>
      </c>
      <c r="F429" s="27" t="n">
        <v>4.5</v>
      </c>
      <c r="G429" s="28" t="n">
        <v>35</v>
      </c>
      <c r="H429" s="14" t="inlineStr">
        <is>
          <t>Tujuan Wisata</t>
        </is>
      </c>
      <c r="I429" s="29">
        <f>6371 * 2 * ASIN(SQRT(SIN(RADIANS((C429) - INDEX('Dataset_Wisata'!$C$12:$C$622, MATCH('Dashboard'!$C$9, 'Dataset_Wisata'!$A$12:$A$622, 0)))/2)^2 + COS(RADIANS(INDEX('Dataset_Wisata'!$C$12:$C$622, MATCH('Dashboard'!$C$9, 'Dataset_Wisata'!$A$12:$A$622, 0)))) * COS(RADIANS(C429)) * SIN(RADIANS((D429) - INDEX('Dataset_Wisata'!$D$12:$D$622, MATCH('Dashboard'!$C$9, 'Dataset_Wisata'!$A$12:$A$622, 0)))/2)^2)) * 1.3</f>
        <v/>
      </c>
      <c r="J429" s="21">
        <f>ROUND(I429 * IF('Dashboard'!$C$6&lt;=1, 2250, IF('Dashboard'!$C$6&lt;=4, 5150, 6000)), 0)</f>
        <v/>
      </c>
      <c r="K429" s="30" t="n">
        <v>0.8862296979094436</v>
      </c>
      <c r="L429" s="30" t="n">
        <v>0.1099329410905347</v>
      </c>
      <c r="M429" s="30" t="n">
        <v>0.003837361000021699</v>
      </c>
      <c r="N429" s="31">
        <f>ABS(E429-$F$6)</f>
        <v/>
      </c>
      <c r="O429" s="31">
        <f>ABS(E429-$F$7)</f>
        <v/>
      </c>
      <c r="P429" s="31">
        <f>ABS(E429-$F$8)</f>
        <v/>
      </c>
      <c r="Q429" s="14">
        <f>IF(K429&gt;=MAX(L429,M429), "Hemat", IF(L429&gt;=M429, "Balanced", "Premium"))</f>
        <v/>
      </c>
      <c r="R429" s="30" t="n">
        <v>0.8862297532761809</v>
      </c>
      <c r="S429" s="30" t="n">
        <v>0.1099328861159962</v>
      </c>
      <c r="T429" s="30" t="n">
        <v>0.003837360607822898</v>
      </c>
      <c r="U429" s="31">
        <f>ABS(E429-$G$6)</f>
        <v/>
      </c>
      <c r="V429" s="31">
        <f>ABS(E429-$G$7)</f>
        <v/>
      </c>
      <c r="W429" s="31">
        <f>ABS(E429-$G$8)</f>
        <v/>
      </c>
      <c r="X429" s="14">
        <f>IF(R429&gt;=MAX(S429,T429), "Hemat", IF(S429&gt;=T429, "Balanced", "Premium"))</f>
        <v/>
      </c>
    </row>
    <row r="430">
      <c r="A430" s="14" t="n">
        <v>432</v>
      </c>
      <c r="B430" s="7" t="inlineStr">
        <is>
          <t>Puncak Sumawe</t>
        </is>
      </c>
      <c r="C430" s="26" t="n">
        <v>-8.2576403</v>
      </c>
      <c r="D430" s="26" t="n">
        <v>112.6817927</v>
      </c>
      <c r="E430" s="21" t="n">
        <v>2000</v>
      </c>
      <c r="F430" s="27" t="n">
        <v>4.4</v>
      </c>
      <c r="G430" s="28" t="n">
        <v>672</v>
      </c>
      <c r="H430" s="14" t="inlineStr">
        <is>
          <t>Wisata Umum</t>
        </is>
      </c>
      <c r="I430" s="29">
        <f>6371 * 2 * ASIN(SQRT(SIN(RADIANS((C430) - INDEX('Dataset_Wisata'!$C$12:$C$622, MATCH('Dashboard'!$C$9, 'Dataset_Wisata'!$A$12:$A$622, 0)))/2)^2 + COS(RADIANS(INDEX('Dataset_Wisata'!$C$12:$C$622, MATCH('Dashboard'!$C$9, 'Dataset_Wisata'!$A$12:$A$622, 0)))) * COS(RADIANS(C430)) * SIN(RADIANS((D430) - INDEX('Dataset_Wisata'!$D$12:$D$622, MATCH('Dashboard'!$C$9, 'Dataset_Wisata'!$A$12:$A$622, 0)))/2)^2)) * 1.3</f>
        <v/>
      </c>
      <c r="J430" s="21">
        <f>ROUND(I430 * IF('Dashboard'!$C$6&lt;=1, 2250, IF('Dashboard'!$C$6&lt;=4, 5150, 6000)), 0)</f>
        <v/>
      </c>
      <c r="K430" s="30" t="n">
        <v>0.9745968037531486</v>
      </c>
      <c r="L430" s="30" t="n">
        <v>0.02368856650344644</v>
      </c>
      <c r="M430" s="30" t="n">
        <v>0.001714629743404906</v>
      </c>
      <c r="N430" s="31">
        <f>ABS(E430-$F$6)</f>
        <v/>
      </c>
      <c r="O430" s="31">
        <f>ABS(E430-$F$7)</f>
        <v/>
      </c>
      <c r="P430" s="31">
        <f>ABS(E430-$F$8)</f>
        <v/>
      </c>
      <c r="Q430" s="14">
        <f>IF(K430&gt;=MAX(L430,M430), "Hemat", IF(L430&gt;=M430, "Balanced", "Premium"))</f>
        <v/>
      </c>
      <c r="R430" s="30" t="n">
        <v>0.9745968058205632</v>
      </c>
      <c r="S430" s="30" t="n">
        <v>0.02368856419646389</v>
      </c>
      <c r="T430" s="30" t="n">
        <v>0.001714629982972894</v>
      </c>
      <c r="U430" s="31">
        <f>ABS(E430-$G$6)</f>
        <v/>
      </c>
      <c r="V430" s="31">
        <f>ABS(E430-$G$7)</f>
        <v/>
      </c>
      <c r="W430" s="31">
        <f>ABS(E430-$G$8)</f>
        <v/>
      </c>
      <c r="X430" s="14">
        <f>IF(R430&gt;=MAX(S430,T430), "Hemat", IF(S430&gt;=T430, "Balanced", "Premium"))</f>
        <v/>
      </c>
    </row>
    <row r="431">
      <c r="A431" s="14" t="n">
        <v>433</v>
      </c>
      <c r="B431" s="7" t="inlineStr">
        <is>
          <t>Rest Area Pletes</t>
        </is>
      </c>
      <c r="C431" s="26" t="n">
        <v>-8.2579397</v>
      </c>
      <c r="D431" s="26" t="n">
        <v>112.6810378</v>
      </c>
      <c r="E431" s="21" t="n">
        <v>0</v>
      </c>
      <c r="F431" s="27" t="n">
        <v>4.5</v>
      </c>
      <c r="G431" s="28" t="n">
        <v>176</v>
      </c>
      <c r="H431" s="14" t="inlineStr">
        <is>
          <t>"Wisata alam</t>
        </is>
      </c>
      <c r="I431" s="29">
        <f>6371 * 2 * ASIN(SQRT(SIN(RADIANS((C431) - INDEX('Dataset_Wisata'!$C$12:$C$622, MATCH('Dashboard'!$C$9, 'Dataset_Wisata'!$A$12:$A$622, 0)))/2)^2 + COS(RADIANS(INDEX('Dataset_Wisata'!$C$12:$C$622, MATCH('Dashboard'!$C$9, 'Dataset_Wisata'!$A$12:$A$622, 0)))) * COS(RADIANS(C431)) * SIN(RADIANS((D431) - INDEX('Dataset_Wisata'!$D$12:$D$622, MATCH('Dashboard'!$C$9, 'Dataset_Wisata'!$A$12:$A$622, 0)))/2)^2)) * 1.3</f>
        <v/>
      </c>
      <c r="J431" s="21">
        <f>ROUND(I431 * IF('Dashboard'!$C$6&lt;=1, 2250, IF('Dashboard'!$C$6&lt;=4, 5150, 6000)), 0)</f>
        <v/>
      </c>
      <c r="K431" s="30" t="n">
        <v>0.9626824510005771</v>
      </c>
      <c r="L431" s="30" t="n">
        <v>0.03465542295845363</v>
      </c>
      <c r="M431" s="30" t="n">
        <v>0.002662126040969366</v>
      </c>
      <c r="N431" s="31">
        <f>ABS(E431-$F$6)</f>
        <v/>
      </c>
      <c r="O431" s="31">
        <f>ABS(E431-$F$7)</f>
        <v/>
      </c>
      <c r="P431" s="31">
        <f>ABS(E431-$F$8)</f>
        <v/>
      </c>
      <c r="Q431" s="14">
        <f>IF(K431&gt;=MAX(L431,M431), "Hemat", IF(L431&gt;=M431, "Balanced", "Premium"))</f>
        <v/>
      </c>
      <c r="R431" s="30" t="n">
        <v>0.9626824549241798</v>
      </c>
      <c r="S431" s="30" t="n">
        <v>0.03465541875469833</v>
      </c>
      <c r="T431" s="30" t="n">
        <v>0.002662126321121907</v>
      </c>
      <c r="U431" s="31">
        <f>ABS(E431-$G$6)</f>
        <v/>
      </c>
      <c r="V431" s="31">
        <f>ABS(E431-$G$7)</f>
        <v/>
      </c>
      <c r="W431" s="31">
        <f>ABS(E431-$G$8)</f>
        <v/>
      </c>
      <c r="X431" s="14">
        <f>IF(R431&gt;=MAX(S431,T431), "Hemat", IF(S431&gt;=T431, "Balanced", "Premium"))</f>
        <v/>
      </c>
    </row>
    <row r="432">
      <c r="A432" s="14" t="n">
        <v>434</v>
      </c>
      <c r="B432" s="7" t="inlineStr">
        <is>
          <t>Rest Area Druju</t>
        </is>
      </c>
      <c r="C432" s="26" t="n">
        <v>-8.2363625</v>
      </c>
      <c r="D432" s="26" t="n">
        <v>112.6828391</v>
      </c>
      <c r="E432" s="21" t="n">
        <v>0</v>
      </c>
      <c r="F432" s="27" t="n">
        <v>4.7</v>
      </c>
      <c r="G432" s="28" t="n">
        <v>23</v>
      </c>
      <c r="H432" s="14" t="inlineStr">
        <is>
          <t>Wisata Umum</t>
        </is>
      </c>
      <c r="I432" s="29">
        <f>6371 * 2 * ASIN(SQRT(SIN(RADIANS((C432) - INDEX('Dataset_Wisata'!$C$12:$C$622, MATCH('Dashboard'!$C$9, 'Dataset_Wisata'!$A$12:$A$622, 0)))/2)^2 + COS(RADIANS(INDEX('Dataset_Wisata'!$C$12:$C$622, MATCH('Dashboard'!$C$9, 'Dataset_Wisata'!$A$12:$A$622, 0)))) * COS(RADIANS(C432)) * SIN(RADIANS((D432) - INDEX('Dataset_Wisata'!$D$12:$D$622, MATCH('Dashboard'!$C$9, 'Dataset_Wisata'!$A$12:$A$622, 0)))/2)^2)) * 1.3</f>
        <v/>
      </c>
      <c r="J432" s="21">
        <f>ROUND(I432 * IF('Dashboard'!$C$6&lt;=1, 2250, IF('Dashboard'!$C$6&lt;=4, 5150, 6000)), 0)</f>
        <v/>
      </c>
      <c r="K432" s="30" t="n">
        <v>0.9626824510005771</v>
      </c>
      <c r="L432" s="30" t="n">
        <v>0.03465542295845363</v>
      </c>
      <c r="M432" s="30" t="n">
        <v>0.002662126040969366</v>
      </c>
      <c r="N432" s="31">
        <f>ABS(E432-$F$6)</f>
        <v/>
      </c>
      <c r="O432" s="31">
        <f>ABS(E432-$F$7)</f>
        <v/>
      </c>
      <c r="P432" s="31">
        <f>ABS(E432-$F$8)</f>
        <v/>
      </c>
      <c r="Q432" s="14">
        <f>IF(K432&gt;=MAX(L432,M432), "Hemat", IF(L432&gt;=M432, "Balanced", "Premium"))</f>
        <v/>
      </c>
      <c r="R432" s="30" t="n">
        <v>0.9626824549241798</v>
      </c>
      <c r="S432" s="30" t="n">
        <v>0.03465541875469833</v>
      </c>
      <c r="T432" s="30" t="n">
        <v>0.002662126321121907</v>
      </c>
      <c r="U432" s="31">
        <f>ABS(E432-$G$6)</f>
        <v/>
      </c>
      <c r="V432" s="31">
        <f>ABS(E432-$G$7)</f>
        <v/>
      </c>
      <c r="W432" s="31">
        <f>ABS(E432-$G$8)</f>
        <v/>
      </c>
      <c r="X432" s="14">
        <f>IF(R432&gt;=MAX(S432,T432), "Hemat", IF(S432&gt;=T432, "Balanced", "Premium"))</f>
        <v/>
      </c>
    </row>
    <row r="433">
      <c r="A433" s="14" t="n">
        <v>435</v>
      </c>
      <c r="B433" s="7" t="inlineStr">
        <is>
          <t>Tomboan Ngawonggo</t>
        </is>
      </c>
      <c r="C433" s="26" t="n">
        <v>-8.079630999999999</v>
      </c>
      <c r="D433" s="26" t="n">
        <v>112.704618</v>
      </c>
      <c r="E433" s="21" t="n">
        <v>0</v>
      </c>
      <c r="F433" s="27" t="n">
        <v>4.6</v>
      </c>
      <c r="G433" s="28" t="n">
        <v>831</v>
      </c>
      <c r="H433" s="14" t="inlineStr">
        <is>
          <t>Wisata Umum</t>
        </is>
      </c>
      <c r="I433" s="29">
        <f>6371 * 2 * ASIN(SQRT(SIN(RADIANS((C433) - INDEX('Dataset_Wisata'!$C$12:$C$622, MATCH('Dashboard'!$C$9, 'Dataset_Wisata'!$A$12:$A$622, 0)))/2)^2 + COS(RADIANS(INDEX('Dataset_Wisata'!$C$12:$C$622, MATCH('Dashboard'!$C$9, 'Dataset_Wisata'!$A$12:$A$622, 0)))) * COS(RADIANS(C433)) * SIN(RADIANS((D433) - INDEX('Dataset_Wisata'!$D$12:$D$622, MATCH('Dashboard'!$C$9, 'Dataset_Wisata'!$A$12:$A$622, 0)))/2)^2)) * 1.3</f>
        <v/>
      </c>
      <c r="J433" s="21">
        <f>ROUND(I433 * IF('Dashboard'!$C$6&lt;=1, 2250, IF('Dashboard'!$C$6&lt;=4, 5150, 6000)), 0)</f>
        <v/>
      </c>
      <c r="K433" s="30" t="n">
        <v>0.9626824510005771</v>
      </c>
      <c r="L433" s="30" t="n">
        <v>0.03465542295845363</v>
      </c>
      <c r="M433" s="30" t="n">
        <v>0.002662126040969366</v>
      </c>
      <c r="N433" s="31">
        <f>ABS(E433-$F$6)</f>
        <v/>
      </c>
      <c r="O433" s="31">
        <f>ABS(E433-$F$7)</f>
        <v/>
      </c>
      <c r="P433" s="31">
        <f>ABS(E433-$F$8)</f>
        <v/>
      </c>
      <c r="Q433" s="14">
        <f>IF(K433&gt;=MAX(L433,M433), "Hemat", IF(L433&gt;=M433, "Balanced", "Premium"))</f>
        <v/>
      </c>
      <c r="R433" s="30" t="n">
        <v>0.9626824549241798</v>
      </c>
      <c r="S433" s="30" t="n">
        <v>0.03465541875469833</v>
      </c>
      <c r="T433" s="30" t="n">
        <v>0.002662126321121907</v>
      </c>
      <c r="U433" s="31">
        <f>ABS(E433-$G$6)</f>
        <v/>
      </c>
      <c r="V433" s="31">
        <f>ABS(E433-$G$7)</f>
        <v/>
      </c>
      <c r="W433" s="31">
        <f>ABS(E433-$G$8)</f>
        <v/>
      </c>
      <c r="X433" s="14">
        <f>IF(R433&gt;=MAX(S433,T433), "Hemat", IF(S433&gt;=T433, "Balanced", "Premium"))</f>
        <v/>
      </c>
    </row>
    <row r="434">
      <c r="A434" s="14" t="n">
        <v>436</v>
      </c>
      <c r="B434" s="7" t="inlineStr">
        <is>
          <t>Taman Rampal</t>
        </is>
      </c>
      <c r="C434" s="26" t="n">
        <v>-7.9740814</v>
      </c>
      <c r="D434" s="26" t="n">
        <v>112.641804</v>
      </c>
      <c r="E434" s="21" t="n">
        <v>10000</v>
      </c>
      <c r="F434" s="27" t="n">
        <v>4.2</v>
      </c>
      <c r="G434" s="28" t="n">
        <v>92</v>
      </c>
      <c r="H434" s="14" t="inlineStr">
        <is>
          <t>Taman Rampal</t>
        </is>
      </c>
      <c r="I434" s="29">
        <f>6371 * 2 * ASIN(SQRT(SIN(RADIANS((C434) - INDEX('Dataset_Wisata'!$C$12:$C$622, MATCH('Dashboard'!$C$9, 'Dataset_Wisata'!$A$12:$A$622, 0)))/2)^2 + COS(RADIANS(INDEX('Dataset_Wisata'!$C$12:$C$622, MATCH('Dashboard'!$C$9, 'Dataset_Wisata'!$A$12:$A$622, 0)))) * COS(RADIANS(C434)) * SIN(RADIANS((D434) - INDEX('Dataset_Wisata'!$D$12:$D$622, MATCH('Dashboard'!$C$9, 'Dataset_Wisata'!$A$12:$A$622, 0)))/2)^2)) * 1.3</f>
        <v/>
      </c>
      <c r="J434" s="21">
        <f>ROUND(I434 * IF('Dashboard'!$C$6&lt;=1, 2250, IF('Dashboard'!$C$6&lt;=4, 5150, 6000)), 0)</f>
        <v/>
      </c>
      <c r="K434" s="30" t="n">
        <v>0.9998126508185596</v>
      </c>
      <c r="L434" s="30" t="n">
        <v>0.0001775718391516968</v>
      </c>
      <c r="M434" s="30" t="n">
        <v>9.7773422886897e-06</v>
      </c>
      <c r="N434" s="31">
        <f>ABS(E434-$F$6)</f>
        <v/>
      </c>
      <c r="O434" s="31">
        <f>ABS(E434-$F$7)</f>
        <v/>
      </c>
      <c r="P434" s="31">
        <f>ABS(E434-$F$8)</f>
        <v/>
      </c>
      <c r="Q434" s="14">
        <f>IF(K434&gt;=MAX(L434,M434), "Hemat", IF(L434&gt;=M434, "Balanced", "Premium"))</f>
        <v/>
      </c>
      <c r="R434" s="30" t="n">
        <v>0.9998126513362043</v>
      </c>
      <c r="S434" s="30" t="n">
        <v>0.0001775713458315561</v>
      </c>
      <c r="T434" s="30" t="n">
        <v>9.777317964159987e-06</v>
      </c>
      <c r="U434" s="31">
        <f>ABS(E434-$G$6)</f>
        <v/>
      </c>
      <c r="V434" s="31">
        <f>ABS(E434-$G$7)</f>
        <v/>
      </c>
      <c r="W434" s="31">
        <f>ABS(E434-$G$8)</f>
        <v/>
      </c>
      <c r="X434" s="14">
        <f>IF(R434&gt;=MAX(S434,T434), "Hemat", IF(S434&gt;=T434, "Balanced", "Premium"))</f>
        <v/>
      </c>
    </row>
    <row r="435">
      <c r="A435" s="14" t="n">
        <v>437</v>
      </c>
      <c r="B435" s="7" t="inlineStr">
        <is>
          <t>Taman Kendedes</t>
        </is>
      </c>
      <c r="C435" s="26" t="n">
        <v>-7.9261358</v>
      </c>
      <c r="D435" s="26" t="n">
        <v>112.6508536</v>
      </c>
      <c r="E435" s="21" t="n">
        <v>5000</v>
      </c>
      <c r="F435" s="27" t="n">
        <v>4.5</v>
      </c>
      <c r="G435" s="28" t="n">
        <v>2989</v>
      </c>
      <c r="H435" s="14" t="inlineStr">
        <is>
          <t>Taman Kendedes</t>
        </is>
      </c>
      <c r="I435" s="29">
        <f>6371 * 2 * ASIN(SQRT(SIN(RADIANS((C435) - INDEX('Dataset_Wisata'!$C$12:$C$622, MATCH('Dashboard'!$C$9, 'Dataset_Wisata'!$A$12:$A$622, 0)))/2)^2 + COS(RADIANS(INDEX('Dataset_Wisata'!$C$12:$C$622, MATCH('Dashboard'!$C$9, 'Dataset_Wisata'!$A$12:$A$622, 0)))) * COS(RADIANS(C435)) * SIN(RADIANS((D435) - INDEX('Dataset_Wisata'!$D$12:$D$622, MATCH('Dashboard'!$C$9, 'Dataset_Wisata'!$A$12:$A$622, 0)))/2)^2)) * 1.3</f>
        <v/>
      </c>
      <c r="J435" s="21">
        <f>ROUND(I435 * IF('Dashboard'!$C$6&lt;=1, 2250, IF('Dashboard'!$C$6&lt;=4, 5150, 6000)), 0)</f>
        <v/>
      </c>
      <c r="K435" s="30" t="n">
        <v>0.9895566543895754</v>
      </c>
      <c r="L435" s="30" t="n">
        <v>0.009798611400025654</v>
      </c>
      <c r="M435" s="30" t="n">
        <v>0.0006447342103988783</v>
      </c>
      <c r="N435" s="31">
        <f>ABS(E435-$F$6)</f>
        <v/>
      </c>
      <c r="O435" s="31">
        <f>ABS(E435-$F$7)</f>
        <v/>
      </c>
      <c r="P435" s="31">
        <f>ABS(E435-$F$8)</f>
        <v/>
      </c>
      <c r="Q435" s="14">
        <f>IF(K435&gt;=MAX(L435,M435), "Hemat", IF(L435&gt;=M435, "Balanced", "Premium"))</f>
        <v/>
      </c>
      <c r="R435" s="30" t="n">
        <v>0.9895566542341836</v>
      </c>
      <c r="S435" s="30" t="n">
        <v>0.00979861139170024</v>
      </c>
      <c r="T435" s="30" t="n">
        <v>0.00064473437411607</v>
      </c>
      <c r="U435" s="31">
        <f>ABS(E435-$G$6)</f>
        <v/>
      </c>
      <c r="V435" s="31">
        <f>ABS(E435-$G$7)</f>
        <v/>
      </c>
      <c r="W435" s="31">
        <f>ABS(E435-$G$8)</f>
        <v/>
      </c>
      <c r="X435" s="14">
        <f>IF(R435&gt;=MAX(S435,T435), "Hemat", IF(S435&gt;=T435, "Balanced", "Premium"))</f>
        <v/>
      </c>
    </row>
    <row r="436">
      <c r="A436" s="14" t="n">
        <v>438</v>
      </c>
      <c r="B436" s="7" t="inlineStr">
        <is>
          <t>"BAMBOO MEWEK PARK"</t>
        </is>
      </c>
      <c r="C436" s="26" t="n">
        <v>-7.9230017</v>
      </c>
      <c r="D436" s="26" t="n">
        <v>112.6361784</v>
      </c>
      <c r="E436" s="21" t="n">
        <v>0</v>
      </c>
      <c r="F436" s="27" t="n">
        <v>4.2</v>
      </c>
      <c r="G436" s="28" t="n">
        <v>41</v>
      </c>
      <c r="H436" s="14" t="inlineStr">
        <is>
          <t>Wisata Umum</t>
        </is>
      </c>
      <c r="I436" s="29">
        <f>6371 * 2 * ASIN(SQRT(SIN(RADIANS((C436) - INDEX('Dataset_Wisata'!$C$12:$C$622, MATCH('Dashboard'!$C$9, 'Dataset_Wisata'!$A$12:$A$622, 0)))/2)^2 + COS(RADIANS(INDEX('Dataset_Wisata'!$C$12:$C$622, MATCH('Dashboard'!$C$9, 'Dataset_Wisata'!$A$12:$A$622, 0)))) * COS(RADIANS(C436)) * SIN(RADIANS((D436) - INDEX('Dataset_Wisata'!$D$12:$D$622, MATCH('Dashboard'!$C$9, 'Dataset_Wisata'!$A$12:$A$622, 0)))/2)^2)) * 1.3</f>
        <v/>
      </c>
      <c r="J436" s="21">
        <f>ROUND(I436 * IF('Dashboard'!$C$6&lt;=1, 2250, IF('Dashboard'!$C$6&lt;=4, 5150, 6000)), 0)</f>
        <v/>
      </c>
      <c r="K436" s="30" t="n">
        <v>0.9626824510005771</v>
      </c>
      <c r="L436" s="30" t="n">
        <v>0.03465542295845363</v>
      </c>
      <c r="M436" s="30" t="n">
        <v>0.002662126040969366</v>
      </c>
      <c r="N436" s="31">
        <f>ABS(E436-$F$6)</f>
        <v/>
      </c>
      <c r="O436" s="31">
        <f>ABS(E436-$F$7)</f>
        <v/>
      </c>
      <c r="P436" s="31">
        <f>ABS(E436-$F$8)</f>
        <v/>
      </c>
      <c r="Q436" s="14">
        <f>IF(K436&gt;=MAX(L436,M436), "Hemat", IF(L436&gt;=M436, "Balanced", "Premium"))</f>
        <v/>
      </c>
      <c r="R436" s="30" t="n">
        <v>0.9626824549241798</v>
      </c>
      <c r="S436" s="30" t="n">
        <v>0.03465541875469833</v>
      </c>
      <c r="T436" s="30" t="n">
        <v>0.002662126321121907</v>
      </c>
      <c r="U436" s="31">
        <f>ABS(E436-$G$6)</f>
        <v/>
      </c>
      <c r="V436" s="31">
        <f>ABS(E436-$G$7)</f>
        <v/>
      </c>
      <c r="W436" s="31">
        <f>ABS(E436-$G$8)</f>
        <v/>
      </c>
      <c r="X436" s="14">
        <f>IF(R436&gt;=MAX(S436,T436), "Hemat", IF(S436&gt;=T436, "Balanced", "Premium"))</f>
        <v/>
      </c>
    </row>
    <row r="437">
      <c r="A437" s="14" t="n">
        <v>439</v>
      </c>
      <c r="B437" s="7" t="inlineStr">
        <is>
          <t>Malang Night Paradise</t>
        </is>
      </c>
      <c r="C437" s="26" t="n">
        <v>-7.9235099</v>
      </c>
      <c r="D437" s="26" t="n">
        <v>112.6580123</v>
      </c>
      <c r="E437" s="21" t="n">
        <v>75000</v>
      </c>
      <c r="F437" s="27" t="n">
        <v>4.6</v>
      </c>
      <c r="G437" s="28" t="n">
        <v>20932</v>
      </c>
      <c r="H437" s="14" t="inlineStr">
        <is>
          <t>Wisata Umum</t>
        </is>
      </c>
      <c r="I437" s="29">
        <f>6371 * 2 * ASIN(SQRT(SIN(RADIANS((C437) - INDEX('Dataset_Wisata'!$C$12:$C$622, MATCH('Dashboard'!$C$9, 'Dataset_Wisata'!$A$12:$A$622, 0)))/2)^2 + COS(RADIANS(INDEX('Dataset_Wisata'!$C$12:$C$622, MATCH('Dashboard'!$C$9, 'Dataset_Wisata'!$A$12:$A$622, 0)))) * COS(RADIANS(C437)) * SIN(RADIANS((D437) - INDEX('Dataset_Wisata'!$D$12:$D$622, MATCH('Dashboard'!$C$9, 'Dataset_Wisata'!$A$12:$A$622, 0)))/2)^2)) * 1.3</f>
        <v/>
      </c>
      <c r="J437" s="21">
        <f>ROUND(I437 * IF('Dashboard'!$C$6&lt;=1, 2250, IF('Dashboard'!$C$6&lt;=4, 5150, 6000)), 0)</f>
        <v/>
      </c>
      <c r="K437" s="30" t="n">
        <v>0.1218465268050967</v>
      </c>
      <c r="L437" s="30" t="n">
        <v>0.8307384148966545</v>
      </c>
      <c r="M437" s="30" t="n">
        <v>0.04741505829824878</v>
      </c>
      <c r="N437" s="31">
        <f>ABS(E437-$F$6)</f>
        <v/>
      </c>
      <c r="O437" s="31">
        <f>ABS(E437-$F$7)</f>
        <v/>
      </c>
      <c r="P437" s="31">
        <f>ABS(E437-$F$8)</f>
        <v/>
      </c>
      <c r="Q437" s="14">
        <f>IF(K437&gt;=MAX(L437,M437), "Hemat", IF(L437&gt;=M437, "Balanced", "Premium"))</f>
        <v/>
      </c>
      <c r="R437" s="30" t="n">
        <v>0.1218464763656933</v>
      </c>
      <c r="S437" s="30" t="n">
        <v>0.8307384888671129</v>
      </c>
      <c r="T437" s="30" t="n">
        <v>0.04741503476719393</v>
      </c>
      <c r="U437" s="31">
        <f>ABS(E437-$G$6)</f>
        <v/>
      </c>
      <c r="V437" s="31">
        <f>ABS(E437-$G$7)</f>
        <v/>
      </c>
      <c r="W437" s="31">
        <f>ABS(E437-$G$8)</f>
        <v/>
      </c>
      <c r="X437" s="14">
        <f>IF(R437&gt;=MAX(S437,T437), "Hemat", IF(S437&gt;=T437, "Balanced", "Premium"))</f>
        <v/>
      </c>
    </row>
    <row r="438">
      <c r="A438" s="14" t="n">
        <v>440</v>
      </c>
      <c r="B438" s="7" t="inlineStr">
        <is>
          <t>Wisata sumber suceng</t>
        </is>
      </c>
      <c r="C438" s="26" t="n">
        <v>-7.8970259</v>
      </c>
      <c r="D438" s="26" t="n">
        <v>112.6356759</v>
      </c>
      <c r="E438" s="21" t="n">
        <v>10000</v>
      </c>
      <c r="F438" s="27" t="n">
        <v>4.4</v>
      </c>
      <c r="G438" s="28" t="n">
        <v>22</v>
      </c>
      <c r="H438" s="14" t="inlineStr">
        <is>
          <t>Wisata sumber suceng</t>
        </is>
      </c>
      <c r="I438" s="29">
        <f>6371 * 2 * ASIN(SQRT(SIN(RADIANS((C438) - INDEX('Dataset_Wisata'!$C$12:$C$622, MATCH('Dashboard'!$C$9, 'Dataset_Wisata'!$A$12:$A$622, 0)))/2)^2 + COS(RADIANS(INDEX('Dataset_Wisata'!$C$12:$C$622, MATCH('Dashboard'!$C$9, 'Dataset_Wisata'!$A$12:$A$622, 0)))) * COS(RADIANS(C438)) * SIN(RADIANS((D438) - INDEX('Dataset_Wisata'!$D$12:$D$622, MATCH('Dashboard'!$C$9, 'Dataset_Wisata'!$A$12:$A$622, 0)))/2)^2)) * 1.3</f>
        <v/>
      </c>
      <c r="J438" s="21">
        <f>ROUND(I438 * IF('Dashboard'!$C$6&lt;=1, 2250, IF('Dashboard'!$C$6&lt;=4, 5150, 6000)), 0)</f>
        <v/>
      </c>
      <c r="K438" s="30" t="n">
        <v>0.9998126508185596</v>
      </c>
      <c r="L438" s="30" t="n">
        <v>0.0001775718391516968</v>
      </c>
      <c r="M438" s="30" t="n">
        <v>9.7773422886897e-06</v>
      </c>
      <c r="N438" s="31">
        <f>ABS(E438-$F$6)</f>
        <v/>
      </c>
      <c r="O438" s="31">
        <f>ABS(E438-$F$7)</f>
        <v/>
      </c>
      <c r="P438" s="31">
        <f>ABS(E438-$F$8)</f>
        <v/>
      </c>
      <c r="Q438" s="14">
        <f>IF(K438&gt;=MAX(L438,M438), "Hemat", IF(L438&gt;=M438, "Balanced", "Premium"))</f>
        <v/>
      </c>
      <c r="R438" s="30" t="n">
        <v>0.9998126513362043</v>
      </c>
      <c r="S438" s="30" t="n">
        <v>0.0001775713458315561</v>
      </c>
      <c r="T438" s="30" t="n">
        <v>9.777317964159987e-06</v>
      </c>
      <c r="U438" s="31">
        <f>ABS(E438-$G$6)</f>
        <v/>
      </c>
      <c r="V438" s="31">
        <f>ABS(E438-$G$7)</f>
        <v/>
      </c>
      <c r="W438" s="31">
        <f>ABS(E438-$G$8)</f>
        <v/>
      </c>
      <c r="X438" s="14">
        <f>IF(R438&gt;=MAX(S438,T438), "Hemat", IF(S438&gt;=T438, "Balanced", "Premium"))</f>
        <v/>
      </c>
    </row>
    <row r="439">
      <c r="A439" s="14" t="n">
        <v>441</v>
      </c>
      <c r="B439" s="7" t="inlineStr">
        <is>
          <t>Sumber Nagan</t>
        </is>
      </c>
      <c r="C439" s="26" t="n">
        <v>-7.875618</v>
      </c>
      <c r="D439" s="26" t="n">
        <v>112.653535</v>
      </c>
      <c r="E439" s="21" t="n">
        <v>5000</v>
      </c>
      <c r="F439" s="27" t="n">
        <v>4.6</v>
      </c>
      <c r="G439" s="28" t="n">
        <v>192</v>
      </c>
      <c r="H439" s="14" t="inlineStr">
        <is>
          <t>Wisata Umum</t>
        </is>
      </c>
      <c r="I439" s="29">
        <f>6371 * 2 * ASIN(SQRT(SIN(RADIANS((C439) - INDEX('Dataset_Wisata'!$C$12:$C$622, MATCH('Dashboard'!$C$9, 'Dataset_Wisata'!$A$12:$A$622, 0)))/2)^2 + COS(RADIANS(INDEX('Dataset_Wisata'!$C$12:$C$622, MATCH('Dashboard'!$C$9, 'Dataset_Wisata'!$A$12:$A$622, 0)))) * COS(RADIANS(C439)) * SIN(RADIANS((D439) - INDEX('Dataset_Wisata'!$D$12:$D$622, MATCH('Dashboard'!$C$9, 'Dataset_Wisata'!$A$12:$A$622, 0)))/2)^2)) * 1.3</f>
        <v/>
      </c>
      <c r="J439" s="21">
        <f>ROUND(I439 * IF('Dashboard'!$C$6&lt;=1, 2250, IF('Dashboard'!$C$6&lt;=4, 5150, 6000)), 0)</f>
        <v/>
      </c>
      <c r="K439" s="30" t="n">
        <v>0.9895566543895754</v>
      </c>
      <c r="L439" s="30" t="n">
        <v>0.009798611400025654</v>
      </c>
      <c r="M439" s="30" t="n">
        <v>0.0006447342103988783</v>
      </c>
      <c r="N439" s="31">
        <f>ABS(E439-$F$6)</f>
        <v/>
      </c>
      <c r="O439" s="31">
        <f>ABS(E439-$F$7)</f>
        <v/>
      </c>
      <c r="P439" s="31">
        <f>ABS(E439-$F$8)</f>
        <v/>
      </c>
      <c r="Q439" s="14">
        <f>IF(K439&gt;=MAX(L439,M439), "Hemat", IF(L439&gt;=M439, "Balanced", "Premium"))</f>
        <v/>
      </c>
      <c r="R439" s="30" t="n">
        <v>0.9895566542341836</v>
      </c>
      <c r="S439" s="30" t="n">
        <v>0.00979861139170024</v>
      </c>
      <c r="T439" s="30" t="n">
        <v>0.00064473437411607</v>
      </c>
      <c r="U439" s="31">
        <f>ABS(E439-$G$6)</f>
        <v/>
      </c>
      <c r="V439" s="31">
        <f>ABS(E439-$G$7)</f>
        <v/>
      </c>
      <c r="W439" s="31">
        <f>ABS(E439-$G$8)</f>
        <v/>
      </c>
      <c r="X439" s="14">
        <f>IF(R439&gt;=MAX(S439,T439), "Hemat", IF(S439&gt;=T439, "Balanced", "Premium"))</f>
        <v/>
      </c>
    </row>
    <row r="440">
      <c r="A440" s="14" t="n">
        <v>442</v>
      </c>
      <c r="B440" s="7" t="inlineStr">
        <is>
          <t>SERASTIK</t>
        </is>
      </c>
      <c r="C440" s="26" t="n">
        <v>-7.8856039</v>
      </c>
      <c r="D440" s="26" t="n">
        <v>112.6528842</v>
      </c>
      <c r="E440" s="21" t="n">
        <v>7000</v>
      </c>
      <c r="F440" s="27" t="n">
        <v>4.1</v>
      </c>
      <c r="G440" s="28" t="n">
        <v>202</v>
      </c>
      <c r="H440" s="14" t="inlineStr">
        <is>
          <t>Tujuan Wisata · 4M72+FXV</t>
        </is>
      </c>
      <c r="I440" s="29">
        <f>6371 * 2 * ASIN(SQRT(SIN(RADIANS((C440) - INDEX('Dataset_Wisata'!$C$12:$C$622, MATCH('Dashboard'!$C$9, 'Dataset_Wisata'!$A$12:$A$622, 0)))/2)^2 + COS(RADIANS(INDEX('Dataset_Wisata'!$C$12:$C$622, MATCH('Dashboard'!$C$9, 'Dataset_Wisata'!$A$12:$A$622, 0)))) * COS(RADIANS(C440)) * SIN(RADIANS((D440) - INDEX('Dataset_Wisata'!$D$12:$D$622, MATCH('Dashboard'!$C$9, 'Dataset_Wisata'!$A$12:$A$622, 0)))/2)^2)) * 1.3</f>
        <v/>
      </c>
      <c r="J440" s="21">
        <f>ROUND(I440 * IF('Dashboard'!$C$6&lt;=1, 2250, IF('Dashboard'!$C$6&lt;=4, 5150, 6000)), 0)</f>
        <v/>
      </c>
      <c r="K440" s="30" t="n">
        <v>0.9964990922780733</v>
      </c>
      <c r="L440" s="30" t="n">
        <v>0.003298187596112103</v>
      </c>
      <c r="M440" s="30" t="n">
        <v>0.0002027201258145054</v>
      </c>
      <c r="N440" s="31">
        <f>ABS(E440-$F$6)</f>
        <v/>
      </c>
      <c r="O440" s="31">
        <f>ABS(E440-$F$7)</f>
        <v/>
      </c>
      <c r="P440" s="31">
        <f>ABS(E440-$F$8)</f>
        <v/>
      </c>
      <c r="Q440" s="14">
        <f>IF(K440&gt;=MAX(L440,M440), "Hemat", IF(L440&gt;=M440, "Balanced", "Premium"))</f>
        <v/>
      </c>
      <c r="R440" s="30" t="n">
        <v>0.9964990914496938</v>
      </c>
      <c r="S440" s="30" t="n">
        <v>0.003298188325346893</v>
      </c>
      <c r="T440" s="30" t="n">
        <v>0.000202720224959229</v>
      </c>
      <c r="U440" s="31">
        <f>ABS(E440-$G$6)</f>
        <v/>
      </c>
      <c r="V440" s="31">
        <f>ABS(E440-$G$7)</f>
        <v/>
      </c>
      <c r="W440" s="31">
        <f>ABS(E440-$G$8)</f>
        <v/>
      </c>
      <c r="X440" s="14">
        <f>IF(R440&gt;=MAX(S440,T440), "Hemat", IF(S440&gt;=T440, "Balanced", "Premium"))</f>
        <v/>
      </c>
    </row>
    <row r="441">
      <c r="A441" s="14" t="n">
        <v>443</v>
      </c>
      <c r="B441" s="7" t="inlineStr">
        <is>
          <t>Wisata Banyu Umbulan Dampit</t>
        </is>
      </c>
      <c r="C441" s="26" t="n">
        <v>-8.177823500000001</v>
      </c>
      <c r="D441" s="26" t="n">
        <v>112.7667212</v>
      </c>
      <c r="E441" s="21" t="n">
        <v>10000</v>
      </c>
      <c r="F441" s="27" t="n">
        <v>4.5</v>
      </c>
      <c r="G441" s="28" t="n">
        <v>661</v>
      </c>
      <c r="H441" s="14" t="inlineStr">
        <is>
          <t>Wisata Banyu Umbulan Dampit</t>
        </is>
      </c>
      <c r="I441" s="29">
        <f>6371 * 2 * ASIN(SQRT(SIN(RADIANS((C441) - INDEX('Dataset_Wisata'!$C$12:$C$622, MATCH('Dashboard'!$C$9, 'Dataset_Wisata'!$A$12:$A$622, 0)))/2)^2 + COS(RADIANS(INDEX('Dataset_Wisata'!$C$12:$C$622, MATCH('Dashboard'!$C$9, 'Dataset_Wisata'!$A$12:$A$622, 0)))) * COS(RADIANS(C441)) * SIN(RADIANS((D441) - INDEX('Dataset_Wisata'!$D$12:$D$622, MATCH('Dashboard'!$C$9, 'Dataset_Wisata'!$A$12:$A$622, 0)))/2)^2)) * 1.3</f>
        <v/>
      </c>
      <c r="J441" s="21">
        <f>ROUND(I441 * IF('Dashboard'!$C$6&lt;=1, 2250, IF('Dashboard'!$C$6&lt;=4, 5150, 6000)), 0)</f>
        <v/>
      </c>
      <c r="K441" s="30" t="n">
        <v>0.9998126508185596</v>
      </c>
      <c r="L441" s="30" t="n">
        <v>0.0001775718391516968</v>
      </c>
      <c r="M441" s="30" t="n">
        <v>9.7773422886897e-06</v>
      </c>
      <c r="N441" s="31">
        <f>ABS(E441-$F$6)</f>
        <v/>
      </c>
      <c r="O441" s="31">
        <f>ABS(E441-$F$7)</f>
        <v/>
      </c>
      <c r="P441" s="31">
        <f>ABS(E441-$F$8)</f>
        <v/>
      </c>
      <c r="Q441" s="14">
        <f>IF(K441&gt;=MAX(L441,M441), "Hemat", IF(L441&gt;=M441, "Balanced", "Premium"))</f>
        <v/>
      </c>
      <c r="R441" s="30" t="n">
        <v>0.9998126513362043</v>
      </c>
      <c r="S441" s="30" t="n">
        <v>0.0001775713458315561</v>
      </c>
      <c r="T441" s="30" t="n">
        <v>9.777317964159987e-06</v>
      </c>
      <c r="U441" s="31">
        <f>ABS(E441-$G$6)</f>
        <v/>
      </c>
      <c r="V441" s="31">
        <f>ABS(E441-$G$7)</f>
        <v/>
      </c>
      <c r="W441" s="31">
        <f>ABS(E441-$G$8)</f>
        <v/>
      </c>
      <c r="X441" s="14">
        <f>IF(R441&gt;=MAX(S441,T441), "Hemat", IF(S441&gt;=T441, "Balanced", "Premium"))</f>
        <v/>
      </c>
    </row>
    <row r="442">
      <c r="A442" s="14" t="n">
        <v>444</v>
      </c>
      <c r="B442" s="7" t="inlineStr">
        <is>
          <t>Dam tawang rejeni</t>
        </is>
      </c>
      <c r="C442" s="26" t="n">
        <v>-8.2259247</v>
      </c>
      <c r="D442" s="26" t="n">
        <v>112.6950335</v>
      </c>
      <c r="E442" s="21" t="n">
        <v>0</v>
      </c>
      <c r="F442" s="27" t="n">
        <v>4.9</v>
      </c>
      <c r="G442" s="28" t="n">
        <v>22</v>
      </c>
      <c r="H442" s="14" t="inlineStr">
        <is>
          <t>Tujuan Wisata · QMGW+542</t>
        </is>
      </c>
      <c r="I442" s="29">
        <f>6371 * 2 * ASIN(SQRT(SIN(RADIANS((C442) - INDEX('Dataset_Wisata'!$C$12:$C$622, MATCH('Dashboard'!$C$9, 'Dataset_Wisata'!$A$12:$A$622, 0)))/2)^2 + COS(RADIANS(INDEX('Dataset_Wisata'!$C$12:$C$622, MATCH('Dashboard'!$C$9, 'Dataset_Wisata'!$A$12:$A$622, 0)))) * COS(RADIANS(C442)) * SIN(RADIANS((D442) - INDEX('Dataset_Wisata'!$D$12:$D$622, MATCH('Dashboard'!$C$9, 'Dataset_Wisata'!$A$12:$A$622, 0)))/2)^2)) * 1.3</f>
        <v/>
      </c>
      <c r="J442" s="21">
        <f>ROUND(I442 * IF('Dashboard'!$C$6&lt;=1, 2250, IF('Dashboard'!$C$6&lt;=4, 5150, 6000)), 0)</f>
        <v/>
      </c>
      <c r="K442" s="30" t="n">
        <v>0.9626824510005771</v>
      </c>
      <c r="L442" s="30" t="n">
        <v>0.03465542295845363</v>
      </c>
      <c r="M442" s="30" t="n">
        <v>0.002662126040969366</v>
      </c>
      <c r="N442" s="31">
        <f>ABS(E442-$F$6)</f>
        <v/>
      </c>
      <c r="O442" s="31">
        <f>ABS(E442-$F$7)</f>
        <v/>
      </c>
      <c r="P442" s="31">
        <f>ABS(E442-$F$8)</f>
        <v/>
      </c>
      <c r="Q442" s="14">
        <f>IF(K442&gt;=MAX(L442,M442), "Hemat", IF(L442&gt;=M442, "Balanced", "Premium"))</f>
        <v/>
      </c>
      <c r="R442" s="30" t="n">
        <v>0.9626824549241798</v>
      </c>
      <c r="S442" s="30" t="n">
        <v>0.03465541875469833</v>
      </c>
      <c r="T442" s="30" t="n">
        <v>0.002662126321121907</v>
      </c>
      <c r="U442" s="31">
        <f>ABS(E442-$G$6)</f>
        <v/>
      </c>
      <c r="V442" s="31">
        <f>ABS(E442-$G$7)</f>
        <v/>
      </c>
      <c r="W442" s="31">
        <f>ABS(E442-$G$8)</f>
        <v/>
      </c>
      <c r="X442" s="14">
        <f>IF(R442&gt;=MAX(S442,T442), "Hemat", IF(S442&gt;=T442, "Balanced", "Premium"))</f>
        <v/>
      </c>
    </row>
    <row r="443">
      <c r="A443" s="14" t="n">
        <v>445</v>
      </c>
      <c r="B443" s="7" t="inlineStr">
        <is>
          <t>KAMISAMA WATERPARK</t>
        </is>
      </c>
      <c r="C443" s="26" t="n">
        <v>-8.1911898</v>
      </c>
      <c r="D443" s="26" t="n">
        <v>112.70642</v>
      </c>
      <c r="E443" s="21" t="n">
        <v>10000</v>
      </c>
      <c r="F443" s="27" t="n">
        <v>4.5</v>
      </c>
      <c r="G443" s="28" t="n">
        <v>153</v>
      </c>
      <c r="H443" s="14" t="inlineStr">
        <is>
          <t>Tujuan Wisata · Jl. Pasir</t>
        </is>
      </c>
      <c r="I443" s="29">
        <f>6371 * 2 * ASIN(SQRT(SIN(RADIANS((C443) - INDEX('Dataset_Wisata'!$C$12:$C$622, MATCH('Dashboard'!$C$9, 'Dataset_Wisata'!$A$12:$A$622, 0)))/2)^2 + COS(RADIANS(INDEX('Dataset_Wisata'!$C$12:$C$622, MATCH('Dashboard'!$C$9, 'Dataset_Wisata'!$A$12:$A$622, 0)))) * COS(RADIANS(C443)) * SIN(RADIANS((D443) - INDEX('Dataset_Wisata'!$D$12:$D$622, MATCH('Dashboard'!$C$9, 'Dataset_Wisata'!$A$12:$A$622, 0)))/2)^2)) * 1.3</f>
        <v/>
      </c>
      <c r="J443" s="21">
        <f>ROUND(I443 * IF('Dashboard'!$C$6&lt;=1, 2250, IF('Dashboard'!$C$6&lt;=4, 5150, 6000)), 0)</f>
        <v/>
      </c>
      <c r="K443" s="30" t="n">
        <v>0.9998126508185596</v>
      </c>
      <c r="L443" s="30" t="n">
        <v>0.0001775718391516968</v>
      </c>
      <c r="M443" s="30" t="n">
        <v>9.7773422886897e-06</v>
      </c>
      <c r="N443" s="31">
        <f>ABS(E443-$F$6)</f>
        <v/>
      </c>
      <c r="O443" s="31">
        <f>ABS(E443-$F$7)</f>
        <v/>
      </c>
      <c r="P443" s="31">
        <f>ABS(E443-$F$8)</f>
        <v/>
      </c>
      <c r="Q443" s="14">
        <f>IF(K443&gt;=MAX(L443,M443), "Hemat", IF(L443&gt;=M443, "Balanced", "Premium"))</f>
        <v/>
      </c>
      <c r="R443" s="30" t="n">
        <v>0.9998126513362043</v>
      </c>
      <c r="S443" s="30" t="n">
        <v>0.0001775713458315561</v>
      </c>
      <c r="T443" s="30" t="n">
        <v>9.777317964159987e-06</v>
      </c>
      <c r="U443" s="31">
        <f>ABS(E443-$G$6)</f>
        <v/>
      </c>
      <c r="V443" s="31">
        <f>ABS(E443-$G$7)</f>
        <v/>
      </c>
      <c r="W443" s="31">
        <f>ABS(E443-$G$8)</f>
        <v/>
      </c>
      <c r="X443" s="14">
        <f>IF(R443&gt;=MAX(S443,T443), "Hemat", IF(S443&gt;=T443, "Balanced", "Premium"))</f>
        <v/>
      </c>
    </row>
    <row r="444">
      <c r="A444" s="14" t="n">
        <v>446</v>
      </c>
      <c r="B444" s="7" t="inlineStr">
        <is>
          <t>Boonpring</t>
        </is>
      </c>
      <c r="C444" s="26" t="n">
        <v>-8.155770499999999</v>
      </c>
      <c r="D444" s="26" t="n">
        <v>112.7619607</v>
      </c>
      <c r="E444" s="21" t="n">
        <v>10000</v>
      </c>
      <c r="F444" s="27" t="n">
        <v>4.3</v>
      </c>
      <c r="G444" s="28" t="n">
        <v>4859</v>
      </c>
      <c r="H444" s="14" t="inlineStr">
        <is>
          <t>Tujuan Wisata · </t>
        </is>
      </c>
      <c r="I444" s="29">
        <f>6371 * 2 * ASIN(SQRT(SIN(RADIANS((C444) - INDEX('Dataset_Wisata'!$C$12:$C$622, MATCH('Dashboard'!$C$9, 'Dataset_Wisata'!$A$12:$A$622, 0)))/2)^2 + COS(RADIANS(INDEX('Dataset_Wisata'!$C$12:$C$622, MATCH('Dashboard'!$C$9, 'Dataset_Wisata'!$A$12:$A$622, 0)))) * COS(RADIANS(C444)) * SIN(RADIANS((D444) - INDEX('Dataset_Wisata'!$D$12:$D$622, MATCH('Dashboard'!$C$9, 'Dataset_Wisata'!$A$12:$A$622, 0)))/2)^2)) * 1.3</f>
        <v/>
      </c>
      <c r="J444" s="21">
        <f>ROUND(I444 * IF('Dashboard'!$C$6&lt;=1, 2250, IF('Dashboard'!$C$6&lt;=4, 5150, 6000)), 0)</f>
        <v/>
      </c>
      <c r="K444" s="30" t="n">
        <v>0.9998126508185596</v>
      </c>
      <c r="L444" s="30" t="n">
        <v>0.0001775718391516968</v>
      </c>
      <c r="M444" s="30" t="n">
        <v>9.7773422886897e-06</v>
      </c>
      <c r="N444" s="31">
        <f>ABS(E444-$F$6)</f>
        <v/>
      </c>
      <c r="O444" s="31">
        <f>ABS(E444-$F$7)</f>
        <v/>
      </c>
      <c r="P444" s="31">
        <f>ABS(E444-$F$8)</f>
        <v/>
      </c>
      <c r="Q444" s="14">
        <f>IF(K444&gt;=MAX(L444,M444), "Hemat", IF(L444&gt;=M444, "Balanced", "Premium"))</f>
        <v/>
      </c>
      <c r="R444" s="30" t="n">
        <v>0.9998126513362043</v>
      </c>
      <c r="S444" s="30" t="n">
        <v>0.0001775713458315561</v>
      </c>
      <c r="T444" s="30" t="n">
        <v>9.777317964159987e-06</v>
      </c>
      <c r="U444" s="31">
        <f>ABS(E444-$G$6)</f>
        <v/>
      </c>
      <c r="V444" s="31">
        <f>ABS(E444-$G$7)</f>
        <v/>
      </c>
      <c r="W444" s="31">
        <f>ABS(E444-$G$8)</f>
        <v/>
      </c>
      <c r="X444" s="14">
        <f>IF(R444&gt;=MAX(S444,T444), "Hemat", IF(S444&gt;=T444, "Balanced", "Premium"))</f>
        <v/>
      </c>
    </row>
    <row r="445">
      <c r="A445" s="14" t="n">
        <v>447</v>
      </c>
      <c r="B445" s="7" t="inlineStr">
        <is>
          <t>WGM (Wisata Gentong Mas)</t>
        </is>
      </c>
      <c r="C445" s="26" t="n">
        <v>-8.111585699999999</v>
      </c>
      <c r="D445" s="26" t="n">
        <v>112.7114405</v>
      </c>
      <c r="E445" s="21" t="n">
        <v>10000</v>
      </c>
      <c r="F445" s="27" t="n">
        <v>4.5</v>
      </c>
      <c r="G445" s="28" t="n">
        <v>1219</v>
      </c>
      <c r="H445" s="14" t="inlineStr">
        <is>
          <t>WGM (Wisata Gentong Mas)</t>
        </is>
      </c>
      <c r="I445" s="29">
        <f>6371 * 2 * ASIN(SQRT(SIN(RADIANS((C445) - INDEX('Dataset_Wisata'!$C$12:$C$622, MATCH('Dashboard'!$C$9, 'Dataset_Wisata'!$A$12:$A$622, 0)))/2)^2 + COS(RADIANS(INDEX('Dataset_Wisata'!$C$12:$C$622, MATCH('Dashboard'!$C$9, 'Dataset_Wisata'!$A$12:$A$622, 0)))) * COS(RADIANS(C445)) * SIN(RADIANS((D445) - INDEX('Dataset_Wisata'!$D$12:$D$622, MATCH('Dashboard'!$C$9, 'Dataset_Wisata'!$A$12:$A$622, 0)))/2)^2)) * 1.3</f>
        <v/>
      </c>
      <c r="J445" s="21">
        <f>ROUND(I445 * IF('Dashboard'!$C$6&lt;=1, 2250, IF('Dashboard'!$C$6&lt;=4, 5150, 6000)), 0)</f>
        <v/>
      </c>
      <c r="K445" s="30" t="n">
        <v>0.9998126508185596</v>
      </c>
      <c r="L445" s="30" t="n">
        <v>0.0001775718391516968</v>
      </c>
      <c r="M445" s="30" t="n">
        <v>9.7773422886897e-06</v>
      </c>
      <c r="N445" s="31">
        <f>ABS(E445-$F$6)</f>
        <v/>
      </c>
      <c r="O445" s="31">
        <f>ABS(E445-$F$7)</f>
        <v/>
      </c>
      <c r="P445" s="31">
        <f>ABS(E445-$F$8)</f>
        <v/>
      </c>
      <c r="Q445" s="14">
        <f>IF(K445&gt;=MAX(L445,M445), "Hemat", IF(L445&gt;=M445, "Balanced", "Premium"))</f>
        <v/>
      </c>
      <c r="R445" s="30" t="n">
        <v>0.9998126513362043</v>
      </c>
      <c r="S445" s="30" t="n">
        <v>0.0001775713458315561</v>
      </c>
      <c r="T445" s="30" t="n">
        <v>9.777317964159987e-06</v>
      </c>
      <c r="U445" s="31">
        <f>ABS(E445-$G$6)</f>
        <v/>
      </c>
      <c r="V445" s="31">
        <f>ABS(E445-$G$7)</f>
        <v/>
      </c>
      <c r="W445" s="31">
        <f>ABS(E445-$G$8)</f>
        <v/>
      </c>
      <c r="X445" s="14">
        <f>IF(R445&gt;=MAX(S445,T445), "Hemat", IF(S445&gt;=T445, "Balanced", "Premium"))</f>
        <v/>
      </c>
    </row>
    <row r="446">
      <c r="A446" s="14" t="n">
        <v>448</v>
      </c>
      <c r="B446" s="7" t="inlineStr">
        <is>
          <t>Parkir mobil gratis Masjid tiban turen</t>
        </is>
      </c>
      <c r="C446" s="26" t="n">
        <v>-8.1514495</v>
      </c>
      <c r="D446" s="26" t="n">
        <v>112.7123119</v>
      </c>
      <c r="E446" s="21" t="n">
        <v>0</v>
      </c>
      <c r="F446" s="27" t="n">
        <v>4.6</v>
      </c>
      <c r="G446" s="28" t="n">
        <v>1733</v>
      </c>
      <c r="H446" s="14" t="inlineStr">
        <is>
          <t>Tujuan Wisata · </t>
        </is>
      </c>
      <c r="I446" s="29">
        <f>6371 * 2 * ASIN(SQRT(SIN(RADIANS((C446) - INDEX('Dataset_Wisata'!$C$12:$C$622, MATCH('Dashboard'!$C$9, 'Dataset_Wisata'!$A$12:$A$622, 0)))/2)^2 + COS(RADIANS(INDEX('Dataset_Wisata'!$C$12:$C$622, MATCH('Dashboard'!$C$9, 'Dataset_Wisata'!$A$12:$A$622, 0)))) * COS(RADIANS(C446)) * SIN(RADIANS((D446) - INDEX('Dataset_Wisata'!$D$12:$D$622, MATCH('Dashboard'!$C$9, 'Dataset_Wisata'!$A$12:$A$622, 0)))/2)^2)) * 1.3</f>
        <v/>
      </c>
      <c r="J446" s="21">
        <f>ROUND(I446 * IF('Dashboard'!$C$6&lt;=1, 2250, IF('Dashboard'!$C$6&lt;=4, 5150, 6000)), 0)</f>
        <v/>
      </c>
      <c r="K446" s="30" t="n">
        <v>0.9626824510005771</v>
      </c>
      <c r="L446" s="30" t="n">
        <v>0.03465542295845363</v>
      </c>
      <c r="M446" s="30" t="n">
        <v>0.002662126040969366</v>
      </c>
      <c r="N446" s="31">
        <f>ABS(E446-$F$6)</f>
        <v/>
      </c>
      <c r="O446" s="31">
        <f>ABS(E446-$F$7)</f>
        <v/>
      </c>
      <c r="P446" s="31">
        <f>ABS(E446-$F$8)</f>
        <v/>
      </c>
      <c r="Q446" s="14">
        <f>IF(K446&gt;=MAX(L446,M446), "Hemat", IF(L446&gt;=M446, "Balanced", "Premium"))</f>
        <v/>
      </c>
      <c r="R446" s="30" t="n">
        <v>0.9626824549241798</v>
      </c>
      <c r="S446" s="30" t="n">
        <v>0.03465541875469833</v>
      </c>
      <c r="T446" s="30" t="n">
        <v>0.002662126321121907</v>
      </c>
      <c r="U446" s="31">
        <f>ABS(E446-$G$6)</f>
        <v/>
      </c>
      <c r="V446" s="31">
        <f>ABS(E446-$G$7)</f>
        <v/>
      </c>
      <c r="W446" s="31">
        <f>ABS(E446-$G$8)</f>
        <v/>
      </c>
      <c r="X446" s="14">
        <f>IF(R446&gt;=MAX(S446,T446), "Hemat", IF(S446&gt;=T446, "Balanced", "Premium"))</f>
        <v/>
      </c>
    </row>
    <row r="447">
      <c r="A447" s="14" t="n">
        <v>449</v>
      </c>
      <c r="B447" s="7" t="inlineStr">
        <is>
          <t>Kolam renang Tirtayasa</t>
        </is>
      </c>
      <c r="C447" s="26" t="n">
        <v>-8.186347899999999</v>
      </c>
      <c r="D447" s="26" t="n">
        <v>112.7006007</v>
      </c>
      <c r="E447" s="21" t="n">
        <v>25000</v>
      </c>
      <c r="F447" s="27" t="n">
        <v>4.4</v>
      </c>
      <c r="G447" s="28" t="n">
        <v>22</v>
      </c>
      <c r="H447" s="14" t="inlineStr">
        <is>
          <t>Kolam renang Tirtayasa</t>
        </is>
      </c>
      <c r="I447" s="29">
        <f>6371 * 2 * ASIN(SQRT(SIN(RADIANS((C447) - INDEX('Dataset_Wisata'!$C$12:$C$622, MATCH('Dashboard'!$C$9, 'Dataset_Wisata'!$A$12:$A$622, 0)))/2)^2 + COS(RADIANS(INDEX('Dataset_Wisata'!$C$12:$C$622, MATCH('Dashboard'!$C$9, 'Dataset_Wisata'!$A$12:$A$622, 0)))) * COS(RADIANS(C447)) * SIN(RADIANS((D447) - INDEX('Dataset_Wisata'!$D$12:$D$622, MATCH('Dashboard'!$C$9, 'Dataset_Wisata'!$A$12:$A$622, 0)))/2)^2)) * 1.3</f>
        <v/>
      </c>
      <c r="J447" s="21">
        <f>ROUND(I447 * IF('Dashboard'!$C$6&lt;=1, 2250, IF('Dashboard'!$C$6&lt;=4, 5150, 6000)), 0)</f>
        <v/>
      </c>
      <c r="K447" s="30" t="n">
        <v>0.714779317495253</v>
      </c>
      <c r="L447" s="30" t="n">
        <v>0.2780482755376564</v>
      </c>
      <c r="M447" s="30" t="n">
        <v>0.0071724069670906</v>
      </c>
      <c r="N447" s="31">
        <f>ABS(E447-$F$6)</f>
        <v/>
      </c>
      <c r="O447" s="31">
        <f>ABS(E447-$F$7)</f>
        <v/>
      </c>
      <c r="P447" s="31">
        <f>ABS(E447-$F$8)</f>
        <v/>
      </c>
      <c r="Q447" s="14">
        <f>IF(K447&gt;=MAX(L447,M447), "Hemat", IF(L447&gt;=M447, "Balanced", "Premium"))</f>
        <v/>
      </c>
      <c r="R447" s="30" t="n">
        <v>0.7147794395425007</v>
      </c>
      <c r="S447" s="30" t="n">
        <v>0.2780481531707544</v>
      </c>
      <c r="T447" s="30" t="n">
        <v>0.007172407286744955</v>
      </c>
      <c r="U447" s="31">
        <f>ABS(E447-$G$6)</f>
        <v/>
      </c>
      <c r="V447" s="31">
        <f>ABS(E447-$G$7)</f>
        <v/>
      </c>
      <c r="W447" s="31">
        <f>ABS(E447-$G$8)</f>
        <v/>
      </c>
      <c r="X447" s="14">
        <f>IF(R447&gt;=MAX(S447,T447), "Hemat", IF(S447&gt;=T447, "Balanced", "Premium"))</f>
        <v/>
      </c>
    </row>
    <row r="448">
      <c r="A448" s="14" t="n">
        <v>450</v>
      </c>
      <c r="B448" s="7" t="inlineStr">
        <is>
          <t>Wiken Wisata Kampung Enem</t>
        </is>
      </c>
      <c r="C448" s="26" t="n">
        <v>-8.120277</v>
      </c>
      <c r="D448" s="26" t="n">
        <v>112.780281</v>
      </c>
      <c r="E448" s="21" t="n">
        <v>5000</v>
      </c>
      <c r="F448" s="27" t="n">
        <v>3.7</v>
      </c>
      <c r="G448" s="28" t="n">
        <v>339</v>
      </c>
      <c r="H448" s="14" t="inlineStr">
        <is>
          <t>Wiken Wisata Kampung Enem</t>
        </is>
      </c>
      <c r="I448" s="29">
        <f>6371 * 2 * ASIN(SQRT(SIN(RADIANS((C448) - INDEX('Dataset_Wisata'!$C$12:$C$622, MATCH('Dashboard'!$C$9, 'Dataset_Wisata'!$A$12:$A$622, 0)))/2)^2 + COS(RADIANS(INDEX('Dataset_Wisata'!$C$12:$C$622, MATCH('Dashboard'!$C$9, 'Dataset_Wisata'!$A$12:$A$622, 0)))) * COS(RADIANS(C448)) * SIN(RADIANS((D448) - INDEX('Dataset_Wisata'!$D$12:$D$622, MATCH('Dashboard'!$C$9, 'Dataset_Wisata'!$A$12:$A$622, 0)))/2)^2)) * 1.3</f>
        <v/>
      </c>
      <c r="J448" s="21">
        <f>ROUND(I448 * IF('Dashboard'!$C$6&lt;=1, 2250, IF('Dashboard'!$C$6&lt;=4, 5150, 6000)), 0)</f>
        <v/>
      </c>
      <c r="K448" s="30" t="n">
        <v>0.9895566543895754</v>
      </c>
      <c r="L448" s="30" t="n">
        <v>0.009798611400025654</v>
      </c>
      <c r="M448" s="30" t="n">
        <v>0.0006447342103988783</v>
      </c>
      <c r="N448" s="31">
        <f>ABS(E448-$F$6)</f>
        <v/>
      </c>
      <c r="O448" s="31">
        <f>ABS(E448-$F$7)</f>
        <v/>
      </c>
      <c r="P448" s="31">
        <f>ABS(E448-$F$8)</f>
        <v/>
      </c>
      <c r="Q448" s="14">
        <f>IF(K448&gt;=MAX(L448,M448), "Hemat", IF(L448&gt;=M448, "Balanced", "Premium"))</f>
        <v/>
      </c>
      <c r="R448" s="30" t="n">
        <v>0.9895566542341836</v>
      </c>
      <c r="S448" s="30" t="n">
        <v>0.00979861139170024</v>
      </c>
      <c r="T448" s="30" t="n">
        <v>0.00064473437411607</v>
      </c>
      <c r="U448" s="31">
        <f>ABS(E448-$G$6)</f>
        <v/>
      </c>
      <c r="V448" s="31">
        <f>ABS(E448-$G$7)</f>
        <v/>
      </c>
      <c r="W448" s="31">
        <f>ABS(E448-$G$8)</f>
        <v/>
      </c>
      <c r="X448" s="14">
        <f>IF(R448&gt;=MAX(S448,T448), "Hemat", IF(S448&gt;=T448, "Balanced", "Premium"))</f>
        <v/>
      </c>
    </row>
    <row r="449">
      <c r="A449" s="14" t="n">
        <v>451</v>
      </c>
      <c r="B449" s="7" t="inlineStr">
        <is>
          <t>Sumber Buntung Wisata air alami urek urek</t>
        </is>
      </c>
      <c r="C449" s="26" t="n">
        <v>-8.1383089</v>
      </c>
      <c r="D449" s="26" t="n">
        <v>112.6700963</v>
      </c>
      <c r="E449" s="21" t="n">
        <v>85000</v>
      </c>
      <c r="F449" s="27" t="n">
        <v>4.1</v>
      </c>
      <c r="G449" s="28" t="n">
        <v>36</v>
      </c>
      <c r="H449" s="14" t="inlineStr">
        <is>
          <t>Wisata Umum</t>
        </is>
      </c>
      <c r="I449" s="29">
        <f>6371 * 2 * ASIN(SQRT(SIN(RADIANS((C449) - INDEX('Dataset_Wisata'!$C$12:$C$622, MATCH('Dashboard'!$C$9, 'Dataset_Wisata'!$A$12:$A$622, 0)))/2)^2 + COS(RADIANS(INDEX('Dataset_Wisata'!$C$12:$C$622, MATCH('Dashboard'!$C$9, 'Dataset_Wisata'!$A$12:$A$622, 0)))) * COS(RADIANS(C449)) * SIN(RADIANS((D449) - INDEX('Dataset_Wisata'!$D$12:$D$622, MATCH('Dashboard'!$C$9, 'Dataset_Wisata'!$A$12:$A$622, 0)))/2)^2)) * 1.3</f>
        <v/>
      </c>
      <c r="J449" s="21">
        <f>ROUND(I449 * IF('Dashboard'!$C$6&lt;=1, 2250, IF('Dashboard'!$C$6&lt;=4, 5150, 6000)), 0)</f>
        <v/>
      </c>
      <c r="K449" s="30" t="n">
        <v>0.1596713067136795</v>
      </c>
      <c r="L449" s="30" t="n">
        <v>0.7395027049549464</v>
      </c>
      <c r="M449" s="30" t="n">
        <v>0.1008259883313742</v>
      </c>
      <c r="N449" s="31">
        <f>ABS(E449-$F$6)</f>
        <v/>
      </c>
      <c r="O449" s="31">
        <f>ABS(E449-$F$7)</f>
        <v/>
      </c>
      <c r="P449" s="31">
        <f>ABS(E449-$F$8)</f>
        <v/>
      </c>
      <c r="Q449" s="14">
        <f>IF(K449&gt;=MAX(L449,M449), "Hemat", IF(L449&gt;=M449, "Balanced", "Premium"))</f>
        <v/>
      </c>
      <c r="R449" s="30" t="n">
        <v>0.1596712659897983</v>
      </c>
      <c r="S449" s="30" t="n">
        <v>0.7395027800912403</v>
      </c>
      <c r="T449" s="30" t="n">
        <v>0.1008259539189613</v>
      </c>
      <c r="U449" s="31">
        <f>ABS(E449-$G$6)</f>
        <v/>
      </c>
      <c r="V449" s="31">
        <f>ABS(E449-$G$7)</f>
        <v/>
      </c>
      <c r="W449" s="31">
        <f>ABS(E449-$G$8)</f>
        <v/>
      </c>
      <c r="X449" s="14">
        <f>IF(R449&gt;=MAX(S449,T449), "Hemat", IF(S449&gt;=T449, "Balanced", "Premium"))</f>
        <v/>
      </c>
    </row>
    <row r="450">
      <c r="A450" s="14" t="n">
        <v>452</v>
      </c>
      <c r="B450" s="7" t="inlineStr">
        <is>
          <t>Kolam Renang Lembah Asri</t>
        </is>
      </c>
      <c r="C450" s="26" t="n">
        <v>-8.1560808</v>
      </c>
      <c r="D450" s="26" t="n">
        <v>112.6941694</v>
      </c>
      <c r="E450" s="21" t="n">
        <v>60000</v>
      </c>
      <c r="F450" s="27" t="n">
        <v>4.6</v>
      </c>
      <c r="G450" s="28" t="n">
        <v>370</v>
      </c>
      <c r="H450" s="14" t="inlineStr">
        <is>
          <t>Kolam Renang Lembah Asri</t>
        </is>
      </c>
      <c r="I450" s="29">
        <f>6371 * 2 * ASIN(SQRT(SIN(RADIANS((C450) - INDEX('Dataset_Wisata'!$C$12:$C$622, MATCH('Dashboard'!$C$9, 'Dataset_Wisata'!$A$12:$A$622, 0)))/2)^2 + COS(RADIANS(INDEX('Dataset_Wisata'!$C$12:$C$622, MATCH('Dashboard'!$C$9, 'Dataset_Wisata'!$A$12:$A$622, 0)))) * COS(RADIANS(C450)) * SIN(RADIANS((D450) - INDEX('Dataset_Wisata'!$D$12:$D$622, MATCH('Dashboard'!$C$9, 'Dataset_Wisata'!$A$12:$A$622, 0)))/2)^2)) * 1.3</f>
        <v/>
      </c>
      <c r="J450" s="21">
        <f>ROUND(I450 * IF('Dashboard'!$C$6&lt;=1, 2250, IF('Dashboard'!$C$6&lt;=4, 5150, 6000)), 0)</f>
        <v/>
      </c>
      <c r="K450" s="30" t="n">
        <v>0.03813560740753515</v>
      </c>
      <c r="L450" s="30" t="n">
        <v>0.9551077970041918</v>
      </c>
      <c r="M450" s="30" t="n">
        <v>0.006756595588273031</v>
      </c>
      <c r="N450" s="31">
        <f>ABS(E450-$F$6)</f>
        <v/>
      </c>
      <c r="O450" s="31">
        <f>ABS(E450-$F$7)</f>
        <v/>
      </c>
      <c r="P450" s="31">
        <f>ABS(E450-$F$8)</f>
        <v/>
      </c>
      <c r="Q450" s="14">
        <f>IF(K450&gt;=MAX(L450,M450), "Hemat", IF(L450&gt;=M450, "Balanced", "Premium"))</f>
        <v/>
      </c>
      <c r="R450" s="30" t="n">
        <v>0.03813556102953696</v>
      </c>
      <c r="S450" s="30" t="n">
        <v>0.9551078521424723</v>
      </c>
      <c r="T450" s="30" t="n">
        <v>0.00675658682799073</v>
      </c>
      <c r="U450" s="31">
        <f>ABS(E450-$G$6)</f>
        <v/>
      </c>
      <c r="V450" s="31">
        <f>ABS(E450-$G$7)</f>
        <v/>
      </c>
      <c r="W450" s="31">
        <f>ABS(E450-$G$8)</f>
        <v/>
      </c>
      <c r="X450" s="14">
        <f>IF(R450&gt;=MAX(S450,T450), "Hemat", IF(S450&gt;=T450, "Balanced", "Premium"))</f>
        <v/>
      </c>
    </row>
    <row r="451">
      <c r="A451" s="14" t="n">
        <v>453</v>
      </c>
      <c r="B451" s="7" t="inlineStr">
        <is>
          <t>Taman Ijo Bunga</t>
        </is>
      </c>
      <c r="C451" s="26" t="n">
        <v>-8.1582031</v>
      </c>
      <c r="D451" s="26" t="n">
        <v>112.7122026</v>
      </c>
      <c r="E451" s="21" t="n">
        <v>37500</v>
      </c>
      <c r="F451" s="27" t="n">
        <v>4.2</v>
      </c>
      <c r="G451" s="28" t="n">
        <v>113</v>
      </c>
      <c r="H451" s="14" t="inlineStr">
        <is>
          <t>Taman Ijo Bunga</t>
        </is>
      </c>
      <c r="I451" s="29">
        <f>6371 * 2 * ASIN(SQRT(SIN(RADIANS((C451) - INDEX('Dataset_Wisata'!$C$12:$C$622, MATCH('Dashboard'!$C$9, 'Dataset_Wisata'!$A$12:$A$622, 0)))/2)^2 + COS(RADIANS(INDEX('Dataset_Wisata'!$C$12:$C$622, MATCH('Dashboard'!$C$9, 'Dataset_Wisata'!$A$12:$A$622, 0)))) * COS(RADIANS(C451)) * SIN(RADIANS((D451) - INDEX('Dataset_Wisata'!$D$12:$D$622, MATCH('Dashboard'!$C$9, 'Dataset_Wisata'!$A$12:$A$622, 0)))/2)^2)) * 1.3</f>
        <v/>
      </c>
      <c r="J451" s="21">
        <f>ROUND(I451 * IF('Dashboard'!$C$6&lt;=1, 2250, IF('Dashboard'!$C$6&lt;=4, 5150, 6000)), 0)</f>
        <v/>
      </c>
      <c r="K451" s="30" t="n">
        <v>0.1626849498365887</v>
      </c>
      <c r="L451" s="30" t="n">
        <v>0.8310242216333417</v>
      </c>
      <c r="M451" s="30" t="n">
        <v>0.006290828530069549</v>
      </c>
      <c r="N451" s="31">
        <f>ABS(E451-$F$6)</f>
        <v/>
      </c>
      <c r="O451" s="31">
        <f>ABS(E451-$F$7)</f>
        <v/>
      </c>
      <c r="P451" s="31">
        <f>ABS(E451-$F$8)</f>
        <v/>
      </c>
      <c r="Q451" s="14">
        <f>IF(K451&gt;=MAX(L451,M451), "Hemat", IF(L451&gt;=M451, "Balanced", "Premium"))</f>
        <v/>
      </c>
      <c r="R451" s="30" t="n">
        <v>0.1626850992590537</v>
      </c>
      <c r="S451" s="30" t="n">
        <v>0.8310240670147204</v>
      </c>
      <c r="T451" s="30" t="n">
        <v>0.006290833726225803</v>
      </c>
      <c r="U451" s="31">
        <f>ABS(E451-$G$6)</f>
        <v/>
      </c>
      <c r="V451" s="31">
        <f>ABS(E451-$G$7)</f>
        <v/>
      </c>
      <c r="W451" s="31">
        <f>ABS(E451-$G$8)</f>
        <v/>
      </c>
      <c r="X451" s="14">
        <f>IF(R451&gt;=MAX(S451,T451), "Hemat", IF(S451&gt;=T451, "Balanced", "Premium"))</f>
        <v/>
      </c>
    </row>
    <row r="452">
      <c r="A452" s="14" t="n">
        <v>454</v>
      </c>
      <c r="B452" s="7" t="inlineStr">
        <is>
          <t>Wana Wisata Winong Camp ground</t>
        </is>
      </c>
      <c r="C452" s="26" t="n">
        <v>-8.1519932</v>
      </c>
      <c r="D452" s="26" t="n">
        <v>112.7646016</v>
      </c>
      <c r="E452" s="21" t="n">
        <v>5000</v>
      </c>
      <c r="F452" s="27" t="n">
        <v>4.5</v>
      </c>
      <c r="G452" s="28" t="n">
        <v>650</v>
      </c>
      <c r="H452" s="14" t="inlineStr">
        <is>
          <t>Wana Wisata Winong Camp ground</t>
        </is>
      </c>
      <c r="I452" s="29">
        <f>6371 * 2 * ASIN(SQRT(SIN(RADIANS((C452) - INDEX('Dataset_Wisata'!$C$12:$C$622, MATCH('Dashboard'!$C$9, 'Dataset_Wisata'!$A$12:$A$622, 0)))/2)^2 + COS(RADIANS(INDEX('Dataset_Wisata'!$C$12:$C$622, MATCH('Dashboard'!$C$9, 'Dataset_Wisata'!$A$12:$A$622, 0)))) * COS(RADIANS(C452)) * SIN(RADIANS((D452) - INDEX('Dataset_Wisata'!$D$12:$D$622, MATCH('Dashboard'!$C$9, 'Dataset_Wisata'!$A$12:$A$622, 0)))/2)^2)) * 1.3</f>
        <v/>
      </c>
      <c r="J452" s="21">
        <f>ROUND(I452 * IF('Dashboard'!$C$6&lt;=1, 2250, IF('Dashboard'!$C$6&lt;=4, 5150, 6000)), 0)</f>
        <v/>
      </c>
      <c r="K452" s="30" t="n">
        <v>0.9895566543895754</v>
      </c>
      <c r="L452" s="30" t="n">
        <v>0.009798611400025654</v>
      </c>
      <c r="M452" s="30" t="n">
        <v>0.0006447342103988783</v>
      </c>
      <c r="N452" s="31">
        <f>ABS(E452-$F$6)</f>
        <v/>
      </c>
      <c r="O452" s="31">
        <f>ABS(E452-$F$7)</f>
        <v/>
      </c>
      <c r="P452" s="31">
        <f>ABS(E452-$F$8)</f>
        <v/>
      </c>
      <c r="Q452" s="14">
        <f>IF(K452&gt;=MAX(L452,M452), "Hemat", IF(L452&gt;=M452, "Balanced", "Premium"))</f>
        <v/>
      </c>
      <c r="R452" s="30" t="n">
        <v>0.9895566542341836</v>
      </c>
      <c r="S452" s="30" t="n">
        <v>0.00979861139170024</v>
      </c>
      <c r="T452" s="30" t="n">
        <v>0.00064473437411607</v>
      </c>
      <c r="U452" s="31">
        <f>ABS(E452-$G$6)</f>
        <v/>
      </c>
      <c r="V452" s="31">
        <f>ABS(E452-$G$7)</f>
        <v/>
      </c>
      <c r="W452" s="31">
        <f>ABS(E452-$G$8)</f>
        <v/>
      </c>
      <c r="X452" s="14">
        <f>IF(R452&gt;=MAX(S452,T452), "Hemat", IF(S452&gt;=T452, "Balanced", "Premium"))</f>
        <v/>
      </c>
    </row>
    <row r="453">
      <c r="A453" s="14" t="n">
        <v>455</v>
      </c>
      <c r="B453" s="7" t="inlineStr">
        <is>
          <t>Wana Wisata Winangon Tambak Rejo</t>
        </is>
      </c>
      <c r="C453" s="26" t="n">
        <v>-8.151797999999999</v>
      </c>
      <c r="D453" s="26" t="n">
        <v>112.7653446</v>
      </c>
      <c r="E453" s="21" t="n">
        <v>5000</v>
      </c>
      <c r="F453" s="27" t="n">
        <v>4.1</v>
      </c>
      <c r="G453" s="28" t="n">
        <v>193</v>
      </c>
      <c r="H453" s="14" t="inlineStr">
        <is>
          <t>Wana Wisata Winangon Tambak Rejo</t>
        </is>
      </c>
      <c r="I453" s="29">
        <f>6371 * 2 * ASIN(SQRT(SIN(RADIANS((C453) - INDEX('Dataset_Wisata'!$C$12:$C$622, MATCH('Dashboard'!$C$9, 'Dataset_Wisata'!$A$12:$A$622, 0)))/2)^2 + COS(RADIANS(INDEX('Dataset_Wisata'!$C$12:$C$622, MATCH('Dashboard'!$C$9, 'Dataset_Wisata'!$A$12:$A$622, 0)))) * COS(RADIANS(C453)) * SIN(RADIANS((D453) - INDEX('Dataset_Wisata'!$D$12:$D$622, MATCH('Dashboard'!$C$9, 'Dataset_Wisata'!$A$12:$A$622, 0)))/2)^2)) * 1.3</f>
        <v/>
      </c>
      <c r="J453" s="21">
        <f>ROUND(I453 * IF('Dashboard'!$C$6&lt;=1, 2250, IF('Dashboard'!$C$6&lt;=4, 5150, 6000)), 0)</f>
        <v/>
      </c>
      <c r="K453" s="30" t="n">
        <v>0.9895566543895754</v>
      </c>
      <c r="L453" s="30" t="n">
        <v>0.009798611400025654</v>
      </c>
      <c r="M453" s="30" t="n">
        <v>0.0006447342103988783</v>
      </c>
      <c r="N453" s="31">
        <f>ABS(E453-$F$6)</f>
        <v/>
      </c>
      <c r="O453" s="31">
        <f>ABS(E453-$F$7)</f>
        <v/>
      </c>
      <c r="P453" s="31">
        <f>ABS(E453-$F$8)</f>
        <v/>
      </c>
      <c r="Q453" s="14">
        <f>IF(K453&gt;=MAX(L453,M453), "Hemat", IF(L453&gt;=M453, "Balanced", "Premium"))</f>
        <v/>
      </c>
      <c r="R453" s="30" t="n">
        <v>0.9895566542341836</v>
      </c>
      <c r="S453" s="30" t="n">
        <v>0.00979861139170024</v>
      </c>
      <c r="T453" s="30" t="n">
        <v>0.00064473437411607</v>
      </c>
      <c r="U453" s="31">
        <f>ABS(E453-$G$6)</f>
        <v/>
      </c>
      <c r="V453" s="31">
        <f>ABS(E453-$G$7)</f>
        <v/>
      </c>
      <c r="W453" s="31">
        <f>ABS(E453-$G$8)</f>
        <v/>
      </c>
      <c r="X453" s="14">
        <f>IF(R453&gt;=MAX(S453,T453), "Hemat", IF(S453&gt;=T453, "Balanced", "Premium"))</f>
        <v/>
      </c>
    </row>
    <row r="454">
      <c r="A454" s="14" t="n">
        <v>456</v>
      </c>
      <c r="B454" s="7" t="inlineStr">
        <is>
          <t>Masjid Tiban Malang</t>
        </is>
      </c>
      <c r="C454" s="26" t="n">
        <v>-8.150828499999999</v>
      </c>
      <c r="D454" s="26" t="n">
        <v>112.7131124</v>
      </c>
      <c r="E454" s="21" t="n">
        <v>0</v>
      </c>
      <c r="F454" s="27" t="n">
        <v>4.6</v>
      </c>
      <c r="G454" s="28" t="n">
        <v>9312</v>
      </c>
      <c r="H454" s="14" t="inlineStr">
        <is>
          <t>Masjid Tiban Malang</t>
        </is>
      </c>
      <c r="I454" s="29">
        <f>6371 * 2 * ASIN(SQRT(SIN(RADIANS((C454) - INDEX('Dataset_Wisata'!$C$12:$C$622, MATCH('Dashboard'!$C$9, 'Dataset_Wisata'!$A$12:$A$622, 0)))/2)^2 + COS(RADIANS(INDEX('Dataset_Wisata'!$C$12:$C$622, MATCH('Dashboard'!$C$9, 'Dataset_Wisata'!$A$12:$A$622, 0)))) * COS(RADIANS(C454)) * SIN(RADIANS((D454) - INDEX('Dataset_Wisata'!$D$12:$D$622, MATCH('Dashboard'!$C$9, 'Dataset_Wisata'!$A$12:$A$622, 0)))/2)^2)) * 1.3</f>
        <v/>
      </c>
      <c r="J454" s="21">
        <f>ROUND(I454 * IF('Dashboard'!$C$6&lt;=1, 2250, IF('Dashboard'!$C$6&lt;=4, 5150, 6000)), 0)</f>
        <v/>
      </c>
      <c r="K454" s="30" t="n">
        <v>0.9626824510005771</v>
      </c>
      <c r="L454" s="30" t="n">
        <v>0.03465542295845363</v>
      </c>
      <c r="M454" s="30" t="n">
        <v>0.002662126040969366</v>
      </c>
      <c r="N454" s="31">
        <f>ABS(E454-$F$6)</f>
        <v/>
      </c>
      <c r="O454" s="31">
        <f>ABS(E454-$F$7)</f>
        <v/>
      </c>
      <c r="P454" s="31">
        <f>ABS(E454-$F$8)</f>
        <v/>
      </c>
      <c r="Q454" s="14">
        <f>IF(K454&gt;=MAX(L454,M454), "Hemat", IF(L454&gt;=M454, "Balanced", "Premium"))</f>
        <v/>
      </c>
      <c r="R454" s="30" t="n">
        <v>0.9626824549241798</v>
      </c>
      <c r="S454" s="30" t="n">
        <v>0.03465541875469833</v>
      </c>
      <c r="T454" s="30" t="n">
        <v>0.002662126321121907</v>
      </c>
      <c r="U454" s="31">
        <f>ABS(E454-$G$6)</f>
        <v/>
      </c>
      <c r="V454" s="31">
        <f>ABS(E454-$G$7)</f>
        <v/>
      </c>
      <c r="W454" s="31">
        <f>ABS(E454-$G$8)</f>
        <v/>
      </c>
      <c r="X454" s="14">
        <f>IF(R454&gt;=MAX(S454,T454), "Hemat", IF(S454&gt;=T454, "Balanced", "Premium"))</f>
        <v/>
      </c>
    </row>
    <row r="455">
      <c r="A455" s="14" t="n">
        <v>457</v>
      </c>
      <c r="B455" s="7" t="inlineStr">
        <is>
          <t>Wisata Alam Sumber Jenon</t>
        </is>
      </c>
      <c r="C455" s="26" t="n">
        <v>-8.049702999999999</v>
      </c>
      <c r="D455" s="26" t="n">
        <v>112.7164399</v>
      </c>
      <c r="E455" s="21" t="n">
        <v>10000</v>
      </c>
      <c r="F455" s="27" t="n">
        <v>4.3</v>
      </c>
      <c r="G455" s="28" t="n">
        <v>1881</v>
      </c>
      <c r="H455" s="14" t="inlineStr">
        <is>
          <t>Wisata Alam Sumber Jenon</t>
        </is>
      </c>
      <c r="I455" s="29">
        <f>6371 * 2 * ASIN(SQRT(SIN(RADIANS((C455) - INDEX('Dataset_Wisata'!$C$12:$C$622, MATCH('Dashboard'!$C$9, 'Dataset_Wisata'!$A$12:$A$622, 0)))/2)^2 + COS(RADIANS(INDEX('Dataset_Wisata'!$C$12:$C$622, MATCH('Dashboard'!$C$9, 'Dataset_Wisata'!$A$12:$A$622, 0)))) * COS(RADIANS(C455)) * SIN(RADIANS((D455) - INDEX('Dataset_Wisata'!$D$12:$D$622, MATCH('Dashboard'!$C$9, 'Dataset_Wisata'!$A$12:$A$622, 0)))/2)^2)) * 1.3</f>
        <v/>
      </c>
      <c r="J455" s="21">
        <f>ROUND(I455 * IF('Dashboard'!$C$6&lt;=1, 2250, IF('Dashboard'!$C$6&lt;=4, 5150, 6000)), 0)</f>
        <v/>
      </c>
      <c r="K455" s="30" t="n">
        <v>0.9998126508185596</v>
      </c>
      <c r="L455" s="30" t="n">
        <v>0.0001775718391516968</v>
      </c>
      <c r="M455" s="30" t="n">
        <v>9.7773422886897e-06</v>
      </c>
      <c r="N455" s="31">
        <f>ABS(E455-$F$6)</f>
        <v/>
      </c>
      <c r="O455" s="31">
        <f>ABS(E455-$F$7)</f>
        <v/>
      </c>
      <c r="P455" s="31">
        <f>ABS(E455-$F$8)</f>
        <v/>
      </c>
      <c r="Q455" s="14">
        <f>IF(K455&gt;=MAX(L455,M455), "Hemat", IF(L455&gt;=M455, "Balanced", "Premium"))</f>
        <v/>
      </c>
      <c r="R455" s="30" t="n">
        <v>0.9998126513362043</v>
      </c>
      <c r="S455" s="30" t="n">
        <v>0.0001775713458315561</v>
      </c>
      <c r="T455" s="30" t="n">
        <v>9.777317964159987e-06</v>
      </c>
      <c r="U455" s="31">
        <f>ABS(E455-$G$6)</f>
        <v/>
      </c>
      <c r="V455" s="31">
        <f>ABS(E455-$G$7)</f>
        <v/>
      </c>
      <c r="W455" s="31">
        <f>ABS(E455-$G$8)</f>
        <v/>
      </c>
      <c r="X455" s="14">
        <f>IF(R455&gt;=MAX(S455,T455), "Hemat", IF(S455&gt;=T455, "Balanced", "Premium"))</f>
        <v/>
      </c>
    </row>
    <row r="456">
      <c r="A456" s="14" t="n">
        <v>458</v>
      </c>
      <c r="B456" s="7" t="inlineStr">
        <is>
          <t>Wisata Malang Dreamland</t>
        </is>
      </c>
      <c r="C456" s="26" t="n">
        <v>-8.0832183</v>
      </c>
      <c r="D456" s="26" t="n">
        <v>112.7859412</v>
      </c>
      <c r="E456" s="21" t="n">
        <v>20000</v>
      </c>
      <c r="F456" s="27" t="n">
        <v>4.3</v>
      </c>
      <c r="G456" s="28" t="n">
        <v>1604</v>
      </c>
      <c r="H456" s="14" t="inlineStr">
        <is>
          <t>Wisata Malang Dreamland</t>
        </is>
      </c>
      <c r="I456" s="29">
        <f>6371 * 2 * ASIN(SQRT(SIN(RADIANS((C456) - INDEX('Dataset_Wisata'!$C$12:$C$622, MATCH('Dashboard'!$C$9, 'Dataset_Wisata'!$A$12:$A$622, 0)))/2)^2 + COS(RADIANS(INDEX('Dataset_Wisata'!$C$12:$C$622, MATCH('Dashboard'!$C$9, 'Dataset_Wisata'!$A$12:$A$622, 0)))) * COS(RADIANS(C456)) * SIN(RADIANS((D456) - INDEX('Dataset_Wisata'!$D$12:$D$622, MATCH('Dashboard'!$C$9, 'Dataset_Wisata'!$A$12:$A$622, 0)))/2)^2)) * 1.3</f>
        <v/>
      </c>
      <c r="J456" s="21">
        <f>ROUND(I456 * IF('Dashboard'!$C$6&lt;=1, 2250, IF('Dashboard'!$C$6&lt;=4, 5150, 6000)), 0)</f>
        <v/>
      </c>
      <c r="K456" s="30" t="n">
        <v>0.8862296979094436</v>
      </c>
      <c r="L456" s="30" t="n">
        <v>0.1099329410905347</v>
      </c>
      <c r="M456" s="30" t="n">
        <v>0.003837361000021699</v>
      </c>
      <c r="N456" s="31">
        <f>ABS(E456-$F$6)</f>
        <v/>
      </c>
      <c r="O456" s="31">
        <f>ABS(E456-$F$7)</f>
        <v/>
      </c>
      <c r="P456" s="31">
        <f>ABS(E456-$F$8)</f>
        <v/>
      </c>
      <c r="Q456" s="14">
        <f>IF(K456&gt;=MAX(L456,M456), "Hemat", IF(L456&gt;=M456, "Balanced", "Premium"))</f>
        <v/>
      </c>
      <c r="R456" s="30" t="n">
        <v>0.8862297532761809</v>
      </c>
      <c r="S456" s="30" t="n">
        <v>0.1099328861159962</v>
      </c>
      <c r="T456" s="30" t="n">
        <v>0.003837360607822898</v>
      </c>
      <c r="U456" s="31">
        <f>ABS(E456-$G$6)</f>
        <v/>
      </c>
      <c r="V456" s="31">
        <f>ABS(E456-$G$7)</f>
        <v/>
      </c>
      <c r="W456" s="31">
        <f>ABS(E456-$G$8)</f>
        <v/>
      </c>
      <c r="X456" s="14">
        <f>IF(R456&gt;=MAX(S456,T456), "Hemat", IF(S456&gt;=T456, "Balanced", "Premium"))</f>
        <v/>
      </c>
    </row>
    <row r="457">
      <c r="A457" s="14" t="n">
        <v>459</v>
      </c>
      <c r="B457" s="7" t="inlineStr">
        <is>
          <t>waduk urek-urek gondanglegi malang</t>
        </is>
      </c>
      <c r="C457" s="26" t="n">
        <v>-8.150125299999999</v>
      </c>
      <c r="D457" s="26" t="n">
        <v>112.6685607</v>
      </c>
      <c r="E457" s="21" t="n">
        <v>20000</v>
      </c>
      <c r="F457" s="27" t="n">
        <v>4.1</v>
      </c>
      <c r="G457" s="28" t="n">
        <v>171</v>
      </c>
      <c r="H457" s="14" t="inlineStr">
        <is>
          <t>Taman ·  · RMX9+WCV</t>
        </is>
      </c>
      <c r="I457" s="29">
        <f>6371 * 2 * ASIN(SQRT(SIN(RADIANS((C457) - INDEX('Dataset_Wisata'!$C$12:$C$622, MATCH('Dashboard'!$C$9, 'Dataset_Wisata'!$A$12:$A$622, 0)))/2)^2 + COS(RADIANS(INDEX('Dataset_Wisata'!$C$12:$C$622, MATCH('Dashboard'!$C$9, 'Dataset_Wisata'!$A$12:$A$622, 0)))) * COS(RADIANS(C457)) * SIN(RADIANS((D457) - INDEX('Dataset_Wisata'!$D$12:$D$622, MATCH('Dashboard'!$C$9, 'Dataset_Wisata'!$A$12:$A$622, 0)))/2)^2)) * 1.3</f>
        <v/>
      </c>
      <c r="J457" s="21">
        <f>ROUND(I457 * IF('Dashboard'!$C$6&lt;=1, 2250, IF('Dashboard'!$C$6&lt;=4, 5150, 6000)), 0)</f>
        <v/>
      </c>
      <c r="K457" s="30" t="n">
        <v>0.8862296979094436</v>
      </c>
      <c r="L457" s="30" t="n">
        <v>0.1099329410905347</v>
      </c>
      <c r="M457" s="30" t="n">
        <v>0.003837361000021699</v>
      </c>
      <c r="N457" s="31">
        <f>ABS(E457-$F$6)</f>
        <v/>
      </c>
      <c r="O457" s="31">
        <f>ABS(E457-$F$7)</f>
        <v/>
      </c>
      <c r="P457" s="31">
        <f>ABS(E457-$F$8)</f>
        <v/>
      </c>
      <c r="Q457" s="14">
        <f>IF(K457&gt;=MAX(L457,M457), "Hemat", IF(L457&gt;=M457, "Balanced", "Premium"))</f>
        <v/>
      </c>
      <c r="R457" s="30" t="n">
        <v>0.8862297532761809</v>
      </c>
      <c r="S457" s="30" t="n">
        <v>0.1099328861159962</v>
      </c>
      <c r="T457" s="30" t="n">
        <v>0.003837360607822898</v>
      </c>
      <c r="U457" s="31">
        <f>ABS(E457-$G$6)</f>
        <v/>
      </c>
      <c r="V457" s="31">
        <f>ABS(E457-$G$7)</f>
        <v/>
      </c>
      <c r="W457" s="31">
        <f>ABS(E457-$G$8)</f>
        <v/>
      </c>
      <c r="X457" s="14">
        <f>IF(R457&gt;=MAX(S457,T457), "Hemat", IF(S457&gt;=T457, "Balanced", "Premium"))</f>
        <v/>
      </c>
    </row>
    <row r="458">
      <c r="A458" s="14" t="n">
        <v>460</v>
      </c>
      <c r="B458" s="7" t="inlineStr">
        <is>
          <t>OG Durian</t>
        </is>
      </c>
      <c r="C458" s="26" t="n">
        <v>-8.1306309</v>
      </c>
      <c r="D458" s="26" t="n">
        <v>112.663318</v>
      </c>
      <c r="E458" s="21" t="n">
        <v>50000</v>
      </c>
      <c r="F458" s="27" t="n">
        <v>4.7</v>
      </c>
      <c r="G458" s="28" t="n">
        <v>76</v>
      </c>
      <c r="H458" s="14" t="inlineStr">
        <is>
          <t>Wisata Umum</t>
        </is>
      </c>
      <c r="I458" s="29">
        <f>6371 * 2 * ASIN(SQRT(SIN(RADIANS((C458) - INDEX('Dataset_Wisata'!$C$12:$C$622, MATCH('Dashboard'!$C$9, 'Dataset_Wisata'!$A$12:$A$622, 0)))/2)^2 + COS(RADIANS(INDEX('Dataset_Wisata'!$C$12:$C$622, MATCH('Dashboard'!$C$9, 'Dataset_Wisata'!$A$12:$A$622, 0)))) * COS(RADIANS(C458)) * SIN(RADIANS((D458) - INDEX('Dataset_Wisata'!$D$12:$D$622, MATCH('Dashboard'!$C$9, 'Dataset_Wisata'!$A$12:$A$622, 0)))/2)^2)) * 1.3</f>
        <v/>
      </c>
      <c r="J458" s="21">
        <f>ROUND(I458 * IF('Dashboard'!$C$6&lt;=1, 2250, IF('Dashboard'!$C$6&lt;=4, 5150, 6000)), 0)</f>
        <v/>
      </c>
      <c r="K458" s="30" t="n">
        <v>5.758531237204236e-06</v>
      </c>
      <c r="L458" s="30" t="n">
        <v>0.9999936821294634</v>
      </c>
      <c r="M458" s="30" t="n">
        <v>5.593392994189334e-07</v>
      </c>
      <c r="N458" s="31">
        <f>ABS(E458-$F$6)</f>
        <v/>
      </c>
      <c r="O458" s="31">
        <f>ABS(E458-$F$7)</f>
        <v/>
      </c>
      <c r="P458" s="31">
        <f>ABS(E458-$F$8)</f>
        <v/>
      </c>
      <c r="Q458" s="14">
        <f>IF(K458&gt;=MAX(L458,M458), "Hemat", IF(L458&gt;=M458, "Balanced", "Premium"))</f>
        <v/>
      </c>
      <c r="R458" s="30" t="n">
        <v>5.757754513908737e-06</v>
      </c>
      <c r="S458" s="30" t="n">
        <v>0.9999936829816778</v>
      </c>
      <c r="T458" s="30" t="n">
        <v>5.592638083270285e-07</v>
      </c>
      <c r="U458" s="31">
        <f>ABS(E458-$G$6)</f>
        <v/>
      </c>
      <c r="V458" s="31">
        <f>ABS(E458-$G$7)</f>
        <v/>
      </c>
      <c r="W458" s="31">
        <f>ABS(E458-$G$8)</f>
        <v/>
      </c>
      <c r="X458" s="14">
        <f>IF(R458&gt;=MAX(S458,T458), "Hemat", IF(S458&gt;=T458, "Balanced", "Premium"))</f>
        <v/>
      </c>
    </row>
    <row r="459">
      <c r="A459" s="14" t="n">
        <v>461</v>
      </c>
      <c r="B459" s="7" t="inlineStr">
        <is>
          <t>WBLL (Wisata Blayu Lesti Lestari) Wajak</t>
        </is>
      </c>
      <c r="C459" s="26" t="n">
        <v>-8.116171899999999</v>
      </c>
      <c r="D459" s="26" t="n">
        <v>112.7395409</v>
      </c>
      <c r="E459" s="21" t="n">
        <v>10000</v>
      </c>
      <c r="F459" s="27" t="n">
        <v>4.2</v>
      </c>
      <c r="G459" s="28" t="n">
        <v>50</v>
      </c>
      <c r="H459" s="14" t="inlineStr">
        <is>
          <t>Wisata Umum</t>
        </is>
      </c>
      <c r="I459" s="29">
        <f>6371 * 2 * ASIN(SQRT(SIN(RADIANS((C459) - INDEX('Dataset_Wisata'!$C$12:$C$622, MATCH('Dashboard'!$C$9, 'Dataset_Wisata'!$A$12:$A$622, 0)))/2)^2 + COS(RADIANS(INDEX('Dataset_Wisata'!$C$12:$C$622, MATCH('Dashboard'!$C$9, 'Dataset_Wisata'!$A$12:$A$622, 0)))) * COS(RADIANS(C459)) * SIN(RADIANS((D459) - INDEX('Dataset_Wisata'!$D$12:$D$622, MATCH('Dashboard'!$C$9, 'Dataset_Wisata'!$A$12:$A$622, 0)))/2)^2)) * 1.3</f>
        <v/>
      </c>
      <c r="J459" s="21">
        <f>ROUND(I459 * IF('Dashboard'!$C$6&lt;=1, 2250, IF('Dashboard'!$C$6&lt;=4, 5150, 6000)), 0)</f>
        <v/>
      </c>
      <c r="K459" s="30" t="n">
        <v>0.9998126508185596</v>
      </c>
      <c r="L459" s="30" t="n">
        <v>0.0001775718391516968</v>
      </c>
      <c r="M459" s="30" t="n">
        <v>9.7773422886897e-06</v>
      </c>
      <c r="N459" s="31">
        <f>ABS(E459-$F$6)</f>
        <v/>
      </c>
      <c r="O459" s="31">
        <f>ABS(E459-$F$7)</f>
        <v/>
      </c>
      <c r="P459" s="31">
        <f>ABS(E459-$F$8)</f>
        <v/>
      </c>
      <c r="Q459" s="14">
        <f>IF(K459&gt;=MAX(L459,M459), "Hemat", IF(L459&gt;=M459, "Balanced", "Premium"))</f>
        <v/>
      </c>
      <c r="R459" s="30" t="n">
        <v>0.9998126513362043</v>
      </c>
      <c r="S459" s="30" t="n">
        <v>0.0001775713458315561</v>
      </c>
      <c r="T459" s="30" t="n">
        <v>9.777317964159987e-06</v>
      </c>
      <c r="U459" s="31">
        <f>ABS(E459-$G$6)</f>
        <v/>
      </c>
      <c r="V459" s="31">
        <f>ABS(E459-$G$7)</f>
        <v/>
      </c>
      <c r="W459" s="31">
        <f>ABS(E459-$G$8)</f>
        <v/>
      </c>
      <c r="X459" s="14">
        <f>IF(R459&gt;=MAX(S459,T459), "Hemat", IF(S459&gt;=T459, "Balanced", "Premium"))</f>
        <v/>
      </c>
    </row>
    <row r="460">
      <c r="A460" s="14" t="n">
        <v>462</v>
      </c>
      <c r="B460" s="7" t="inlineStr">
        <is>
          <t>Taman Keceh</t>
        </is>
      </c>
      <c r="C460" s="26" t="n">
        <v>-8.0968003</v>
      </c>
      <c r="D460" s="26" t="n">
        <v>112.7096505</v>
      </c>
      <c r="E460" s="21" t="n">
        <v>10000</v>
      </c>
      <c r="F460" s="27" t="n">
        <v>4</v>
      </c>
      <c r="G460" s="28" t="n">
        <v>617</v>
      </c>
      <c r="H460" s="14" t="inlineStr">
        <is>
          <t>Taman Keceh</t>
        </is>
      </c>
      <c r="I460" s="29">
        <f>6371 * 2 * ASIN(SQRT(SIN(RADIANS((C460) - INDEX('Dataset_Wisata'!$C$12:$C$622, MATCH('Dashboard'!$C$9, 'Dataset_Wisata'!$A$12:$A$622, 0)))/2)^2 + COS(RADIANS(INDEX('Dataset_Wisata'!$C$12:$C$622, MATCH('Dashboard'!$C$9, 'Dataset_Wisata'!$A$12:$A$622, 0)))) * COS(RADIANS(C460)) * SIN(RADIANS((D460) - INDEX('Dataset_Wisata'!$D$12:$D$622, MATCH('Dashboard'!$C$9, 'Dataset_Wisata'!$A$12:$A$622, 0)))/2)^2)) * 1.3</f>
        <v/>
      </c>
      <c r="J460" s="21">
        <f>ROUND(I460 * IF('Dashboard'!$C$6&lt;=1, 2250, IF('Dashboard'!$C$6&lt;=4, 5150, 6000)), 0)</f>
        <v/>
      </c>
      <c r="K460" s="30" t="n">
        <v>0.9998126508185596</v>
      </c>
      <c r="L460" s="30" t="n">
        <v>0.0001775718391516968</v>
      </c>
      <c r="M460" s="30" t="n">
        <v>9.7773422886897e-06</v>
      </c>
      <c r="N460" s="31">
        <f>ABS(E460-$F$6)</f>
        <v/>
      </c>
      <c r="O460" s="31">
        <f>ABS(E460-$F$7)</f>
        <v/>
      </c>
      <c r="P460" s="31">
        <f>ABS(E460-$F$8)</f>
        <v/>
      </c>
      <c r="Q460" s="14">
        <f>IF(K460&gt;=MAX(L460,M460), "Hemat", IF(L460&gt;=M460, "Balanced", "Premium"))</f>
        <v/>
      </c>
      <c r="R460" s="30" t="n">
        <v>0.9998126513362043</v>
      </c>
      <c r="S460" s="30" t="n">
        <v>0.0001775713458315561</v>
      </c>
      <c r="T460" s="30" t="n">
        <v>9.777317964159987e-06</v>
      </c>
      <c r="U460" s="31">
        <f>ABS(E460-$G$6)</f>
        <v/>
      </c>
      <c r="V460" s="31">
        <f>ABS(E460-$G$7)</f>
        <v/>
      </c>
      <c r="W460" s="31">
        <f>ABS(E460-$G$8)</f>
        <v/>
      </c>
      <c r="X460" s="14">
        <f>IF(R460&gt;=MAX(S460,T460), "Hemat", IF(S460&gt;=T460, "Balanced", "Premium"))</f>
        <v/>
      </c>
    </row>
    <row r="461">
      <c r="A461" s="14" t="n">
        <v>463</v>
      </c>
      <c r="B461" s="7" t="inlineStr">
        <is>
          <t>Embung Jambesari Sunset</t>
        </is>
      </c>
      <c r="C461" s="26" t="n">
        <v>-8.0639468</v>
      </c>
      <c r="D461" s="26" t="n">
        <v>112.7392765</v>
      </c>
      <c r="E461" s="21" t="n">
        <v>5000</v>
      </c>
      <c r="F461" s="27" t="n">
        <v>4.2</v>
      </c>
      <c r="G461" s="28" t="n">
        <v>92</v>
      </c>
      <c r="H461" s="14" t="inlineStr">
        <is>
          <t>Wisata Umum</t>
        </is>
      </c>
      <c r="I461" s="29">
        <f>6371 * 2 * ASIN(SQRT(SIN(RADIANS((C461) - INDEX('Dataset_Wisata'!$C$12:$C$622, MATCH('Dashboard'!$C$9, 'Dataset_Wisata'!$A$12:$A$622, 0)))/2)^2 + COS(RADIANS(INDEX('Dataset_Wisata'!$C$12:$C$622, MATCH('Dashboard'!$C$9, 'Dataset_Wisata'!$A$12:$A$622, 0)))) * COS(RADIANS(C461)) * SIN(RADIANS((D461) - INDEX('Dataset_Wisata'!$D$12:$D$622, MATCH('Dashboard'!$C$9, 'Dataset_Wisata'!$A$12:$A$622, 0)))/2)^2)) * 1.3</f>
        <v/>
      </c>
      <c r="J461" s="21">
        <f>ROUND(I461 * IF('Dashboard'!$C$6&lt;=1, 2250, IF('Dashboard'!$C$6&lt;=4, 5150, 6000)), 0)</f>
        <v/>
      </c>
      <c r="K461" s="30" t="n">
        <v>0.9895566543895754</v>
      </c>
      <c r="L461" s="30" t="n">
        <v>0.009798611400025654</v>
      </c>
      <c r="M461" s="30" t="n">
        <v>0.0006447342103988783</v>
      </c>
      <c r="N461" s="31">
        <f>ABS(E461-$F$6)</f>
        <v/>
      </c>
      <c r="O461" s="31">
        <f>ABS(E461-$F$7)</f>
        <v/>
      </c>
      <c r="P461" s="31">
        <f>ABS(E461-$F$8)</f>
        <v/>
      </c>
      <c r="Q461" s="14">
        <f>IF(K461&gt;=MAX(L461,M461), "Hemat", IF(L461&gt;=M461, "Balanced", "Premium"))</f>
        <v/>
      </c>
      <c r="R461" s="30" t="n">
        <v>0.9895566542341836</v>
      </c>
      <c r="S461" s="30" t="n">
        <v>0.00979861139170024</v>
      </c>
      <c r="T461" s="30" t="n">
        <v>0.00064473437411607</v>
      </c>
      <c r="U461" s="31">
        <f>ABS(E461-$G$6)</f>
        <v/>
      </c>
      <c r="V461" s="31">
        <f>ABS(E461-$G$7)</f>
        <v/>
      </c>
      <c r="W461" s="31">
        <f>ABS(E461-$G$8)</f>
        <v/>
      </c>
      <c r="X461" s="14">
        <f>IF(R461&gt;=MAX(S461,T461), "Hemat", IF(S461&gt;=T461, "Balanced", "Premium"))</f>
        <v/>
      </c>
    </row>
    <row r="462">
      <c r="A462" s="14" t="n">
        <v>464</v>
      </c>
      <c r="B462" s="7" t="inlineStr">
        <is>
          <t>Taman Edukasi EMBUNG PANDANMULYO</t>
        </is>
      </c>
      <c r="C462" s="26" t="n">
        <v>-8.070084700000001</v>
      </c>
      <c r="D462" s="26" t="n">
        <v>112.6953842</v>
      </c>
      <c r="E462" s="21" t="n">
        <v>20000</v>
      </c>
      <c r="F462" s="27" t="n">
        <v>4.3</v>
      </c>
      <c r="G462" s="28" t="n">
        <v>30</v>
      </c>
      <c r="H462" s="14" t="inlineStr">
        <is>
          <t>Taman Edukasi EMBUNG PANDANMULYO</t>
        </is>
      </c>
      <c r="I462" s="29">
        <f>6371 * 2 * ASIN(SQRT(SIN(RADIANS((C462) - INDEX('Dataset_Wisata'!$C$12:$C$622, MATCH('Dashboard'!$C$9, 'Dataset_Wisata'!$A$12:$A$622, 0)))/2)^2 + COS(RADIANS(INDEX('Dataset_Wisata'!$C$12:$C$622, MATCH('Dashboard'!$C$9, 'Dataset_Wisata'!$A$12:$A$622, 0)))) * COS(RADIANS(C462)) * SIN(RADIANS((D462) - INDEX('Dataset_Wisata'!$D$12:$D$622, MATCH('Dashboard'!$C$9, 'Dataset_Wisata'!$A$12:$A$622, 0)))/2)^2)) * 1.3</f>
        <v/>
      </c>
      <c r="J462" s="21">
        <f>ROUND(I462 * IF('Dashboard'!$C$6&lt;=1, 2250, IF('Dashboard'!$C$6&lt;=4, 5150, 6000)), 0)</f>
        <v/>
      </c>
      <c r="K462" s="30" t="n">
        <v>0.8862296979094436</v>
      </c>
      <c r="L462" s="30" t="n">
        <v>0.1099329410905347</v>
      </c>
      <c r="M462" s="30" t="n">
        <v>0.003837361000021699</v>
      </c>
      <c r="N462" s="31">
        <f>ABS(E462-$F$6)</f>
        <v/>
      </c>
      <c r="O462" s="31">
        <f>ABS(E462-$F$7)</f>
        <v/>
      </c>
      <c r="P462" s="31">
        <f>ABS(E462-$F$8)</f>
        <v/>
      </c>
      <c r="Q462" s="14">
        <f>IF(K462&gt;=MAX(L462,M462), "Hemat", IF(L462&gt;=M462, "Balanced", "Premium"))</f>
        <v/>
      </c>
      <c r="R462" s="30" t="n">
        <v>0.8862297532761809</v>
      </c>
      <c r="S462" s="30" t="n">
        <v>0.1099328861159962</v>
      </c>
      <c r="T462" s="30" t="n">
        <v>0.003837360607822898</v>
      </c>
      <c r="U462" s="31">
        <f>ABS(E462-$G$6)</f>
        <v/>
      </c>
      <c r="V462" s="31">
        <f>ABS(E462-$G$7)</f>
        <v/>
      </c>
      <c r="W462" s="31">
        <f>ABS(E462-$G$8)</f>
        <v/>
      </c>
      <c r="X462" s="14">
        <f>IF(R462&gt;=MAX(S462,T462), "Hemat", IF(S462&gt;=T462, "Balanced", "Premium"))</f>
        <v/>
      </c>
    </row>
    <row r="463">
      <c r="A463" s="14" t="n">
        <v>465</v>
      </c>
      <c r="B463" s="7" t="inlineStr">
        <is>
          <t>TUBING SUMBER SALAM</t>
        </is>
      </c>
      <c r="C463" s="26" t="n">
        <v>-8.0485004</v>
      </c>
      <c r="D463" s="26" t="n">
        <v>112.6952202</v>
      </c>
      <c r="E463" s="21" t="n">
        <v>5000</v>
      </c>
      <c r="F463" s="27" t="n">
        <v>4.4</v>
      </c>
      <c r="G463" s="28" t="n">
        <v>33</v>
      </c>
      <c r="H463" s="14" t="inlineStr">
        <is>
          <t>Wisata Umum</t>
        </is>
      </c>
      <c r="I463" s="29">
        <f>6371 * 2 * ASIN(SQRT(SIN(RADIANS((C463) - INDEX('Dataset_Wisata'!$C$12:$C$622, MATCH('Dashboard'!$C$9, 'Dataset_Wisata'!$A$12:$A$622, 0)))/2)^2 + COS(RADIANS(INDEX('Dataset_Wisata'!$C$12:$C$622, MATCH('Dashboard'!$C$9, 'Dataset_Wisata'!$A$12:$A$622, 0)))) * COS(RADIANS(C463)) * SIN(RADIANS((D463) - INDEX('Dataset_Wisata'!$D$12:$D$622, MATCH('Dashboard'!$C$9, 'Dataset_Wisata'!$A$12:$A$622, 0)))/2)^2)) * 1.3</f>
        <v/>
      </c>
      <c r="J463" s="21">
        <f>ROUND(I463 * IF('Dashboard'!$C$6&lt;=1, 2250, IF('Dashboard'!$C$6&lt;=4, 5150, 6000)), 0)</f>
        <v/>
      </c>
      <c r="K463" s="30" t="n">
        <v>0.9895566543895754</v>
      </c>
      <c r="L463" s="30" t="n">
        <v>0.009798611400025654</v>
      </c>
      <c r="M463" s="30" t="n">
        <v>0.0006447342103988783</v>
      </c>
      <c r="N463" s="31">
        <f>ABS(E463-$F$6)</f>
        <v/>
      </c>
      <c r="O463" s="31">
        <f>ABS(E463-$F$7)</f>
        <v/>
      </c>
      <c r="P463" s="31">
        <f>ABS(E463-$F$8)</f>
        <v/>
      </c>
      <c r="Q463" s="14">
        <f>IF(K463&gt;=MAX(L463,M463), "Hemat", IF(L463&gt;=M463, "Balanced", "Premium"))</f>
        <v/>
      </c>
      <c r="R463" s="30" t="n">
        <v>0.9895566542341836</v>
      </c>
      <c r="S463" s="30" t="n">
        <v>0.00979861139170024</v>
      </c>
      <c r="T463" s="30" t="n">
        <v>0.00064473437411607</v>
      </c>
      <c r="U463" s="31">
        <f>ABS(E463-$G$6)</f>
        <v/>
      </c>
      <c r="V463" s="31">
        <f>ABS(E463-$G$7)</f>
        <v/>
      </c>
      <c r="W463" s="31">
        <f>ABS(E463-$G$8)</f>
        <v/>
      </c>
      <c r="X463" s="14">
        <f>IF(R463&gt;=MAX(S463,T463), "Hemat", IF(S463&gt;=T463, "Balanced", "Premium"))</f>
        <v/>
      </c>
    </row>
    <row r="464">
      <c r="A464" s="14" t="n">
        <v>466</v>
      </c>
      <c r="B464" s="7" t="inlineStr">
        <is>
          <t>Tugu Pertigaan Wajak</t>
        </is>
      </c>
      <c r="C464" s="26" t="n">
        <v>-8.103261399999999</v>
      </c>
      <c r="D464" s="26" t="n">
        <v>112.7345743</v>
      </c>
      <c r="E464" s="21" t="n">
        <v>10000</v>
      </c>
      <c r="F464" s="27" t="n">
        <v>4.2</v>
      </c>
      <c r="G464" s="28" t="n">
        <v>375</v>
      </c>
      <c r="H464" s="14" t="inlineStr">
        <is>
          <t>Wisata Umum</t>
        </is>
      </c>
      <c r="I464" s="29">
        <f>6371 * 2 * ASIN(SQRT(SIN(RADIANS((C464) - INDEX('Dataset_Wisata'!$C$12:$C$622, MATCH('Dashboard'!$C$9, 'Dataset_Wisata'!$A$12:$A$622, 0)))/2)^2 + COS(RADIANS(INDEX('Dataset_Wisata'!$C$12:$C$622, MATCH('Dashboard'!$C$9, 'Dataset_Wisata'!$A$12:$A$622, 0)))) * COS(RADIANS(C464)) * SIN(RADIANS((D464) - INDEX('Dataset_Wisata'!$D$12:$D$622, MATCH('Dashboard'!$C$9, 'Dataset_Wisata'!$A$12:$A$622, 0)))/2)^2)) * 1.3</f>
        <v/>
      </c>
      <c r="J464" s="21">
        <f>ROUND(I464 * IF('Dashboard'!$C$6&lt;=1, 2250, IF('Dashboard'!$C$6&lt;=4, 5150, 6000)), 0)</f>
        <v/>
      </c>
      <c r="K464" s="30" t="n">
        <v>0.9998126508185596</v>
      </c>
      <c r="L464" s="30" t="n">
        <v>0.0001775718391516968</v>
      </c>
      <c r="M464" s="30" t="n">
        <v>9.7773422886897e-06</v>
      </c>
      <c r="N464" s="31">
        <f>ABS(E464-$F$6)</f>
        <v/>
      </c>
      <c r="O464" s="31">
        <f>ABS(E464-$F$7)</f>
        <v/>
      </c>
      <c r="P464" s="31">
        <f>ABS(E464-$F$8)</f>
        <v/>
      </c>
      <c r="Q464" s="14">
        <f>IF(K464&gt;=MAX(L464,M464), "Hemat", IF(L464&gt;=M464, "Balanced", "Premium"))</f>
        <v/>
      </c>
      <c r="R464" s="30" t="n">
        <v>0.9998126513362043</v>
      </c>
      <c r="S464" s="30" t="n">
        <v>0.0001775713458315561</v>
      </c>
      <c r="T464" s="30" t="n">
        <v>9.777317964159987e-06</v>
      </c>
      <c r="U464" s="31">
        <f>ABS(E464-$G$6)</f>
        <v/>
      </c>
      <c r="V464" s="31">
        <f>ABS(E464-$G$7)</f>
        <v/>
      </c>
      <c r="W464" s="31">
        <f>ABS(E464-$G$8)</f>
        <v/>
      </c>
      <c r="X464" s="14">
        <f>IF(R464&gt;=MAX(S464,T464), "Hemat", IF(S464&gt;=T464, "Balanced", "Premium"))</f>
        <v/>
      </c>
    </row>
    <row r="465">
      <c r="A465" s="14" t="n">
        <v>467</v>
      </c>
      <c r="B465" s="7" t="inlineStr">
        <is>
          <t>Situs Patirtaan Ngawonggo</t>
        </is>
      </c>
      <c r="C465" s="26" t="n">
        <v>-8.079630999999999</v>
      </c>
      <c r="D465" s="26" t="n">
        <v>112.704618</v>
      </c>
      <c r="E465" s="21" t="n">
        <v>5000</v>
      </c>
      <c r="F465" s="27" t="n">
        <v>4.7</v>
      </c>
      <c r="G465" s="28" t="n">
        <v>337</v>
      </c>
      <c r="H465" s="14" t="inlineStr">
        <is>
          <t>Wisata Umum</t>
        </is>
      </c>
      <c r="I465" s="29">
        <f>6371 * 2 * ASIN(SQRT(SIN(RADIANS((C465) - INDEX('Dataset_Wisata'!$C$12:$C$622, MATCH('Dashboard'!$C$9, 'Dataset_Wisata'!$A$12:$A$622, 0)))/2)^2 + COS(RADIANS(INDEX('Dataset_Wisata'!$C$12:$C$622, MATCH('Dashboard'!$C$9, 'Dataset_Wisata'!$A$12:$A$622, 0)))) * COS(RADIANS(C465)) * SIN(RADIANS((D465) - INDEX('Dataset_Wisata'!$D$12:$D$622, MATCH('Dashboard'!$C$9, 'Dataset_Wisata'!$A$12:$A$622, 0)))/2)^2)) * 1.3</f>
        <v/>
      </c>
      <c r="J465" s="21">
        <f>ROUND(I465 * IF('Dashboard'!$C$6&lt;=1, 2250, IF('Dashboard'!$C$6&lt;=4, 5150, 6000)), 0)</f>
        <v/>
      </c>
      <c r="K465" s="30" t="n">
        <v>0.9895566543895754</v>
      </c>
      <c r="L465" s="30" t="n">
        <v>0.009798611400025654</v>
      </c>
      <c r="M465" s="30" t="n">
        <v>0.0006447342103988783</v>
      </c>
      <c r="N465" s="31">
        <f>ABS(E465-$F$6)</f>
        <v/>
      </c>
      <c r="O465" s="31">
        <f>ABS(E465-$F$7)</f>
        <v/>
      </c>
      <c r="P465" s="31">
        <f>ABS(E465-$F$8)</f>
        <v/>
      </c>
      <c r="Q465" s="14">
        <f>IF(K465&gt;=MAX(L465,M465), "Hemat", IF(L465&gt;=M465, "Balanced", "Premium"))</f>
        <v/>
      </c>
      <c r="R465" s="30" t="n">
        <v>0.9895566542341836</v>
      </c>
      <c r="S465" s="30" t="n">
        <v>0.00979861139170024</v>
      </c>
      <c r="T465" s="30" t="n">
        <v>0.00064473437411607</v>
      </c>
      <c r="U465" s="31">
        <f>ABS(E465-$G$6)</f>
        <v/>
      </c>
      <c r="V465" s="31">
        <f>ABS(E465-$G$7)</f>
        <v/>
      </c>
      <c r="W465" s="31">
        <f>ABS(E465-$G$8)</f>
        <v/>
      </c>
      <c r="X465" s="14">
        <f>IF(R465&gt;=MAX(S465,T465), "Hemat", IF(S465&gt;=T465, "Balanced", "Premium"))</f>
        <v/>
      </c>
    </row>
    <row r="466">
      <c r="A466" s="14" t="n">
        <v>468</v>
      </c>
      <c r="B466" s="7" t="inlineStr">
        <is>
          <t>lembah ronggo warsito</t>
        </is>
      </c>
      <c r="C466" s="26" t="n">
        <v>-8.069603000000001</v>
      </c>
      <c r="D466" s="26" t="n">
        <v>112.7132028</v>
      </c>
      <c r="E466" s="21" t="n">
        <v>20000</v>
      </c>
      <c r="F466" s="27" t="n">
        <v>4.4</v>
      </c>
      <c r="G466" s="28" t="n">
        <v>63</v>
      </c>
      <c r="H466" s="14" t="inlineStr">
        <is>
          <t>Wisata Umum</t>
        </is>
      </c>
      <c r="I466" s="29">
        <f>6371 * 2 * ASIN(SQRT(SIN(RADIANS((C466) - INDEX('Dataset_Wisata'!$C$12:$C$622, MATCH('Dashboard'!$C$9, 'Dataset_Wisata'!$A$12:$A$622, 0)))/2)^2 + COS(RADIANS(INDEX('Dataset_Wisata'!$C$12:$C$622, MATCH('Dashboard'!$C$9, 'Dataset_Wisata'!$A$12:$A$622, 0)))) * COS(RADIANS(C466)) * SIN(RADIANS((D466) - INDEX('Dataset_Wisata'!$D$12:$D$622, MATCH('Dashboard'!$C$9, 'Dataset_Wisata'!$A$12:$A$622, 0)))/2)^2)) * 1.3</f>
        <v/>
      </c>
      <c r="J466" s="21">
        <f>ROUND(I466 * IF('Dashboard'!$C$6&lt;=1, 2250, IF('Dashboard'!$C$6&lt;=4, 5150, 6000)), 0)</f>
        <v/>
      </c>
      <c r="K466" s="30" t="n">
        <v>0.8862296979094436</v>
      </c>
      <c r="L466" s="30" t="n">
        <v>0.1099329410905347</v>
      </c>
      <c r="M466" s="30" t="n">
        <v>0.003837361000021699</v>
      </c>
      <c r="N466" s="31">
        <f>ABS(E466-$F$6)</f>
        <v/>
      </c>
      <c r="O466" s="31">
        <f>ABS(E466-$F$7)</f>
        <v/>
      </c>
      <c r="P466" s="31">
        <f>ABS(E466-$F$8)</f>
        <v/>
      </c>
      <c r="Q466" s="14">
        <f>IF(K466&gt;=MAX(L466,M466), "Hemat", IF(L466&gt;=M466, "Balanced", "Premium"))</f>
        <v/>
      </c>
      <c r="R466" s="30" t="n">
        <v>0.8862297532761809</v>
      </c>
      <c r="S466" s="30" t="n">
        <v>0.1099328861159962</v>
      </c>
      <c r="T466" s="30" t="n">
        <v>0.003837360607822898</v>
      </c>
      <c r="U466" s="31">
        <f>ABS(E466-$G$6)</f>
        <v/>
      </c>
      <c r="V466" s="31">
        <f>ABS(E466-$G$7)</f>
        <v/>
      </c>
      <c r="W466" s="31">
        <f>ABS(E466-$G$8)</f>
        <v/>
      </c>
      <c r="X466" s="14">
        <f>IF(R466&gt;=MAX(S466,T466), "Hemat", IF(S466&gt;=T466, "Balanced", "Premium"))</f>
        <v/>
      </c>
    </row>
    <row r="467">
      <c r="A467" s="14" t="n">
        <v>469</v>
      </c>
      <c r="B467" s="7" t="inlineStr">
        <is>
          <t>Waduk Purbaya</t>
        </is>
      </c>
      <c r="C467" s="26" t="n">
        <v>-8.0681444</v>
      </c>
      <c r="D467" s="26" t="n">
        <v>112.7021651</v>
      </c>
      <c r="E467" s="21" t="n">
        <v>15000</v>
      </c>
      <c r="F467" s="27" t="n">
        <v>4.5</v>
      </c>
      <c r="G467" s="28" t="n">
        <v>33</v>
      </c>
      <c r="H467" s="14" t="inlineStr">
        <is>
          <t>Wisata Umum</t>
        </is>
      </c>
      <c r="I467" s="29">
        <f>6371 * 2 * ASIN(SQRT(SIN(RADIANS((C467) - INDEX('Dataset_Wisata'!$C$12:$C$622, MATCH('Dashboard'!$C$9, 'Dataset_Wisata'!$A$12:$A$622, 0)))/2)^2 + COS(RADIANS(INDEX('Dataset_Wisata'!$C$12:$C$622, MATCH('Dashboard'!$C$9, 'Dataset_Wisata'!$A$12:$A$622, 0)))) * COS(RADIANS(C467)) * SIN(RADIANS((D467) - INDEX('Dataset_Wisata'!$D$12:$D$622, MATCH('Dashboard'!$C$9, 'Dataset_Wisata'!$A$12:$A$622, 0)))/2)^2)) * 1.3</f>
        <v/>
      </c>
      <c r="J467" s="21">
        <f>ROUND(I467 * IF('Dashboard'!$C$6&lt;=1, 2250, IF('Dashboard'!$C$6&lt;=4, 5150, 6000)), 0)</f>
        <v/>
      </c>
      <c r="K467" s="30" t="n">
        <v>0.9744283047002794</v>
      </c>
      <c r="L467" s="30" t="n">
        <v>0.02447712712252609</v>
      </c>
      <c r="M467" s="30" t="n">
        <v>0.001094568177194568</v>
      </c>
      <c r="N467" s="31">
        <f>ABS(E467-$F$6)</f>
        <v/>
      </c>
      <c r="O467" s="31">
        <f>ABS(E467-$F$7)</f>
        <v/>
      </c>
      <c r="P467" s="31">
        <f>ABS(E467-$F$8)</f>
        <v/>
      </c>
      <c r="Q467" s="14">
        <f>IF(K467&gt;=MAX(L467,M467), "Hemat", IF(L467&gt;=M467, "Balanced", "Premium"))</f>
        <v/>
      </c>
      <c r="R467" s="30" t="n">
        <v>0.9744283195785179</v>
      </c>
      <c r="S467" s="30" t="n">
        <v>0.02447711252884811</v>
      </c>
      <c r="T467" s="30" t="n">
        <v>0.001094567892634054</v>
      </c>
      <c r="U467" s="31">
        <f>ABS(E467-$G$6)</f>
        <v/>
      </c>
      <c r="V467" s="31">
        <f>ABS(E467-$G$7)</f>
        <v/>
      </c>
      <c r="W467" s="31">
        <f>ABS(E467-$G$8)</f>
        <v/>
      </c>
      <c r="X467" s="14">
        <f>IF(R467&gt;=MAX(S467,T467), "Hemat", IF(S467&gt;=T467, "Balanced", "Premium"))</f>
        <v/>
      </c>
    </row>
    <row r="468">
      <c r="A468" s="14" t="n">
        <v>470</v>
      </c>
      <c r="B468" s="7" t="inlineStr">
        <is>
          <t>Tirta Dewata</t>
        </is>
      </c>
      <c r="C468" s="26" t="n">
        <v>-8.0846774</v>
      </c>
      <c r="D468" s="26" t="n">
        <v>112.7425985</v>
      </c>
      <c r="E468" s="21" t="n">
        <v>10000</v>
      </c>
      <c r="F468" s="27" t="n">
        <v>4.3</v>
      </c>
      <c r="G468" s="28" t="n">
        <v>29</v>
      </c>
      <c r="H468" s="14" t="inlineStr">
        <is>
          <t>"Kolam renang yang asikkkk"</t>
        </is>
      </c>
      <c r="I468" s="29">
        <f>6371 * 2 * ASIN(SQRT(SIN(RADIANS((C468) - INDEX('Dataset_Wisata'!$C$12:$C$622, MATCH('Dashboard'!$C$9, 'Dataset_Wisata'!$A$12:$A$622, 0)))/2)^2 + COS(RADIANS(INDEX('Dataset_Wisata'!$C$12:$C$622, MATCH('Dashboard'!$C$9, 'Dataset_Wisata'!$A$12:$A$622, 0)))) * COS(RADIANS(C468)) * SIN(RADIANS((D468) - INDEX('Dataset_Wisata'!$D$12:$D$622, MATCH('Dashboard'!$C$9, 'Dataset_Wisata'!$A$12:$A$622, 0)))/2)^2)) * 1.3</f>
        <v/>
      </c>
      <c r="J468" s="21">
        <f>ROUND(I468 * IF('Dashboard'!$C$6&lt;=1, 2250, IF('Dashboard'!$C$6&lt;=4, 5150, 6000)), 0)</f>
        <v/>
      </c>
      <c r="K468" s="30" t="n">
        <v>0.9998126508185596</v>
      </c>
      <c r="L468" s="30" t="n">
        <v>0.0001775718391516968</v>
      </c>
      <c r="M468" s="30" t="n">
        <v>9.7773422886897e-06</v>
      </c>
      <c r="N468" s="31">
        <f>ABS(E468-$F$6)</f>
        <v/>
      </c>
      <c r="O468" s="31">
        <f>ABS(E468-$F$7)</f>
        <v/>
      </c>
      <c r="P468" s="31">
        <f>ABS(E468-$F$8)</f>
        <v/>
      </c>
      <c r="Q468" s="14">
        <f>IF(K468&gt;=MAX(L468,M468), "Hemat", IF(L468&gt;=M468, "Balanced", "Premium"))</f>
        <v/>
      </c>
      <c r="R468" s="30" t="n">
        <v>0.9998126513362043</v>
      </c>
      <c r="S468" s="30" t="n">
        <v>0.0001775713458315561</v>
      </c>
      <c r="T468" s="30" t="n">
        <v>9.777317964159987e-06</v>
      </c>
      <c r="U468" s="31">
        <f>ABS(E468-$G$6)</f>
        <v/>
      </c>
      <c r="V468" s="31">
        <f>ABS(E468-$G$7)</f>
        <v/>
      </c>
      <c r="W468" s="31">
        <f>ABS(E468-$G$8)</f>
        <v/>
      </c>
      <c r="X468" s="14">
        <f>IF(R468&gt;=MAX(S468,T468), "Hemat", IF(S468&gt;=T468, "Balanced", "Premium"))</f>
        <v/>
      </c>
    </row>
    <row r="469">
      <c r="A469" s="14" t="n">
        <v>471</v>
      </c>
      <c r="B469" s="7" t="inlineStr">
        <is>
          <t>Taman edukasi D'Embung Park Pandanmulyo</t>
        </is>
      </c>
      <c r="C469" s="26" t="n">
        <v>-8.0694816</v>
      </c>
      <c r="D469" s="26" t="n">
        <v>112.6956098</v>
      </c>
      <c r="E469" s="21" t="n">
        <v>5000</v>
      </c>
      <c r="F469" s="27" t="n">
        <v>4.3</v>
      </c>
      <c r="G469" s="28" t="n">
        <v>350</v>
      </c>
      <c r="H469" s="14" t="inlineStr">
        <is>
          <t>Taman edukasi D'Embung Park Pandanmulyo</t>
        </is>
      </c>
      <c r="I469" s="29">
        <f>6371 * 2 * ASIN(SQRT(SIN(RADIANS((C469) - INDEX('Dataset_Wisata'!$C$12:$C$622, MATCH('Dashboard'!$C$9, 'Dataset_Wisata'!$A$12:$A$622, 0)))/2)^2 + COS(RADIANS(INDEX('Dataset_Wisata'!$C$12:$C$622, MATCH('Dashboard'!$C$9, 'Dataset_Wisata'!$A$12:$A$622, 0)))) * COS(RADIANS(C469)) * SIN(RADIANS((D469) - INDEX('Dataset_Wisata'!$D$12:$D$622, MATCH('Dashboard'!$C$9, 'Dataset_Wisata'!$A$12:$A$622, 0)))/2)^2)) * 1.3</f>
        <v/>
      </c>
      <c r="J469" s="21">
        <f>ROUND(I469 * IF('Dashboard'!$C$6&lt;=1, 2250, IF('Dashboard'!$C$6&lt;=4, 5150, 6000)), 0)</f>
        <v/>
      </c>
      <c r="K469" s="30" t="n">
        <v>0.9895566543895754</v>
      </c>
      <c r="L469" s="30" t="n">
        <v>0.009798611400025654</v>
      </c>
      <c r="M469" s="30" t="n">
        <v>0.0006447342103988783</v>
      </c>
      <c r="N469" s="31">
        <f>ABS(E469-$F$6)</f>
        <v/>
      </c>
      <c r="O469" s="31">
        <f>ABS(E469-$F$7)</f>
        <v/>
      </c>
      <c r="P469" s="31">
        <f>ABS(E469-$F$8)</f>
        <v/>
      </c>
      <c r="Q469" s="14">
        <f>IF(K469&gt;=MAX(L469,M469), "Hemat", IF(L469&gt;=M469, "Balanced", "Premium"))</f>
        <v/>
      </c>
      <c r="R469" s="30" t="n">
        <v>0.9895566542341836</v>
      </c>
      <c r="S469" s="30" t="n">
        <v>0.00979861139170024</v>
      </c>
      <c r="T469" s="30" t="n">
        <v>0.00064473437411607</v>
      </c>
      <c r="U469" s="31">
        <f>ABS(E469-$G$6)</f>
        <v/>
      </c>
      <c r="V469" s="31">
        <f>ABS(E469-$G$7)</f>
        <v/>
      </c>
      <c r="W469" s="31">
        <f>ABS(E469-$G$8)</f>
        <v/>
      </c>
      <c r="X469" s="14">
        <f>IF(R469&gt;=MAX(S469,T469), "Hemat", IF(S469&gt;=T469, "Balanced", "Premium"))</f>
        <v/>
      </c>
    </row>
    <row r="470">
      <c r="A470" s="14" t="n">
        <v>472</v>
      </c>
      <c r="B470" s="7" t="inlineStr">
        <is>
          <t>Lembah Tumpang Resort</t>
        </is>
      </c>
      <c r="C470" s="26" t="n">
        <v>-7.9942415</v>
      </c>
      <c r="D470" s="26" t="n">
        <v>112.737865</v>
      </c>
      <c r="E470" s="21" t="n">
        <v>60000</v>
      </c>
      <c r="F470" s="27" t="n">
        <v>4.6</v>
      </c>
      <c r="G470" s="28" t="n">
        <v>7034</v>
      </c>
      <c r="H470" s="14" t="inlineStr">
        <is>
          <t>Wisata Umum</t>
        </is>
      </c>
      <c r="I470" s="29">
        <f>6371 * 2 * ASIN(SQRT(SIN(RADIANS((C470) - INDEX('Dataset_Wisata'!$C$12:$C$622, MATCH('Dashboard'!$C$9, 'Dataset_Wisata'!$A$12:$A$622, 0)))/2)^2 + COS(RADIANS(INDEX('Dataset_Wisata'!$C$12:$C$622, MATCH('Dashboard'!$C$9, 'Dataset_Wisata'!$A$12:$A$622, 0)))) * COS(RADIANS(C470)) * SIN(RADIANS((D470) - INDEX('Dataset_Wisata'!$D$12:$D$622, MATCH('Dashboard'!$C$9, 'Dataset_Wisata'!$A$12:$A$622, 0)))/2)^2)) * 1.3</f>
        <v/>
      </c>
      <c r="J470" s="21">
        <f>ROUND(I470 * IF('Dashboard'!$C$6&lt;=1, 2250, IF('Dashboard'!$C$6&lt;=4, 5150, 6000)), 0)</f>
        <v/>
      </c>
      <c r="K470" s="30" t="n">
        <v>0.03813560740753515</v>
      </c>
      <c r="L470" s="30" t="n">
        <v>0.9551077970041918</v>
      </c>
      <c r="M470" s="30" t="n">
        <v>0.006756595588273031</v>
      </c>
      <c r="N470" s="31">
        <f>ABS(E470-$F$6)</f>
        <v/>
      </c>
      <c r="O470" s="31">
        <f>ABS(E470-$F$7)</f>
        <v/>
      </c>
      <c r="P470" s="31">
        <f>ABS(E470-$F$8)</f>
        <v/>
      </c>
      <c r="Q470" s="14">
        <f>IF(K470&gt;=MAX(L470,M470), "Hemat", IF(L470&gt;=M470, "Balanced", "Premium"))</f>
        <v/>
      </c>
      <c r="R470" s="30" t="n">
        <v>0.03813556102953696</v>
      </c>
      <c r="S470" s="30" t="n">
        <v>0.9551078521424723</v>
      </c>
      <c r="T470" s="30" t="n">
        <v>0.00675658682799073</v>
      </c>
      <c r="U470" s="31">
        <f>ABS(E470-$G$6)</f>
        <v/>
      </c>
      <c r="V470" s="31">
        <f>ABS(E470-$G$7)</f>
        <v/>
      </c>
      <c r="W470" s="31">
        <f>ABS(E470-$G$8)</f>
        <v/>
      </c>
      <c r="X470" s="14">
        <f>IF(R470&gt;=MAX(S470,T470), "Hemat", IF(S470&gt;=T470, "Balanced", "Premium"))</f>
        <v/>
      </c>
    </row>
    <row r="471">
      <c r="A471" s="14" t="n">
        <v>473</v>
      </c>
      <c r="B471" s="7" t="inlineStr">
        <is>
          <t>Tugu Kuda Diponegoro</t>
        </is>
      </c>
      <c r="C471" s="26" t="n">
        <v>-8.0461835</v>
      </c>
      <c r="D471" s="26" t="n">
        <v>112.6925671</v>
      </c>
      <c r="E471" s="21" t="n">
        <v>0</v>
      </c>
      <c r="F471" s="27" t="n">
        <v>4.3</v>
      </c>
      <c r="G471" s="28" t="n">
        <v>326</v>
      </c>
      <c r="H471" s="14" t="inlineStr">
        <is>
          <t>Wisata Umum</t>
        </is>
      </c>
      <c r="I471" s="29">
        <f>6371 * 2 * ASIN(SQRT(SIN(RADIANS((C471) - INDEX('Dataset_Wisata'!$C$12:$C$622, MATCH('Dashboard'!$C$9, 'Dataset_Wisata'!$A$12:$A$622, 0)))/2)^2 + COS(RADIANS(INDEX('Dataset_Wisata'!$C$12:$C$622, MATCH('Dashboard'!$C$9, 'Dataset_Wisata'!$A$12:$A$622, 0)))) * COS(RADIANS(C471)) * SIN(RADIANS((D471) - INDEX('Dataset_Wisata'!$D$12:$D$622, MATCH('Dashboard'!$C$9, 'Dataset_Wisata'!$A$12:$A$622, 0)))/2)^2)) * 1.3</f>
        <v/>
      </c>
      <c r="J471" s="21">
        <f>ROUND(I471 * IF('Dashboard'!$C$6&lt;=1, 2250, IF('Dashboard'!$C$6&lt;=4, 5150, 6000)), 0)</f>
        <v/>
      </c>
      <c r="K471" s="30" t="n">
        <v>0.9626824510005771</v>
      </c>
      <c r="L471" s="30" t="n">
        <v>0.03465542295845363</v>
      </c>
      <c r="M471" s="30" t="n">
        <v>0.002662126040969366</v>
      </c>
      <c r="N471" s="31">
        <f>ABS(E471-$F$6)</f>
        <v/>
      </c>
      <c r="O471" s="31">
        <f>ABS(E471-$F$7)</f>
        <v/>
      </c>
      <c r="P471" s="31">
        <f>ABS(E471-$F$8)</f>
        <v/>
      </c>
      <c r="Q471" s="14">
        <f>IF(K471&gt;=MAX(L471,M471), "Hemat", IF(L471&gt;=M471, "Balanced", "Premium"))</f>
        <v/>
      </c>
      <c r="R471" s="30" t="n">
        <v>0.9626824549241798</v>
      </c>
      <c r="S471" s="30" t="n">
        <v>0.03465541875469833</v>
      </c>
      <c r="T471" s="30" t="n">
        <v>0.002662126321121907</v>
      </c>
      <c r="U471" s="31">
        <f>ABS(E471-$G$6)</f>
        <v/>
      </c>
      <c r="V471" s="31">
        <f>ABS(E471-$G$7)</f>
        <v/>
      </c>
      <c r="W471" s="31">
        <f>ABS(E471-$G$8)</f>
        <v/>
      </c>
      <c r="X471" s="14">
        <f>IF(R471&gt;=MAX(S471,T471), "Hemat", IF(S471&gt;=T471, "Balanced", "Premium"))</f>
        <v/>
      </c>
    </row>
    <row r="472">
      <c r="A472" s="14" t="n">
        <v>474</v>
      </c>
      <c r="B472" s="7" t="inlineStr">
        <is>
          <t>Sumber Wendit Lanang</t>
        </is>
      </c>
      <c r="C472" s="26" t="n">
        <v>-7.9473301</v>
      </c>
      <c r="D472" s="26" t="n">
        <v>112.676716</v>
      </c>
      <c r="E472" s="21" t="n">
        <v>10500</v>
      </c>
      <c r="F472" s="27" t="n">
        <v>4.3</v>
      </c>
      <c r="G472" s="28" t="n">
        <v>1043</v>
      </c>
      <c r="H472" s="14" t="inlineStr">
        <is>
          <t>Wisata Umum</t>
        </is>
      </c>
      <c r="I472" s="29">
        <f>6371 * 2 * ASIN(SQRT(SIN(RADIANS((C472) - INDEX('Dataset_Wisata'!$C$12:$C$622, MATCH('Dashboard'!$C$9, 'Dataset_Wisata'!$A$12:$A$622, 0)))/2)^2 + COS(RADIANS(INDEX('Dataset_Wisata'!$C$12:$C$622, MATCH('Dashboard'!$C$9, 'Dataset_Wisata'!$A$12:$A$622, 0)))) * COS(RADIANS(C472)) * SIN(RADIANS((D472) - INDEX('Dataset_Wisata'!$D$12:$D$622, MATCH('Dashboard'!$C$9, 'Dataset_Wisata'!$A$12:$A$622, 0)))/2)^2)) * 1.3</f>
        <v/>
      </c>
      <c r="J472" s="21">
        <f>ROUND(I472 * IF('Dashboard'!$C$6&lt;=1, 2250, IF('Dashboard'!$C$6&lt;=4, 5150, 6000)), 0)</f>
        <v/>
      </c>
      <c r="K472" s="30" t="n">
        <v>0.9992778130390464</v>
      </c>
      <c r="L472" s="30" t="n">
        <v>0.0006851821779944199</v>
      </c>
      <c r="M472" s="30" t="n">
        <v>3.700478295920698e-05</v>
      </c>
      <c r="N472" s="31">
        <f>ABS(E472-$F$6)</f>
        <v/>
      </c>
      <c r="O472" s="31">
        <f>ABS(E472-$F$7)</f>
        <v/>
      </c>
      <c r="P472" s="31">
        <f>ABS(E472-$F$8)</f>
        <v/>
      </c>
      <c r="Q472" s="14">
        <f>IF(K472&gt;=MAX(L472,M472), "Hemat", IF(L472&gt;=M472, "Balanced", "Premium"))</f>
        <v/>
      </c>
      <c r="R472" s="30" t="n">
        <v>0.9992778141796984</v>
      </c>
      <c r="S472" s="30" t="n">
        <v>0.0006851810854547244</v>
      </c>
      <c r="T472" s="30" t="n">
        <v>3.70047348467947e-05</v>
      </c>
      <c r="U472" s="31">
        <f>ABS(E472-$G$6)</f>
        <v/>
      </c>
      <c r="V472" s="31">
        <f>ABS(E472-$G$7)</f>
        <v/>
      </c>
      <c r="W472" s="31">
        <f>ABS(E472-$G$8)</f>
        <v/>
      </c>
      <c r="X472" s="14">
        <f>IF(R472&gt;=MAX(S472,T472), "Hemat", IF(S472&gt;=T472, "Balanced", "Premium"))</f>
        <v/>
      </c>
    </row>
    <row r="473">
      <c r="A473" s="14" t="n">
        <v>475</v>
      </c>
      <c r="B473" s="7" t="inlineStr">
        <is>
          <t>Patung Singo Edan Arema</t>
        </is>
      </c>
      <c r="C473" s="26" t="n">
        <v>-7.977314</v>
      </c>
      <c r="D473" s="26" t="n">
        <v>112.6366485</v>
      </c>
      <c r="E473" s="21" t="n">
        <v>0</v>
      </c>
      <c r="F473" s="27" t="n">
        <v>4.5</v>
      </c>
      <c r="G473" s="28" t="n">
        <v>227</v>
      </c>
      <c r="H473" s="14" t="inlineStr">
        <is>
          <t>Tujuan Wisata · </t>
        </is>
      </c>
      <c r="I473" s="29">
        <f>6371 * 2 * ASIN(SQRT(SIN(RADIANS((C473) - INDEX('Dataset_Wisata'!$C$12:$C$622, MATCH('Dashboard'!$C$9, 'Dataset_Wisata'!$A$12:$A$622, 0)))/2)^2 + COS(RADIANS(INDEX('Dataset_Wisata'!$C$12:$C$622, MATCH('Dashboard'!$C$9, 'Dataset_Wisata'!$A$12:$A$622, 0)))) * COS(RADIANS(C473)) * SIN(RADIANS((D473) - INDEX('Dataset_Wisata'!$D$12:$D$622, MATCH('Dashboard'!$C$9, 'Dataset_Wisata'!$A$12:$A$622, 0)))/2)^2)) * 1.3</f>
        <v/>
      </c>
      <c r="J473" s="21">
        <f>ROUND(I473 * IF('Dashboard'!$C$6&lt;=1, 2250, IF('Dashboard'!$C$6&lt;=4, 5150, 6000)), 0)</f>
        <v/>
      </c>
      <c r="K473" s="30" t="n">
        <v>0.9626824510005771</v>
      </c>
      <c r="L473" s="30" t="n">
        <v>0.03465542295845363</v>
      </c>
      <c r="M473" s="30" t="n">
        <v>0.002662126040969366</v>
      </c>
      <c r="N473" s="31">
        <f>ABS(E473-$F$6)</f>
        <v/>
      </c>
      <c r="O473" s="31">
        <f>ABS(E473-$F$7)</f>
        <v/>
      </c>
      <c r="P473" s="31">
        <f>ABS(E473-$F$8)</f>
        <v/>
      </c>
      <c r="Q473" s="14">
        <f>IF(K473&gt;=MAX(L473,M473), "Hemat", IF(L473&gt;=M473, "Balanced", "Premium"))</f>
        <v/>
      </c>
      <c r="R473" s="30" t="n">
        <v>0.9626824549241798</v>
      </c>
      <c r="S473" s="30" t="n">
        <v>0.03465541875469833</v>
      </c>
      <c r="T473" s="30" t="n">
        <v>0.002662126321121907</v>
      </c>
      <c r="U473" s="31">
        <f>ABS(E473-$G$6)</f>
        <v/>
      </c>
      <c r="V473" s="31">
        <f>ABS(E473-$G$7)</f>
        <v/>
      </c>
      <c r="W473" s="31">
        <f>ABS(E473-$G$8)</f>
        <v/>
      </c>
      <c r="X473" s="14">
        <f>IF(R473&gt;=MAX(S473,T473), "Hemat", IF(S473&gt;=T473, "Balanced", "Premium"))</f>
        <v/>
      </c>
    </row>
    <row r="474">
      <c r="A474" s="14" t="n">
        <v>476</v>
      </c>
      <c r="B474" s="7" t="inlineStr">
        <is>
          <t>Wisata Alam "SUMBER GENTONG"</t>
        </is>
      </c>
      <c r="C474" s="26" t="n">
        <v>-7.9442783</v>
      </c>
      <c r="D474" s="26" t="n">
        <v>112.6734667</v>
      </c>
      <c r="E474" s="21" t="n">
        <v>5000</v>
      </c>
      <c r="F474" s="27" t="n">
        <v>4.4</v>
      </c>
      <c r="G474" s="28" t="n">
        <v>407</v>
      </c>
      <c r="H474" s="14" t="inlineStr">
        <is>
          <t>Wisata Alam "SUMBER GENTONG"</t>
        </is>
      </c>
      <c r="I474" s="29">
        <f>6371 * 2 * ASIN(SQRT(SIN(RADIANS((C474) - INDEX('Dataset_Wisata'!$C$12:$C$622, MATCH('Dashboard'!$C$9, 'Dataset_Wisata'!$A$12:$A$622, 0)))/2)^2 + COS(RADIANS(INDEX('Dataset_Wisata'!$C$12:$C$622, MATCH('Dashboard'!$C$9, 'Dataset_Wisata'!$A$12:$A$622, 0)))) * COS(RADIANS(C474)) * SIN(RADIANS((D474) - INDEX('Dataset_Wisata'!$D$12:$D$622, MATCH('Dashboard'!$C$9, 'Dataset_Wisata'!$A$12:$A$622, 0)))/2)^2)) * 1.3</f>
        <v/>
      </c>
      <c r="J474" s="21">
        <f>ROUND(I474 * IF('Dashboard'!$C$6&lt;=1, 2250, IF('Dashboard'!$C$6&lt;=4, 5150, 6000)), 0)</f>
        <v/>
      </c>
      <c r="K474" s="30" t="n">
        <v>0.9895566543895754</v>
      </c>
      <c r="L474" s="30" t="n">
        <v>0.009798611400025654</v>
      </c>
      <c r="M474" s="30" t="n">
        <v>0.0006447342103988783</v>
      </c>
      <c r="N474" s="31">
        <f>ABS(E474-$F$6)</f>
        <v/>
      </c>
      <c r="O474" s="31">
        <f>ABS(E474-$F$7)</f>
        <v/>
      </c>
      <c r="P474" s="31">
        <f>ABS(E474-$F$8)</f>
        <v/>
      </c>
      <c r="Q474" s="14">
        <f>IF(K474&gt;=MAX(L474,M474), "Hemat", IF(L474&gt;=M474, "Balanced", "Premium"))</f>
        <v/>
      </c>
      <c r="R474" s="30" t="n">
        <v>0.9895566542341836</v>
      </c>
      <c r="S474" s="30" t="n">
        <v>0.00979861139170024</v>
      </c>
      <c r="T474" s="30" t="n">
        <v>0.00064473437411607</v>
      </c>
      <c r="U474" s="31">
        <f>ABS(E474-$G$6)</f>
        <v/>
      </c>
      <c r="V474" s="31">
        <f>ABS(E474-$G$7)</f>
        <v/>
      </c>
      <c r="W474" s="31">
        <f>ABS(E474-$G$8)</f>
        <v/>
      </c>
      <c r="X474" s="14">
        <f>IF(R474&gt;=MAX(S474,T474), "Hemat", IF(S474&gt;=T474, "Balanced", "Premium"))</f>
        <v/>
      </c>
    </row>
    <row r="475">
      <c r="A475" s="14" t="n">
        <v>477</v>
      </c>
      <c r="B475" s="7" t="inlineStr">
        <is>
          <t>Lapangan Rampal</t>
        </is>
      </c>
      <c r="C475" s="26" t="n">
        <v>-7.9737769</v>
      </c>
      <c r="D475" s="26" t="n">
        <v>112.6404197</v>
      </c>
      <c r="E475" s="21" t="n">
        <v>10000</v>
      </c>
      <c r="F475" s="27" t="n">
        <v>4.7</v>
      </c>
      <c r="G475" s="28" t="n">
        <v>9513</v>
      </c>
      <c r="H475" s="14" t="inlineStr">
        <is>
          <t>Wisata Umum</t>
        </is>
      </c>
      <c r="I475" s="29">
        <f>6371 * 2 * ASIN(SQRT(SIN(RADIANS((C475) - INDEX('Dataset_Wisata'!$C$12:$C$622, MATCH('Dashboard'!$C$9, 'Dataset_Wisata'!$A$12:$A$622, 0)))/2)^2 + COS(RADIANS(INDEX('Dataset_Wisata'!$C$12:$C$622, MATCH('Dashboard'!$C$9, 'Dataset_Wisata'!$A$12:$A$622, 0)))) * COS(RADIANS(C475)) * SIN(RADIANS((D475) - INDEX('Dataset_Wisata'!$D$12:$D$622, MATCH('Dashboard'!$C$9, 'Dataset_Wisata'!$A$12:$A$622, 0)))/2)^2)) * 1.3</f>
        <v/>
      </c>
      <c r="J475" s="21">
        <f>ROUND(I475 * IF('Dashboard'!$C$6&lt;=1, 2250, IF('Dashboard'!$C$6&lt;=4, 5150, 6000)), 0)</f>
        <v/>
      </c>
      <c r="K475" s="30" t="n">
        <v>0.9998126508185596</v>
      </c>
      <c r="L475" s="30" t="n">
        <v>0.0001775718391516968</v>
      </c>
      <c r="M475" s="30" t="n">
        <v>9.7773422886897e-06</v>
      </c>
      <c r="N475" s="31">
        <f>ABS(E475-$F$6)</f>
        <v/>
      </c>
      <c r="O475" s="31">
        <f>ABS(E475-$F$7)</f>
        <v/>
      </c>
      <c r="P475" s="31">
        <f>ABS(E475-$F$8)</f>
        <v/>
      </c>
      <c r="Q475" s="14">
        <f>IF(K475&gt;=MAX(L475,M475), "Hemat", IF(L475&gt;=M475, "Balanced", "Premium"))</f>
        <v/>
      </c>
      <c r="R475" s="30" t="n">
        <v>0.9998126513362043</v>
      </c>
      <c r="S475" s="30" t="n">
        <v>0.0001775713458315561</v>
      </c>
      <c r="T475" s="30" t="n">
        <v>9.777317964159987e-06</v>
      </c>
      <c r="U475" s="31">
        <f>ABS(E475-$G$6)</f>
        <v/>
      </c>
      <c r="V475" s="31">
        <f>ABS(E475-$G$7)</f>
        <v/>
      </c>
      <c r="W475" s="31">
        <f>ABS(E475-$G$8)</f>
        <v/>
      </c>
      <c r="X475" s="14">
        <f>IF(R475&gt;=MAX(S475,T475), "Hemat", IF(S475&gt;=T475, "Balanced", "Premium"))</f>
        <v/>
      </c>
    </row>
    <row r="476">
      <c r="A476" s="14" t="n">
        <v>478</v>
      </c>
      <c r="B476" s="7" t="inlineStr">
        <is>
          <t>Taman Pandanwangi</t>
        </is>
      </c>
      <c r="C476" s="26" t="n">
        <v>-7.9499388</v>
      </c>
      <c r="D476" s="26" t="n">
        <v>112.6642176</v>
      </c>
      <c r="E476" s="21" t="n">
        <v>30000</v>
      </c>
      <c r="F476" s="27" t="n">
        <v>4</v>
      </c>
      <c r="G476" s="28" t="n">
        <v>411</v>
      </c>
      <c r="H476" s="14" t="inlineStr">
        <is>
          <t>Taman Pandanwangi</t>
        </is>
      </c>
      <c r="I476" s="29">
        <f>6371 * 2 * ASIN(SQRT(SIN(RADIANS((C476) - INDEX('Dataset_Wisata'!$C$12:$C$622, MATCH('Dashboard'!$C$9, 'Dataset_Wisata'!$A$12:$A$622, 0)))/2)^2 + COS(RADIANS(INDEX('Dataset_Wisata'!$C$12:$C$622, MATCH('Dashboard'!$C$9, 'Dataset_Wisata'!$A$12:$A$622, 0)))) * COS(RADIANS(C476)) * SIN(RADIANS((D476) - INDEX('Dataset_Wisata'!$D$12:$D$622, MATCH('Dashboard'!$C$9, 'Dataset_Wisata'!$A$12:$A$622, 0)))/2)^2)) * 1.3</f>
        <v/>
      </c>
      <c r="J476" s="21">
        <f>ROUND(I476 * IF('Dashboard'!$C$6&lt;=1, 2250, IF('Dashboard'!$C$6&lt;=4, 5150, 6000)), 0)</f>
        <v/>
      </c>
      <c r="K476" s="30" t="n">
        <v>0.4800921289599558</v>
      </c>
      <c r="L476" s="30" t="n">
        <v>0.5109191138653489</v>
      </c>
      <c r="M476" s="30" t="n">
        <v>0.008988757174695291</v>
      </c>
      <c r="N476" s="31">
        <f>ABS(E476-$F$6)</f>
        <v/>
      </c>
      <c r="O476" s="31">
        <f>ABS(E476-$F$7)</f>
        <v/>
      </c>
      <c r="P476" s="31">
        <f>ABS(E476-$F$8)</f>
        <v/>
      </c>
      <c r="Q476" s="14">
        <f>IF(K476&gt;=MAX(L476,M476), "Hemat", IF(L476&gt;=M476, "Balanced", "Premium"))</f>
        <v/>
      </c>
      <c r="R476" s="30" t="n">
        <v>0.4800923067166307</v>
      </c>
      <c r="S476" s="30" t="n">
        <v>0.5109189337438159</v>
      </c>
      <c r="T476" s="30" t="n">
        <v>0.008988759539553422</v>
      </c>
      <c r="U476" s="31">
        <f>ABS(E476-$G$6)</f>
        <v/>
      </c>
      <c r="V476" s="31">
        <f>ABS(E476-$G$7)</f>
        <v/>
      </c>
      <c r="W476" s="31">
        <f>ABS(E476-$G$8)</f>
        <v/>
      </c>
      <c r="X476" s="14">
        <f>IF(R476&gt;=MAX(S476,T476), "Hemat", IF(S476&gt;=T476, "Balanced", "Premium"))</f>
        <v/>
      </c>
    </row>
    <row r="477">
      <c r="A477" s="14" t="n">
        <v>479</v>
      </c>
      <c r="B477" s="7" t="inlineStr">
        <is>
          <t>Kebun Unna</t>
        </is>
      </c>
      <c r="C477" s="26" t="n">
        <v>-7.9538689</v>
      </c>
      <c r="D477" s="26" t="n">
        <v>112.6817166</v>
      </c>
      <c r="E477" s="21" t="n">
        <v>10000</v>
      </c>
      <c r="F477" s="27" t="n">
        <v>4.6</v>
      </c>
      <c r="G477" s="28" t="n">
        <v>84</v>
      </c>
      <c r="H477" s="14" t="inlineStr">
        <is>
          <t>Wisata Umum</t>
        </is>
      </c>
      <c r="I477" s="29">
        <f>6371 * 2 * ASIN(SQRT(SIN(RADIANS((C477) - INDEX('Dataset_Wisata'!$C$12:$C$622, MATCH('Dashboard'!$C$9, 'Dataset_Wisata'!$A$12:$A$622, 0)))/2)^2 + COS(RADIANS(INDEX('Dataset_Wisata'!$C$12:$C$622, MATCH('Dashboard'!$C$9, 'Dataset_Wisata'!$A$12:$A$622, 0)))) * COS(RADIANS(C477)) * SIN(RADIANS((D477) - INDEX('Dataset_Wisata'!$D$12:$D$622, MATCH('Dashboard'!$C$9, 'Dataset_Wisata'!$A$12:$A$622, 0)))/2)^2)) * 1.3</f>
        <v/>
      </c>
      <c r="J477" s="21">
        <f>ROUND(I477 * IF('Dashboard'!$C$6&lt;=1, 2250, IF('Dashboard'!$C$6&lt;=4, 5150, 6000)), 0)</f>
        <v/>
      </c>
      <c r="K477" s="30" t="n">
        <v>0.9998126508185596</v>
      </c>
      <c r="L477" s="30" t="n">
        <v>0.0001775718391516968</v>
      </c>
      <c r="M477" s="30" t="n">
        <v>9.7773422886897e-06</v>
      </c>
      <c r="N477" s="31">
        <f>ABS(E477-$F$6)</f>
        <v/>
      </c>
      <c r="O477" s="31">
        <f>ABS(E477-$F$7)</f>
        <v/>
      </c>
      <c r="P477" s="31">
        <f>ABS(E477-$F$8)</f>
        <v/>
      </c>
      <c r="Q477" s="14">
        <f>IF(K477&gt;=MAX(L477,M477), "Hemat", IF(L477&gt;=M477, "Balanced", "Premium"))</f>
        <v/>
      </c>
      <c r="R477" s="30" t="n">
        <v>0.9998126513362043</v>
      </c>
      <c r="S477" s="30" t="n">
        <v>0.0001775713458315561</v>
      </c>
      <c r="T477" s="30" t="n">
        <v>9.777317964159987e-06</v>
      </c>
      <c r="U477" s="31">
        <f>ABS(E477-$G$6)</f>
        <v/>
      </c>
      <c r="V477" s="31">
        <f>ABS(E477-$G$7)</f>
        <v/>
      </c>
      <c r="W477" s="31">
        <f>ABS(E477-$G$8)</f>
        <v/>
      </c>
      <c r="X477" s="14">
        <f>IF(R477&gt;=MAX(S477,T477), "Hemat", IF(S477&gt;=T477, "Balanced", "Premium"))</f>
        <v/>
      </c>
    </row>
    <row r="478">
      <c r="A478" s="14" t="n">
        <v>481</v>
      </c>
      <c r="B478" s="7" t="inlineStr">
        <is>
          <t>Pemandian Belakang Wendit Wakaf</t>
        </is>
      </c>
      <c r="C478" s="26" t="n">
        <v>-7.9553541</v>
      </c>
      <c r="D478" s="26" t="n">
        <v>112.6741869</v>
      </c>
      <c r="E478" s="21" t="n">
        <v>10500</v>
      </c>
      <c r="F478" s="27" t="n">
        <v>4.4</v>
      </c>
      <c r="G478" s="28" t="n">
        <v>799</v>
      </c>
      <c r="H478" s="14" t="inlineStr">
        <is>
          <t>Wisata Umum</t>
        </is>
      </c>
      <c r="I478" s="29">
        <f>6371 * 2 * ASIN(SQRT(SIN(RADIANS((C478) - INDEX('Dataset_Wisata'!$C$12:$C$622, MATCH('Dashboard'!$C$9, 'Dataset_Wisata'!$A$12:$A$622, 0)))/2)^2 + COS(RADIANS(INDEX('Dataset_Wisata'!$C$12:$C$622, MATCH('Dashboard'!$C$9, 'Dataset_Wisata'!$A$12:$A$622, 0)))) * COS(RADIANS(C478)) * SIN(RADIANS((D478) - INDEX('Dataset_Wisata'!$D$12:$D$622, MATCH('Dashboard'!$C$9, 'Dataset_Wisata'!$A$12:$A$622, 0)))/2)^2)) * 1.3</f>
        <v/>
      </c>
      <c r="J478" s="21">
        <f>ROUND(I478 * IF('Dashboard'!$C$6&lt;=1, 2250, IF('Dashboard'!$C$6&lt;=4, 5150, 6000)), 0)</f>
        <v/>
      </c>
      <c r="K478" s="30" t="n">
        <v>0.9992778130390464</v>
      </c>
      <c r="L478" s="30" t="n">
        <v>0.0006851821779944199</v>
      </c>
      <c r="M478" s="30" t="n">
        <v>3.700478295920698e-05</v>
      </c>
      <c r="N478" s="31">
        <f>ABS(E478-$F$6)</f>
        <v/>
      </c>
      <c r="O478" s="31">
        <f>ABS(E478-$F$7)</f>
        <v/>
      </c>
      <c r="P478" s="31">
        <f>ABS(E478-$F$8)</f>
        <v/>
      </c>
      <c r="Q478" s="14">
        <f>IF(K478&gt;=MAX(L478,M478), "Hemat", IF(L478&gt;=M478, "Balanced", "Premium"))</f>
        <v/>
      </c>
      <c r="R478" s="30" t="n">
        <v>0.9992778141796984</v>
      </c>
      <c r="S478" s="30" t="n">
        <v>0.0006851810854547244</v>
      </c>
      <c r="T478" s="30" t="n">
        <v>3.70047348467947e-05</v>
      </c>
      <c r="U478" s="31">
        <f>ABS(E478-$G$6)</f>
        <v/>
      </c>
      <c r="V478" s="31">
        <f>ABS(E478-$G$7)</f>
        <v/>
      </c>
      <c r="W478" s="31">
        <f>ABS(E478-$G$8)</f>
        <v/>
      </c>
      <c r="X478" s="14">
        <f>IF(R478&gt;=MAX(S478,T478), "Hemat", IF(S478&gt;=T478, "Balanced", "Premium"))</f>
        <v/>
      </c>
    </row>
    <row r="479">
      <c r="A479" s="14" t="n">
        <v>482</v>
      </c>
      <c r="B479" s="7" t="inlineStr">
        <is>
          <t>Kolam Pemancingan &amp; Lesehan Beran Sundeng</t>
        </is>
      </c>
      <c r="C479" s="26" t="n">
        <v>-7.9706652</v>
      </c>
      <c r="D479" s="26" t="n">
        <v>112.6559987</v>
      </c>
      <c r="E479" s="21" t="n">
        <v>50000</v>
      </c>
      <c r="F479" s="27" t="n">
        <v>4.5</v>
      </c>
      <c r="G479" s="28" t="n">
        <v>689</v>
      </c>
      <c r="H479" s="14" t="inlineStr">
        <is>
          <t>Wisata Umum</t>
        </is>
      </c>
      <c r="I479" s="29">
        <f>6371 * 2 * ASIN(SQRT(SIN(RADIANS((C479) - INDEX('Dataset_Wisata'!$C$12:$C$622, MATCH('Dashboard'!$C$9, 'Dataset_Wisata'!$A$12:$A$622, 0)))/2)^2 + COS(RADIANS(INDEX('Dataset_Wisata'!$C$12:$C$622, MATCH('Dashboard'!$C$9, 'Dataset_Wisata'!$A$12:$A$622, 0)))) * COS(RADIANS(C479)) * SIN(RADIANS((D479) - INDEX('Dataset_Wisata'!$D$12:$D$622, MATCH('Dashboard'!$C$9, 'Dataset_Wisata'!$A$12:$A$622, 0)))/2)^2)) * 1.3</f>
        <v/>
      </c>
      <c r="J479" s="21">
        <f>ROUND(I479 * IF('Dashboard'!$C$6&lt;=1, 2250, IF('Dashboard'!$C$6&lt;=4, 5150, 6000)), 0)</f>
        <v/>
      </c>
      <c r="K479" s="30" t="n">
        <v>5.758531237204236e-06</v>
      </c>
      <c r="L479" s="30" t="n">
        <v>0.9999936821294634</v>
      </c>
      <c r="M479" s="30" t="n">
        <v>5.593392994189334e-07</v>
      </c>
      <c r="N479" s="31">
        <f>ABS(E479-$F$6)</f>
        <v/>
      </c>
      <c r="O479" s="31">
        <f>ABS(E479-$F$7)</f>
        <v/>
      </c>
      <c r="P479" s="31">
        <f>ABS(E479-$F$8)</f>
        <v/>
      </c>
      <c r="Q479" s="14">
        <f>IF(K479&gt;=MAX(L479,M479), "Hemat", IF(L479&gt;=M479, "Balanced", "Premium"))</f>
        <v/>
      </c>
      <c r="R479" s="30" t="n">
        <v>5.757754513908737e-06</v>
      </c>
      <c r="S479" s="30" t="n">
        <v>0.9999936829816778</v>
      </c>
      <c r="T479" s="30" t="n">
        <v>5.592638083270285e-07</v>
      </c>
      <c r="U479" s="31">
        <f>ABS(E479-$G$6)</f>
        <v/>
      </c>
      <c r="V479" s="31">
        <f>ABS(E479-$G$7)</f>
        <v/>
      </c>
      <c r="W479" s="31">
        <f>ABS(E479-$G$8)</f>
        <v/>
      </c>
      <c r="X479" s="14">
        <f>IF(R479&gt;=MAX(S479,T479), "Hemat", IF(S479&gt;=T479, "Balanced", "Premium"))</f>
        <v/>
      </c>
    </row>
    <row r="480">
      <c r="A480" s="14" t="n">
        <v>483</v>
      </c>
      <c r="B480" s="7" t="inlineStr">
        <is>
          <t>Sumber Kletak</t>
        </is>
      </c>
      <c r="C480" s="26" t="n">
        <v>-7.9781609</v>
      </c>
      <c r="D480" s="26" t="n">
        <v>112.7207988</v>
      </c>
      <c r="E480" s="21" t="n">
        <v>2000</v>
      </c>
      <c r="F480" s="27" t="n">
        <v>4.3</v>
      </c>
      <c r="G480" s="28" t="n">
        <v>77</v>
      </c>
      <c r="H480" s="14" t="inlineStr">
        <is>
          <t>Wisata Umum</t>
        </is>
      </c>
      <c r="I480" s="29">
        <f>6371 * 2 * ASIN(SQRT(SIN(RADIANS((C480) - INDEX('Dataset_Wisata'!$C$12:$C$622, MATCH('Dashboard'!$C$9, 'Dataset_Wisata'!$A$12:$A$622, 0)))/2)^2 + COS(RADIANS(INDEX('Dataset_Wisata'!$C$12:$C$622, MATCH('Dashboard'!$C$9, 'Dataset_Wisata'!$A$12:$A$622, 0)))) * COS(RADIANS(C480)) * SIN(RADIANS((D480) - INDEX('Dataset_Wisata'!$D$12:$D$622, MATCH('Dashboard'!$C$9, 'Dataset_Wisata'!$A$12:$A$622, 0)))/2)^2)) * 1.3</f>
        <v/>
      </c>
      <c r="J480" s="21">
        <f>ROUND(I480 * IF('Dashboard'!$C$6&lt;=1, 2250, IF('Dashboard'!$C$6&lt;=4, 5150, 6000)), 0)</f>
        <v/>
      </c>
      <c r="K480" s="30" t="n">
        <v>0.9745968037531486</v>
      </c>
      <c r="L480" s="30" t="n">
        <v>0.02368856650344644</v>
      </c>
      <c r="M480" s="30" t="n">
        <v>0.001714629743404906</v>
      </c>
      <c r="N480" s="31">
        <f>ABS(E480-$F$6)</f>
        <v/>
      </c>
      <c r="O480" s="31">
        <f>ABS(E480-$F$7)</f>
        <v/>
      </c>
      <c r="P480" s="31">
        <f>ABS(E480-$F$8)</f>
        <v/>
      </c>
      <c r="Q480" s="14">
        <f>IF(K480&gt;=MAX(L480,M480), "Hemat", IF(L480&gt;=M480, "Balanced", "Premium"))</f>
        <v/>
      </c>
      <c r="R480" s="30" t="n">
        <v>0.9745968058205632</v>
      </c>
      <c r="S480" s="30" t="n">
        <v>0.02368856419646389</v>
      </c>
      <c r="T480" s="30" t="n">
        <v>0.001714629982972894</v>
      </c>
      <c r="U480" s="31">
        <f>ABS(E480-$G$6)</f>
        <v/>
      </c>
      <c r="V480" s="31">
        <f>ABS(E480-$G$7)</f>
        <v/>
      </c>
      <c r="W480" s="31">
        <f>ABS(E480-$G$8)</f>
        <v/>
      </c>
      <c r="X480" s="14">
        <f>IF(R480&gt;=MAX(S480,T480), "Hemat", IF(S480&gt;=T480, "Balanced", "Premium"))</f>
        <v/>
      </c>
    </row>
    <row r="481">
      <c r="A481" s="14" t="n">
        <v>484</v>
      </c>
      <c r="B481" s="7" t="inlineStr">
        <is>
          <t>New Wisata Wendit by Nicole’s</t>
        </is>
      </c>
      <c r="C481" s="26" t="n">
        <v>-7.952657</v>
      </c>
      <c r="D481" s="26" t="n">
        <v>112.674464</v>
      </c>
      <c r="E481" s="21" t="n">
        <v>40000</v>
      </c>
      <c r="F481" s="27" t="n">
        <v>3.9</v>
      </c>
      <c r="G481" s="28" t="n">
        <v>107</v>
      </c>
      <c r="H481" s="14" t="inlineStr">
        <is>
          <t>New Wisata Wendit by Nicole’s</t>
        </is>
      </c>
      <c r="I481" s="29">
        <f>6371 * 2 * ASIN(SQRT(SIN(RADIANS((C481) - INDEX('Dataset_Wisata'!$C$12:$C$622, MATCH('Dashboard'!$C$9, 'Dataset_Wisata'!$A$12:$A$622, 0)))/2)^2 + COS(RADIANS(INDEX('Dataset_Wisata'!$C$12:$C$622, MATCH('Dashboard'!$C$9, 'Dataset_Wisata'!$A$12:$A$622, 0)))) * COS(RADIANS(C481)) * SIN(RADIANS((D481) - INDEX('Dataset_Wisata'!$D$12:$D$622, MATCH('Dashboard'!$C$9, 'Dataset_Wisata'!$A$12:$A$622, 0)))/2)^2)) * 1.3</f>
        <v/>
      </c>
      <c r="J481" s="21">
        <f>ROUND(I481 * IF('Dashboard'!$C$6&lt;=1, 2250, IF('Dashboard'!$C$6&lt;=4, 5150, 6000)), 0)</f>
        <v/>
      </c>
      <c r="K481" s="30" t="n">
        <v>0.09475584772458329</v>
      </c>
      <c r="L481" s="30" t="n">
        <v>0.9007407836685044</v>
      </c>
      <c r="M481" s="30" t="n">
        <v>0.004503368606912272</v>
      </c>
      <c r="N481" s="31">
        <f>ABS(E481-$F$6)</f>
        <v/>
      </c>
      <c r="O481" s="31">
        <f>ABS(E481-$F$7)</f>
        <v/>
      </c>
      <c r="P481" s="31">
        <f>ABS(E481-$F$8)</f>
        <v/>
      </c>
      <c r="Q481" s="14">
        <f>IF(K481&gt;=MAX(L481,M481), "Hemat", IF(L481&gt;=M481, "Balanced", "Premium"))</f>
        <v/>
      </c>
      <c r="R481" s="30" t="n">
        <v>0.09475596450885283</v>
      </c>
      <c r="S481" s="30" t="n">
        <v>0.9007406617370142</v>
      </c>
      <c r="T481" s="30" t="n">
        <v>0.004503373754133038</v>
      </c>
      <c r="U481" s="31">
        <f>ABS(E481-$G$6)</f>
        <v/>
      </c>
      <c r="V481" s="31">
        <f>ABS(E481-$G$7)</f>
        <v/>
      </c>
      <c r="W481" s="31">
        <f>ABS(E481-$G$8)</f>
        <v/>
      </c>
      <c r="X481" s="14">
        <f>IF(R481&gt;=MAX(S481,T481), "Hemat", IF(S481&gt;=T481, "Balanced", "Premium"))</f>
        <v/>
      </c>
    </row>
    <row r="482">
      <c r="A482" s="14" t="n">
        <v>485</v>
      </c>
      <c r="B482" s="7" t="inlineStr">
        <is>
          <t>Wahana wisata Pinus alas Bagor</t>
        </is>
      </c>
      <c r="C482" s="26" t="n">
        <v>-7.9160788</v>
      </c>
      <c r="D482" s="26" t="n">
        <v>112.7237157</v>
      </c>
      <c r="E482" s="21" t="n">
        <v>10000</v>
      </c>
      <c r="F482" s="27" t="n">
        <v>4.5</v>
      </c>
      <c r="G482" s="28" t="n">
        <v>25</v>
      </c>
      <c r="H482" s="14" t="inlineStr">
        <is>
          <t>Wahana wisata Pinus alas Bagor</t>
        </is>
      </c>
      <c r="I482" s="29">
        <f>6371 * 2 * ASIN(SQRT(SIN(RADIANS((C482) - INDEX('Dataset_Wisata'!$C$12:$C$622, MATCH('Dashboard'!$C$9, 'Dataset_Wisata'!$A$12:$A$622, 0)))/2)^2 + COS(RADIANS(INDEX('Dataset_Wisata'!$C$12:$C$622, MATCH('Dashboard'!$C$9, 'Dataset_Wisata'!$A$12:$A$622, 0)))) * COS(RADIANS(C482)) * SIN(RADIANS((D482) - INDEX('Dataset_Wisata'!$D$12:$D$622, MATCH('Dashboard'!$C$9, 'Dataset_Wisata'!$A$12:$A$622, 0)))/2)^2)) * 1.3</f>
        <v/>
      </c>
      <c r="J482" s="21">
        <f>ROUND(I482 * IF('Dashboard'!$C$6&lt;=1, 2250, IF('Dashboard'!$C$6&lt;=4, 5150, 6000)), 0)</f>
        <v/>
      </c>
      <c r="K482" s="30" t="n">
        <v>0.9998126508185596</v>
      </c>
      <c r="L482" s="30" t="n">
        <v>0.0001775718391516968</v>
      </c>
      <c r="M482" s="30" t="n">
        <v>9.7773422886897e-06</v>
      </c>
      <c r="N482" s="31">
        <f>ABS(E482-$F$6)</f>
        <v/>
      </c>
      <c r="O482" s="31">
        <f>ABS(E482-$F$7)</f>
        <v/>
      </c>
      <c r="P482" s="31">
        <f>ABS(E482-$F$8)</f>
        <v/>
      </c>
      <c r="Q482" s="14">
        <f>IF(K482&gt;=MAX(L482,M482), "Hemat", IF(L482&gt;=M482, "Balanced", "Premium"))</f>
        <v/>
      </c>
      <c r="R482" s="30" t="n">
        <v>0.9998126513362043</v>
      </c>
      <c r="S482" s="30" t="n">
        <v>0.0001775713458315561</v>
      </c>
      <c r="T482" s="30" t="n">
        <v>9.777317964159987e-06</v>
      </c>
      <c r="U482" s="31">
        <f>ABS(E482-$G$6)</f>
        <v/>
      </c>
      <c r="V482" s="31">
        <f>ABS(E482-$G$7)</f>
        <v/>
      </c>
      <c r="W482" s="31">
        <f>ABS(E482-$G$8)</f>
        <v/>
      </c>
      <c r="X482" s="14">
        <f>IF(R482&gt;=MAX(S482,T482), "Hemat", IF(S482&gt;=T482, "Balanced", "Premium"))</f>
        <v/>
      </c>
    </row>
    <row r="483">
      <c r="A483" s="14" t="n">
        <v>486</v>
      </c>
      <c r="B483" s="7" t="inlineStr">
        <is>
          <t>Taman Bentoel Trunojoyo Selatan</t>
        </is>
      </c>
      <c r="C483" s="26" t="n">
        <v>-7.9778459</v>
      </c>
      <c r="D483" s="26" t="n">
        <v>112.6365952</v>
      </c>
      <c r="E483" s="21" t="n">
        <v>55000</v>
      </c>
      <c r="F483" s="27" t="n">
        <v>4.2</v>
      </c>
      <c r="G483" s="28" t="n">
        <v>128</v>
      </c>
      <c r="H483" s="14" t="inlineStr">
        <is>
          <t>Taman Bentoel Trunojoyo Selatan</t>
        </is>
      </c>
      <c r="I483" s="29">
        <f>6371 * 2 * ASIN(SQRT(SIN(RADIANS((C483) - INDEX('Dataset_Wisata'!$C$12:$C$622, MATCH('Dashboard'!$C$9, 'Dataset_Wisata'!$A$12:$A$622, 0)))/2)^2 + COS(RADIANS(INDEX('Dataset_Wisata'!$C$12:$C$622, MATCH('Dashboard'!$C$9, 'Dataset_Wisata'!$A$12:$A$622, 0)))) * COS(RADIANS(C483)) * SIN(RADIANS((D483) - INDEX('Dataset_Wisata'!$D$12:$D$622, MATCH('Dashboard'!$C$9, 'Dataset_Wisata'!$A$12:$A$622, 0)))/2)^2)) * 1.3</f>
        <v/>
      </c>
      <c r="J483" s="21">
        <f>ROUND(I483 * IF('Dashboard'!$C$6&lt;=1, 2250, IF('Dashboard'!$C$6&lt;=4, 5150, 6000)), 0)</f>
        <v/>
      </c>
      <c r="K483" s="30" t="n">
        <v>0.0123573098689091</v>
      </c>
      <c r="L483" s="30" t="n">
        <v>0.9860044464772632</v>
      </c>
      <c r="M483" s="30" t="n">
        <v>0.001638243653827773</v>
      </c>
      <c r="N483" s="31">
        <f>ABS(E483-$F$6)</f>
        <v/>
      </c>
      <c r="O483" s="31">
        <f>ABS(E483-$F$7)</f>
        <v/>
      </c>
      <c r="P483" s="31">
        <f>ABS(E483-$F$8)</f>
        <v/>
      </c>
      <c r="Q483" s="14">
        <f>IF(K483&gt;=MAX(L483,M483), "Hemat", IF(L483&gt;=M483, "Balanced", "Premium"))</f>
        <v/>
      </c>
      <c r="R483" s="30" t="n">
        <v>0.01235727885066573</v>
      </c>
      <c r="S483" s="30" t="n">
        <v>0.9860044817404879</v>
      </c>
      <c r="T483" s="30" t="n">
        <v>0.001638239408846458</v>
      </c>
      <c r="U483" s="31">
        <f>ABS(E483-$G$6)</f>
        <v/>
      </c>
      <c r="V483" s="31">
        <f>ABS(E483-$G$7)</f>
        <v/>
      </c>
      <c r="W483" s="31">
        <f>ABS(E483-$G$8)</f>
        <v/>
      </c>
      <c r="X483" s="14">
        <f>IF(R483&gt;=MAX(S483,T483), "Hemat", IF(S483&gt;=T483, "Balanced", "Premium"))</f>
        <v/>
      </c>
    </row>
    <row r="484">
      <c r="A484" s="14" t="n">
        <v>487</v>
      </c>
      <c r="B484" s="7" t="inlineStr">
        <is>
          <t>Taman Nongkrong Lihat Kereta Api</t>
        </is>
      </c>
      <c r="C484" s="26" t="n">
        <v>-7.9734326</v>
      </c>
      <c r="D484" s="26" t="n">
        <v>112.6371447</v>
      </c>
      <c r="E484" s="21" t="n">
        <v>7000</v>
      </c>
      <c r="F484" s="27" t="n">
        <v>4.3</v>
      </c>
      <c r="G484" s="28" t="n">
        <v>31</v>
      </c>
      <c r="H484" s="14" t="inlineStr">
        <is>
          <t>Taman Nongkrong Lihat Kereta Api</t>
        </is>
      </c>
      <c r="I484" s="29">
        <f>6371 * 2 * ASIN(SQRT(SIN(RADIANS((C484) - INDEX('Dataset_Wisata'!$C$12:$C$622, MATCH('Dashboard'!$C$9, 'Dataset_Wisata'!$A$12:$A$622, 0)))/2)^2 + COS(RADIANS(INDEX('Dataset_Wisata'!$C$12:$C$622, MATCH('Dashboard'!$C$9, 'Dataset_Wisata'!$A$12:$A$622, 0)))) * COS(RADIANS(C484)) * SIN(RADIANS((D484) - INDEX('Dataset_Wisata'!$D$12:$D$622, MATCH('Dashboard'!$C$9, 'Dataset_Wisata'!$A$12:$A$622, 0)))/2)^2)) * 1.3</f>
        <v/>
      </c>
      <c r="J484" s="21">
        <f>ROUND(I484 * IF('Dashboard'!$C$6&lt;=1, 2250, IF('Dashboard'!$C$6&lt;=4, 5150, 6000)), 0)</f>
        <v/>
      </c>
      <c r="K484" s="30" t="n">
        <v>0.9964990922780733</v>
      </c>
      <c r="L484" s="30" t="n">
        <v>0.003298187596112103</v>
      </c>
      <c r="M484" s="30" t="n">
        <v>0.0002027201258145054</v>
      </c>
      <c r="N484" s="31">
        <f>ABS(E484-$F$6)</f>
        <v/>
      </c>
      <c r="O484" s="31">
        <f>ABS(E484-$F$7)</f>
        <v/>
      </c>
      <c r="P484" s="31">
        <f>ABS(E484-$F$8)</f>
        <v/>
      </c>
      <c r="Q484" s="14">
        <f>IF(K484&gt;=MAX(L484,M484), "Hemat", IF(L484&gt;=M484, "Balanced", "Premium"))</f>
        <v/>
      </c>
      <c r="R484" s="30" t="n">
        <v>0.9964990914496938</v>
      </c>
      <c r="S484" s="30" t="n">
        <v>0.003298188325346893</v>
      </c>
      <c r="T484" s="30" t="n">
        <v>0.000202720224959229</v>
      </c>
      <c r="U484" s="31">
        <f>ABS(E484-$G$6)</f>
        <v/>
      </c>
      <c r="V484" s="31">
        <f>ABS(E484-$G$7)</f>
        <v/>
      </c>
      <c r="W484" s="31">
        <f>ABS(E484-$G$8)</f>
        <v/>
      </c>
      <c r="X484" s="14">
        <f>IF(R484&gt;=MAX(S484,T484), "Hemat", IF(S484&gt;=T484, "Balanced", "Premium"))</f>
        <v/>
      </c>
    </row>
    <row r="485">
      <c r="A485" s="14" t="n">
        <v>488</v>
      </c>
      <c r="B485" s="7" t="inlineStr">
        <is>
          <t>Taman Indragiri Malang</t>
        </is>
      </c>
      <c r="C485" s="26" t="n">
        <v>-7.9580063</v>
      </c>
      <c r="D485" s="26" t="n">
        <v>112.6418657</v>
      </c>
      <c r="E485" s="21" t="n">
        <v>80000</v>
      </c>
      <c r="F485" s="27" t="n">
        <v>4.5</v>
      </c>
      <c r="G485" s="28" t="n">
        <v>93</v>
      </c>
      <c r="H485" s="14" t="inlineStr">
        <is>
          <t>Taman Indragiri Malang</t>
        </is>
      </c>
      <c r="I485" s="29">
        <f>6371 * 2 * ASIN(SQRT(SIN(RADIANS((C485) - INDEX('Dataset_Wisata'!$C$12:$C$622, MATCH('Dashboard'!$C$9, 'Dataset_Wisata'!$A$12:$A$622, 0)))/2)^2 + COS(RADIANS(INDEX('Dataset_Wisata'!$C$12:$C$622, MATCH('Dashboard'!$C$9, 'Dataset_Wisata'!$A$12:$A$622, 0)))) * COS(RADIANS(C485)) * SIN(RADIANS((D485) - INDEX('Dataset_Wisata'!$D$12:$D$622, MATCH('Dashboard'!$C$9, 'Dataset_Wisata'!$A$12:$A$622, 0)))/2)^2)) * 1.3</f>
        <v/>
      </c>
      <c r="J485" s="21">
        <f>ROUND(I485 * IF('Dashboard'!$C$6&lt;=1, 2250, IF('Dashboard'!$C$6&lt;=4, 5150, 6000)), 0)</f>
        <v/>
      </c>
      <c r="K485" s="30" t="n">
        <v>0.1430865474963159</v>
      </c>
      <c r="L485" s="30" t="n">
        <v>0.7858043502957426</v>
      </c>
      <c r="M485" s="30" t="n">
        <v>0.0711091022079416</v>
      </c>
      <c r="N485" s="31">
        <f>ABS(E485-$F$6)</f>
        <v/>
      </c>
      <c r="O485" s="31">
        <f>ABS(E485-$F$7)</f>
        <v/>
      </c>
      <c r="P485" s="31">
        <f>ABS(E485-$F$8)</f>
        <v/>
      </c>
      <c r="Q485" s="14">
        <f>IF(K485&gt;=MAX(L485,M485), "Hemat", IF(L485&gt;=M485, "Balanced", "Premium"))</f>
        <v/>
      </c>
      <c r="R485" s="30" t="n">
        <v>0.1430865014034206</v>
      </c>
      <c r="S485" s="30" t="n">
        <v>0.7858044252705766</v>
      </c>
      <c r="T485" s="30" t="n">
        <v>0.07110907332600279</v>
      </c>
      <c r="U485" s="31">
        <f>ABS(E485-$G$6)</f>
        <v/>
      </c>
      <c r="V485" s="31">
        <f>ABS(E485-$G$7)</f>
        <v/>
      </c>
      <c r="W485" s="31">
        <f>ABS(E485-$G$8)</f>
        <v/>
      </c>
      <c r="X485" s="14">
        <f>IF(R485&gt;=MAX(S485,T485), "Hemat", IF(S485&gt;=T485, "Balanced", "Premium"))</f>
        <v/>
      </c>
    </row>
    <row r="486">
      <c r="A486" s="14" t="n">
        <v>489</v>
      </c>
      <c r="B486" s="7" t="inlineStr">
        <is>
          <t>Forrest, Lodge, Pawon Ratu Roso &amp; Wisata Berkuda</t>
        </is>
      </c>
      <c r="C486" s="26" t="n">
        <v>-7.9268135</v>
      </c>
      <c r="D486" s="26" t="n">
        <v>112.6828989</v>
      </c>
      <c r="E486" s="21" t="n">
        <v>30000</v>
      </c>
      <c r="F486" s="27" t="n">
        <v>4.8</v>
      </c>
      <c r="G486" s="28" t="n">
        <v>184</v>
      </c>
      <c r="H486" s="14" t="inlineStr">
        <is>
          <t>Tujuan Wisata</t>
        </is>
      </c>
      <c r="I486" s="29">
        <f>6371 * 2 * ASIN(SQRT(SIN(RADIANS((C486) - INDEX('Dataset_Wisata'!$C$12:$C$622, MATCH('Dashboard'!$C$9, 'Dataset_Wisata'!$A$12:$A$622, 0)))/2)^2 + COS(RADIANS(INDEX('Dataset_Wisata'!$C$12:$C$622, MATCH('Dashboard'!$C$9, 'Dataset_Wisata'!$A$12:$A$622, 0)))) * COS(RADIANS(C486)) * SIN(RADIANS((D486) - INDEX('Dataset_Wisata'!$D$12:$D$622, MATCH('Dashboard'!$C$9, 'Dataset_Wisata'!$A$12:$A$622, 0)))/2)^2)) * 1.3</f>
        <v/>
      </c>
      <c r="J486" s="21">
        <f>ROUND(I486 * IF('Dashboard'!$C$6&lt;=1, 2250, IF('Dashboard'!$C$6&lt;=4, 5150, 6000)), 0)</f>
        <v/>
      </c>
      <c r="K486" s="30" t="n">
        <v>0.4800921289599558</v>
      </c>
      <c r="L486" s="30" t="n">
        <v>0.5109191138653489</v>
      </c>
      <c r="M486" s="30" t="n">
        <v>0.008988757174695291</v>
      </c>
      <c r="N486" s="31">
        <f>ABS(E486-$F$6)</f>
        <v/>
      </c>
      <c r="O486" s="31">
        <f>ABS(E486-$F$7)</f>
        <v/>
      </c>
      <c r="P486" s="31">
        <f>ABS(E486-$F$8)</f>
        <v/>
      </c>
      <c r="Q486" s="14">
        <f>IF(K486&gt;=MAX(L486,M486), "Hemat", IF(L486&gt;=M486, "Balanced", "Premium"))</f>
        <v/>
      </c>
      <c r="R486" s="30" t="n">
        <v>0.4800923067166307</v>
      </c>
      <c r="S486" s="30" t="n">
        <v>0.5109189337438159</v>
      </c>
      <c r="T486" s="30" t="n">
        <v>0.008988759539553422</v>
      </c>
      <c r="U486" s="31">
        <f>ABS(E486-$G$6)</f>
        <v/>
      </c>
      <c r="V486" s="31">
        <f>ABS(E486-$G$7)</f>
        <v/>
      </c>
      <c r="W486" s="31">
        <f>ABS(E486-$G$8)</f>
        <v/>
      </c>
      <c r="X486" s="14">
        <f>IF(R486&gt;=MAX(S486,T486), "Hemat", IF(S486&gt;=T486, "Balanced", "Premium"))</f>
        <v/>
      </c>
    </row>
    <row r="487">
      <c r="A487" s="14" t="n">
        <v>490</v>
      </c>
      <c r="B487" s="7" t="inlineStr">
        <is>
          <t>Hutan Kota Polowijen</t>
        </is>
      </c>
      <c r="C487" s="26" t="n">
        <v>-7.9314654</v>
      </c>
      <c r="D487" s="26" t="n">
        <v>112.6479243</v>
      </c>
      <c r="E487" s="21" t="n">
        <v>15000</v>
      </c>
      <c r="F487" s="27" t="n">
        <v>4.4</v>
      </c>
      <c r="G487" s="28" t="n">
        <v>20</v>
      </c>
      <c r="H487" s="14" t="inlineStr">
        <is>
          <t>Wisata Umum</t>
        </is>
      </c>
      <c r="I487" s="29">
        <f>6371 * 2 * ASIN(SQRT(SIN(RADIANS((C487) - INDEX('Dataset_Wisata'!$C$12:$C$622, MATCH('Dashboard'!$C$9, 'Dataset_Wisata'!$A$12:$A$622, 0)))/2)^2 + COS(RADIANS(INDEX('Dataset_Wisata'!$C$12:$C$622, MATCH('Dashboard'!$C$9, 'Dataset_Wisata'!$A$12:$A$622, 0)))) * COS(RADIANS(C487)) * SIN(RADIANS((D487) - INDEX('Dataset_Wisata'!$D$12:$D$622, MATCH('Dashboard'!$C$9, 'Dataset_Wisata'!$A$12:$A$622, 0)))/2)^2)) * 1.3</f>
        <v/>
      </c>
      <c r="J487" s="21">
        <f>ROUND(I487 * IF('Dashboard'!$C$6&lt;=1, 2250, IF('Dashboard'!$C$6&lt;=4, 5150, 6000)), 0)</f>
        <v/>
      </c>
      <c r="K487" s="30" t="n">
        <v>0.9744283047002794</v>
      </c>
      <c r="L487" s="30" t="n">
        <v>0.02447712712252609</v>
      </c>
      <c r="M487" s="30" t="n">
        <v>0.001094568177194568</v>
      </c>
      <c r="N487" s="31">
        <f>ABS(E487-$F$6)</f>
        <v/>
      </c>
      <c r="O487" s="31">
        <f>ABS(E487-$F$7)</f>
        <v/>
      </c>
      <c r="P487" s="31">
        <f>ABS(E487-$F$8)</f>
        <v/>
      </c>
      <c r="Q487" s="14">
        <f>IF(K487&gt;=MAX(L487,M487), "Hemat", IF(L487&gt;=M487, "Balanced", "Premium"))</f>
        <v/>
      </c>
      <c r="R487" s="30" t="n">
        <v>0.9744283195785179</v>
      </c>
      <c r="S487" s="30" t="n">
        <v>0.02447711252884811</v>
      </c>
      <c r="T487" s="30" t="n">
        <v>0.001094567892634054</v>
      </c>
      <c r="U487" s="31">
        <f>ABS(E487-$G$6)</f>
        <v/>
      </c>
      <c r="V487" s="31">
        <f>ABS(E487-$G$7)</f>
        <v/>
      </c>
      <c r="W487" s="31">
        <f>ABS(E487-$G$8)</f>
        <v/>
      </c>
      <c r="X487" s="14">
        <f>IF(R487&gt;=MAX(S487,T487), "Hemat", IF(S487&gt;=T487, "Balanced", "Premium"))</f>
        <v/>
      </c>
    </row>
    <row r="488">
      <c r="A488" s="14" t="n">
        <v>491</v>
      </c>
      <c r="B488" s="7" t="inlineStr">
        <is>
          <t>Malang Train Station</t>
        </is>
      </c>
      <c r="C488" s="26" t="n">
        <v>-7.9772066</v>
      </c>
      <c r="D488" s="26" t="n">
        <v>112.6374352</v>
      </c>
      <c r="E488" s="21" t="n">
        <v>30000</v>
      </c>
      <c r="F488" s="27" t="n">
        <v>4.5</v>
      </c>
      <c r="G488" s="28" t="n">
        <v>164</v>
      </c>
      <c r="H488" s="14" t="inlineStr">
        <is>
          <t>Wisata Umum</t>
        </is>
      </c>
      <c r="I488" s="29">
        <f>6371 * 2 * ASIN(SQRT(SIN(RADIANS((C488) - INDEX('Dataset_Wisata'!$C$12:$C$622, MATCH('Dashboard'!$C$9, 'Dataset_Wisata'!$A$12:$A$622, 0)))/2)^2 + COS(RADIANS(INDEX('Dataset_Wisata'!$C$12:$C$622, MATCH('Dashboard'!$C$9, 'Dataset_Wisata'!$A$12:$A$622, 0)))) * COS(RADIANS(C488)) * SIN(RADIANS((D488) - INDEX('Dataset_Wisata'!$D$12:$D$622, MATCH('Dashboard'!$C$9, 'Dataset_Wisata'!$A$12:$A$622, 0)))/2)^2)) * 1.3</f>
        <v/>
      </c>
      <c r="J488" s="21">
        <f>ROUND(I488 * IF('Dashboard'!$C$6&lt;=1, 2250, IF('Dashboard'!$C$6&lt;=4, 5150, 6000)), 0)</f>
        <v/>
      </c>
      <c r="K488" s="30" t="n">
        <v>0.4800921289599558</v>
      </c>
      <c r="L488" s="30" t="n">
        <v>0.5109191138653489</v>
      </c>
      <c r="M488" s="30" t="n">
        <v>0.008988757174695291</v>
      </c>
      <c r="N488" s="31">
        <f>ABS(E488-$F$6)</f>
        <v/>
      </c>
      <c r="O488" s="31">
        <f>ABS(E488-$F$7)</f>
        <v/>
      </c>
      <c r="P488" s="31">
        <f>ABS(E488-$F$8)</f>
        <v/>
      </c>
      <c r="Q488" s="14">
        <f>IF(K488&gt;=MAX(L488,M488), "Hemat", IF(L488&gt;=M488, "Balanced", "Premium"))</f>
        <v/>
      </c>
      <c r="R488" s="30" t="n">
        <v>0.4800923067166307</v>
      </c>
      <c r="S488" s="30" t="n">
        <v>0.5109189337438159</v>
      </c>
      <c r="T488" s="30" t="n">
        <v>0.008988759539553422</v>
      </c>
      <c r="U488" s="31">
        <f>ABS(E488-$G$6)</f>
        <v/>
      </c>
      <c r="V488" s="31">
        <f>ABS(E488-$G$7)</f>
        <v/>
      </c>
      <c r="W488" s="31">
        <f>ABS(E488-$G$8)</f>
        <v/>
      </c>
      <c r="X488" s="14">
        <f>IF(R488&gt;=MAX(S488,T488), "Hemat", IF(S488&gt;=T488, "Balanced", "Premium"))</f>
        <v/>
      </c>
    </row>
    <row r="489">
      <c r="A489" s="14" t="n">
        <v>493</v>
      </c>
      <c r="B489" s="7" t="inlineStr">
        <is>
          <t>Kebun Murbei</t>
        </is>
      </c>
      <c r="C489" s="26" t="n">
        <v>-7.9306506</v>
      </c>
      <c r="D489" s="26" t="n">
        <v>112.6608826</v>
      </c>
      <c r="E489" s="21" t="n">
        <v>20000</v>
      </c>
      <c r="F489" s="27" t="n">
        <v>5</v>
      </c>
      <c r="G489" s="28" t="n">
        <v>34</v>
      </c>
      <c r="H489" s="14" t="inlineStr">
        <is>
          <t>Wisata Umum</t>
        </is>
      </c>
      <c r="I489" s="29">
        <f>6371 * 2 * ASIN(SQRT(SIN(RADIANS((C489) - INDEX('Dataset_Wisata'!$C$12:$C$622, MATCH('Dashboard'!$C$9, 'Dataset_Wisata'!$A$12:$A$622, 0)))/2)^2 + COS(RADIANS(INDEX('Dataset_Wisata'!$C$12:$C$622, MATCH('Dashboard'!$C$9, 'Dataset_Wisata'!$A$12:$A$622, 0)))) * COS(RADIANS(C489)) * SIN(RADIANS((D489) - INDEX('Dataset_Wisata'!$D$12:$D$622, MATCH('Dashboard'!$C$9, 'Dataset_Wisata'!$A$12:$A$622, 0)))/2)^2)) * 1.3</f>
        <v/>
      </c>
      <c r="J489" s="21">
        <f>ROUND(I489 * IF('Dashboard'!$C$6&lt;=1, 2250, IF('Dashboard'!$C$6&lt;=4, 5150, 6000)), 0)</f>
        <v/>
      </c>
      <c r="K489" s="30" t="n">
        <v>0.8862296979094436</v>
      </c>
      <c r="L489" s="30" t="n">
        <v>0.1099329410905347</v>
      </c>
      <c r="M489" s="30" t="n">
        <v>0.003837361000021699</v>
      </c>
      <c r="N489" s="31">
        <f>ABS(E489-$F$6)</f>
        <v/>
      </c>
      <c r="O489" s="31">
        <f>ABS(E489-$F$7)</f>
        <v/>
      </c>
      <c r="P489" s="31">
        <f>ABS(E489-$F$8)</f>
        <v/>
      </c>
      <c r="Q489" s="14">
        <f>IF(K489&gt;=MAX(L489,M489), "Hemat", IF(L489&gt;=M489, "Balanced", "Premium"))</f>
        <v/>
      </c>
      <c r="R489" s="30" t="n">
        <v>0.8862297532761809</v>
      </c>
      <c r="S489" s="30" t="n">
        <v>0.1099328861159962</v>
      </c>
      <c r="T489" s="30" t="n">
        <v>0.003837360607822898</v>
      </c>
      <c r="U489" s="31">
        <f>ABS(E489-$G$6)</f>
        <v/>
      </c>
      <c r="V489" s="31">
        <f>ABS(E489-$G$7)</f>
        <v/>
      </c>
      <c r="W489" s="31">
        <f>ABS(E489-$G$8)</f>
        <v/>
      </c>
      <c r="X489" s="14">
        <f>IF(R489&gt;=MAX(S489,T489), "Hemat", IF(S489&gt;=T489, "Balanced", "Premium"))</f>
        <v/>
      </c>
    </row>
    <row r="490">
      <c r="A490" s="14" t="n">
        <v>494</v>
      </c>
      <c r="B490" s="7" t="inlineStr">
        <is>
          <t>Taman Velodrome</t>
        </is>
      </c>
      <c r="C490" s="26" t="n">
        <v>-7.9737905</v>
      </c>
      <c r="D490" s="26" t="n">
        <v>112.6703675</v>
      </c>
      <c r="E490" s="21" t="n">
        <v>10000</v>
      </c>
      <c r="F490" s="27" t="n">
        <v>4.3</v>
      </c>
      <c r="G490" s="28" t="n">
        <v>248</v>
      </c>
      <c r="H490" s="14" t="inlineStr">
        <is>
          <t>Taman Velodrome</t>
        </is>
      </c>
      <c r="I490" s="29">
        <f>6371 * 2 * ASIN(SQRT(SIN(RADIANS((C490) - INDEX('Dataset_Wisata'!$C$12:$C$622, MATCH('Dashboard'!$C$9, 'Dataset_Wisata'!$A$12:$A$622, 0)))/2)^2 + COS(RADIANS(INDEX('Dataset_Wisata'!$C$12:$C$622, MATCH('Dashboard'!$C$9, 'Dataset_Wisata'!$A$12:$A$622, 0)))) * COS(RADIANS(C490)) * SIN(RADIANS((D490) - INDEX('Dataset_Wisata'!$D$12:$D$622, MATCH('Dashboard'!$C$9, 'Dataset_Wisata'!$A$12:$A$622, 0)))/2)^2)) * 1.3</f>
        <v/>
      </c>
      <c r="J490" s="21">
        <f>ROUND(I490 * IF('Dashboard'!$C$6&lt;=1, 2250, IF('Dashboard'!$C$6&lt;=4, 5150, 6000)), 0)</f>
        <v/>
      </c>
      <c r="K490" s="30" t="n">
        <v>0.9998126508185596</v>
      </c>
      <c r="L490" s="30" t="n">
        <v>0.0001775718391516968</v>
      </c>
      <c r="M490" s="30" t="n">
        <v>9.7773422886897e-06</v>
      </c>
      <c r="N490" s="31">
        <f>ABS(E490-$F$6)</f>
        <v/>
      </c>
      <c r="O490" s="31">
        <f>ABS(E490-$F$7)</f>
        <v/>
      </c>
      <c r="P490" s="31">
        <f>ABS(E490-$F$8)</f>
        <v/>
      </c>
      <c r="Q490" s="14">
        <f>IF(K490&gt;=MAX(L490,M490), "Hemat", IF(L490&gt;=M490, "Balanced", "Premium"))</f>
        <v/>
      </c>
      <c r="R490" s="30" t="n">
        <v>0.9998126513362043</v>
      </c>
      <c r="S490" s="30" t="n">
        <v>0.0001775713458315561</v>
      </c>
      <c r="T490" s="30" t="n">
        <v>9.777317964159987e-06</v>
      </c>
      <c r="U490" s="31">
        <f>ABS(E490-$G$6)</f>
        <v/>
      </c>
      <c r="V490" s="31">
        <f>ABS(E490-$G$7)</f>
        <v/>
      </c>
      <c r="W490" s="31">
        <f>ABS(E490-$G$8)</f>
        <v/>
      </c>
      <c r="X490" s="14">
        <f>IF(R490&gt;=MAX(S490,T490), "Hemat", IF(S490&gt;=T490, "Balanced", "Premium"))</f>
        <v/>
      </c>
    </row>
    <row r="491">
      <c r="A491" s="14" t="n">
        <v>495</v>
      </c>
      <c r="B491" s="7" t="inlineStr">
        <is>
          <t>Taman Cidurian</t>
        </is>
      </c>
      <c r="C491" s="26" t="n">
        <v>-7.9539081</v>
      </c>
      <c r="D491" s="26" t="n">
        <v>112.6416297</v>
      </c>
      <c r="E491" s="21" t="n">
        <v>15000</v>
      </c>
      <c r="F491" s="27" t="n">
        <v>4.4</v>
      </c>
      <c r="G491" s="28" t="n">
        <v>66</v>
      </c>
      <c r="H491" s="14" t="inlineStr">
        <is>
          <t>Taman Cidurian</t>
        </is>
      </c>
      <c r="I491" s="29">
        <f>6371 * 2 * ASIN(SQRT(SIN(RADIANS((C491) - INDEX('Dataset_Wisata'!$C$12:$C$622, MATCH('Dashboard'!$C$9, 'Dataset_Wisata'!$A$12:$A$622, 0)))/2)^2 + COS(RADIANS(INDEX('Dataset_Wisata'!$C$12:$C$622, MATCH('Dashboard'!$C$9, 'Dataset_Wisata'!$A$12:$A$622, 0)))) * COS(RADIANS(C491)) * SIN(RADIANS((D491) - INDEX('Dataset_Wisata'!$D$12:$D$622, MATCH('Dashboard'!$C$9, 'Dataset_Wisata'!$A$12:$A$622, 0)))/2)^2)) * 1.3</f>
        <v/>
      </c>
      <c r="J491" s="21">
        <f>ROUND(I491 * IF('Dashboard'!$C$6&lt;=1, 2250, IF('Dashboard'!$C$6&lt;=4, 5150, 6000)), 0)</f>
        <v/>
      </c>
      <c r="K491" s="30" t="n">
        <v>0.9744283047002794</v>
      </c>
      <c r="L491" s="30" t="n">
        <v>0.02447712712252609</v>
      </c>
      <c r="M491" s="30" t="n">
        <v>0.001094568177194568</v>
      </c>
      <c r="N491" s="31">
        <f>ABS(E491-$F$6)</f>
        <v/>
      </c>
      <c r="O491" s="31">
        <f>ABS(E491-$F$7)</f>
        <v/>
      </c>
      <c r="P491" s="31">
        <f>ABS(E491-$F$8)</f>
        <v/>
      </c>
      <c r="Q491" s="14">
        <f>IF(K491&gt;=MAX(L491,M491), "Hemat", IF(L491&gt;=M491, "Balanced", "Premium"))</f>
        <v/>
      </c>
      <c r="R491" s="30" t="n">
        <v>0.9744283195785179</v>
      </c>
      <c r="S491" s="30" t="n">
        <v>0.02447711252884811</v>
      </c>
      <c r="T491" s="30" t="n">
        <v>0.001094567892634054</v>
      </c>
      <c r="U491" s="31">
        <f>ABS(E491-$G$6)</f>
        <v/>
      </c>
      <c r="V491" s="31">
        <f>ABS(E491-$G$7)</f>
        <v/>
      </c>
      <c r="W491" s="31">
        <f>ABS(E491-$G$8)</f>
        <v/>
      </c>
      <c r="X491" s="14">
        <f>IF(R491&gt;=MAX(S491,T491), "Hemat", IF(S491&gt;=T491, "Balanced", "Premium"))</f>
        <v/>
      </c>
    </row>
    <row r="492">
      <c r="A492" s="14" t="n">
        <v>496</v>
      </c>
      <c r="B492" s="7" t="inlineStr">
        <is>
          <t>Lampion &amp; Dinosaurus Park</t>
        </is>
      </c>
      <c r="C492" s="26" t="n">
        <v>-7.9231312</v>
      </c>
      <c r="D492" s="26" t="n">
        <v>112.6569635</v>
      </c>
      <c r="E492" s="21" t="n">
        <v>90000</v>
      </c>
      <c r="F492" s="27" t="n">
        <v>4.1</v>
      </c>
      <c r="G492" s="28" t="n">
        <v>28</v>
      </c>
      <c r="H492" s="14" t="inlineStr">
        <is>
          <t>Wisata Umum</t>
        </is>
      </c>
      <c r="I492" s="29">
        <f>6371 * 2 * ASIN(SQRT(SIN(RADIANS((C492) - INDEX('Dataset_Wisata'!$C$12:$C$622, MATCH('Dashboard'!$C$9, 'Dataset_Wisata'!$A$12:$A$622, 0)))/2)^2 + COS(RADIANS(INDEX('Dataset_Wisata'!$C$12:$C$622, MATCH('Dashboard'!$C$9, 'Dataset_Wisata'!$A$12:$A$622, 0)))) * COS(RADIANS(C492)) * SIN(RADIANS((D492) - INDEX('Dataset_Wisata'!$D$12:$D$622, MATCH('Dashboard'!$C$9, 'Dataset_Wisata'!$A$12:$A$622, 0)))/2)^2)) * 1.3</f>
        <v/>
      </c>
      <c r="J492" s="21">
        <f>ROUND(I492 * IF('Dashboard'!$C$6&lt;=1, 2250, IF('Dashboard'!$C$6&lt;=4, 5150, 6000)), 0)</f>
        <v/>
      </c>
      <c r="K492" s="30" t="n">
        <v>0.1714245830093429</v>
      </c>
      <c r="L492" s="30" t="n">
        <v>0.6914777241563786</v>
      </c>
      <c r="M492" s="30" t="n">
        <v>0.1370976928342786</v>
      </c>
      <c r="N492" s="31">
        <f>ABS(E492-$F$6)</f>
        <v/>
      </c>
      <c r="O492" s="31">
        <f>ABS(E492-$F$7)</f>
        <v/>
      </c>
      <c r="P492" s="31">
        <f>ABS(E492-$F$8)</f>
        <v/>
      </c>
      <c r="Q492" s="14">
        <f>IF(K492&gt;=MAX(L492,M492), "Hemat", IF(L492&gt;=M492, "Balanced", "Premium"))</f>
        <v/>
      </c>
      <c r="R492" s="30" t="n">
        <v>0.171424548224932</v>
      </c>
      <c r="S492" s="30" t="n">
        <v>0.6914777989639073</v>
      </c>
      <c r="T492" s="30" t="n">
        <v>0.1370976528111608</v>
      </c>
      <c r="U492" s="31">
        <f>ABS(E492-$G$6)</f>
        <v/>
      </c>
      <c r="V492" s="31">
        <f>ABS(E492-$G$7)</f>
        <v/>
      </c>
      <c r="W492" s="31">
        <f>ABS(E492-$G$8)</f>
        <v/>
      </c>
      <c r="X492" s="14">
        <f>IF(R492&gt;=MAX(S492,T492), "Hemat", IF(S492&gt;=T492, "Balanced", "Premium"))</f>
        <v/>
      </c>
    </row>
    <row r="493">
      <c r="A493" s="14" t="n">
        <v>497</v>
      </c>
      <c r="B493" s="7" t="inlineStr">
        <is>
          <t>SANGGAR SEMAR</t>
        </is>
      </c>
      <c r="C493" s="26" t="n">
        <v>-7.9276929</v>
      </c>
      <c r="D493" s="26" t="n">
        <v>112.6554293</v>
      </c>
      <c r="E493" s="21" t="n">
        <v>20000</v>
      </c>
      <c r="F493" s="27" t="n">
        <v>5</v>
      </c>
      <c r="G493" s="28" t="n">
        <v>20</v>
      </c>
      <c r="H493" s="14" t="inlineStr">
        <is>
          <t>Wisata Umum</t>
        </is>
      </c>
      <c r="I493" s="29">
        <f>6371 * 2 * ASIN(SQRT(SIN(RADIANS((C493) - INDEX('Dataset_Wisata'!$C$12:$C$622, MATCH('Dashboard'!$C$9, 'Dataset_Wisata'!$A$12:$A$622, 0)))/2)^2 + COS(RADIANS(INDEX('Dataset_Wisata'!$C$12:$C$622, MATCH('Dashboard'!$C$9, 'Dataset_Wisata'!$A$12:$A$622, 0)))) * COS(RADIANS(C493)) * SIN(RADIANS((D493) - INDEX('Dataset_Wisata'!$D$12:$D$622, MATCH('Dashboard'!$C$9, 'Dataset_Wisata'!$A$12:$A$622, 0)))/2)^2)) * 1.3</f>
        <v/>
      </c>
      <c r="J493" s="21">
        <f>ROUND(I493 * IF('Dashboard'!$C$6&lt;=1, 2250, IF('Dashboard'!$C$6&lt;=4, 5150, 6000)), 0)</f>
        <v/>
      </c>
      <c r="K493" s="30" t="n">
        <v>0.8862296979094436</v>
      </c>
      <c r="L493" s="30" t="n">
        <v>0.1099329410905347</v>
      </c>
      <c r="M493" s="30" t="n">
        <v>0.003837361000021699</v>
      </c>
      <c r="N493" s="31">
        <f>ABS(E493-$F$6)</f>
        <v/>
      </c>
      <c r="O493" s="31">
        <f>ABS(E493-$F$7)</f>
        <v/>
      </c>
      <c r="P493" s="31">
        <f>ABS(E493-$F$8)</f>
        <v/>
      </c>
      <c r="Q493" s="14">
        <f>IF(K493&gt;=MAX(L493,M493), "Hemat", IF(L493&gt;=M493, "Balanced", "Premium"))</f>
        <v/>
      </c>
      <c r="R493" s="30" t="n">
        <v>0.8862297532761809</v>
      </c>
      <c r="S493" s="30" t="n">
        <v>0.1099328861159962</v>
      </c>
      <c r="T493" s="30" t="n">
        <v>0.003837360607822898</v>
      </c>
      <c r="U493" s="31">
        <f>ABS(E493-$G$6)</f>
        <v/>
      </c>
      <c r="V493" s="31">
        <f>ABS(E493-$G$7)</f>
        <v/>
      </c>
      <c r="W493" s="31">
        <f>ABS(E493-$G$8)</f>
        <v/>
      </c>
      <c r="X493" s="14">
        <f>IF(R493&gt;=MAX(S493,T493), "Hemat", IF(S493&gt;=T493, "Balanced", "Premium"))</f>
        <v/>
      </c>
    </row>
    <row r="494">
      <c r="A494" s="14" t="n">
        <v>498</v>
      </c>
      <c r="B494" s="7" t="inlineStr">
        <is>
          <t>Taman Dolan Losawi</t>
        </is>
      </c>
      <c r="C494" s="26" t="n">
        <v>-7.9139581</v>
      </c>
      <c r="D494" s="26" t="n">
        <v>112.6380573</v>
      </c>
      <c r="E494" s="21" t="n">
        <v>20000</v>
      </c>
      <c r="F494" s="27" t="n">
        <v>4.1</v>
      </c>
      <c r="G494" s="28" t="n">
        <v>34</v>
      </c>
      <c r="H494" s="14" t="inlineStr">
        <is>
          <t>Taman Dolan Losawi</t>
        </is>
      </c>
      <c r="I494" s="29">
        <f>6371 * 2 * ASIN(SQRT(SIN(RADIANS((C494) - INDEX('Dataset_Wisata'!$C$12:$C$622, MATCH('Dashboard'!$C$9, 'Dataset_Wisata'!$A$12:$A$622, 0)))/2)^2 + COS(RADIANS(INDEX('Dataset_Wisata'!$C$12:$C$622, MATCH('Dashboard'!$C$9, 'Dataset_Wisata'!$A$12:$A$622, 0)))) * COS(RADIANS(C494)) * SIN(RADIANS((D494) - INDEX('Dataset_Wisata'!$D$12:$D$622, MATCH('Dashboard'!$C$9, 'Dataset_Wisata'!$A$12:$A$622, 0)))/2)^2)) * 1.3</f>
        <v/>
      </c>
      <c r="J494" s="21">
        <f>ROUND(I494 * IF('Dashboard'!$C$6&lt;=1, 2250, IF('Dashboard'!$C$6&lt;=4, 5150, 6000)), 0)</f>
        <v/>
      </c>
      <c r="K494" s="30" t="n">
        <v>0.8862296979094436</v>
      </c>
      <c r="L494" s="30" t="n">
        <v>0.1099329410905347</v>
      </c>
      <c r="M494" s="30" t="n">
        <v>0.003837361000021699</v>
      </c>
      <c r="N494" s="31">
        <f>ABS(E494-$F$6)</f>
        <v/>
      </c>
      <c r="O494" s="31">
        <f>ABS(E494-$F$7)</f>
        <v/>
      </c>
      <c r="P494" s="31">
        <f>ABS(E494-$F$8)</f>
        <v/>
      </c>
      <c r="Q494" s="14">
        <f>IF(K494&gt;=MAX(L494,M494), "Hemat", IF(L494&gt;=M494, "Balanced", "Premium"))</f>
        <v/>
      </c>
      <c r="R494" s="30" t="n">
        <v>0.8862297532761809</v>
      </c>
      <c r="S494" s="30" t="n">
        <v>0.1099328861159962</v>
      </c>
      <c r="T494" s="30" t="n">
        <v>0.003837360607822898</v>
      </c>
      <c r="U494" s="31">
        <f>ABS(E494-$G$6)</f>
        <v/>
      </c>
      <c r="V494" s="31">
        <f>ABS(E494-$G$7)</f>
        <v/>
      </c>
      <c r="W494" s="31">
        <f>ABS(E494-$G$8)</f>
        <v/>
      </c>
      <c r="X494" s="14">
        <f>IF(R494&gt;=MAX(S494,T494), "Hemat", IF(S494&gt;=T494, "Balanced", "Premium"))</f>
        <v/>
      </c>
    </row>
    <row r="495">
      <c r="A495" s="14" t="n">
        <v>499</v>
      </c>
      <c r="B495" s="7" t="inlineStr">
        <is>
          <t>KOLAM PANCING BDJ</t>
        </is>
      </c>
      <c r="C495" s="26" t="n">
        <v>-7.9046038</v>
      </c>
      <c r="D495" s="26" t="n">
        <v>112.6989051</v>
      </c>
      <c r="E495" s="21" t="n">
        <v>20000</v>
      </c>
      <c r="F495" s="27" t="n">
        <v>4.8</v>
      </c>
      <c r="G495" s="28" t="n">
        <v>27</v>
      </c>
      <c r="H495" s="14" t="inlineStr">
        <is>
          <t>Wisata Umum</t>
        </is>
      </c>
      <c r="I495" s="29">
        <f>6371 * 2 * ASIN(SQRT(SIN(RADIANS((C495) - INDEX('Dataset_Wisata'!$C$12:$C$622, MATCH('Dashboard'!$C$9, 'Dataset_Wisata'!$A$12:$A$622, 0)))/2)^2 + COS(RADIANS(INDEX('Dataset_Wisata'!$C$12:$C$622, MATCH('Dashboard'!$C$9, 'Dataset_Wisata'!$A$12:$A$622, 0)))) * COS(RADIANS(C495)) * SIN(RADIANS((D495) - INDEX('Dataset_Wisata'!$D$12:$D$622, MATCH('Dashboard'!$C$9, 'Dataset_Wisata'!$A$12:$A$622, 0)))/2)^2)) * 1.3</f>
        <v/>
      </c>
      <c r="J495" s="21">
        <f>ROUND(I495 * IF('Dashboard'!$C$6&lt;=1, 2250, IF('Dashboard'!$C$6&lt;=4, 5150, 6000)), 0)</f>
        <v/>
      </c>
      <c r="K495" s="30" t="n">
        <v>0.8862296979094436</v>
      </c>
      <c r="L495" s="30" t="n">
        <v>0.1099329410905347</v>
      </c>
      <c r="M495" s="30" t="n">
        <v>0.003837361000021699</v>
      </c>
      <c r="N495" s="31">
        <f>ABS(E495-$F$6)</f>
        <v/>
      </c>
      <c r="O495" s="31">
        <f>ABS(E495-$F$7)</f>
        <v/>
      </c>
      <c r="P495" s="31">
        <f>ABS(E495-$F$8)</f>
        <v/>
      </c>
      <c r="Q495" s="14">
        <f>IF(K495&gt;=MAX(L495,M495), "Hemat", IF(L495&gt;=M495, "Balanced", "Premium"))</f>
        <v/>
      </c>
      <c r="R495" s="30" t="n">
        <v>0.8862297532761809</v>
      </c>
      <c r="S495" s="30" t="n">
        <v>0.1099328861159962</v>
      </c>
      <c r="T495" s="30" t="n">
        <v>0.003837360607822898</v>
      </c>
      <c r="U495" s="31">
        <f>ABS(E495-$G$6)</f>
        <v/>
      </c>
      <c r="V495" s="31">
        <f>ABS(E495-$G$7)</f>
        <v/>
      </c>
      <c r="W495" s="31">
        <f>ABS(E495-$G$8)</f>
        <v/>
      </c>
      <c r="X495" s="14">
        <f>IF(R495&gt;=MAX(S495,T495), "Hemat", IF(S495&gt;=T495, "Balanced", "Premium"))</f>
        <v/>
      </c>
    </row>
    <row r="496">
      <c r="A496" s="14" t="n">
        <v>500</v>
      </c>
      <c r="B496" s="7" t="inlineStr">
        <is>
          <t>Kebon Winih Randuagung</t>
        </is>
      </c>
      <c r="C496" s="26" t="n">
        <v>-7.8638233</v>
      </c>
      <c r="D496" s="26" t="n">
        <v>112.6703793</v>
      </c>
      <c r="E496" s="21" t="n">
        <v>0</v>
      </c>
      <c r="F496" s="27" t="n">
        <v>4.4</v>
      </c>
      <c r="G496" s="28" t="n">
        <v>430</v>
      </c>
      <c r="H496" s="14" t="inlineStr">
        <is>
          <t>Tujuan Wisata · 4MPC+F5C</t>
        </is>
      </c>
      <c r="I496" s="29">
        <f>6371 * 2 * ASIN(SQRT(SIN(RADIANS((C496) - INDEX('Dataset_Wisata'!$C$12:$C$622, MATCH('Dashboard'!$C$9, 'Dataset_Wisata'!$A$12:$A$622, 0)))/2)^2 + COS(RADIANS(INDEX('Dataset_Wisata'!$C$12:$C$622, MATCH('Dashboard'!$C$9, 'Dataset_Wisata'!$A$12:$A$622, 0)))) * COS(RADIANS(C496)) * SIN(RADIANS((D496) - INDEX('Dataset_Wisata'!$D$12:$D$622, MATCH('Dashboard'!$C$9, 'Dataset_Wisata'!$A$12:$A$622, 0)))/2)^2)) * 1.3</f>
        <v/>
      </c>
      <c r="J496" s="21">
        <f>ROUND(I496 * IF('Dashboard'!$C$6&lt;=1, 2250, IF('Dashboard'!$C$6&lt;=4, 5150, 6000)), 0)</f>
        <v/>
      </c>
      <c r="K496" s="30" t="n">
        <v>0.9626824510005771</v>
      </c>
      <c r="L496" s="30" t="n">
        <v>0.03465542295845363</v>
      </c>
      <c r="M496" s="30" t="n">
        <v>0.002662126040969366</v>
      </c>
      <c r="N496" s="31">
        <f>ABS(E496-$F$6)</f>
        <v/>
      </c>
      <c r="O496" s="31">
        <f>ABS(E496-$F$7)</f>
        <v/>
      </c>
      <c r="P496" s="31">
        <f>ABS(E496-$F$8)</f>
        <v/>
      </c>
      <c r="Q496" s="14">
        <f>IF(K496&gt;=MAX(L496,M496), "Hemat", IF(L496&gt;=M496, "Balanced", "Premium"))</f>
        <v/>
      </c>
      <c r="R496" s="30" t="n">
        <v>0.9626824549241798</v>
      </c>
      <c r="S496" s="30" t="n">
        <v>0.03465541875469833</v>
      </c>
      <c r="T496" s="30" t="n">
        <v>0.002662126321121907</v>
      </c>
      <c r="U496" s="31">
        <f>ABS(E496-$G$6)</f>
        <v/>
      </c>
      <c r="V496" s="31">
        <f>ABS(E496-$G$7)</f>
        <v/>
      </c>
      <c r="W496" s="31">
        <f>ABS(E496-$G$8)</f>
        <v/>
      </c>
      <c r="X496" s="14">
        <f>IF(R496&gt;=MAX(S496,T496), "Hemat", IF(S496&gt;=T496, "Balanced", "Premium"))</f>
        <v/>
      </c>
    </row>
    <row r="497">
      <c r="A497" s="14" t="n">
        <v>501</v>
      </c>
      <c r="B497" s="7" t="inlineStr">
        <is>
          <t>Wisata Sumbersuko, Randuagung</t>
        </is>
      </c>
      <c r="C497" s="26" t="n">
        <v>-7.8562826</v>
      </c>
      <c r="D497" s="26" t="n">
        <v>112.6782911</v>
      </c>
      <c r="E497" s="21" t="n">
        <v>0</v>
      </c>
      <c r="F497" s="27" t="n">
        <v>4</v>
      </c>
      <c r="G497" s="28" t="n">
        <v>353</v>
      </c>
      <c r="H497" s="14" t="inlineStr">
        <is>
          <t>Wisata Sumbersuko, Randuagung</t>
        </is>
      </c>
      <c r="I497" s="29">
        <f>6371 * 2 * ASIN(SQRT(SIN(RADIANS((C497) - INDEX('Dataset_Wisata'!$C$12:$C$622, MATCH('Dashboard'!$C$9, 'Dataset_Wisata'!$A$12:$A$622, 0)))/2)^2 + COS(RADIANS(INDEX('Dataset_Wisata'!$C$12:$C$622, MATCH('Dashboard'!$C$9, 'Dataset_Wisata'!$A$12:$A$622, 0)))) * COS(RADIANS(C497)) * SIN(RADIANS((D497) - INDEX('Dataset_Wisata'!$D$12:$D$622, MATCH('Dashboard'!$C$9, 'Dataset_Wisata'!$A$12:$A$622, 0)))/2)^2)) * 1.3</f>
        <v/>
      </c>
      <c r="J497" s="21">
        <f>ROUND(I497 * IF('Dashboard'!$C$6&lt;=1, 2250, IF('Dashboard'!$C$6&lt;=4, 5150, 6000)), 0)</f>
        <v/>
      </c>
      <c r="K497" s="30" t="n">
        <v>0.9626824510005771</v>
      </c>
      <c r="L497" s="30" t="n">
        <v>0.03465542295845363</v>
      </c>
      <c r="M497" s="30" t="n">
        <v>0.002662126040969366</v>
      </c>
      <c r="N497" s="31">
        <f>ABS(E497-$F$6)</f>
        <v/>
      </c>
      <c r="O497" s="31">
        <f>ABS(E497-$F$7)</f>
        <v/>
      </c>
      <c r="P497" s="31">
        <f>ABS(E497-$F$8)</f>
        <v/>
      </c>
      <c r="Q497" s="14">
        <f>IF(K497&gt;=MAX(L497,M497), "Hemat", IF(L497&gt;=M497, "Balanced", "Premium"))</f>
        <v/>
      </c>
      <c r="R497" s="30" t="n">
        <v>0.9626824549241798</v>
      </c>
      <c r="S497" s="30" t="n">
        <v>0.03465541875469833</v>
      </c>
      <c r="T497" s="30" t="n">
        <v>0.002662126321121907</v>
      </c>
      <c r="U497" s="31">
        <f>ABS(E497-$G$6)</f>
        <v/>
      </c>
      <c r="V497" s="31">
        <f>ABS(E497-$G$7)</f>
        <v/>
      </c>
      <c r="W497" s="31">
        <f>ABS(E497-$G$8)</f>
        <v/>
      </c>
      <c r="X497" s="14">
        <f>IF(R497&gt;=MAX(S497,T497), "Hemat", IF(S497&gt;=T497, "Balanced", "Premium"))</f>
        <v/>
      </c>
    </row>
    <row r="498">
      <c r="A498" s="14" t="n">
        <v>502</v>
      </c>
      <c r="B498" s="7" t="inlineStr">
        <is>
          <t>Taman Selo Tegil</t>
        </is>
      </c>
      <c r="C498" s="26" t="n">
        <v>-7.9084711</v>
      </c>
      <c r="D498" s="26" t="n">
        <v>112.6768219</v>
      </c>
      <c r="E498" s="21" t="n">
        <v>50000</v>
      </c>
      <c r="F498" s="27" t="n">
        <v>4.4</v>
      </c>
      <c r="G498" s="28" t="n">
        <v>38</v>
      </c>
      <c r="H498" s="14" t="inlineStr">
        <is>
          <t>Taman Selo Tegil</t>
        </is>
      </c>
      <c r="I498" s="29">
        <f>6371 * 2 * ASIN(SQRT(SIN(RADIANS((C498) - INDEX('Dataset_Wisata'!$C$12:$C$622, MATCH('Dashboard'!$C$9, 'Dataset_Wisata'!$A$12:$A$622, 0)))/2)^2 + COS(RADIANS(INDEX('Dataset_Wisata'!$C$12:$C$622, MATCH('Dashboard'!$C$9, 'Dataset_Wisata'!$A$12:$A$622, 0)))) * COS(RADIANS(C498)) * SIN(RADIANS((D498) - INDEX('Dataset_Wisata'!$D$12:$D$622, MATCH('Dashboard'!$C$9, 'Dataset_Wisata'!$A$12:$A$622, 0)))/2)^2)) * 1.3</f>
        <v/>
      </c>
      <c r="J498" s="21">
        <f>ROUND(I498 * IF('Dashboard'!$C$6&lt;=1, 2250, IF('Dashboard'!$C$6&lt;=4, 5150, 6000)), 0)</f>
        <v/>
      </c>
      <c r="K498" s="30" t="n">
        <v>5.758531237204236e-06</v>
      </c>
      <c r="L498" s="30" t="n">
        <v>0.9999936821294634</v>
      </c>
      <c r="M498" s="30" t="n">
        <v>5.593392994189334e-07</v>
      </c>
      <c r="N498" s="31">
        <f>ABS(E498-$F$6)</f>
        <v/>
      </c>
      <c r="O498" s="31">
        <f>ABS(E498-$F$7)</f>
        <v/>
      </c>
      <c r="P498" s="31">
        <f>ABS(E498-$F$8)</f>
        <v/>
      </c>
      <c r="Q498" s="14">
        <f>IF(K498&gt;=MAX(L498,M498), "Hemat", IF(L498&gt;=M498, "Balanced", "Premium"))</f>
        <v/>
      </c>
      <c r="R498" s="30" t="n">
        <v>5.757754513908737e-06</v>
      </c>
      <c r="S498" s="30" t="n">
        <v>0.9999936829816778</v>
      </c>
      <c r="T498" s="30" t="n">
        <v>5.592638083270285e-07</v>
      </c>
      <c r="U498" s="31">
        <f>ABS(E498-$G$6)</f>
        <v/>
      </c>
      <c r="V498" s="31">
        <f>ABS(E498-$G$7)</f>
        <v/>
      </c>
      <c r="W498" s="31">
        <f>ABS(E498-$G$8)</f>
        <v/>
      </c>
      <c r="X498" s="14">
        <f>IF(R498&gt;=MAX(S498,T498), "Hemat", IF(S498&gt;=T498, "Balanced", "Premium"))</f>
        <v/>
      </c>
    </row>
    <row r="499">
      <c r="A499" s="14" t="n">
        <v>503</v>
      </c>
      <c r="B499" s="7" t="inlineStr">
        <is>
          <t>Taman Teluk Grajakan - Pandanwangi</t>
        </is>
      </c>
      <c r="C499" s="26" t="n">
        <v>-7.9435115</v>
      </c>
      <c r="D499" s="26" t="n">
        <v>112.6536084</v>
      </c>
      <c r="E499" s="21" t="n">
        <v>5000</v>
      </c>
      <c r="F499" s="27" t="n">
        <v>4.5</v>
      </c>
      <c r="G499" s="28" t="n">
        <v>220</v>
      </c>
      <c r="H499" s="14" t="inlineStr">
        <is>
          <t>Taman Teluk Grajakan - Pandanwangi</t>
        </is>
      </c>
      <c r="I499" s="29">
        <f>6371 * 2 * ASIN(SQRT(SIN(RADIANS((C499) - INDEX('Dataset_Wisata'!$C$12:$C$622, MATCH('Dashboard'!$C$9, 'Dataset_Wisata'!$A$12:$A$622, 0)))/2)^2 + COS(RADIANS(INDEX('Dataset_Wisata'!$C$12:$C$622, MATCH('Dashboard'!$C$9, 'Dataset_Wisata'!$A$12:$A$622, 0)))) * COS(RADIANS(C499)) * SIN(RADIANS((D499) - INDEX('Dataset_Wisata'!$D$12:$D$622, MATCH('Dashboard'!$C$9, 'Dataset_Wisata'!$A$12:$A$622, 0)))/2)^2)) * 1.3</f>
        <v/>
      </c>
      <c r="J499" s="21">
        <f>ROUND(I499 * IF('Dashboard'!$C$6&lt;=1, 2250, IF('Dashboard'!$C$6&lt;=4, 5150, 6000)), 0)</f>
        <v/>
      </c>
      <c r="K499" s="30" t="n">
        <v>0.9895566543895754</v>
      </c>
      <c r="L499" s="30" t="n">
        <v>0.009798611400025654</v>
      </c>
      <c r="M499" s="30" t="n">
        <v>0.0006447342103988783</v>
      </c>
      <c r="N499" s="31">
        <f>ABS(E499-$F$6)</f>
        <v/>
      </c>
      <c r="O499" s="31">
        <f>ABS(E499-$F$7)</f>
        <v/>
      </c>
      <c r="P499" s="31">
        <f>ABS(E499-$F$8)</f>
        <v/>
      </c>
      <c r="Q499" s="14">
        <f>IF(K499&gt;=MAX(L499,M499), "Hemat", IF(L499&gt;=M499, "Balanced", "Premium"))</f>
        <v/>
      </c>
      <c r="R499" s="30" t="n">
        <v>0.9895566542341836</v>
      </c>
      <c r="S499" s="30" t="n">
        <v>0.00979861139170024</v>
      </c>
      <c r="T499" s="30" t="n">
        <v>0.00064473437411607</v>
      </c>
      <c r="U499" s="31">
        <f>ABS(E499-$G$6)</f>
        <v/>
      </c>
      <c r="V499" s="31">
        <f>ABS(E499-$G$7)</f>
        <v/>
      </c>
      <c r="W499" s="31">
        <f>ABS(E499-$G$8)</f>
        <v/>
      </c>
      <c r="X499" s="14">
        <f>IF(R499&gt;=MAX(S499,T499), "Hemat", IF(S499&gt;=T499, "Balanced", "Premium"))</f>
        <v/>
      </c>
    </row>
    <row r="500">
      <c r="A500" s="14" t="n">
        <v>504</v>
      </c>
      <c r="B500" s="7" t="inlineStr">
        <is>
          <t>Taman Wisata Polamanku</t>
        </is>
      </c>
      <c r="C500" s="26" t="n">
        <v>-7.8494138</v>
      </c>
      <c r="D500" s="26" t="n">
        <v>112.6868189</v>
      </c>
      <c r="E500" s="21" t="n">
        <v>0</v>
      </c>
      <c r="F500" s="27" t="n">
        <v>4.5</v>
      </c>
      <c r="G500" s="28" t="n">
        <v>141</v>
      </c>
      <c r="H500" s="14" t="inlineStr">
        <is>
          <t>Taman Wisata Polamanku</t>
        </is>
      </c>
      <c r="I500" s="29">
        <f>6371 * 2 * ASIN(SQRT(SIN(RADIANS((C500) - INDEX('Dataset_Wisata'!$C$12:$C$622, MATCH('Dashboard'!$C$9, 'Dataset_Wisata'!$A$12:$A$622, 0)))/2)^2 + COS(RADIANS(INDEX('Dataset_Wisata'!$C$12:$C$622, MATCH('Dashboard'!$C$9, 'Dataset_Wisata'!$A$12:$A$622, 0)))) * COS(RADIANS(C500)) * SIN(RADIANS((D500) - INDEX('Dataset_Wisata'!$D$12:$D$622, MATCH('Dashboard'!$C$9, 'Dataset_Wisata'!$A$12:$A$622, 0)))/2)^2)) * 1.3</f>
        <v/>
      </c>
      <c r="J500" s="21">
        <f>ROUND(I500 * IF('Dashboard'!$C$6&lt;=1, 2250, IF('Dashboard'!$C$6&lt;=4, 5150, 6000)), 0)</f>
        <v/>
      </c>
      <c r="K500" s="30" t="n">
        <v>0.9626824510005771</v>
      </c>
      <c r="L500" s="30" t="n">
        <v>0.03465542295845363</v>
      </c>
      <c r="M500" s="30" t="n">
        <v>0.002662126040969366</v>
      </c>
      <c r="N500" s="31">
        <f>ABS(E500-$F$6)</f>
        <v/>
      </c>
      <c r="O500" s="31">
        <f>ABS(E500-$F$7)</f>
        <v/>
      </c>
      <c r="P500" s="31">
        <f>ABS(E500-$F$8)</f>
        <v/>
      </c>
      <c r="Q500" s="14">
        <f>IF(K500&gt;=MAX(L500,M500), "Hemat", IF(L500&gt;=M500, "Balanced", "Premium"))</f>
        <v/>
      </c>
      <c r="R500" s="30" t="n">
        <v>0.9626824549241798</v>
      </c>
      <c r="S500" s="30" t="n">
        <v>0.03465541875469833</v>
      </c>
      <c r="T500" s="30" t="n">
        <v>0.002662126321121907</v>
      </c>
      <c r="U500" s="31">
        <f>ABS(E500-$G$6)</f>
        <v/>
      </c>
      <c r="V500" s="31">
        <f>ABS(E500-$G$7)</f>
        <v/>
      </c>
      <c r="W500" s="31">
        <f>ABS(E500-$G$8)</f>
        <v/>
      </c>
      <c r="X500" s="14">
        <f>IF(R500&gt;=MAX(S500,T500), "Hemat", IF(S500&gt;=T500, "Balanced", "Premium"))</f>
        <v/>
      </c>
    </row>
    <row r="501">
      <c r="A501" s="14" t="n">
        <v>505</v>
      </c>
      <c r="B501" s="7" t="inlineStr">
        <is>
          <t>Pemandian Mendit</t>
        </is>
      </c>
      <c r="C501" s="26" t="n">
        <v>-7.9525</v>
      </c>
      <c r="D501" s="26" t="n">
        <v>112.6741667</v>
      </c>
      <c r="E501" s="21" t="n">
        <v>10500</v>
      </c>
      <c r="F501" s="27" t="n">
        <v>4</v>
      </c>
      <c r="G501" s="28" t="n">
        <v>182</v>
      </c>
      <c r="H501" s="14" t="inlineStr">
        <is>
          <t>Wisata Umum</t>
        </is>
      </c>
      <c r="I501" s="29">
        <f>6371 * 2 * ASIN(SQRT(SIN(RADIANS((C501) - INDEX('Dataset_Wisata'!$C$12:$C$622, MATCH('Dashboard'!$C$9, 'Dataset_Wisata'!$A$12:$A$622, 0)))/2)^2 + COS(RADIANS(INDEX('Dataset_Wisata'!$C$12:$C$622, MATCH('Dashboard'!$C$9, 'Dataset_Wisata'!$A$12:$A$622, 0)))) * COS(RADIANS(C501)) * SIN(RADIANS((D501) - INDEX('Dataset_Wisata'!$D$12:$D$622, MATCH('Dashboard'!$C$9, 'Dataset_Wisata'!$A$12:$A$622, 0)))/2)^2)) * 1.3</f>
        <v/>
      </c>
      <c r="J501" s="21">
        <f>ROUND(I501 * IF('Dashboard'!$C$6&lt;=1, 2250, IF('Dashboard'!$C$6&lt;=4, 5150, 6000)), 0)</f>
        <v/>
      </c>
      <c r="K501" s="30" t="n">
        <v>0.9992778130390464</v>
      </c>
      <c r="L501" s="30" t="n">
        <v>0.0006851821779944199</v>
      </c>
      <c r="M501" s="30" t="n">
        <v>3.700478295920698e-05</v>
      </c>
      <c r="N501" s="31">
        <f>ABS(E501-$F$6)</f>
        <v/>
      </c>
      <c r="O501" s="31">
        <f>ABS(E501-$F$7)</f>
        <v/>
      </c>
      <c r="P501" s="31">
        <f>ABS(E501-$F$8)</f>
        <v/>
      </c>
      <c r="Q501" s="14">
        <f>IF(K501&gt;=MAX(L501,M501), "Hemat", IF(L501&gt;=M501, "Balanced", "Premium"))</f>
        <v/>
      </c>
      <c r="R501" s="30" t="n">
        <v>0.9992778141796984</v>
      </c>
      <c r="S501" s="30" t="n">
        <v>0.0006851810854547244</v>
      </c>
      <c r="T501" s="30" t="n">
        <v>3.70047348467947e-05</v>
      </c>
      <c r="U501" s="31">
        <f>ABS(E501-$G$6)</f>
        <v/>
      </c>
      <c r="V501" s="31">
        <f>ABS(E501-$G$7)</f>
        <v/>
      </c>
      <c r="W501" s="31">
        <f>ABS(E501-$G$8)</f>
        <v/>
      </c>
      <c r="X501" s="14">
        <f>IF(R501&gt;=MAX(S501,T501), "Hemat", IF(S501&gt;=T501, "Balanced", "Premium"))</f>
        <v/>
      </c>
    </row>
    <row r="502">
      <c r="A502" s="14" t="n">
        <v>506</v>
      </c>
      <c r="B502" s="7" t="inlineStr">
        <is>
          <t>Hawai Waterpark</t>
        </is>
      </c>
      <c r="C502" s="26" t="n">
        <v>-7.9234101</v>
      </c>
      <c r="D502" s="26" t="n">
        <v>112.657862</v>
      </c>
      <c r="E502" s="21" t="n">
        <v>85000</v>
      </c>
      <c r="F502" s="27" t="n">
        <v>4.9</v>
      </c>
      <c r="G502" s="28" t="n">
        <v>14348</v>
      </c>
      <c r="H502" s="14" t="inlineStr">
        <is>
          <t>Kolam ombak, seluncuran, restoran santai</t>
        </is>
      </c>
      <c r="I502" s="29">
        <f>6371 * 2 * ASIN(SQRT(SIN(RADIANS((C502) - INDEX('Dataset_Wisata'!$C$12:$C$622, MATCH('Dashboard'!$C$9, 'Dataset_Wisata'!$A$12:$A$622, 0)))/2)^2 + COS(RADIANS(INDEX('Dataset_Wisata'!$C$12:$C$622, MATCH('Dashboard'!$C$9, 'Dataset_Wisata'!$A$12:$A$622, 0)))) * COS(RADIANS(C502)) * SIN(RADIANS((D502) - INDEX('Dataset_Wisata'!$D$12:$D$622, MATCH('Dashboard'!$C$9, 'Dataset_Wisata'!$A$12:$A$622, 0)))/2)^2)) * 1.3</f>
        <v/>
      </c>
      <c r="J502" s="21">
        <f>ROUND(I502 * IF('Dashboard'!$C$6&lt;=1, 2250, IF('Dashboard'!$C$6&lt;=4, 5150, 6000)), 0)</f>
        <v/>
      </c>
      <c r="K502" s="30" t="n">
        <v>0.1596713067136795</v>
      </c>
      <c r="L502" s="30" t="n">
        <v>0.7395027049549464</v>
      </c>
      <c r="M502" s="30" t="n">
        <v>0.1008259883313742</v>
      </c>
      <c r="N502" s="31">
        <f>ABS(E502-$F$6)</f>
        <v/>
      </c>
      <c r="O502" s="31">
        <f>ABS(E502-$F$7)</f>
        <v/>
      </c>
      <c r="P502" s="31">
        <f>ABS(E502-$F$8)</f>
        <v/>
      </c>
      <c r="Q502" s="14">
        <f>IF(K502&gt;=MAX(L502,M502), "Hemat", IF(L502&gt;=M502, "Balanced", "Premium"))</f>
        <v/>
      </c>
      <c r="R502" s="30" t="n">
        <v>0.1596712659897983</v>
      </c>
      <c r="S502" s="30" t="n">
        <v>0.7395027800912403</v>
      </c>
      <c r="T502" s="30" t="n">
        <v>0.1008259539189613</v>
      </c>
      <c r="U502" s="31">
        <f>ABS(E502-$G$6)</f>
        <v/>
      </c>
      <c r="V502" s="31">
        <f>ABS(E502-$G$7)</f>
        <v/>
      </c>
      <c r="W502" s="31">
        <f>ABS(E502-$G$8)</f>
        <v/>
      </c>
      <c r="X502" s="14">
        <f>IF(R502&gt;=MAX(S502,T502), "Hemat", IF(S502&gt;=T502, "Balanced", "Premium"))</f>
        <v/>
      </c>
    </row>
    <row r="503">
      <c r="A503" s="14" t="n">
        <v>507</v>
      </c>
      <c r="B503" s="7" t="inlineStr">
        <is>
          <t>Rest Area 84B Malang Strudel Playland</t>
        </is>
      </c>
      <c r="C503" s="26" t="n">
        <v>-7.897184</v>
      </c>
      <c r="D503" s="26" t="n">
        <v>112.6965623</v>
      </c>
      <c r="E503" s="21" t="n">
        <v>0</v>
      </c>
      <c r="F503" s="27" t="n">
        <v>5</v>
      </c>
      <c r="G503" s="28" t="n">
        <v>102</v>
      </c>
      <c r="H503" s="14" t="inlineStr">
        <is>
          <t>Tujuan Wisata · 4M3W+6HW</t>
        </is>
      </c>
      <c r="I503" s="29">
        <f>6371 * 2 * ASIN(SQRT(SIN(RADIANS((C503) - INDEX('Dataset_Wisata'!$C$12:$C$622, MATCH('Dashboard'!$C$9, 'Dataset_Wisata'!$A$12:$A$622, 0)))/2)^2 + COS(RADIANS(INDEX('Dataset_Wisata'!$C$12:$C$622, MATCH('Dashboard'!$C$9, 'Dataset_Wisata'!$A$12:$A$622, 0)))) * COS(RADIANS(C503)) * SIN(RADIANS((D503) - INDEX('Dataset_Wisata'!$D$12:$D$622, MATCH('Dashboard'!$C$9, 'Dataset_Wisata'!$A$12:$A$622, 0)))/2)^2)) * 1.3</f>
        <v/>
      </c>
      <c r="J503" s="21">
        <f>ROUND(I503 * IF('Dashboard'!$C$6&lt;=1, 2250, IF('Dashboard'!$C$6&lt;=4, 5150, 6000)), 0)</f>
        <v/>
      </c>
      <c r="K503" s="30" t="n">
        <v>0.9626824510005771</v>
      </c>
      <c r="L503" s="30" t="n">
        <v>0.03465542295845363</v>
      </c>
      <c r="M503" s="30" t="n">
        <v>0.002662126040969366</v>
      </c>
      <c r="N503" s="31">
        <f>ABS(E503-$F$6)</f>
        <v/>
      </c>
      <c r="O503" s="31">
        <f>ABS(E503-$F$7)</f>
        <v/>
      </c>
      <c r="P503" s="31">
        <f>ABS(E503-$F$8)</f>
        <v/>
      </c>
      <c r="Q503" s="14">
        <f>IF(K503&gt;=MAX(L503,M503), "Hemat", IF(L503&gt;=M503, "Balanced", "Premium"))</f>
        <v/>
      </c>
      <c r="R503" s="30" t="n">
        <v>0.9626824549241798</v>
      </c>
      <c r="S503" s="30" t="n">
        <v>0.03465541875469833</v>
      </c>
      <c r="T503" s="30" t="n">
        <v>0.002662126321121907</v>
      </c>
      <c r="U503" s="31">
        <f>ABS(E503-$G$6)</f>
        <v/>
      </c>
      <c r="V503" s="31">
        <f>ABS(E503-$G$7)</f>
        <v/>
      </c>
      <c r="W503" s="31">
        <f>ABS(E503-$G$8)</f>
        <v/>
      </c>
      <c r="X503" s="14">
        <f>IF(R503&gt;=MAX(S503,T503), "Hemat", IF(S503&gt;=T503, "Balanced", "Premium"))</f>
        <v/>
      </c>
    </row>
    <row r="504">
      <c r="A504" s="14" t="n">
        <v>508</v>
      </c>
      <c r="B504" s="7" t="inlineStr">
        <is>
          <t>Taman Gotong Royong</t>
        </is>
      </c>
      <c r="C504" s="26" t="n">
        <v>-7.9480254</v>
      </c>
      <c r="D504" s="26" t="n">
        <v>112.6470624</v>
      </c>
      <c r="E504" s="21" t="n">
        <v>10000</v>
      </c>
      <c r="F504" s="27" t="n">
        <v>4.4</v>
      </c>
      <c r="G504" s="28" t="n">
        <v>36</v>
      </c>
      <c r="H504" s="14" t="inlineStr">
        <is>
          <t>Taman Gotong Royong</t>
        </is>
      </c>
      <c r="I504" s="29">
        <f>6371 * 2 * ASIN(SQRT(SIN(RADIANS((C504) - INDEX('Dataset_Wisata'!$C$12:$C$622, MATCH('Dashboard'!$C$9, 'Dataset_Wisata'!$A$12:$A$622, 0)))/2)^2 + COS(RADIANS(INDEX('Dataset_Wisata'!$C$12:$C$622, MATCH('Dashboard'!$C$9, 'Dataset_Wisata'!$A$12:$A$622, 0)))) * COS(RADIANS(C504)) * SIN(RADIANS((D504) - INDEX('Dataset_Wisata'!$D$12:$D$622, MATCH('Dashboard'!$C$9, 'Dataset_Wisata'!$A$12:$A$622, 0)))/2)^2)) * 1.3</f>
        <v/>
      </c>
      <c r="J504" s="21">
        <f>ROUND(I504 * IF('Dashboard'!$C$6&lt;=1, 2250, IF('Dashboard'!$C$6&lt;=4, 5150, 6000)), 0)</f>
        <v/>
      </c>
      <c r="K504" s="30" t="n">
        <v>0.9998126508185596</v>
      </c>
      <c r="L504" s="30" t="n">
        <v>0.0001775718391516968</v>
      </c>
      <c r="M504" s="30" t="n">
        <v>9.7773422886897e-06</v>
      </c>
      <c r="N504" s="31">
        <f>ABS(E504-$F$6)</f>
        <v/>
      </c>
      <c r="O504" s="31">
        <f>ABS(E504-$F$7)</f>
        <v/>
      </c>
      <c r="P504" s="31">
        <f>ABS(E504-$F$8)</f>
        <v/>
      </c>
      <c r="Q504" s="14">
        <f>IF(K504&gt;=MAX(L504,M504), "Hemat", IF(L504&gt;=M504, "Balanced", "Premium"))</f>
        <v/>
      </c>
      <c r="R504" s="30" t="n">
        <v>0.9998126513362043</v>
      </c>
      <c r="S504" s="30" t="n">
        <v>0.0001775713458315561</v>
      </c>
      <c r="T504" s="30" t="n">
        <v>9.777317964159987e-06</v>
      </c>
      <c r="U504" s="31">
        <f>ABS(E504-$G$6)</f>
        <v/>
      </c>
      <c r="V504" s="31">
        <f>ABS(E504-$G$7)</f>
        <v/>
      </c>
      <c r="W504" s="31">
        <f>ABS(E504-$G$8)</f>
        <v/>
      </c>
      <c r="X504" s="14">
        <f>IF(R504&gt;=MAX(S504,T504), "Hemat", IF(S504&gt;=T504, "Balanced", "Premium"))</f>
        <v/>
      </c>
    </row>
    <row r="505">
      <c r="A505" s="14" t="n">
        <v>510</v>
      </c>
      <c r="B505" s="7" t="inlineStr">
        <is>
          <t>Kebun Opa</t>
        </is>
      </c>
      <c r="C505" s="26" t="n">
        <v>-7.8625701</v>
      </c>
      <c r="D505" s="26" t="n">
        <v>112.6707692</v>
      </c>
      <c r="E505" s="21" t="n">
        <v>0</v>
      </c>
      <c r="F505" s="27" t="n">
        <v>4.5</v>
      </c>
      <c r="G505" s="28" t="n">
        <v>71</v>
      </c>
      <c r="H505" s="14" t="inlineStr">
        <is>
          <t>Wisata Umum</t>
        </is>
      </c>
      <c r="I505" s="29">
        <f>6371 * 2 * ASIN(SQRT(SIN(RADIANS((C505) - INDEX('Dataset_Wisata'!$C$12:$C$622, MATCH('Dashboard'!$C$9, 'Dataset_Wisata'!$A$12:$A$622, 0)))/2)^2 + COS(RADIANS(INDEX('Dataset_Wisata'!$C$12:$C$622, MATCH('Dashboard'!$C$9, 'Dataset_Wisata'!$A$12:$A$622, 0)))) * COS(RADIANS(C505)) * SIN(RADIANS((D505) - INDEX('Dataset_Wisata'!$D$12:$D$622, MATCH('Dashboard'!$C$9, 'Dataset_Wisata'!$A$12:$A$622, 0)))/2)^2)) * 1.3</f>
        <v/>
      </c>
      <c r="J505" s="21">
        <f>ROUND(I505 * IF('Dashboard'!$C$6&lt;=1, 2250, IF('Dashboard'!$C$6&lt;=4, 5150, 6000)), 0)</f>
        <v/>
      </c>
      <c r="K505" s="30" t="n">
        <v>0.9626824510005771</v>
      </c>
      <c r="L505" s="30" t="n">
        <v>0.03465542295845363</v>
      </c>
      <c r="M505" s="30" t="n">
        <v>0.002662126040969366</v>
      </c>
      <c r="N505" s="31">
        <f>ABS(E505-$F$6)</f>
        <v/>
      </c>
      <c r="O505" s="31">
        <f>ABS(E505-$F$7)</f>
        <v/>
      </c>
      <c r="P505" s="31">
        <f>ABS(E505-$F$8)</f>
        <v/>
      </c>
      <c r="Q505" s="14">
        <f>IF(K505&gt;=MAX(L505,M505), "Hemat", IF(L505&gt;=M505, "Balanced", "Premium"))</f>
        <v/>
      </c>
      <c r="R505" s="30" t="n">
        <v>0.9626824549241798</v>
      </c>
      <c r="S505" s="30" t="n">
        <v>0.03465541875469833</v>
      </c>
      <c r="T505" s="30" t="n">
        <v>0.002662126321121907</v>
      </c>
      <c r="U505" s="31">
        <f>ABS(E505-$G$6)</f>
        <v/>
      </c>
      <c r="V505" s="31">
        <f>ABS(E505-$G$7)</f>
        <v/>
      </c>
      <c r="W505" s="31">
        <f>ABS(E505-$G$8)</f>
        <v/>
      </c>
      <c r="X505" s="14">
        <f>IF(R505&gt;=MAX(S505,T505), "Hemat", IF(S505&gt;=T505, "Balanced", "Premium"))</f>
        <v/>
      </c>
    </row>
    <row r="506">
      <c r="A506" s="14" t="n">
        <v>511</v>
      </c>
      <c r="B506" s="7" t="inlineStr">
        <is>
          <t>Wisata Kali Cilik</t>
        </is>
      </c>
      <c r="C506" s="26" t="n">
        <v>-7.8801603</v>
      </c>
      <c r="D506" s="26" t="n">
        <v>112.6643832</v>
      </c>
      <c r="E506" s="21" t="n">
        <v>30000</v>
      </c>
      <c r="F506" s="27" t="n">
        <v>4.1</v>
      </c>
      <c r="G506" s="28" t="n">
        <v>87</v>
      </c>
      <c r="H506" s="14" t="inlineStr">
        <is>
          <t>Wisata Kali Cilik</t>
        </is>
      </c>
      <c r="I506" s="29">
        <f>6371 * 2 * ASIN(SQRT(SIN(RADIANS((C506) - INDEX('Dataset_Wisata'!$C$12:$C$622, MATCH('Dashboard'!$C$9, 'Dataset_Wisata'!$A$12:$A$622, 0)))/2)^2 + COS(RADIANS(INDEX('Dataset_Wisata'!$C$12:$C$622, MATCH('Dashboard'!$C$9, 'Dataset_Wisata'!$A$12:$A$622, 0)))) * COS(RADIANS(C506)) * SIN(RADIANS((D506) - INDEX('Dataset_Wisata'!$D$12:$D$622, MATCH('Dashboard'!$C$9, 'Dataset_Wisata'!$A$12:$A$622, 0)))/2)^2)) * 1.3</f>
        <v/>
      </c>
      <c r="J506" s="21">
        <f>ROUND(I506 * IF('Dashboard'!$C$6&lt;=1, 2250, IF('Dashboard'!$C$6&lt;=4, 5150, 6000)), 0)</f>
        <v/>
      </c>
      <c r="K506" s="30" t="n">
        <v>0.4800921289599558</v>
      </c>
      <c r="L506" s="30" t="n">
        <v>0.5109191138653489</v>
      </c>
      <c r="M506" s="30" t="n">
        <v>0.008988757174695291</v>
      </c>
      <c r="N506" s="31">
        <f>ABS(E506-$F$6)</f>
        <v/>
      </c>
      <c r="O506" s="31">
        <f>ABS(E506-$F$7)</f>
        <v/>
      </c>
      <c r="P506" s="31">
        <f>ABS(E506-$F$8)</f>
        <v/>
      </c>
      <c r="Q506" s="14">
        <f>IF(K506&gt;=MAX(L506,M506), "Hemat", IF(L506&gt;=M506, "Balanced", "Premium"))</f>
        <v/>
      </c>
      <c r="R506" s="30" t="n">
        <v>0.4800923067166307</v>
      </c>
      <c r="S506" s="30" t="n">
        <v>0.5109189337438159</v>
      </c>
      <c r="T506" s="30" t="n">
        <v>0.008988759539553422</v>
      </c>
      <c r="U506" s="31">
        <f>ABS(E506-$G$6)</f>
        <v/>
      </c>
      <c r="V506" s="31">
        <f>ABS(E506-$G$7)</f>
        <v/>
      </c>
      <c r="W506" s="31">
        <f>ABS(E506-$G$8)</f>
        <v/>
      </c>
      <c r="X506" s="14">
        <f>IF(R506&gt;=MAX(S506,T506), "Hemat", IF(S506&gt;=T506, "Balanced", "Premium"))</f>
        <v/>
      </c>
    </row>
    <row r="507">
      <c r="A507" s="14" t="n">
        <v>512</v>
      </c>
      <c r="B507" s="7" t="inlineStr">
        <is>
          <t>Kolam Renang Pentungan Sari</t>
        </is>
      </c>
      <c r="C507" s="26" t="n">
        <v>-7.8518377</v>
      </c>
      <c r="D507" s="26" t="n">
        <v>112.6584696</v>
      </c>
      <c r="E507" s="21" t="n">
        <v>5000</v>
      </c>
      <c r="F507" s="27" t="n">
        <v>4.4</v>
      </c>
      <c r="G507" s="28" t="n">
        <v>703</v>
      </c>
      <c r="H507" s="14" t="inlineStr">
        <is>
          <t>Kolam Renang Pentungan Sari</t>
        </is>
      </c>
      <c r="I507" s="29">
        <f>6371 * 2 * ASIN(SQRT(SIN(RADIANS((C507) - INDEX('Dataset_Wisata'!$C$12:$C$622, MATCH('Dashboard'!$C$9, 'Dataset_Wisata'!$A$12:$A$622, 0)))/2)^2 + COS(RADIANS(INDEX('Dataset_Wisata'!$C$12:$C$622, MATCH('Dashboard'!$C$9, 'Dataset_Wisata'!$A$12:$A$622, 0)))) * COS(RADIANS(C507)) * SIN(RADIANS((D507) - INDEX('Dataset_Wisata'!$D$12:$D$622, MATCH('Dashboard'!$C$9, 'Dataset_Wisata'!$A$12:$A$622, 0)))/2)^2)) * 1.3</f>
        <v/>
      </c>
      <c r="J507" s="21">
        <f>ROUND(I507 * IF('Dashboard'!$C$6&lt;=1, 2250, IF('Dashboard'!$C$6&lt;=4, 5150, 6000)), 0)</f>
        <v/>
      </c>
      <c r="K507" s="30" t="n">
        <v>0.9895566543895754</v>
      </c>
      <c r="L507" s="30" t="n">
        <v>0.009798611400025654</v>
      </c>
      <c r="M507" s="30" t="n">
        <v>0.0006447342103988783</v>
      </c>
      <c r="N507" s="31">
        <f>ABS(E507-$F$6)</f>
        <v/>
      </c>
      <c r="O507" s="31">
        <f>ABS(E507-$F$7)</f>
        <v/>
      </c>
      <c r="P507" s="31">
        <f>ABS(E507-$F$8)</f>
        <v/>
      </c>
      <c r="Q507" s="14">
        <f>IF(K507&gt;=MAX(L507,M507), "Hemat", IF(L507&gt;=M507, "Balanced", "Premium"))</f>
        <v/>
      </c>
      <c r="R507" s="30" t="n">
        <v>0.9895566542341836</v>
      </c>
      <c r="S507" s="30" t="n">
        <v>0.00979861139170024</v>
      </c>
      <c r="T507" s="30" t="n">
        <v>0.00064473437411607</v>
      </c>
      <c r="U507" s="31">
        <f>ABS(E507-$G$6)</f>
        <v/>
      </c>
      <c r="V507" s="31">
        <f>ABS(E507-$G$7)</f>
        <v/>
      </c>
      <c r="W507" s="31">
        <f>ABS(E507-$G$8)</f>
        <v/>
      </c>
      <c r="X507" s="14">
        <f>IF(R507&gt;=MAX(S507,T507), "Hemat", IF(S507&gt;=T507, "Balanced", "Premium"))</f>
        <v/>
      </c>
    </row>
    <row r="508">
      <c r="A508" s="14" t="n">
        <v>513</v>
      </c>
      <c r="B508" s="7" t="inlineStr">
        <is>
          <t>Pari Bendo</t>
        </is>
      </c>
      <c r="C508" s="26" t="n">
        <v>-7.8354365</v>
      </c>
      <c r="D508" s="26" t="n">
        <v>112.6838566</v>
      </c>
      <c r="E508" s="21" t="n">
        <v>18000</v>
      </c>
      <c r="F508" s="27" t="n">
        <v>4.2</v>
      </c>
      <c r="G508" s="28" t="n">
        <v>2329</v>
      </c>
      <c r="H508" s="14" t="inlineStr">
        <is>
          <t>Wisata Umum</t>
        </is>
      </c>
      <c r="I508" s="29">
        <f>6371 * 2 * ASIN(SQRT(SIN(RADIANS((C508) - INDEX('Dataset_Wisata'!$C$12:$C$622, MATCH('Dashboard'!$C$9, 'Dataset_Wisata'!$A$12:$A$622, 0)))/2)^2 + COS(RADIANS(INDEX('Dataset_Wisata'!$C$12:$C$622, MATCH('Dashboard'!$C$9, 'Dataset_Wisata'!$A$12:$A$622, 0)))) * COS(RADIANS(C508)) * SIN(RADIANS((D508) - INDEX('Dataset_Wisata'!$D$12:$D$622, MATCH('Dashboard'!$C$9, 'Dataset_Wisata'!$A$12:$A$622, 0)))/2)^2)) * 1.3</f>
        <v/>
      </c>
      <c r="J508" s="21">
        <f>ROUND(I508 * IF('Dashboard'!$C$6&lt;=1, 2250, IF('Dashboard'!$C$6&lt;=4, 5150, 6000)), 0)</f>
        <v/>
      </c>
      <c r="K508" s="30" t="n">
        <v>0.9308463242459579</v>
      </c>
      <c r="L508" s="30" t="n">
        <v>0.06657347555553381</v>
      </c>
      <c r="M508" s="30" t="n">
        <v>0.002580200198508274</v>
      </c>
      <c r="N508" s="31">
        <f>ABS(E508-$F$6)</f>
        <v/>
      </c>
      <c r="O508" s="31">
        <f>ABS(E508-$F$7)</f>
        <v/>
      </c>
      <c r="P508" s="31">
        <f>ABS(E508-$F$8)</f>
        <v/>
      </c>
      <c r="Q508" s="14">
        <f>IF(K508&gt;=MAX(L508,M508), "Hemat", IF(L508&gt;=M508, "Balanced", "Premium"))</f>
        <v/>
      </c>
      <c r="R508" s="30" t="n">
        <v>0.9308463596628344</v>
      </c>
      <c r="S508" s="30" t="n">
        <v>0.06657344053890489</v>
      </c>
      <c r="T508" s="30" t="n">
        <v>0.002580199798260728</v>
      </c>
      <c r="U508" s="31">
        <f>ABS(E508-$G$6)</f>
        <v/>
      </c>
      <c r="V508" s="31">
        <f>ABS(E508-$G$7)</f>
        <v/>
      </c>
      <c r="W508" s="31">
        <f>ABS(E508-$G$8)</f>
        <v/>
      </c>
      <c r="X508" s="14">
        <f>IF(R508&gt;=MAX(S508,T508), "Hemat", IF(S508&gt;=T508, "Balanced", "Premium"))</f>
        <v/>
      </c>
    </row>
    <row r="509">
      <c r="A509" s="14" t="n">
        <v>514</v>
      </c>
      <c r="B509" s="7" t="inlineStr">
        <is>
          <t>Embung Wisata Lowokjati</t>
        </is>
      </c>
      <c r="C509" s="26" t="n">
        <v>-7.881695</v>
      </c>
      <c r="D509" s="26" t="n">
        <v>112.709796</v>
      </c>
      <c r="E509" s="21" t="n">
        <v>0</v>
      </c>
      <c r="F509" s="27" t="n">
        <v>4.2</v>
      </c>
      <c r="G509" s="28" t="n">
        <v>133</v>
      </c>
      <c r="H509" s="14" t="inlineStr">
        <is>
          <t>Embung Wisata Lowokjati</t>
        </is>
      </c>
      <c r="I509" s="29">
        <f>6371 * 2 * ASIN(SQRT(SIN(RADIANS((C509) - INDEX('Dataset_Wisata'!$C$12:$C$622, MATCH('Dashboard'!$C$9, 'Dataset_Wisata'!$A$12:$A$622, 0)))/2)^2 + COS(RADIANS(INDEX('Dataset_Wisata'!$C$12:$C$622, MATCH('Dashboard'!$C$9, 'Dataset_Wisata'!$A$12:$A$622, 0)))) * COS(RADIANS(C509)) * SIN(RADIANS((D509) - INDEX('Dataset_Wisata'!$D$12:$D$622, MATCH('Dashboard'!$C$9, 'Dataset_Wisata'!$A$12:$A$622, 0)))/2)^2)) * 1.3</f>
        <v/>
      </c>
      <c r="J509" s="21">
        <f>ROUND(I509 * IF('Dashboard'!$C$6&lt;=1, 2250, IF('Dashboard'!$C$6&lt;=4, 5150, 6000)), 0)</f>
        <v/>
      </c>
      <c r="K509" s="30" t="n">
        <v>0.9626824510005771</v>
      </c>
      <c r="L509" s="30" t="n">
        <v>0.03465542295845363</v>
      </c>
      <c r="M509" s="30" t="n">
        <v>0.002662126040969366</v>
      </c>
      <c r="N509" s="31">
        <f>ABS(E509-$F$6)</f>
        <v/>
      </c>
      <c r="O509" s="31">
        <f>ABS(E509-$F$7)</f>
        <v/>
      </c>
      <c r="P509" s="31">
        <f>ABS(E509-$F$8)</f>
        <v/>
      </c>
      <c r="Q509" s="14">
        <f>IF(K509&gt;=MAX(L509,M509), "Hemat", IF(L509&gt;=M509, "Balanced", "Premium"))</f>
        <v/>
      </c>
      <c r="R509" s="30" t="n">
        <v>0.9626824549241798</v>
      </c>
      <c r="S509" s="30" t="n">
        <v>0.03465541875469833</v>
      </c>
      <c r="T509" s="30" t="n">
        <v>0.002662126321121907</v>
      </c>
      <c r="U509" s="31">
        <f>ABS(E509-$G$6)</f>
        <v/>
      </c>
      <c r="V509" s="31">
        <f>ABS(E509-$G$7)</f>
        <v/>
      </c>
      <c r="W509" s="31">
        <f>ABS(E509-$G$8)</f>
        <v/>
      </c>
      <c r="X509" s="14">
        <f>IF(R509&gt;=MAX(S509,T509), "Hemat", IF(S509&gt;=T509, "Balanced", "Premium"))</f>
        <v/>
      </c>
    </row>
    <row r="510">
      <c r="A510" s="14" t="n">
        <v>515</v>
      </c>
      <c r="B510" s="7" t="inlineStr">
        <is>
          <t>Museum Singhasari</t>
        </is>
      </c>
      <c r="C510" s="26" t="n">
        <v>-7.8812355</v>
      </c>
      <c r="D510" s="26" t="n">
        <v>112.6414677</v>
      </c>
      <c r="E510" s="21" t="n">
        <v>0</v>
      </c>
      <c r="F510" s="27" t="n">
        <v>4.3</v>
      </c>
      <c r="G510" s="28" t="n">
        <v>880</v>
      </c>
      <c r="H510" s="14" t="inlineStr">
        <is>
          <t>Museum Singhasari</t>
        </is>
      </c>
      <c r="I510" s="29">
        <f>6371 * 2 * ASIN(SQRT(SIN(RADIANS((C510) - INDEX('Dataset_Wisata'!$C$12:$C$622, MATCH('Dashboard'!$C$9, 'Dataset_Wisata'!$A$12:$A$622, 0)))/2)^2 + COS(RADIANS(INDEX('Dataset_Wisata'!$C$12:$C$622, MATCH('Dashboard'!$C$9, 'Dataset_Wisata'!$A$12:$A$622, 0)))) * COS(RADIANS(C510)) * SIN(RADIANS((D510) - INDEX('Dataset_Wisata'!$D$12:$D$622, MATCH('Dashboard'!$C$9, 'Dataset_Wisata'!$A$12:$A$622, 0)))/2)^2)) * 1.3</f>
        <v/>
      </c>
      <c r="J510" s="21">
        <f>ROUND(I510 * IF('Dashboard'!$C$6&lt;=1, 2250, IF('Dashboard'!$C$6&lt;=4, 5150, 6000)), 0)</f>
        <v/>
      </c>
      <c r="K510" s="30" t="n">
        <v>0.9626824510005771</v>
      </c>
      <c r="L510" s="30" t="n">
        <v>0.03465542295845363</v>
      </c>
      <c r="M510" s="30" t="n">
        <v>0.002662126040969366</v>
      </c>
      <c r="N510" s="31">
        <f>ABS(E510-$F$6)</f>
        <v/>
      </c>
      <c r="O510" s="31">
        <f>ABS(E510-$F$7)</f>
        <v/>
      </c>
      <c r="P510" s="31">
        <f>ABS(E510-$F$8)</f>
        <v/>
      </c>
      <c r="Q510" s="14">
        <f>IF(K510&gt;=MAX(L510,M510), "Hemat", IF(L510&gt;=M510, "Balanced", "Premium"))</f>
        <v/>
      </c>
      <c r="R510" s="30" t="n">
        <v>0.9626824549241798</v>
      </c>
      <c r="S510" s="30" t="n">
        <v>0.03465541875469833</v>
      </c>
      <c r="T510" s="30" t="n">
        <v>0.002662126321121907</v>
      </c>
      <c r="U510" s="31">
        <f>ABS(E510-$G$6)</f>
        <v/>
      </c>
      <c r="V510" s="31">
        <f>ABS(E510-$G$7)</f>
        <v/>
      </c>
      <c r="W510" s="31">
        <f>ABS(E510-$G$8)</f>
        <v/>
      </c>
      <c r="X510" s="14">
        <f>IF(R510&gt;=MAX(S510,T510), "Hemat", IF(S510&gt;=T510, "Balanced", "Premium"))</f>
        <v/>
      </c>
    </row>
    <row r="511">
      <c r="A511" s="14" t="n">
        <v>516</v>
      </c>
      <c r="B511" s="7" t="inlineStr">
        <is>
          <t>Pemandian Kalireco</t>
        </is>
      </c>
      <c r="C511" s="26" t="n">
        <v>-7.8427</v>
      </c>
      <c r="D511" s="26" t="n">
        <v>112.700403</v>
      </c>
      <c r="E511" s="21" t="n">
        <v>5000</v>
      </c>
      <c r="F511" s="27" t="n">
        <v>4.2</v>
      </c>
      <c r="G511" s="28" t="n">
        <v>1035</v>
      </c>
      <c r="H511" s="14" t="inlineStr">
        <is>
          <t>Wisata Umum</t>
        </is>
      </c>
      <c r="I511" s="29">
        <f>6371 * 2 * ASIN(SQRT(SIN(RADIANS((C511) - INDEX('Dataset_Wisata'!$C$12:$C$622, MATCH('Dashboard'!$C$9, 'Dataset_Wisata'!$A$12:$A$622, 0)))/2)^2 + COS(RADIANS(INDEX('Dataset_Wisata'!$C$12:$C$622, MATCH('Dashboard'!$C$9, 'Dataset_Wisata'!$A$12:$A$622, 0)))) * COS(RADIANS(C511)) * SIN(RADIANS((D511) - INDEX('Dataset_Wisata'!$D$12:$D$622, MATCH('Dashboard'!$C$9, 'Dataset_Wisata'!$A$12:$A$622, 0)))/2)^2)) * 1.3</f>
        <v/>
      </c>
      <c r="J511" s="21">
        <f>ROUND(I511 * IF('Dashboard'!$C$6&lt;=1, 2250, IF('Dashboard'!$C$6&lt;=4, 5150, 6000)), 0)</f>
        <v/>
      </c>
      <c r="K511" s="30" t="n">
        <v>0.9895566543895754</v>
      </c>
      <c r="L511" s="30" t="n">
        <v>0.009798611400025654</v>
      </c>
      <c r="M511" s="30" t="n">
        <v>0.0006447342103988783</v>
      </c>
      <c r="N511" s="31">
        <f>ABS(E511-$F$6)</f>
        <v/>
      </c>
      <c r="O511" s="31">
        <f>ABS(E511-$F$7)</f>
        <v/>
      </c>
      <c r="P511" s="31">
        <f>ABS(E511-$F$8)</f>
        <v/>
      </c>
      <c r="Q511" s="14">
        <f>IF(K511&gt;=MAX(L511,M511), "Hemat", IF(L511&gt;=M511, "Balanced", "Premium"))</f>
        <v/>
      </c>
      <c r="R511" s="30" t="n">
        <v>0.9895566542341836</v>
      </c>
      <c r="S511" s="30" t="n">
        <v>0.00979861139170024</v>
      </c>
      <c r="T511" s="30" t="n">
        <v>0.00064473437411607</v>
      </c>
      <c r="U511" s="31">
        <f>ABS(E511-$G$6)</f>
        <v/>
      </c>
      <c r="V511" s="31">
        <f>ABS(E511-$G$7)</f>
        <v/>
      </c>
      <c r="W511" s="31">
        <f>ABS(E511-$G$8)</f>
        <v/>
      </c>
      <c r="X511" s="14">
        <f>IF(R511&gt;=MAX(S511,T511), "Hemat", IF(S511&gt;=T511, "Balanced", "Premium"))</f>
        <v/>
      </c>
    </row>
    <row r="512">
      <c r="A512" s="14" t="n">
        <v>517</v>
      </c>
      <c r="B512" s="7" t="inlineStr">
        <is>
          <t>Graha Wiyata Outbound &amp; Aneka Edukasi</t>
        </is>
      </c>
      <c r="C512" s="26" t="n">
        <v>-7.852215</v>
      </c>
      <c r="D512" s="26" t="n">
        <v>112.6932042</v>
      </c>
      <c r="E512" s="21" t="n">
        <v>80000</v>
      </c>
      <c r="F512" s="27" t="n">
        <v>4.4</v>
      </c>
      <c r="G512" s="28" t="n">
        <v>69</v>
      </c>
      <c r="H512" s="14" t="inlineStr">
        <is>
          <t>Wisata Umum</t>
        </is>
      </c>
      <c r="I512" s="29">
        <f>6371 * 2 * ASIN(SQRT(SIN(RADIANS((C512) - INDEX('Dataset_Wisata'!$C$12:$C$622, MATCH('Dashboard'!$C$9, 'Dataset_Wisata'!$A$12:$A$622, 0)))/2)^2 + COS(RADIANS(INDEX('Dataset_Wisata'!$C$12:$C$622, MATCH('Dashboard'!$C$9, 'Dataset_Wisata'!$A$12:$A$622, 0)))) * COS(RADIANS(C512)) * SIN(RADIANS((D512) - INDEX('Dataset_Wisata'!$D$12:$D$622, MATCH('Dashboard'!$C$9, 'Dataset_Wisata'!$A$12:$A$622, 0)))/2)^2)) * 1.3</f>
        <v/>
      </c>
      <c r="J512" s="21">
        <f>ROUND(I512 * IF('Dashboard'!$C$6&lt;=1, 2250, IF('Dashboard'!$C$6&lt;=4, 5150, 6000)), 0)</f>
        <v/>
      </c>
      <c r="K512" s="30" t="n">
        <v>0.1430865474963159</v>
      </c>
      <c r="L512" s="30" t="n">
        <v>0.7858043502957426</v>
      </c>
      <c r="M512" s="30" t="n">
        <v>0.0711091022079416</v>
      </c>
      <c r="N512" s="31">
        <f>ABS(E512-$F$6)</f>
        <v/>
      </c>
      <c r="O512" s="31">
        <f>ABS(E512-$F$7)</f>
        <v/>
      </c>
      <c r="P512" s="31">
        <f>ABS(E512-$F$8)</f>
        <v/>
      </c>
      <c r="Q512" s="14">
        <f>IF(K512&gt;=MAX(L512,M512), "Hemat", IF(L512&gt;=M512, "Balanced", "Premium"))</f>
        <v/>
      </c>
      <c r="R512" s="30" t="n">
        <v>0.1430865014034206</v>
      </c>
      <c r="S512" s="30" t="n">
        <v>0.7858044252705766</v>
      </c>
      <c r="T512" s="30" t="n">
        <v>0.07110907332600279</v>
      </c>
      <c r="U512" s="31">
        <f>ABS(E512-$G$6)</f>
        <v/>
      </c>
      <c r="V512" s="31">
        <f>ABS(E512-$G$7)</f>
        <v/>
      </c>
      <c r="W512" s="31">
        <f>ABS(E512-$G$8)</f>
        <v/>
      </c>
      <c r="X512" s="14">
        <f>IF(R512&gt;=MAX(S512,T512), "Hemat", IF(S512&gt;=T512, "Balanced", "Premium"))</f>
        <v/>
      </c>
    </row>
    <row r="513">
      <c r="A513" s="14" t="n">
        <v>518</v>
      </c>
      <c r="B513" s="7" t="inlineStr">
        <is>
          <t>Kedok omboh gunungrejo kreweh</t>
        </is>
      </c>
      <c r="C513" s="26" t="n">
        <v>-7.8682936</v>
      </c>
      <c r="D513" s="26" t="n">
        <v>112.6487795</v>
      </c>
      <c r="E513" s="21" t="n">
        <v>5000</v>
      </c>
      <c r="F513" s="27" t="n">
        <v>4.5</v>
      </c>
      <c r="G513" s="28" t="n">
        <v>41</v>
      </c>
      <c r="H513" s="14" t="inlineStr">
        <is>
          <t>Kedok omboh gunungrejo kreweh</t>
        </is>
      </c>
      <c r="I513" s="29">
        <f>6371 * 2 * ASIN(SQRT(SIN(RADIANS((C513) - INDEX('Dataset_Wisata'!$C$12:$C$622, MATCH('Dashboard'!$C$9, 'Dataset_Wisata'!$A$12:$A$622, 0)))/2)^2 + COS(RADIANS(INDEX('Dataset_Wisata'!$C$12:$C$622, MATCH('Dashboard'!$C$9, 'Dataset_Wisata'!$A$12:$A$622, 0)))) * COS(RADIANS(C513)) * SIN(RADIANS((D513) - INDEX('Dataset_Wisata'!$D$12:$D$622, MATCH('Dashboard'!$C$9, 'Dataset_Wisata'!$A$12:$A$622, 0)))/2)^2)) * 1.3</f>
        <v/>
      </c>
      <c r="J513" s="21">
        <f>ROUND(I513 * IF('Dashboard'!$C$6&lt;=1, 2250, IF('Dashboard'!$C$6&lt;=4, 5150, 6000)), 0)</f>
        <v/>
      </c>
      <c r="K513" s="30" t="n">
        <v>0.9895566543895754</v>
      </c>
      <c r="L513" s="30" t="n">
        <v>0.009798611400025654</v>
      </c>
      <c r="M513" s="30" t="n">
        <v>0.0006447342103988783</v>
      </c>
      <c r="N513" s="31">
        <f>ABS(E513-$F$6)</f>
        <v/>
      </c>
      <c r="O513" s="31">
        <f>ABS(E513-$F$7)</f>
        <v/>
      </c>
      <c r="P513" s="31">
        <f>ABS(E513-$F$8)</f>
        <v/>
      </c>
      <c r="Q513" s="14">
        <f>IF(K513&gt;=MAX(L513,M513), "Hemat", IF(L513&gt;=M513, "Balanced", "Premium"))</f>
        <v/>
      </c>
      <c r="R513" s="30" t="n">
        <v>0.9895566542341836</v>
      </c>
      <c r="S513" s="30" t="n">
        <v>0.00979861139170024</v>
      </c>
      <c r="T513" s="30" t="n">
        <v>0.00064473437411607</v>
      </c>
      <c r="U513" s="31">
        <f>ABS(E513-$G$6)</f>
        <v/>
      </c>
      <c r="V513" s="31">
        <f>ABS(E513-$G$7)</f>
        <v/>
      </c>
      <c r="W513" s="31">
        <f>ABS(E513-$G$8)</f>
        <v/>
      </c>
      <c r="X513" s="14">
        <f>IF(R513&gt;=MAX(S513,T513), "Hemat", IF(S513&gt;=T513, "Balanced", "Premium"))</f>
        <v/>
      </c>
    </row>
    <row r="514">
      <c r="A514" s="14" t="n">
        <v>519</v>
      </c>
      <c r="B514" s="7" t="inlineStr">
        <is>
          <t>KEK Singhasari</t>
        </is>
      </c>
      <c r="C514" s="26" t="n">
        <v>-7.8812653</v>
      </c>
      <c r="D514" s="26" t="n">
        <v>112.6421199</v>
      </c>
      <c r="E514" s="21" t="n">
        <v>30000</v>
      </c>
      <c r="F514" s="27" t="n">
        <v>4.7</v>
      </c>
      <c r="G514" s="28" t="n">
        <v>216</v>
      </c>
      <c r="H514" s="14" t="inlineStr">
        <is>
          <t>"Tempat wisata murah dan bersih."</t>
        </is>
      </c>
      <c r="I514" s="29">
        <f>6371 * 2 * ASIN(SQRT(SIN(RADIANS((C514) - INDEX('Dataset_Wisata'!$C$12:$C$622, MATCH('Dashboard'!$C$9, 'Dataset_Wisata'!$A$12:$A$622, 0)))/2)^2 + COS(RADIANS(INDEX('Dataset_Wisata'!$C$12:$C$622, MATCH('Dashboard'!$C$9, 'Dataset_Wisata'!$A$12:$A$622, 0)))) * COS(RADIANS(C514)) * SIN(RADIANS((D514) - INDEX('Dataset_Wisata'!$D$12:$D$622, MATCH('Dashboard'!$C$9, 'Dataset_Wisata'!$A$12:$A$622, 0)))/2)^2)) * 1.3</f>
        <v/>
      </c>
      <c r="J514" s="21">
        <f>ROUND(I514 * IF('Dashboard'!$C$6&lt;=1, 2250, IF('Dashboard'!$C$6&lt;=4, 5150, 6000)), 0)</f>
        <v/>
      </c>
      <c r="K514" s="30" t="n">
        <v>0.4800921289599558</v>
      </c>
      <c r="L514" s="30" t="n">
        <v>0.5109191138653489</v>
      </c>
      <c r="M514" s="30" t="n">
        <v>0.008988757174695291</v>
      </c>
      <c r="N514" s="31">
        <f>ABS(E514-$F$6)</f>
        <v/>
      </c>
      <c r="O514" s="31">
        <f>ABS(E514-$F$7)</f>
        <v/>
      </c>
      <c r="P514" s="31">
        <f>ABS(E514-$F$8)</f>
        <v/>
      </c>
      <c r="Q514" s="14">
        <f>IF(K514&gt;=MAX(L514,M514), "Hemat", IF(L514&gt;=M514, "Balanced", "Premium"))</f>
        <v/>
      </c>
      <c r="R514" s="30" t="n">
        <v>0.4800923067166307</v>
      </c>
      <c r="S514" s="30" t="n">
        <v>0.5109189337438159</v>
      </c>
      <c r="T514" s="30" t="n">
        <v>0.008988759539553422</v>
      </c>
      <c r="U514" s="31">
        <f>ABS(E514-$G$6)</f>
        <v/>
      </c>
      <c r="V514" s="31">
        <f>ABS(E514-$G$7)</f>
        <v/>
      </c>
      <c r="W514" s="31">
        <f>ABS(E514-$G$8)</f>
        <v/>
      </c>
      <c r="X514" s="14">
        <f>IF(R514&gt;=MAX(S514,T514), "Hemat", IF(S514&gt;=T514, "Balanced", "Premium"))</f>
        <v/>
      </c>
    </row>
    <row r="515">
      <c r="A515" s="14" t="n">
        <v>520</v>
      </c>
      <c r="B515" s="7" t="inlineStr">
        <is>
          <t>Coban Misteri Supit Urang</t>
        </is>
      </c>
      <c r="C515" s="26" t="n">
        <v>-7.8633084</v>
      </c>
      <c r="D515" s="26" t="n">
        <v>112.7333337</v>
      </c>
      <c r="E515" s="21" t="n">
        <v>5000</v>
      </c>
      <c r="F515" s="27" t="n">
        <v>3.8</v>
      </c>
      <c r="G515" s="28" t="n">
        <v>89</v>
      </c>
      <c r="H515" s="14" t="inlineStr">
        <is>
          <t>Wisata Umum</t>
        </is>
      </c>
      <c r="I515" s="29">
        <f>6371 * 2 * ASIN(SQRT(SIN(RADIANS((C515) - INDEX('Dataset_Wisata'!$C$12:$C$622, MATCH('Dashboard'!$C$9, 'Dataset_Wisata'!$A$12:$A$622, 0)))/2)^2 + COS(RADIANS(INDEX('Dataset_Wisata'!$C$12:$C$622, MATCH('Dashboard'!$C$9, 'Dataset_Wisata'!$A$12:$A$622, 0)))) * COS(RADIANS(C515)) * SIN(RADIANS((D515) - INDEX('Dataset_Wisata'!$D$12:$D$622, MATCH('Dashboard'!$C$9, 'Dataset_Wisata'!$A$12:$A$622, 0)))/2)^2)) * 1.3</f>
        <v/>
      </c>
      <c r="J515" s="21">
        <f>ROUND(I515 * IF('Dashboard'!$C$6&lt;=1, 2250, IF('Dashboard'!$C$6&lt;=4, 5150, 6000)), 0)</f>
        <v/>
      </c>
      <c r="K515" s="30" t="n">
        <v>0.9895566543895754</v>
      </c>
      <c r="L515" s="30" t="n">
        <v>0.009798611400025654</v>
      </c>
      <c r="M515" s="30" t="n">
        <v>0.0006447342103988783</v>
      </c>
      <c r="N515" s="31">
        <f>ABS(E515-$F$6)</f>
        <v/>
      </c>
      <c r="O515" s="31">
        <f>ABS(E515-$F$7)</f>
        <v/>
      </c>
      <c r="P515" s="31">
        <f>ABS(E515-$F$8)</f>
        <v/>
      </c>
      <c r="Q515" s="14">
        <f>IF(K515&gt;=MAX(L515,M515), "Hemat", IF(L515&gt;=M515, "Balanced", "Premium"))</f>
        <v/>
      </c>
      <c r="R515" s="30" t="n">
        <v>0.9895566542341836</v>
      </c>
      <c r="S515" s="30" t="n">
        <v>0.00979861139170024</v>
      </c>
      <c r="T515" s="30" t="n">
        <v>0.00064473437411607</v>
      </c>
      <c r="U515" s="31">
        <f>ABS(E515-$G$6)</f>
        <v/>
      </c>
      <c r="V515" s="31">
        <f>ABS(E515-$G$7)</f>
        <v/>
      </c>
      <c r="W515" s="31">
        <f>ABS(E515-$G$8)</f>
        <v/>
      </c>
      <c r="X515" s="14">
        <f>IF(R515&gt;=MAX(S515,T515), "Hemat", IF(S515&gt;=T515, "Balanced", "Premium"))</f>
        <v/>
      </c>
    </row>
    <row r="516">
      <c r="A516" s="14" t="n">
        <v>521</v>
      </c>
      <c r="B516" s="7" t="inlineStr">
        <is>
          <t>Wisata Latar Bale</t>
        </is>
      </c>
      <c r="C516" s="26" t="n">
        <v>-7.8341338</v>
      </c>
      <c r="D516" s="26" t="n">
        <v>112.7091875</v>
      </c>
      <c r="E516" s="21" t="n">
        <v>0</v>
      </c>
      <c r="F516" s="27" t="n">
        <v>4.3</v>
      </c>
      <c r="G516" s="28" t="n">
        <v>44</v>
      </c>
      <c r="H516" s="14" t="inlineStr">
        <is>
          <t>Wisata Latar Bale</t>
        </is>
      </c>
      <c r="I516" s="29">
        <f>6371 * 2 * ASIN(SQRT(SIN(RADIANS((C516) - INDEX('Dataset_Wisata'!$C$12:$C$622, MATCH('Dashboard'!$C$9, 'Dataset_Wisata'!$A$12:$A$622, 0)))/2)^2 + COS(RADIANS(INDEX('Dataset_Wisata'!$C$12:$C$622, MATCH('Dashboard'!$C$9, 'Dataset_Wisata'!$A$12:$A$622, 0)))) * COS(RADIANS(C516)) * SIN(RADIANS((D516) - INDEX('Dataset_Wisata'!$D$12:$D$622, MATCH('Dashboard'!$C$9, 'Dataset_Wisata'!$A$12:$A$622, 0)))/2)^2)) * 1.3</f>
        <v/>
      </c>
      <c r="J516" s="21">
        <f>ROUND(I516 * IF('Dashboard'!$C$6&lt;=1, 2250, IF('Dashboard'!$C$6&lt;=4, 5150, 6000)), 0)</f>
        <v/>
      </c>
      <c r="K516" s="30" t="n">
        <v>0.9626824510005771</v>
      </c>
      <c r="L516" s="30" t="n">
        <v>0.03465542295845363</v>
      </c>
      <c r="M516" s="30" t="n">
        <v>0.002662126040969366</v>
      </c>
      <c r="N516" s="31">
        <f>ABS(E516-$F$6)</f>
        <v/>
      </c>
      <c r="O516" s="31">
        <f>ABS(E516-$F$7)</f>
        <v/>
      </c>
      <c r="P516" s="31">
        <f>ABS(E516-$F$8)</f>
        <v/>
      </c>
      <c r="Q516" s="14">
        <f>IF(K516&gt;=MAX(L516,M516), "Hemat", IF(L516&gt;=M516, "Balanced", "Premium"))</f>
        <v/>
      </c>
      <c r="R516" s="30" t="n">
        <v>0.9626824549241798</v>
      </c>
      <c r="S516" s="30" t="n">
        <v>0.03465541875469833</v>
      </c>
      <c r="T516" s="30" t="n">
        <v>0.002662126321121907</v>
      </c>
      <c r="U516" s="31">
        <f>ABS(E516-$G$6)</f>
        <v/>
      </c>
      <c r="V516" s="31">
        <f>ABS(E516-$G$7)</f>
        <v/>
      </c>
      <c r="W516" s="31">
        <f>ABS(E516-$G$8)</f>
        <v/>
      </c>
      <c r="X516" s="14">
        <f>IF(R516&gt;=MAX(S516,T516), "Hemat", IF(S516&gt;=T516, "Balanced", "Premium"))</f>
        <v/>
      </c>
    </row>
    <row r="517">
      <c r="A517" s="14" t="n">
        <v>522</v>
      </c>
      <c r="B517" s="7" t="inlineStr">
        <is>
          <t>VNR</t>
        </is>
      </c>
      <c r="C517" s="26" t="n">
        <v>-7.836392</v>
      </c>
      <c r="D517" s="26" t="n">
        <v>112.6799258</v>
      </c>
      <c r="E517" s="21" t="n">
        <v>10000</v>
      </c>
      <c r="F517" s="27" t="n">
        <v>4.7</v>
      </c>
      <c r="G517" s="28" t="n">
        <v>116</v>
      </c>
      <c r="H517" s="14" t="inlineStr">
        <is>
          <t>Tujuan Wisata · 5M7H+CXV</t>
        </is>
      </c>
      <c r="I517" s="29">
        <f>6371 * 2 * ASIN(SQRT(SIN(RADIANS((C517) - INDEX('Dataset_Wisata'!$C$12:$C$622, MATCH('Dashboard'!$C$9, 'Dataset_Wisata'!$A$12:$A$622, 0)))/2)^2 + COS(RADIANS(INDEX('Dataset_Wisata'!$C$12:$C$622, MATCH('Dashboard'!$C$9, 'Dataset_Wisata'!$A$12:$A$622, 0)))) * COS(RADIANS(C517)) * SIN(RADIANS((D517) - INDEX('Dataset_Wisata'!$D$12:$D$622, MATCH('Dashboard'!$C$9, 'Dataset_Wisata'!$A$12:$A$622, 0)))/2)^2)) * 1.3</f>
        <v/>
      </c>
      <c r="J517" s="21">
        <f>ROUND(I517 * IF('Dashboard'!$C$6&lt;=1, 2250, IF('Dashboard'!$C$6&lt;=4, 5150, 6000)), 0)</f>
        <v/>
      </c>
      <c r="K517" s="30" t="n">
        <v>0.9998126508185596</v>
      </c>
      <c r="L517" s="30" t="n">
        <v>0.0001775718391516968</v>
      </c>
      <c r="M517" s="30" t="n">
        <v>9.7773422886897e-06</v>
      </c>
      <c r="N517" s="31">
        <f>ABS(E517-$F$6)</f>
        <v/>
      </c>
      <c r="O517" s="31">
        <f>ABS(E517-$F$7)</f>
        <v/>
      </c>
      <c r="P517" s="31">
        <f>ABS(E517-$F$8)</f>
        <v/>
      </c>
      <c r="Q517" s="14">
        <f>IF(K517&gt;=MAX(L517,M517), "Hemat", IF(L517&gt;=M517, "Balanced", "Premium"))</f>
        <v/>
      </c>
      <c r="R517" s="30" t="n">
        <v>0.9998126513362043</v>
      </c>
      <c r="S517" s="30" t="n">
        <v>0.0001775713458315561</v>
      </c>
      <c r="T517" s="30" t="n">
        <v>9.777317964159987e-06</v>
      </c>
      <c r="U517" s="31">
        <f>ABS(E517-$G$6)</f>
        <v/>
      </c>
      <c r="V517" s="31">
        <f>ABS(E517-$G$7)</f>
        <v/>
      </c>
      <c r="W517" s="31">
        <f>ABS(E517-$G$8)</f>
        <v/>
      </c>
      <c r="X517" s="14">
        <f>IF(R517&gt;=MAX(S517,T517), "Hemat", IF(S517&gt;=T517, "Balanced", "Premium"))</f>
        <v/>
      </c>
    </row>
    <row r="518">
      <c r="A518" s="14" t="n">
        <v>523</v>
      </c>
      <c r="B518" s="7" t="inlineStr">
        <is>
          <t>Bukit Mendek Wetan</t>
        </is>
      </c>
      <c r="C518" s="26" t="n">
        <v>-7.8550625</v>
      </c>
      <c r="D518" s="26" t="n">
        <v>112.7399375</v>
      </c>
      <c r="E518" s="21" t="n">
        <v>15000</v>
      </c>
      <c r="F518" s="27" t="n">
        <v>4.5</v>
      </c>
      <c r="G518" s="28" t="n">
        <v>42</v>
      </c>
      <c r="H518" s="14" t="inlineStr">
        <is>
          <t>Tujuan Wisata · </t>
        </is>
      </c>
      <c r="I518" s="29">
        <f>6371 * 2 * ASIN(SQRT(SIN(RADIANS((C518) - INDEX('Dataset_Wisata'!$C$12:$C$622, MATCH('Dashboard'!$C$9, 'Dataset_Wisata'!$A$12:$A$622, 0)))/2)^2 + COS(RADIANS(INDEX('Dataset_Wisata'!$C$12:$C$622, MATCH('Dashboard'!$C$9, 'Dataset_Wisata'!$A$12:$A$622, 0)))) * COS(RADIANS(C518)) * SIN(RADIANS((D518) - INDEX('Dataset_Wisata'!$D$12:$D$622, MATCH('Dashboard'!$C$9, 'Dataset_Wisata'!$A$12:$A$622, 0)))/2)^2)) * 1.3</f>
        <v/>
      </c>
      <c r="J518" s="21">
        <f>ROUND(I518 * IF('Dashboard'!$C$6&lt;=1, 2250, IF('Dashboard'!$C$6&lt;=4, 5150, 6000)), 0)</f>
        <v/>
      </c>
      <c r="K518" s="30" t="n">
        <v>0.9744283047002794</v>
      </c>
      <c r="L518" s="30" t="n">
        <v>0.02447712712252609</v>
      </c>
      <c r="M518" s="30" t="n">
        <v>0.001094568177194568</v>
      </c>
      <c r="N518" s="31">
        <f>ABS(E518-$F$6)</f>
        <v/>
      </c>
      <c r="O518" s="31">
        <f>ABS(E518-$F$7)</f>
        <v/>
      </c>
      <c r="P518" s="31">
        <f>ABS(E518-$F$8)</f>
        <v/>
      </c>
      <c r="Q518" s="14">
        <f>IF(K518&gt;=MAX(L518,M518), "Hemat", IF(L518&gt;=M518, "Balanced", "Premium"))</f>
        <v/>
      </c>
      <c r="R518" s="30" t="n">
        <v>0.9744283195785179</v>
      </c>
      <c r="S518" s="30" t="n">
        <v>0.02447711252884811</v>
      </c>
      <c r="T518" s="30" t="n">
        <v>0.001094567892634054</v>
      </c>
      <c r="U518" s="31">
        <f>ABS(E518-$G$6)</f>
        <v/>
      </c>
      <c r="V518" s="31">
        <f>ABS(E518-$G$7)</f>
        <v/>
      </c>
      <c r="W518" s="31">
        <f>ABS(E518-$G$8)</f>
        <v/>
      </c>
      <c r="X518" s="14">
        <f>IF(R518&gt;=MAX(S518,T518), "Hemat", IF(S518&gt;=T518, "Balanced", "Premium"))</f>
        <v/>
      </c>
    </row>
    <row r="519">
      <c r="A519" s="14" t="n">
        <v>524</v>
      </c>
      <c r="B519" s="7" t="inlineStr">
        <is>
          <t>Taman Segitiga</t>
        </is>
      </c>
      <c r="C519" s="26" t="n">
        <v>-7.8311463</v>
      </c>
      <c r="D519" s="26" t="n">
        <v>112.6912865</v>
      </c>
      <c r="E519" s="21" t="n">
        <v>7000</v>
      </c>
      <c r="F519" s="27" t="n">
        <v>4.1</v>
      </c>
      <c r="G519" s="28" t="n">
        <v>280</v>
      </c>
      <c r="H519" s="14" t="inlineStr">
        <is>
          <t>Taman Segitiga</t>
        </is>
      </c>
      <c r="I519" s="29">
        <f>6371 * 2 * ASIN(SQRT(SIN(RADIANS((C519) - INDEX('Dataset_Wisata'!$C$12:$C$622, MATCH('Dashboard'!$C$9, 'Dataset_Wisata'!$A$12:$A$622, 0)))/2)^2 + COS(RADIANS(INDEX('Dataset_Wisata'!$C$12:$C$622, MATCH('Dashboard'!$C$9, 'Dataset_Wisata'!$A$12:$A$622, 0)))) * COS(RADIANS(C519)) * SIN(RADIANS((D519) - INDEX('Dataset_Wisata'!$D$12:$D$622, MATCH('Dashboard'!$C$9, 'Dataset_Wisata'!$A$12:$A$622, 0)))/2)^2)) * 1.3</f>
        <v/>
      </c>
      <c r="J519" s="21">
        <f>ROUND(I519 * IF('Dashboard'!$C$6&lt;=1, 2250, IF('Dashboard'!$C$6&lt;=4, 5150, 6000)), 0)</f>
        <v/>
      </c>
      <c r="K519" s="30" t="n">
        <v>0.9964990922780733</v>
      </c>
      <c r="L519" s="30" t="n">
        <v>0.003298187596112103</v>
      </c>
      <c r="M519" s="30" t="n">
        <v>0.0002027201258145054</v>
      </c>
      <c r="N519" s="31">
        <f>ABS(E519-$F$6)</f>
        <v/>
      </c>
      <c r="O519" s="31">
        <f>ABS(E519-$F$7)</f>
        <v/>
      </c>
      <c r="P519" s="31">
        <f>ABS(E519-$F$8)</f>
        <v/>
      </c>
      <c r="Q519" s="14">
        <f>IF(K519&gt;=MAX(L519,M519), "Hemat", IF(L519&gt;=M519, "Balanced", "Premium"))</f>
        <v/>
      </c>
      <c r="R519" s="30" t="n">
        <v>0.9964990914496938</v>
      </c>
      <c r="S519" s="30" t="n">
        <v>0.003298188325346893</v>
      </c>
      <c r="T519" s="30" t="n">
        <v>0.000202720224959229</v>
      </c>
      <c r="U519" s="31">
        <f>ABS(E519-$G$6)</f>
        <v/>
      </c>
      <c r="V519" s="31">
        <f>ABS(E519-$G$7)</f>
        <v/>
      </c>
      <c r="W519" s="31">
        <f>ABS(E519-$G$8)</f>
        <v/>
      </c>
      <c r="X519" s="14">
        <f>IF(R519&gt;=MAX(S519,T519), "Hemat", IF(S519&gt;=T519, "Balanced", "Premium"))</f>
        <v/>
      </c>
    </row>
    <row r="520">
      <c r="A520" s="14" t="n">
        <v>525</v>
      </c>
      <c r="B520" s="7" t="inlineStr">
        <is>
          <t>Goa Mlaten</t>
        </is>
      </c>
      <c r="C520" s="26" t="n">
        <v>-7.8419384</v>
      </c>
      <c r="D520" s="26" t="n">
        <v>112.6861651</v>
      </c>
      <c r="E520" s="21" t="n">
        <v>10000</v>
      </c>
      <c r="F520" s="27" t="n">
        <v>4</v>
      </c>
      <c r="G520" s="28" t="n">
        <v>81</v>
      </c>
      <c r="H520" s="14" t="inlineStr">
        <is>
          <t>Wisata Umum</t>
        </is>
      </c>
      <c r="I520" s="29">
        <f>6371 * 2 * ASIN(SQRT(SIN(RADIANS((C520) - INDEX('Dataset_Wisata'!$C$12:$C$622, MATCH('Dashboard'!$C$9, 'Dataset_Wisata'!$A$12:$A$622, 0)))/2)^2 + COS(RADIANS(INDEX('Dataset_Wisata'!$C$12:$C$622, MATCH('Dashboard'!$C$9, 'Dataset_Wisata'!$A$12:$A$622, 0)))) * COS(RADIANS(C520)) * SIN(RADIANS((D520) - INDEX('Dataset_Wisata'!$D$12:$D$622, MATCH('Dashboard'!$C$9, 'Dataset_Wisata'!$A$12:$A$622, 0)))/2)^2)) * 1.3</f>
        <v/>
      </c>
      <c r="J520" s="21">
        <f>ROUND(I520 * IF('Dashboard'!$C$6&lt;=1, 2250, IF('Dashboard'!$C$6&lt;=4, 5150, 6000)), 0)</f>
        <v/>
      </c>
      <c r="K520" s="30" t="n">
        <v>0.9998126508185596</v>
      </c>
      <c r="L520" s="30" t="n">
        <v>0.0001775718391516968</v>
      </c>
      <c r="M520" s="30" t="n">
        <v>9.7773422886897e-06</v>
      </c>
      <c r="N520" s="31">
        <f>ABS(E520-$F$6)</f>
        <v/>
      </c>
      <c r="O520" s="31">
        <f>ABS(E520-$F$7)</f>
        <v/>
      </c>
      <c r="P520" s="31">
        <f>ABS(E520-$F$8)</f>
        <v/>
      </c>
      <c r="Q520" s="14">
        <f>IF(K520&gt;=MAX(L520,M520), "Hemat", IF(L520&gt;=M520, "Balanced", "Premium"))</f>
        <v/>
      </c>
      <c r="R520" s="30" t="n">
        <v>0.9998126513362043</v>
      </c>
      <c r="S520" s="30" t="n">
        <v>0.0001775713458315561</v>
      </c>
      <c r="T520" s="30" t="n">
        <v>9.777317964159987e-06</v>
      </c>
      <c r="U520" s="31">
        <f>ABS(E520-$G$6)</f>
        <v/>
      </c>
      <c r="V520" s="31">
        <f>ABS(E520-$G$7)</f>
        <v/>
      </c>
      <c r="W520" s="31">
        <f>ABS(E520-$G$8)</f>
        <v/>
      </c>
      <c r="X520" s="14">
        <f>IF(R520&gt;=MAX(S520,T520), "Hemat", IF(S520&gt;=T520, "Balanced", "Premium"))</f>
        <v/>
      </c>
    </row>
    <row r="521">
      <c r="A521" s="14" t="n">
        <v>526</v>
      </c>
      <c r="B521" s="7" t="inlineStr">
        <is>
          <t>Sumber Waras</t>
        </is>
      </c>
      <c r="C521" s="26" t="n">
        <v>-7.8432233</v>
      </c>
      <c r="D521" s="26" t="n">
        <v>112.7029833</v>
      </c>
      <c r="E521" s="21" t="n">
        <v>0</v>
      </c>
      <c r="F521" s="27" t="n">
        <v>4.6</v>
      </c>
      <c r="G521" s="28" t="n">
        <v>20</v>
      </c>
      <c r="H521" s="14" t="inlineStr">
        <is>
          <t>Wisata Umum</t>
        </is>
      </c>
      <c r="I521" s="29">
        <f>6371 * 2 * ASIN(SQRT(SIN(RADIANS((C521) - INDEX('Dataset_Wisata'!$C$12:$C$622, MATCH('Dashboard'!$C$9, 'Dataset_Wisata'!$A$12:$A$622, 0)))/2)^2 + COS(RADIANS(INDEX('Dataset_Wisata'!$C$12:$C$622, MATCH('Dashboard'!$C$9, 'Dataset_Wisata'!$A$12:$A$622, 0)))) * COS(RADIANS(C521)) * SIN(RADIANS((D521) - INDEX('Dataset_Wisata'!$D$12:$D$622, MATCH('Dashboard'!$C$9, 'Dataset_Wisata'!$A$12:$A$622, 0)))/2)^2)) * 1.3</f>
        <v/>
      </c>
      <c r="J521" s="21">
        <f>ROUND(I521 * IF('Dashboard'!$C$6&lt;=1, 2250, IF('Dashboard'!$C$6&lt;=4, 5150, 6000)), 0)</f>
        <v/>
      </c>
      <c r="K521" s="30" t="n">
        <v>0.9626824510005771</v>
      </c>
      <c r="L521" s="30" t="n">
        <v>0.03465542295845363</v>
      </c>
      <c r="M521" s="30" t="n">
        <v>0.002662126040969366</v>
      </c>
      <c r="N521" s="31">
        <f>ABS(E521-$F$6)</f>
        <v/>
      </c>
      <c r="O521" s="31">
        <f>ABS(E521-$F$7)</f>
        <v/>
      </c>
      <c r="P521" s="31">
        <f>ABS(E521-$F$8)</f>
        <v/>
      </c>
      <c r="Q521" s="14">
        <f>IF(K521&gt;=MAX(L521,M521), "Hemat", IF(L521&gt;=M521, "Balanced", "Premium"))</f>
        <v/>
      </c>
      <c r="R521" s="30" t="n">
        <v>0.9626824549241798</v>
      </c>
      <c r="S521" s="30" t="n">
        <v>0.03465541875469833</v>
      </c>
      <c r="T521" s="30" t="n">
        <v>0.002662126321121907</v>
      </c>
      <c r="U521" s="31">
        <f>ABS(E521-$G$6)</f>
        <v/>
      </c>
      <c r="V521" s="31">
        <f>ABS(E521-$G$7)</f>
        <v/>
      </c>
      <c r="W521" s="31">
        <f>ABS(E521-$G$8)</f>
        <v/>
      </c>
      <c r="X521" s="14">
        <f>IF(R521&gt;=MAX(S521,T521), "Hemat", IF(S521&gt;=T521, "Balanced", "Premium"))</f>
        <v/>
      </c>
    </row>
    <row r="522">
      <c r="A522" s="14" t="n">
        <v>527</v>
      </c>
      <c r="B522" s="7" t="inlineStr">
        <is>
          <t>Arjuna Flower Garden</t>
        </is>
      </c>
      <c r="C522" s="26" t="n">
        <v>-7.8237299</v>
      </c>
      <c r="D522" s="26" t="n">
        <v>112.6568949</v>
      </c>
      <c r="E522" s="21" t="n">
        <v>37500</v>
      </c>
      <c r="F522" s="27" t="n">
        <v>4.8</v>
      </c>
      <c r="G522" s="28" t="n">
        <v>22</v>
      </c>
      <c r="H522" s="14" t="inlineStr">
        <is>
          <t>Tujuan Wisata · 5MG4+GQ2</t>
        </is>
      </c>
      <c r="I522" s="29">
        <f>6371 * 2 * ASIN(SQRT(SIN(RADIANS((C522) - INDEX('Dataset_Wisata'!$C$12:$C$622, MATCH('Dashboard'!$C$9, 'Dataset_Wisata'!$A$12:$A$622, 0)))/2)^2 + COS(RADIANS(INDEX('Dataset_Wisata'!$C$12:$C$622, MATCH('Dashboard'!$C$9, 'Dataset_Wisata'!$A$12:$A$622, 0)))) * COS(RADIANS(C522)) * SIN(RADIANS((D522) - INDEX('Dataset_Wisata'!$D$12:$D$622, MATCH('Dashboard'!$C$9, 'Dataset_Wisata'!$A$12:$A$622, 0)))/2)^2)) * 1.3</f>
        <v/>
      </c>
      <c r="J522" s="21">
        <f>ROUND(I522 * IF('Dashboard'!$C$6&lt;=1, 2250, IF('Dashboard'!$C$6&lt;=4, 5150, 6000)), 0)</f>
        <v/>
      </c>
      <c r="K522" s="30" t="n">
        <v>0.1626849498365887</v>
      </c>
      <c r="L522" s="30" t="n">
        <v>0.8310242216333417</v>
      </c>
      <c r="M522" s="30" t="n">
        <v>0.006290828530069549</v>
      </c>
      <c r="N522" s="31">
        <f>ABS(E522-$F$6)</f>
        <v/>
      </c>
      <c r="O522" s="31">
        <f>ABS(E522-$F$7)</f>
        <v/>
      </c>
      <c r="P522" s="31">
        <f>ABS(E522-$F$8)</f>
        <v/>
      </c>
      <c r="Q522" s="14">
        <f>IF(K522&gt;=MAX(L522,M522), "Hemat", IF(L522&gt;=M522, "Balanced", "Premium"))</f>
        <v/>
      </c>
      <c r="R522" s="30" t="n">
        <v>0.1626850992590537</v>
      </c>
      <c r="S522" s="30" t="n">
        <v>0.8310240670147204</v>
      </c>
      <c r="T522" s="30" t="n">
        <v>0.006290833726225803</v>
      </c>
      <c r="U522" s="31">
        <f>ABS(E522-$G$6)</f>
        <v/>
      </c>
      <c r="V522" s="31">
        <f>ABS(E522-$G$7)</f>
        <v/>
      </c>
      <c r="W522" s="31">
        <f>ABS(E522-$G$8)</f>
        <v/>
      </c>
      <c r="X522" s="14">
        <f>IF(R522&gt;=MAX(S522,T522), "Hemat", IF(S522&gt;=T522, "Balanced", "Premium"))</f>
        <v/>
      </c>
    </row>
    <row r="523">
      <c r="A523" s="14" t="n">
        <v>528</v>
      </c>
      <c r="B523" s="7" t="inlineStr">
        <is>
          <t>Pemandian Polaman</t>
        </is>
      </c>
      <c r="C523" s="26" t="n">
        <v>-7.844823</v>
      </c>
      <c r="D523" s="26" t="n">
        <v>112.6888171</v>
      </c>
      <c r="E523" s="21" t="n">
        <v>2000</v>
      </c>
      <c r="F523" s="27" t="n">
        <v>4.4</v>
      </c>
      <c r="G523" s="28" t="n">
        <v>107</v>
      </c>
      <c r="H523" s="14" t="inlineStr">
        <is>
          <t>Wisata Umum</t>
        </is>
      </c>
      <c r="I523" s="29">
        <f>6371 * 2 * ASIN(SQRT(SIN(RADIANS((C523) - INDEX('Dataset_Wisata'!$C$12:$C$622, MATCH('Dashboard'!$C$9, 'Dataset_Wisata'!$A$12:$A$622, 0)))/2)^2 + COS(RADIANS(INDEX('Dataset_Wisata'!$C$12:$C$622, MATCH('Dashboard'!$C$9, 'Dataset_Wisata'!$A$12:$A$622, 0)))) * COS(RADIANS(C523)) * SIN(RADIANS((D523) - INDEX('Dataset_Wisata'!$D$12:$D$622, MATCH('Dashboard'!$C$9, 'Dataset_Wisata'!$A$12:$A$622, 0)))/2)^2)) * 1.3</f>
        <v/>
      </c>
      <c r="J523" s="21">
        <f>ROUND(I523 * IF('Dashboard'!$C$6&lt;=1, 2250, IF('Dashboard'!$C$6&lt;=4, 5150, 6000)), 0)</f>
        <v/>
      </c>
      <c r="K523" s="30" t="n">
        <v>0.9745968037531486</v>
      </c>
      <c r="L523" s="30" t="n">
        <v>0.02368856650344644</v>
      </c>
      <c r="M523" s="30" t="n">
        <v>0.001714629743404906</v>
      </c>
      <c r="N523" s="31">
        <f>ABS(E523-$F$6)</f>
        <v/>
      </c>
      <c r="O523" s="31">
        <f>ABS(E523-$F$7)</f>
        <v/>
      </c>
      <c r="P523" s="31">
        <f>ABS(E523-$F$8)</f>
        <v/>
      </c>
      <c r="Q523" s="14">
        <f>IF(K523&gt;=MAX(L523,M523), "Hemat", IF(L523&gt;=M523, "Balanced", "Premium"))</f>
        <v/>
      </c>
      <c r="R523" s="30" t="n">
        <v>0.9745968058205632</v>
      </c>
      <c r="S523" s="30" t="n">
        <v>0.02368856419646389</v>
      </c>
      <c r="T523" s="30" t="n">
        <v>0.001714629982972894</v>
      </c>
      <c r="U523" s="31">
        <f>ABS(E523-$G$6)</f>
        <v/>
      </c>
      <c r="V523" s="31">
        <f>ABS(E523-$G$7)</f>
        <v/>
      </c>
      <c r="W523" s="31">
        <f>ABS(E523-$G$8)</f>
        <v/>
      </c>
      <c r="X523" s="14">
        <f>IF(R523&gt;=MAX(S523,T523), "Hemat", IF(S523&gt;=T523, "Balanced", "Premium"))</f>
        <v/>
      </c>
    </row>
    <row r="524">
      <c r="A524" s="14" t="n">
        <v>529</v>
      </c>
      <c r="B524" s="7" t="inlineStr">
        <is>
          <t>Sendiki Beach</t>
        </is>
      </c>
      <c r="C524" s="26" t="n">
        <v>-8.416813100000001</v>
      </c>
      <c r="D524" s="26" t="n">
        <v>112.7259382</v>
      </c>
      <c r="E524" s="21" t="n">
        <v>20000</v>
      </c>
      <c r="F524" s="27" t="n">
        <v>4.8</v>
      </c>
      <c r="G524" s="28" t="n">
        <v>52</v>
      </c>
      <c r="H524" s="14" t="inlineStr">
        <is>
          <t>Wisata Umum</t>
        </is>
      </c>
      <c r="I524" s="29">
        <f>6371 * 2 * ASIN(SQRT(SIN(RADIANS((C524) - INDEX('Dataset_Wisata'!$C$12:$C$622, MATCH('Dashboard'!$C$9, 'Dataset_Wisata'!$A$12:$A$622, 0)))/2)^2 + COS(RADIANS(INDEX('Dataset_Wisata'!$C$12:$C$622, MATCH('Dashboard'!$C$9, 'Dataset_Wisata'!$A$12:$A$622, 0)))) * COS(RADIANS(C524)) * SIN(RADIANS((D524) - INDEX('Dataset_Wisata'!$D$12:$D$622, MATCH('Dashboard'!$C$9, 'Dataset_Wisata'!$A$12:$A$622, 0)))/2)^2)) * 1.3</f>
        <v/>
      </c>
      <c r="J524" s="21">
        <f>ROUND(I524 * IF('Dashboard'!$C$6&lt;=1, 2250, IF('Dashboard'!$C$6&lt;=4, 5150, 6000)), 0)</f>
        <v/>
      </c>
      <c r="K524" s="30" t="n">
        <v>0.8862296979094436</v>
      </c>
      <c r="L524" s="30" t="n">
        <v>0.1099329410905347</v>
      </c>
      <c r="M524" s="30" t="n">
        <v>0.003837361000021699</v>
      </c>
      <c r="N524" s="31">
        <f>ABS(E524-$F$6)</f>
        <v/>
      </c>
      <c r="O524" s="31">
        <f>ABS(E524-$F$7)</f>
        <v/>
      </c>
      <c r="P524" s="31">
        <f>ABS(E524-$F$8)</f>
        <v/>
      </c>
      <c r="Q524" s="14">
        <f>IF(K524&gt;=MAX(L524,M524), "Hemat", IF(L524&gt;=M524, "Balanced", "Premium"))</f>
        <v/>
      </c>
      <c r="R524" s="30" t="n">
        <v>0.8862297532761809</v>
      </c>
      <c r="S524" s="30" t="n">
        <v>0.1099328861159962</v>
      </c>
      <c r="T524" s="30" t="n">
        <v>0.003837360607822898</v>
      </c>
      <c r="U524" s="31">
        <f>ABS(E524-$G$6)</f>
        <v/>
      </c>
      <c r="V524" s="31">
        <f>ABS(E524-$G$7)</f>
        <v/>
      </c>
      <c r="W524" s="31">
        <f>ABS(E524-$G$8)</f>
        <v/>
      </c>
      <c r="X524" s="14">
        <f>IF(R524&gt;=MAX(S524,T524), "Hemat", IF(S524&gt;=T524, "Balanced", "Premium"))</f>
        <v/>
      </c>
    </row>
    <row r="525">
      <c r="A525" s="14" t="n">
        <v>530</v>
      </c>
      <c r="B525" s="7" t="inlineStr">
        <is>
          <t>Pantai Teluk Asmara</t>
        </is>
      </c>
      <c r="C525" s="26" t="n">
        <v>-8.4429424</v>
      </c>
      <c r="D525" s="26" t="n">
        <v>112.6654655</v>
      </c>
      <c r="E525" s="21" t="n">
        <v>15000</v>
      </c>
      <c r="F525" s="27" t="n">
        <v>4.5</v>
      </c>
      <c r="G525" s="28" t="n">
        <v>8256</v>
      </c>
      <c r="H525" s="14" t="inlineStr">
        <is>
          <t>Pantai Teluk Asmara</t>
        </is>
      </c>
      <c r="I525" s="29">
        <f>6371 * 2 * ASIN(SQRT(SIN(RADIANS((C525) - INDEX('Dataset_Wisata'!$C$12:$C$622, MATCH('Dashboard'!$C$9, 'Dataset_Wisata'!$A$12:$A$622, 0)))/2)^2 + COS(RADIANS(INDEX('Dataset_Wisata'!$C$12:$C$622, MATCH('Dashboard'!$C$9, 'Dataset_Wisata'!$A$12:$A$622, 0)))) * COS(RADIANS(C525)) * SIN(RADIANS((D525) - INDEX('Dataset_Wisata'!$D$12:$D$622, MATCH('Dashboard'!$C$9, 'Dataset_Wisata'!$A$12:$A$622, 0)))/2)^2)) * 1.3</f>
        <v/>
      </c>
      <c r="J525" s="21">
        <f>ROUND(I525 * IF('Dashboard'!$C$6&lt;=1, 2250, IF('Dashboard'!$C$6&lt;=4, 5150, 6000)), 0)</f>
        <v/>
      </c>
      <c r="K525" s="30" t="n">
        <v>0.9744283047002794</v>
      </c>
      <c r="L525" s="30" t="n">
        <v>0.02447712712252609</v>
      </c>
      <c r="M525" s="30" t="n">
        <v>0.001094568177194568</v>
      </c>
      <c r="N525" s="31">
        <f>ABS(E525-$F$6)</f>
        <v/>
      </c>
      <c r="O525" s="31">
        <f>ABS(E525-$F$7)</f>
        <v/>
      </c>
      <c r="P525" s="31">
        <f>ABS(E525-$F$8)</f>
        <v/>
      </c>
      <c r="Q525" s="14">
        <f>IF(K525&gt;=MAX(L525,M525), "Hemat", IF(L525&gt;=M525, "Balanced", "Premium"))</f>
        <v/>
      </c>
      <c r="R525" s="30" t="n">
        <v>0.9744283195785179</v>
      </c>
      <c r="S525" s="30" t="n">
        <v>0.02447711252884811</v>
      </c>
      <c r="T525" s="30" t="n">
        <v>0.001094567892634054</v>
      </c>
      <c r="U525" s="31">
        <f>ABS(E525-$G$6)</f>
        <v/>
      </c>
      <c r="V525" s="31">
        <f>ABS(E525-$G$7)</f>
        <v/>
      </c>
      <c r="W525" s="31">
        <f>ABS(E525-$G$8)</f>
        <v/>
      </c>
      <c r="X525" s="14">
        <f>IF(R525&gt;=MAX(S525,T525), "Hemat", IF(S525&gt;=T525, "Balanced", "Premium"))</f>
        <v/>
      </c>
    </row>
    <row r="526">
      <c r="A526" s="14" t="n">
        <v>531</v>
      </c>
      <c r="B526" s="7" t="inlineStr">
        <is>
          <t>Tempat Parkir Wisata Pantai Tiga Warna</t>
        </is>
      </c>
      <c r="C526" s="26" t="n">
        <v>-8.431976199999999</v>
      </c>
      <c r="D526" s="26" t="n">
        <v>112.6766784</v>
      </c>
      <c r="E526" s="21" t="n">
        <v>35000</v>
      </c>
      <c r="F526" s="27" t="n">
        <v>4.2</v>
      </c>
      <c r="G526" s="28" t="n">
        <v>157</v>
      </c>
      <c r="H526" s="14" t="inlineStr">
        <is>
          <t>Wisata Umum</t>
        </is>
      </c>
      <c r="I526" s="29">
        <f>6371 * 2 * ASIN(SQRT(SIN(RADIANS((C526) - INDEX('Dataset_Wisata'!$C$12:$C$622, MATCH('Dashboard'!$C$9, 'Dataset_Wisata'!$A$12:$A$622, 0)))/2)^2 + COS(RADIANS(INDEX('Dataset_Wisata'!$C$12:$C$622, MATCH('Dashboard'!$C$9, 'Dataset_Wisata'!$A$12:$A$622, 0)))) * COS(RADIANS(C526)) * SIN(RADIANS((D526) - INDEX('Dataset_Wisata'!$D$12:$D$622, MATCH('Dashboard'!$C$9, 'Dataset_Wisata'!$A$12:$A$622, 0)))/2)^2)) * 1.3</f>
        <v/>
      </c>
      <c r="J526" s="21">
        <f>ROUND(I526 * IF('Dashboard'!$C$6&lt;=1, 2250, IF('Dashboard'!$C$6&lt;=4, 5150, 6000)), 0)</f>
        <v/>
      </c>
      <c r="K526" s="30" t="n">
        <v>0.25213485588303</v>
      </c>
      <c r="L526" s="30" t="n">
        <v>0.7400533052956862</v>
      </c>
      <c r="M526" s="30" t="n">
        <v>0.007811838821283838</v>
      </c>
      <c r="N526" s="31">
        <f>ABS(E526-$F$6)</f>
        <v/>
      </c>
      <c r="O526" s="31">
        <f>ABS(E526-$F$7)</f>
        <v/>
      </c>
      <c r="P526" s="31">
        <f>ABS(E526-$F$8)</f>
        <v/>
      </c>
      <c r="Q526" s="14">
        <f>IF(K526&gt;=MAX(L526,M526), "Hemat", IF(L526&gt;=M526, "Balanced", "Premium"))</f>
        <v/>
      </c>
      <c r="R526" s="30" t="n">
        <v>0.2521350299012498</v>
      </c>
      <c r="S526" s="30" t="n">
        <v>0.740053126637755</v>
      </c>
      <c r="T526" s="30" t="n">
        <v>0.007811843460995218</v>
      </c>
      <c r="U526" s="31">
        <f>ABS(E526-$G$6)</f>
        <v/>
      </c>
      <c r="V526" s="31">
        <f>ABS(E526-$G$7)</f>
        <v/>
      </c>
      <c r="W526" s="31">
        <f>ABS(E526-$G$8)</f>
        <v/>
      </c>
      <c r="X526" s="14">
        <f>IF(R526&gt;=MAX(S526,T526), "Hemat", IF(S526&gt;=T526, "Balanced", "Premium"))</f>
        <v/>
      </c>
    </row>
    <row r="527">
      <c r="A527" s="14" t="n">
        <v>532</v>
      </c>
      <c r="B527" s="7" t="inlineStr">
        <is>
          <t>CMC Tiga Warna Selfie Corner</t>
        </is>
      </c>
      <c r="C527" s="26" t="n">
        <v>-8.437078700000001</v>
      </c>
      <c r="D527" s="26" t="n">
        <v>112.6695323</v>
      </c>
      <c r="E527" s="21" t="n">
        <v>10000</v>
      </c>
      <c r="F527" s="27" t="n">
        <v>4.6</v>
      </c>
      <c r="G527" s="28" t="n">
        <v>22</v>
      </c>
      <c r="H527" s="14" t="inlineStr">
        <is>
          <t>Taman Ekologi · HM79+5R7</t>
        </is>
      </c>
      <c r="I527" s="29">
        <f>6371 * 2 * ASIN(SQRT(SIN(RADIANS((C527) - INDEX('Dataset_Wisata'!$C$12:$C$622, MATCH('Dashboard'!$C$9, 'Dataset_Wisata'!$A$12:$A$622, 0)))/2)^2 + COS(RADIANS(INDEX('Dataset_Wisata'!$C$12:$C$622, MATCH('Dashboard'!$C$9, 'Dataset_Wisata'!$A$12:$A$622, 0)))) * COS(RADIANS(C527)) * SIN(RADIANS((D527) - INDEX('Dataset_Wisata'!$D$12:$D$622, MATCH('Dashboard'!$C$9, 'Dataset_Wisata'!$A$12:$A$622, 0)))/2)^2)) * 1.3</f>
        <v/>
      </c>
      <c r="J527" s="21">
        <f>ROUND(I527 * IF('Dashboard'!$C$6&lt;=1, 2250, IF('Dashboard'!$C$6&lt;=4, 5150, 6000)), 0)</f>
        <v/>
      </c>
      <c r="K527" s="30" t="n">
        <v>0.9998126508185596</v>
      </c>
      <c r="L527" s="30" t="n">
        <v>0.0001775718391516968</v>
      </c>
      <c r="M527" s="30" t="n">
        <v>9.7773422886897e-06</v>
      </c>
      <c r="N527" s="31">
        <f>ABS(E527-$F$6)</f>
        <v/>
      </c>
      <c r="O527" s="31">
        <f>ABS(E527-$F$7)</f>
        <v/>
      </c>
      <c r="P527" s="31">
        <f>ABS(E527-$F$8)</f>
        <v/>
      </c>
      <c r="Q527" s="14">
        <f>IF(K527&gt;=MAX(L527,M527), "Hemat", IF(L527&gt;=M527, "Balanced", "Premium"))</f>
        <v/>
      </c>
      <c r="R527" s="30" t="n">
        <v>0.9998126513362043</v>
      </c>
      <c r="S527" s="30" t="n">
        <v>0.0001775713458315561</v>
      </c>
      <c r="T527" s="30" t="n">
        <v>9.777317964159987e-06</v>
      </c>
      <c r="U527" s="31">
        <f>ABS(E527-$G$6)</f>
        <v/>
      </c>
      <c r="V527" s="31">
        <f>ABS(E527-$G$7)</f>
        <v/>
      </c>
      <c r="W527" s="31">
        <f>ABS(E527-$G$8)</f>
        <v/>
      </c>
      <c r="X527" s="14">
        <f>IF(R527&gt;=MAX(S527,T527), "Hemat", IF(S527&gt;=T527, "Balanced", "Premium"))</f>
        <v/>
      </c>
    </row>
    <row r="528">
      <c r="A528" s="14" t="n">
        <v>533</v>
      </c>
      <c r="B528" s="7" t="inlineStr">
        <is>
          <t>Pantai Watu Leter</t>
        </is>
      </c>
      <c r="C528" s="26" t="n">
        <v>-8.4452265</v>
      </c>
      <c r="D528" s="26" t="n">
        <v>112.6484049</v>
      </c>
      <c r="E528" s="21" t="n">
        <v>10000</v>
      </c>
      <c r="F528" s="27" t="n">
        <v>4.6</v>
      </c>
      <c r="G528" s="28" t="n">
        <v>2390</v>
      </c>
      <c r="H528" s="14" t="inlineStr">
        <is>
          <t>Pantai Watu Leter</t>
        </is>
      </c>
      <c r="I528" s="29">
        <f>6371 * 2 * ASIN(SQRT(SIN(RADIANS((C528) - INDEX('Dataset_Wisata'!$C$12:$C$622, MATCH('Dashboard'!$C$9, 'Dataset_Wisata'!$A$12:$A$622, 0)))/2)^2 + COS(RADIANS(INDEX('Dataset_Wisata'!$C$12:$C$622, MATCH('Dashboard'!$C$9, 'Dataset_Wisata'!$A$12:$A$622, 0)))) * COS(RADIANS(C528)) * SIN(RADIANS((D528) - INDEX('Dataset_Wisata'!$D$12:$D$622, MATCH('Dashboard'!$C$9, 'Dataset_Wisata'!$A$12:$A$622, 0)))/2)^2)) * 1.3</f>
        <v/>
      </c>
      <c r="J528" s="21">
        <f>ROUND(I528 * IF('Dashboard'!$C$6&lt;=1, 2250, IF('Dashboard'!$C$6&lt;=4, 5150, 6000)), 0)</f>
        <v/>
      </c>
      <c r="K528" s="30" t="n">
        <v>0.9998126508185596</v>
      </c>
      <c r="L528" s="30" t="n">
        <v>0.0001775718391516968</v>
      </c>
      <c r="M528" s="30" t="n">
        <v>9.7773422886897e-06</v>
      </c>
      <c r="N528" s="31">
        <f>ABS(E528-$F$6)</f>
        <v/>
      </c>
      <c r="O528" s="31">
        <f>ABS(E528-$F$7)</f>
        <v/>
      </c>
      <c r="P528" s="31">
        <f>ABS(E528-$F$8)</f>
        <v/>
      </c>
      <c r="Q528" s="14">
        <f>IF(K528&gt;=MAX(L528,M528), "Hemat", IF(L528&gt;=M528, "Balanced", "Premium"))</f>
        <v/>
      </c>
      <c r="R528" s="30" t="n">
        <v>0.9998126513362043</v>
      </c>
      <c r="S528" s="30" t="n">
        <v>0.0001775713458315561</v>
      </c>
      <c r="T528" s="30" t="n">
        <v>9.777317964159987e-06</v>
      </c>
      <c r="U528" s="31">
        <f>ABS(E528-$G$6)</f>
        <v/>
      </c>
      <c r="V528" s="31">
        <f>ABS(E528-$G$7)</f>
        <v/>
      </c>
      <c r="W528" s="31">
        <f>ABS(E528-$G$8)</f>
        <v/>
      </c>
      <c r="X528" s="14">
        <f>IF(R528&gt;=MAX(S528,T528), "Hemat", IF(S528&gt;=T528, "Balanced", "Premium"))</f>
        <v/>
      </c>
    </row>
    <row r="529">
      <c r="A529" s="14" t="n">
        <v>534</v>
      </c>
      <c r="B529" s="7" t="inlineStr">
        <is>
          <t>Coban Kembar Sidoasri ꦕꦺꦴꦧꦤ꧀ꦏꦼꦩ꧀ꦧꦂꦱꦶꦢꦺꦴꦄꦱꦿꦶ</t>
        </is>
      </c>
      <c r="C529" s="26" t="n">
        <v>-8.3472708</v>
      </c>
      <c r="D529" s="26" t="n">
        <v>112.7607414</v>
      </c>
      <c r="E529" s="21" t="n">
        <v>10000</v>
      </c>
      <c r="F529" s="27" t="n">
        <v>3.9</v>
      </c>
      <c r="G529" s="28" t="n">
        <v>32</v>
      </c>
      <c r="H529" s="14" t="inlineStr">
        <is>
          <t>Wisata Umum</t>
        </is>
      </c>
      <c r="I529" s="29">
        <f>6371 * 2 * ASIN(SQRT(SIN(RADIANS((C529) - INDEX('Dataset_Wisata'!$C$12:$C$622, MATCH('Dashboard'!$C$9, 'Dataset_Wisata'!$A$12:$A$622, 0)))/2)^2 + COS(RADIANS(INDEX('Dataset_Wisata'!$C$12:$C$622, MATCH('Dashboard'!$C$9, 'Dataset_Wisata'!$A$12:$A$622, 0)))) * COS(RADIANS(C529)) * SIN(RADIANS((D529) - INDEX('Dataset_Wisata'!$D$12:$D$622, MATCH('Dashboard'!$C$9, 'Dataset_Wisata'!$A$12:$A$622, 0)))/2)^2)) * 1.3</f>
        <v/>
      </c>
      <c r="J529" s="21">
        <f>ROUND(I529 * IF('Dashboard'!$C$6&lt;=1, 2250, IF('Dashboard'!$C$6&lt;=4, 5150, 6000)), 0)</f>
        <v/>
      </c>
      <c r="K529" s="30" t="n">
        <v>0.9998126508185596</v>
      </c>
      <c r="L529" s="30" t="n">
        <v>0.0001775718391516968</v>
      </c>
      <c r="M529" s="30" t="n">
        <v>9.7773422886897e-06</v>
      </c>
      <c r="N529" s="31">
        <f>ABS(E529-$F$6)</f>
        <v/>
      </c>
      <c r="O529" s="31">
        <f>ABS(E529-$F$7)</f>
        <v/>
      </c>
      <c r="P529" s="31">
        <f>ABS(E529-$F$8)</f>
        <v/>
      </c>
      <c r="Q529" s="14">
        <f>IF(K529&gt;=MAX(L529,M529), "Hemat", IF(L529&gt;=M529, "Balanced", "Premium"))</f>
        <v/>
      </c>
      <c r="R529" s="30" t="n">
        <v>0.9998126513362043</v>
      </c>
      <c r="S529" s="30" t="n">
        <v>0.0001775713458315561</v>
      </c>
      <c r="T529" s="30" t="n">
        <v>9.777317964159987e-06</v>
      </c>
      <c r="U529" s="31">
        <f>ABS(E529-$G$6)</f>
        <v/>
      </c>
      <c r="V529" s="31">
        <f>ABS(E529-$G$7)</f>
        <v/>
      </c>
      <c r="W529" s="31">
        <f>ABS(E529-$G$8)</f>
        <v/>
      </c>
      <c r="X529" s="14">
        <f>IF(R529&gt;=MAX(S529,T529), "Hemat", IF(S529&gt;=T529, "Balanced", "Premium"))</f>
        <v/>
      </c>
    </row>
    <row r="530">
      <c r="A530" s="14" t="n">
        <v>535</v>
      </c>
      <c r="B530" s="7" t="inlineStr">
        <is>
          <t>Coban Tundo</t>
        </is>
      </c>
      <c r="C530" s="26" t="n">
        <v>-8.3411808</v>
      </c>
      <c r="D530" s="26" t="n">
        <v>112.7947731</v>
      </c>
      <c r="E530" s="21" t="n">
        <v>5000</v>
      </c>
      <c r="F530" s="27" t="n">
        <v>4.4</v>
      </c>
      <c r="G530" s="28" t="n">
        <v>166</v>
      </c>
      <c r="H530" s="14" t="inlineStr">
        <is>
          <t>Wisata Umum</t>
        </is>
      </c>
      <c r="I530" s="29">
        <f>6371 * 2 * ASIN(SQRT(SIN(RADIANS((C530) - INDEX('Dataset_Wisata'!$C$12:$C$622, MATCH('Dashboard'!$C$9, 'Dataset_Wisata'!$A$12:$A$622, 0)))/2)^2 + COS(RADIANS(INDEX('Dataset_Wisata'!$C$12:$C$622, MATCH('Dashboard'!$C$9, 'Dataset_Wisata'!$A$12:$A$622, 0)))) * COS(RADIANS(C530)) * SIN(RADIANS((D530) - INDEX('Dataset_Wisata'!$D$12:$D$622, MATCH('Dashboard'!$C$9, 'Dataset_Wisata'!$A$12:$A$622, 0)))/2)^2)) * 1.3</f>
        <v/>
      </c>
      <c r="J530" s="21">
        <f>ROUND(I530 * IF('Dashboard'!$C$6&lt;=1, 2250, IF('Dashboard'!$C$6&lt;=4, 5150, 6000)), 0)</f>
        <v/>
      </c>
      <c r="K530" s="30" t="n">
        <v>0.9895566543895754</v>
      </c>
      <c r="L530" s="30" t="n">
        <v>0.009798611400025654</v>
      </c>
      <c r="M530" s="30" t="n">
        <v>0.0006447342103988783</v>
      </c>
      <c r="N530" s="31">
        <f>ABS(E530-$F$6)</f>
        <v/>
      </c>
      <c r="O530" s="31">
        <f>ABS(E530-$F$7)</f>
        <v/>
      </c>
      <c r="P530" s="31">
        <f>ABS(E530-$F$8)</f>
        <v/>
      </c>
      <c r="Q530" s="14">
        <f>IF(K530&gt;=MAX(L530,M530), "Hemat", IF(L530&gt;=M530, "Balanced", "Premium"))</f>
        <v/>
      </c>
      <c r="R530" s="30" t="n">
        <v>0.9895566542341836</v>
      </c>
      <c r="S530" s="30" t="n">
        <v>0.00979861139170024</v>
      </c>
      <c r="T530" s="30" t="n">
        <v>0.00064473437411607</v>
      </c>
      <c r="U530" s="31">
        <f>ABS(E530-$G$6)</f>
        <v/>
      </c>
      <c r="V530" s="31">
        <f>ABS(E530-$G$7)</f>
        <v/>
      </c>
      <c r="W530" s="31">
        <f>ABS(E530-$G$8)</f>
        <v/>
      </c>
      <c r="X530" s="14">
        <f>IF(R530&gt;=MAX(S530,T530), "Hemat", IF(S530&gt;=T530, "Balanced", "Premium"))</f>
        <v/>
      </c>
    </row>
    <row r="531">
      <c r="A531" s="14" t="n">
        <v>536</v>
      </c>
      <c r="B531" s="7" t="inlineStr">
        <is>
          <t>Waduk Kaliungkal Sukodono</t>
        </is>
      </c>
      <c r="C531" s="26" t="n">
        <v>-8.303688599999999</v>
      </c>
      <c r="D531" s="26" t="n">
        <v>112.7855842</v>
      </c>
      <c r="E531" s="21" t="n">
        <v>5000</v>
      </c>
      <c r="F531" s="27" t="n">
        <v>4.1</v>
      </c>
      <c r="G531" s="28" t="n">
        <v>74</v>
      </c>
      <c r="H531" s="14" t="inlineStr">
        <is>
          <t>Wisata Umum</t>
        </is>
      </c>
      <c r="I531" s="29">
        <f>6371 * 2 * ASIN(SQRT(SIN(RADIANS((C531) - INDEX('Dataset_Wisata'!$C$12:$C$622, MATCH('Dashboard'!$C$9, 'Dataset_Wisata'!$A$12:$A$622, 0)))/2)^2 + COS(RADIANS(INDEX('Dataset_Wisata'!$C$12:$C$622, MATCH('Dashboard'!$C$9, 'Dataset_Wisata'!$A$12:$A$622, 0)))) * COS(RADIANS(C531)) * SIN(RADIANS((D531) - INDEX('Dataset_Wisata'!$D$12:$D$622, MATCH('Dashboard'!$C$9, 'Dataset_Wisata'!$A$12:$A$622, 0)))/2)^2)) * 1.3</f>
        <v/>
      </c>
      <c r="J531" s="21">
        <f>ROUND(I531 * IF('Dashboard'!$C$6&lt;=1, 2250, IF('Dashboard'!$C$6&lt;=4, 5150, 6000)), 0)</f>
        <v/>
      </c>
      <c r="K531" s="30" t="n">
        <v>0.9895566543895754</v>
      </c>
      <c r="L531" s="30" t="n">
        <v>0.009798611400025654</v>
      </c>
      <c r="M531" s="30" t="n">
        <v>0.0006447342103988783</v>
      </c>
      <c r="N531" s="31">
        <f>ABS(E531-$F$6)</f>
        <v/>
      </c>
      <c r="O531" s="31">
        <f>ABS(E531-$F$7)</f>
        <v/>
      </c>
      <c r="P531" s="31">
        <f>ABS(E531-$F$8)</f>
        <v/>
      </c>
      <c r="Q531" s="14">
        <f>IF(K531&gt;=MAX(L531,M531), "Hemat", IF(L531&gt;=M531, "Balanced", "Premium"))</f>
        <v/>
      </c>
      <c r="R531" s="30" t="n">
        <v>0.9895566542341836</v>
      </c>
      <c r="S531" s="30" t="n">
        <v>0.00979861139170024</v>
      </c>
      <c r="T531" s="30" t="n">
        <v>0.00064473437411607</v>
      </c>
      <c r="U531" s="31">
        <f>ABS(E531-$G$6)</f>
        <v/>
      </c>
      <c r="V531" s="31">
        <f>ABS(E531-$G$7)</f>
        <v/>
      </c>
      <c r="W531" s="31">
        <f>ABS(E531-$G$8)</f>
        <v/>
      </c>
      <c r="X531" s="14">
        <f>IF(R531&gt;=MAX(S531,T531), "Hemat", IF(S531&gt;=T531, "Balanced", "Premium"))</f>
        <v/>
      </c>
    </row>
    <row r="532">
      <c r="A532" s="14" t="n">
        <v>537</v>
      </c>
      <c r="B532" s="7" t="inlineStr">
        <is>
          <t>Taman Aglaonema Dampit</t>
        </is>
      </c>
      <c r="C532" s="26" t="n">
        <v>-8.2083125</v>
      </c>
      <c r="D532" s="26" t="n">
        <v>112.7758125</v>
      </c>
      <c r="E532" s="21" t="n">
        <v>0</v>
      </c>
      <c r="F532" s="27" t="n">
        <v>4.4</v>
      </c>
      <c r="G532" s="28" t="n">
        <v>60</v>
      </c>
      <c r="H532" s="14" t="inlineStr">
        <is>
          <t>Taman Aglaonema Dampit</t>
        </is>
      </c>
      <c r="I532" s="29">
        <f>6371 * 2 * ASIN(SQRT(SIN(RADIANS((C532) - INDEX('Dataset_Wisata'!$C$12:$C$622, MATCH('Dashboard'!$C$9, 'Dataset_Wisata'!$A$12:$A$622, 0)))/2)^2 + COS(RADIANS(INDEX('Dataset_Wisata'!$C$12:$C$622, MATCH('Dashboard'!$C$9, 'Dataset_Wisata'!$A$12:$A$622, 0)))) * COS(RADIANS(C532)) * SIN(RADIANS((D532) - INDEX('Dataset_Wisata'!$D$12:$D$622, MATCH('Dashboard'!$C$9, 'Dataset_Wisata'!$A$12:$A$622, 0)))/2)^2)) * 1.3</f>
        <v/>
      </c>
      <c r="J532" s="21">
        <f>ROUND(I532 * IF('Dashboard'!$C$6&lt;=1, 2250, IF('Dashboard'!$C$6&lt;=4, 5150, 6000)), 0)</f>
        <v/>
      </c>
      <c r="K532" s="30" t="n">
        <v>0.9626824510005771</v>
      </c>
      <c r="L532" s="30" t="n">
        <v>0.03465542295845363</v>
      </c>
      <c r="M532" s="30" t="n">
        <v>0.002662126040969366</v>
      </c>
      <c r="N532" s="31">
        <f>ABS(E532-$F$6)</f>
        <v/>
      </c>
      <c r="O532" s="31">
        <f>ABS(E532-$F$7)</f>
        <v/>
      </c>
      <c r="P532" s="31">
        <f>ABS(E532-$F$8)</f>
        <v/>
      </c>
      <c r="Q532" s="14">
        <f>IF(K532&gt;=MAX(L532,M532), "Hemat", IF(L532&gt;=M532, "Balanced", "Premium"))</f>
        <v/>
      </c>
      <c r="R532" s="30" t="n">
        <v>0.9626824549241798</v>
      </c>
      <c r="S532" s="30" t="n">
        <v>0.03465541875469833</v>
      </c>
      <c r="T532" s="30" t="n">
        <v>0.002662126321121907</v>
      </c>
      <c r="U532" s="31">
        <f>ABS(E532-$G$6)</f>
        <v/>
      </c>
      <c r="V532" s="31">
        <f>ABS(E532-$G$7)</f>
        <v/>
      </c>
      <c r="W532" s="31">
        <f>ABS(E532-$G$8)</f>
        <v/>
      </c>
      <c r="X532" s="14">
        <f>IF(R532&gt;=MAX(S532,T532), "Hemat", IF(S532&gt;=T532, "Balanced", "Premium"))</f>
        <v/>
      </c>
    </row>
    <row r="533">
      <c r="A533" s="14" t="n">
        <v>538</v>
      </c>
      <c r="B533" s="7" t="inlineStr">
        <is>
          <t>Alun - Alun Ubalan</t>
        </is>
      </c>
      <c r="C533" s="26" t="n">
        <v>-8.194412399999999</v>
      </c>
      <c r="D533" s="26" t="n">
        <v>112.7529726</v>
      </c>
      <c r="E533" s="21" t="n">
        <v>15000</v>
      </c>
      <c r="F533" s="27" t="n">
        <v>4.3</v>
      </c>
      <c r="G533" s="28" t="n">
        <v>51</v>
      </c>
      <c r="H533" s="14" t="inlineStr">
        <is>
          <t>Wisata Umum</t>
        </is>
      </c>
      <c r="I533" s="29">
        <f>6371 * 2 * ASIN(SQRT(SIN(RADIANS((C533) - INDEX('Dataset_Wisata'!$C$12:$C$622, MATCH('Dashboard'!$C$9, 'Dataset_Wisata'!$A$12:$A$622, 0)))/2)^2 + COS(RADIANS(INDEX('Dataset_Wisata'!$C$12:$C$622, MATCH('Dashboard'!$C$9, 'Dataset_Wisata'!$A$12:$A$622, 0)))) * COS(RADIANS(C533)) * SIN(RADIANS((D533) - INDEX('Dataset_Wisata'!$D$12:$D$622, MATCH('Dashboard'!$C$9, 'Dataset_Wisata'!$A$12:$A$622, 0)))/2)^2)) * 1.3</f>
        <v/>
      </c>
      <c r="J533" s="21">
        <f>ROUND(I533 * IF('Dashboard'!$C$6&lt;=1, 2250, IF('Dashboard'!$C$6&lt;=4, 5150, 6000)), 0)</f>
        <v/>
      </c>
      <c r="K533" s="30" t="n">
        <v>0.9744283047002794</v>
      </c>
      <c r="L533" s="30" t="n">
        <v>0.02447712712252609</v>
      </c>
      <c r="M533" s="30" t="n">
        <v>0.001094568177194568</v>
      </c>
      <c r="N533" s="31">
        <f>ABS(E533-$F$6)</f>
        <v/>
      </c>
      <c r="O533" s="31">
        <f>ABS(E533-$F$7)</f>
        <v/>
      </c>
      <c r="P533" s="31">
        <f>ABS(E533-$F$8)</f>
        <v/>
      </c>
      <c r="Q533" s="14">
        <f>IF(K533&gt;=MAX(L533,M533), "Hemat", IF(L533&gt;=M533, "Balanced", "Premium"))</f>
        <v/>
      </c>
      <c r="R533" s="30" t="n">
        <v>0.9744283195785179</v>
      </c>
      <c r="S533" s="30" t="n">
        <v>0.02447711252884811</v>
      </c>
      <c r="T533" s="30" t="n">
        <v>0.001094567892634054</v>
      </c>
      <c r="U533" s="31">
        <f>ABS(E533-$G$6)</f>
        <v/>
      </c>
      <c r="V533" s="31">
        <f>ABS(E533-$G$7)</f>
        <v/>
      </c>
      <c r="W533" s="31">
        <f>ABS(E533-$G$8)</f>
        <v/>
      </c>
      <c r="X533" s="14">
        <f>IF(R533&gt;=MAX(S533,T533), "Hemat", IF(S533&gt;=T533, "Balanced", "Premium"))</f>
        <v/>
      </c>
    </row>
    <row r="534">
      <c r="A534" s="14" t="n">
        <v>539</v>
      </c>
      <c r="B534" s="7" t="inlineStr">
        <is>
          <t>Pulau Sekarsari Boonpring</t>
        </is>
      </c>
      <c r="C534" s="26" t="n">
        <v>-8.1555427</v>
      </c>
      <c r="D534" s="26" t="n">
        <v>112.7628335</v>
      </c>
      <c r="E534" s="21" t="n">
        <v>10000</v>
      </c>
      <c r="F534" s="27" t="n">
        <v>4.2</v>
      </c>
      <c r="G534" s="28" t="n">
        <v>32</v>
      </c>
      <c r="H534" s="14" t="inlineStr">
        <is>
          <t>Wisata Umum</t>
        </is>
      </c>
      <c r="I534" s="29">
        <f>6371 * 2 * ASIN(SQRT(SIN(RADIANS((C534) - INDEX('Dataset_Wisata'!$C$12:$C$622, MATCH('Dashboard'!$C$9, 'Dataset_Wisata'!$A$12:$A$622, 0)))/2)^2 + COS(RADIANS(INDEX('Dataset_Wisata'!$C$12:$C$622, MATCH('Dashboard'!$C$9, 'Dataset_Wisata'!$A$12:$A$622, 0)))) * COS(RADIANS(C534)) * SIN(RADIANS((D534) - INDEX('Dataset_Wisata'!$D$12:$D$622, MATCH('Dashboard'!$C$9, 'Dataset_Wisata'!$A$12:$A$622, 0)))/2)^2)) * 1.3</f>
        <v/>
      </c>
      <c r="J534" s="21">
        <f>ROUND(I534 * IF('Dashboard'!$C$6&lt;=1, 2250, IF('Dashboard'!$C$6&lt;=4, 5150, 6000)), 0)</f>
        <v/>
      </c>
      <c r="K534" s="30" t="n">
        <v>0.9998126508185596</v>
      </c>
      <c r="L534" s="30" t="n">
        <v>0.0001775718391516968</v>
      </c>
      <c r="M534" s="30" t="n">
        <v>9.7773422886897e-06</v>
      </c>
      <c r="N534" s="31">
        <f>ABS(E534-$F$6)</f>
        <v/>
      </c>
      <c r="O534" s="31">
        <f>ABS(E534-$F$7)</f>
        <v/>
      </c>
      <c r="P534" s="31">
        <f>ABS(E534-$F$8)</f>
        <v/>
      </c>
      <c r="Q534" s="14">
        <f>IF(K534&gt;=MAX(L534,M534), "Hemat", IF(L534&gt;=M534, "Balanced", "Premium"))</f>
        <v/>
      </c>
      <c r="R534" s="30" t="n">
        <v>0.9998126513362043</v>
      </c>
      <c r="S534" s="30" t="n">
        <v>0.0001775713458315561</v>
      </c>
      <c r="T534" s="30" t="n">
        <v>9.777317964159987e-06</v>
      </c>
      <c r="U534" s="31">
        <f>ABS(E534-$G$6)</f>
        <v/>
      </c>
      <c r="V534" s="31">
        <f>ABS(E534-$G$7)</f>
        <v/>
      </c>
      <c r="W534" s="31">
        <f>ABS(E534-$G$8)</f>
        <v/>
      </c>
      <c r="X534" s="14">
        <f>IF(R534&gt;=MAX(S534,T534), "Hemat", IF(S534&gt;=T534, "Balanced", "Premium"))</f>
        <v/>
      </c>
    </row>
    <row r="535">
      <c r="A535" s="14" t="n">
        <v>540</v>
      </c>
      <c r="B535" s="7" t="inlineStr">
        <is>
          <t>Hutan Bambu Andeman</t>
        </is>
      </c>
      <c r="C535" s="26" t="n">
        <v>-8.155984</v>
      </c>
      <c r="D535" s="26" t="n">
        <v>112.7633106</v>
      </c>
      <c r="E535" s="21" t="n">
        <v>10000</v>
      </c>
      <c r="F535" s="27" t="n">
        <v>4.1</v>
      </c>
      <c r="G535" s="28" t="n">
        <v>324</v>
      </c>
      <c r="H535" s="14" t="inlineStr">
        <is>
          <t>Wisata Umum</t>
        </is>
      </c>
      <c r="I535" s="29">
        <f>6371 * 2 * ASIN(SQRT(SIN(RADIANS((C535) - INDEX('Dataset_Wisata'!$C$12:$C$622, MATCH('Dashboard'!$C$9, 'Dataset_Wisata'!$A$12:$A$622, 0)))/2)^2 + COS(RADIANS(INDEX('Dataset_Wisata'!$C$12:$C$622, MATCH('Dashboard'!$C$9, 'Dataset_Wisata'!$A$12:$A$622, 0)))) * COS(RADIANS(C535)) * SIN(RADIANS((D535) - INDEX('Dataset_Wisata'!$D$12:$D$622, MATCH('Dashboard'!$C$9, 'Dataset_Wisata'!$A$12:$A$622, 0)))/2)^2)) * 1.3</f>
        <v/>
      </c>
      <c r="J535" s="21">
        <f>ROUND(I535 * IF('Dashboard'!$C$6&lt;=1, 2250, IF('Dashboard'!$C$6&lt;=4, 5150, 6000)), 0)</f>
        <v/>
      </c>
      <c r="K535" s="30" t="n">
        <v>0.9998126508185596</v>
      </c>
      <c r="L535" s="30" t="n">
        <v>0.0001775718391516968</v>
      </c>
      <c r="M535" s="30" t="n">
        <v>9.7773422886897e-06</v>
      </c>
      <c r="N535" s="31">
        <f>ABS(E535-$F$6)</f>
        <v/>
      </c>
      <c r="O535" s="31">
        <f>ABS(E535-$F$7)</f>
        <v/>
      </c>
      <c r="P535" s="31">
        <f>ABS(E535-$F$8)</f>
        <v/>
      </c>
      <c r="Q535" s="14">
        <f>IF(K535&gt;=MAX(L535,M535), "Hemat", IF(L535&gt;=M535, "Balanced", "Premium"))</f>
        <v/>
      </c>
      <c r="R535" s="30" t="n">
        <v>0.9998126513362043</v>
      </c>
      <c r="S535" s="30" t="n">
        <v>0.0001775713458315561</v>
      </c>
      <c r="T535" s="30" t="n">
        <v>9.777317964159987e-06</v>
      </c>
      <c r="U535" s="31">
        <f>ABS(E535-$G$6)</f>
        <v/>
      </c>
      <c r="V535" s="31">
        <f>ABS(E535-$G$7)</f>
        <v/>
      </c>
      <c r="W535" s="31">
        <f>ABS(E535-$G$8)</f>
        <v/>
      </c>
      <c r="X535" s="14">
        <f>IF(R535&gt;=MAX(S535,T535), "Hemat", IF(S535&gt;=T535, "Balanced", "Premium"))</f>
        <v/>
      </c>
    </row>
    <row r="536">
      <c r="A536" s="14" t="n">
        <v>541</v>
      </c>
      <c r="B536" s="7" t="inlineStr">
        <is>
          <t>Bromo Transit Park Tumpang</t>
        </is>
      </c>
      <c r="C536" s="26" t="n">
        <v>-8.0199365</v>
      </c>
      <c r="D536" s="26" t="n">
        <v>112.778365</v>
      </c>
      <c r="E536" s="21" t="n">
        <v>20000</v>
      </c>
      <c r="F536" s="27" t="n">
        <v>4.2</v>
      </c>
      <c r="G536" s="28" t="n">
        <v>814</v>
      </c>
      <c r="H536" s="14" t="inlineStr">
        <is>
          <t>Wisata Umum</t>
        </is>
      </c>
      <c r="I536" s="29">
        <f>6371 * 2 * ASIN(SQRT(SIN(RADIANS((C536) - INDEX('Dataset_Wisata'!$C$12:$C$622, MATCH('Dashboard'!$C$9, 'Dataset_Wisata'!$A$12:$A$622, 0)))/2)^2 + COS(RADIANS(INDEX('Dataset_Wisata'!$C$12:$C$622, MATCH('Dashboard'!$C$9, 'Dataset_Wisata'!$A$12:$A$622, 0)))) * COS(RADIANS(C536)) * SIN(RADIANS((D536) - INDEX('Dataset_Wisata'!$D$12:$D$622, MATCH('Dashboard'!$C$9, 'Dataset_Wisata'!$A$12:$A$622, 0)))/2)^2)) * 1.3</f>
        <v/>
      </c>
      <c r="J536" s="21">
        <f>ROUND(I536 * IF('Dashboard'!$C$6&lt;=1, 2250, IF('Dashboard'!$C$6&lt;=4, 5150, 6000)), 0)</f>
        <v/>
      </c>
      <c r="K536" s="30" t="n">
        <v>0.8862296979094436</v>
      </c>
      <c r="L536" s="30" t="n">
        <v>0.1099329410905347</v>
      </c>
      <c r="M536" s="30" t="n">
        <v>0.003837361000021699</v>
      </c>
      <c r="N536" s="31">
        <f>ABS(E536-$F$6)</f>
        <v/>
      </c>
      <c r="O536" s="31">
        <f>ABS(E536-$F$7)</f>
        <v/>
      </c>
      <c r="P536" s="31">
        <f>ABS(E536-$F$8)</f>
        <v/>
      </c>
      <c r="Q536" s="14">
        <f>IF(K536&gt;=MAX(L536,M536), "Hemat", IF(L536&gt;=M536, "Balanced", "Premium"))</f>
        <v/>
      </c>
      <c r="R536" s="30" t="n">
        <v>0.8862297532761809</v>
      </c>
      <c r="S536" s="30" t="n">
        <v>0.1099328861159962</v>
      </c>
      <c r="T536" s="30" t="n">
        <v>0.003837360607822898</v>
      </c>
      <c r="U536" s="31">
        <f>ABS(E536-$G$6)</f>
        <v/>
      </c>
      <c r="V536" s="31">
        <f>ABS(E536-$G$7)</f>
        <v/>
      </c>
      <c r="W536" s="31">
        <f>ABS(E536-$G$8)</f>
        <v/>
      </c>
      <c r="X536" s="14">
        <f>IF(R536&gt;=MAX(S536,T536), "Hemat", IF(S536&gt;=T536, "Balanced", "Premium"))</f>
        <v/>
      </c>
    </row>
    <row r="537">
      <c r="A537" s="14" t="n">
        <v>542</v>
      </c>
      <c r="B537" s="7" t="inlineStr">
        <is>
          <t>Wisata Alam Watu Menyan</t>
        </is>
      </c>
      <c r="C537" s="26" t="n">
        <v>-8.0408364</v>
      </c>
      <c r="D537" s="26" t="n">
        <v>112.7847118</v>
      </c>
      <c r="E537" s="21" t="n">
        <v>10000</v>
      </c>
      <c r="F537" s="27" t="n">
        <v>4.1</v>
      </c>
      <c r="G537" s="28" t="n">
        <v>53</v>
      </c>
      <c r="H537" s="14" t="inlineStr">
        <is>
          <t>Wisata Alam Watu Menyan</t>
        </is>
      </c>
      <c r="I537" s="29">
        <f>6371 * 2 * ASIN(SQRT(SIN(RADIANS((C537) - INDEX('Dataset_Wisata'!$C$12:$C$622, MATCH('Dashboard'!$C$9, 'Dataset_Wisata'!$A$12:$A$622, 0)))/2)^2 + COS(RADIANS(INDEX('Dataset_Wisata'!$C$12:$C$622, MATCH('Dashboard'!$C$9, 'Dataset_Wisata'!$A$12:$A$622, 0)))) * COS(RADIANS(C537)) * SIN(RADIANS((D537) - INDEX('Dataset_Wisata'!$D$12:$D$622, MATCH('Dashboard'!$C$9, 'Dataset_Wisata'!$A$12:$A$622, 0)))/2)^2)) * 1.3</f>
        <v/>
      </c>
      <c r="J537" s="21">
        <f>ROUND(I537 * IF('Dashboard'!$C$6&lt;=1, 2250, IF('Dashboard'!$C$6&lt;=4, 5150, 6000)), 0)</f>
        <v/>
      </c>
      <c r="K537" s="30" t="n">
        <v>0.9998126508185596</v>
      </c>
      <c r="L537" s="30" t="n">
        <v>0.0001775718391516968</v>
      </c>
      <c r="M537" s="30" t="n">
        <v>9.7773422886897e-06</v>
      </c>
      <c r="N537" s="31">
        <f>ABS(E537-$F$6)</f>
        <v/>
      </c>
      <c r="O537" s="31">
        <f>ABS(E537-$F$7)</f>
        <v/>
      </c>
      <c r="P537" s="31">
        <f>ABS(E537-$F$8)</f>
        <v/>
      </c>
      <c r="Q537" s="14">
        <f>IF(K537&gt;=MAX(L537,M537), "Hemat", IF(L537&gt;=M537, "Balanced", "Premium"))</f>
        <v/>
      </c>
      <c r="R537" s="30" t="n">
        <v>0.9998126513362043</v>
      </c>
      <c r="S537" s="30" t="n">
        <v>0.0001775713458315561</v>
      </c>
      <c r="T537" s="30" t="n">
        <v>9.777317964159987e-06</v>
      </c>
      <c r="U537" s="31">
        <f>ABS(E537-$G$6)</f>
        <v/>
      </c>
      <c r="V537" s="31">
        <f>ABS(E537-$G$7)</f>
        <v/>
      </c>
      <c r="W537" s="31">
        <f>ABS(E537-$G$8)</f>
        <v/>
      </c>
      <c r="X537" s="14">
        <f>IF(R537&gt;=MAX(S537,T537), "Hemat", IF(S537&gt;=T537, "Balanced", "Premium"))</f>
        <v/>
      </c>
    </row>
    <row r="538">
      <c r="A538" s="14" t="n">
        <v>543</v>
      </c>
      <c r="B538" s="7" t="inlineStr">
        <is>
          <t>Desa Wisata Gubugklakah ꦒꦸꦧꦸꦏ꧀ꦏ꧀ꦭꦏꦃ</t>
        </is>
      </c>
      <c r="C538" s="26" t="n">
        <v>-8.0288179</v>
      </c>
      <c r="D538" s="26" t="n">
        <v>112.8234674</v>
      </c>
      <c r="E538" s="21" t="n">
        <v>10000</v>
      </c>
      <c r="F538" s="27" t="n">
        <v>4.7</v>
      </c>
      <c r="G538" s="28" t="n">
        <v>303</v>
      </c>
      <c r="H538" s="14" t="inlineStr">
        <is>
          <t>Desa Wisata Gubugklakah ꦒꦸꦧꦸꦏ꧀ꦏ꧀ꦭꦏꦃ</t>
        </is>
      </c>
      <c r="I538" s="29">
        <f>6371 * 2 * ASIN(SQRT(SIN(RADIANS((C538) - INDEX('Dataset_Wisata'!$C$12:$C$622, MATCH('Dashboard'!$C$9, 'Dataset_Wisata'!$A$12:$A$622, 0)))/2)^2 + COS(RADIANS(INDEX('Dataset_Wisata'!$C$12:$C$622, MATCH('Dashboard'!$C$9, 'Dataset_Wisata'!$A$12:$A$622, 0)))) * COS(RADIANS(C538)) * SIN(RADIANS((D538) - INDEX('Dataset_Wisata'!$D$12:$D$622, MATCH('Dashboard'!$C$9, 'Dataset_Wisata'!$A$12:$A$622, 0)))/2)^2)) * 1.3</f>
        <v/>
      </c>
      <c r="J538" s="21">
        <f>ROUND(I538 * IF('Dashboard'!$C$6&lt;=1, 2250, IF('Dashboard'!$C$6&lt;=4, 5150, 6000)), 0)</f>
        <v/>
      </c>
      <c r="K538" s="30" t="n">
        <v>0.9998126508185596</v>
      </c>
      <c r="L538" s="30" t="n">
        <v>0.0001775718391516968</v>
      </c>
      <c r="M538" s="30" t="n">
        <v>9.7773422886897e-06</v>
      </c>
      <c r="N538" s="31">
        <f>ABS(E538-$F$6)</f>
        <v/>
      </c>
      <c r="O538" s="31">
        <f>ABS(E538-$F$7)</f>
        <v/>
      </c>
      <c r="P538" s="31">
        <f>ABS(E538-$F$8)</f>
        <v/>
      </c>
      <c r="Q538" s="14">
        <f>IF(K538&gt;=MAX(L538,M538), "Hemat", IF(L538&gt;=M538, "Balanced", "Premium"))</f>
        <v/>
      </c>
      <c r="R538" s="30" t="n">
        <v>0.9998126513362043</v>
      </c>
      <c r="S538" s="30" t="n">
        <v>0.0001775713458315561</v>
      </c>
      <c r="T538" s="30" t="n">
        <v>9.777317964159987e-06</v>
      </c>
      <c r="U538" s="31">
        <f>ABS(E538-$G$6)</f>
        <v/>
      </c>
      <c r="V538" s="31">
        <f>ABS(E538-$G$7)</f>
        <v/>
      </c>
      <c r="W538" s="31">
        <f>ABS(E538-$G$8)</f>
        <v/>
      </c>
      <c r="X538" s="14">
        <f>IF(R538&gt;=MAX(S538,T538), "Hemat", IF(S538&gt;=T538, "Balanced", "Premium"))</f>
        <v/>
      </c>
    </row>
    <row r="539">
      <c r="A539" s="14" t="n">
        <v>544</v>
      </c>
      <c r="B539" s="7" t="inlineStr">
        <is>
          <t>Desa Wisata Sidorejo Indah ( Dewi Sri )</t>
        </is>
      </c>
      <c r="C539" s="26" t="n">
        <v>-7.9727686</v>
      </c>
      <c r="D539" s="26" t="n">
        <v>112.7541743</v>
      </c>
      <c r="E539" s="21" t="n">
        <v>0</v>
      </c>
      <c r="F539" s="27" t="n">
        <v>4.3</v>
      </c>
      <c r="G539" s="28" t="n">
        <v>653</v>
      </c>
      <c r="H539" s="14" t="inlineStr">
        <is>
          <t>Wisata Umum</t>
        </is>
      </c>
      <c r="I539" s="29">
        <f>6371 * 2 * ASIN(SQRT(SIN(RADIANS((C539) - INDEX('Dataset_Wisata'!$C$12:$C$622, MATCH('Dashboard'!$C$9, 'Dataset_Wisata'!$A$12:$A$622, 0)))/2)^2 + COS(RADIANS(INDEX('Dataset_Wisata'!$C$12:$C$622, MATCH('Dashboard'!$C$9, 'Dataset_Wisata'!$A$12:$A$622, 0)))) * COS(RADIANS(C539)) * SIN(RADIANS((D539) - INDEX('Dataset_Wisata'!$D$12:$D$622, MATCH('Dashboard'!$C$9, 'Dataset_Wisata'!$A$12:$A$622, 0)))/2)^2)) * 1.3</f>
        <v/>
      </c>
      <c r="J539" s="21">
        <f>ROUND(I539 * IF('Dashboard'!$C$6&lt;=1, 2250, IF('Dashboard'!$C$6&lt;=4, 5150, 6000)), 0)</f>
        <v/>
      </c>
      <c r="K539" s="30" t="n">
        <v>0.9626824510005771</v>
      </c>
      <c r="L539" s="30" t="n">
        <v>0.03465542295845363</v>
      </c>
      <c r="M539" s="30" t="n">
        <v>0.002662126040969366</v>
      </c>
      <c r="N539" s="31">
        <f>ABS(E539-$F$6)</f>
        <v/>
      </c>
      <c r="O539" s="31">
        <f>ABS(E539-$F$7)</f>
        <v/>
      </c>
      <c r="P539" s="31">
        <f>ABS(E539-$F$8)</f>
        <v/>
      </c>
      <c r="Q539" s="14">
        <f>IF(K539&gt;=MAX(L539,M539), "Hemat", IF(L539&gt;=M539, "Balanced", "Premium"))</f>
        <v/>
      </c>
      <c r="R539" s="30" t="n">
        <v>0.9626824549241798</v>
      </c>
      <c r="S539" s="30" t="n">
        <v>0.03465541875469833</v>
      </c>
      <c r="T539" s="30" t="n">
        <v>0.002662126321121907</v>
      </c>
      <c r="U539" s="31">
        <f>ABS(E539-$G$6)</f>
        <v/>
      </c>
      <c r="V539" s="31">
        <f>ABS(E539-$G$7)</f>
        <v/>
      </c>
      <c r="W539" s="31">
        <f>ABS(E539-$G$8)</f>
        <v/>
      </c>
      <c r="X539" s="14">
        <f>IF(R539&gt;=MAX(S539,T539), "Hemat", IF(S539&gt;=T539, "Balanced", "Premium"))</f>
        <v/>
      </c>
    </row>
    <row r="540">
      <c r="A540" s="14" t="n">
        <v>545</v>
      </c>
      <c r="B540" s="7" t="inlineStr">
        <is>
          <t>Kolam air untuk masyarakat gunung ronggo dan pengairan pertanian</t>
        </is>
      </c>
      <c r="C540" s="26" t="n">
        <v>-8.0496719</v>
      </c>
      <c r="D540" s="26" t="n">
        <v>112.7164938</v>
      </c>
      <c r="E540" s="21" t="n">
        <v>2000</v>
      </c>
      <c r="F540" s="27" t="n">
        <v>4.6</v>
      </c>
      <c r="G540" s="28" t="n">
        <v>33</v>
      </c>
      <c r="H540" s="14" t="inlineStr">
        <is>
          <t>Wisata Umum</t>
        </is>
      </c>
      <c r="I540" s="29">
        <f>6371 * 2 * ASIN(SQRT(SIN(RADIANS((C540) - INDEX('Dataset_Wisata'!$C$12:$C$622, MATCH('Dashboard'!$C$9, 'Dataset_Wisata'!$A$12:$A$622, 0)))/2)^2 + COS(RADIANS(INDEX('Dataset_Wisata'!$C$12:$C$622, MATCH('Dashboard'!$C$9, 'Dataset_Wisata'!$A$12:$A$622, 0)))) * COS(RADIANS(C540)) * SIN(RADIANS((D540) - INDEX('Dataset_Wisata'!$D$12:$D$622, MATCH('Dashboard'!$C$9, 'Dataset_Wisata'!$A$12:$A$622, 0)))/2)^2)) * 1.3</f>
        <v/>
      </c>
      <c r="J540" s="21">
        <f>ROUND(I540 * IF('Dashboard'!$C$6&lt;=1, 2250, IF('Dashboard'!$C$6&lt;=4, 5150, 6000)), 0)</f>
        <v/>
      </c>
      <c r="K540" s="30" t="n">
        <v>0.9745968037531486</v>
      </c>
      <c r="L540" s="30" t="n">
        <v>0.02368856650344644</v>
      </c>
      <c r="M540" s="30" t="n">
        <v>0.001714629743404906</v>
      </c>
      <c r="N540" s="31">
        <f>ABS(E540-$F$6)</f>
        <v/>
      </c>
      <c r="O540" s="31">
        <f>ABS(E540-$F$7)</f>
        <v/>
      </c>
      <c r="P540" s="31">
        <f>ABS(E540-$F$8)</f>
        <v/>
      </c>
      <c r="Q540" s="14">
        <f>IF(K540&gt;=MAX(L540,M540), "Hemat", IF(L540&gt;=M540, "Balanced", "Premium"))</f>
        <v/>
      </c>
      <c r="R540" s="30" t="n">
        <v>0.9745968058205632</v>
      </c>
      <c r="S540" s="30" t="n">
        <v>0.02368856419646389</v>
      </c>
      <c r="T540" s="30" t="n">
        <v>0.001714629982972894</v>
      </c>
      <c r="U540" s="31">
        <f>ABS(E540-$G$6)</f>
        <v/>
      </c>
      <c r="V540" s="31">
        <f>ABS(E540-$G$7)</f>
        <v/>
      </c>
      <c r="W540" s="31">
        <f>ABS(E540-$G$8)</f>
        <v/>
      </c>
      <c r="X540" s="14">
        <f>IF(R540&gt;=MAX(S540,T540), "Hemat", IF(S540&gt;=T540, "Balanced", "Premium"))</f>
        <v/>
      </c>
    </row>
    <row r="541">
      <c r="A541" s="14" t="n">
        <v>546</v>
      </c>
      <c r="B541" s="7" t="inlineStr">
        <is>
          <t>Museum Panji</t>
        </is>
      </c>
      <c r="C541" s="26" t="n">
        <v>-8.002793499999999</v>
      </c>
      <c r="D541" s="26" t="n">
        <v>112.7300176</v>
      </c>
      <c r="E541" s="21" t="n">
        <v>25000</v>
      </c>
      <c r="F541" s="27" t="n">
        <v>4.3</v>
      </c>
      <c r="G541" s="28" t="n">
        <v>1244</v>
      </c>
      <c r="H541" s="14" t="inlineStr">
        <is>
          <t>Museum Panji</t>
        </is>
      </c>
      <c r="I541" s="29">
        <f>6371 * 2 * ASIN(SQRT(SIN(RADIANS((C541) - INDEX('Dataset_Wisata'!$C$12:$C$622, MATCH('Dashboard'!$C$9, 'Dataset_Wisata'!$A$12:$A$622, 0)))/2)^2 + COS(RADIANS(INDEX('Dataset_Wisata'!$C$12:$C$622, MATCH('Dashboard'!$C$9, 'Dataset_Wisata'!$A$12:$A$622, 0)))) * COS(RADIANS(C541)) * SIN(RADIANS((D541) - INDEX('Dataset_Wisata'!$D$12:$D$622, MATCH('Dashboard'!$C$9, 'Dataset_Wisata'!$A$12:$A$622, 0)))/2)^2)) * 1.3</f>
        <v/>
      </c>
      <c r="J541" s="21">
        <f>ROUND(I541 * IF('Dashboard'!$C$6&lt;=1, 2250, IF('Dashboard'!$C$6&lt;=4, 5150, 6000)), 0)</f>
        <v/>
      </c>
      <c r="K541" s="30" t="n">
        <v>0.714779317495253</v>
      </c>
      <c r="L541" s="30" t="n">
        <v>0.2780482755376564</v>
      </c>
      <c r="M541" s="30" t="n">
        <v>0.0071724069670906</v>
      </c>
      <c r="N541" s="31">
        <f>ABS(E541-$F$6)</f>
        <v/>
      </c>
      <c r="O541" s="31">
        <f>ABS(E541-$F$7)</f>
        <v/>
      </c>
      <c r="P541" s="31">
        <f>ABS(E541-$F$8)</f>
        <v/>
      </c>
      <c r="Q541" s="14">
        <f>IF(K541&gt;=MAX(L541,M541), "Hemat", IF(L541&gt;=M541, "Balanced", "Premium"))</f>
        <v/>
      </c>
      <c r="R541" s="30" t="n">
        <v>0.7147794395425007</v>
      </c>
      <c r="S541" s="30" t="n">
        <v>0.2780481531707544</v>
      </c>
      <c r="T541" s="30" t="n">
        <v>0.007172407286744955</v>
      </c>
      <c r="U541" s="31">
        <f>ABS(E541-$G$6)</f>
        <v/>
      </c>
      <c r="V541" s="31">
        <f>ABS(E541-$G$7)</f>
        <v/>
      </c>
      <c r="W541" s="31">
        <f>ABS(E541-$G$8)</f>
        <v/>
      </c>
      <c r="X541" s="14">
        <f>IF(R541&gt;=MAX(S541,T541), "Hemat", IF(S541&gt;=T541, "Balanced", "Premium"))</f>
        <v/>
      </c>
    </row>
    <row r="542">
      <c r="A542" s="14" t="n">
        <v>547</v>
      </c>
      <c r="B542" s="7" t="inlineStr">
        <is>
          <t>Candi Kidal</t>
        </is>
      </c>
      <c r="C542" s="26" t="n">
        <v>-8.0257936</v>
      </c>
      <c r="D542" s="26" t="n">
        <v>112.7089856</v>
      </c>
      <c r="E542" s="21" t="n">
        <v>5000</v>
      </c>
      <c r="F542" s="27" t="n">
        <v>4.6</v>
      </c>
      <c r="G542" s="28" t="n">
        <v>848</v>
      </c>
      <c r="H542" s="14" t="inlineStr">
        <is>
          <t>Wisata Umum</t>
        </is>
      </c>
      <c r="I542" s="29">
        <f>6371 * 2 * ASIN(SQRT(SIN(RADIANS((C542) - INDEX('Dataset_Wisata'!$C$12:$C$622, MATCH('Dashboard'!$C$9, 'Dataset_Wisata'!$A$12:$A$622, 0)))/2)^2 + COS(RADIANS(INDEX('Dataset_Wisata'!$C$12:$C$622, MATCH('Dashboard'!$C$9, 'Dataset_Wisata'!$A$12:$A$622, 0)))) * COS(RADIANS(C542)) * SIN(RADIANS((D542) - INDEX('Dataset_Wisata'!$D$12:$D$622, MATCH('Dashboard'!$C$9, 'Dataset_Wisata'!$A$12:$A$622, 0)))/2)^2)) * 1.3</f>
        <v/>
      </c>
      <c r="J542" s="21">
        <f>ROUND(I542 * IF('Dashboard'!$C$6&lt;=1, 2250, IF('Dashboard'!$C$6&lt;=4, 5150, 6000)), 0)</f>
        <v/>
      </c>
      <c r="K542" s="30" t="n">
        <v>0.9895566543895754</v>
      </c>
      <c r="L542" s="30" t="n">
        <v>0.009798611400025654</v>
      </c>
      <c r="M542" s="30" t="n">
        <v>0.0006447342103988783</v>
      </c>
      <c r="N542" s="31">
        <f>ABS(E542-$F$6)</f>
        <v/>
      </c>
      <c r="O542" s="31">
        <f>ABS(E542-$F$7)</f>
        <v/>
      </c>
      <c r="P542" s="31">
        <f>ABS(E542-$F$8)</f>
        <v/>
      </c>
      <c r="Q542" s="14">
        <f>IF(K542&gt;=MAX(L542,M542), "Hemat", IF(L542&gt;=M542, "Balanced", "Premium"))</f>
        <v/>
      </c>
      <c r="R542" s="30" t="n">
        <v>0.9895566542341836</v>
      </c>
      <c r="S542" s="30" t="n">
        <v>0.00979861139170024</v>
      </c>
      <c r="T542" s="30" t="n">
        <v>0.00064473437411607</v>
      </c>
      <c r="U542" s="31">
        <f>ABS(E542-$G$6)</f>
        <v/>
      </c>
      <c r="V542" s="31">
        <f>ABS(E542-$G$7)</f>
        <v/>
      </c>
      <c r="W542" s="31">
        <f>ABS(E542-$G$8)</f>
        <v/>
      </c>
      <c r="X542" s="14">
        <f>IF(R542&gt;=MAX(S542,T542), "Hemat", IF(S542&gt;=T542, "Balanced", "Premium"))</f>
        <v/>
      </c>
    </row>
    <row r="543">
      <c r="A543" s="14" t="n">
        <v>548</v>
      </c>
      <c r="B543" s="7" t="inlineStr">
        <is>
          <t>Sumber Air Ngembul</t>
        </is>
      </c>
      <c r="C543" s="26" t="n">
        <v>-8.058364900000001</v>
      </c>
      <c r="D543" s="26" t="n">
        <v>112.6757856</v>
      </c>
      <c r="E543" s="21" t="n">
        <v>2000</v>
      </c>
      <c r="F543" s="27" t="n">
        <v>4.2</v>
      </c>
      <c r="G543" s="28" t="n">
        <v>72</v>
      </c>
      <c r="H543" s="14" t="inlineStr">
        <is>
          <t>Wisata Umum</t>
        </is>
      </c>
      <c r="I543" s="29">
        <f>6371 * 2 * ASIN(SQRT(SIN(RADIANS((C543) - INDEX('Dataset_Wisata'!$C$12:$C$622, MATCH('Dashboard'!$C$9, 'Dataset_Wisata'!$A$12:$A$622, 0)))/2)^2 + COS(RADIANS(INDEX('Dataset_Wisata'!$C$12:$C$622, MATCH('Dashboard'!$C$9, 'Dataset_Wisata'!$A$12:$A$622, 0)))) * COS(RADIANS(C543)) * SIN(RADIANS((D543) - INDEX('Dataset_Wisata'!$D$12:$D$622, MATCH('Dashboard'!$C$9, 'Dataset_Wisata'!$A$12:$A$622, 0)))/2)^2)) * 1.3</f>
        <v/>
      </c>
      <c r="J543" s="21">
        <f>ROUND(I543 * IF('Dashboard'!$C$6&lt;=1, 2250, IF('Dashboard'!$C$6&lt;=4, 5150, 6000)), 0)</f>
        <v/>
      </c>
      <c r="K543" s="30" t="n">
        <v>0.9745968037531486</v>
      </c>
      <c r="L543" s="30" t="n">
        <v>0.02368856650344644</v>
      </c>
      <c r="M543" s="30" t="n">
        <v>0.001714629743404906</v>
      </c>
      <c r="N543" s="31">
        <f>ABS(E543-$F$6)</f>
        <v/>
      </c>
      <c r="O543" s="31">
        <f>ABS(E543-$F$7)</f>
        <v/>
      </c>
      <c r="P543" s="31">
        <f>ABS(E543-$F$8)</f>
        <v/>
      </c>
      <c r="Q543" s="14">
        <f>IF(K543&gt;=MAX(L543,M543), "Hemat", IF(L543&gt;=M543, "Balanced", "Premium"))</f>
        <v/>
      </c>
      <c r="R543" s="30" t="n">
        <v>0.9745968058205632</v>
      </c>
      <c r="S543" s="30" t="n">
        <v>0.02368856419646389</v>
      </c>
      <c r="T543" s="30" t="n">
        <v>0.001714629982972894</v>
      </c>
      <c r="U543" s="31">
        <f>ABS(E543-$G$6)</f>
        <v/>
      </c>
      <c r="V543" s="31">
        <f>ABS(E543-$G$7)</f>
        <v/>
      </c>
      <c r="W543" s="31">
        <f>ABS(E543-$G$8)</f>
        <v/>
      </c>
      <c r="X543" s="14">
        <f>IF(R543&gt;=MAX(S543,T543), "Hemat", IF(S543&gt;=T543, "Balanced", "Premium"))</f>
        <v/>
      </c>
    </row>
    <row r="544">
      <c r="A544" s="14" t="n">
        <v>549</v>
      </c>
      <c r="B544" s="7" t="inlineStr">
        <is>
          <t>Taman Kenongo</t>
        </is>
      </c>
      <c r="C544" s="26" t="n">
        <v>-7.9844339</v>
      </c>
      <c r="D544" s="26" t="n">
        <v>112.7651181</v>
      </c>
      <c r="E544" s="21" t="n">
        <v>15000</v>
      </c>
      <c r="F544" s="27" t="n">
        <v>4.5</v>
      </c>
      <c r="G544" s="28" t="n">
        <v>550</v>
      </c>
      <c r="H544" s="14" t="inlineStr">
        <is>
          <t>Taman Kenongo</t>
        </is>
      </c>
      <c r="I544" s="29">
        <f>6371 * 2 * ASIN(SQRT(SIN(RADIANS((C544) - INDEX('Dataset_Wisata'!$C$12:$C$622, MATCH('Dashboard'!$C$9, 'Dataset_Wisata'!$A$12:$A$622, 0)))/2)^2 + COS(RADIANS(INDEX('Dataset_Wisata'!$C$12:$C$622, MATCH('Dashboard'!$C$9, 'Dataset_Wisata'!$A$12:$A$622, 0)))) * COS(RADIANS(C544)) * SIN(RADIANS((D544) - INDEX('Dataset_Wisata'!$D$12:$D$622, MATCH('Dashboard'!$C$9, 'Dataset_Wisata'!$A$12:$A$622, 0)))/2)^2)) * 1.3</f>
        <v/>
      </c>
      <c r="J544" s="21">
        <f>ROUND(I544 * IF('Dashboard'!$C$6&lt;=1, 2250, IF('Dashboard'!$C$6&lt;=4, 5150, 6000)), 0)</f>
        <v/>
      </c>
      <c r="K544" s="30" t="n">
        <v>0.9744283047002794</v>
      </c>
      <c r="L544" s="30" t="n">
        <v>0.02447712712252609</v>
      </c>
      <c r="M544" s="30" t="n">
        <v>0.001094568177194568</v>
      </c>
      <c r="N544" s="31">
        <f>ABS(E544-$F$6)</f>
        <v/>
      </c>
      <c r="O544" s="31">
        <f>ABS(E544-$F$7)</f>
        <v/>
      </c>
      <c r="P544" s="31">
        <f>ABS(E544-$F$8)</f>
        <v/>
      </c>
      <c r="Q544" s="14">
        <f>IF(K544&gt;=MAX(L544,M544), "Hemat", IF(L544&gt;=M544, "Balanced", "Premium"))</f>
        <v/>
      </c>
      <c r="R544" s="30" t="n">
        <v>0.9744283195785179</v>
      </c>
      <c r="S544" s="30" t="n">
        <v>0.02447711252884811</v>
      </c>
      <c r="T544" s="30" t="n">
        <v>0.001094567892634054</v>
      </c>
      <c r="U544" s="31">
        <f>ABS(E544-$G$6)</f>
        <v/>
      </c>
      <c r="V544" s="31">
        <f>ABS(E544-$G$7)</f>
        <v/>
      </c>
      <c r="W544" s="31">
        <f>ABS(E544-$G$8)</f>
        <v/>
      </c>
      <c r="X544" s="14">
        <f>IF(R544&gt;=MAX(S544,T544), "Hemat", IF(S544&gt;=T544, "Balanced", "Premium"))</f>
        <v/>
      </c>
    </row>
    <row r="545">
      <c r="A545" s="14" t="n">
        <v>550</v>
      </c>
      <c r="B545" s="7" t="inlineStr">
        <is>
          <t>Embung Pemancingan</t>
        </is>
      </c>
      <c r="C545" s="26" t="n">
        <v>-7.9983961</v>
      </c>
      <c r="D545" s="26" t="n">
        <v>112.7553564</v>
      </c>
      <c r="E545" s="21" t="n">
        <v>15000</v>
      </c>
      <c r="F545" s="27" t="n">
        <v>4</v>
      </c>
      <c r="G545" s="28" t="n">
        <v>111</v>
      </c>
      <c r="H545" s="14" t="inlineStr">
        <is>
          <t>Tujuan Wisata · 2Q24+J4X</t>
        </is>
      </c>
      <c r="I545" s="29">
        <f>6371 * 2 * ASIN(SQRT(SIN(RADIANS((C545) - INDEX('Dataset_Wisata'!$C$12:$C$622, MATCH('Dashboard'!$C$9, 'Dataset_Wisata'!$A$12:$A$622, 0)))/2)^2 + COS(RADIANS(INDEX('Dataset_Wisata'!$C$12:$C$622, MATCH('Dashboard'!$C$9, 'Dataset_Wisata'!$A$12:$A$622, 0)))) * COS(RADIANS(C545)) * SIN(RADIANS((D545) - INDEX('Dataset_Wisata'!$D$12:$D$622, MATCH('Dashboard'!$C$9, 'Dataset_Wisata'!$A$12:$A$622, 0)))/2)^2)) * 1.3</f>
        <v/>
      </c>
      <c r="J545" s="21">
        <f>ROUND(I545 * IF('Dashboard'!$C$6&lt;=1, 2250, IF('Dashboard'!$C$6&lt;=4, 5150, 6000)), 0)</f>
        <v/>
      </c>
      <c r="K545" s="30" t="n">
        <v>0.9744283047002794</v>
      </c>
      <c r="L545" s="30" t="n">
        <v>0.02447712712252609</v>
      </c>
      <c r="M545" s="30" t="n">
        <v>0.001094568177194568</v>
      </c>
      <c r="N545" s="31">
        <f>ABS(E545-$F$6)</f>
        <v/>
      </c>
      <c r="O545" s="31">
        <f>ABS(E545-$F$7)</f>
        <v/>
      </c>
      <c r="P545" s="31">
        <f>ABS(E545-$F$8)</f>
        <v/>
      </c>
      <c r="Q545" s="14">
        <f>IF(K545&gt;=MAX(L545,M545), "Hemat", IF(L545&gt;=M545, "Balanced", "Premium"))</f>
        <v/>
      </c>
      <c r="R545" s="30" t="n">
        <v>0.9744283195785179</v>
      </c>
      <c r="S545" s="30" t="n">
        <v>0.02447711252884811</v>
      </c>
      <c r="T545" s="30" t="n">
        <v>0.001094567892634054</v>
      </c>
      <c r="U545" s="31">
        <f>ABS(E545-$G$6)</f>
        <v/>
      </c>
      <c r="V545" s="31">
        <f>ABS(E545-$G$7)</f>
        <v/>
      </c>
      <c r="W545" s="31">
        <f>ABS(E545-$G$8)</f>
        <v/>
      </c>
      <c r="X545" s="14">
        <f>IF(R545&gt;=MAX(S545,T545), "Hemat", IF(S545&gt;=T545, "Balanced", "Premium"))</f>
        <v/>
      </c>
    </row>
    <row r="546">
      <c r="A546" s="14" t="n">
        <v>551</v>
      </c>
      <c r="B546" s="7" t="inlineStr">
        <is>
          <t>Candi Gito Lembah Tumpang</t>
        </is>
      </c>
      <c r="C546" s="26" t="n">
        <v>-7.9949319</v>
      </c>
      <c r="D546" s="26" t="n">
        <v>112.7391018</v>
      </c>
      <c r="E546" s="21" t="n">
        <v>60000</v>
      </c>
      <c r="F546" s="27" t="n">
        <v>4.8</v>
      </c>
      <c r="G546" s="28" t="n">
        <v>139</v>
      </c>
      <c r="H546" s="14" t="inlineStr">
        <is>
          <t>Wisata Umum</t>
        </is>
      </c>
      <c r="I546" s="29">
        <f>6371 * 2 * ASIN(SQRT(SIN(RADIANS((C546) - INDEX('Dataset_Wisata'!$C$12:$C$622, MATCH('Dashboard'!$C$9, 'Dataset_Wisata'!$A$12:$A$622, 0)))/2)^2 + COS(RADIANS(INDEX('Dataset_Wisata'!$C$12:$C$622, MATCH('Dashboard'!$C$9, 'Dataset_Wisata'!$A$12:$A$622, 0)))) * COS(RADIANS(C546)) * SIN(RADIANS((D546) - INDEX('Dataset_Wisata'!$D$12:$D$622, MATCH('Dashboard'!$C$9, 'Dataset_Wisata'!$A$12:$A$622, 0)))/2)^2)) * 1.3</f>
        <v/>
      </c>
      <c r="J546" s="21">
        <f>ROUND(I546 * IF('Dashboard'!$C$6&lt;=1, 2250, IF('Dashboard'!$C$6&lt;=4, 5150, 6000)), 0)</f>
        <v/>
      </c>
      <c r="K546" s="30" t="n">
        <v>0.03813560740753515</v>
      </c>
      <c r="L546" s="30" t="n">
        <v>0.9551077970041918</v>
      </c>
      <c r="M546" s="30" t="n">
        <v>0.006756595588273031</v>
      </c>
      <c r="N546" s="31">
        <f>ABS(E546-$F$6)</f>
        <v/>
      </c>
      <c r="O546" s="31">
        <f>ABS(E546-$F$7)</f>
        <v/>
      </c>
      <c r="P546" s="31">
        <f>ABS(E546-$F$8)</f>
        <v/>
      </c>
      <c r="Q546" s="14">
        <f>IF(K546&gt;=MAX(L546,M546), "Hemat", IF(L546&gt;=M546, "Balanced", "Premium"))</f>
        <v/>
      </c>
      <c r="R546" s="30" t="n">
        <v>0.03813556102953696</v>
      </c>
      <c r="S546" s="30" t="n">
        <v>0.9551078521424723</v>
      </c>
      <c r="T546" s="30" t="n">
        <v>0.00675658682799073</v>
      </c>
      <c r="U546" s="31">
        <f>ABS(E546-$G$6)</f>
        <v/>
      </c>
      <c r="V546" s="31">
        <f>ABS(E546-$G$7)</f>
        <v/>
      </c>
      <c r="W546" s="31">
        <f>ABS(E546-$G$8)</f>
        <v/>
      </c>
      <c r="X546" s="14">
        <f>IF(R546&gt;=MAX(S546,T546), "Hemat", IF(S546&gt;=T546, "Balanced", "Premium"))</f>
        <v/>
      </c>
    </row>
    <row r="547">
      <c r="A547" s="14" t="n">
        <v>552</v>
      </c>
      <c r="B547" s="7" t="inlineStr">
        <is>
          <t>Pura Luhur Dwijawarsa</t>
        </is>
      </c>
      <c r="C547" s="26" t="n">
        <v>-7.9953961</v>
      </c>
      <c r="D547" s="26" t="n">
        <v>112.6610419</v>
      </c>
      <c r="E547" s="21" t="n">
        <v>7000</v>
      </c>
      <c r="F547" s="27" t="n">
        <v>4.8</v>
      </c>
      <c r="G547" s="28" t="n">
        <v>278</v>
      </c>
      <c r="H547" s="14" t="inlineStr">
        <is>
          <t>Wisata Umum</t>
        </is>
      </c>
      <c r="I547" s="29">
        <f>6371 * 2 * ASIN(SQRT(SIN(RADIANS((C547) - INDEX('Dataset_Wisata'!$C$12:$C$622, MATCH('Dashboard'!$C$9, 'Dataset_Wisata'!$A$12:$A$622, 0)))/2)^2 + COS(RADIANS(INDEX('Dataset_Wisata'!$C$12:$C$622, MATCH('Dashboard'!$C$9, 'Dataset_Wisata'!$A$12:$A$622, 0)))) * COS(RADIANS(C547)) * SIN(RADIANS((D547) - INDEX('Dataset_Wisata'!$D$12:$D$622, MATCH('Dashboard'!$C$9, 'Dataset_Wisata'!$A$12:$A$622, 0)))/2)^2)) * 1.3</f>
        <v/>
      </c>
      <c r="J547" s="21">
        <f>ROUND(I547 * IF('Dashboard'!$C$6&lt;=1, 2250, IF('Dashboard'!$C$6&lt;=4, 5150, 6000)), 0)</f>
        <v/>
      </c>
      <c r="K547" s="30" t="n">
        <v>0.9964990922780733</v>
      </c>
      <c r="L547" s="30" t="n">
        <v>0.003298187596112103</v>
      </c>
      <c r="M547" s="30" t="n">
        <v>0.0002027201258145054</v>
      </c>
      <c r="N547" s="31">
        <f>ABS(E547-$F$6)</f>
        <v/>
      </c>
      <c r="O547" s="31">
        <f>ABS(E547-$F$7)</f>
        <v/>
      </c>
      <c r="P547" s="31">
        <f>ABS(E547-$F$8)</f>
        <v/>
      </c>
      <c r="Q547" s="14">
        <f>IF(K547&gt;=MAX(L547,M547), "Hemat", IF(L547&gt;=M547, "Balanced", "Premium"))</f>
        <v/>
      </c>
      <c r="R547" s="30" t="n">
        <v>0.9964990914496938</v>
      </c>
      <c r="S547" s="30" t="n">
        <v>0.003298188325346893</v>
      </c>
      <c r="T547" s="30" t="n">
        <v>0.000202720224959229</v>
      </c>
      <c r="U547" s="31">
        <f>ABS(E547-$G$6)</f>
        <v/>
      </c>
      <c r="V547" s="31">
        <f>ABS(E547-$G$7)</f>
        <v/>
      </c>
      <c r="W547" s="31">
        <f>ABS(E547-$G$8)</f>
        <v/>
      </c>
      <c r="X547" s="14">
        <f>IF(R547&gt;=MAX(S547,T547), "Hemat", IF(S547&gt;=T547, "Balanced", "Premium"))</f>
        <v/>
      </c>
    </row>
    <row r="548">
      <c r="A548" s="14" t="n">
        <v>553</v>
      </c>
      <c r="B548" s="7" t="inlineStr">
        <is>
          <t>Wisata Petik Sayur Organik</t>
        </is>
      </c>
      <c r="C548" s="26" t="n">
        <v>-8.014635699999999</v>
      </c>
      <c r="D548" s="26" t="n">
        <v>112.6611468</v>
      </c>
      <c r="E548" s="21" t="n">
        <v>15000</v>
      </c>
      <c r="F548" s="27" t="n">
        <v>5</v>
      </c>
      <c r="G548" s="28" t="n">
        <v>22</v>
      </c>
      <c r="H548" s="14" t="inlineStr">
        <is>
          <t>Wisata Petik Sayur Organik</t>
        </is>
      </c>
      <c r="I548" s="29">
        <f>6371 * 2 * ASIN(SQRT(SIN(RADIANS((C548) - INDEX('Dataset_Wisata'!$C$12:$C$622, MATCH('Dashboard'!$C$9, 'Dataset_Wisata'!$A$12:$A$622, 0)))/2)^2 + COS(RADIANS(INDEX('Dataset_Wisata'!$C$12:$C$622, MATCH('Dashboard'!$C$9, 'Dataset_Wisata'!$A$12:$A$622, 0)))) * COS(RADIANS(C548)) * SIN(RADIANS((D548) - INDEX('Dataset_Wisata'!$D$12:$D$622, MATCH('Dashboard'!$C$9, 'Dataset_Wisata'!$A$12:$A$622, 0)))/2)^2)) * 1.3</f>
        <v/>
      </c>
      <c r="J548" s="21">
        <f>ROUND(I548 * IF('Dashboard'!$C$6&lt;=1, 2250, IF('Dashboard'!$C$6&lt;=4, 5150, 6000)), 0)</f>
        <v/>
      </c>
      <c r="K548" s="30" t="n">
        <v>0.9744283047002794</v>
      </c>
      <c r="L548" s="30" t="n">
        <v>0.02447712712252609</v>
      </c>
      <c r="M548" s="30" t="n">
        <v>0.001094568177194568</v>
      </c>
      <c r="N548" s="31">
        <f>ABS(E548-$F$6)</f>
        <v/>
      </c>
      <c r="O548" s="31">
        <f>ABS(E548-$F$7)</f>
        <v/>
      </c>
      <c r="P548" s="31">
        <f>ABS(E548-$F$8)</f>
        <v/>
      </c>
      <c r="Q548" s="14">
        <f>IF(K548&gt;=MAX(L548,M548), "Hemat", IF(L548&gt;=M548, "Balanced", "Premium"))</f>
        <v/>
      </c>
      <c r="R548" s="30" t="n">
        <v>0.9744283195785179</v>
      </c>
      <c r="S548" s="30" t="n">
        <v>0.02447711252884811</v>
      </c>
      <c r="T548" s="30" t="n">
        <v>0.001094567892634054</v>
      </c>
      <c r="U548" s="31">
        <f>ABS(E548-$G$6)</f>
        <v/>
      </c>
      <c r="V548" s="31">
        <f>ABS(E548-$G$7)</f>
        <v/>
      </c>
      <c r="W548" s="31">
        <f>ABS(E548-$G$8)</f>
        <v/>
      </c>
      <c r="X548" s="14">
        <f>IF(R548&gt;=MAX(S548,T548), "Hemat", IF(S548&gt;=T548, "Balanced", "Premium"))</f>
        <v/>
      </c>
    </row>
    <row r="549">
      <c r="A549" s="14" t="n">
        <v>554</v>
      </c>
      <c r="B549" s="7" t="inlineStr">
        <is>
          <t>Puncak BTU</t>
        </is>
      </c>
      <c r="C549" s="26" t="n">
        <v>-7.9916599</v>
      </c>
      <c r="D549" s="26" t="n">
        <v>112.671489</v>
      </c>
      <c r="E549" s="21" t="n">
        <v>16000</v>
      </c>
      <c r="F549" s="27" t="n">
        <v>4.5</v>
      </c>
      <c r="G549" s="28" t="n">
        <v>21</v>
      </c>
      <c r="H549" s="14" t="inlineStr">
        <is>
          <t>Tujuan Wisata · 2M5C+8H</t>
        </is>
      </c>
      <c r="I549" s="29">
        <f>6371 * 2 * ASIN(SQRT(SIN(RADIANS((C549) - INDEX('Dataset_Wisata'!$C$12:$C$622, MATCH('Dashboard'!$C$9, 'Dataset_Wisata'!$A$12:$A$622, 0)))/2)^2 + COS(RADIANS(INDEX('Dataset_Wisata'!$C$12:$C$622, MATCH('Dashboard'!$C$9, 'Dataset_Wisata'!$A$12:$A$622, 0)))) * COS(RADIANS(C549)) * SIN(RADIANS((D549) - INDEX('Dataset_Wisata'!$D$12:$D$622, MATCH('Dashboard'!$C$9, 'Dataset_Wisata'!$A$12:$A$622, 0)))/2)^2)) * 1.3</f>
        <v/>
      </c>
      <c r="J549" s="21">
        <f>ROUND(I549 * IF('Dashboard'!$C$6&lt;=1, 2250, IF('Dashboard'!$C$6&lt;=4, 5150, 6000)), 0)</f>
        <v/>
      </c>
      <c r="K549" s="30" t="n">
        <v>0.9627381572228676</v>
      </c>
      <c r="L549" s="30" t="n">
        <v>0.03573563728926455</v>
      </c>
      <c r="M549" s="30" t="n">
        <v>0.001526205487867857</v>
      </c>
      <c r="N549" s="31">
        <f>ABS(E549-$F$6)</f>
        <v/>
      </c>
      <c r="O549" s="31">
        <f>ABS(E549-$F$7)</f>
        <v/>
      </c>
      <c r="P549" s="31">
        <f>ABS(E549-$F$8)</f>
        <v/>
      </c>
      <c r="Q549" s="14">
        <f>IF(K549&gt;=MAX(L549,M549), "Hemat", IF(L549&gt;=M549, "Balanced", "Premium"))</f>
        <v/>
      </c>
      <c r="R549" s="30" t="n">
        <v>0.9627381777533726</v>
      </c>
      <c r="S549" s="30" t="n">
        <v>0.03573561709163443</v>
      </c>
      <c r="T549" s="30" t="n">
        <v>0.001526205154993105</v>
      </c>
      <c r="U549" s="31">
        <f>ABS(E549-$G$6)</f>
        <v/>
      </c>
      <c r="V549" s="31">
        <f>ABS(E549-$G$7)</f>
        <v/>
      </c>
      <c r="W549" s="31">
        <f>ABS(E549-$G$8)</f>
        <v/>
      </c>
      <c r="X549" s="14">
        <f>IF(R549&gt;=MAX(S549,T549), "Hemat", IF(S549&gt;=T549, "Balanced", "Premium"))</f>
        <v/>
      </c>
    </row>
    <row r="550">
      <c r="A550" s="14" t="n">
        <v>555</v>
      </c>
      <c r="B550" s="7" t="inlineStr">
        <is>
          <t>Taman Gangsar</t>
        </is>
      </c>
      <c r="C550" s="26" t="n">
        <v>-7.973068</v>
      </c>
      <c r="D550" s="26" t="n">
        <v>112.737321</v>
      </c>
      <c r="E550" s="21" t="n">
        <v>10000</v>
      </c>
      <c r="F550" s="27" t="n">
        <v>3.8</v>
      </c>
      <c r="G550" s="28" t="n">
        <v>320</v>
      </c>
      <c r="H550" s="14" t="inlineStr">
        <is>
          <t>Taman Gangsar</t>
        </is>
      </c>
      <c r="I550" s="29">
        <f>6371 * 2 * ASIN(SQRT(SIN(RADIANS((C550) - INDEX('Dataset_Wisata'!$C$12:$C$622, MATCH('Dashboard'!$C$9, 'Dataset_Wisata'!$A$12:$A$622, 0)))/2)^2 + COS(RADIANS(INDEX('Dataset_Wisata'!$C$12:$C$622, MATCH('Dashboard'!$C$9, 'Dataset_Wisata'!$A$12:$A$622, 0)))) * COS(RADIANS(C550)) * SIN(RADIANS((D550) - INDEX('Dataset_Wisata'!$D$12:$D$622, MATCH('Dashboard'!$C$9, 'Dataset_Wisata'!$A$12:$A$622, 0)))/2)^2)) * 1.3</f>
        <v/>
      </c>
      <c r="J550" s="21">
        <f>ROUND(I550 * IF('Dashboard'!$C$6&lt;=1, 2250, IF('Dashboard'!$C$6&lt;=4, 5150, 6000)), 0)</f>
        <v/>
      </c>
      <c r="K550" s="30" t="n">
        <v>0.9998126508185596</v>
      </c>
      <c r="L550" s="30" t="n">
        <v>0.0001775718391516968</v>
      </c>
      <c r="M550" s="30" t="n">
        <v>9.7773422886897e-06</v>
      </c>
      <c r="N550" s="31">
        <f>ABS(E550-$F$6)</f>
        <v/>
      </c>
      <c r="O550" s="31">
        <f>ABS(E550-$F$7)</f>
        <v/>
      </c>
      <c r="P550" s="31">
        <f>ABS(E550-$F$8)</f>
        <v/>
      </c>
      <c r="Q550" s="14">
        <f>IF(K550&gt;=MAX(L550,M550), "Hemat", IF(L550&gt;=M550, "Balanced", "Premium"))</f>
        <v/>
      </c>
      <c r="R550" s="30" t="n">
        <v>0.9998126513362043</v>
      </c>
      <c r="S550" s="30" t="n">
        <v>0.0001775713458315561</v>
      </c>
      <c r="T550" s="30" t="n">
        <v>9.777317964159987e-06</v>
      </c>
      <c r="U550" s="31">
        <f>ABS(E550-$G$6)</f>
        <v/>
      </c>
      <c r="V550" s="31">
        <f>ABS(E550-$G$7)</f>
        <v/>
      </c>
      <c r="W550" s="31">
        <f>ABS(E550-$G$8)</f>
        <v/>
      </c>
      <c r="X550" s="14">
        <f>IF(R550&gt;=MAX(S550,T550), "Hemat", IF(S550&gt;=T550, "Balanced", "Premium"))</f>
        <v/>
      </c>
    </row>
    <row r="551">
      <c r="A551" s="14" t="n">
        <v>556</v>
      </c>
      <c r="B551" s="7" t="inlineStr">
        <is>
          <t>Air Terjun Sumber Pitu Tumpang</t>
        </is>
      </c>
      <c r="C551" s="26" t="n">
        <v>-8.013583199999999</v>
      </c>
      <c r="D551" s="26" t="n">
        <v>112.8217266</v>
      </c>
      <c r="E551" s="21" t="n">
        <v>5000</v>
      </c>
      <c r="F551" s="27" t="n">
        <v>4.4</v>
      </c>
      <c r="G551" s="28" t="n">
        <v>650</v>
      </c>
      <c r="H551" s="14" t="inlineStr">
        <is>
          <t>Tujuan Wisata · </t>
        </is>
      </c>
      <c r="I551" s="29">
        <f>6371 * 2 * ASIN(SQRT(SIN(RADIANS((C551) - INDEX('Dataset_Wisata'!$C$12:$C$622, MATCH('Dashboard'!$C$9, 'Dataset_Wisata'!$A$12:$A$622, 0)))/2)^2 + COS(RADIANS(INDEX('Dataset_Wisata'!$C$12:$C$622, MATCH('Dashboard'!$C$9, 'Dataset_Wisata'!$A$12:$A$622, 0)))) * COS(RADIANS(C551)) * SIN(RADIANS((D551) - INDEX('Dataset_Wisata'!$D$12:$D$622, MATCH('Dashboard'!$C$9, 'Dataset_Wisata'!$A$12:$A$622, 0)))/2)^2)) * 1.3</f>
        <v/>
      </c>
      <c r="J551" s="21">
        <f>ROUND(I551 * IF('Dashboard'!$C$6&lt;=1, 2250, IF('Dashboard'!$C$6&lt;=4, 5150, 6000)), 0)</f>
        <v/>
      </c>
      <c r="K551" s="30" t="n">
        <v>0.9895566543895754</v>
      </c>
      <c r="L551" s="30" t="n">
        <v>0.009798611400025654</v>
      </c>
      <c r="M551" s="30" t="n">
        <v>0.0006447342103988783</v>
      </c>
      <c r="N551" s="31">
        <f>ABS(E551-$F$6)</f>
        <v/>
      </c>
      <c r="O551" s="31">
        <f>ABS(E551-$F$7)</f>
        <v/>
      </c>
      <c r="P551" s="31">
        <f>ABS(E551-$F$8)</f>
        <v/>
      </c>
      <c r="Q551" s="14">
        <f>IF(K551&gt;=MAX(L551,M551), "Hemat", IF(L551&gt;=M551, "Balanced", "Premium"))</f>
        <v/>
      </c>
      <c r="R551" s="30" t="n">
        <v>0.9895566542341836</v>
      </c>
      <c r="S551" s="30" t="n">
        <v>0.00979861139170024</v>
      </c>
      <c r="T551" s="30" t="n">
        <v>0.00064473437411607</v>
      </c>
      <c r="U551" s="31">
        <f>ABS(E551-$G$6)</f>
        <v/>
      </c>
      <c r="V551" s="31">
        <f>ABS(E551-$G$7)</f>
        <v/>
      </c>
      <c r="W551" s="31">
        <f>ABS(E551-$G$8)</f>
        <v/>
      </c>
      <c r="X551" s="14">
        <f>IF(R551&gt;=MAX(S551,T551), "Hemat", IF(S551&gt;=T551, "Balanced", "Premium"))</f>
        <v/>
      </c>
    </row>
    <row r="552">
      <c r="A552" s="14" t="n">
        <v>557</v>
      </c>
      <c r="B552" s="7" t="inlineStr">
        <is>
          <t>P.o Telaga Biru</t>
        </is>
      </c>
      <c r="C552" s="26" t="n">
        <v>-7.9728411</v>
      </c>
      <c r="D552" s="26" t="n">
        <v>112.7366041</v>
      </c>
      <c r="E552" s="21" t="n">
        <v>10000</v>
      </c>
      <c r="F552" s="27" t="n">
        <v>4.5</v>
      </c>
      <c r="G552" s="28" t="n">
        <v>33</v>
      </c>
      <c r="H552" s="14" t="inlineStr">
        <is>
          <t>Tujuan Wisata · 2PGP+MCP</t>
        </is>
      </c>
      <c r="I552" s="29">
        <f>6371 * 2 * ASIN(SQRT(SIN(RADIANS((C552) - INDEX('Dataset_Wisata'!$C$12:$C$622, MATCH('Dashboard'!$C$9, 'Dataset_Wisata'!$A$12:$A$622, 0)))/2)^2 + COS(RADIANS(INDEX('Dataset_Wisata'!$C$12:$C$622, MATCH('Dashboard'!$C$9, 'Dataset_Wisata'!$A$12:$A$622, 0)))) * COS(RADIANS(C552)) * SIN(RADIANS((D552) - INDEX('Dataset_Wisata'!$D$12:$D$622, MATCH('Dashboard'!$C$9, 'Dataset_Wisata'!$A$12:$A$622, 0)))/2)^2)) * 1.3</f>
        <v/>
      </c>
      <c r="J552" s="21">
        <f>ROUND(I552 * IF('Dashboard'!$C$6&lt;=1, 2250, IF('Dashboard'!$C$6&lt;=4, 5150, 6000)), 0)</f>
        <v/>
      </c>
      <c r="K552" s="30" t="n">
        <v>0.9998126508185596</v>
      </c>
      <c r="L552" s="30" t="n">
        <v>0.0001775718391516968</v>
      </c>
      <c r="M552" s="30" t="n">
        <v>9.7773422886897e-06</v>
      </c>
      <c r="N552" s="31">
        <f>ABS(E552-$F$6)</f>
        <v/>
      </c>
      <c r="O552" s="31">
        <f>ABS(E552-$F$7)</f>
        <v/>
      </c>
      <c r="P552" s="31">
        <f>ABS(E552-$F$8)</f>
        <v/>
      </c>
      <c r="Q552" s="14">
        <f>IF(K552&gt;=MAX(L552,M552), "Hemat", IF(L552&gt;=M552, "Balanced", "Premium"))</f>
        <v/>
      </c>
      <c r="R552" s="30" t="n">
        <v>0.9998126513362043</v>
      </c>
      <c r="S552" s="30" t="n">
        <v>0.0001775713458315561</v>
      </c>
      <c r="T552" s="30" t="n">
        <v>9.777317964159987e-06</v>
      </c>
      <c r="U552" s="31">
        <f>ABS(E552-$G$6)</f>
        <v/>
      </c>
      <c r="V552" s="31">
        <f>ABS(E552-$G$7)</f>
        <v/>
      </c>
      <c r="W552" s="31">
        <f>ABS(E552-$G$8)</f>
        <v/>
      </c>
      <c r="X552" s="14">
        <f>IF(R552&gt;=MAX(S552,T552), "Hemat", IF(S552&gt;=T552, "Balanced", "Premium"))</f>
        <v/>
      </c>
    </row>
    <row r="553">
      <c r="A553" s="14" t="n">
        <v>558</v>
      </c>
      <c r="B553" s="7" t="inlineStr">
        <is>
          <t>Rolak stream</t>
        </is>
      </c>
      <c r="C553" s="26" t="n">
        <v>-7.9898171</v>
      </c>
      <c r="D553" s="26" t="n">
        <v>112.654001</v>
      </c>
      <c r="E553" s="21" t="n">
        <v>10000</v>
      </c>
      <c r="F553" s="27" t="n">
        <v>4.6</v>
      </c>
      <c r="G553" s="28" t="n">
        <v>48</v>
      </c>
      <c r="H553" s="14" t="inlineStr">
        <is>
          <t>Wisata Umum</t>
        </is>
      </c>
      <c r="I553" s="29">
        <f>6371 * 2 * ASIN(SQRT(SIN(RADIANS((C553) - INDEX('Dataset_Wisata'!$C$12:$C$622, MATCH('Dashboard'!$C$9, 'Dataset_Wisata'!$A$12:$A$622, 0)))/2)^2 + COS(RADIANS(INDEX('Dataset_Wisata'!$C$12:$C$622, MATCH('Dashboard'!$C$9, 'Dataset_Wisata'!$A$12:$A$622, 0)))) * COS(RADIANS(C553)) * SIN(RADIANS((D553) - INDEX('Dataset_Wisata'!$D$12:$D$622, MATCH('Dashboard'!$C$9, 'Dataset_Wisata'!$A$12:$A$622, 0)))/2)^2)) * 1.3</f>
        <v/>
      </c>
      <c r="J553" s="21">
        <f>ROUND(I553 * IF('Dashboard'!$C$6&lt;=1, 2250, IF('Dashboard'!$C$6&lt;=4, 5150, 6000)), 0)</f>
        <v/>
      </c>
      <c r="K553" s="30" t="n">
        <v>0.9998126508185596</v>
      </c>
      <c r="L553" s="30" t="n">
        <v>0.0001775718391516968</v>
      </c>
      <c r="M553" s="30" t="n">
        <v>9.7773422886897e-06</v>
      </c>
      <c r="N553" s="31">
        <f>ABS(E553-$F$6)</f>
        <v/>
      </c>
      <c r="O553" s="31">
        <f>ABS(E553-$F$7)</f>
        <v/>
      </c>
      <c r="P553" s="31">
        <f>ABS(E553-$F$8)</f>
        <v/>
      </c>
      <c r="Q553" s="14">
        <f>IF(K553&gt;=MAX(L553,M553), "Hemat", IF(L553&gt;=M553, "Balanced", "Premium"))</f>
        <v/>
      </c>
      <c r="R553" s="30" t="n">
        <v>0.9998126513362043</v>
      </c>
      <c r="S553" s="30" t="n">
        <v>0.0001775713458315561</v>
      </c>
      <c r="T553" s="30" t="n">
        <v>9.777317964159987e-06</v>
      </c>
      <c r="U553" s="31">
        <f>ABS(E553-$G$6)</f>
        <v/>
      </c>
      <c r="V553" s="31">
        <f>ABS(E553-$G$7)</f>
        <v/>
      </c>
      <c r="W553" s="31">
        <f>ABS(E553-$G$8)</f>
        <v/>
      </c>
      <c r="X553" s="14">
        <f>IF(R553&gt;=MAX(S553,T553), "Hemat", IF(S553&gt;=T553, "Balanced", "Premium"))</f>
        <v/>
      </c>
    </row>
    <row r="554">
      <c r="A554" s="14" t="n">
        <v>559</v>
      </c>
      <c r="B554" s="7" t="inlineStr">
        <is>
          <t>Shila Tirta (Kolam Renang dan Cafe)</t>
        </is>
      </c>
      <c r="C554" s="26" t="n">
        <v>-8.007081100000001</v>
      </c>
      <c r="D554" s="26" t="n">
        <v>112.7543191</v>
      </c>
      <c r="E554" s="21" t="n">
        <v>10000</v>
      </c>
      <c r="F554" s="27" t="n">
        <v>4.5</v>
      </c>
      <c r="G554" s="28" t="n">
        <v>673</v>
      </c>
      <c r="H554" s="14" t="inlineStr">
        <is>
          <t>Wisata Umum</t>
        </is>
      </c>
      <c r="I554" s="29">
        <f>6371 * 2 * ASIN(SQRT(SIN(RADIANS((C554) - INDEX('Dataset_Wisata'!$C$12:$C$622, MATCH('Dashboard'!$C$9, 'Dataset_Wisata'!$A$12:$A$622, 0)))/2)^2 + COS(RADIANS(INDEX('Dataset_Wisata'!$C$12:$C$622, MATCH('Dashboard'!$C$9, 'Dataset_Wisata'!$A$12:$A$622, 0)))) * COS(RADIANS(C554)) * SIN(RADIANS((D554) - INDEX('Dataset_Wisata'!$D$12:$D$622, MATCH('Dashboard'!$C$9, 'Dataset_Wisata'!$A$12:$A$622, 0)))/2)^2)) * 1.3</f>
        <v/>
      </c>
      <c r="J554" s="21">
        <f>ROUND(I554 * IF('Dashboard'!$C$6&lt;=1, 2250, IF('Dashboard'!$C$6&lt;=4, 5150, 6000)), 0)</f>
        <v/>
      </c>
      <c r="K554" s="30" t="n">
        <v>0.9998126508185596</v>
      </c>
      <c r="L554" s="30" t="n">
        <v>0.0001775718391516968</v>
      </c>
      <c r="M554" s="30" t="n">
        <v>9.7773422886897e-06</v>
      </c>
      <c r="N554" s="31">
        <f>ABS(E554-$F$6)</f>
        <v/>
      </c>
      <c r="O554" s="31">
        <f>ABS(E554-$F$7)</f>
        <v/>
      </c>
      <c r="P554" s="31">
        <f>ABS(E554-$F$8)</f>
        <v/>
      </c>
      <c r="Q554" s="14">
        <f>IF(K554&gt;=MAX(L554,M554), "Hemat", IF(L554&gt;=M554, "Balanced", "Premium"))</f>
        <v/>
      </c>
      <c r="R554" s="30" t="n">
        <v>0.9998126513362043</v>
      </c>
      <c r="S554" s="30" t="n">
        <v>0.0001775713458315561</v>
      </c>
      <c r="T554" s="30" t="n">
        <v>9.777317964159987e-06</v>
      </c>
      <c r="U554" s="31">
        <f>ABS(E554-$G$6)</f>
        <v/>
      </c>
      <c r="V554" s="31">
        <f>ABS(E554-$G$7)</f>
        <v/>
      </c>
      <c r="W554" s="31">
        <f>ABS(E554-$G$8)</f>
        <v/>
      </c>
      <c r="X554" s="14">
        <f>IF(R554&gt;=MAX(S554,T554), "Hemat", IF(S554&gt;=T554, "Balanced", "Premium"))</f>
        <v/>
      </c>
    </row>
    <row r="555">
      <c r="A555" s="14" t="n">
        <v>560</v>
      </c>
      <c r="B555" s="7" t="inlineStr">
        <is>
          <t>Taman Suwida</t>
        </is>
      </c>
      <c r="C555" s="26" t="n">
        <v>-7.9605315</v>
      </c>
      <c r="D555" s="26" t="n">
        <v>112.6709781</v>
      </c>
      <c r="E555" s="21" t="n">
        <v>10000</v>
      </c>
      <c r="F555" s="27" t="n">
        <v>4.8</v>
      </c>
      <c r="G555" s="28" t="n">
        <v>39</v>
      </c>
      <c r="H555" s="14" t="inlineStr">
        <is>
          <t>Taman Suwida</t>
        </is>
      </c>
      <c r="I555" s="29">
        <f>6371 * 2 * ASIN(SQRT(SIN(RADIANS((C555) - INDEX('Dataset_Wisata'!$C$12:$C$622, MATCH('Dashboard'!$C$9, 'Dataset_Wisata'!$A$12:$A$622, 0)))/2)^2 + COS(RADIANS(INDEX('Dataset_Wisata'!$C$12:$C$622, MATCH('Dashboard'!$C$9, 'Dataset_Wisata'!$A$12:$A$622, 0)))) * COS(RADIANS(C555)) * SIN(RADIANS((D555) - INDEX('Dataset_Wisata'!$D$12:$D$622, MATCH('Dashboard'!$C$9, 'Dataset_Wisata'!$A$12:$A$622, 0)))/2)^2)) * 1.3</f>
        <v/>
      </c>
      <c r="J555" s="21">
        <f>ROUND(I555 * IF('Dashboard'!$C$6&lt;=1, 2250, IF('Dashboard'!$C$6&lt;=4, 5150, 6000)), 0)</f>
        <v/>
      </c>
      <c r="K555" s="30" t="n">
        <v>0.9998126508185596</v>
      </c>
      <c r="L555" s="30" t="n">
        <v>0.0001775718391516968</v>
      </c>
      <c r="M555" s="30" t="n">
        <v>9.7773422886897e-06</v>
      </c>
      <c r="N555" s="31">
        <f>ABS(E555-$F$6)</f>
        <v/>
      </c>
      <c r="O555" s="31">
        <f>ABS(E555-$F$7)</f>
        <v/>
      </c>
      <c r="P555" s="31">
        <f>ABS(E555-$F$8)</f>
        <v/>
      </c>
      <c r="Q555" s="14">
        <f>IF(K555&gt;=MAX(L555,M555), "Hemat", IF(L555&gt;=M555, "Balanced", "Premium"))</f>
        <v/>
      </c>
      <c r="R555" s="30" t="n">
        <v>0.9998126513362043</v>
      </c>
      <c r="S555" s="30" t="n">
        <v>0.0001775713458315561</v>
      </c>
      <c r="T555" s="30" t="n">
        <v>9.777317964159987e-06</v>
      </c>
      <c r="U555" s="31">
        <f>ABS(E555-$G$6)</f>
        <v/>
      </c>
      <c r="V555" s="31">
        <f>ABS(E555-$G$7)</f>
        <v/>
      </c>
      <c r="W555" s="31">
        <f>ABS(E555-$G$8)</f>
        <v/>
      </c>
      <c r="X555" s="14">
        <f>IF(R555&gt;=MAX(S555,T555), "Hemat", IF(S555&gt;=T555, "Balanced", "Premium"))</f>
        <v/>
      </c>
    </row>
    <row r="556">
      <c r="A556" s="14" t="n">
        <v>561</v>
      </c>
      <c r="B556" s="7" t="inlineStr">
        <is>
          <t>Situs Sekaran Malang</t>
        </is>
      </c>
      <c r="C556" s="26" t="n">
        <v>-7.9746375</v>
      </c>
      <c r="D556" s="26" t="n">
        <v>112.6815156</v>
      </c>
      <c r="E556" s="21" t="n">
        <v>2000</v>
      </c>
      <c r="F556" s="27" t="n">
        <v>4.2</v>
      </c>
      <c r="G556" s="28" t="n">
        <v>51</v>
      </c>
      <c r="H556" s="14" t="inlineStr">
        <is>
          <t>Wisata Umum</t>
        </is>
      </c>
      <c r="I556" s="29">
        <f>6371 * 2 * ASIN(SQRT(SIN(RADIANS((C556) - INDEX('Dataset_Wisata'!$C$12:$C$622, MATCH('Dashboard'!$C$9, 'Dataset_Wisata'!$A$12:$A$622, 0)))/2)^2 + COS(RADIANS(INDEX('Dataset_Wisata'!$C$12:$C$622, MATCH('Dashboard'!$C$9, 'Dataset_Wisata'!$A$12:$A$622, 0)))) * COS(RADIANS(C556)) * SIN(RADIANS((D556) - INDEX('Dataset_Wisata'!$D$12:$D$622, MATCH('Dashboard'!$C$9, 'Dataset_Wisata'!$A$12:$A$622, 0)))/2)^2)) * 1.3</f>
        <v/>
      </c>
      <c r="J556" s="21">
        <f>ROUND(I556 * IF('Dashboard'!$C$6&lt;=1, 2250, IF('Dashboard'!$C$6&lt;=4, 5150, 6000)), 0)</f>
        <v/>
      </c>
      <c r="K556" s="30" t="n">
        <v>0.9745968037531486</v>
      </c>
      <c r="L556" s="30" t="n">
        <v>0.02368856650344644</v>
      </c>
      <c r="M556" s="30" t="n">
        <v>0.001714629743404906</v>
      </c>
      <c r="N556" s="31">
        <f>ABS(E556-$F$6)</f>
        <v/>
      </c>
      <c r="O556" s="31">
        <f>ABS(E556-$F$7)</f>
        <v/>
      </c>
      <c r="P556" s="31">
        <f>ABS(E556-$F$8)</f>
        <v/>
      </c>
      <c r="Q556" s="14">
        <f>IF(K556&gt;=MAX(L556,M556), "Hemat", IF(L556&gt;=M556, "Balanced", "Premium"))</f>
        <v/>
      </c>
      <c r="R556" s="30" t="n">
        <v>0.9745968058205632</v>
      </c>
      <c r="S556" s="30" t="n">
        <v>0.02368856419646389</v>
      </c>
      <c r="T556" s="30" t="n">
        <v>0.001714629982972894</v>
      </c>
      <c r="U556" s="31">
        <f>ABS(E556-$G$6)</f>
        <v/>
      </c>
      <c r="V556" s="31">
        <f>ABS(E556-$G$7)</f>
        <v/>
      </c>
      <c r="W556" s="31">
        <f>ABS(E556-$G$8)</f>
        <v/>
      </c>
      <c r="X556" s="14">
        <f>IF(R556&gt;=MAX(S556,T556), "Hemat", IF(S556&gt;=T556, "Balanced", "Premium"))</f>
        <v/>
      </c>
    </row>
    <row r="557">
      <c r="A557" s="14" t="n">
        <v>562</v>
      </c>
      <c r="B557" s="7" t="inlineStr">
        <is>
          <t>Paralayang Sidoluhur Park (BUMDES Karya Luhur)</t>
        </is>
      </c>
      <c r="C557" s="26" t="n">
        <v>-7.8838149</v>
      </c>
      <c r="D557" s="26" t="n">
        <v>112.746837</v>
      </c>
      <c r="E557" s="21" t="n">
        <v>0</v>
      </c>
      <c r="F557" s="27" t="n">
        <v>4.3</v>
      </c>
      <c r="G557" s="28" t="n">
        <v>45</v>
      </c>
      <c r="H557" s="14" t="inlineStr">
        <is>
          <t>Tujuan Wisata · 4P8W+FPG</t>
        </is>
      </c>
      <c r="I557" s="29">
        <f>6371 * 2 * ASIN(SQRT(SIN(RADIANS((C557) - INDEX('Dataset_Wisata'!$C$12:$C$622, MATCH('Dashboard'!$C$9, 'Dataset_Wisata'!$A$12:$A$622, 0)))/2)^2 + COS(RADIANS(INDEX('Dataset_Wisata'!$C$12:$C$622, MATCH('Dashboard'!$C$9, 'Dataset_Wisata'!$A$12:$A$622, 0)))) * COS(RADIANS(C557)) * SIN(RADIANS((D557) - INDEX('Dataset_Wisata'!$D$12:$D$622, MATCH('Dashboard'!$C$9, 'Dataset_Wisata'!$A$12:$A$622, 0)))/2)^2)) * 1.3</f>
        <v/>
      </c>
      <c r="J557" s="21">
        <f>ROUND(I557 * IF('Dashboard'!$C$6&lt;=1, 2250, IF('Dashboard'!$C$6&lt;=4, 5150, 6000)), 0)</f>
        <v/>
      </c>
      <c r="K557" s="30" t="n">
        <v>0.9626824510005771</v>
      </c>
      <c r="L557" s="30" t="n">
        <v>0.03465542295845363</v>
      </c>
      <c r="M557" s="30" t="n">
        <v>0.002662126040969366</v>
      </c>
      <c r="N557" s="31">
        <f>ABS(E557-$F$6)</f>
        <v/>
      </c>
      <c r="O557" s="31">
        <f>ABS(E557-$F$7)</f>
        <v/>
      </c>
      <c r="P557" s="31">
        <f>ABS(E557-$F$8)</f>
        <v/>
      </c>
      <c r="Q557" s="14">
        <f>IF(K557&gt;=MAX(L557,M557), "Hemat", IF(L557&gt;=M557, "Balanced", "Premium"))</f>
        <v/>
      </c>
      <c r="R557" s="30" t="n">
        <v>0.9626824549241798</v>
      </c>
      <c r="S557" s="30" t="n">
        <v>0.03465541875469833</v>
      </c>
      <c r="T557" s="30" t="n">
        <v>0.002662126321121907</v>
      </c>
      <c r="U557" s="31">
        <f>ABS(E557-$G$6)</f>
        <v/>
      </c>
      <c r="V557" s="31">
        <f>ABS(E557-$G$7)</f>
        <v/>
      </c>
      <c r="W557" s="31">
        <f>ABS(E557-$G$8)</f>
        <v/>
      </c>
      <c r="X557" s="14">
        <f>IF(R557&gt;=MAX(S557,T557), "Hemat", IF(S557&gt;=T557, "Balanced", "Premium"))</f>
        <v/>
      </c>
    </row>
    <row r="558">
      <c r="A558" s="14" t="n">
        <v>563</v>
      </c>
      <c r="B558" s="7" t="inlineStr">
        <is>
          <t>Belung Bibit Sayur Bapak Subur</t>
        </is>
      </c>
      <c r="C558" s="26" t="n">
        <v>-8.03298</v>
      </c>
      <c r="D558" s="26" t="n">
        <v>112.7695962</v>
      </c>
      <c r="E558" s="21" t="n">
        <v>25000</v>
      </c>
      <c r="F558" s="27" t="n">
        <v>4</v>
      </c>
      <c r="G558" s="28" t="n">
        <v>64</v>
      </c>
      <c r="H558" s="14" t="inlineStr">
        <is>
          <t>Wisata Umum</t>
        </is>
      </c>
      <c r="I558" s="29">
        <f>6371 * 2 * ASIN(SQRT(SIN(RADIANS((C558) - INDEX('Dataset_Wisata'!$C$12:$C$622, MATCH('Dashboard'!$C$9, 'Dataset_Wisata'!$A$12:$A$622, 0)))/2)^2 + COS(RADIANS(INDEX('Dataset_Wisata'!$C$12:$C$622, MATCH('Dashboard'!$C$9, 'Dataset_Wisata'!$A$12:$A$622, 0)))) * COS(RADIANS(C558)) * SIN(RADIANS((D558) - INDEX('Dataset_Wisata'!$D$12:$D$622, MATCH('Dashboard'!$C$9, 'Dataset_Wisata'!$A$12:$A$622, 0)))/2)^2)) * 1.3</f>
        <v/>
      </c>
      <c r="J558" s="21">
        <f>ROUND(I558 * IF('Dashboard'!$C$6&lt;=1, 2250, IF('Dashboard'!$C$6&lt;=4, 5150, 6000)), 0)</f>
        <v/>
      </c>
      <c r="K558" s="30" t="n">
        <v>0.714779317495253</v>
      </c>
      <c r="L558" s="30" t="n">
        <v>0.2780482755376564</v>
      </c>
      <c r="M558" s="30" t="n">
        <v>0.0071724069670906</v>
      </c>
      <c r="N558" s="31">
        <f>ABS(E558-$F$6)</f>
        <v/>
      </c>
      <c r="O558" s="31">
        <f>ABS(E558-$F$7)</f>
        <v/>
      </c>
      <c r="P558" s="31">
        <f>ABS(E558-$F$8)</f>
        <v/>
      </c>
      <c r="Q558" s="14">
        <f>IF(K558&gt;=MAX(L558,M558), "Hemat", IF(L558&gt;=M558, "Balanced", "Premium"))</f>
        <v/>
      </c>
      <c r="R558" s="30" t="n">
        <v>0.7147794395425007</v>
      </c>
      <c r="S558" s="30" t="n">
        <v>0.2780481531707544</v>
      </c>
      <c r="T558" s="30" t="n">
        <v>0.007172407286744955</v>
      </c>
      <c r="U558" s="31">
        <f>ABS(E558-$G$6)</f>
        <v/>
      </c>
      <c r="V558" s="31">
        <f>ABS(E558-$G$7)</f>
        <v/>
      </c>
      <c r="W558" s="31">
        <f>ABS(E558-$G$8)</f>
        <v/>
      </c>
      <c r="X558" s="14">
        <f>IF(R558&gt;=MAX(S558,T558), "Hemat", IF(S558&gt;=T558, "Balanced", "Premium"))</f>
        <v/>
      </c>
    </row>
    <row r="559">
      <c r="A559" s="14" t="n">
        <v>564</v>
      </c>
      <c r="B559" s="7" t="inlineStr">
        <is>
          <t>Air Terjun Coban Jahe</t>
        </is>
      </c>
      <c r="C559" s="26" t="n">
        <v>-7.9705673</v>
      </c>
      <c r="D559" s="26" t="n">
        <v>112.8023017</v>
      </c>
      <c r="E559" s="21" t="n">
        <v>12000</v>
      </c>
      <c r="F559" s="27" t="n">
        <v>4.5</v>
      </c>
      <c r="G559" s="28" t="n">
        <v>2152</v>
      </c>
      <c r="H559" s="14" t="inlineStr">
        <is>
          <t>Wisata Umum</t>
        </is>
      </c>
      <c r="I559" s="29">
        <f>6371 * 2 * ASIN(SQRT(SIN(RADIANS((C559) - INDEX('Dataset_Wisata'!$C$12:$C$622, MATCH('Dashboard'!$C$9, 'Dataset_Wisata'!$A$12:$A$622, 0)))/2)^2 + COS(RADIANS(INDEX('Dataset_Wisata'!$C$12:$C$622, MATCH('Dashboard'!$C$9, 'Dataset_Wisata'!$A$12:$A$622, 0)))) * COS(RADIANS(C559)) * SIN(RADIANS((D559) - INDEX('Dataset_Wisata'!$D$12:$D$622, MATCH('Dashboard'!$C$9, 'Dataset_Wisata'!$A$12:$A$622, 0)))/2)^2)) * 1.3</f>
        <v/>
      </c>
      <c r="J559" s="21">
        <f>ROUND(I559 * IF('Dashboard'!$C$6&lt;=1, 2250, IF('Dashboard'!$C$6&lt;=4, 5150, 6000)), 0)</f>
        <v/>
      </c>
      <c r="K559" s="30" t="n">
        <v>0.9953331113352144</v>
      </c>
      <c r="L559" s="30" t="n">
        <v>0.004440977722193821</v>
      </c>
      <c r="M559" s="30" t="n">
        <v>0.0002259109425918517</v>
      </c>
      <c r="N559" s="31">
        <f>ABS(E559-$F$6)</f>
        <v/>
      </c>
      <c r="O559" s="31">
        <f>ABS(E559-$F$7)</f>
        <v/>
      </c>
      <c r="P559" s="31">
        <f>ABS(E559-$F$8)</f>
        <v/>
      </c>
      <c r="Q559" s="14">
        <f>IF(K559&gt;=MAX(L559,M559), "Hemat", IF(L559&gt;=M559, "Balanced", "Premium"))</f>
        <v/>
      </c>
      <c r="R559" s="30" t="n">
        <v>0.995333115264566</v>
      </c>
      <c r="S559" s="30" t="n">
        <v>0.004440973917012225</v>
      </c>
      <c r="T559" s="30" t="n">
        <v>0.0002259108184216892</v>
      </c>
      <c r="U559" s="31">
        <f>ABS(E559-$G$6)</f>
        <v/>
      </c>
      <c r="V559" s="31">
        <f>ABS(E559-$G$7)</f>
        <v/>
      </c>
      <c r="W559" s="31">
        <f>ABS(E559-$G$8)</f>
        <v/>
      </c>
      <c r="X559" s="14">
        <f>IF(R559&gt;=MAX(S559,T559), "Hemat", IF(S559&gt;=T559, "Balanced", "Premium"))</f>
        <v/>
      </c>
    </row>
    <row r="560">
      <c r="A560" s="14" t="n">
        <v>565</v>
      </c>
      <c r="B560" s="7" t="inlineStr">
        <is>
          <t>Air Terjun Jidor</t>
        </is>
      </c>
      <c r="C560" s="26" t="n">
        <v>-8.000312900000001</v>
      </c>
      <c r="D560" s="26" t="n">
        <v>112.8075991</v>
      </c>
      <c r="E560" s="21" t="n">
        <v>5000</v>
      </c>
      <c r="F560" s="27" t="n">
        <v>4.6</v>
      </c>
      <c r="G560" s="28" t="n">
        <v>379</v>
      </c>
      <c r="H560" s="14" t="inlineStr">
        <is>
          <t>Wisata Umum</t>
        </is>
      </c>
      <c r="I560" s="29">
        <f>6371 * 2 * ASIN(SQRT(SIN(RADIANS((C560) - INDEX('Dataset_Wisata'!$C$12:$C$622, MATCH('Dashboard'!$C$9, 'Dataset_Wisata'!$A$12:$A$622, 0)))/2)^2 + COS(RADIANS(INDEX('Dataset_Wisata'!$C$12:$C$622, MATCH('Dashboard'!$C$9, 'Dataset_Wisata'!$A$12:$A$622, 0)))) * COS(RADIANS(C560)) * SIN(RADIANS((D560) - INDEX('Dataset_Wisata'!$D$12:$D$622, MATCH('Dashboard'!$C$9, 'Dataset_Wisata'!$A$12:$A$622, 0)))/2)^2)) * 1.3</f>
        <v/>
      </c>
      <c r="J560" s="21">
        <f>ROUND(I560 * IF('Dashboard'!$C$6&lt;=1, 2250, IF('Dashboard'!$C$6&lt;=4, 5150, 6000)), 0)</f>
        <v/>
      </c>
      <c r="K560" s="30" t="n">
        <v>0.9895566543895754</v>
      </c>
      <c r="L560" s="30" t="n">
        <v>0.009798611400025654</v>
      </c>
      <c r="M560" s="30" t="n">
        <v>0.0006447342103988783</v>
      </c>
      <c r="N560" s="31">
        <f>ABS(E560-$F$6)</f>
        <v/>
      </c>
      <c r="O560" s="31">
        <f>ABS(E560-$F$7)</f>
        <v/>
      </c>
      <c r="P560" s="31">
        <f>ABS(E560-$F$8)</f>
        <v/>
      </c>
      <c r="Q560" s="14">
        <f>IF(K560&gt;=MAX(L560,M560), "Hemat", IF(L560&gt;=M560, "Balanced", "Premium"))</f>
        <v/>
      </c>
      <c r="R560" s="30" t="n">
        <v>0.9895566542341836</v>
      </c>
      <c r="S560" s="30" t="n">
        <v>0.00979861139170024</v>
      </c>
      <c r="T560" s="30" t="n">
        <v>0.00064473437411607</v>
      </c>
      <c r="U560" s="31">
        <f>ABS(E560-$G$6)</f>
        <v/>
      </c>
      <c r="V560" s="31">
        <f>ABS(E560-$G$7)</f>
        <v/>
      </c>
      <c r="W560" s="31">
        <f>ABS(E560-$G$8)</f>
        <v/>
      </c>
      <c r="X560" s="14">
        <f>IF(R560&gt;=MAX(S560,T560), "Hemat", IF(S560&gt;=T560, "Balanced", "Premium"))</f>
        <v/>
      </c>
    </row>
    <row r="561">
      <c r="A561" s="14" t="n">
        <v>566</v>
      </c>
      <c r="B561" s="7" t="inlineStr">
        <is>
          <t>LEMBAH BROMO</t>
        </is>
      </c>
      <c r="C561" s="26" t="n">
        <v>-8.032121999999999</v>
      </c>
      <c r="D561" s="26" t="n">
        <v>112.8273153</v>
      </c>
      <c r="E561" s="21" t="n">
        <v>10000</v>
      </c>
      <c r="F561" s="27" t="n">
        <v>4.6</v>
      </c>
      <c r="G561" s="28" t="n">
        <v>452</v>
      </c>
      <c r="H561" s="14" t="inlineStr">
        <is>
          <t>Wisata Umum</t>
        </is>
      </c>
      <c r="I561" s="29">
        <f>6371 * 2 * ASIN(SQRT(SIN(RADIANS((C561) - INDEX('Dataset_Wisata'!$C$12:$C$622, MATCH('Dashboard'!$C$9, 'Dataset_Wisata'!$A$12:$A$622, 0)))/2)^2 + COS(RADIANS(INDEX('Dataset_Wisata'!$C$12:$C$622, MATCH('Dashboard'!$C$9, 'Dataset_Wisata'!$A$12:$A$622, 0)))) * COS(RADIANS(C561)) * SIN(RADIANS((D561) - INDEX('Dataset_Wisata'!$D$12:$D$622, MATCH('Dashboard'!$C$9, 'Dataset_Wisata'!$A$12:$A$622, 0)))/2)^2)) * 1.3</f>
        <v/>
      </c>
      <c r="J561" s="21">
        <f>ROUND(I561 * IF('Dashboard'!$C$6&lt;=1, 2250, IF('Dashboard'!$C$6&lt;=4, 5150, 6000)), 0)</f>
        <v/>
      </c>
      <c r="K561" s="30" t="n">
        <v>0.9998126508185596</v>
      </c>
      <c r="L561" s="30" t="n">
        <v>0.0001775718391516968</v>
      </c>
      <c r="M561" s="30" t="n">
        <v>9.7773422886897e-06</v>
      </c>
      <c r="N561" s="31">
        <f>ABS(E561-$F$6)</f>
        <v/>
      </c>
      <c r="O561" s="31">
        <f>ABS(E561-$F$7)</f>
        <v/>
      </c>
      <c r="P561" s="31">
        <f>ABS(E561-$F$8)</f>
        <v/>
      </c>
      <c r="Q561" s="14">
        <f>IF(K561&gt;=MAX(L561,M561), "Hemat", IF(L561&gt;=M561, "Balanced", "Premium"))</f>
        <v/>
      </c>
      <c r="R561" s="30" t="n">
        <v>0.9998126513362043</v>
      </c>
      <c r="S561" s="30" t="n">
        <v>0.0001775713458315561</v>
      </c>
      <c r="T561" s="30" t="n">
        <v>9.777317964159987e-06</v>
      </c>
      <c r="U561" s="31">
        <f>ABS(E561-$G$6)</f>
        <v/>
      </c>
      <c r="V561" s="31">
        <f>ABS(E561-$G$7)</f>
        <v/>
      </c>
      <c r="W561" s="31">
        <f>ABS(E561-$G$8)</f>
        <v/>
      </c>
      <c r="X561" s="14">
        <f>IF(R561&gt;=MAX(S561,T561), "Hemat", IF(S561&gt;=T561, "Balanced", "Premium"))</f>
        <v/>
      </c>
    </row>
    <row r="562">
      <c r="A562" s="14" t="n">
        <v>567</v>
      </c>
      <c r="B562" s="7" t="inlineStr">
        <is>
          <t>Glamping Malang Dreamland</t>
        </is>
      </c>
      <c r="C562" s="26" t="n">
        <v>-8.083572200000001</v>
      </c>
      <c r="D562" s="26" t="n">
        <v>112.7861337</v>
      </c>
      <c r="E562" s="21" t="n">
        <v>50000</v>
      </c>
      <c r="F562" s="27" t="n">
        <v>4.4</v>
      </c>
      <c r="G562" s="28" t="n">
        <v>170</v>
      </c>
      <c r="H562" s="14" t="inlineStr">
        <is>
          <t>Tujuan Wisata</t>
        </is>
      </c>
      <c r="I562" s="29">
        <f>6371 * 2 * ASIN(SQRT(SIN(RADIANS((C562) - INDEX('Dataset_Wisata'!$C$12:$C$622, MATCH('Dashboard'!$C$9, 'Dataset_Wisata'!$A$12:$A$622, 0)))/2)^2 + COS(RADIANS(INDEX('Dataset_Wisata'!$C$12:$C$622, MATCH('Dashboard'!$C$9, 'Dataset_Wisata'!$A$12:$A$622, 0)))) * COS(RADIANS(C562)) * SIN(RADIANS((D562) - INDEX('Dataset_Wisata'!$D$12:$D$622, MATCH('Dashboard'!$C$9, 'Dataset_Wisata'!$A$12:$A$622, 0)))/2)^2)) * 1.3</f>
        <v/>
      </c>
      <c r="J562" s="21">
        <f>ROUND(I562 * IF('Dashboard'!$C$6&lt;=1, 2250, IF('Dashboard'!$C$6&lt;=4, 5150, 6000)), 0)</f>
        <v/>
      </c>
      <c r="K562" s="30" t="n">
        <v>5.758531237204236e-06</v>
      </c>
      <c r="L562" s="30" t="n">
        <v>0.9999936821294634</v>
      </c>
      <c r="M562" s="30" t="n">
        <v>5.593392994189334e-07</v>
      </c>
      <c r="N562" s="31">
        <f>ABS(E562-$F$6)</f>
        <v/>
      </c>
      <c r="O562" s="31">
        <f>ABS(E562-$F$7)</f>
        <v/>
      </c>
      <c r="P562" s="31">
        <f>ABS(E562-$F$8)</f>
        <v/>
      </c>
      <c r="Q562" s="14">
        <f>IF(K562&gt;=MAX(L562,M562), "Hemat", IF(L562&gt;=M562, "Balanced", "Premium"))</f>
        <v/>
      </c>
      <c r="R562" s="30" t="n">
        <v>5.757754513908737e-06</v>
      </c>
      <c r="S562" s="30" t="n">
        <v>0.9999936829816778</v>
      </c>
      <c r="T562" s="30" t="n">
        <v>5.592638083270285e-07</v>
      </c>
      <c r="U562" s="31">
        <f>ABS(E562-$G$6)</f>
        <v/>
      </c>
      <c r="V562" s="31">
        <f>ABS(E562-$G$7)</f>
        <v/>
      </c>
      <c r="W562" s="31">
        <f>ABS(E562-$G$8)</f>
        <v/>
      </c>
      <c r="X562" s="14">
        <f>IF(R562&gt;=MAX(S562,T562), "Hemat", IF(S562&gt;=T562, "Balanced", "Premium"))</f>
        <v/>
      </c>
    </row>
    <row r="563">
      <c r="A563" s="14" t="n">
        <v>568</v>
      </c>
      <c r="B563" s="7" t="inlineStr">
        <is>
          <t>Padepokan Seni Mangun Dharma</t>
        </is>
      </c>
      <c r="C563" s="26" t="n">
        <v>-8.0145746</v>
      </c>
      <c r="D563" s="26" t="n">
        <v>112.7652041</v>
      </c>
      <c r="E563" s="21" t="n">
        <v>0</v>
      </c>
      <c r="F563" s="27" t="n">
        <v>4.9</v>
      </c>
      <c r="G563" s="28" t="n">
        <v>69</v>
      </c>
      <c r="H563" s="14" t="inlineStr">
        <is>
          <t>Wisata Umum</t>
        </is>
      </c>
      <c r="I563" s="29">
        <f>6371 * 2 * ASIN(SQRT(SIN(RADIANS((C563) - INDEX('Dataset_Wisata'!$C$12:$C$622, MATCH('Dashboard'!$C$9, 'Dataset_Wisata'!$A$12:$A$622, 0)))/2)^2 + COS(RADIANS(INDEX('Dataset_Wisata'!$C$12:$C$622, MATCH('Dashboard'!$C$9, 'Dataset_Wisata'!$A$12:$A$622, 0)))) * COS(RADIANS(C563)) * SIN(RADIANS((D563) - INDEX('Dataset_Wisata'!$D$12:$D$622, MATCH('Dashboard'!$C$9, 'Dataset_Wisata'!$A$12:$A$622, 0)))/2)^2)) * 1.3</f>
        <v/>
      </c>
      <c r="J563" s="21">
        <f>ROUND(I563 * IF('Dashboard'!$C$6&lt;=1, 2250, IF('Dashboard'!$C$6&lt;=4, 5150, 6000)), 0)</f>
        <v/>
      </c>
      <c r="K563" s="30" t="n">
        <v>0.9626824510005771</v>
      </c>
      <c r="L563" s="30" t="n">
        <v>0.03465542295845363</v>
      </c>
      <c r="M563" s="30" t="n">
        <v>0.002662126040969366</v>
      </c>
      <c r="N563" s="31">
        <f>ABS(E563-$F$6)</f>
        <v/>
      </c>
      <c r="O563" s="31">
        <f>ABS(E563-$F$7)</f>
        <v/>
      </c>
      <c r="P563" s="31">
        <f>ABS(E563-$F$8)</f>
        <v/>
      </c>
      <c r="Q563" s="14">
        <f>IF(K563&gt;=MAX(L563,M563), "Hemat", IF(L563&gt;=M563, "Balanced", "Premium"))</f>
        <v/>
      </c>
      <c r="R563" s="30" t="n">
        <v>0.9626824549241798</v>
      </c>
      <c r="S563" s="30" t="n">
        <v>0.03465541875469833</v>
      </c>
      <c r="T563" s="30" t="n">
        <v>0.002662126321121907</v>
      </c>
      <c r="U563" s="31">
        <f>ABS(E563-$G$6)</f>
        <v/>
      </c>
      <c r="V563" s="31">
        <f>ABS(E563-$G$7)</f>
        <v/>
      </c>
      <c r="W563" s="31">
        <f>ABS(E563-$G$8)</f>
        <v/>
      </c>
      <c r="X563" s="14">
        <f>IF(R563&gt;=MAX(S563,T563), "Hemat", IF(S563&gt;=T563, "Balanced", "Premium"))</f>
        <v/>
      </c>
    </row>
    <row r="564">
      <c r="A564" s="14" t="n">
        <v>569</v>
      </c>
      <c r="B564" s="7" t="inlineStr">
        <is>
          <t>Goa Maria Sendang Retno Adi</t>
        </is>
      </c>
      <c r="C564" s="26" t="n">
        <v>-8.071260799999999</v>
      </c>
      <c r="D564" s="26" t="n">
        <v>112.7697048</v>
      </c>
      <c r="E564" s="21" t="n">
        <v>0</v>
      </c>
      <c r="F564" s="27" t="n">
        <v>4.7</v>
      </c>
      <c r="G564" s="28" t="n">
        <v>25</v>
      </c>
      <c r="H564" s="14" t="inlineStr">
        <is>
          <t>Tujuan Wisata · WQH9+FVW</t>
        </is>
      </c>
      <c r="I564" s="29">
        <f>6371 * 2 * ASIN(SQRT(SIN(RADIANS((C564) - INDEX('Dataset_Wisata'!$C$12:$C$622, MATCH('Dashboard'!$C$9, 'Dataset_Wisata'!$A$12:$A$622, 0)))/2)^2 + COS(RADIANS(INDEX('Dataset_Wisata'!$C$12:$C$622, MATCH('Dashboard'!$C$9, 'Dataset_Wisata'!$A$12:$A$622, 0)))) * COS(RADIANS(C564)) * SIN(RADIANS((D564) - INDEX('Dataset_Wisata'!$D$12:$D$622, MATCH('Dashboard'!$C$9, 'Dataset_Wisata'!$A$12:$A$622, 0)))/2)^2)) * 1.3</f>
        <v/>
      </c>
      <c r="J564" s="21">
        <f>ROUND(I564 * IF('Dashboard'!$C$6&lt;=1, 2250, IF('Dashboard'!$C$6&lt;=4, 5150, 6000)), 0)</f>
        <v/>
      </c>
      <c r="K564" s="30" t="n">
        <v>0.9626824510005771</v>
      </c>
      <c r="L564" s="30" t="n">
        <v>0.03465542295845363</v>
      </c>
      <c r="M564" s="30" t="n">
        <v>0.002662126040969366</v>
      </c>
      <c r="N564" s="31">
        <f>ABS(E564-$F$6)</f>
        <v/>
      </c>
      <c r="O564" s="31">
        <f>ABS(E564-$F$7)</f>
        <v/>
      </c>
      <c r="P564" s="31">
        <f>ABS(E564-$F$8)</f>
        <v/>
      </c>
      <c r="Q564" s="14">
        <f>IF(K564&gt;=MAX(L564,M564), "Hemat", IF(L564&gt;=M564, "Balanced", "Premium"))</f>
        <v/>
      </c>
      <c r="R564" s="30" t="n">
        <v>0.9626824549241798</v>
      </c>
      <c r="S564" s="30" t="n">
        <v>0.03465541875469833</v>
      </c>
      <c r="T564" s="30" t="n">
        <v>0.002662126321121907</v>
      </c>
      <c r="U564" s="31">
        <f>ABS(E564-$G$6)</f>
        <v/>
      </c>
      <c r="V564" s="31">
        <f>ABS(E564-$G$7)</f>
        <v/>
      </c>
      <c r="W564" s="31">
        <f>ABS(E564-$G$8)</f>
        <v/>
      </c>
      <c r="X564" s="14">
        <f>IF(R564&gt;=MAX(S564,T564), "Hemat", IF(S564&gt;=T564, "Balanced", "Premium"))</f>
        <v/>
      </c>
    </row>
    <row r="565">
      <c r="A565" s="14" t="n">
        <v>570</v>
      </c>
      <c r="B565" s="7" t="inlineStr">
        <is>
          <t>Taman Durian Pak Peno</t>
        </is>
      </c>
      <c r="C565" s="26" t="n">
        <v>-8.0170625</v>
      </c>
      <c r="D565" s="26" t="n">
        <v>112.7694375</v>
      </c>
      <c r="E565" s="21" t="n">
        <v>0</v>
      </c>
      <c r="F565" s="27" t="n">
        <v>4.7</v>
      </c>
      <c r="G565" s="28" t="n">
        <v>46</v>
      </c>
      <c r="H565" s="14" t="inlineStr">
        <is>
          <t>Taman Durian Pak Peno</t>
        </is>
      </c>
      <c r="I565" s="29">
        <f>6371 * 2 * ASIN(SQRT(SIN(RADIANS((C565) - INDEX('Dataset_Wisata'!$C$12:$C$622, MATCH('Dashboard'!$C$9, 'Dataset_Wisata'!$A$12:$A$622, 0)))/2)^2 + COS(RADIANS(INDEX('Dataset_Wisata'!$C$12:$C$622, MATCH('Dashboard'!$C$9, 'Dataset_Wisata'!$A$12:$A$622, 0)))) * COS(RADIANS(C565)) * SIN(RADIANS((D565) - INDEX('Dataset_Wisata'!$D$12:$D$622, MATCH('Dashboard'!$C$9, 'Dataset_Wisata'!$A$12:$A$622, 0)))/2)^2)) * 1.3</f>
        <v/>
      </c>
      <c r="J565" s="21">
        <f>ROUND(I565 * IF('Dashboard'!$C$6&lt;=1, 2250, IF('Dashboard'!$C$6&lt;=4, 5150, 6000)), 0)</f>
        <v/>
      </c>
      <c r="K565" s="30" t="n">
        <v>0.9626824510005771</v>
      </c>
      <c r="L565" s="30" t="n">
        <v>0.03465542295845363</v>
      </c>
      <c r="M565" s="30" t="n">
        <v>0.002662126040969366</v>
      </c>
      <c r="N565" s="31">
        <f>ABS(E565-$F$6)</f>
        <v/>
      </c>
      <c r="O565" s="31">
        <f>ABS(E565-$F$7)</f>
        <v/>
      </c>
      <c r="P565" s="31">
        <f>ABS(E565-$F$8)</f>
        <v/>
      </c>
      <c r="Q565" s="14">
        <f>IF(K565&gt;=MAX(L565,M565), "Hemat", IF(L565&gt;=M565, "Balanced", "Premium"))</f>
        <v/>
      </c>
      <c r="R565" s="30" t="n">
        <v>0.9626824549241798</v>
      </c>
      <c r="S565" s="30" t="n">
        <v>0.03465541875469833</v>
      </c>
      <c r="T565" s="30" t="n">
        <v>0.002662126321121907</v>
      </c>
      <c r="U565" s="31">
        <f>ABS(E565-$G$6)</f>
        <v/>
      </c>
      <c r="V565" s="31">
        <f>ABS(E565-$G$7)</f>
        <v/>
      </c>
      <c r="W565" s="31">
        <f>ABS(E565-$G$8)</f>
        <v/>
      </c>
      <c r="X565" s="14">
        <f>IF(R565&gt;=MAX(S565,T565), "Hemat", IF(S565&gt;=T565, "Balanced", "Premium"))</f>
        <v/>
      </c>
    </row>
    <row r="566">
      <c r="A566" s="14" t="n">
        <v>571</v>
      </c>
      <c r="B566" s="7" t="inlineStr">
        <is>
          <t>Coban Tangkil</t>
        </is>
      </c>
      <c r="C566" s="26" t="n">
        <v>-7.9597163</v>
      </c>
      <c r="D566" s="26" t="n">
        <v>112.8080631</v>
      </c>
      <c r="E566" s="21" t="n">
        <v>5000</v>
      </c>
      <c r="F566" s="27" t="n">
        <v>4.4</v>
      </c>
      <c r="G566" s="28" t="n">
        <v>42</v>
      </c>
      <c r="H566" s="14" t="inlineStr">
        <is>
          <t>Wisata Umum</t>
        </is>
      </c>
      <c r="I566" s="29">
        <f>6371 * 2 * ASIN(SQRT(SIN(RADIANS((C566) - INDEX('Dataset_Wisata'!$C$12:$C$622, MATCH('Dashboard'!$C$9, 'Dataset_Wisata'!$A$12:$A$622, 0)))/2)^2 + COS(RADIANS(INDEX('Dataset_Wisata'!$C$12:$C$622, MATCH('Dashboard'!$C$9, 'Dataset_Wisata'!$A$12:$A$622, 0)))) * COS(RADIANS(C566)) * SIN(RADIANS((D566) - INDEX('Dataset_Wisata'!$D$12:$D$622, MATCH('Dashboard'!$C$9, 'Dataset_Wisata'!$A$12:$A$622, 0)))/2)^2)) * 1.3</f>
        <v/>
      </c>
      <c r="J566" s="21">
        <f>ROUND(I566 * IF('Dashboard'!$C$6&lt;=1, 2250, IF('Dashboard'!$C$6&lt;=4, 5150, 6000)), 0)</f>
        <v/>
      </c>
      <c r="K566" s="30" t="n">
        <v>0.9895566543895754</v>
      </c>
      <c r="L566" s="30" t="n">
        <v>0.009798611400025654</v>
      </c>
      <c r="M566" s="30" t="n">
        <v>0.0006447342103988783</v>
      </c>
      <c r="N566" s="31">
        <f>ABS(E566-$F$6)</f>
        <v/>
      </c>
      <c r="O566" s="31">
        <f>ABS(E566-$F$7)</f>
        <v/>
      </c>
      <c r="P566" s="31">
        <f>ABS(E566-$F$8)</f>
        <v/>
      </c>
      <c r="Q566" s="14">
        <f>IF(K566&gt;=MAX(L566,M566), "Hemat", IF(L566&gt;=M566, "Balanced", "Premium"))</f>
        <v/>
      </c>
      <c r="R566" s="30" t="n">
        <v>0.9895566542341836</v>
      </c>
      <c r="S566" s="30" t="n">
        <v>0.00979861139170024</v>
      </c>
      <c r="T566" s="30" t="n">
        <v>0.00064473437411607</v>
      </c>
      <c r="U566" s="31">
        <f>ABS(E566-$G$6)</f>
        <v/>
      </c>
      <c r="V566" s="31">
        <f>ABS(E566-$G$7)</f>
        <v/>
      </c>
      <c r="W566" s="31">
        <f>ABS(E566-$G$8)</f>
        <v/>
      </c>
      <c r="X566" s="14">
        <f>IF(R566&gt;=MAX(S566,T566), "Hemat", IF(S566&gt;=T566, "Balanced", "Premium"))</f>
        <v/>
      </c>
    </row>
    <row r="567">
      <c r="A567" s="14" t="n">
        <v>572</v>
      </c>
      <c r="B567" s="7" t="inlineStr">
        <is>
          <t>Coban Jahe 2</t>
        </is>
      </c>
      <c r="C567" s="26" t="n">
        <v>-7.9730447</v>
      </c>
      <c r="D567" s="26" t="n">
        <v>112.8014218</v>
      </c>
      <c r="E567" s="21" t="n">
        <v>12000</v>
      </c>
      <c r="F567" s="27" t="n">
        <v>4.5</v>
      </c>
      <c r="G567" s="28" t="n">
        <v>201</v>
      </c>
      <c r="H567" s="14" t="inlineStr">
        <is>
          <t>Wisata Umum</t>
        </is>
      </c>
      <c r="I567" s="29">
        <f>6371 * 2 * ASIN(SQRT(SIN(RADIANS((C567) - INDEX('Dataset_Wisata'!$C$12:$C$622, MATCH('Dashboard'!$C$9, 'Dataset_Wisata'!$A$12:$A$622, 0)))/2)^2 + COS(RADIANS(INDEX('Dataset_Wisata'!$C$12:$C$622, MATCH('Dashboard'!$C$9, 'Dataset_Wisata'!$A$12:$A$622, 0)))) * COS(RADIANS(C567)) * SIN(RADIANS((D567) - INDEX('Dataset_Wisata'!$D$12:$D$622, MATCH('Dashboard'!$C$9, 'Dataset_Wisata'!$A$12:$A$622, 0)))/2)^2)) * 1.3</f>
        <v/>
      </c>
      <c r="J567" s="21">
        <f>ROUND(I567 * IF('Dashboard'!$C$6&lt;=1, 2250, IF('Dashboard'!$C$6&lt;=4, 5150, 6000)), 0)</f>
        <v/>
      </c>
      <c r="K567" s="30" t="n">
        <v>0.9953331113352144</v>
      </c>
      <c r="L567" s="30" t="n">
        <v>0.004440977722193821</v>
      </c>
      <c r="M567" s="30" t="n">
        <v>0.0002259109425918517</v>
      </c>
      <c r="N567" s="31">
        <f>ABS(E567-$F$6)</f>
        <v/>
      </c>
      <c r="O567" s="31">
        <f>ABS(E567-$F$7)</f>
        <v/>
      </c>
      <c r="P567" s="31">
        <f>ABS(E567-$F$8)</f>
        <v/>
      </c>
      <c r="Q567" s="14">
        <f>IF(K567&gt;=MAX(L567,M567), "Hemat", IF(L567&gt;=M567, "Balanced", "Premium"))</f>
        <v/>
      </c>
      <c r="R567" s="30" t="n">
        <v>0.995333115264566</v>
      </c>
      <c r="S567" s="30" t="n">
        <v>0.004440973917012225</v>
      </c>
      <c r="T567" s="30" t="n">
        <v>0.0002259108184216892</v>
      </c>
      <c r="U567" s="31">
        <f>ABS(E567-$G$6)</f>
        <v/>
      </c>
      <c r="V567" s="31">
        <f>ABS(E567-$G$7)</f>
        <v/>
      </c>
      <c r="W567" s="31">
        <f>ABS(E567-$G$8)</f>
        <v/>
      </c>
      <c r="X567" s="14">
        <f>IF(R567&gt;=MAX(S567,T567), "Hemat", IF(S567&gt;=T567, "Balanced", "Premium"))</f>
        <v/>
      </c>
    </row>
    <row r="568">
      <c r="A568" s="14" t="n">
        <v>573</v>
      </c>
      <c r="B568" s="7" t="inlineStr">
        <is>
          <t>Taman Buah Jeru Tumpang</t>
        </is>
      </c>
      <c r="C568" s="26" t="n">
        <v>-7.995485</v>
      </c>
      <c r="D568" s="26" t="n">
        <v>112.7773929</v>
      </c>
      <c r="E568" s="21" t="n">
        <v>0</v>
      </c>
      <c r="F568" s="27" t="n">
        <v>3.8</v>
      </c>
      <c r="G568" s="28" t="n">
        <v>41</v>
      </c>
      <c r="H568" s="14" t="inlineStr">
        <is>
          <t>Taman Buah Jeru Tumpang</t>
        </is>
      </c>
      <c r="I568" s="29">
        <f>6371 * 2 * ASIN(SQRT(SIN(RADIANS((C568) - INDEX('Dataset_Wisata'!$C$12:$C$622, MATCH('Dashboard'!$C$9, 'Dataset_Wisata'!$A$12:$A$622, 0)))/2)^2 + COS(RADIANS(INDEX('Dataset_Wisata'!$C$12:$C$622, MATCH('Dashboard'!$C$9, 'Dataset_Wisata'!$A$12:$A$622, 0)))) * COS(RADIANS(C568)) * SIN(RADIANS((D568) - INDEX('Dataset_Wisata'!$D$12:$D$622, MATCH('Dashboard'!$C$9, 'Dataset_Wisata'!$A$12:$A$622, 0)))/2)^2)) * 1.3</f>
        <v/>
      </c>
      <c r="J568" s="21">
        <f>ROUND(I568 * IF('Dashboard'!$C$6&lt;=1, 2250, IF('Dashboard'!$C$6&lt;=4, 5150, 6000)), 0)</f>
        <v/>
      </c>
      <c r="K568" s="30" t="n">
        <v>0.9626824510005771</v>
      </c>
      <c r="L568" s="30" t="n">
        <v>0.03465542295845363</v>
      </c>
      <c r="M568" s="30" t="n">
        <v>0.002662126040969366</v>
      </c>
      <c r="N568" s="31">
        <f>ABS(E568-$F$6)</f>
        <v/>
      </c>
      <c r="O568" s="31">
        <f>ABS(E568-$F$7)</f>
        <v/>
      </c>
      <c r="P568" s="31">
        <f>ABS(E568-$F$8)</f>
        <v/>
      </c>
      <c r="Q568" s="14">
        <f>IF(K568&gt;=MAX(L568,M568), "Hemat", IF(L568&gt;=M568, "Balanced", "Premium"))</f>
        <v/>
      </c>
      <c r="R568" s="30" t="n">
        <v>0.9626824549241798</v>
      </c>
      <c r="S568" s="30" t="n">
        <v>0.03465541875469833</v>
      </c>
      <c r="T568" s="30" t="n">
        <v>0.002662126321121907</v>
      </c>
      <c r="U568" s="31">
        <f>ABS(E568-$G$6)</f>
        <v/>
      </c>
      <c r="V568" s="31">
        <f>ABS(E568-$G$7)</f>
        <v/>
      </c>
      <c r="W568" s="31">
        <f>ABS(E568-$G$8)</f>
        <v/>
      </c>
      <c r="X568" s="14">
        <f>IF(R568&gt;=MAX(S568,T568), "Hemat", IF(S568&gt;=T568, "Balanced", "Premium"))</f>
        <v/>
      </c>
    </row>
    <row r="569">
      <c r="A569" s="14" t="n">
        <v>574</v>
      </c>
      <c r="B569" s="7" t="inlineStr">
        <is>
          <t>Waterpark Taman Gangsar</t>
        </is>
      </c>
      <c r="C569" s="26" t="n">
        <v>-7.973016</v>
      </c>
      <c r="D569" s="26" t="n">
        <v>112.737016</v>
      </c>
      <c r="E569" s="21" t="n">
        <v>10000</v>
      </c>
      <c r="F569" s="27" t="n">
        <v>4.6</v>
      </c>
      <c r="G569" s="28" t="n">
        <v>49</v>
      </c>
      <c r="H569" s="14" t="inlineStr">
        <is>
          <t>Waterpark Taman Gangsar</t>
        </is>
      </c>
      <c r="I569" s="29">
        <f>6371 * 2 * ASIN(SQRT(SIN(RADIANS((C569) - INDEX('Dataset_Wisata'!$C$12:$C$622, MATCH('Dashboard'!$C$9, 'Dataset_Wisata'!$A$12:$A$622, 0)))/2)^2 + COS(RADIANS(INDEX('Dataset_Wisata'!$C$12:$C$622, MATCH('Dashboard'!$C$9, 'Dataset_Wisata'!$A$12:$A$622, 0)))) * COS(RADIANS(C569)) * SIN(RADIANS((D569) - INDEX('Dataset_Wisata'!$D$12:$D$622, MATCH('Dashboard'!$C$9, 'Dataset_Wisata'!$A$12:$A$622, 0)))/2)^2)) * 1.3</f>
        <v/>
      </c>
      <c r="J569" s="21">
        <f>ROUND(I569 * IF('Dashboard'!$C$6&lt;=1, 2250, IF('Dashboard'!$C$6&lt;=4, 5150, 6000)), 0)</f>
        <v/>
      </c>
      <c r="K569" s="30" t="n">
        <v>0.9998126508185596</v>
      </c>
      <c r="L569" s="30" t="n">
        <v>0.0001775718391516968</v>
      </c>
      <c r="M569" s="30" t="n">
        <v>9.7773422886897e-06</v>
      </c>
      <c r="N569" s="31">
        <f>ABS(E569-$F$6)</f>
        <v/>
      </c>
      <c r="O569" s="31">
        <f>ABS(E569-$F$7)</f>
        <v/>
      </c>
      <c r="P569" s="31">
        <f>ABS(E569-$F$8)</f>
        <v/>
      </c>
      <c r="Q569" s="14">
        <f>IF(K569&gt;=MAX(L569,M569), "Hemat", IF(L569&gt;=M569, "Balanced", "Premium"))</f>
        <v/>
      </c>
      <c r="R569" s="30" t="n">
        <v>0.9998126513362043</v>
      </c>
      <c r="S569" s="30" t="n">
        <v>0.0001775713458315561</v>
      </c>
      <c r="T569" s="30" t="n">
        <v>9.777317964159987e-06</v>
      </c>
      <c r="U569" s="31">
        <f>ABS(E569-$G$6)</f>
        <v/>
      </c>
      <c r="V569" s="31">
        <f>ABS(E569-$G$7)</f>
        <v/>
      </c>
      <c r="W569" s="31">
        <f>ABS(E569-$G$8)</f>
        <v/>
      </c>
      <c r="X569" s="14">
        <f>IF(R569&gt;=MAX(S569,T569), "Hemat", IF(S569&gt;=T569, "Balanced", "Premium"))</f>
        <v/>
      </c>
    </row>
    <row r="570">
      <c r="A570" s="14" t="n">
        <v>575</v>
      </c>
      <c r="B570" s="7" t="inlineStr">
        <is>
          <t>Telaga Sari Garden</t>
        </is>
      </c>
      <c r="C570" s="26" t="n">
        <v>-7.9710714</v>
      </c>
      <c r="D570" s="26" t="n">
        <v>112.7994083</v>
      </c>
      <c r="E570" s="21" t="n">
        <v>10000</v>
      </c>
      <c r="F570" s="27" t="n">
        <v>4</v>
      </c>
      <c r="G570" s="28" t="n">
        <v>84</v>
      </c>
      <c r="H570" s="14" t="inlineStr">
        <is>
          <t>Taman · 2QHX+HQF</t>
        </is>
      </c>
      <c r="I570" s="29">
        <f>6371 * 2 * ASIN(SQRT(SIN(RADIANS((C570) - INDEX('Dataset_Wisata'!$C$12:$C$622, MATCH('Dashboard'!$C$9, 'Dataset_Wisata'!$A$12:$A$622, 0)))/2)^2 + COS(RADIANS(INDEX('Dataset_Wisata'!$C$12:$C$622, MATCH('Dashboard'!$C$9, 'Dataset_Wisata'!$A$12:$A$622, 0)))) * COS(RADIANS(C570)) * SIN(RADIANS((D570) - INDEX('Dataset_Wisata'!$D$12:$D$622, MATCH('Dashboard'!$C$9, 'Dataset_Wisata'!$A$12:$A$622, 0)))/2)^2)) * 1.3</f>
        <v/>
      </c>
      <c r="J570" s="21">
        <f>ROUND(I570 * IF('Dashboard'!$C$6&lt;=1, 2250, IF('Dashboard'!$C$6&lt;=4, 5150, 6000)), 0)</f>
        <v/>
      </c>
      <c r="K570" s="30" t="n">
        <v>0.9998126508185596</v>
      </c>
      <c r="L570" s="30" t="n">
        <v>0.0001775718391516968</v>
      </c>
      <c r="M570" s="30" t="n">
        <v>9.7773422886897e-06</v>
      </c>
      <c r="N570" s="31">
        <f>ABS(E570-$F$6)</f>
        <v/>
      </c>
      <c r="O570" s="31">
        <f>ABS(E570-$F$7)</f>
        <v/>
      </c>
      <c r="P570" s="31">
        <f>ABS(E570-$F$8)</f>
        <v/>
      </c>
      <c r="Q570" s="14">
        <f>IF(K570&gt;=MAX(L570,M570), "Hemat", IF(L570&gt;=M570, "Balanced", "Premium"))</f>
        <v/>
      </c>
      <c r="R570" s="30" t="n">
        <v>0.9998126513362043</v>
      </c>
      <c r="S570" s="30" t="n">
        <v>0.0001775713458315561</v>
      </c>
      <c r="T570" s="30" t="n">
        <v>9.777317964159987e-06</v>
      </c>
      <c r="U570" s="31">
        <f>ABS(E570-$G$6)</f>
        <v/>
      </c>
      <c r="V570" s="31">
        <f>ABS(E570-$G$7)</f>
        <v/>
      </c>
      <c r="W570" s="31">
        <f>ABS(E570-$G$8)</f>
        <v/>
      </c>
      <c r="X570" s="14">
        <f>IF(R570&gt;=MAX(S570,T570), "Hemat", IF(S570&gt;=T570, "Balanced", "Premium"))</f>
        <v/>
      </c>
    </row>
    <row r="571">
      <c r="A571" s="14" t="n">
        <v>576</v>
      </c>
      <c r="B571" s="7" t="inlineStr">
        <is>
          <t>WISATA AIR SUMBER CEMPOKO</t>
        </is>
      </c>
      <c r="C571" s="26" t="n">
        <v>-7.978681</v>
      </c>
      <c r="D571" s="26" t="n">
        <v>112.7390435</v>
      </c>
      <c r="E571" s="21" t="n">
        <v>5000</v>
      </c>
      <c r="F571" s="27" t="n">
        <v>4.4</v>
      </c>
      <c r="G571" s="28" t="n">
        <v>93</v>
      </c>
      <c r="H571" s="14" t="inlineStr">
        <is>
          <t>WISATA AIR SUMBER CEMPOKO</t>
        </is>
      </c>
      <c r="I571" s="29">
        <f>6371 * 2 * ASIN(SQRT(SIN(RADIANS((C571) - INDEX('Dataset_Wisata'!$C$12:$C$622, MATCH('Dashboard'!$C$9, 'Dataset_Wisata'!$A$12:$A$622, 0)))/2)^2 + COS(RADIANS(INDEX('Dataset_Wisata'!$C$12:$C$622, MATCH('Dashboard'!$C$9, 'Dataset_Wisata'!$A$12:$A$622, 0)))) * COS(RADIANS(C571)) * SIN(RADIANS((D571) - INDEX('Dataset_Wisata'!$D$12:$D$622, MATCH('Dashboard'!$C$9, 'Dataset_Wisata'!$A$12:$A$622, 0)))/2)^2)) * 1.3</f>
        <v/>
      </c>
      <c r="J571" s="21">
        <f>ROUND(I571 * IF('Dashboard'!$C$6&lt;=1, 2250, IF('Dashboard'!$C$6&lt;=4, 5150, 6000)), 0)</f>
        <v/>
      </c>
      <c r="K571" s="30" t="n">
        <v>0.9895566543895754</v>
      </c>
      <c r="L571" s="30" t="n">
        <v>0.009798611400025654</v>
      </c>
      <c r="M571" s="30" t="n">
        <v>0.0006447342103988783</v>
      </c>
      <c r="N571" s="31">
        <f>ABS(E571-$F$6)</f>
        <v/>
      </c>
      <c r="O571" s="31">
        <f>ABS(E571-$F$7)</f>
        <v/>
      </c>
      <c r="P571" s="31">
        <f>ABS(E571-$F$8)</f>
        <v/>
      </c>
      <c r="Q571" s="14">
        <f>IF(K571&gt;=MAX(L571,M571), "Hemat", IF(L571&gt;=M571, "Balanced", "Premium"))</f>
        <v/>
      </c>
      <c r="R571" s="30" t="n">
        <v>0.9895566542341836</v>
      </c>
      <c r="S571" s="30" t="n">
        <v>0.00979861139170024</v>
      </c>
      <c r="T571" s="30" t="n">
        <v>0.00064473437411607</v>
      </c>
      <c r="U571" s="31">
        <f>ABS(E571-$G$6)</f>
        <v/>
      </c>
      <c r="V571" s="31">
        <f>ABS(E571-$G$7)</f>
        <v/>
      </c>
      <c r="W571" s="31">
        <f>ABS(E571-$G$8)</f>
        <v/>
      </c>
      <c r="X571" s="14">
        <f>IF(R571&gt;=MAX(S571,T571), "Hemat", IF(S571&gt;=T571, "Balanced", "Premium"))</f>
        <v/>
      </c>
    </row>
    <row r="572">
      <c r="A572" s="14" t="n">
        <v>577</v>
      </c>
      <c r="B572" s="7" t="inlineStr">
        <is>
          <t>Puncak Tunggangan</t>
        </is>
      </c>
      <c r="C572" s="26" t="n">
        <v>-7.8878745</v>
      </c>
      <c r="D572" s="26" t="n">
        <v>112.7798835</v>
      </c>
      <c r="E572" s="21" t="n">
        <v>10000</v>
      </c>
      <c r="F572" s="27" t="n">
        <v>4.6</v>
      </c>
      <c r="G572" s="28" t="n">
        <v>60</v>
      </c>
      <c r="H572" s="14" t="inlineStr">
        <is>
          <t>Wisata Umum</t>
        </is>
      </c>
      <c r="I572" s="29">
        <f>6371 * 2 * ASIN(SQRT(SIN(RADIANS((C572) - INDEX('Dataset_Wisata'!$C$12:$C$622, MATCH('Dashboard'!$C$9, 'Dataset_Wisata'!$A$12:$A$622, 0)))/2)^2 + COS(RADIANS(INDEX('Dataset_Wisata'!$C$12:$C$622, MATCH('Dashboard'!$C$9, 'Dataset_Wisata'!$A$12:$A$622, 0)))) * COS(RADIANS(C572)) * SIN(RADIANS((D572) - INDEX('Dataset_Wisata'!$D$12:$D$622, MATCH('Dashboard'!$C$9, 'Dataset_Wisata'!$A$12:$A$622, 0)))/2)^2)) * 1.3</f>
        <v/>
      </c>
      <c r="J572" s="21">
        <f>ROUND(I572 * IF('Dashboard'!$C$6&lt;=1, 2250, IF('Dashboard'!$C$6&lt;=4, 5150, 6000)), 0)</f>
        <v/>
      </c>
      <c r="K572" s="30" t="n">
        <v>0.9998126508185596</v>
      </c>
      <c r="L572" s="30" t="n">
        <v>0.0001775718391516968</v>
      </c>
      <c r="M572" s="30" t="n">
        <v>9.7773422886897e-06</v>
      </c>
      <c r="N572" s="31">
        <f>ABS(E572-$F$6)</f>
        <v/>
      </c>
      <c r="O572" s="31">
        <f>ABS(E572-$F$7)</f>
        <v/>
      </c>
      <c r="P572" s="31">
        <f>ABS(E572-$F$8)</f>
        <v/>
      </c>
      <c r="Q572" s="14">
        <f>IF(K572&gt;=MAX(L572,M572), "Hemat", IF(L572&gt;=M572, "Balanced", "Premium"))</f>
        <v/>
      </c>
      <c r="R572" s="30" t="n">
        <v>0.9998126513362043</v>
      </c>
      <c r="S572" s="30" t="n">
        <v>0.0001775713458315561</v>
      </c>
      <c r="T572" s="30" t="n">
        <v>9.777317964159987e-06</v>
      </c>
      <c r="U572" s="31">
        <f>ABS(E572-$G$6)</f>
        <v/>
      </c>
      <c r="V572" s="31">
        <f>ABS(E572-$G$7)</f>
        <v/>
      </c>
      <c r="W572" s="31">
        <f>ABS(E572-$G$8)</f>
        <v/>
      </c>
      <c r="X572" s="14">
        <f>IF(R572&gt;=MAX(S572,T572), "Hemat", IF(S572&gt;=T572, "Balanced", "Premium"))</f>
        <v/>
      </c>
    </row>
    <row r="573">
      <c r="A573" s="14" t="n">
        <v>578</v>
      </c>
      <c r="B573" s="7" t="inlineStr">
        <is>
          <t>Pantai Wedi Putih</t>
        </is>
      </c>
      <c r="C573" s="26" t="n">
        <v>-8.3762341</v>
      </c>
      <c r="D573" s="26" t="n">
        <v>112.8464831</v>
      </c>
      <c r="E573" s="21" t="n">
        <v>5000</v>
      </c>
      <c r="F573" s="27" t="n">
        <v>4.6</v>
      </c>
      <c r="G573" s="28" t="n">
        <v>80</v>
      </c>
      <c r="H573" s="14" t="inlineStr">
        <is>
          <t>Pantai Wedi Putih</t>
        </is>
      </c>
      <c r="I573" s="29">
        <f>6371 * 2 * ASIN(SQRT(SIN(RADIANS((C573) - INDEX('Dataset_Wisata'!$C$12:$C$622, MATCH('Dashboard'!$C$9, 'Dataset_Wisata'!$A$12:$A$622, 0)))/2)^2 + COS(RADIANS(INDEX('Dataset_Wisata'!$C$12:$C$622, MATCH('Dashboard'!$C$9, 'Dataset_Wisata'!$A$12:$A$622, 0)))) * COS(RADIANS(C573)) * SIN(RADIANS((D573) - INDEX('Dataset_Wisata'!$D$12:$D$622, MATCH('Dashboard'!$C$9, 'Dataset_Wisata'!$A$12:$A$622, 0)))/2)^2)) * 1.3</f>
        <v/>
      </c>
      <c r="J573" s="21">
        <f>ROUND(I573 * IF('Dashboard'!$C$6&lt;=1, 2250, IF('Dashboard'!$C$6&lt;=4, 5150, 6000)), 0)</f>
        <v/>
      </c>
      <c r="K573" s="30" t="n">
        <v>0.9895566543895754</v>
      </c>
      <c r="L573" s="30" t="n">
        <v>0.009798611400025654</v>
      </c>
      <c r="M573" s="30" t="n">
        <v>0.0006447342103988783</v>
      </c>
      <c r="N573" s="31">
        <f>ABS(E573-$F$6)</f>
        <v/>
      </c>
      <c r="O573" s="31">
        <f>ABS(E573-$F$7)</f>
        <v/>
      </c>
      <c r="P573" s="31">
        <f>ABS(E573-$F$8)</f>
        <v/>
      </c>
      <c r="Q573" s="14">
        <f>IF(K573&gt;=MAX(L573,M573), "Hemat", IF(L573&gt;=M573, "Balanced", "Premium"))</f>
        <v/>
      </c>
      <c r="R573" s="30" t="n">
        <v>0.9895566542341836</v>
      </c>
      <c r="S573" s="30" t="n">
        <v>0.00979861139170024</v>
      </c>
      <c r="T573" s="30" t="n">
        <v>0.00064473437411607</v>
      </c>
      <c r="U573" s="31">
        <f>ABS(E573-$G$6)</f>
        <v/>
      </c>
      <c r="V573" s="31">
        <f>ABS(E573-$G$7)</f>
        <v/>
      </c>
      <c r="W573" s="31">
        <f>ABS(E573-$G$8)</f>
        <v/>
      </c>
      <c r="X573" s="14">
        <f>IF(R573&gt;=MAX(S573,T573), "Hemat", IF(S573&gt;=T573, "Balanced", "Premium"))</f>
        <v/>
      </c>
    </row>
    <row r="574">
      <c r="A574" s="14" t="n">
        <v>579</v>
      </c>
      <c r="B574" s="7" t="inlineStr">
        <is>
          <t>PUNCAK BINGLIS</t>
        </is>
      </c>
      <c r="C574" s="26" t="n">
        <v>-8.3204505</v>
      </c>
      <c r="D574" s="26" t="n">
        <v>112.8124499</v>
      </c>
      <c r="E574" s="21" t="n">
        <v>5000</v>
      </c>
      <c r="F574" s="27" t="n">
        <v>4.6</v>
      </c>
      <c r="G574" s="28" t="n">
        <v>67</v>
      </c>
      <c r="H574" s="14" t="inlineStr">
        <is>
          <t>Wisata Umum</t>
        </is>
      </c>
      <c r="I574" s="29">
        <f>6371 * 2 * ASIN(SQRT(SIN(RADIANS((C574) - INDEX('Dataset_Wisata'!$C$12:$C$622, MATCH('Dashboard'!$C$9, 'Dataset_Wisata'!$A$12:$A$622, 0)))/2)^2 + COS(RADIANS(INDEX('Dataset_Wisata'!$C$12:$C$622, MATCH('Dashboard'!$C$9, 'Dataset_Wisata'!$A$12:$A$622, 0)))) * COS(RADIANS(C574)) * SIN(RADIANS((D574) - INDEX('Dataset_Wisata'!$D$12:$D$622, MATCH('Dashboard'!$C$9, 'Dataset_Wisata'!$A$12:$A$622, 0)))/2)^2)) * 1.3</f>
        <v/>
      </c>
      <c r="J574" s="21">
        <f>ROUND(I574 * IF('Dashboard'!$C$6&lt;=1, 2250, IF('Dashboard'!$C$6&lt;=4, 5150, 6000)), 0)</f>
        <v/>
      </c>
      <c r="K574" s="30" t="n">
        <v>0.9895566543895754</v>
      </c>
      <c r="L574" s="30" t="n">
        <v>0.009798611400025654</v>
      </c>
      <c r="M574" s="30" t="n">
        <v>0.0006447342103988783</v>
      </c>
      <c r="N574" s="31">
        <f>ABS(E574-$F$6)</f>
        <v/>
      </c>
      <c r="O574" s="31">
        <f>ABS(E574-$F$7)</f>
        <v/>
      </c>
      <c r="P574" s="31">
        <f>ABS(E574-$F$8)</f>
        <v/>
      </c>
      <c r="Q574" s="14">
        <f>IF(K574&gt;=MAX(L574,M574), "Hemat", IF(L574&gt;=M574, "Balanced", "Premium"))</f>
        <v/>
      </c>
      <c r="R574" s="30" t="n">
        <v>0.9895566542341836</v>
      </c>
      <c r="S574" s="30" t="n">
        <v>0.00979861139170024</v>
      </c>
      <c r="T574" s="30" t="n">
        <v>0.00064473437411607</v>
      </c>
      <c r="U574" s="31">
        <f>ABS(E574-$G$6)</f>
        <v/>
      </c>
      <c r="V574" s="31">
        <f>ABS(E574-$G$7)</f>
        <v/>
      </c>
      <c r="W574" s="31">
        <f>ABS(E574-$G$8)</f>
        <v/>
      </c>
      <c r="X574" s="14">
        <f>IF(R574&gt;=MAX(S574,T574), "Hemat", IF(S574&gt;=T574, "Balanced", "Premium"))</f>
        <v/>
      </c>
    </row>
    <row r="575">
      <c r="A575" s="14" t="n">
        <v>580</v>
      </c>
      <c r="B575" s="7" t="inlineStr">
        <is>
          <t>Pantai Sendiki</t>
        </is>
      </c>
      <c r="C575" s="26" t="n">
        <v>-8.416813100000001</v>
      </c>
      <c r="D575" s="26" t="n">
        <v>112.7259382</v>
      </c>
      <c r="E575" s="21" t="n">
        <v>20000</v>
      </c>
      <c r="F575" s="27" t="n">
        <v>4.6</v>
      </c>
      <c r="G575" s="28" t="n">
        <v>3695</v>
      </c>
      <c r="H575" s="14" t="inlineStr">
        <is>
          <t>Pantai Sendiki</t>
        </is>
      </c>
      <c r="I575" s="29">
        <f>6371 * 2 * ASIN(SQRT(SIN(RADIANS((C575) - INDEX('Dataset_Wisata'!$C$12:$C$622, MATCH('Dashboard'!$C$9, 'Dataset_Wisata'!$A$12:$A$622, 0)))/2)^2 + COS(RADIANS(INDEX('Dataset_Wisata'!$C$12:$C$622, MATCH('Dashboard'!$C$9, 'Dataset_Wisata'!$A$12:$A$622, 0)))) * COS(RADIANS(C575)) * SIN(RADIANS((D575) - INDEX('Dataset_Wisata'!$D$12:$D$622, MATCH('Dashboard'!$C$9, 'Dataset_Wisata'!$A$12:$A$622, 0)))/2)^2)) * 1.3</f>
        <v/>
      </c>
      <c r="J575" s="21">
        <f>ROUND(I575 * IF('Dashboard'!$C$6&lt;=1, 2250, IF('Dashboard'!$C$6&lt;=4, 5150, 6000)), 0)</f>
        <v/>
      </c>
      <c r="K575" s="30" t="n">
        <v>0.8862296979094436</v>
      </c>
      <c r="L575" s="30" t="n">
        <v>0.1099329410905347</v>
      </c>
      <c r="M575" s="30" t="n">
        <v>0.003837361000021699</v>
      </c>
      <c r="N575" s="31">
        <f>ABS(E575-$F$6)</f>
        <v/>
      </c>
      <c r="O575" s="31">
        <f>ABS(E575-$F$7)</f>
        <v/>
      </c>
      <c r="P575" s="31">
        <f>ABS(E575-$F$8)</f>
        <v/>
      </c>
      <c r="Q575" s="14">
        <f>IF(K575&gt;=MAX(L575,M575), "Hemat", IF(L575&gt;=M575, "Balanced", "Premium"))</f>
        <v/>
      </c>
      <c r="R575" s="30" t="n">
        <v>0.8862297532761809</v>
      </c>
      <c r="S575" s="30" t="n">
        <v>0.1099328861159962</v>
      </c>
      <c r="T575" s="30" t="n">
        <v>0.003837360607822898</v>
      </c>
      <c r="U575" s="31">
        <f>ABS(E575-$G$6)</f>
        <v/>
      </c>
      <c r="V575" s="31">
        <f>ABS(E575-$G$7)</f>
        <v/>
      </c>
      <c r="W575" s="31">
        <f>ABS(E575-$G$8)</f>
        <v/>
      </c>
      <c r="X575" s="14">
        <f>IF(R575&gt;=MAX(S575,T575), "Hemat", IF(S575&gt;=T575, "Balanced", "Premium"))</f>
        <v/>
      </c>
    </row>
    <row r="576">
      <c r="A576" s="14" t="n">
        <v>581</v>
      </c>
      <c r="B576" s="7" t="inlineStr">
        <is>
          <t>Pantai Lenggoksono</t>
        </is>
      </c>
      <c r="C576" s="26" t="n">
        <v>-8.372374300000001</v>
      </c>
      <c r="D576" s="26" t="n">
        <v>112.8389318</v>
      </c>
      <c r="E576" s="21" t="n">
        <v>10000</v>
      </c>
      <c r="F576" s="27" t="n">
        <v>4.3</v>
      </c>
      <c r="G576" s="28" t="n">
        <v>1010</v>
      </c>
      <c r="H576" s="14" t="inlineStr">
        <is>
          <t>Pantai Lenggoksono</t>
        </is>
      </c>
      <c r="I576" s="29">
        <f>6371 * 2 * ASIN(SQRT(SIN(RADIANS((C576) - INDEX('Dataset_Wisata'!$C$12:$C$622, MATCH('Dashboard'!$C$9, 'Dataset_Wisata'!$A$12:$A$622, 0)))/2)^2 + COS(RADIANS(INDEX('Dataset_Wisata'!$C$12:$C$622, MATCH('Dashboard'!$C$9, 'Dataset_Wisata'!$A$12:$A$622, 0)))) * COS(RADIANS(C576)) * SIN(RADIANS((D576) - INDEX('Dataset_Wisata'!$D$12:$D$622, MATCH('Dashboard'!$C$9, 'Dataset_Wisata'!$A$12:$A$622, 0)))/2)^2)) * 1.3</f>
        <v/>
      </c>
      <c r="J576" s="21">
        <f>ROUND(I576 * IF('Dashboard'!$C$6&lt;=1, 2250, IF('Dashboard'!$C$6&lt;=4, 5150, 6000)), 0)</f>
        <v/>
      </c>
      <c r="K576" s="30" t="n">
        <v>0.9998126508185596</v>
      </c>
      <c r="L576" s="30" t="n">
        <v>0.0001775718391516968</v>
      </c>
      <c r="M576" s="30" t="n">
        <v>9.7773422886897e-06</v>
      </c>
      <c r="N576" s="31">
        <f>ABS(E576-$F$6)</f>
        <v/>
      </c>
      <c r="O576" s="31">
        <f>ABS(E576-$F$7)</f>
        <v/>
      </c>
      <c r="P576" s="31">
        <f>ABS(E576-$F$8)</f>
        <v/>
      </c>
      <c r="Q576" s="14">
        <f>IF(K576&gt;=MAX(L576,M576), "Hemat", IF(L576&gt;=M576, "Balanced", "Premium"))</f>
        <v/>
      </c>
      <c r="R576" s="30" t="n">
        <v>0.9998126513362043</v>
      </c>
      <c r="S576" s="30" t="n">
        <v>0.0001775713458315561</v>
      </c>
      <c r="T576" s="30" t="n">
        <v>9.777317964159987e-06</v>
      </c>
      <c r="U576" s="31">
        <f>ABS(E576-$G$6)</f>
        <v/>
      </c>
      <c r="V576" s="31">
        <f>ABS(E576-$G$7)</f>
        <v/>
      </c>
      <c r="W576" s="31">
        <f>ABS(E576-$G$8)</f>
        <v/>
      </c>
      <c r="X576" s="14">
        <f>IF(R576&gt;=MAX(S576,T576), "Hemat", IF(S576&gt;=T576, "Balanced", "Premium"))</f>
        <v/>
      </c>
    </row>
    <row r="577">
      <c r="A577" s="14" t="n">
        <v>582</v>
      </c>
      <c r="B577" s="7" t="inlineStr">
        <is>
          <t>Goa payung baturetno</t>
        </is>
      </c>
      <c r="C577" s="26" t="n">
        <v>-8.2631183</v>
      </c>
      <c r="D577" s="26" t="n">
        <v>112.8023166</v>
      </c>
      <c r="E577" s="21" t="n">
        <v>10000</v>
      </c>
      <c r="F577" s="27" t="n">
        <v>4.6</v>
      </c>
      <c r="G577" s="28" t="n">
        <v>26</v>
      </c>
      <c r="H577" s="14" t="inlineStr">
        <is>
          <t>Wisata Umum</t>
        </is>
      </c>
      <c r="I577" s="29">
        <f>6371 * 2 * ASIN(SQRT(SIN(RADIANS((C577) - INDEX('Dataset_Wisata'!$C$12:$C$622, MATCH('Dashboard'!$C$9, 'Dataset_Wisata'!$A$12:$A$622, 0)))/2)^2 + COS(RADIANS(INDEX('Dataset_Wisata'!$C$12:$C$622, MATCH('Dashboard'!$C$9, 'Dataset_Wisata'!$A$12:$A$622, 0)))) * COS(RADIANS(C577)) * SIN(RADIANS((D577) - INDEX('Dataset_Wisata'!$D$12:$D$622, MATCH('Dashboard'!$C$9, 'Dataset_Wisata'!$A$12:$A$622, 0)))/2)^2)) * 1.3</f>
        <v/>
      </c>
      <c r="J577" s="21">
        <f>ROUND(I577 * IF('Dashboard'!$C$6&lt;=1, 2250, IF('Dashboard'!$C$6&lt;=4, 5150, 6000)), 0)</f>
        <v/>
      </c>
      <c r="K577" s="30" t="n">
        <v>0.9998126508185596</v>
      </c>
      <c r="L577" s="30" t="n">
        <v>0.0001775718391516968</v>
      </c>
      <c r="M577" s="30" t="n">
        <v>9.7773422886897e-06</v>
      </c>
      <c r="N577" s="31">
        <f>ABS(E577-$F$6)</f>
        <v/>
      </c>
      <c r="O577" s="31">
        <f>ABS(E577-$F$7)</f>
        <v/>
      </c>
      <c r="P577" s="31">
        <f>ABS(E577-$F$8)</f>
        <v/>
      </c>
      <c r="Q577" s="14">
        <f>IF(K577&gt;=MAX(L577,M577), "Hemat", IF(L577&gt;=M577, "Balanced", "Premium"))</f>
        <v/>
      </c>
      <c r="R577" s="30" t="n">
        <v>0.9998126513362043</v>
      </c>
      <c r="S577" s="30" t="n">
        <v>0.0001775713458315561</v>
      </c>
      <c r="T577" s="30" t="n">
        <v>9.777317964159987e-06</v>
      </c>
      <c r="U577" s="31">
        <f>ABS(E577-$G$6)</f>
        <v/>
      </c>
      <c r="V577" s="31">
        <f>ABS(E577-$G$7)</f>
        <v/>
      </c>
      <c r="W577" s="31">
        <f>ABS(E577-$G$8)</f>
        <v/>
      </c>
      <c r="X577" s="14">
        <f>IF(R577&gt;=MAX(S577,T577), "Hemat", IF(S577&gt;=T577, "Balanced", "Premium"))</f>
        <v/>
      </c>
    </row>
    <row r="578">
      <c r="A578" s="14" t="n">
        <v>583</v>
      </c>
      <c r="B578" s="7" t="inlineStr">
        <is>
          <t>Latar Kumat</t>
        </is>
      </c>
      <c r="C578" s="26" t="n">
        <v>-8.1893125</v>
      </c>
      <c r="D578" s="26" t="n">
        <v>112.7734375</v>
      </c>
      <c r="E578" s="21" t="n">
        <v>10000</v>
      </c>
      <c r="F578" s="27" t="n">
        <v>4.5</v>
      </c>
      <c r="G578" s="28" t="n">
        <v>24</v>
      </c>
      <c r="H578" s="14" t="inlineStr">
        <is>
          <t>Taman ·  · RQ6F+79</t>
        </is>
      </c>
      <c r="I578" s="29">
        <f>6371 * 2 * ASIN(SQRT(SIN(RADIANS((C578) - INDEX('Dataset_Wisata'!$C$12:$C$622, MATCH('Dashboard'!$C$9, 'Dataset_Wisata'!$A$12:$A$622, 0)))/2)^2 + COS(RADIANS(INDEX('Dataset_Wisata'!$C$12:$C$622, MATCH('Dashboard'!$C$9, 'Dataset_Wisata'!$A$12:$A$622, 0)))) * COS(RADIANS(C578)) * SIN(RADIANS((D578) - INDEX('Dataset_Wisata'!$D$12:$D$622, MATCH('Dashboard'!$C$9, 'Dataset_Wisata'!$A$12:$A$622, 0)))/2)^2)) * 1.3</f>
        <v/>
      </c>
      <c r="J578" s="21">
        <f>ROUND(I578 * IF('Dashboard'!$C$6&lt;=1, 2250, IF('Dashboard'!$C$6&lt;=4, 5150, 6000)), 0)</f>
        <v/>
      </c>
      <c r="K578" s="30" t="n">
        <v>0.9998126508185596</v>
      </c>
      <c r="L578" s="30" t="n">
        <v>0.0001775718391516968</v>
      </c>
      <c r="M578" s="30" t="n">
        <v>9.7773422886897e-06</v>
      </c>
      <c r="N578" s="31">
        <f>ABS(E578-$F$6)</f>
        <v/>
      </c>
      <c r="O578" s="31">
        <f>ABS(E578-$F$7)</f>
        <v/>
      </c>
      <c r="P578" s="31">
        <f>ABS(E578-$F$8)</f>
        <v/>
      </c>
      <c r="Q578" s="14">
        <f>IF(K578&gt;=MAX(L578,M578), "Hemat", IF(L578&gt;=M578, "Balanced", "Premium"))</f>
        <v/>
      </c>
      <c r="R578" s="30" t="n">
        <v>0.9998126513362043</v>
      </c>
      <c r="S578" s="30" t="n">
        <v>0.0001775713458315561</v>
      </c>
      <c r="T578" s="30" t="n">
        <v>9.777317964159987e-06</v>
      </c>
      <c r="U578" s="31">
        <f>ABS(E578-$G$6)</f>
        <v/>
      </c>
      <c r="V578" s="31">
        <f>ABS(E578-$G$7)</f>
        <v/>
      </c>
      <c r="W578" s="31">
        <f>ABS(E578-$G$8)</f>
        <v/>
      </c>
      <c r="X578" s="14">
        <f>IF(R578&gt;=MAX(S578,T578), "Hemat", IF(S578&gt;=T578, "Balanced", "Premium"))</f>
        <v/>
      </c>
    </row>
    <row r="579">
      <c r="A579" s="14" t="n">
        <v>584</v>
      </c>
      <c r="B579" s="7" t="inlineStr">
        <is>
          <t>Hutan Pinus Semeru (HPS)</t>
        </is>
      </c>
      <c r="C579" s="26" t="n">
        <v>-8.1452448</v>
      </c>
      <c r="D579" s="26" t="n">
        <v>112.8277723</v>
      </c>
      <c r="E579" s="21" t="n">
        <v>5000</v>
      </c>
      <c r="F579" s="27" t="n">
        <v>4.3</v>
      </c>
      <c r="G579" s="28" t="n">
        <v>1143</v>
      </c>
      <c r="H579" s="14" t="inlineStr">
        <is>
          <t>Tujuan Wisata · VR3H+W42</t>
        </is>
      </c>
      <c r="I579" s="29">
        <f>6371 * 2 * ASIN(SQRT(SIN(RADIANS((C579) - INDEX('Dataset_Wisata'!$C$12:$C$622, MATCH('Dashboard'!$C$9, 'Dataset_Wisata'!$A$12:$A$622, 0)))/2)^2 + COS(RADIANS(INDEX('Dataset_Wisata'!$C$12:$C$622, MATCH('Dashboard'!$C$9, 'Dataset_Wisata'!$A$12:$A$622, 0)))) * COS(RADIANS(C579)) * SIN(RADIANS((D579) - INDEX('Dataset_Wisata'!$D$12:$D$622, MATCH('Dashboard'!$C$9, 'Dataset_Wisata'!$A$12:$A$622, 0)))/2)^2)) * 1.3</f>
        <v/>
      </c>
      <c r="J579" s="21">
        <f>ROUND(I579 * IF('Dashboard'!$C$6&lt;=1, 2250, IF('Dashboard'!$C$6&lt;=4, 5150, 6000)), 0)</f>
        <v/>
      </c>
      <c r="K579" s="30" t="n">
        <v>0.9895566543895754</v>
      </c>
      <c r="L579" s="30" t="n">
        <v>0.009798611400025654</v>
      </c>
      <c r="M579" s="30" t="n">
        <v>0.0006447342103988783</v>
      </c>
      <c r="N579" s="31">
        <f>ABS(E579-$F$6)</f>
        <v/>
      </c>
      <c r="O579" s="31">
        <f>ABS(E579-$F$7)</f>
        <v/>
      </c>
      <c r="P579" s="31">
        <f>ABS(E579-$F$8)</f>
        <v/>
      </c>
      <c r="Q579" s="14">
        <f>IF(K579&gt;=MAX(L579,M579), "Hemat", IF(L579&gt;=M579, "Balanced", "Premium"))</f>
        <v/>
      </c>
      <c r="R579" s="30" t="n">
        <v>0.9895566542341836</v>
      </c>
      <c r="S579" s="30" t="n">
        <v>0.00979861139170024</v>
      </c>
      <c r="T579" s="30" t="n">
        <v>0.00064473437411607</v>
      </c>
      <c r="U579" s="31">
        <f>ABS(E579-$G$6)</f>
        <v/>
      </c>
      <c r="V579" s="31">
        <f>ABS(E579-$G$7)</f>
        <v/>
      </c>
      <c r="W579" s="31">
        <f>ABS(E579-$G$8)</f>
        <v/>
      </c>
      <c r="X579" s="14">
        <f>IF(R579&gt;=MAX(S579,T579), "Hemat", IF(S579&gt;=T579, "Balanced", "Premium"))</f>
        <v/>
      </c>
    </row>
    <row r="580">
      <c r="A580" s="14" t="n">
        <v>585</v>
      </c>
      <c r="B580" s="7" t="inlineStr">
        <is>
          <t>Kampoeng Banyu River Tubing</t>
        </is>
      </c>
      <c r="C580" s="26" t="n">
        <v>-8.1872694</v>
      </c>
      <c r="D580" s="26" t="n">
        <v>112.7521651</v>
      </c>
      <c r="E580" s="21" t="n">
        <v>75000</v>
      </c>
      <c r="F580" s="27" t="n">
        <v>4.5</v>
      </c>
      <c r="G580" s="28" t="n">
        <v>68</v>
      </c>
      <c r="H580" s="14" t="inlineStr">
        <is>
          <t>Wisata Umum</t>
        </is>
      </c>
      <c r="I580" s="29">
        <f>6371 * 2 * ASIN(SQRT(SIN(RADIANS((C580) - INDEX('Dataset_Wisata'!$C$12:$C$622, MATCH('Dashboard'!$C$9, 'Dataset_Wisata'!$A$12:$A$622, 0)))/2)^2 + COS(RADIANS(INDEX('Dataset_Wisata'!$C$12:$C$622, MATCH('Dashboard'!$C$9, 'Dataset_Wisata'!$A$12:$A$622, 0)))) * COS(RADIANS(C580)) * SIN(RADIANS((D580) - INDEX('Dataset_Wisata'!$D$12:$D$622, MATCH('Dashboard'!$C$9, 'Dataset_Wisata'!$A$12:$A$622, 0)))/2)^2)) * 1.3</f>
        <v/>
      </c>
      <c r="J580" s="21">
        <f>ROUND(I580 * IF('Dashboard'!$C$6&lt;=1, 2250, IF('Dashboard'!$C$6&lt;=4, 5150, 6000)), 0)</f>
        <v/>
      </c>
      <c r="K580" s="30" t="n">
        <v>0.1218465268050967</v>
      </c>
      <c r="L580" s="30" t="n">
        <v>0.8307384148966545</v>
      </c>
      <c r="M580" s="30" t="n">
        <v>0.04741505829824878</v>
      </c>
      <c r="N580" s="31">
        <f>ABS(E580-$F$6)</f>
        <v/>
      </c>
      <c r="O580" s="31">
        <f>ABS(E580-$F$7)</f>
        <v/>
      </c>
      <c r="P580" s="31">
        <f>ABS(E580-$F$8)</f>
        <v/>
      </c>
      <c r="Q580" s="14">
        <f>IF(K580&gt;=MAX(L580,M580), "Hemat", IF(L580&gt;=M580, "Balanced", "Premium"))</f>
        <v/>
      </c>
      <c r="R580" s="30" t="n">
        <v>0.1218464763656933</v>
      </c>
      <c r="S580" s="30" t="n">
        <v>0.8307384888671129</v>
      </c>
      <c r="T580" s="30" t="n">
        <v>0.04741503476719393</v>
      </c>
      <c r="U580" s="31">
        <f>ABS(E580-$G$6)</f>
        <v/>
      </c>
      <c r="V580" s="31">
        <f>ABS(E580-$G$7)</f>
        <v/>
      </c>
      <c r="W580" s="31">
        <f>ABS(E580-$G$8)</f>
        <v/>
      </c>
      <c r="X580" s="14">
        <f>IF(R580&gt;=MAX(S580,T580), "Hemat", IF(S580&gt;=T580, "Balanced", "Premium"))</f>
        <v/>
      </c>
    </row>
    <row r="581">
      <c r="A581" s="14" t="n">
        <v>586</v>
      </c>
      <c r="B581" s="7" t="inlineStr">
        <is>
          <t>Kopi Rejo Hill Tourism</t>
        </is>
      </c>
      <c r="C581" s="26" t="n">
        <v>-8.113720000000001</v>
      </c>
      <c r="D581" s="26" t="n">
        <v>112.8371087</v>
      </c>
      <c r="E581" s="21" t="n">
        <v>55000</v>
      </c>
      <c r="F581" s="27" t="n">
        <v>4.6</v>
      </c>
      <c r="G581" s="28" t="n">
        <v>73</v>
      </c>
      <c r="H581" s="14" t="inlineStr">
        <is>
          <t>Wisata Umum</t>
        </is>
      </c>
      <c r="I581" s="29">
        <f>6371 * 2 * ASIN(SQRT(SIN(RADIANS((C581) - INDEX('Dataset_Wisata'!$C$12:$C$622, MATCH('Dashboard'!$C$9, 'Dataset_Wisata'!$A$12:$A$622, 0)))/2)^2 + COS(RADIANS(INDEX('Dataset_Wisata'!$C$12:$C$622, MATCH('Dashboard'!$C$9, 'Dataset_Wisata'!$A$12:$A$622, 0)))) * COS(RADIANS(C581)) * SIN(RADIANS((D581) - INDEX('Dataset_Wisata'!$D$12:$D$622, MATCH('Dashboard'!$C$9, 'Dataset_Wisata'!$A$12:$A$622, 0)))/2)^2)) * 1.3</f>
        <v/>
      </c>
      <c r="J581" s="21">
        <f>ROUND(I581 * IF('Dashboard'!$C$6&lt;=1, 2250, IF('Dashboard'!$C$6&lt;=4, 5150, 6000)), 0)</f>
        <v/>
      </c>
      <c r="K581" s="30" t="n">
        <v>0.0123573098689091</v>
      </c>
      <c r="L581" s="30" t="n">
        <v>0.9860044464772632</v>
      </c>
      <c r="M581" s="30" t="n">
        <v>0.001638243653827773</v>
      </c>
      <c r="N581" s="31">
        <f>ABS(E581-$F$6)</f>
        <v/>
      </c>
      <c r="O581" s="31">
        <f>ABS(E581-$F$7)</f>
        <v/>
      </c>
      <c r="P581" s="31">
        <f>ABS(E581-$F$8)</f>
        <v/>
      </c>
      <c r="Q581" s="14">
        <f>IF(K581&gt;=MAX(L581,M581), "Hemat", IF(L581&gt;=M581, "Balanced", "Premium"))</f>
        <v/>
      </c>
      <c r="R581" s="30" t="n">
        <v>0.01235727885066573</v>
      </c>
      <c r="S581" s="30" t="n">
        <v>0.9860044817404879</v>
      </c>
      <c r="T581" s="30" t="n">
        <v>0.001638239408846458</v>
      </c>
      <c r="U581" s="31">
        <f>ABS(E581-$G$6)</f>
        <v/>
      </c>
      <c r="V581" s="31">
        <f>ABS(E581-$G$7)</f>
        <v/>
      </c>
      <c r="W581" s="31">
        <f>ABS(E581-$G$8)</f>
        <v/>
      </c>
      <c r="X581" s="14">
        <f>IF(R581&gt;=MAX(S581,T581), "Hemat", IF(S581&gt;=T581, "Balanced", "Premium"))</f>
        <v/>
      </c>
    </row>
    <row r="582">
      <c r="A582" s="14" t="n">
        <v>587</v>
      </c>
      <c r="B582" s="7" t="inlineStr">
        <is>
          <t>Banyu biru awet muda</t>
        </is>
      </c>
      <c r="C582" s="26" t="n">
        <v>-8.054704299999999</v>
      </c>
      <c r="D582" s="26" t="n">
        <v>112.8267042</v>
      </c>
      <c r="E582" s="21" t="n">
        <v>5000</v>
      </c>
      <c r="F582" s="27" t="n">
        <v>4.6</v>
      </c>
      <c r="G582" s="28" t="n">
        <v>55</v>
      </c>
      <c r="H582" s="14" t="inlineStr">
        <is>
          <t>Wisata Umum</t>
        </is>
      </c>
      <c r="I582" s="29">
        <f>6371 * 2 * ASIN(SQRT(SIN(RADIANS((C582) - INDEX('Dataset_Wisata'!$C$12:$C$622, MATCH('Dashboard'!$C$9, 'Dataset_Wisata'!$A$12:$A$622, 0)))/2)^2 + COS(RADIANS(INDEX('Dataset_Wisata'!$C$12:$C$622, MATCH('Dashboard'!$C$9, 'Dataset_Wisata'!$A$12:$A$622, 0)))) * COS(RADIANS(C582)) * SIN(RADIANS((D582) - INDEX('Dataset_Wisata'!$D$12:$D$622, MATCH('Dashboard'!$C$9, 'Dataset_Wisata'!$A$12:$A$622, 0)))/2)^2)) * 1.3</f>
        <v/>
      </c>
      <c r="J582" s="21">
        <f>ROUND(I582 * IF('Dashboard'!$C$6&lt;=1, 2250, IF('Dashboard'!$C$6&lt;=4, 5150, 6000)), 0)</f>
        <v/>
      </c>
      <c r="K582" s="30" t="n">
        <v>0.9895566543895754</v>
      </c>
      <c r="L582" s="30" t="n">
        <v>0.009798611400025654</v>
      </c>
      <c r="M582" s="30" t="n">
        <v>0.0006447342103988783</v>
      </c>
      <c r="N582" s="31">
        <f>ABS(E582-$F$6)</f>
        <v/>
      </c>
      <c r="O582" s="31">
        <f>ABS(E582-$F$7)</f>
        <v/>
      </c>
      <c r="P582" s="31">
        <f>ABS(E582-$F$8)</f>
        <v/>
      </c>
      <c r="Q582" s="14">
        <f>IF(K582&gt;=MAX(L582,M582), "Hemat", IF(L582&gt;=M582, "Balanced", "Premium"))</f>
        <v/>
      </c>
      <c r="R582" s="30" t="n">
        <v>0.9895566542341836</v>
      </c>
      <c r="S582" s="30" t="n">
        <v>0.00979861139170024</v>
      </c>
      <c r="T582" s="30" t="n">
        <v>0.00064473437411607</v>
      </c>
      <c r="U582" s="31">
        <f>ABS(E582-$G$6)</f>
        <v/>
      </c>
      <c r="V582" s="31">
        <f>ABS(E582-$G$7)</f>
        <v/>
      </c>
      <c r="W582" s="31">
        <f>ABS(E582-$G$8)</f>
        <v/>
      </c>
      <c r="X582" s="14">
        <f>IF(R582&gt;=MAX(S582,T582), "Hemat", IF(S582&gt;=T582, "Balanced", "Premium"))</f>
        <v/>
      </c>
    </row>
    <row r="583">
      <c r="A583" s="14" t="n">
        <v>588</v>
      </c>
      <c r="B583" s="7" t="inlineStr">
        <is>
          <t>Jamun Spot Sunset (JSS)</t>
        </is>
      </c>
      <c r="C583" s="26" t="n">
        <v>-8.0579336</v>
      </c>
      <c r="D583" s="26" t="n">
        <v>112.8245121</v>
      </c>
      <c r="E583" s="21" t="n">
        <v>10000</v>
      </c>
      <c r="F583" s="27" t="n">
        <v>4.6</v>
      </c>
      <c r="G583" s="28" t="n">
        <v>91</v>
      </c>
      <c r="H583" s="14" t="inlineStr">
        <is>
          <t>Wisata Umum</t>
        </is>
      </c>
      <c r="I583" s="29">
        <f>6371 * 2 * ASIN(SQRT(SIN(RADIANS((C583) - INDEX('Dataset_Wisata'!$C$12:$C$622, MATCH('Dashboard'!$C$9, 'Dataset_Wisata'!$A$12:$A$622, 0)))/2)^2 + COS(RADIANS(INDEX('Dataset_Wisata'!$C$12:$C$622, MATCH('Dashboard'!$C$9, 'Dataset_Wisata'!$A$12:$A$622, 0)))) * COS(RADIANS(C583)) * SIN(RADIANS((D583) - INDEX('Dataset_Wisata'!$D$12:$D$622, MATCH('Dashboard'!$C$9, 'Dataset_Wisata'!$A$12:$A$622, 0)))/2)^2)) * 1.3</f>
        <v/>
      </c>
      <c r="J583" s="21">
        <f>ROUND(I583 * IF('Dashboard'!$C$6&lt;=1, 2250, IF('Dashboard'!$C$6&lt;=4, 5150, 6000)), 0)</f>
        <v/>
      </c>
      <c r="K583" s="30" t="n">
        <v>0.9998126508185596</v>
      </c>
      <c r="L583" s="30" t="n">
        <v>0.0001775718391516968</v>
      </c>
      <c r="M583" s="30" t="n">
        <v>9.7773422886897e-06</v>
      </c>
      <c r="N583" s="31">
        <f>ABS(E583-$F$6)</f>
        <v/>
      </c>
      <c r="O583" s="31">
        <f>ABS(E583-$F$7)</f>
        <v/>
      </c>
      <c r="P583" s="31">
        <f>ABS(E583-$F$8)</f>
        <v/>
      </c>
      <c r="Q583" s="14">
        <f>IF(K583&gt;=MAX(L583,M583), "Hemat", IF(L583&gt;=M583, "Balanced", "Premium"))</f>
        <v/>
      </c>
      <c r="R583" s="30" t="n">
        <v>0.9998126513362043</v>
      </c>
      <c r="S583" s="30" t="n">
        <v>0.0001775713458315561</v>
      </c>
      <c r="T583" s="30" t="n">
        <v>9.777317964159987e-06</v>
      </c>
      <c r="U583" s="31">
        <f>ABS(E583-$G$6)</f>
        <v/>
      </c>
      <c r="V583" s="31">
        <f>ABS(E583-$G$7)</f>
        <v/>
      </c>
      <c r="W583" s="31">
        <f>ABS(E583-$G$8)</f>
        <v/>
      </c>
      <c r="X583" s="14">
        <f>IF(R583&gt;=MAX(S583,T583), "Hemat", IF(S583&gt;=T583, "Balanced", "Premium"))</f>
        <v/>
      </c>
    </row>
    <row r="584">
      <c r="A584" s="14" t="n">
        <v>589</v>
      </c>
      <c r="B584" s="7" t="inlineStr">
        <is>
          <t>BROMOAMPRONG VILLAGE</t>
        </is>
      </c>
      <c r="C584" s="26" t="n">
        <v>-8.0321601</v>
      </c>
      <c r="D584" s="26" t="n">
        <v>112.8273022</v>
      </c>
      <c r="E584" s="21" t="n">
        <v>15000</v>
      </c>
      <c r="F584" s="27" t="n">
        <v>4.7</v>
      </c>
      <c r="G584" s="28" t="n">
        <v>28</v>
      </c>
      <c r="H584" s="14" t="inlineStr">
        <is>
          <t>BROMOAMPRONG VILLAGE</t>
        </is>
      </c>
      <c r="I584" s="29">
        <f>6371 * 2 * ASIN(SQRT(SIN(RADIANS((C584) - INDEX('Dataset_Wisata'!$C$12:$C$622, MATCH('Dashboard'!$C$9, 'Dataset_Wisata'!$A$12:$A$622, 0)))/2)^2 + COS(RADIANS(INDEX('Dataset_Wisata'!$C$12:$C$622, MATCH('Dashboard'!$C$9, 'Dataset_Wisata'!$A$12:$A$622, 0)))) * COS(RADIANS(C584)) * SIN(RADIANS((D584) - INDEX('Dataset_Wisata'!$D$12:$D$622, MATCH('Dashboard'!$C$9, 'Dataset_Wisata'!$A$12:$A$622, 0)))/2)^2)) * 1.3</f>
        <v/>
      </c>
      <c r="J584" s="21">
        <f>ROUND(I584 * IF('Dashboard'!$C$6&lt;=1, 2250, IF('Dashboard'!$C$6&lt;=4, 5150, 6000)), 0)</f>
        <v/>
      </c>
      <c r="K584" s="30" t="n">
        <v>0.9744283047002794</v>
      </c>
      <c r="L584" s="30" t="n">
        <v>0.02447712712252609</v>
      </c>
      <c r="M584" s="30" t="n">
        <v>0.001094568177194568</v>
      </c>
      <c r="N584" s="31">
        <f>ABS(E584-$F$6)</f>
        <v/>
      </c>
      <c r="O584" s="31">
        <f>ABS(E584-$F$7)</f>
        <v/>
      </c>
      <c r="P584" s="31">
        <f>ABS(E584-$F$8)</f>
        <v/>
      </c>
      <c r="Q584" s="14">
        <f>IF(K584&gt;=MAX(L584,M584), "Hemat", IF(L584&gt;=M584, "Balanced", "Premium"))</f>
        <v/>
      </c>
      <c r="R584" s="30" t="n">
        <v>0.9744283195785179</v>
      </c>
      <c r="S584" s="30" t="n">
        <v>0.02447711252884811</v>
      </c>
      <c r="T584" s="30" t="n">
        <v>0.001094567892634054</v>
      </c>
      <c r="U584" s="31">
        <f>ABS(E584-$G$6)</f>
        <v/>
      </c>
      <c r="V584" s="31">
        <f>ABS(E584-$G$7)</f>
        <v/>
      </c>
      <c r="W584" s="31">
        <f>ABS(E584-$G$8)</f>
        <v/>
      </c>
      <c r="X584" s="14">
        <f>IF(R584&gt;=MAX(S584,T584), "Hemat", IF(S584&gt;=T584, "Balanced", "Premium"))</f>
        <v/>
      </c>
    </row>
    <row r="585">
      <c r="A585" s="14" t="n">
        <v>591</v>
      </c>
      <c r="B585" s="7" t="inlineStr">
        <is>
          <t>TAMAN KALI LESTI PONCOKUSUMO</t>
        </is>
      </c>
      <c r="C585" s="26" t="n">
        <v>-8.0573297</v>
      </c>
      <c r="D585" s="26" t="n">
        <v>112.8102564</v>
      </c>
      <c r="E585" s="21" t="n">
        <v>5000</v>
      </c>
      <c r="F585" s="27" t="n">
        <v>4.6</v>
      </c>
      <c r="G585" s="28" t="n">
        <v>106</v>
      </c>
      <c r="H585" s="14" t="inlineStr">
        <is>
          <t>TAMAN KALI LESTI PONCOKUSUMO</t>
        </is>
      </c>
      <c r="I585" s="29">
        <f>6371 * 2 * ASIN(SQRT(SIN(RADIANS((C585) - INDEX('Dataset_Wisata'!$C$12:$C$622, MATCH('Dashboard'!$C$9, 'Dataset_Wisata'!$A$12:$A$622, 0)))/2)^2 + COS(RADIANS(INDEX('Dataset_Wisata'!$C$12:$C$622, MATCH('Dashboard'!$C$9, 'Dataset_Wisata'!$A$12:$A$622, 0)))) * COS(RADIANS(C585)) * SIN(RADIANS((D585) - INDEX('Dataset_Wisata'!$D$12:$D$622, MATCH('Dashboard'!$C$9, 'Dataset_Wisata'!$A$12:$A$622, 0)))/2)^2)) * 1.3</f>
        <v/>
      </c>
      <c r="J585" s="21">
        <f>ROUND(I585 * IF('Dashboard'!$C$6&lt;=1, 2250, IF('Dashboard'!$C$6&lt;=4, 5150, 6000)), 0)</f>
        <v/>
      </c>
      <c r="K585" s="30" t="n">
        <v>0.9895566543895754</v>
      </c>
      <c r="L585" s="30" t="n">
        <v>0.009798611400025654</v>
      </c>
      <c r="M585" s="30" t="n">
        <v>0.0006447342103988783</v>
      </c>
      <c r="N585" s="31">
        <f>ABS(E585-$F$6)</f>
        <v/>
      </c>
      <c r="O585" s="31">
        <f>ABS(E585-$F$7)</f>
        <v/>
      </c>
      <c r="P585" s="31">
        <f>ABS(E585-$F$8)</f>
        <v/>
      </c>
      <c r="Q585" s="14">
        <f>IF(K585&gt;=MAX(L585,M585), "Hemat", IF(L585&gt;=M585, "Balanced", "Premium"))</f>
        <v/>
      </c>
      <c r="R585" s="30" t="n">
        <v>0.9895566542341836</v>
      </c>
      <c r="S585" s="30" t="n">
        <v>0.00979861139170024</v>
      </c>
      <c r="T585" s="30" t="n">
        <v>0.00064473437411607</v>
      </c>
      <c r="U585" s="31">
        <f>ABS(E585-$G$6)</f>
        <v/>
      </c>
      <c r="V585" s="31">
        <f>ABS(E585-$G$7)</f>
        <v/>
      </c>
      <c r="W585" s="31">
        <f>ABS(E585-$G$8)</f>
        <v/>
      </c>
      <c r="X585" s="14">
        <f>IF(R585&gt;=MAX(S585,T585), "Hemat", IF(S585&gt;=T585, "Balanced", "Premium"))</f>
        <v/>
      </c>
    </row>
    <row r="586">
      <c r="A586" s="14" t="n">
        <v>592</v>
      </c>
      <c r="B586" s="7" t="inlineStr">
        <is>
          <t>Air Terjun Coban Pelangi, Malang</t>
        </is>
      </c>
      <c r="C586" s="26" t="n">
        <v>-8.011407999999999</v>
      </c>
      <c r="D586" s="26" t="n">
        <v>112.8603973</v>
      </c>
      <c r="E586" s="21" t="n">
        <v>10000</v>
      </c>
      <c r="F586" s="27" t="n">
        <v>4.6</v>
      </c>
      <c r="G586" s="28" t="n">
        <v>1838</v>
      </c>
      <c r="H586" s="14" t="inlineStr">
        <is>
          <t>Wisata Umum</t>
        </is>
      </c>
      <c r="I586" s="29">
        <f>6371 * 2 * ASIN(SQRT(SIN(RADIANS((C586) - INDEX('Dataset_Wisata'!$C$12:$C$622, MATCH('Dashboard'!$C$9, 'Dataset_Wisata'!$A$12:$A$622, 0)))/2)^2 + COS(RADIANS(INDEX('Dataset_Wisata'!$C$12:$C$622, MATCH('Dashboard'!$C$9, 'Dataset_Wisata'!$A$12:$A$622, 0)))) * COS(RADIANS(C586)) * SIN(RADIANS((D586) - INDEX('Dataset_Wisata'!$D$12:$D$622, MATCH('Dashboard'!$C$9, 'Dataset_Wisata'!$A$12:$A$622, 0)))/2)^2)) * 1.3</f>
        <v/>
      </c>
      <c r="J586" s="21">
        <f>ROUND(I586 * IF('Dashboard'!$C$6&lt;=1, 2250, IF('Dashboard'!$C$6&lt;=4, 5150, 6000)), 0)</f>
        <v/>
      </c>
      <c r="K586" s="30" t="n">
        <v>0.9998126508185596</v>
      </c>
      <c r="L586" s="30" t="n">
        <v>0.0001775718391516968</v>
      </c>
      <c r="M586" s="30" t="n">
        <v>9.7773422886897e-06</v>
      </c>
      <c r="N586" s="31">
        <f>ABS(E586-$F$6)</f>
        <v/>
      </c>
      <c r="O586" s="31">
        <f>ABS(E586-$F$7)</f>
        <v/>
      </c>
      <c r="P586" s="31">
        <f>ABS(E586-$F$8)</f>
        <v/>
      </c>
      <c r="Q586" s="14">
        <f>IF(K586&gt;=MAX(L586,M586), "Hemat", IF(L586&gt;=M586, "Balanced", "Premium"))</f>
        <v/>
      </c>
      <c r="R586" s="30" t="n">
        <v>0.9998126513362043</v>
      </c>
      <c r="S586" s="30" t="n">
        <v>0.0001775713458315561</v>
      </c>
      <c r="T586" s="30" t="n">
        <v>9.777317964159987e-06</v>
      </c>
      <c r="U586" s="31">
        <f>ABS(E586-$G$6)</f>
        <v/>
      </c>
      <c r="V586" s="31">
        <f>ABS(E586-$G$7)</f>
        <v/>
      </c>
      <c r="W586" s="31">
        <f>ABS(E586-$G$8)</f>
        <v/>
      </c>
      <c r="X586" s="14">
        <f>IF(R586&gt;=MAX(S586,T586), "Hemat", IF(S586&gt;=T586, "Balanced", "Premium"))</f>
        <v/>
      </c>
    </row>
    <row r="587">
      <c r="A587" s="14" t="n">
        <v>593</v>
      </c>
      <c r="B587" s="7" t="inlineStr">
        <is>
          <t>Air Terjun Coban Siuk</t>
        </is>
      </c>
      <c r="C587" s="26" t="n">
        <v>-7.9570911</v>
      </c>
      <c r="D587" s="26" t="n">
        <v>112.82087</v>
      </c>
      <c r="E587" s="21" t="n">
        <v>5000</v>
      </c>
      <c r="F587" s="27" t="n">
        <v>4.5</v>
      </c>
      <c r="G587" s="28" t="n">
        <v>543</v>
      </c>
      <c r="H587" s="14" t="inlineStr">
        <is>
          <t>Wisata Umum</t>
        </is>
      </c>
      <c r="I587" s="29">
        <f>6371 * 2 * ASIN(SQRT(SIN(RADIANS((C587) - INDEX('Dataset_Wisata'!$C$12:$C$622, MATCH('Dashboard'!$C$9, 'Dataset_Wisata'!$A$12:$A$622, 0)))/2)^2 + COS(RADIANS(INDEX('Dataset_Wisata'!$C$12:$C$622, MATCH('Dashboard'!$C$9, 'Dataset_Wisata'!$A$12:$A$622, 0)))) * COS(RADIANS(C587)) * SIN(RADIANS((D587) - INDEX('Dataset_Wisata'!$D$12:$D$622, MATCH('Dashboard'!$C$9, 'Dataset_Wisata'!$A$12:$A$622, 0)))/2)^2)) * 1.3</f>
        <v/>
      </c>
      <c r="J587" s="21">
        <f>ROUND(I587 * IF('Dashboard'!$C$6&lt;=1, 2250, IF('Dashboard'!$C$6&lt;=4, 5150, 6000)), 0)</f>
        <v/>
      </c>
      <c r="K587" s="30" t="n">
        <v>0.9895566543895754</v>
      </c>
      <c r="L587" s="30" t="n">
        <v>0.009798611400025654</v>
      </c>
      <c r="M587" s="30" t="n">
        <v>0.0006447342103988783</v>
      </c>
      <c r="N587" s="31">
        <f>ABS(E587-$F$6)</f>
        <v/>
      </c>
      <c r="O587" s="31">
        <f>ABS(E587-$F$7)</f>
        <v/>
      </c>
      <c r="P587" s="31">
        <f>ABS(E587-$F$8)</f>
        <v/>
      </c>
      <c r="Q587" s="14">
        <f>IF(K587&gt;=MAX(L587,M587), "Hemat", IF(L587&gt;=M587, "Balanced", "Premium"))</f>
        <v/>
      </c>
      <c r="R587" s="30" t="n">
        <v>0.9895566542341836</v>
      </c>
      <c r="S587" s="30" t="n">
        <v>0.00979861139170024</v>
      </c>
      <c r="T587" s="30" t="n">
        <v>0.00064473437411607</v>
      </c>
      <c r="U587" s="31">
        <f>ABS(E587-$G$6)</f>
        <v/>
      </c>
      <c r="V587" s="31">
        <f>ABS(E587-$G$7)</f>
        <v/>
      </c>
      <c r="W587" s="31">
        <f>ABS(E587-$G$8)</f>
        <v/>
      </c>
      <c r="X587" s="14">
        <f>IF(R587&gt;=MAX(S587,T587), "Hemat", IF(S587&gt;=T587, "Balanced", "Premium"))</f>
        <v/>
      </c>
    </row>
    <row r="588">
      <c r="A588" s="14" t="n">
        <v>594</v>
      </c>
      <c r="B588" s="7" t="inlineStr">
        <is>
          <t>Coban Tarzan ꦕꦺꦴꦧꦤ꧀ꦠꦂꦱꦤ꧀ or Coban Toris</t>
        </is>
      </c>
      <c r="C588" s="26" t="n">
        <v>-7.9741625</v>
      </c>
      <c r="D588" s="26" t="n">
        <v>112.8041719</v>
      </c>
      <c r="E588" s="21" t="n">
        <v>10000</v>
      </c>
      <c r="F588" s="27" t="n">
        <v>4.4</v>
      </c>
      <c r="G588" s="28" t="n">
        <v>113</v>
      </c>
      <c r="H588" s="14" t="inlineStr">
        <is>
          <t>Wisata Umum</t>
        </is>
      </c>
      <c r="I588" s="29">
        <f>6371 * 2 * ASIN(SQRT(SIN(RADIANS((C588) - INDEX('Dataset_Wisata'!$C$12:$C$622, MATCH('Dashboard'!$C$9, 'Dataset_Wisata'!$A$12:$A$622, 0)))/2)^2 + COS(RADIANS(INDEX('Dataset_Wisata'!$C$12:$C$622, MATCH('Dashboard'!$C$9, 'Dataset_Wisata'!$A$12:$A$622, 0)))) * COS(RADIANS(C588)) * SIN(RADIANS((D588) - INDEX('Dataset_Wisata'!$D$12:$D$622, MATCH('Dashboard'!$C$9, 'Dataset_Wisata'!$A$12:$A$622, 0)))/2)^2)) * 1.3</f>
        <v/>
      </c>
      <c r="J588" s="21">
        <f>ROUND(I588 * IF('Dashboard'!$C$6&lt;=1, 2250, IF('Dashboard'!$C$6&lt;=4, 5150, 6000)), 0)</f>
        <v/>
      </c>
      <c r="K588" s="30" t="n">
        <v>0.9998126508185596</v>
      </c>
      <c r="L588" s="30" t="n">
        <v>0.0001775718391516968</v>
      </c>
      <c r="M588" s="30" t="n">
        <v>9.7773422886897e-06</v>
      </c>
      <c r="N588" s="31">
        <f>ABS(E588-$F$6)</f>
        <v/>
      </c>
      <c r="O588" s="31">
        <f>ABS(E588-$F$7)</f>
        <v/>
      </c>
      <c r="P588" s="31">
        <f>ABS(E588-$F$8)</f>
        <v/>
      </c>
      <c r="Q588" s="14">
        <f>IF(K588&gt;=MAX(L588,M588), "Hemat", IF(L588&gt;=M588, "Balanced", "Premium"))</f>
        <v/>
      </c>
      <c r="R588" s="30" t="n">
        <v>0.9998126513362043</v>
      </c>
      <c r="S588" s="30" t="n">
        <v>0.0001775713458315561</v>
      </c>
      <c r="T588" s="30" t="n">
        <v>9.777317964159987e-06</v>
      </c>
      <c r="U588" s="31">
        <f>ABS(E588-$G$6)</f>
        <v/>
      </c>
      <c r="V588" s="31">
        <f>ABS(E588-$G$7)</f>
        <v/>
      </c>
      <c r="W588" s="31">
        <f>ABS(E588-$G$8)</f>
        <v/>
      </c>
      <c r="X588" s="14">
        <f>IF(R588&gt;=MAX(S588,T588), "Hemat", IF(S588&gt;=T588, "Balanced", "Premium"))</f>
        <v/>
      </c>
    </row>
    <row r="589">
      <c r="A589" s="14" t="n">
        <v>595</v>
      </c>
      <c r="B589" s="7" t="inlineStr">
        <is>
          <t>Coban Jahe 3 ꦕꦺꦴꦧꦤ꧀ꦗꦲꦺ꧇꧓꧇ or Coban Toris</t>
        </is>
      </c>
      <c r="C589" s="26" t="n">
        <v>-7.9737801</v>
      </c>
      <c r="D589" s="26" t="n">
        <v>112.8030604</v>
      </c>
      <c r="E589" s="21" t="n">
        <v>10000</v>
      </c>
      <c r="F589" s="27" t="n">
        <v>4.4</v>
      </c>
      <c r="G589" s="28" t="n">
        <v>131</v>
      </c>
      <c r="H589" s="14" t="inlineStr">
        <is>
          <t>Wisata Umum</t>
        </is>
      </c>
      <c r="I589" s="29">
        <f>6371 * 2 * ASIN(SQRT(SIN(RADIANS((C589) - INDEX('Dataset_Wisata'!$C$12:$C$622, MATCH('Dashboard'!$C$9, 'Dataset_Wisata'!$A$12:$A$622, 0)))/2)^2 + COS(RADIANS(INDEX('Dataset_Wisata'!$C$12:$C$622, MATCH('Dashboard'!$C$9, 'Dataset_Wisata'!$A$12:$A$622, 0)))) * COS(RADIANS(C589)) * SIN(RADIANS((D589) - INDEX('Dataset_Wisata'!$D$12:$D$622, MATCH('Dashboard'!$C$9, 'Dataset_Wisata'!$A$12:$A$622, 0)))/2)^2)) * 1.3</f>
        <v/>
      </c>
      <c r="J589" s="21">
        <f>ROUND(I589 * IF('Dashboard'!$C$6&lt;=1, 2250, IF('Dashboard'!$C$6&lt;=4, 5150, 6000)), 0)</f>
        <v/>
      </c>
      <c r="K589" s="30" t="n">
        <v>0.9998126508185596</v>
      </c>
      <c r="L589" s="30" t="n">
        <v>0.0001775718391516968</v>
      </c>
      <c r="M589" s="30" t="n">
        <v>9.7773422886897e-06</v>
      </c>
      <c r="N589" s="31">
        <f>ABS(E589-$F$6)</f>
        <v/>
      </c>
      <c r="O589" s="31">
        <f>ABS(E589-$F$7)</f>
        <v/>
      </c>
      <c r="P589" s="31">
        <f>ABS(E589-$F$8)</f>
        <v/>
      </c>
      <c r="Q589" s="14">
        <f>IF(K589&gt;=MAX(L589,M589), "Hemat", IF(L589&gt;=M589, "Balanced", "Premium"))</f>
        <v/>
      </c>
      <c r="R589" s="30" t="n">
        <v>0.9998126513362043</v>
      </c>
      <c r="S589" s="30" t="n">
        <v>0.0001775713458315561</v>
      </c>
      <c r="T589" s="30" t="n">
        <v>9.777317964159987e-06</v>
      </c>
      <c r="U589" s="31">
        <f>ABS(E589-$G$6)</f>
        <v/>
      </c>
      <c r="V589" s="31">
        <f>ABS(E589-$G$7)</f>
        <v/>
      </c>
      <c r="W589" s="31">
        <f>ABS(E589-$G$8)</f>
        <v/>
      </c>
      <c r="X589" s="14">
        <f>IF(R589&gt;=MAX(S589,T589), "Hemat", IF(S589&gt;=T589, "Balanced", "Premium"))</f>
        <v/>
      </c>
    </row>
    <row r="590">
      <c r="A590" s="14" t="n">
        <v>596</v>
      </c>
      <c r="B590" s="7" t="inlineStr">
        <is>
          <t>BROMO_COBAN JIDOR (Via Dsn Benjor)</t>
        </is>
      </c>
      <c r="C590" s="26" t="n">
        <v>-8.001906200000001</v>
      </c>
      <c r="D590" s="26" t="n">
        <v>112.8088946</v>
      </c>
      <c r="E590" s="21" t="n">
        <v>5000</v>
      </c>
      <c r="F590" s="27" t="n">
        <v>4.8</v>
      </c>
      <c r="G590" s="28" t="n">
        <v>36</v>
      </c>
      <c r="H590" s="14" t="inlineStr">
        <is>
          <t>Tujuan Wisata · XRW5+WJ5</t>
        </is>
      </c>
      <c r="I590" s="29">
        <f>6371 * 2 * ASIN(SQRT(SIN(RADIANS((C590) - INDEX('Dataset_Wisata'!$C$12:$C$622, MATCH('Dashboard'!$C$9, 'Dataset_Wisata'!$A$12:$A$622, 0)))/2)^2 + COS(RADIANS(INDEX('Dataset_Wisata'!$C$12:$C$622, MATCH('Dashboard'!$C$9, 'Dataset_Wisata'!$A$12:$A$622, 0)))) * COS(RADIANS(C590)) * SIN(RADIANS((D590) - INDEX('Dataset_Wisata'!$D$12:$D$622, MATCH('Dashboard'!$C$9, 'Dataset_Wisata'!$A$12:$A$622, 0)))/2)^2)) * 1.3</f>
        <v/>
      </c>
      <c r="J590" s="21">
        <f>ROUND(I590 * IF('Dashboard'!$C$6&lt;=1, 2250, IF('Dashboard'!$C$6&lt;=4, 5150, 6000)), 0)</f>
        <v/>
      </c>
      <c r="K590" s="30" t="n">
        <v>0.9895566543895754</v>
      </c>
      <c r="L590" s="30" t="n">
        <v>0.009798611400025654</v>
      </c>
      <c r="M590" s="30" t="n">
        <v>0.0006447342103988783</v>
      </c>
      <c r="N590" s="31">
        <f>ABS(E590-$F$6)</f>
        <v/>
      </c>
      <c r="O590" s="31">
        <f>ABS(E590-$F$7)</f>
        <v/>
      </c>
      <c r="P590" s="31">
        <f>ABS(E590-$F$8)</f>
        <v/>
      </c>
      <c r="Q590" s="14">
        <f>IF(K590&gt;=MAX(L590,M590), "Hemat", IF(L590&gt;=M590, "Balanced", "Premium"))</f>
        <v/>
      </c>
      <c r="R590" s="30" t="n">
        <v>0.9895566542341836</v>
      </c>
      <c r="S590" s="30" t="n">
        <v>0.00979861139170024</v>
      </c>
      <c r="T590" s="30" t="n">
        <v>0.00064473437411607</v>
      </c>
      <c r="U590" s="31">
        <f>ABS(E590-$G$6)</f>
        <v/>
      </c>
      <c r="V590" s="31">
        <f>ABS(E590-$G$7)</f>
        <v/>
      </c>
      <c r="W590" s="31">
        <f>ABS(E590-$G$8)</f>
        <v/>
      </c>
      <c r="X590" s="14">
        <f>IF(R590&gt;=MAX(S590,T590), "Hemat", IF(S590&gt;=T590, "Balanced", "Premium"))</f>
        <v/>
      </c>
    </row>
    <row r="591">
      <c r="A591" s="14" t="n">
        <v>597</v>
      </c>
      <c r="B591" s="7" t="inlineStr">
        <is>
          <t>Air Terjun Cinde</t>
        </is>
      </c>
      <c r="C591" s="26" t="n">
        <v>-7.9906809</v>
      </c>
      <c r="D591" s="26" t="n">
        <v>112.8402434</v>
      </c>
      <c r="E591" s="21" t="n">
        <v>10000</v>
      </c>
      <c r="F591" s="27" t="n">
        <v>4.3</v>
      </c>
      <c r="G591" s="28" t="n">
        <v>140</v>
      </c>
      <c r="H591" s="14" t="inlineStr">
        <is>
          <t>Wisata Umum</t>
        </is>
      </c>
      <c r="I591" s="29">
        <f>6371 * 2 * ASIN(SQRT(SIN(RADIANS((C591) - INDEX('Dataset_Wisata'!$C$12:$C$622, MATCH('Dashboard'!$C$9, 'Dataset_Wisata'!$A$12:$A$622, 0)))/2)^2 + COS(RADIANS(INDEX('Dataset_Wisata'!$C$12:$C$622, MATCH('Dashboard'!$C$9, 'Dataset_Wisata'!$A$12:$A$622, 0)))) * COS(RADIANS(C591)) * SIN(RADIANS((D591) - INDEX('Dataset_Wisata'!$D$12:$D$622, MATCH('Dashboard'!$C$9, 'Dataset_Wisata'!$A$12:$A$622, 0)))/2)^2)) * 1.3</f>
        <v/>
      </c>
      <c r="J591" s="21">
        <f>ROUND(I591 * IF('Dashboard'!$C$6&lt;=1, 2250, IF('Dashboard'!$C$6&lt;=4, 5150, 6000)), 0)</f>
        <v/>
      </c>
      <c r="K591" s="30" t="n">
        <v>0.9998126508185596</v>
      </c>
      <c r="L591" s="30" t="n">
        <v>0.0001775718391516968</v>
      </c>
      <c r="M591" s="30" t="n">
        <v>9.7773422886897e-06</v>
      </c>
      <c r="N591" s="31">
        <f>ABS(E591-$F$6)</f>
        <v/>
      </c>
      <c r="O591" s="31">
        <f>ABS(E591-$F$7)</f>
        <v/>
      </c>
      <c r="P591" s="31">
        <f>ABS(E591-$F$8)</f>
        <v/>
      </c>
      <c r="Q591" s="14">
        <f>IF(K591&gt;=MAX(L591,M591), "Hemat", IF(L591&gt;=M591, "Balanced", "Premium"))</f>
        <v/>
      </c>
      <c r="R591" s="30" t="n">
        <v>0.9998126513362043</v>
      </c>
      <c r="S591" s="30" t="n">
        <v>0.0001775713458315561</v>
      </c>
      <c r="T591" s="30" t="n">
        <v>9.777317964159987e-06</v>
      </c>
      <c r="U591" s="31">
        <f>ABS(E591-$G$6)</f>
        <v/>
      </c>
      <c r="V591" s="31">
        <f>ABS(E591-$G$7)</f>
        <v/>
      </c>
      <c r="W591" s="31">
        <f>ABS(E591-$G$8)</f>
        <v/>
      </c>
      <c r="X591" s="14">
        <f>IF(R591&gt;=MAX(S591,T591), "Hemat", IF(S591&gt;=T591, "Balanced", "Premium"))</f>
        <v/>
      </c>
    </row>
    <row r="592">
      <c r="A592" s="14" t="n">
        <v>598</v>
      </c>
      <c r="B592" s="7" t="inlineStr">
        <is>
          <t>Benjor Pine Camping Ground</t>
        </is>
      </c>
      <c r="C592" s="26" t="n">
        <v>-7.9914477</v>
      </c>
      <c r="D592" s="26" t="n">
        <v>112.8310724</v>
      </c>
      <c r="E592" s="21" t="n">
        <v>10000</v>
      </c>
      <c r="F592" s="27" t="n">
        <v>4.6</v>
      </c>
      <c r="G592" s="28" t="n">
        <v>291</v>
      </c>
      <c r="H592" s="14" t="inlineStr">
        <is>
          <t>Tujuan Wisata · 2R5J+CCG</t>
        </is>
      </c>
      <c r="I592" s="29">
        <f>6371 * 2 * ASIN(SQRT(SIN(RADIANS((C592) - INDEX('Dataset_Wisata'!$C$12:$C$622, MATCH('Dashboard'!$C$9, 'Dataset_Wisata'!$A$12:$A$622, 0)))/2)^2 + COS(RADIANS(INDEX('Dataset_Wisata'!$C$12:$C$622, MATCH('Dashboard'!$C$9, 'Dataset_Wisata'!$A$12:$A$622, 0)))) * COS(RADIANS(C592)) * SIN(RADIANS((D592) - INDEX('Dataset_Wisata'!$D$12:$D$622, MATCH('Dashboard'!$C$9, 'Dataset_Wisata'!$A$12:$A$622, 0)))/2)^2)) * 1.3</f>
        <v/>
      </c>
      <c r="J592" s="21">
        <f>ROUND(I592 * IF('Dashboard'!$C$6&lt;=1, 2250, IF('Dashboard'!$C$6&lt;=4, 5150, 6000)), 0)</f>
        <v/>
      </c>
      <c r="K592" s="30" t="n">
        <v>0.9998126508185596</v>
      </c>
      <c r="L592" s="30" t="n">
        <v>0.0001775718391516968</v>
      </c>
      <c r="M592" s="30" t="n">
        <v>9.7773422886897e-06</v>
      </c>
      <c r="N592" s="31">
        <f>ABS(E592-$F$6)</f>
        <v/>
      </c>
      <c r="O592" s="31">
        <f>ABS(E592-$F$7)</f>
        <v/>
      </c>
      <c r="P592" s="31">
        <f>ABS(E592-$F$8)</f>
        <v/>
      </c>
      <c r="Q592" s="14">
        <f>IF(K592&gt;=MAX(L592,M592), "Hemat", IF(L592&gt;=M592, "Balanced", "Premium"))</f>
        <v/>
      </c>
      <c r="R592" s="30" t="n">
        <v>0.9998126513362043</v>
      </c>
      <c r="S592" s="30" t="n">
        <v>0.0001775713458315561</v>
      </c>
      <c r="T592" s="30" t="n">
        <v>9.777317964159987e-06</v>
      </c>
      <c r="U592" s="31">
        <f>ABS(E592-$G$6)</f>
        <v/>
      </c>
      <c r="V592" s="31">
        <f>ABS(E592-$G$7)</f>
        <v/>
      </c>
      <c r="W592" s="31">
        <f>ABS(E592-$G$8)</f>
        <v/>
      </c>
      <c r="X592" s="14">
        <f>IF(R592&gt;=MAX(S592,T592), "Hemat", IF(S592&gt;=T592, "Balanced", "Premium"))</f>
        <v/>
      </c>
    </row>
    <row r="593">
      <c r="A593" s="14" t="n">
        <v>599</v>
      </c>
      <c r="B593" s="7" t="inlineStr">
        <is>
          <t>Pantai Bolu Bolu</t>
        </is>
      </c>
      <c r="C593" s="26" t="n">
        <v>-8.386550099999999</v>
      </c>
      <c r="D593" s="26" t="n">
        <v>112.8153517</v>
      </c>
      <c r="E593" s="21" t="n">
        <v>5000</v>
      </c>
      <c r="F593" s="27" t="n">
        <v>4.5</v>
      </c>
      <c r="G593" s="28" t="n">
        <v>296</v>
      </c>
      <c r="H593" s="14" t="inlineStr">
        <is>
          <t>Pantai Bolu Bolu</t>
        </is>
      </c>
      <c r="I593" s="29">
        <f>6371 * 2 * ASIN(SQRT(SIN(RADIANS((C593) - INDEX('Dataset_Wisata'!$C$12:$C$622, MATCH('Dashboard'!$C$9, 'Dataset_Wisata'!$A$12:$A$622, 0)))/2)^2 + COS(RADIANS(INDEX('Dataset_Wisata'!$C$12:$C$622, MATCH('Dashboard'!$C$9, 'Dataset_Wisata'!$A$12:$A$622, 0)))) * COS(RADIANS(C593)) * SIN(RADIANS((D593) - INDEX('Dataset_Wisata'!$D$12:$D$622, MATCH('Dashboard'!$C$9, 'Dataset_Wisata'!$A$12:$A$622, 0)))/2)^2)) * 1.3</f>
        <v/>
      </c>
      <c r="J593" s="21">
        <f>ROUND(I593 * IF('Dashboard'!$C$6&lt;=1, 2250, IF('Dashboard'!$C$6&lt;=4, 5150, 6000)), 0)</f>
        <v/>
      </c>
      <c r="K593" s="30" t="n">
        <v>0.9895566543895754</v>
      </c>
      <c r="L593" s="30" t="n">
        <v>0.009798611400025654</v>
      </c>
      <c r="M593" s="30" t="n">
        <v>0.0006447342103988783</v>
      </c>
      <c r="N593" s="31">
        <f>ABS(E593-$F$6)</f>
        <v/>
      </c>
      <c r="O593" s="31">
        <f>ABS(E593-$F$7)</f>
        <v/>
      </c>
      <c r="P593" s="31">
        <f>ABS(E593-$F$8)</f>
        <v/>
      </c>
      <c r="Q593" s="14">
        <f>IF(K593&gt;=MAX(L593,M593), "Hemat", IF(L593&gt;=M593, "Balanced", "Premium"))</f>
        <v/>
      </c>
      <c r="R593" s="30" t="n">
        <v>0.9895566542341836</v>
      </c>
      <c r="S593" s="30" t="n">
        <v>0.00979861139170024</v>
      </c>
      <c r="T593" s="30" t="n">
        <v>0.00064473437411607</v>
      </c>
      <c r="U593" s="31">
        <f>ABS(E593-$G$6)</f>
        <v/>
      </c>
      <c r="V593" s="31">
        <f>ABS(E593-$G$7)</f>
        <v/>
      </c>
      <c r="W593" s="31">
        <f>ABS(E593-$G$8)</f>
        <v/>
      </c>
      <c r="X593" s="14">
        <f>IF(R593&gt;=MAX(S593,T593), "Hemat", IF(S593&gt;=T593, "Balanced", "Premium"))</f>
        <v/>
      </c>
    </row>
    <row r="594">
      <c r="A594" s="14" t="n">
        <v>600</v>
      </c>
      <c r="B594" s="7" t="inlineStr">
        <is>
          <t>Coban Srengenge</t>
        </is>
      </c>
      <c r="C594" s="26" t="n">
        <v>-8.2507363</v>
      </c>
      <c r="D594" s="26" t="n">
        <v>112.8840752</v>
      </c>
      <c r="E594" s="21" t="n">
        <v>2500</v>
      </c>
      <c r="F594" s="27" t="n">
        <v>4.6</v>
      </c>
      <c r="G594" s="28" t="n">
        <v>339</v>
      </c>
      <c r="H594" s="14" t="inlineStr">
        <is>
          <t>Wisata Umum</t>
        </is>
      </c>
      <c r="I594" s="29">
        <f>6371 * 2 * ASIN(SQRT(SIN(RADIANS((C594) - INDEX('Dataset_Wisata'!$C$12:$C$622, MATCH('Dashboard'!$C$9, 'Dataset_Wisata'!$A$12:$A$622, 0)))/2)^2 + COS(RADIANS(INDEX('Dataset_Wisata'!$C$12:$C$622, MATCH('Dashboard'!$C$9, 'Dataset_Wisata'!$A$12:$A$622, 0)))) * COS(RADIANS(C594)) * SIN(RADIANS((D594) - INDEX('Dataset_Wisata'!$D$12:$D$622, MATCH('Dashboard'!$C$9, 'Dataset_Wisata'!$A$12:$A$622, 0)))/2)^2)) * 1.3</f>
        <v/>
      </c>
      <c r="J594" s="21">
        <f>ROUND(I594 * IF('Dashboard'!$C$6&lt;=1, 2250, IF('Dashboard'!$C$6&lt;=4, 5150, 6000)), 0)</f>
        <v/>
      </c>
      <c r="K594" s="30" t="n">
        <v>0.9773743746276544</v>
      </c>
      <c r="L594" s="30" t="n">
        <v>0.021120202795981</v>
      </c>
      <c r="M594" s="30" t="n">
        <v>0.001505422576364575</v>
      </c>
      <c r="N594" s="31">
        <f>ABS(E594-$F$6)</f>
        <v/>
      </c>
      <c r="O594" s="31">
        <f>ABS(E594-$F$7)</f>
        <v/>
      </c>
      <c r="P594" s="31">
        <f>ABS(E594-$F$8)</f>
        <v/>
      </c>
      <c r="Q594" s="14">
        <f>IF(K594&gt;=MAX(L594,M594), "Hemat", IF(L594&gt;=M594, "Balanced", "Premium"))</f>
        <v/>
      </c>
      <c r="R594" s="30" t="n">
        <v>0.9773743762623121</v>
      </c>
      <c r="S594" s="30" t="n">
        <v>0.02112020093297466</v>
      </c>
      <c r="T594" s="30" t="n">
        <v>0.001505422804713285</v>
      </c>
      <c r="U594" s="31">
        <f>ABS(E594-$G$6)</f>
        <v/>
      </c>
      <c r="V594" s="31">
        <f>ABS(E594-$G$7)</f>
        <v/>
      </c>
      <c r="W594" s="31">
        <f>ABS(E594-$G$8)</f>
        <v/>
      </c>
      <c r="X594" s="14">
        <f>IF(R594&gt;=MAX(S594,T594), "Hemat", IF(S594&gt;=T594, "Balanced", "Premium"))</f>
        <v/>
      </c>
    </row>
    <row r="595">
      <c r="A595" s="14" t="n">
        <v>601</v>
      </c>
      <c r="B595" s="7" t="inlineStr">
        <is>
          <t>Coban Sumber Wangi ꦕꦺꦴꦧꦤ꧀ꦱꦸꦩ꧀ꦧꦼꦂꦮꦔꦶ</t>
        </is>
      </c>
      <c r="C595" s="26" t="n">
        <v>-8.237725599999999</v>
      </c>
      <c r="D595" s="26" t="n">
        <v>112.876091</v>
      </c>
      <c r="E595" s="21" t="n">
        <v>10000</v>
      </c>
      <c r="F595" s="27" t="n">
        <v>4.1</v>
      </c>
      <c r="G595" s="28" t="n">
        <v>93</v>
      </c>
      <c r="H595" s="14" t="inlineStr">
        <is>
          <t>Wisata Umum</t>
        </is>
      </c>
      <c r="I595" s="29">
        <f>6371 * 2 * ASIN(SQRT(SIN(RADIANS((C595) - INDEX('Dataset_Wisata'!$C$12:$C$622, MATCH('Dashboard'!$C$9, 'Dataset_Wisata'!$A$12:$A$622, 0)))/2)^2 + COS(RADIANS(INDEX('Dataset_Wisata'!$C$12:$C$622, MATCH('Dashboard'!$C$9, 'Dataset_Wisata'!$A$12:$A$622, 0)))) * COS(RADIANS(C595)) * SIN(RADIANS((D595) - INDEX('Dataset_Wisata'!$D$12:$D$622, MATCH('Dashboard'!$C$9, 'Dataset_Wisata'!$A$12:$A$622, 0)))/2)^2)) * 1.3</f>
        <v/>
      </c>
      <c r="J595" s="21">
        <f>ROUND(I595 * IF('Dashboard'!$C$6&lt;=1, 2250, IF('Dashboard'!$C$6&lt;=4, 5150, 6000)), 0)</f>
        <v/>
      </c>
      <c r="K595" s="30" t="n">
        <v>0.9998126508185596</v>
      </c>
      <c r="L595" s="30" t="n">
        <v>0.0001775718391516968</v>
      </c>
      <c r="M595" s="30" t="n">
        <v>9.7773422886897e-06</v>
      </c>
      <c r="N595" s="31">
        <f>ABS(E595-$F$6)</f>
        <v/>
      </c>
      <c r="O595" s="31">
        <f>ABS(E595-$F$7)</f>
        <v/>
      </c>
      <c r="P595" s="31">
        <f>ABS(E595-$F$8)</f>
        <v/>
      </c>
      <c r="Q595" s="14">
        <f>IF(K595&gt;=MAX(L595,M595), "Hemat", IF(L595&gt;=M595, "Balanced", "Premium"))</f>
        <v/>
      </c>
      <c r="R595" s="30" t="n">
        <v>0.9998126513362043</v>
      </c>
      <c r="S595" s="30" t="n">
        <v>0.0001775713458315561</v>
      </c>
      <c r="T595" s="30" t="n">
        <v>9.777317964159987e-06</v>
      </c>
      <c r="U595" s="31">
        <f>ABS(E595-$G$6)</f>
        <v/>
      </c>
      <c r="V595" s="31">
        <f>ABS(E595-$G$7)</f>
        <v/>
      </c>
      <c r="W595" s="31">
        <f>ABS(E595-$G$8)</f>
        <v/>
      </c>
      <c r="X595" s="14">
        <f>IF(R595&gt;=MAX(S595,T595), "Hemat", IF(S595&gt;=T595, "Balanced", "Premium"))</f>
        <v/>
      </c>
    </row>
    <row r="596">
      <c r="A596" s="14" t="n">
        <v>602</v>
      </c>
      <c r="B596" s="7" t="inlineStr">
        <is>
          <t>Coban Rendeng</t>
        </is>
      </c>
      <c r="C596" s="26" t="n">
        <v>-8.204159300000001</v>
      </c>
      <c r="D596" s="26" t="n">
        <v>112.8639238</v>
      </c>
      <c r="E596" s="21" t="n">
        <v>2500</v>
      </c>
      <c r="F596" s="27" t="n">
        <v>4.6</v>
      </c>
      <c r="G596" s="28" t="n">
        <v>34</v>
      </c>
      <c r="H596" s="14" t="inlineStr">
        <is>
          <t>Wisata Umum</t>
        </is>
      </c>
      <c r="I596" s="29">
        <f>6371 * 2 * ASIN(SQRT(SIN(RADIANS((C596) - INDEX('Dataset_Wisata'!$C$12:$C$622, MATCH('Dashboard'!$C$9, 'Dataset_Wisata'!$A$12:$A$622, 0)))/2)^2 + COS(RADIANS(INDEX('Dataset_Wisata'!$C$12:$C$622, MATCH('Dashboard'!$C$9, 'Dataset_Wisata'!$A$12:$A$622, 0)))) * COS(RADIANS(C596)) * SIN(RADIANS((D596) - INDEX('Dataset_Wisata'!$D$12:$D$622, MATCH('Dashboard'!$C$9, 'Dataset_Wisata'!$A$12:$A$622, 0)))/2)^2)) * 1.3</f>
        <v/>
      </c>
      <c r="J596" s="21">
        <f>ROUND(I596 * IF('Dashboard'!$C$6&lt;=1, 2250, IF('Dashboard'!$C$6&lt;=4, 5150, 6000)), 0)</f>
        <v/>
      </c>
      <c r="K596" s="30" t="n">
        <v>0.9773743746276544</v>
      </c>
      <c r="L596" s="30" t="n">
        <v>0.021120202795981</v>
      </c>
      <c r="M596" s="30" t="n">
        <v>0.001505422576364575</v>
      </c>
      <c r="N596" s="31">
        <f>ABS(E596-$F$6)</f>
        <v/>
      </c>
      <c r="O596" s="31">
        <f>ABS(E596-$F$7)</f>
        <v/>
      </c>
      <c r="P596" s="31">
        <f>ABS(E596-$F$8)</f>
        <v/>
      </c>
      <c r="Q596" s="14">
        <f>IF(K596&gt;=MAX(L596,M596), "Hemat", IF(L596&gt;=M596, "Balanced", "Premium"))</f>
        <v/>
      </c>
      <c r="R596" s="30" t="n">
        <v>0.9773743762623121</v>
      </c>
      <c r="S596" s="30" t="n">
        <v>0.02112020093297466</v>
      </c>
      <c r="T596" s="30" t="n">
        <v>0.001505422804713285</v>
      </c>
      <c r="U596" s="31">
        <f>ABS(E596-$G$6)</f>
        <v/>
      </c>
      <c r="V596" s="31">
        <f>ABS(E596-$G$7)</f>
        <v/>
      </c>
      <c r="W596" s="31">
        <f>ABS(E596-$G$8)</f>
        <v/>
      </c>
      <c r="X596" s="14">
        <f>IF(R596&gt;=MAX(S596,T596), "Hemat", IF(S596&gt;=T596, "Balanced", "Premium"))</f>
        <v/>
      </c>
    </row>
    <row r="597">
      <c r="A597" s="14" t="n">
        <v>603</v>
      </c>
      <c r="B597" s="7" t="inlineStr">
        <is>
          <t>Candi Jawar Purbakala</t>
        </is>
      </c>
      <c r="C597" s="26" t="n">
        <v>-8.148856500000001</v>
      </c>
      <c r="D597" s="26" t="n">
        <v>112.8892693</v>
      </c>
      <c r="E597" s="21" t="n">
        <v>10000</v>
      </c>
      <c r="F597" s="27" t="n">
        <v>4.6</v>
      </c>
      <c r="G597" s="28" t="n">
        <v>238</v>
      </c>
      <c r="H597" s="14" t="inlineStr">
        <is>
          <t>Wisata Umum</t>
        </is>
      </c>
      <c r="I597" s="29">
        <f>6371 * 2 * ASIN(SQRT(SIN(RADIANS((C597) - INDEX('Dataset_Wisata'!$C$12:$C$622, MATCH('Dashboard'!$C$9, 'Dataset_Wisata'!$A$12:$A$622, 0)))/2)^2 + COS(RADIANS(INDEX('Dataset_Wisata'!$C$12:$C$622, MATCH('Dashboard'!$C$9, 'Dataset_Wisata'!$A$12:$A$622, 0)))) * COS(RADIANS(C597)) * SIN(RADIANS((D597) - INDEX('Dataset_Wisata'!$D$12:$D$622, MATCH('Dashboard'!$C$9, 'Dataset_Wisata'!$A$12:$A$622, 0)))/2)^2)) * 1.3</f>
        <v/>
      </c>
      <c r="J597" s="21">
        <f>ROUND(I597 * IF('Dashboard'!$C$6&lt;=1, 2250, IF('Dashboard'!$C$6&lt;=4, 5150, 6000)), 0)</f>
        <v/>
      </c>
      <c r="K597" s="30" t="n">
        <v>0.9998126508185596</v>
      </c>
      <c r="L597" s="30" t="n">
        <v>0.0001775718391516968</v>
      </c>
      <c r="M597" s="30" t="n">
        <v>9.7773422886897e-06</v>
      </c>
      <c r="N597" s="31">
        <f>ABS(E597-$F$6)</f>
        <v/>
      </c>
      <c r="O597" s="31">
        <f>ABS(E597-$F$7)</f>
        <v/>
      </c>
      <c r="P597" s="31">
        <f>ABS(E597-$F$8)</f>
        <v/>
      </c>
      <c r="Q597" s="14">
        <f>IF(K597&gt;=MAX(L597,M597), "Hemat", IF(L597&gt;=M597, "Balanced", "Premium"))</f>
        <v/>
      </c>
      <c r="R597" s="30" t="n">
        <v>0.9998126513362043</v>
      </c>
      <c r="S597" s="30" t="n">
        <v>0.0001775713458315561</v>
      </c>
      <c r="T597" s="30" t="n">
        <v>9.777317964159987e-06</v>
      </c>
      <c r="U597" s="31">
        <f>ABS(E597-$G$6)</f>
        <v/>
      </c>
      <c r="V597" s="31">
        <f>ABS(E597-$G$7)</f>
        <v/>
      </c>
      <c r="W597" s="31">
        <f>ABS(E597-$G$8)</f>
        <v/>
      </c>
      <c r="X597" s="14">
        <f>IF(R597&gt;=MAX(S597,T597), "Hemat", IF(S597&gt;=T597, "Balanced", "Premium"))</f>
        <v/>
      </c>
    </row>
    <row r="598">
      <c r="A598" s="14" t="n">
        <v>604</v>
      </c>
      <c r="B598" s="7" t="inlineStr">
        <is>
          <t>Coban Gintung</t>
        </is>
      </c>
      <c r="C598" s="26" t="n">
        <v>-8.2521556</v>
      </c>
      <c r="D598" s="26" t="n">
        <v>112.9145971</v>
      </c>
      <c r="E598" s="21" t="n">
        <v>5000</v>
      </c>
      <c r="F598" s="27" t="n">
        <v>4.1</v>
      </c>
      <c r="G598" s="28" t="n">
        <v>28</v>
      </c>
      <c r="H598" s="14" t="inlineStr">
        <is>
          <t>Wisata Umum</t>
        </is>
      </c>
      <c r="I598" s="29">
        <f>6371 * 2 * ASIN(SQRT(SIN(RADIANS((C598) - INDEX('Dataset_Wisata'!$C$12:$C$622, MATCH('Dashboard'!$C$9, 'Dataset_Wisata'!$A$12:$A$622, 0)))/2)^2 + COS(RADIANS(INDEX('Dataset_Wisata'!$C$12:$C$622, MATCH('Dashboard'!$C$9, 'Dataset_Wisata'!$A$12:$A$622, 0)))) * COS(RADIANS(C598)) * SIN(RADIANS((D598) - INDEX('Dataset_Wisata'!$D$12:$D$622, MATCH('Dashboard'!$C$9, 'Dataset_Wisata'!$A$12:$A$622, 0)))/2)^2)) * 1.3</f>
        <v/>
      </c>
      <c r="J598" s="21">
        <f>ROUND(I598 * IF('Dashboard'!$C$6&lt;=1, 2250, IF('Dashboard'!$C$6&lt;=4, 5150, 6000)), 0)</f>
        <v/>
      </c>
      <c r="K598" s="30" t="n">
        <v>0.9895566543895754</v>
      </c>
      <c r="L598" s="30" t="n">
        <v>0.009798611400025654</v>
      </c>
      <c r="M598" s="30" t="n">
        <v>0.0006447342103988783</v>
      </c>
      <c r="N598" s="31">
        <f>ABS(E598-$F$6)</f>
        <v/>
      </c>
      <c r="O598" s="31">
        <f>ABS(E598-$F$7)</f>
        <v/>
      </c>
      <c r="P598" s="31">
        <f>ABS(E598-$F$8)</f>
        <v/>
      </c>
      <c r="Q598" s="14">
        <f>IF(K598&gt;=MAX(L598,M598), "Hemat", IF(L598&gt;=M598, "Balanced", "Premium"))</f>
        <v/>
      </c>
      <c r="R598" s="30" t="n">
        <v>0.9895566542341836</v>
      </c>
      <c r="S598" s="30" t="n">
        <v>0.00979861139170024</v>
      </c>
      <c r="T598" s="30" t="n">
        <v>0.00064473437411607</v>
      </c>
      <c r="U598" s="31">
        <f>ABS(E598-$G$6)</f>
        <v/>
      </c>
      <c r="V598" s="31">
        <f>ABS(E598-$G$7)</f>
        <v/>
      </c>
      <c r="W598" s="31">
        <f>ABS(E598-$G$8)</f>
        <v/>
      </c>
      <c r="X598" s="14">
        <f>IF(R598&gt;=MAX(S598,T598), "Hemat", IF(S598&gt;=T598, "Balanced", "Premium"))</f>
        <v/>
      </c>
    </row>
    <row r="599">
      <c r="A599" s="14" t="n">
        <v>605</v>
      </c>
      <c r="B599" s="7" t="inlineStr">
        <is>
          <t>Poncokusumo Rest Area</t>
        </is>
      </c>
      <c r="C599" s="26" t="n">
        <v>-8.015583100000001</v>
      </c>
      <c r="D599" s="26" t="n">
        <v>112.8456084</v>
      </c>
      <c r="E599" s="21" t="n">
        <v>2000</v>
      </c>
      <c r="F599" s="27" t="n">
        <v>4.5</v>
      </c>
      <c r="G599" s="28" t="n">
        <v>855</v>
      </c>
      <c r="H599" s="14" t="inlineStr">
        <is>
          <t>Wisata Umum</t>
        </is>
      </c>
      <c r="I599" s="29">
        <f>6371 * 2 * ASIN(SQRT(SIN(RADIANS((C599) - INDEX('Dataset_Wisata'!$C$12:$C$622, MATCH('Dashboard'!$C$9, 'Dataset_Wisata'!$A$12:$A$622, 0)))/2)^2 + COS(RADIANS(INDEX('Dataset_Wisata'!$C$12:$C$622, MATCH('Dashboard'!$C$9, 'Dataset_Wisata'!$A$12:$A$622, 0)))) * COS(RADIANS(C599)) * SIN(RADIANS((D599) - INDEX('Dataset_Wisata'!$D$12:$D$622, MATCH('Dashboard'!$C$9, 'Dataset_Wisata'!$A$12:$A$622, 0)))/2)^2)) * 1.3</f>
        <v/>
      </c>
      <c r="J599" s="21">
        <f>ROUND(I599 * IF('Dashboard'!$C$6&lt;=1, 2250, IF('Dashboard'!$C$6&lt;=4, 5150, 6000)), 0)</f>
        <v/>
      </c>
      <c r="K599" s="30" t="n">
        <v>0.9745968037531486</v>
      </c>
      <c r="L599" s="30" t="n">
        <v>0.02368856650344644</v>
      </c>
      <c r="M599" s="30" t="n">
        <v>0.001714629743404906</v>
      </c>
      <c r="N599" s="31">
        <f>ABS(E599-$F$6)</f>
        <v/>
      </c>
      <c r="O599" s="31">
        <f>ABS(E599-$F$7)</f>
        <v/>
      </c>
      <c r="P599" s="31">
        <f>ABS(E599-$F$8)</f>
        <v/>
      </c>
      <c r="Q599" s="14">
        <f>IF(K599&gt;=MAX(L599,M599), "Hemat", IF(L599&gt;=M599, "Balanced", "Premium"))</f>
        <v/>
      </c>
      <c r="R599" s="30" t="n">
        <v>0.9745968058205632</v>
      </c>
      <c r="S599" s="30" t="n">
        <v>0.02368856419646389</v>
      </c>
      <c r="T599" s="30" t="n">
        <v>0.001714629982972894</v>
      </c>
      <c r="U599" s="31">
        <f>ABS(E599-$G$6)</f>
        <v/>
      </c>
      <c r="V599" s="31">
        <f>ABS(E599-$G$7)</f>
        <v/>
      </c>
      <c r="W599" s="31">
        <f>ABS(E599-$G$8)</f>
        <v/>
      </c>
      <c r="X599" s="14">
        <f>IF(R599&gt;=MAX(S599,T599), "Hemat", IF(S599&gt;=T599, "Balanced", "Premium"))</f>
        <v/>
      </c>
    </row>
    <row r="600">
      <c r="A600" s="14" t="n">
        <v>606</v>
      </c>
      <c r="B600" s="7" t="inlineStr">
        <is>
          <t>Coban Kembar</t>
        </is>
      </c>
      <c r="C600" s="26" t="n">
        <v>-8.0122237</v>
      </c>
      <c r="D600" s="26" t="n">
        <v>112.8366585</v>
      </c>
      <c r="E600" s="21" t="n">
        <v>15000</v>
      </c>
      <c r="F600" s="27" t="n">
        <v>4.1</v>
      </c>
      <c r="G600" s="28" t="n">
        <v>26</v>
      </c>
      <c r="H600" s="14" t="inlineStr">
        <is>
          <t>Wisata Umum</t>
        </is>
      </c>
      <c r="I600" s="29">
        <f>6371 * 2 * ASIN(SQRT(SIN(RADIANS((C600) - INDEX('Dataset_Wisata'!$C$12:$C$622, MATCH('Dashboard'!$C$9, 'Dataset_Wisata'!$A$12:$A$622, 0)))/2)^2 + COS(RADIANS(INDEX('Dataset_Wisata'!$C$12:$C$622, MATCH('Dashboard'!$C$9, 'Dataset_Wisata'!$A$12:$A$622, 0)))) * COS(RADIANS(C600)) * SIN(RADIANS((D600) - INDEX('Dataset_Wisata'!$D$12:$D$622, MATCH('Dashboard'!$C$9, 'Dataset_Wisata'!$A$12:$A$622, 0)))/2)^2)) * 1.3</f>
        <v/>
      </c>
      <c r="J600" s="21">
        <f>ROUND(I600 * IF('Dashboard'!$C$6&lt;=1, 2250, IF('Dashboard'!$C$6&lt;=4, 5150, 6000)), 0)</f>
        <v/>
      </c>
      <c r="K600" s="30" t="n">
        <v>0.9744283047002794</v>
      </c>
      <c r="L600" s="30" t="n">
        <v>0.02447712712252609</v>
      </c>
      <c r="M600" s="30" t="n">
        <v>0.001094568177194568</v>
      </c>
      <c r="N600" s="31">
        <f>ABS(E600-$F$6)</f>
        <v/>
      </c>
      <c r="O600" s="31">
        <f>ABS(E600-$F$7)</f>
        <v/>
      </c>
      <c r="P600" s="31">
        <f>ABS(E600-$F$8)</f>
        <v/>
      </c>
      <c r="Q600" s="14">
        <f>IF(K600&gt;=MAX(L600,M600), "Hemat", IF(L600&gt;=M600, "Balanced", "Premium"))</f>
        <v/>
      </c>
      <c r="R600" s="30" t="n">
        <v>0.9744283195785179</v>
      </c>
      <c r="S600" s="30" t="n">
        <v>0.02447711252884811</v>
      </c>
      <c r="T600" s="30" t="n">
        <v>0.001094567892634054</v>
      </c>
      <c r="U600" s="31">
        <f>ABS(E600-$G$6)</f>
        <v/>
      </c>
      <c r="V600" s="31">
        <f>ABS(E600-$G$7)</f>
        <v/>
      </c>
      <c r="W600" s="31">
        <f>ABS(E600-$G$8)</f>
        <v/>
      </c>
      <c r="X600" s="14">
        <f>IF(R600&gt;=MAX(S600,T600), "Hemat", IF(S600&gt;=T600, "Balanced", "Premium"))</f>
        <v/>
      </c>
    </row>
    <row r="601">
      <c r="A601" s="14" t="n">
        <v>607</v>
      </c>
      <c r="B601" s="7" t="inlineStr">
        <is>
          <t>Coban Srikandi</t>
        </is>
      </c>
      <c r="C601" s="26" t="n">
        <v>-7.9907302</v>
      </c>
      <c r="D601" s="26" t="n">
        <v>112.8329087</v>
      </c>
      <c r="E601" s="21" t="n">
        <v>15000</v>
      </c>
      <c r="F601" s="27" t="n">
        <v>4.8</v>
      </c>
      <c r="G601" s="28" t="n">
        <v>199</v>
      </c>
      <c r="H601" s="14" t="inlineStr">
        <is>
          <t>Tujuan Wisata · 2R5M+M5</t>
        </is>
      </c>
      <c r="I601" s="29">
        <f>6371 * 2 * ASIN(SQRT(SIN(RADIANS((C601) - INDEX('Dataset_Wisata'!$C$12:$C$622, MATCH('Dashboard'!$C$9, 'Dataset_Wisata'!$A$12:$A$622, 0)))/2)^2 + COS(RADIANS(INDEX('Dataset_Wisata'!$C$12:$C$622, MATCH('Dashboard'!$C$9, 'Dataset_Wisata'!$A$12:$A$622, 0)))) * COS(RADIANS(C601)) * SIN(RADIANS((D601) - INDEX('Dataset_Wisata'!$D$12:$D$622, MATCH('Dashboard'!$C$9, 'Dataset_Wisata'!$A$12:$A$622, 0)))/2)^2)) * 1.3</f>
        <v/>
      </c>
      <c r="J601" s="21">
        <f>ROUND(I601 * IF('Dashboard'!$C$6&lt;=1, 2250, IF('Dashboard'!$C$6&lt;=4, 5150, 6000)), 0)</f>
        <v/>
      </c>
      <c r="K601" s="30" t="n">
        <v>0.9744283047002794</v>
      </c>
      <c r="L601" s="30" t="n">
        <v>0.02447712712252609</v>
      </c>
      <c r="M601" s="30" t="n">
        <v>0.001094568177194568</v>
      </c>
      <c r="N601" s="31">
        <f>ABS(E601-$F$6)</f>
        <v/>
      </c>
      <c r="O601" s="31">
        <f>ABS(E601-$F$7)</f>
        <v/>
      </c>
      <c r="P601" s="31">
        <f>ABS(E601-$F$8)</f>
        <v/>
      </c>
      <c r="Q601" s="14">
        <f>IF(K601&gt;=MAX(L601,M601), "Hemat", IF(L601&gt;=M601, "Balanced", "Premium"))</f>
        <v/>
      </c>
      <c r="R601" s="30" t="n">
        <v>0.9744283195785179</v>
      </c>
      <c r="S601" s="30" t="n">
        <v>0.02447711252884811</v>
      </c>
      <c r="T601" s="30" t="n">
        <v>0.001094567892634054</v>
      </c>
      <c r="U601" s="31">
        <f>ABS(E601-$G$6)</f>
        <v/>
      </c>
      <c r="V601" s="31">
        <f>ABS(E601-$G$7)</f>
        <v/>
      </c>
      <c r="W601" s="31">
        <f>ABS(E601-$G$8)</f>
        <v/>
      </c>
      <c r="X601" s="14">
        <f>IF(R601&gt;=MAX(S601,T601), "Hemat", IF(S601&gt;=T601, "Balanced", "Premium"))</f>
        <v/>
      </c>
    </row>
    <row r="602">
      <c r="A602" s="14" t="n">
        <v>608</v>
      </c>
      <c r="B602" s="7" t="inlineStr">
        <is>
          <t>Parking coban cinde coban srikandi dll</t>
        </is>
      </c>
      <c r="C602" s="26" t="n">
        <v>-7.9907931</v>
      </c>
      <c r="D602" s="26" t="n">
        <v>112.832917</v>
      </c>
      <c r="E602" s="21" t="n">
        <v>15000</v>
      </c>
      <c r="F602" s="27" t="n">
        <v>4.7</v>
      </c>
      <c r="G602" s="28" t="n">
        <v>30</v>
      </c>
      <c r="H602" s="14" t="inlineStr">
        <is>
          <t>Tujuan Wisata · 2R5M+M5</t>
        </is>
      </c>
      <c r="I602" s="29">
        <f>6371 * 2 * ASIN(SQRT(SIN(RADIANS((C602) - INDEX('Dataset_Wisata'!$C$12:$C$622, MATCH('Dashboard'!$C$9, 'Dataset_Wisata'!$A$12:$A$622, 0)))/2)^2 + COS(RADIANS(INDEX('Dataset_Wisata'!$C$12:$C$622, MATCH('Dashboard'!$C$9, 'Dataset_Wisata'!$A$12:$A$622, 0)))) * COS(RADIANS(C602)) * SIN(RADIANS((D602) - INDEX('Dataset_Wisata'!$D$12:$D$622, MATCH('Dashboard'!$C$9, 'Dataset_Wisata'!$A$12:$A$622, 0)))/2)^2)) * 1.3</f>
        <v/>
      </c>
      <c r="J602" s="21">
        <f>ROUND(I602 * IF('Dashboard'!$C$6&lt;=1, 2250, IF('Dashboard'!$C$6&lt;=4, 5150, 6000)), 0)</f>
        <v/>
      </c>
      <c r="K602" s="30" t="n">
        <v>0.9744283047002794</v>
      </c>
      <c r="L602" s="30" t="n">
        <v>0.02447712712252609</v>
      </c>
      <c r="M602" s="30" t="n">
        <v>0.001094568177194568</v>
      </c>
      <c r="N602" s="31">
        <f>ABS(E602-$F$6)</f>
        <v/>
      </c>
      <c r="O602" s="31">
        <f>ABS(E602-$F$7)</f>
        <v/>
      </c>
      <c r="P602" s="31">
        <f>ABS(E602-$F$8)</f>
        <v/>
      </c>
      <c r="Q602" s="14">
        <f>IF(K602&gt;=MAX(L602,M602), "Hemat", IF(L602&gt;=M602, "Balanced", "Premium"))</f>
        <v/>
      </c>
      <c r="R602" s="30" t="n">
        <v>0.9744283195785179</v>
      </c>
      <c r="S602" s="30" t="n">
        <v>0.02447711252884811</v>
      </c>
      <c r="T602" s="30" t="n">
        <v>0.001094567892634054</v>
      </c>
      <c r="U602" s="31">
        <f>ABS(E602-$G$6)</f>
        <v/>
      </c>
      <c r="V602" s="31">
        <f>ABS(E602-$G$7)</f>
        <v/>
      </c>
      <c r="W602" s="31">
        <f>ABS(E602-$G$8)</f>
        <v/>
      </c>
      <c r="X602" s="14">
        <f>IF(R602&gt;=MAX(S602,T602), "Hemat", IF(S602&gt;=T602, "Balanced", "Premium"))</f>
        <v/>
      </c>
    </row>
    <row r="603">
      <c r="A603" s="14" t="n">
        <v>609</v>
      </c>
      <c r="B603" s="7" t="inlineStr">
        <is>
          <t>Coban Arema ꦕꦺꦴꦧꦤ꧀ꦄꦫꦺꦩ</t>
        </is>
      </c>
      <c r="C603" s="26" t="n">
        <v>-7.9889056</v>
      </c>
      <c r="D603" s="26" t="n">
        <v>112.8311674</v>
      </c>
      <c r="E603" s="21" t="n">
        <v>10000</v>
      </c>
      <c r="F603" s="27" t="n">
        <v>4.3</v>
      </c>
      <c r="G603" s="28" t="n">
        <v>36</v>
      </c>
      <c r="H603" s="14" t="inlineStr">
        <is>
          <t>Wisata Umum</t>
        </is>
      </c>
      <c r="I603" s="29">
        <f>6371 * 2 * ASIN(SQRT(SIN(RADIANS((C603) - INDEX('Dataset_Wisata'!$C$12:$C$622, MATCH('Dashboard'!$C$9, 'Dataset_Wisata'!$A$12:$A$622, 0)))/2)^2 + COS(RADIANS(INDEX('Dataset_Wisata'!$C$12:$C$622, MATCH('Dashboard'!$C$9, 'Dataset_Wisata'!$A$12:$A$622, 0)))) * COS(RADIANS(C603)) * SIN(RADIANS((D603) - INDEX('Dataset_Wisata'!$D$12:$D$622, MATCH('Dashboard'!$C$9, 'Dataset_Wisata'!$A$12:$A$622, 0)))/2)^2)) * 1.3</f>
        <v/>
      </c>
      <c r="J603" s="21">
        <f>ROUND(I603 * IF('Dashboard'!$C$6&lt;=1, 2250, IF('Dashboard'!$C$6&lt;=4, 5150, 6000)), 0)</f>
        <v/>
      </c>
      <c r="K603" s="30" t="n">
        <v>0.9998126508185596</v>
      </c>
      <c r="L603" s="30" t="n">
        <v>0.0001775718391516968</v>
      </c>
      <c r="M603" s="30" t="n">
        <v>9.7773422886897e-06</v>
      </c>
      <c r="N603" s="31">
        <f>ABS(E603-$F$6)</f>
        <v/>
      </c>
      <c r="O603" s="31">
        <f>ABS(E603-$F$7)</f>
        <v/>
      </c>
      <c r="P603" s="31">
        <f>ABS(E603-$F$8)</f>
        <v/>
      </c>
      <c r="Q603" s="14">
        <f>IF(K603&gt;=MAX(L603,M603), "Hemat", IF(L603&gt;=M603, "Balanced", "Premium"))</f>
        <v/>
      </c>
      <c r="R603" s="30" t="n">
        <v>0.9998126513362043</v>
      </c>
      <c r="S603" s="30" t="n">
        <v>0.0001775713458315561</v>
      </c>
      <c r="T603" s="30" t="n">
        <v>9.777317964159987e-06</v>
      </c>
      <c r="U603" s="31">
        <f>ABS(E603-$G$6)</f>
        <v/>
      </c>
      <c r="V603" s="31">
        <f>ABS(E603-$G$7)</f>
        <v/>
      </c>
      <c r="W603" s="31">
        <f>ABS(E603-$G$8)</f>
        <v/>
      </c>
      <c r="X603" s="14">
        <f>IF(R603&gt;=MAX(S603,T603), "Hemat", IF(S603&gt;=T603, "Balanced", "Premium"))</f>
        <v/>
      </c>
    </row>
    <row r="604">
      <c r="A604" s="14" t="n">
        <v>610</v>
      </c>
      <c r="B604" s="7" t="inlineStr">
        <is>
          <t>Coban Jodo</t>
        </is>
      </c>
      <c r="C604" s="26" t="n">
        <v>-7.9856864</v>
      </c>
      <c r="D604" s="26" t="n">
        <v>112.8322674</v>
      </c>
      <c r="E604" s="21" t="n">
        <v>10000</v>
      </c>
      <c r="F604" s="27" t="n">
        <v>4.6</v>
      </c>
      <c r="G604" s="28" t="n">
        <v>285</v>
      </c>
      <c r="H604" s="14" t="inlineStr">
        <is>
          <t>Wisata Umum</t>
        </is>
      </c>
      <c r="I604" s="29">
        <f>6371 * 2 * ASIN(SQRT(SIN(RADIANS((C604) - INDEX('Dataset_Wisata'!$C$12:$C$622, MATCH('Dashboard'!$C$9, 'Dataset_Wisata'!$A$12:$A$622, 0)))/2)^2 + COS(RADIANS(INDEX('Dataset_Wisata'!$C$12:$C$622, MATCH('Dashboard'!$C$9, 'Dataset_Wisata'!$A$12:$A$622, 0)))) * COS(RADIANS(C604)) * SIN(RADIANS((D604) - INDEX('Dataset_Wisata'!$D$12:$D$622, MATCH('Dashboard'!$C$9, 'Dataset_Wisata'!$A$12:$A$622, 0)))/2)^2)) * 1.3</f>
        <v/>
      </c>
      <c r="J604" s="21">
        <f>ROUND(I604 * IF('Dashboard'!$C$6&lt;=1, 2250, IF('Dashboard'!$C$6&lt;=4, 5150, 6000)), 0)</f>
        <v/>
      </c>
      <c r="K604" s="30" t="n">
        <v>0.9998126508185596</v>
      </c>
      <c r="L604" s="30" t="n">
        <v>0.0001775718391516968</v>
      </c>
      <c r="M604" s="30" t="n">
        <v>9.7773422886897e-06</v>
      </c>
      <c r="N604" s="31">
        <f>ABS(E604-$F$6)</f>
        <v/>
      </c>
      <c r="O604" s="31">
        <f>ABS(E604-$F$7)</f>
        <v/>
      </c>
      <c r="P604" s="31">
        <f>ABS(E604-$F$8)</f>
        <v/>
      </c>
      <c r="Q604" s="14">
        <f>IF(K604&gt;=MAX(L604,M604), "Hemat", IF(L604&gt;=M604, "Balanced", "Premium"))</f>
        <v/>
      </c>
      <c r="R604" s="30" t="n">
        <v>0.9998126513362043</v>
      </c>
      <c r="S604" s="30" t="n">
        <v>0.0001775713458315561</v>
      </c>
      <c r="T604" s="30" t="n">
        <v>9.777317964159987e-06</v>
      </c>
      <c r="U604" s="31">
        <f>ABS(E604-$G$6)</f>
        <v/>
      </c>
      <c r="V604" s="31">
        <f>ABS(E604-$G$7)</f>
        <v/>
      </c>
      <c r="W604" s="31">
        <f>ABS(E604-$G$8)</f>
        <v/>
      </c>
      <c r="X604" s="14">
        <f>IF(R604&gt;=MAX(S604,T604), "Hemat", IF(S604&gt;=T604, "Balanced", "Premium"))</f>
        <v/>
      </c>
    </row>
    <row r="605">
      <c r="A605" s="14" t="n">
        <v>611</v>
      </c>
      <c r="B605" s="7" t="inlineStr">
        <is>
          <t>Coban Trisula</t>
        </is>
      </c>
      <c r="C605" s="26" t="n">
        <v>-7.999417</v>
      </c>
      <c r="D605" s="26" t="n">
        <v>112.8685364</v>
      </c>
      <c r="E605" s="21" t="n">
        <v>5000</v>
      </c>
      <c r="F605" s="27" t="n">
        <v>4.5</v>
      </c>
      <c r="G605" s="28" t="n">
        <v>105</v>
      </c>
      <c r="H605" s="14" t="inlineStr">
        <is>
          <t>Wisata Umum</t>
        </is>
      </c>
      <c r="I605" s="29">
        <f>6371 * 2 * ASIN(SQRT(SIN(RADIANS((C605) - INDEX('Dataset_Wisata'!$C$12:$C$622, MATCH('Dashboard'!$C$9, 'Dataset_Wisata'!$A$12:$A$622, 0)))/2)^2 + COS(RADIANS(INDEX('Dataset_Wisata'!$C$12:$C$622, MATCH('Dashboard'!$C$9, 'Dataset_Wisata'!$A$12:$A$622, 0)))) * COS(RADIANS(C605)) * SIN(RADIANS((D605) - INDEX('Dataset_Wisata'!$D$12:$D$622, MATCH('Dashboard'!$C$9, 'Dataset_Wisata'!$A$12:$A$622, 0)))/2)^2)) * 1.3</f>
        <v/>
      </c>
      <c r="J605" s="21">
        <f>ROUND(I605 * IF('Dashboard'!$C$6&lt;=1, 2250, IF('Dashboard'!$C$6&lt;=4, 5150, 6000)), 0)</f>
        <v/>
      </c>
      <c r="K605" s="30" t="n">
        <v>0.9895566543895754</v>
      </c>
      <c r="L605" s="30" t="n">
        <v>0.009798611400025654</v>
      </c>
      <c r="M605" s="30" t="n">
        <v>0.0006447342103988783</v>
      </c>
      <c r="N605" s="31">
        <f>ABS(E605-$F$6)</f>
        <v/>
      </c>
      <c r="O605" s="31">
        <f>ABS(E605-$F$7)</f>
        <v/>
      </c>
      <c r="P605" s="31">
        <f>ABS(E605-$F$8)</f>
        <v/>
      </c>
      <c r="Q605" s="14">
        <f>IF(K605&gt;=MAX(L605,M605), "Hemat", IF(L605&gt;=M605, "Balanced", "Premium"))</f>
        <v/>
      </c>
      <c r="R605" s="30" t="n">
        <v>0.9895566542341836</v>
      </c>
      <c r="S605" s="30" t="n">
        <v>0.00979861139170024</v>
      </c>
      <c r="T605" s="30" t="n">
        <v>0.00064473437411607</v>
      </c>
      <c r="U605" s="31">
        <f>ABS(E605-$G$6)</f>
        <v/>
      </c>
      <c r="V605" s="31">
        <f>ABS(E605-$G$7)</f>
        <v/>
      </c>
      <c r="W605" s="31">
        <f>ABS(E605-$G$8)</f>
        <v/>
      </c>
      <c r="X605" s="14">
        <f>IF(R605&gt;=MAX(S605,T605), "Hemat", IF(S605&gt;=T605, "Balanced", "Premium"))</f>
        <v/>
      </c>
    </row>
    <row r="606">
      <c r="A606" s="14" t="n">
        <v>612</v>
      </c>
      <c r="B606" s="7" t="inlineStr">
        <is>
          <t>Puncak Bundu</t>
        </is>
      </c>
      <c r="C606" s="26" t="n">
        <v>-8.2674181</v>
      </c>
      <c r="D606" s="26" t="n">
        <v>112.9041506</v>
      </c>
      <c r="E606" s="21" t="n">
        <v>5000</v>
      </c>
      <c r="F606" s="27" t="n">
        <v>4.4</v>
      </c>
      <c r="G606" s="28" t="n">
        <v>123</v>
      </c>
      <c r="H606" s="14" t="inlineStr">
        <is>
          <t>Wisata Umum</t>
        </is>
      </c>
      <c r="I606" s="29">
        <f>6371 * 2 * ASIN(SQRT(SIN(RADIANS((C606) - INDEX('Dataset_Wisata'!$C$12:$C$622, MATCH('Dashboard'!$C$9, 'Dataset_Wisata'!$A$12:$A$622, 0)))/2)^2 + COS(RADIANS(INDEX('Dataset_Wisata'!$C$12:$C$622, MATCH('Dashboard'!$C$9, 'Dataset_Wisata'!$A$12:$A$622, 0)))) * COS(RADIANS(C606)) * SIN(RADIANS((D606) - INDEX('Dataset_Wisata'!$D$12:$D$622, MATCH('Dashboard'!$C$9, 'Dataset_Wisata'!$A$12:$A$622, 0)))/2)^2)) * 1.3</f>
        <v/>
      </c>
      <c r="J606" s="21">
        <f>ROUND(I606 * IF('Dashboard'!$C$6&lt;=1, 2250, IF('Dashboard'!$C$6&lt;=4, 5150, 6000)), 0)</f>
        <v/>
      </c>
      <c r="K606" s="30" t="n">
        <v>0.9895566543895754</v>
      </c>
      <c r="L606" s="30" t="n">
        <v>0.009798611400025654</v>
      </c>
      <c r="M606" s="30" t="n">
        <v>0.0006447342103988783</v>
      </c>
      <c r="N606" s="31">
        <f>ABS(E606-$F$6)</f>
        <v/>
      </c>
      <c r="O606" s="31">
        <f>ABS(E606-$F$7)</f>
        <v/>
      </c>
      <c r="P606" s="31">
        <f>ABS(E606-$F$8)</f>
        <v/>
      </c>
      <c r="Q606" s="14">
        <f>IF(K606&gt;=MAX(L606,M606), "Hemat", IF(L606&gt;=M606, "Balanced", "Premium"))</f>
        <v/>
      </c>
      <c r="R606" s="30" t="n">
        <v>0.9895566542341836</v>
      </c>
      <c r="S606" s="30" t="n">
        <v>0.00979861139170024</v>
      </c>
      <c r="T606" s="30" t="n">
        <v>0.00064473437411607</v>
      </c>
      <c r="U606" s="31">
        <f>ABS(E606-$G$6)</f>
        <v/>
      </c>
      <c r="V606" s="31">
        <f>ABS(E606-$G$7)</f>
        <v/>
      </c>
      <c r="W606" s="31">
        <f>ABS(E606-$G$8)</f>
        <v/>
      </c>
      <c r="X606" s="14">
        <f>IF(R606&gt;=MAX(S606,T606), "Hemat", IF(S606&gt;=T606, "Balanced", "Premium"))</f>
        <v/>
      </c>
    </row>
    <row r="607">
      <c r="A607" s="14" t="n">
        <v>613</v>
      </c>
      <c r="B607" s="7" t="inlineStr">
        <is>
          <t>Air Terjun Telaga Warna</t>
        </is>
      </c>
      <c r="C607" s="26" t="n">
        <v>-8.2482632</v>
      </c>
      <c r="D607" s="26" t="n">
        <v>112.9065008</v>
      </c>
      <c r="E607" s="21" t="n">
        <v>0</v>
      </c>
      <c r="F607" s="27" t="n">
        <v>4.3</v>
      </c>
      <c r="G607" s="28" t="n">
        <v>66</v>
      </c>
      <c r="H607" s="14" t="inlineStr">
        <is>
          <t>Wisata Umum</t>
        </is>
      </c>
      <c r="I607" s="29">
        <f>6371 * 2 * ASIN(SQRT(SIN(RADIANS((C607) - INDEX('Dataset_Wisata'!$C$12:$C$622, MATCH('Dashboard'!$C$9, 'Dataset_Wisata'!$A$12:$A$622, 0)))/2)^2 + COS(RADIANS(INDEX('Dataset_Wisata'!$C$12:$C$622, MATCH('Dashboard'!$C$9, 'Dataset_Wisata'!$A$12:$A$622, 0)))) * COS(RADIANS(C607)) * SIN(RADIANS((D607) - INDEX('Dataset_Wisata'!$D$12:$D$622, MATCH('Dashboard'!$C$9, 'Dataset_Wisata'!$A$12:$A$622, 0)))/2)^2)) * 1.3</f>
        <v/>
      </c>
      <c r="J607" s="21">
        <f>ROUND(I607 * IF('Dashboard'!$C$6&lt;=1, 2250, IF('Dashboard'!$C$6&lt;=4, 5150, 6000)), 0)</f>
        <v/>
      </c>
      <c r="K607" s="30" t="n">
        <v>0.9626824510005771</v>
      </c>
      <c r="L607" s="30" t="n">
        <v>0.03465542295845363</v>
      </c>
      <c r="M607" s="30" t="n">
        <v>0.002662126040969366</v>
      </c>
      <c r="N607" s="31">
        <f>ABS(E607-$F$6)</f>
        <v/>
      </c>
      <c r="O607" s="31">
        <f>ABS(E607-$F$7)</f>
        <v/>
      </c>
      <c r="P607" s="31">
        <f>ABS(E607-$F$8)</f>
        <v/>
      </c>
      <c r="Q607" s="14">
        <f>IF(K607&gt;=MAX(L607,M607), "Hemat", IF(L607&gt;=M607, "Balanced", "Premium"))</f>
        <v/>
      </c>
      <c r="R607" s="30" t="n">
        <v>0.9626824549241798</v>
      </c>
      <c r="S607" s="30" t="n">
        <v>0.03465541875469833</v>
      </c>
      <c r="T607" s="30" t="n">
        <v>0.002662126321121907</v>
      </c>
      <c r="U607" s="31">
        <f>ABS(E607-$G$6)</f>
        <v/>
      </c>
      <c r="V607" s="31">
        <f>ABS(E607-$G$7)</f>
        <v/>
      </c>
      <c r="W607" s="31">
        <f>ABS(E607-$G$8)</f>
        <v/>
      </c>
      <c r="X607" s="14">
        <f>IF(R607&gt;=MAX(S607,T607), "Hemat", IF(S607&gt;=T607, "Balanced", "Premium"))</f>
        <v/>
      </c>
    </row>
    <row r="608">
      <c r="A608" s="14" t="n">
        <v>614</v>
      </c>
      <c r="B608" s="7" t="inlineStr">
        <is>
          <t>Bukit Nando</t>
        </is>
      </c>
      <c r="C608" s="26" t="n">
        <v>-8.2897189</v>
      </c>
      <c r="D608" s="26" t="n">
        <v>112.899741</v>
      </c>
      <c r="E608" s="21" t="n">
        <v>28500</v>
      </c>
      <c r="F608" s="27" t="n">
        <v>4.8</v>
      </c>
      <c r="G608" s="28" t="n">
        <v>36</v>
      </c>
      <c r="H608" s="14" t="inlineStr">
        <is>
          <t>Wisata Umum</t>
        </is>
      </c>
      <c r="I608" s="29">
        <f>6371 * 2 * ASIN(SQRT(SIN(RADIANS((C608) - INDEX('Dataset_Wisata'!$C$12:$C$622, MATCH('Dashboard'!$C$9, 'Dataset_Wisata'!$A$12:$A$622, 0)))/2)^2 + COS(RADIANS(INDEX('Dataset_Wisata'!$C$12:$C$622, MATCH('Dashboard'!$C$9, 'Dataset_Wisata'!$A$12:$A$622, 0)))) * COS(RADIANS(C608)) * SIN(RADIANS((D608) - INDEX('Dataset_Wisata'!$D$12:$D$622, MATCH('Dashboard'!$C$9, 'Dataset_Wisata'!$A$12:$A$622, 0)))/2)^2)) * 1.3</f>
        <v/>
      </c>
      <c r="J608" s="21">
        <f>ROUND(I608 * IF('Dashboard'!$C$6&lt;=1, 2250, IF('Dashboard'!$C$6&lt;=4, 5150, 6000)), 0)</f>
        <v/>
      </c>
      <c r="K608" s="30" t="n">
        <v>0.5535610015318172</v>
      </c>
      <c r="L608" s="30" t="n">
        <v>0.4377091574659399</v>
      </c>
      <c r="M608" s="30" t="n">
        <v>0.008729841002242823</v>
      </c>
      <c r="N608" s="31">
        <f>ABS(E608-$F$6)</f>
        <v/>
      </c>
      <c r="O608" s="31">
        <f>ABS(E608-$F$7)</f>
        <v/>
      </c>
      <c r="P608" s="31">
        <f>ABS(E608-$F$8)</f>
        <v/>
      </c>
      <c r="Q608" s="14">
        <f>IF(K608&gt;=MAX(L608,M608), "Hemat", IF(L608&gt;=M608, "Balanced", "Premium"))</f>
        <v/>
      </c>
      <c r="R608" s="30" t="n">
        <v>0.553561167220186</v>
      </c>
      <c r="S608" s="30" t="n">
        <v>0.4377089901400208</v>
      </c>
      <c r="T608" s="30" t="n">
        <v>0.00872984263979336</v>
      </c>
      <c r="U608" s="31">
        <f>ABS(E608-$G$6)</f>
        <v/>
      </c>
      <c r="V608" s="31">
        <f>ABS(E608-$G$7)</f>
        <v/>
      </c>
      <c r="W608" s="31">
        <f>ABS(E608-$G$8)</f>
        <v/>
      </c>
      <c r="X608" s="14">
        <f>IF(R608&gt;=MAX(S608,T608), "Hemat", IF(S608&gt;=T608, "Balanced", "Premium"))</f>
        <v/>
      </c>
    </row>
    <row r="609">
      <c r="A609" s="14" t="n">
        <v>615</v>
      </c>
      <c r="B609" s="7" t="inlineStr">
        <is>
          <t>Air Terjun Ciblungan</t>
        </is>
      </c>
      <c r="C609" s="26" t="n">
        <v>-8.2418175</v>
      </c>
      <c r="D609" s="26" t="n">
        <v>112.9065237</v>
      </c>
      <c r="E609" s="21" t="n">
        <v>10000</v>
      </c>
      <c r="F609" s="27" t="n">
        <v>4.5</v>
      </c>
      <c r="G609" s="28" t="n">
        <v>484</v>
      </c>
      <c r="H609" s="14" t="inlineStr">
        <is>
          <t>Wisata Umum</t>
        </is>
      </c>
      <c r="I609" s="29">
        <f>6371 * 2 * ASIN(SQRT(SIN(RADIANS((C609) - INDEX('Dataset_Wisata'!$C$12:$C$622, MATCH('Dashboard'!$C$9, 'Dataset_Wisata'!$A$12:$A$622, 0)))/2)^2 + COS(RADIANS(INDEX('Dataset_Wisata'!$C$12:$C$622, MATCH('Dashboard'!$C$9, 'Dataset_Wisata'!$A$12:$A$622, 0)))) * COS(RADIANS(C609)) * SIN(RADIANS((D609) - INDEX('Dataset_Wisata'!$D$12:$D$622, MATCH('Dashboard'!$C$9, 'Dataset_Wisata'!$A$12:$A$622, 0)))/2)^2)) * 1.3</f>
        <v/>
      </c>
      <c r="J609" s="21">
        <f>ROUND(I609 * IF('Dashboard'!$C$6&lt;=1, 2250, IF('Dashboard'!$C$6&lt;=4, 5150, 6000)), 0)</f>
        <v/>
      </c>
      <c r="K609" s="30" t="n">
        <v>0.9998126508185596</v>
      </c>
      <c r="L609" s="30" t="n">
        <v>0.0001775718391516968</v>
      </c>
      <c r="M609" s="30" t="n">
        <v>9.7773422886897e-06</v>
      </c>
      <c r="N609" s="31">
        <f>ABS(E609-$F$6)</f>
        <v/>
      </c>
      <c r="O609" s="31">
        <f>ABS(E609-$F$7)</f>
        <v/>
      </c>
      <c r="P609" s="31">
        <f>ABS(E609-$F$8)</f>
        <v/>
      </c>
      <c r="Q609" s="14">
        <f>IF(K609&gt;=MAX(L609,M609), "Hemat", IF(L609&gt;=M609, "Balanced", "Premium"))</f>
        <v/>
      </c>
      <c r="R609" s="30" t="n">
        <v>0.9998126513362043</v>
      </c>
      <c r="S609" s="30" t="n">
        <v>0.0001775713458315561</v>
      </c>
      <c r="T609" s="30" t="n">
        <v>9.777317964159987e-06</v>
      </c>
      <c r="U609" s="31">
        <f>ABS(E609-$G$6)</f>
        <v/>
      </c>
      <c r="V609" s="31">
        <f>ABS(E609-$G$7)</f>
        <v/>
      </c>
      <c r="W609" s="31">
        <f>ABS(E609-$G$8)</f>
        <v/>
      </c>
      <c r="X609" s="14">
        <f>IF(R609&gt;=MAX(S609,T609), "Hemat", IF(S609&gt;=T609, "Balanced", "Premium"))</f>
        <v/>
      </c>
    </row>
    <row r="610">
      <c r="A610" s="14" t="n">
        <v>616</v>
      </c>
      <c r="B610" s="7" t="inlineStr">
        <is>
          <t>Coban Batu Lapis</t>
        </is>
      </c>
      <c r="C610" s="26" t="n">
        <v>-8.2599783</v>
      </c>
      <c r="D610" s="26" t="n">
        <v>112.8992201</v>
      </c>
      <c r="E610" s="21" t="n">
        <v>12500</v>
      </c>
      <c r="F610" s="27" t="n">
        <v>4.4</v>
      </c>
      <c r="G610" s="28" t="n">
        <v>55</v>
      </c>
      <c r="H610" s="14" t="inlineStr">
        <is>
          <t>Wisata Umum</t>
        </is>
      </c>
      <c r="I610" s="29">
        <f>6371 * 2 * ASIN(SQRT(SIN(RADIANS((C610) - INDEX('Dataset_Wisata'!$C$12:$C$622, MATCH('Dashboard'!$C$9, 'Dataset_Wisata'!$A$12:$A$622, 0)))/2)^2 + COS(RADIANS(INDEX('Dataset_Wisata'!$C$12:$C$622, MATCH('Dashboard'!$C$9, 'Dataset_Wisata'!$A$12:$A$622, 0)))) * COS(RADIANS(C610)) * SIN(RADIANS((D610) - INDEX('Dataset_Wisata'!$D$12:$D$622, MATCH('Dashboard'!$C$9, 'Dataset_Wisata'!$A$12:$A$622, 0)))/2)^2)) * 1.3</f>
        <v/>
      </c>
      <c r="J610" s="21">
        <f>ROUND(I610 * IF('Dashboard'!$C$6&lt;=1, 2250, IF('Dashboard'!$C$6&lt;=4, 5150, 6000)), 0)</f>
        <v/>
      </c>
      <c r="K610" s="30" t="n">
        <v>0.9931494932878779</v>
      </c>
      <c r="L610" s="30" t="n">
        <v>0.006525333214398045</v>
      </c>
      <c r="M610" s="30" t="n">
        <v>0.0003251734977240752</v>
      </c>
      <c r="N610" s="31">
        <f>ABS(E610-$F$6)</f>
        <v/>
      </c>
      <c r="O610" s="31">
        <f>ABS(E610-$F$7)</f>
        <v/>
      </c>
      <c r="P610" s="31">
        <f>ABS(E610-$F$8)</f>
        <v/>
      </c>
      <c r="Q610" s="14">
        <f>IF(K610&gt;=MAX(L610,M610), "Hemat", IF(L610&gt;=M610, "Balanced", "Premium"))</f>
        <v/>
      </c>
      <c r="R610" s="30" t="n">
        <v>0.993149498497744</v>
      </c>
      <c r="S610" s="30" t="n">
        <v>0.00652532815528229</v>
      </c>
      <c r="T610" s="30" t="n">
        <v>0.0003251733469736963</v>
      </c>
      <c r="U610" s="31">
        <f>ABS(E610-$G$6)</f>
        <v/>
      </c>
      <c r="V610" s="31">
        <f>ABS(E610-$G$7)</f>
        <v/>
      </c>
      <c r="W610" s="31">
        <f>ABS(E610-$G$8)</f>
        <v/>
      </c>
      <c r="X610" s="14">
        <f>IF(R610&gt;=MAX(S610,T610), "Hemat", IF(S610&gt;=T610, "Balanced", "Premium"))</f>
        <v/>
      </c>
    </row>
    <row r="611">
      <c r="A611" s="14" t="n">
        <v>617</v>
      </c>
      <c r="B611" s="7" t="inlineStr">
        <is>
          <t>RUMAH POHON SALAK</t>
        </is>
      </c>
      <c r="C611" s="26" t="n">
        <v>-8.268934099999999</v>
      </c>
      <c r="D611" s="26" t="n">
        <v>112.869054</v>
      </c>
      <c r="E611" s="21" t="n">
        <v>10000</v>
      </c>
      <c r="F611" s="27" t="n">
        <v>5</v>
      </c>
      <c r="G611" s="28" t="n">
        <v>50</v>
      </c>
      <c r="H611" s="14" t="inlineStr">
        <is>
          <t>Wisata Umum</t>
        </is>
      </c>
      <c r="I611" s="29">
        <f>6371 * 2 * ASIN(SQRT(SIN(RADIANS((C611) - INDEX('Dataset_Wisata'!$C$12:$C$622, MATCH('Dashboard'!$C$9, 'Dataset_Wisata'!$A$12:$A$622, 0)))/2)^2 + COS(RADIANS(INDEX('Dataset_Wisata'!$C$12:$C$622, MATCH('Dashboard'!$C$9, 'Dataset_Wisata'!$A$12:$A$622, 0)))) * COS(RADIANS(C611)) * SIN(RADIANS((D611) - INDEX('Dataset_Wisata'!$D$12:$D$622, MATCH('Dashboard'!$C$9, 'Dataset_Wisata'!$A$12:$A$622, 0)))/2)^2)) * 1.3</f>
        <v/>
      </c>
      <c r="J611" s="21">
        <f>ROUND(I611 * IF('Dashboard'!$C$6&lt;=1, 2250, IF('Dashboard'!$C$6&lt;=4, 5150, 6000)), 0)</f>
        <v/>
      </c>
      <c r="K611" s="30" t="n">
        <v>0.9998126508185596</v>
      </c>
      <c r="L611" s="30" t="n">
        <v>0.0001775718391516968</v>
      </c>
      <c r="M611" s="30" t="n">
        <v>9.7773422886897e-06</v>
      </c>
      <c r="N611" s="31">
        <f>ABS(E611-$F$6)</f>
        <v/>
      </c>
      <c r="O611" s="31">
        <f>ABS(E611-$F$7)</f>
        <v/>
      </c>
      <c r="P611" s="31">
        <f>ABS(E611-$F$8)</f>
        <v/>
      </c>
      <c r="Q611" s="14">
        <f>IF(K611&gt;=MAX(L611,M611), "Hemat", IF(L611&gt;=M611, "Balanced", "Premium"))</f>
        <v/>
      </c>
      <c r="R611" s="30" t="n">
        <v>0.9998126513362043</v>
      </c>
      <c r="S611" s="30" t="n">
        <v>0.0001775713458315561</v>
      </c>
      <c r="T611" s="30" t="n">
        <v>9.777317964159987e-06</v>
      </c>
      <c r="U611" s="31">
        <f>ABS(E611-$G$6)</f>
        <v/>
      </c>
      <c r="V611" s="31">
        <f>ABS(E611-$G$7)</f>
        <v/>
      </c>
      <c r="W611" s="31">
        <f>ABS(E611-$G$8)</f>
        <v/>
      </c>
      <c r="X611" s="14">
        <f>IF(R611&gt;=MAX(S611,T611), "Hemat", IF(S611&gt;=T611, "Balanced", "Premium"))</f>
        <v/>
      </c>
    </row>
    <row r="612">
      <c r="A612" s="14" t="n">
        <v>618</v>
      </c>
      <c r="B612" s="7" t="inlineStr">
        <is>
          <t>Candi Samudro</t>
        </is>
      </c>
      <c r="C612" s="26" t="n">
        <v>-8.1681306</v>
      </c>
      <c r="D612" s="26" t="n">
        <v>112.8953144</v>
      </c>
      <c r="E612" s="21" t="n">
        <v>5000</v>
      </c>
      <c r="F612" s="27" t="n">
        <v>4.5</v>
      </c>
      <c r="G612" s="28" t="n">
        <v>326</v>
      </c>
      <c r="H612" s="14" t="inlineStr">
        <is>
          <t>Wisata Umum</t>
        </is>
      </c>
      <c r="I612" s="29">
        <f>6371 * 2 * ASIN(SQRT(SIN(RADIANS((C612) - INDEX('Dataset_Wisata'!$C$12:$C$622, MATCH('Dashboard'!$C$9, 'Dataset_Wisata'!$A$12:$A$622, 0)))/2)^2 + COS(RADIANS(INDEX('Dataset_Wisata'!$C$12:$C$622, MATCH('Dashboard'!$C$9, 'Dataset_Wisata'!$A$12:$A$622, 0)))) * COS(RADIANS(C612)) * SIN(RADIANS((D612) - INDEX('Dataset_Wisata'!$D$12:$D$622, MATCH('Dashboard'!$C$9, 'Dataset_Wisata'!$A$12:$A$622, 0)))/2)^2)) * 1.3</f>
        <v/>
      </c>
      <c r="J612" s="21">
        <f>ROUND(I612 * IF('Dashboard'!$C$6&lt;=1, 2250, IF('Dashboard'!$C$6&lt;=4, 5150, 6000)), 0)</f>
        <v/>
      </c>
      <c r="K612" s="30" t="n">
        <v>0.9895566543895754</v>
      </c>
      <c r="L612" s="30" t="n">
        <v>0.009798611400025654</v>
      </c>
      <c r="M612" s="30" t="n">
        <v>0.0006447342103988783</v>
      </c>
      <c r="N612" s="31">
        <f>ABS(E612-$F$6)</f>
        <v/>
      </c>
      <c r="O612" s="31">
        <f>ABS(E612-$F$7)</f>
        <v/>
      </c>
      <c r="P612" s="31">
        <f>ABS(E612-$F$8)</f>
        <v/>
      </c>
      <c r="Q612" s="14">
        <f>IF(K612&gt;=MAX(L612,M612), "Hemat", IF(L612&gt;=M612, "Balanced", "Premium"))</f>
        <v/>
      </c>
      <c r="R612" s="30" t="n">
        <v>0.9895566542341836</v>
      </c>
      <c r="S612" s="30" t="n">
        <v>0.00979861139170024</v>
      </c>
      <c r="T612" s="30" t="n">
        <v>0.00064473437411607</v>
      </c>
      <c r="U612" s="31">
        <f>ABS(E612-$G$6)</f>
        <v/>
      </c>
      <c r="V612" s="31">
        <f>ABS(E612-$G$7)</f>
        <v/>
      </c>
      <c r="W612" s="31">
        <f>ABS(E612-$G$8)</f>
        <v/>
      </c>
      <c r="X612" s="14">
        <f>IF(R612&gt;=MAX(S612,T612), "Hemat", IF(S612&gt;=T612, "Balanced", "Premium"))</f>
        <v/>
      </c>
    </row>
    <row r="613">
      <c r="A613" s="14" t="n">
        <v>619</v>
      </c>
      <c r="B613" s="7" t="inlineStr">
        <is>
          <t>WISATA NJULUNG AGROEDU TOURISM</t>
        </is>
      </c>
      <c r="C613" s="26" t="n">
        <v>-8.136184</v>
      </c>
      <c r="D613" s="26" t="n">
        <v>112.7852026</v>
      </c>
      <c r="E613" s="21" t="n">
        <v>65000</v>
      </c>
      <c r="F613" s="27" t="n">
        <v>4.3</v>
      </c>
      <c r="G613" s="28" t="n">
        <v>33</v>
      </c>
      <c r="H613" s="14" t="inlineStr">
        <is>
          <t>WISATA NJULUNG AGROEDU TOURISM</t>
        </is>
      </c>
      <c r="I613" s="29">
        <f>6371 * 2 * ASIN(SQRT(SIN(RADIANS((C613) - INDEX('Dataset_Wisata'!$C$12:$C$622, MATCH('Dashboard'!$C$9, 'Dataset_Wisata'!$A$12:$A$622, 0)))/2)^2 + COS(RADIANS(INDEX('Dataset_Wisata'!$C$12:$C$622, MATCH('Dashboard'!$C$9, 'Dataset_Wisata'!$A$12:$A$622, 0)))) * COS(RADIANS(C613)) * SIN(RADIANS((D613) - INDEX('Dataset_Wisata'!$D$12:$D$622, MATCH('Dashboard'!$C$9, 'Dataset_Wisata'!$A$12:$A$622, 0)))/2)^2)) * 1.3</f>
        <v/>
      </c>
      <c r="J613" s="21">
        <f>ROUND(I613 * IF('Dashboard'!$C$6&lt;=1, 2250, IF('Dashboard'!$C$6&lt;=4, 5150, 6000)), 0)</f>
        <v/>
      </c>
      <c r="K613" s="30" t="n">
        <v>0.06773863595836273</v>
      </c>
      <c r="L613" s="30" t="n">
        <v>0.9164802209938576</v>
      </c>
      <c r="M613" s="30" t="n">
        <v>0.01578114304777962</v>
      </c>
      <c r="N613" s="31">
        <f>ABS(E613-$F$6)</f>
        <v/>
      </c>
      <c r="O613" s="31">
        <f>ABS(E613-$F$7)</f>
        <v/>
      </c>
      <c r="P613" s="31">
        <f>ABS(E613-$F$8)</f>
        <v/>
      </c>
      <c r="Q613" s="14">
        <f>IF(K613&gt;=MAX(L613,M613), "Hemat", IF(L613&gt;=M613, "Balanced", "Premium"))</f>
        <v/>
      </c>
      <c r="R613" s="30" t="n">
        <v>0.0677385835385851</v>
      </c>
      <c r="S613" s="30" t="n">
        <v>0.9164802868958721</v>
      </c>
      <c r="T613" s="30" t="n">
        <v>0.01578112956554284</v>
      </c>
      <c r="U613" s="31">
        <f>ABS(E613-$G$6)</f>
        <v/>
      </c>
      <c r="V613" s="31">
        <f>ABS(E613-$G$7)</f>
        <v/>
      </c>
      <c r="W613" s="31">
        <f>ABS(E613-$G$8)</f>
        <v/>
      </c>
      <c r="X613" s="14">
        <f>IF(R613&gt;=MAX(S613,T613), "Hemat", IF(S613&gt;=T613, "Balanced", "Premium"))</f>
        <v/>
      </c>
    </row>
    <row r="614">
      <c r="A614" s="14" t="n">
        <v>620</v>
      </c>
      <c r="B614" s="7" t="inlineStr">
        <is>
          <t>Taman Wisata Bromo Tengger</t>
        </is>
      </c>
      <c r="C614" s="26" t="n">
        <v>-7.9744579</v>
      </c>
      <c r="D614" s="26" t="n">
        <v>112.9268259</v>
      </c>
      <c r="E614" s="21" t="n">
        <v>10000</v>
      </c>
      <c r="F614" s="27" t="n">
        <v>4.7</v>
      </c>
      <c r="G614" s="28" t="n">
        <v>76</v>
      </c>
      <c r="H614" s="14" t="inlineStr">
        <is>
          <t>Taman Wisata Bromo Tengger</t>
        </is>
      </c>
      <c r="I614" s="29">
        <f>6371 * 2 * ASIN(SQRT(SIN(RADIANS((C614) - INDEX('Dataset_Wisata'!$C$12:$C$622, MATCH('Dashboard'!$C$9, 'Dataset_Wisata'!$A$12:$A$622, 0)))/2)^2 + COS(RADIANS(INDEX('Dataset_Wisata'!$C$12:$C$622, MATCH('Dashboard'!$C$9, 'Dataset_Wisata'!$A$12:$A$622, 0)))) * COS(RADIANS(C614)) * SIN(RADIANS((D614) - INDEX('Dataset_Wisata'!$D$12:$D$622, MATCH('Dashboard'!$C$9, 'Dataset_Wisata'!$A$12:$A$622, 0)))/2)^2)) * 1.3</f>
        <v/>
      </c>
      <c r="J614" s="21">
        <f>ROUND(I614 * IF('Dashboard'!$C$6&lt;=1, 2250, IF('Dashboard'!$C$6&lt;=4, 5150, 6000)), 0)</f>
        <v/>
      </c>
      <c r="K614" s="30" t="n">
        <v>0.9998126508185596</v>
      </c>
      <c r="L614" s="30" t="n">
        <v>0.0001775718391516968</v>
      </c>
      <c r="M614" s="30" t="n">
        <v>9.7773422886897e-06</v>
      </c>
      <c r="N614" s="31">
        <f>ABS(E614-$F$6)</f>
        <v/>
      </c>
      <c r="O614" s="31">
        <f>ABS(E614-$F$7)</f>
        <v/>
      </c>
      <c r="P614" s="31">
        <f>ABS(E614-$F$8)</f>
        <v/>
      </c>
      <c r="Q614" s="14">
        <f>IF(K614&gt;=MAX(L614,M614), "Hemat", IF(L614&gt;=M614, "Balanced", "Premium"))</f>
        <v/>
      </c>
      <c r="R614" s="30" t="n">
        <v>0.9998126513362043</v>
      </c>
      <c r="S614" s="30" t="n">
        <v>0.0001775713458315561</v>
      </c>
      <c r="T614" s="30" t="n">
        <v>9.777317964159987e-06</v>
      </c>
      <c r="U614" s="31">
        <f>ABS(E614-$G$6)</f>
        <v/>
      </c>
      <c r="V614" s="31">
        <f>ABS(E614-$G$7)</f>
        <v/>
      </c>
      <c r="W614" s="31">
        <f>ABS(E614-$G$8)</f>
        <v/>
      </c>
      <c r="X614" s="14">
        <f>IF(R614&gt;=MAX(S614,T614), "Hemat", IF(S614&gt;=T614, "Balanced", "Premium"))</f>
        <v/>
      </c>
    </row>
    <row r="615">
      <c r="A615" s="14" t="n">
        <v>622</v>
      </c>
      <c r="B615" s="7" t="inlineStr">
        <is>
          <t>Gunung Sari Sunset</t>
        </is>
      </c>
      <c r="C615" s="26" t="n">
        <v>-8.013536200000001</v>
      </c>
      <c r="D615" s="26" t="n">
        <v>112.8534067</v>
      </c>
      <c r="E615" s="21" t="n">
        <v>5000</v>
      </c>
      <c r="F615" s="27" t="n">
        <v>4.4</v>
      </c>
      <c r="G615" s="28" t="n">
        <v>712</v>
      </c>
      <c r="H615" s="14" t="inlineStr">
        <is>
          <t>Gunung Sari Sunset</t>
        </is>
      </c>
      <c r="I615" s="29">
        <f>6371 * 2 * ASIN(SQRT(SIN(RADIANS((C615) - INDEX('Dataset_Wisata'!$C$12:$C$622, MATCH('Dashboard'!$C$9, 'Dataset_Wisata'!$A$12:$A$622, 0)))/2)^2 + COS(RADIANS(INDEX('Dataset_Wisata'!$C$12:$C$622, MATCH('Dashboard'!$C$9, 'Dataset_Wisata'!$A$12:$A$622, 0)))) * COS(RADIANS(C615)) * SIN(RADIANS((D615) - INDEX('Dataset_Wisata'!$D$12:$D$622, MATCH('Dashboard'!$C$9, 'Dataset_Wisata'!$A$12:$A$622, 0)))/2)^2)) * 1.3</f>
        <v/>
      </c>
      <c r="J615" s="21">
        <f>ROUND(I615 * IF('Dashboard'!$C$6&lt;=1, 2250, IF('Dashboard'!$C$6&lt;=4, 5150, 6000)), 0)</f>
        <v/>
      </c>
      <c r="K615" s="30" t="n">
        <v>0.9895566543895754</v>
      </c>
      <c r="L615" s="30" t="n">
        <v>0.009798611400025654</v>
      </c>
      <c r="M615" s="30" t="n">
        <v>0.0006447342103988783</v>
      </c>
      <c r="N615" s="31">
        <f>ABS(E615-$F$6)</f>
        <v/>
      </c>
      <c r="O615" s="31">
        <f>ABS(E615-$F$7)</f>
        <v/>
      </c>
      <c r="P615" s="31">
        <f>ABS(E615-$F$8)</f>
        <v/>
      </c>
      <c r="Q615" s="14">
        <f>IF(K615&gt;=MAX(L615,M615), "Hemat", IF(L615&gt;=M615, "Balanced", "Premium"))</f>
        <v/>
      </c>
      <c r="R615" s="30" t="n">
        <v>0.9895566542341836</v>
      </c>
      <c r="S615" s="30" t="n">
        <v>0.00979861139170024</v>
      </c>
      <c r="T615" s="30" t="n">
        <v>0.00064473437411607</v>
      </c>
      <c r="U615" s="31">
        <f>ABS(E615-$G$6)</f>
        <v/>
      </c>
      <c r="V615" s="31">
        <f>ABS(E615-$G$7)</f>
        <v/>
      </c>
      <c r="W615" s="31">
        <f>ABS(E615-$G$8)</f>
        <v/>
      </c>
      <c r="X615" s="14">
        <f>IF(R615&gt;=MAX(S615,T615), "Hemat", IF(S615&gt;=T615, "Balanced", "Premium"))</f>
        <v/>
      </c>
    </row>
    <row r="616">
      <c r="A616" s="14" t="n">
        <v>623</v>
      </c>
      <c r="B616" s="7" t="inlineStr">
        <is>
          <t>Ndayungadventure</t>
        </is>
      </c>
      <c r="C616" s="26" t="n">
        <v>-8.0140726</v>
      </c>
      <c r="D616" s="26" t="n">
        <v>112.8533603</v>
      </c>
      <c r="E616" s="21" t="n">
        <v>195000</v>
      </c>
      <c r="F616" s="27" t="n">
        <v>4.5</v>
      </c>
      <c r="G616" s="28" t="n">
        <v>192</v>
      </c>
      <c r="H616" s="14" t="inlineStr">
        <is>
          <t>Wisata Umum</t>
        </is>
      </c>
      <c r="I616" s="29">
        <f>6371 * 2 * ASIN(SQRT(SIN(RADIANS((C616) - INDEX('Dataset_Wisata'!$C$12:$C$622, MATCH('Dashboard'!$C$9, 'Dataset_Wisata'!$A$12:$A$622, 0)))/2)^2 + COS(RADIANS(INDEX('Dataset_Wisata'!$C$12:$C$622, MATCH('Dashboard'!$C$9, 'Dataset_Wisata'!$A$12:$A$622, 0)))) * COS(RADIANS(C616)) * SIN(RADIANS((D616) - INDEX('Dataset_Wisata'!$D$12:$D$622, MATCH('Dashboard'!$C$9, 'Dataset_Wisata'!$A$12:$A$622, 0)))/2)^2)) * 1.3</f>
        <v/>
      </c>
      <c r="J616" s="21">
        <f>ROUND(I616 * IF('Dashboard'!$C$6&lt;=1, 2250, IF('Dashboard'!$C$6&lt;=4, 5150, 6000)), 0)</f>
        <v/>
      </c>
      <c r="K616" s="30" t="n">
        <v>0.006382905918539301</v>
      </c>
      <c r="L616" s="30" t="n">
        <v>0.01043606099716179</v>
      </c>
      <c r="M616" s="30" t="n">
        <v>0.9831810330842988</v>
      </c>
      <c r="N616" s="31">
        <f>ABS(E616-$F$6)</f>
        <v/>
      </c>
      <c r="O616" s="31">
        <f>ABS(E616-$F$7)</f>
        <v/>
      </c>
      <c r="P616" s="31">
        <f>ABS(E616-$F$8)</f>
        <v/>
      </c>
      <c r="Q616" s="14">
        <f>IF(K616&gt;=MAX(L616,M616), "Hemat", IF(L616&gt;=M616, "Balanced", "Premium"))</f>
        <v/>
      </c>
      <c r="R616" s="30" t="n">
        <v>0.006382903203423195</v>
      </c>
      <c r="S616" s="30" t="n">
        <v>0.0104360574285197</v>
      </c>
      <c r="T616" s="30" t="n">
        <v>0.9831810393680571</v>
      </c>
      <c r="U616" s="31">
        <f>ABS(E616-$G$6)</f>
        <v/>
      </c>
      <c r="V616" s="31">
        <f>ABS(E616-$G$7)</f>
        <v/>
      </c>
      <c r="W616" s="31">
        <f>ABS(E616-$G$8)</f>
        <v/>
      </c>
      <c r="X616" s="14">
        <f>IF(R616&gt;=MAX(S616,T616), "Hemat", IF(S616&gt;=T616, "Balanced", "Premium"))</f>
        <v/>
      </c>
    </row>
    <row r="617">
      <c r="A617" s="14" t="n">
        <v>624</v>
      </c>
      <c r="B617" s="7" t="inlineStr">
        <is>
          <t>Pantai Sipelot</t>
        </is>
      </c>
      <c r="C617" s="26" t="n">
        <v>-8.3806178</v>
      </c>
      <c r="D617" s="26" t="n">
        <v>112.8992311</v>
      </c>
      <c r="E617" s="21" t="n">
        <v>3000</v>
      </c>
      <c r="F617" s="27" t="n">
        <v>4.4</v>
      </c>
      <c r="G617" s="28" t="n">
        <v>833</v>
      </c>
      <c r="H617" s="14" t="inlineStr">
        <is>
          <t>Pantai Sipelot</t>
        </is>
      </c>
      <c r="I617" s="29">
        <f>6371 * 2 * ASIN(SQRT(SIN(RADIANS((C617) - INDEX('Dataset_Wisata'!$C$12:$C$622, MATCH('Dashboard'!$C$9, 'Dataset_Wisata'!$A$12:$A$622, 0)))/2)^2 + COS(RADIANS(INDEX('Dataset_Wisata'!$C$12:$C$622, MATCH('Dashboard'!$C$9, 'Dataset_Wisata'!$A$12:$A$622, 0)))) * COS(RADIANS(C617)) * SIN(RADIANS((D617) - INDEX('Dataset_Wisata'!$D$12:$D$622, MATCH('Dashboard'!$C$9, 'Dataset_Wisata'!$A$12:$A$622, 0)))/2)^2)) * 1.3</f>
        <v/>
      </c>
      <c r="J617" s="21">
        <f>ROUND(I617 * IF('Dashboard'!$C$6&lt;=1, 2250, IF('Dashboard'!$C$6&lt;=4, 5150, 6000)), 0)</f>
        <v/>
      </c>
      <c r="K617" s="30" t="n">
        <v>0.9800529386550435</v>
      </c>
      <c r="L617" s="30" t="n">
        <v>0.01863901730741549</v>
      </c>
      <c r="M617" s="30" t="n">
        <v>0.001308044037540998</v>
      </c>
      <c r="N617" s="31">
        <f>ABS(E617-$F$6)</f>
        <v/>
      </c>
      <c r="O617" s="31">
        <f>ABS(E617-$F$7)</f>
        <v/>
      </c>
      <c r="P617" s="31">
        <f>ABS(E617-$F$8)</f>
        <v/>
      </c>
      <c r="Q617" s="14">
        <f>IF(K617&gt;=MAX(L617,M617), "Hemat", IF(L617&gt;=M617, "Balanced", "Premium"))</f>
        <v/>
      </c>
      <c r="R617" s="30" t="n">
        <v>0.9800529398761559</v>
      </c>
      <c r="S617" s="30" t="n">
        <v>0.01863901586968426</v>
      </c>
      <c r="T617" s="30" t="n">
        <v>0.001308044254159759</v>
      </c>
      <c r="U617" s="31">
        <f>ABS(E617-$G$6)</f>
        <v/>
      </c>
      <c r="V617" s="31">
        <f>ABS(E617-$G$7)</f>
        <v/>
      </c>
      <c r="W617" s="31">
        <f>ABS(E617-$G$8)</f>
        <v/>
      </c>
      <c r="X617" s="14">
        <f>IF(R617&gt;=MAX(S617,T617), "Hemat", IF(S617&gt;=T617, "Balanced", "Premium"))</f>
        <v/>
      </c>
    </row>
    <row r="618">
      <c r="A618" s="14" t="n">
        <v>625</v>
      </c>
      <c r="B618" s="7" t="inlineStr">
        <is>
          <t>Pondok banteng</t>
        </is>
      </c>
      <c r="C618" s="26" t="n">
        <v>-8.1506434</v>
      </c>
      <c r="D618" s="26" t="n">
        <v>112.8815151</v>
      </c>
      <c r="E618" s="21" t="n">
        <v>0</v>
      </c>
      <c r="F618" s="27" t="n">
        <v>4.7</v>
      </c>
      <c r="G618" s="28" t="n">
        <v>32</v>
      </c>
      <c r="H618" s="14" t="inlineStr">
        <is>
          <t>Wisata Umum</t>
        </is>
      </c>
      <c r="I618" s="29">
        <f>6371 * 2 * ASIN(SQRT(SIN(RADIANS((C618) - INDEX('Dataset_Wisata'!$C$12:$C$622, MATCH('Dashboard'!$C$9, 'Dataset_Wisata'!$A$12:$A$622, 0)))/2)^2 + COS(RADIANS(INDEX('Dataset_Wisata'!$C$12:$C$622, MATCH('Dashboard'!$C$9, 'Dataset_Wisata'!$A$12:$A$622, 0)))) * COS(RADIANS(C618)) * SIN(RADIANS((D618) - INDEX('Dataset_Wisata'!$D$12:$D$622, MATCH('Dashboard'!$C$9, 'Dataset_Wisata'!$A$12:$A$622, 0)))/2)^2)) * 1.3</f>
        <v/>
      </c>
      <c r="J618" s="21">
        <f>ROUND(I618 * IF('Dashboard'!$C$6&lt;=1, 2250, IF('Dashboard'!$C$6&lt;=4, 5150, 6000)), 0)</f>
        <v/>
      </c>
      <c r="K618" s="30" t="n">
        <v>0.9626824510005771</v>
      </c>
      <c r="L618" s="30" t="n">
        <v>0.03465542295845363</v>
      </c>
      <c r="M618" s="30" t="n">
        <v>0.002662126040969366</v>
      </c>
      <c r="N618" s="31">
        <f>ABS(E618-$F$6)</f>
        <v/>
      </c>
      <c r="O618" s="31">
        <f>ABS(E618-$F$7)</f>
        <v/>
      </c>
      <c r="P618" s="31">
        <f>ABS(E618-$F$8)</f>
        <v/>
      </c>
      <c r="Q618" s="14">
        <f>IF(K618&gt;=MAX(L618,M618), "Hemat", IF(L618&gt;=M618, "Balanced", "Premium"))</f>
        <v/>
      </c>
      <c r="R618" s="30" t="n">
        <v>0.9626824549241798</v>
      </c>
      <c r="S618" s="30" t="n">
        <v>0.03465541875469833</v>
      </c>
      <c r="T618" s="30" t="n">
        <v>0.002662126321121907</v>
      </c>
      <c r="U618" s="31">
        <f>ABS(E618-$G$6)</f>
        <v/>
      </c>
      <c r="V618" s="31">
        <f>ABS(E618-$G$7)</f>
        <v/>
      </c>
      <c r="W618" s="31">
        <f>ABS(E618-$G$8)</f>
        <v/>
      </c>
      <c r="X618" s="14">
        <f>IF(R618&gt;=MAX(S618,T618), "Hemat", IF(S618&gt;=T618, "Balanced", "Premium"))</f>
        <v/>
      </c>
    </row>
    <row r="619">
      <c r="A619" s="14" t="n">
        <v>626</v>
      </c>
      <c r="B619" s="7" t="inlineStr">
        <is>
          <t>Bromo Hillside</t>
        </is>
      </c>
      <c r="C619" s="26" t="n">
        <v>-7.9739736</v>
      </c>
      <c r="D619" s="26" t="n">
        <v>112.9258767</v>
      </c>
      <c r="E619" s="21" t="n">
        <v>25000</v>
      </c>
      <c r="F619" s="27" t="n">
        <v>4.7</v>
      </c>
      <c r="G619" s="28" t="n">
        <v>7157</v>
      </c>
      <c r="H619" s="14" t="inlineStr">
        <is>
          <t>Tujuan Wisata · </t>
        </is>
      </c>
      <c r="I619" s="29">
        <f>6371 * 2 * ASIN(SQRT(SIN(RADIANS((C619) - INDEX('Dataset_Wisata'!$C$12:$C$622, MATCH('Dashboard'!$C$9, 'Dataset_Wisata'!$A$12:$A$622, 0)))/2)^2 + COS(RADIANS(INDEX('Dataset_Wisata'!$C$12:$C$622, MATCH('Dashboard'!$C$9, 'Dataset_Wisata'!$A$12:$A$622, 0)))) * COS(RADIANS(C619)) * SIN(RADIANS((D619) - INDEX('Dataset_Wisata'!$D$12:$D$622, MATCH('Dashboard'!$C$9, 'Dataset_Wisata'!$A$12:$A$622, 0)))/2)^2)) * 1.3</f>
        <v/>
      </c>
      <c r="J619" s="21">
        <f>ROUND(I619 * IF('Dashboard'!$C$6&lt;=1, 2250, IF('Dashboard'!$C$6&lt;=4, 5150, 6000)), 0)</f>
        <v/>
      </c>
      <c r="K619" s="30" t="n">
        <v>0.714779317495253</v>
      </c>
      <c r="L619" s="30" t="n">
        <v>0.2780482755376564</v>
      </c>
      <c r="M619" s="30" t="n">
        <v>0.0071724069670906</v>
      </c>
      <c r="N619" s="31">
        <f>ABS(E619-$F$6)</f>
        <v/>
      </c>
      <c r="O619" s="31">
        <f>ABS(E619-$F$7)</f>
        <v/>
      </c>
      <c r="P619" s="31">
        <f>ABS(E619-$F$8)</f>
        <v/>
      </c>
      <c r="Q619" s="14">
        <f>IF(K619&gt;=MAX(L619,M619), "Hemat", IF(L619&gt;=M619, "Balanced", "Premium"))</f>
        <v/>
      </c>
      <c r="R619" s="30" t="n">
        <v>0.7147794395425007</v>
      </c>
      <c r="S619" s="30" t="n">
        <v>0.2780481531707544</v>
      </c>
      <c r="T619" s="30" t="n">
        <v>0.007172407286744955</v>
      </c>
      <c r="U619" s="31">
        <f>ABS(E619-$G$6)</f>
        <v/>
      </c>
      <c r="V619" s="31">
        <f>ABS(E619-$G$7)</f>
        <v/>
      </c>
      <c r="W619" s="31">
        <f>ABS(E619-$G$8)</f>
        <v/>
      </c>
      <c r="X619" s="14">
        <f>IF(R619&gt;=MAX(S619,T619), "Hemat", IF(S619&gt;=T619, "Balanced", "Premium"))</f>
        <v/>
      </c>
    </row>
    <row r="620">
      <c r="A620" s="14" t="n">
        <v>627</v>
      </c>
      <c r="B620" s="7" t="inlineStr">
        <is>
          <t>Pos Jemplang Bromo</t>
        </is>
      </c>
      <c r="C620" s="26" t="n">
        <v>-7.9744546</v>
      </c>
      <c r="D620" s="26" t="n">
        <v>112.9268333</v>
      </c>
      <c r="E620" s="21" t="n">
        <v>25000</v>
      </c>
      <c r="F620" s="27" t="n">
        <v>4.8</v>
      </c>
      <c r="G620" s="28" t="n">
        <v>2481</v>
      </c>
      <c r="H620" s="14" t="inlineStr">
        <is>
          <t>Wisata Umum</t>
        </is>
      </c>
      <c r="I620" s="29">
        <f>6371 * 2 * ASIN(SQRT(SIN(RADIANS((C620) - INDEX('Dataset_Wisata'!$C$12:$C$622, MATCH('Dashboard'!$C$9, 'Dataset_Wisata'!$A$12:$A$622, 0)))/2)^2 + COS(RADIANS(INDEX('Dataset_Wisata'!$C$12:$C$622, MATCH('Dashboard'!$C$9, 'Dataset_Wisata'!$A$12:$A$622, 0)))) * COS(RADIANS(C620)) * SIN(RADIANS((D620) - INDEX('Dataset_Wisata'!$D$12:$D$622, MATCH('Dashboard'!$C$9, 'Dataset_Wisata'!$A$12:$A$622, 0)))/2)^2)) * 1.3</f>
        <v/>
      </c>
      <c r="J620" s="21">
        <f>ROUND(I620 * IF('Dashboard'!$C$6&lt;=1, 2250, IF('Dashboard'!$C$6&lt;=4, 5150, 6000)), 0)</f>
        <v/>
      </c>
      <c r="K620" s="30" t="n">
        <v>0.714779317495253</v>
      </c>
      <c r="L620" s="30" t="n">
        <v>0.2780482755376564</v>
      </c>
      <c r="M620" s="30" t="n">
        <v>0.0071724069670906</v>
      </c>
      <c r="N620" s="31">
        <f>ABS(E620-$F$6)</f>
        <v/>
      </c>
      <c r="O620" s="31">
        <f>ABS(E620-$F$7)</f>
        <v/>
      </c>
      <c r="P620" s="31">
        <f>ABS(E620-$F$8)</f>
        <v/>
      </c>
      <c r="Q620" s="14">
        <f>IF(K620&gt;=MAX(L620,M620), "Hemat", IF(L620&gt;=M620, "Balanced", "Premium"))</f>
        <v/>
      </c>
      <c r="R620" s="30" t="n">
        <v>0.7147794395425007</v>
      </c>
      <c r="S620" s="30" t="n">
        <v>0.2780481531707544</v>
      </c>
      <c r="T620" s="30" t="n">
        <v>0.007172407286744955</v>
      </c>
      <c r="U620" s="31">
        <f>ABS(E620-$G$6)</f>
        <v/>
      </c>
      <c r="V620" s="31">
        <f>ABS(E620-$G$7)</f>
        <v/>
      </c>
      <c r="W620" s="31">
        <f>ABS(E620-$G$8)</f>
        <v/>
      </c>
      <c r="X620" s="14">
        <f>IF(R620&gt;=MAX(S620,T620), "Hemat", IF(S620&gt;=T620, "Balanced", "Premium"))</f>
        <v/>
      </c>
    </row>
    <row r="621">
      <c r="A621" s="14" t="n">
        <v>628</v>
      </c>
      <c r="B621" s="7" t="inlineStr">
        <is>
          <t>Coban Bidadari</t>
        </is>
      </c>
      <c r="C621" s="26" t="n">
        <v>-8.006144000000001</v>
      </c>
      <c r="D621" s="26" t="n">
        <v>112.867754</v>
      </c>
      <c r="E621" s="21" t="n">
        <v>10000</v>
      </c>
      <c r="F621" s="27" t="n">
        <v>4.5</v>
      </c>
      <c r="G621" s="28" t="n">
        <v>465</v>
      </c>
      <c r="H621" s="14" t="inlineStr">
        <is>
          <t>Wisata Umum</t>
        </is>
      </c>
      <c r="I621" s="29">
        <f>6371 * 2 * ASIN(SQRT(SIN(RADIANS((C621) - INDEX('Dataset_Wisata'!$C$12:$C$622, MATCH('Dashboard'!$C$9, 'Dataset_Wisata'!$A$12:$A$622, 0)))/2)^2 + COS(RADIANS(INDEX('Dataset_Wisata'!$C$12:$C$622, MATCH('Dashboard'!$C$9, 'Dataset_Wisata'!$A$12:$A$622, 0)))) * COS(RADIANS(C621)) * SIN(RADIANS((D621) - INDEX('Dataset_Wisata'!$D$12:$D$622, MATCH('Dashboard'!$C$9, 'Dataset_Wisata'!$A$12:$A$622, 0)))/2)^2)) * 1.3</f>
        <v/>
      </c>
      <c r="J621" s="21">
        <f>ROUND(I621 * IF('Dashboard'!$C$6&lt;=1, 2250, IF('Dashboard'!$C$6&lt;=4, 5150, 6000)), 0)</f>
        <v/>
      </c>
      <c r="K621" s="30" t="n">
        <v>0.9998126508185596</v>
      </c>
      <c r="L621" s="30" t="n">
        <v>0.0001775718391516968</v>
      </c>
      <c r="M621" s="30" t="n">
        <v>9.7773422886897e-06</v>
      </c>
      <c r="N621" s="31">
        <f>ABS(E621-$F$6)</f>
        <v/>
      </c>
      <c r="O621" s="31">
        <f>ABS(E621-$F$7)</f>
        <v/>
      </c>
      <c r="P621" s="31">
        <f>ABS(E621-$F$8)</f>
        <v/>
      </c>
      <c r="Q621" s="14">
        <f>IF(K621&gt;=MAX(L621,M621), "Hemat", IF(L621&gt;=M621, "Balanced", "Premium"))</f>
        <v/>
      </c>
      <c r="R621" s="30" t="n">
        <v>0.9998126513362043</v>
      </c>
      <c r="S621" s="30" t="n">
        <v>0.0001775713458315561</v>
      </c>
      <c r="T621" s="30" t="n">
        <v>9.777317964159987e-06</v>
      </c>
      <c r="U621" s="31">
        <f>ABS(E621-$G$6)</f>
        <v/>
      </c>
      <c r="V621" s="31">
        <f>ABS(E621-$G$7)</f>
        <v/>
      </c>
      <c r="W621" s="31">
        <f>ABS(E621-$G$8)</f>
        <v/>
      </c>
      <c r="X621" s="14">
        <f>IF(R621&gt;=MAX(S621,T621), "Hemat", IF(S621&gt;=T621, "Balanced", "Premium"))</f>
        <v/>
      </c>
    </row>
    <row r="622">
      <c r="A622" s="14" t="n">
        <v>629</v>
      </c>
      <c r="B622" s="7" t="inlineStr">
        <is>
          <t>Gapura Selamat Datang</t>
        </is>
      </c>
      <c r="C622" s="26" t="n">
        <v>-8.006195099999999</v>
      </c>
      <c r="D622" s="26" t="n">
        <v>112.8679052</v>
      </c>
      <c r="E622" s="21" t="n">
        <v>15000</v>
      </c>
      <c r="F622" s="27" t="n">
        <v>4.6</v>
      </c>
      <c r="G622" s="28" t="n">
        <v>355</v>
      </c>
      <c r="H622" s="14" t="inlineStr">
        <is>
          <t>Wisata Umum</t>
        </is>
      </c>
      <c r="I622" s="29">
        <f>6371 * 2 * ASIN(SQRT(SIN(RADIANS((C622) - INDEX('Dataset_Wisata'!$C$12:$C$622, MATCH('Dashboard'!$C$9, 'Dataset_Wisata'!$A$12:$A$622, 0)))/2)^2 + COS(RADIANS(INDEX('Dataset_Wisata'!$C$12:$C$622, MATCH('Dashboard'!$C$9, 'Dataset_Wisata'!$A$12:$A$622, 0)))) * COS(RADIANS(C622)) * SIN(RADIANS((D622) - INDEX('Dataset_Wisata'!$D$12:$D$622, MATCH('Dashboard'!$C$9, 'Dataset_Wisata'!$A$12:$A$622, 0)))/2)^2)) * 1.3</f>
        <v/>
      </c>
      <c r="J622" s="21">
        <f>ROUND(I622 * IF('Dashboard'!$C$6&lt;=1, 2250, IF('Dashboard'!$C$6&lt;=4, 5150, 6000)), 0)</f>
        <v/>
      </c>
      <c r="K622" s="30" t="n">
        <v>0.9744283047002794</v>
      </c>
      <c r="L622" s="30" t="n">
        <v>0.02447712712252609</v>
      </c>
      <c r="M622" s="30" t="n">
        <v>0.001094568177194568</v>
      </c>
      <c r="N622" s="31">
        <f>ABS(E622-$F$6)</f>
        <v/>
      </c>
      <c r="O622" s="31">
        <f>ABS(E622-$F$7)</f>
        <v/>
      </c>
      <c r="P622" s="31">
        <f>ABS(E622-$F$8)</f>
        <v/>
      </c>
      <c r="Q622" s="14">
        <f>IF(K622&gt;=MAX(L622,M622), "Hemat", IF(L622&gt;=M622, "Balanced", "Premium"))</f>
        <v/>
      </c>
      <c r="R622" s="30" t="n">
        <v>0.9744283195785179</v>
      </c>
      <c r="S622" s="30" t="n">
        <v>0.02447711252884811</v>
      </c>
      <c r="T622" s="30" t="n">
        <v>0.001094567892634054</v>
      </c>
      <c r="U622" s="31">
        <f>ABS(E622-$G$6)</f>
        <v/>
      </c>
      <c r="V622" s="31">
        <f>ABS(E622-$G$7)</f>
        <v/>
      </c>
      <c r="W622" s="31">
        <f>ABS(E622-$G$8)</f>
        <v/>
      </c>
      <c r="X622" s="14">
        <f>IF(R622&gt;=MAX(S622,T622), "Hemat", IF(S622&gt;=T622, "Balanced", "Premium"))</f>
        <v/>
      </c>
    </row>
  </sheetData>
  <mergeCells count="32">
    <mergeCell ref="P10:P11"/>
    <mergeCell ref="C10:C11"/>
    <mergeCell ref="E10:E11"/>
    <mergeCell ref="V10:V11"/>
    <mergeCell ref="A6:B6"/>
    <mergeCell ref="G10:G11"/>
    <mergeCell ref="M10:M11"/>
    <mergeCell ref="Q10:Q11"/>
    <mergeCell ref="S10:S11"/>
    <mergeCell ref="A7:B7"/>
    <mergeCell ref="B10:B11"/>
    <mergeCell ref="A1:X2"/>
    <mergeCell ref="A4:C4"/>
    <mergeCell ref="L10:L11"/>
    <mergeCell ref="X10:X11"/>
    <mergeCell ref="N10:N11"/>
    <mergeCell ref="E4:H4"/>
    <mergeCell ref="A5:B5"/>
    <mergeCell ref="A10:A11"/>
    <mergeCell ref="A8:B8"/>
    <mergeCell ref="I10:I11"/>
    <mergeCell ref="U10:U11"/>
    <mergeCell ref="K10:K11"/>
    <mergeCell ref="W10:W11"/>
    <mergeCell ref="O10:O11"/>
    <mergeCell ref="D10:D11"/>
    <mergeCell ref="R10:R11"/>
    <mergeCell ref="A9:B9"/>
    <mergeCell ref="F10:F11"/>
    <mergeCell ref="H10:H11"/>
    <mergeCell ref="T10:T11"/>
    <mergeCell ref="J10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7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5" customWidth="1" min="3" max="3"/>
    <col width="14" customWidth="1" min="4" max="4"/>
    <col width="20" customWidth="1" min="5" max="5"/>
    <col width="30" customWidth="1" min="6" max="6"/>
    <col width="28" customWidth="1" min="7" max="7"/>
    <col width="21" customWidth="1" min="8" max="8"/>
    <col width="15" customWidth="1" min="9" max="9"/>
    <col width="15" customWidth="1" min="10" max="10"/>
    <col width="25" customWidth="1" min="11" max="11"/>
    <col width="25" customWidth="1" min="12" max="12"/>
    <col width="2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5" customWidth="1" min="18" max="18"/>
    <col width="25" customWidth="1" min="19" max="19"/>
    <col width="2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PRE-PROCESSING &amp; CLUSTERING FUZZY C-MEANS - HOTEL</t>
        </is>
      </c>
    </row>
    <row r="2"/>
    <row r="3"/>
    <row r="4">
      <c r="A4" s="2" t="inlineStr">
        <is>
          <t>METADATA &amp; PARAMETER ALGORITMA</t>
        </is>
      </c>
      <c r="E4" s="2" t="inlineStr">
        <is>
          <t>PUSAT KLASTER (CENTROID FINAL) - PERSAMAAN [2.2]</t>
        </is>
      </c>
    </row>
    <row r="5">
      <c r="A5" s="11" t="inlineStr">
        <is>
          <t>Banyak Sampel (n)</t>
        </is>
      </c>
      <c r="B5" s="4" t="n"/>
      <c r="C5" s="19">
        <f>COUNTA(B12:B478)</f>
        <v/>
      </c>
      <c r="E5" s="10" t="inlineStr">
        <is>
          <t>Kelas Klaster</t>
        </is>
      </c>
      <c r="F5" s="10" t="inlineStr">
        <is>
          <t>Standard Centroid (Formula)</t>
        </is>
      </c>
      <c r="G5" s="10" t="inlineStr">
        <is>
          <t>Budget Centroid (Formula)</t>
        </is>
      </c>
      <c r="H5" s="10" t="inlineStr">
        <is>
          <t>Target Anchor (Rp)</t>
        </is>
      </c>
    </row>
    <row r="6">
      <c r="A6" s="11" t="inlineStr">
        <is>
          <t>Fuzzifier (m)</t>
        </is>
      </c>
      <c r="B6" s="4" t="n"/>
      <c r="C6" s="19" t="n">
        <v>2</v>
      </c>
      <c r="E6" s="20" t="inlineStr">
        <is>
          <t>MURAH / HEMAT</t>
        </is>
      </c>
      <c r="F6" s="13">
        <f>IF(SUMSQ(K12:K478)=0, 0, SUMPRODUCT(K12:K478, K12:K478, E12:E478) / SUMSQ(K12:K478))</f>
        <v/>
      </c>
      <c r="G6" s="13">
        <f>IF(SUMSQ(R12:R478)=0, 0, SUMPRODUCT(R12:R478, R12:R478, E12:E478) / SUMSQ(R12:R478))</f>
        <v/>
      </c>
      <c r="H6" s="21">
        <f>'Dashboard'!$E$16 * 0.6</f>
        <v/>
      </c>
    </row>
    <row r="7">
      <c r="A7" s="11" t="inlineStr">
        <is>
          <t>Epsilon Toleransi (e)</t>
        </is>
      </c>
      <c r="B7" s="4" t="n"/>
      <c r="C7" s="19" t="n">
        <v>1e-05</v>
      </c>
      <c r="E7" s="22" t="inlineStr">
        <is>
          <t>SEDANG / BALANCED</t>
        </is>
      </c>
      <c r="F7" s="13">
        <f>IF(SUMSQ(L12:L478)=0, 0, SUMPRODUCT(L12:L478, L12:L478, E12:E478) / SUMSQ(L12:L478))</f>
        <v/>
      </c>
      <c r="G7" s="13">
        <f>IF(SUMSQ(S12:S478)=0, 0, SUMPRODUCT(S12:S478, S12:S478, E12:E478) / SUMSQ(S12:S478))</f>
        <v/>
      </c>
      <c r="H7" s="21">
        <f>'Dashboard'!$E$16 * 1.0</f>
        <v/>
      </c>
    </row>
    <row r="8">
      <c r="A8" s="11" t="inlineStr">
        <is>
          <t>Jumlah Iterasi Std (t)</t>
        </is>
      </c>
      <c r="B8" s="4" t="n"/>
      <c r="C8" s="19" t="n">
        <v>93</v>
      </c>
      <c r="E8" s="23" t="inlineStr">
        <is>
          <t>MAHAL / PREMIUM</t>
        </is>
      </c>
      <c r="F8" s="13">
        <f>IF(SUMSQ(M12:M478)=0, 0, SUMPRODUCT(M12:M478, M12:M478, E12:E478) / SUMSQ(M12:M478))</f>
        <v/>
      </c>
      <c r="G8" s="13">
        <f>IF(SUMSQ(T12:T478)=0, 0, SUMPRODUCT(T12:T478, T12:T478, E12:E478) / SUMSQ(T12:T478))</f>
        <v/>
      </c>
      <c r="H8" s="21">
        <f>'Dashboard'!$E$16 * 1.4</f>
        <v/>
      </c>
    </row>
    <row r="9">
      <c r="A9" s="11" t="inlineStr">
        <is>
          <t>Jumlah Iterasi Bgt (t)</t>
        </is>
      </c>
      <c r="B9" s="4" t="n"/>
      <c r="C9" s="19" t="n">
        <v>145</v>
      </c>
    </row>
    <row r="10">
      <c r="A10" s="24" t="inlineStr">
        <is>
          <t>ID Tempat</t>
        </is>
      </c>
      <c r="B10" s="24" t="inlineStr">
        <is>
          <t>Nama Tempat</t>
        </is>
      </c>
      <c r="C10" s="24" t="inlineStr">
        <is>
          <t>Latitude</t>
        </is>
      </c>
      <c r="D10" s="24" t="inlineStr">
        <is>
          <t>Longitude</t>
        </is>
      </c>
      <c r="E10" s="24" t="inlineStr">
        <is>
          <t>Harga (Rp)</t>
        </is>
      </c>
      <c r="F10" s="24" t="inlineStr">
        <is>
          <t>Rating</t>
        </is>
      </c>
      <c r="G10" s="24" t="inlineStr">
        <is>
          <t>Jumlah Ulasan</t>
        </is>
      </c>
      <c r="H10" s="24" t="inlineStr">
        <is>
          <t>Kategori</t>
        </is>
      </c>
      <c r="I10" s="24" t="inlineStr">
        <is>
          <t>Jarak Target (km)</t>
        </is>
      </c>
      <c r="J10" s="24" t="inlineStr">
        <is>
          <t>Estimasi Ongkir (Rp)</t>
        </is>
      </c>
      <c r="K10" s="24" t="inlineStr">
        <is>
          <t>U_Hemat (Std)</t>
        </is>
      </c>
      <c r="L10" s="24" t="inlineStr">
        <is>
          <t>U_Balanced (Std)</t>
        </is>
      </c>
      <c r="M10" s="24" t="inlineStr">
        <is>
          <t>U_Premium (Std)</t>
        </is>
      </c>
      <c r="N10" s="24" t="inlineStr">
        <is>
          <t>Dist_Hemat (Std)</t>
        </is>
      </c>
      <c r="O10" s="24" t="inlineStr">
        <is>
          <t>Dist_Balanced (Std)</t>
        </is>
      </c>
      <c r="P10" s="24" t="inlineStr">
        <is>
          <t>Dist_Premium (Std)</t>
        </is>
      </c>
      <c r="Q10" s="24" t="inlineStr">
        <is>
          <t>Cluster (Std)</t>
        </is>
      </c>
      <c r="R10" s="24" t="inlineStr">
        <is>
          <t>U_Hemat (Bgt)</t>
        </is>
      </c>
      <c r="S10" s="24" t="inlineStr">
        <is>
          <t>U_Balanced (Bgt)</t>
        </is>
      </c>
      <c r="T10" s="24" t="inlineStr">
        <is>
          <t>U_Premium (Bgt)</t>
        </is>
      </c>
      <c r="U10" s="24" t="inlineStr">
        <is>
          <t>Dist_Hemat (Bgt)</t>
        </is>
      </c>
      <c r="V10" s="24" t="inlineStr">
        <is>
          <t>Dist_Balanced (Bgt)</t>
        </is>
      </c>
      <c r="W10" s="24" t="inlineStr">
        <is>
          <t>Dist_Premium (Bgt)</t>
        </is>
      </c>
      <c r="X10" s="24" t="inlineStr">
        <is>
          <t>Cluster (Bgt)</t>
        </is>
      </c>
    </row>
    <row r="11">
      <c r="A11" s="25" t="n"/>
    </row>
    <row r="12">
      <c r="A12" s="14" t="n">
        <v>1</v>
      </c>
      <c r="B12" s="7" t="inlineStr">
        <is>
          <t>Selorejo Hotel &amp; Resort</t>
        </is>
      </c>
      <c r="C12" s="26" t="n">
        <v>-7.8807182</v>
      </c>
      <c r="D12" s="26" t="n">
        <v>112.3619012</v>
      </c>
      <c r="E12" s="21" t="n">
        <v>294840</v>
      </c>
      <c r="F12" s="27" t="n">
        <v>0</v>
      </c>
      <c r="G12" s="28" t="n">
        <v>0</v>
      </c>
      <c r="H12" s="14" t="inlineStr">
        <is>
          <t>N/A</t>
        </is>
      </c>
      <c r="I12" s="29">
        <f>6371 * 2 * ASIN(SQRT(SIN(RADIANS((C12) - INDEX('Dataset_Wisata'!$C$12:$C$622, MATCH('Dashboard'!$C$9, 'Dataset_Wisata'!$A$12:$A$622, 0)))/2)^2 + COS(RADIANS(INDEX('Dataset_Wisata'!$C$12:$C$622, MATCH('Dashboard'!$C$9, 'Dataset_Wisata'!$A$12:$A$622, 0)))) * COS(RADIANS(C12)) * SIN(RADIANS((D12) - INDEX('Dataset_Wisata'!$D$12:$D$622, MATCH('Dashboard'!$C$9, 'Dataset_Wisata'!$A$12:$A$622, 0)))/2)^2)) * 1.3</f>
        <v/>
      </c>
      <c r="J12" s="21">
        <f>ROUND(I12 * IF('Dashboard'!$C$6&lt;=1, 2250, IF('Dashboard'!$C$6&lt;=4, 5150, 6000)), 0)</f>
        <v/>
      </c>
      <c r="K12" s="30" t="n">
        <v>0.06650268194389934</v>
      </c>
      <c r="L12" s="30" t="n">
        <v>0.7907938432938086</v>
      </c>
      <c r="M12" s="30" t="n">
        <v>0.1427034747622921</v>
      </c>
      <c r="N12" s="31">
        <f>ABS(E12-$F$6)</f>
        <v/>
      </c>
      <c r="O12" s="31">
        <f>ABS(E12-$F$7)</f>
        <v/>
      </c>
      <c r="P12" s="31">
        <f>ABS(E12-$F$8)</f>
        <v/>
      </c>
      <c r="Q12" s="14">
        <f>IF(K12&gt;=MAX(L12,M12), "Hemat", IF(L12&gt;=M12, "Balanced", "Premium"))</f>
        <v/>
      </c>
      <c r="R12" s="30" t="n">
        <v>0.06650148214885784</v>
      </c>
      <c r="S12" s="30" t="n">
        <v>0.7908021359200155</v>
      </c>
      <c r="T12" s="30" t="n">
        <v>0.1426963819311267</v>
      </c>
      <c r="U12" s="31">
        <f>ABS(E12-$G$6)</f>
        <v/>
      </c>
      <c r="V12" s="31">
        <f>ABS(E12-$G$7)</f>
        <v/>
      </c>
      <c r="W12" s="31">
        <f>ABS(E12-$G$8)</f>
        <v/>
      </c>
      <c r="X12" s="14">
        <f>IF(R12&gt;=MAX(S12,T12), "Hemat", IF(S12&gt;=T12, "Balanced", "Premium"))</f>
        <v/>
      </c>
    </row>
    <row r="13">
      <c r="A13" s="14" t="n">
        <v>2</v>
      </c>
      <c r="B13" s="7" t="inlineStr">
        <is>
          <t>Grand Pujon View Hotel and Resort</t>
        </is>
      </c>
      <c r="C13" s="26" t="n">
        <v>-7.8540616</v>
      </c>
      <c r="D13" s="26" t="n">
        <v>112.4925233</v>
      </c>
      <c r="E13" s="21" t="n">
        <v>314885</v>
      </c>
      <c r="F13" s="27" t="n">
        <v>0</v>
      </c>
      <c r="G13" s="28" t="n">
        <v>0</v>
      </c>
      <c r="H13" s="14" t="inlineStr">
        <is>
          <t>N/A</t>
        </is>
      </c>
      <c r="I13" s="29">
        <f>6371 * 2 * ASIN(SQRT(SIN(RADIANS((C13) - INDEX('Dataset_Wisata'!$C$12:$C$622, MATCH('Dashboard'!$C$9, 'Dataset_Wisata'!$A$12:$A$622, 0)))/2)^2 + COS(RADIANS(INDEX('Dataset_Wisata'!$C$12:$C$622, MATCH('Dashboard'!$C$9, 'Dataset_Wisata'!$A$12:$A$622, 0)))) * COS(RADIANS(C13)) * SIN(RADIANS((D13) - INDEX('Dataset_Wisata'!$D$12:$D$622, MATCH('Dashboard'!$C$9, 'Dataset_Wisata'!$A$12:$A$622, 0)))/2)^2)) * 1.3</f>
        <v/>
      </c>
      <c r="J13" s="21">
        <f>ROUND(I13 * IF('Dashboard'!$C$6&lt;=1, 2250, IF('Dashboard'!$C$6&lt;=4, 5150, 6000)), 0)</f>
        <v/>
      </c>
      <c r="K13" s="30" t="n">
        <v>0.08044757660758307</v>
      </c>
      <c r="L13" s="30" t="n">
        <v>0.6050167169076811</v>
      </c>
      <c r="M13" s="30" t="n">
        <v>0.3145357064847357</v>
      </c>
      <c r="N13" s="31">
        <f>ABS(E13-$F$6)</f>
        <v/>
      </c>
      <c r="O13" s="31">
        <f>ABS(E13-$F$7)</f>
        <v/>
      </c>
      <c r="P13" s="31">
        <f>ABS(E13-$F$8)</f>
        <v/>
      </c>
      <c r="Q13" s="14">
        <f>IF(K13&gt;=MAX(L13,M13), "Hemat", IF(L13&gt;=M13, "Balanced", "Premium"))</f>
        <v/>
      </c>
      <c r="R13" s="30" t="n">
        <v>0.0804475589314501</v>
      </c>
      <c r="S13" s="30" t="n">
        <v>0.6050285637249375</v>
      </c>
      <c r="T13" s="30" t="n">
        <v>0.3145238773436123</v>
      </c>
      <c r="U13" s="31">
        <f>ABS(E13-$G$6)</f>
        <v/>
      </c>
      <c r="V13" s="31">
        <f>ABS(E13-$G$7)</f>
        <v/>
      </c>
      <c r="W13" s="31">
        <f>ABS(E13-$G$8)</f>
        <v/>
      </c>
      <c r="X13" s="14">
        <f>IF(R13&gt;=MAX(S13,T13), "Hemat", IF(S13&gt;=T13, "Balanced", "Premium"))</f>
        <v/>
      </c>
    </row>
    <row r="14">
      <c r="A14" s="14" t="n">
        <v>3</v>
      </c>
      <c r="B14" s="7" t="inlineStr">
        <is>
          <t>Hotel Panorama</t>
        </is>
      </c>
      <c r="C14" s="26" t="n">
        <v>-7.862986</v>
      </c>
      <c r="D14" s="26" t="n">
        <v>112.481787</v>
      </c>
      <c r="E14" s="21" t="n">
        <v>393589</v>
      </c>
      <c r="F14" s="27" t="n">
        <v>0</v>
      </c>
      <c r="G14" s="28" t="n">
        <v>0</v>
      </c>
      <c r="H14" s="14" t="inlineStr">
        <is>
          <t>N/A</t>
        </is>
      </c>
      <c r="I14" s="29">
        <f>6371 * 2 * ASIN(SQRT(SIN(RADIANS((C14) - INDEX('Dataset_Wisata'!$C$12:$C$622, MATCH('Dashboard'!$C$9, 'Dataset_Wisata'!$A$12:$A$622, 0)))/2)^2 + COS(RADIANS(INDEX('Dataset_Wisata'!$C$12:$C$622, MATCH('Dashboard'!$C$9, 'Dataset_Wisata'!$A$12:$A$622, 0)))) * COS(RADIANS(C14)) * SIN(RADIANS((D14) - INDEX('Dataset_Wisata'!$D$12:$D$622, MATCH('Dashboard'!$C$9, 'Dataset_Wisata'!$A$12:$A$622, 0)))/2)^2)) * 1.3</f>
        <v/>
      </c>
      <c r="J14" s="21">
        <f>ROUND(I14 * IF('Dashboard'!$C$6&lt;=1, 2250, IF('Dashboard'!$C$6&lt;=4, 5150, 6000)), 0)</f>
        <v/>
      </c>
      <c r="K14" s="30" t="n">
        <v>0.004244159201687431</v>
      </c>
      <c r="L14" s="30" t="n">
        <v>0.01401495942666061</v>
      </c>
      <c r="M14" s="30" t="n">
        <v>0.9817408813716519</v>
      </c>
      <c r="N14" s="31">
        <f>ABS(E14-$F$6)</f>
        <v/>
      </c>
      <c r="O14" s="31">
        <f>ABS(E14-$F$7)</f>
        <v/>
      </c>
      <c r="P14" s="31">
        <f>ABS(E14-$F$8)</f>
        <v/>
      </c>
      <c r="Q14" s="14">
        <f>IF(K14&gt;=MAX(L14,M14), "Hemat", IF(L14&gt;=M14, "Balanced", "Premium"))</f>
        <v/>
      </c>
      <c r="R14" s="30" t="n">
        <v>0.004244958536948627</v>
      </c>
      <c r="S14" s="30" t="n">
        <v>0.01401772095105188</v>
      </c>
      <c r="T14" s="30" t="n">
        <v>0.9817373205119996</v>
      </c>
      <c r="U14" s="31">
        <f>ABS(E14-$G$6)</f>
        <v/>
      </c>
      <c r="V14" s="31">
        <f>ABS(E14-$G$7)</f>
        <v/>
      </c>
      <c r="W14" s="31">
        <f>ABS(E14-$G$8)</f>
        <v/>
      </c>
      <c r="X14" s="14">
        <f>IF(R14&gt;=MAX(S14,T14), "Hemat", IF(S14&gt;=T14, "Balanced", "Premium"))</f>
        <v/>
      </c>
    </row>
    <row r="15">
      <c r="A15" s="14" t="n">
        <v>4</v>
      </c>
      <c r="B15" s="7" t="inlineStr">
        <is>
          <t>PHR GT2.BALEKAMBANG PENGINAPAN PANTAI</t>
        </is>
      </c>
      <c r="C15" s="26" t="n">
        <v>-8.4028241</v>
      </c>
      <c r="D15" s="26" t="n">
        <v>112.5408897</v>
      </c>
      <c r="E15" s="21" t="n">
        <v>150000</v>
      </c>
      <c r="F15" s="27" t="n">
        <v>0</v>
      </c>
      <c r="G15" s="28" t="n">
        <v>0</v>
      </c>
      <c r="H15" s="14" t="inlineStr">
        <is>
          <t>N/A</t>
        </is>
      </c>
      <c r="I15" s="29">
        <f>6371 * 2 * ASIN(SQRT(SIN(RADIANS((C15) - INDEX('Dataset_Wisata'!$C$12:$C$622, MATCH('Dashboard'!$C$9, 'Dataset_Wisata'!$A$12:$A$622, 0)))/2)^2 + COS(RADIANS(INDEX('Dataset_Wisata'!$C$12:$C$622, MATCH('Dashboard'!$C$9, 'Dataset_Wisata'!$A$12:$A$622, 0)))) * COS(RADIANS(C15)) * SIN(RADIANS((D15) - INDEX('Dataset_Wisata'!$D$12:$D$622, MATCH('Dashboard'!$C$9, 'Dataset_Wisata'!$A$12:$A$622, 0)))/2)^2)) * 1.3</f>
        <v/>
      </c>
      <c r="J15" s="21">
        <f>ROUND(I15 * IF('Dashboard'!$C$6&lt;=1, 2250, IF('Dashboard'!$C$6&lt;=4, 5150, 6000)), 0)</f>
        <v/>
      </c>
      <c r="K15" s="30" t="n">
        <v>0.9236568385235482</v>
      </c>
      <c r="L15" s="30" t="n">
        <v>0.06736899151285153</v>
      </c>
      <c r="M15" s="30" t="n">
        <v>0.008974169963600275</v>
      </c>
      <c r="N15" s="31">
        <f>ABS(E15-$F$6)</f>
        <v/>
      </c>
      <c r="O15" s="31">
        <f>ABS(E15-$F$7)</f>
        <v/>
      </c>
      <c r="P15" s="31">
        <f>ABS(E15-$F$8)</f>
        <v/>
      </c>
      <c r="Q15" s="14">
        <f>IF(K15&gt;=MAX(L15,M15), "Hemat", IF(L15&gt;=M15, "Balanced", "Premium"))</f>
        <v/>
      </c>
      <c r="R15" s="30" t="n">
        <v>0.9236592327110943</v>
      </c>
      <c r="S15" s="30" t="n">
        <v>0.0673668524262508</v>
      </c>
      <c r="T15" s="30" t="n">
        <v>0.008973914862654904</v>
      </c>
      <c r="U15" s="31">
        <f>ABS(E15-$G$6)</f>
        <v/>
      </c>
      <c r="V15" s="31">
        <f>ABS(E15-$G$7)</f>
        <v/>
      </c>
      <c r="W15" s="31">
        <f>ABS(E15-$G$8)</f>
        <v/>
      </c>
      <c r="X15" s="14">
        <f>IF(R15&gt;=MAX(S15,T15), "Hemat", IF(S15&gt;=T15, "Balanced", "Premium"))</f>
        <v/>
      </c>
    </row>
    <row r="16">
      <c r="A16" s="14" t="n">
        <v>5</v>
      </c>
      <c r="B16" s="7" t="inlineStr">
        <is>
          <t>OYO 3289 Penginapan Dita Family</t>
        </is>
      </c>
      <c r="C16" s="26" t="n">
        <v>-8.159145799999999</v>
      </c>
      <c r="D16" s="26" t="n">
        <v>112.4592795</v>
      </c>
      <c r="E16" s="21" t="n">
        <v>68656</v>
      </c>
      <c r="F16" s="27" t="n">
        <v>0</v>
      </c>
      <c r="G16" s="28" t="n">
        <v>0</v>
      </c>
      <c r="H16" s="14" t="inlineStr">
        <is>
          <t>N/A</t>
        </is>
      </c>
      <c r="I16" s="29">
        <f>6371 * 2 * ASIN(SQRT(SIN(RADIANS((C16) - INDEX('Dataset_Wisata'!$C$12:$C$622, MATCH('Dashboard'!$C$9, 'Dataset_Wisata'!$A$12:$A$622, 0)))/2)^2 + COS(RADIANS(INDEX('Dataset_Wisata'!$C$12:$C$622, MATCH('Dashboard'!$C$9, 'Dataset_Wisata'!$A$12:$A$622, 0)))) * COS(RADIANS(C16)) * SIN(RADIANS((D16) - INDEX('Dataset_Wisata'!$D$12:$D$622, MATCH('Dashboard'!$C$9, 'Dataset_Wisata'!$A$12:$A$622, 0)))/2)^2)) * 1.3</f>
        <v/>
      </c>
      <c r="J16" s="21">
        <f>ROUND(I16 * IF('Dashboard'!$C$6&lt;=1, 2250, IF('Dashboard'!$C$6&lt;=4, 5150, 6000)), 0)</f>
        <v/>
      </c>
      <c r="K16" s="30" t="n">
        <v>0.8886736819324947</v>
      </c>
      <c r="L16" s="30" t="n">
        <v>0.08793677961713334</v>
      </c>
      <c r="M16" s="30" t="n">
        <v>0.02338953845037199</v>
      </c>
      <c r="N16" s="31">
        <f>ABS(E16-$F$6)</f>
        <v/>
      </c>
      <c r="O16" s="31">
        <f>ABS(E16-$F$7)</f>
        <v/>
      </c>
      <c r="P16" s="31">
        <f>ABS(E16-$F$8)</f>
        <v/>
      </c>
      <c r="Q16" s="14">
        <f>IF(K16&gt;=MAX(L16,M16), "Hemat", IF(L16&gt;=M16, "Balanced", "Premium"))</f>
        <v/>
      </c>
      <c r="R16" s="30" t="n">
        <v>0.8886737393891149</v>
      </c>
      <c r="S16" s="30" t="n">
        <v>0.08793675416799211</v>
      </c>
      <c r="T16" s="30" t="n">
        <v>0.023389506442893</v>
      </c>
      <c r="U16" s="31">
        <f>ABS(E16-$G$6)</f>
        <v/>
      </c>
      <c r="V16" s="31">
        <f>ABS(E16-$G$7)</f>
        <v/>
      </c>
      <c r="W16" s="31">
        <f>ABS(E16-$G$8)</f>
        <v/>
      </c>
      <c r="X16" s="14">
        <f>IF(R16&gt;=MAX(S16,T16), "Hemat", IF(S16&gt;=T16, "Balanced", "Premium"))</f>
        <v/>
      </c>
    </row>
    <row r="17">
      <c r="A17" s="14" t="n">
        <v>6</v>
      </c>
      <c r="B17" s="7" t="inlineStr">
        <is>
          <t>LG Homestay</t>
        </is>
      </c>
      <c r="C17" s="26" t="n">
        <v>-8.1279916</v>
      </c>
      <c r="D17" s="26" t="n">
        <v>112.5748796</v>
      </c>
      <c r="E17" s="21" t="n">
        <v>150000</v>
      </c>
      <c r="F17" s="27" t="n">
        <v>0</v>
      </c>
      <c r="G17" s="28" t="n">
        <v>0</v>
      </c>
      <c r="H17" s="14" t="inlineStr">
        <is>
          <t>N/A</t>
        </is>
      </c>
      <c r="I17" s="29">
        <f>6371 * 2 * ASIN(SQRT(SIN(RADIANS((C17) - INDEX('Dataset_Wisata'!$C$12:$C$622, MATCH('Dashboard'!$C$9, 'Dataset_Wisata'!$A$12:$A$622, 0)))/2)^2 + COS(RADIANS(INDEX('Dataset_Wisata'!$C$12:$C$622, MATCH('Dashboard'!$C$9, 'Dataset_Wisata'!$A$12:$A$622, 0)))) * COS(RADIANS(C17)) * SIN(RADIANS((D17) - INDEX('Dataset_Wisata'!$D$12:$D$622, MATCH('Dashboard'!$C$9, 'Dataset_Wisata'!$A$12:$A$622, 0)))/2)^2)) * 1.3</f>
        <v/>
      </c>
      <c r="J17" s="21">
        <f>ROUND(I17 * IF('Dashboard'!$C$6&lt;=1, 2250, IF('Dashboard'!$C$6&lt;=4, 5150, 6000)), 0)</f>
        <v/>
      </c>
      <c r="K17" s="30" t="n">
        <v>0.9236568385235482</v>
      </c>
      <c r="L17" s="30" t="n">
        <v>0.06736899151285153</v>
      </c>
      <c r="M17" s="30" t="n">
        <v>0.008974169963600275</v>
      </c>
      <c r="N17" s="31">
        <f>ABS(E17-$F$6)</f>
        <v/>
      </c>
      <c r="O17" s="31">
        <f>ABS(E17-$F$7)</f>
        <v/>
      </c>
      <c r="P17" s="31">
        <f>ABS(E17-$F$8)</f>
        <v/>
      </c>
      <c r="Q17" s="14">
        <f>IF(K17&gt;=MAX(L17,M17), "Hemat", IF(L17&gt;=M17, "Balanced", "Premium"))</f>
        <v/>
      </c>
      <c r="R17" s="30" t="n">
        <v>0.9236592327110943</v>
      </c>
      <c r="S17" s="30" t="n">
        <v>0.0673668524262508</v>
      </c>
      <c r="T17" s="30" t="n">
        <v>0.008973914862654904</v>
      </c>
      <c r="U17" s="31">
        <f>ABS(E17-$G$6)</f>
        <v/>
      </c>
      <c r="V17" s="31">
        <f>ABS(E17-$G$7)</f>
        <v/>
      </c>
      <c r="W17" s="31">
        <f>ABS(E17-$G$8)</f>
        <v/>
      </c>
      <c r="X17" s="14">
        <f>IF(R17&gt;=MAX(S17,T17), "Hemat", IF(S17&gt;=T17, "Balanced", "Premium"))</f>
        <v/>
      </c>
    </row>
    <row r="18">
      <c r="A18" s="14" t="n">
        <v>7</v>
      </c>
      <c r="B18" s="7" t="inlineStr">
        <is>
          <t>Penginapan KaliBiru</t>
        </is>
      </c>
      <c r="C18" s="26" t="n">
        <v>-8.141466100000001</v>
      </c>
      <c r="D18" s="26" t="n">
        <v>112.5210007</v>
      </c>
      <c r="E18" s="21" t="n">
        <v>75000</v>
      </c>
      <c r="F18" s="27" t="n">
        <v>0</v>
      </c>
      <c r="G18" s="28" t="n">
        <v>0</v>
      </c>
      <c r="H18" s="14" t="inlineStr">
        <is>
          <t>N/A</t>
        </is>
      </c>
      <c r="I18" s="29">
        <f>6371 * 2 * ASIN(SQRT(SIN(RADIANS((C18) - INDEX('Dataset_Wisata'!$C$12:$C$622, MATCH('Dashboard'!$C$9, 'Dataset_Wisata'!$A$12:$A$622, 0)))/2)^2 + COS(RADIANS(INDEX('Dataset_Wisata'!$C$12:$C$622, MATCH('Dashboard'!$C$9, 'Dataset_Wisata'!$A$12:$A$622, 0)))) * COS(RADIANS(C18)) * SIN(RADIANS((D18) - INDEX('Dataset_Wisata'!$D$12:$D$622, MATCH('Dashboard'!$C$9, 'Dataset_Wisata'!$A$12:$A$622, 0)))/2)^2)) * 1.3</f>
        <v/>
      </c>
      <c r="J18" s="21">
        <f>ROUND(I18 * IF('Dashboard'!$C$6&lt;=1, 2250, IF('Dashboard'!$C$6&lt;=4, 5150, 6000)), 0)</f>
        <v/>
      </c>
      <c r="K18" s="30" t="n">
        <v>0.9049870784558036</v>
      </c>
      <c r="L18" s="30" t="n">
        <v>0.0756085840244753</v>
      </c>
      <c r="M18" s="30" t="n">
        <v>0.01940433751972108</v>
      </c>
      <c r="N18" s="31">
        <f>ABS(E18-$F$6)</f>
        <v/>
      </c>
      <c r="O18" s="31">
        <f>ABS(E18-$F$7)</f>
        <v/>
      </c>
      <c r="P18" s="31">
        <f>ABS(E18-$F$8)</f>
        <v/>
      </c>
      <c r="Q18" s="14">
        <f>IF(K18&gt;=MAX(L18,M18), "Hemat", IF(L18&gt;=M18, "Balanced", "Premium"))</f>
        <v/>
      </c>
      <c r="R18" s="30" t="n">
        <v>0.9049870603730662</v>
      </c>
      <c r="S18" s="30" t="n">
        <v>0.07560861290747396</v>
      </c>
      <c r="T18" s="30" t="n">
        <v>0.01940432671945989</v>
      </c>
      <c r="U18" s="31">
        <f>ABS(E18-$G$6)</f>
        <v/>
      </c>
      <c r="V18" s="31">
        <f>ABS(E18-$G$7)</f>
        <v/>
      </c>
      <c r="W18" s="31">
        <f>ABS(E18-$G$8)</f>
        <v/>
      </c>
      <c r="X18" s="14">
        <f>IF(R18&gt;=MAX(S18,T18), "Hemat", IF(S18&gt;=T18, "Balanced", "Premium"))</f>
        <v/>
      </c>
    </row>
    <row r="19">
      <c r="A19" s="14" t="n">
        <v>8</v>
      </c>
      <c r="B19" s="7" t="inlineStr">
        <is>
          <t>RedDoorz @ Sangnala Homestay Pakisaji</t>
        </is>
      </c>
      <c r="C19" s="26" t="n">
        <v>-8.059071599999999</v>
      </c>
      <c r="D19" s="26" t="n">
        <v>112.6015662</v>
      </c>
      <c r="E19" s="21" t="n">
        <v>141969</v>
      </c>
      <c r="F19" s="27" t="n">
        <v>0</v>
      </c>
      <c r="G19" s="28" t="n">
        <v>0</v>
      </c>
      <c r="H19" s="14" t="inlineStr">
        <is>
          <t>N/A</t>
        </is>
      </c>
      <c r="I19" s="29">
        <f>6371 * 2 * ASIN(SQRT(SIN(RADIANS((C19) - INDEX('Dataset_Wisata'!$C$12:$C$622, MATCH('Dashboard'!$C$9, 'Dataset_Wisata'!$A$12:$A$622, 0)))/2)^2 + COS(RADIANS(INDEX('Dataset_Wisata'!$C$12:$C$622, MATCH('Dashboard'!$C$9, 'Dataset_Wisata'!$A$12:$A$622, 0)))) * COS(RADIANS(C19)) * SIN(RADIANS((D19) - INDEX('Dataset_Wisata'!$D$12:$D$622, MATCH('Dashboard'!$C$9, 'Dataset_Wisata'!$A$12:$A$622, 0)))/2)^2)) * 1.3</f>
        <v/>
      </c>
      <c r="J19" s="21">
        <f>ROUND(I19 * IF('Dashboard'!$C$6&lt;=1, 2250, IF('Dashboard'!$C$6&lt;=4, 5150, 6000)), 0)</f>
        <v/>
      </c>
      <c r="K19" s="30" t="n">
        <v>0.9673827355049318</v>
      </c>
      <c r="L19" s="30" t="n">
        <v>0.02842736211354466</v>
      </c>
      <c r="M19" s="30" t="n">
        <v>0.004189902381523642</v>
      </c>
      <c r="N19" s="31">
        <f>ABS(E19-$F$6)</f>
        <v/>
      </c>
      <c r="O19" s="31">
        <f>ABS(E19-$F$7)</f>
        <v/>
      </c>
      <c r="P19" s="31">
        <f>ABS(E19-$F$8)</f>
        <v/>
      </c>
      <c r="Q19" s="14">
        <f>IF(K19&gt;=MAX(L19,M19), "Hemat", IF(L19&gt;=M19, "Balanced", "Premium"))</f>
        <v/>
      </c>
      <c r="R19" s="30" t="n">
        <v>0.9673840286261455</v>
      </c>
      <c r="S19" s="30" t="n">
        <v>0.02842622615400425</v>
      </c>
      <c r="T19" s="30" t="n">
        <v>0.004189745219850259</v>
      </c>
      <c r="U19" s="31">
        <f>ABS(E19-$G$6)</f>
        <v/>
      </c>
      <c r="V19" s="31">
        <f>ABS(E19-$G$7)</f>
        <v/>
      </c>
      <c r="W19" s="31">
        <f>ABS(E19-$G$8)</f>
        <v/>
      </c>
      <c r="X19" s="14">
        <f>IF(R19&gt;=MAX(S19,T19), "Hemat", IF(S19&gt;=T19, "Balanced", "Premium"))</f>
        <v/>
      </c>
    </row>
    <row r="20">
      <c r="A20" s="14" t="n">
        <v>9</v>
      </c>
      <c r="B20" s="7" t="inlineStr">
        <is>
          <t>House of Melati Syariah</t>
        </is>
      </c>
      <c r="C20" s="26" t="n">
        <v>-8.133626400000001</v>
      </c>
      <c r="D20" s="26" t="n">
        <v>112.5676024</v>
      </c>
      <c r="E20" s="21" t="n">
        <v>140000</v>
      </c>
      <c r="F20" s="27" t="n">
        <v>0</v>
      </c>
      <c r="G20" s="28" t="n">
        <v>0</v>
      </c>
      <c r="H20" s="14" t="inlineStr">
        <is>
          <t>N/A</t>
        </is>
      </c>
      <c r="I20" s="29">
        <f>6371 * 2 * ASIN(SQRT(SIN(RADIANS((C20) - INDEX('Dataset_Wisata'!$C$12:$C$622, MATCH('Dashboard'!$C$9, 'Dataset_Wisata'!$A$12:$A$622, 0)))/2)^2 + COS(RADIANS(INDEX('Dataset_Wisata'!$C$12:$C$622, MATCH('Dashboard'!$C$9, 'Dataset_Wisata'!$A$12:$A$622, 0)))) * COS(RADIANS(C20)) * SIN(RADIANS((D20) - INDEX('Dataset_Wisata'!$D$12:$D$622, MATCH('Dashboard'!$C$9, 'Dataset_Wisata'!$A$12:$A$622, 0)))/2)^2)) * 1.3</f>
        <v/>
      </c>
      <c r="J20" s="21">
        <f>ROUND(I20 * IF('Dashboard'!$C$6&lt;=1, 2250, IF('Dashboard'!$C$6&lt;=4, 5150, 6000)), 0)</f>
        <v/>
      </c>
      <c r="K20" s="30" t="n">
        <v>0.9749126471398158</v>
      </c>
      <c r="L20" s="30" t="n">
        <v>0.02179910977739439</v>
      </c>
      <c r="M20" s="30" t="n">
        <v>0.003288243082789615</v>
      </c>
      <c r="N20" s="31">
        <f>ABS(E20-$F$6)</f>
        <v/>
      </c>
      <c r="O20" s="31">
        <f>ABS(E20-$F$7)</f>
        <v/>
      </c>
      <c r="P20" s="31">
        <f>ABS(E20-$F$8)</f>
        <v/>
      </c>
      <c r="Q20" s="14">
        <f>IF(K20&gt;=MAX(L20,M20), "Hemat", IF(L20&gt;=M20, "Balanced", "Premium"))</f>
        <v/>
      </c>
      <c r="R20" s="30" t="n">
        <v>0.9749137235910045</v>
      </c>
      <c r="S20" s="30" t="n">
        <v>0.02179816795629721</v>
      </c>
      <c r="T20" s="30" t="n">
        <v>0.003288108452698463</v>
      </c>
      <c r="U20" s="31">
        <f>ABS(E20-$G$6)</f>
        <v/>
      </c>
      <c r="V20" s="31">
        <f>ABS(E20-$G$7)</f>
        <v/>
      </c>
      <c r="W20" s="31">
        <f>ABS(E20-$G$8)</f>
        <v/>
      </c>
      <c r="X20" s="14">
        <f>IF(R20&gt;=MAX(S20,T20), "Hemat", IF(S20&gt;=T20, "Balanced", "Premium"))</f>
        <v/>
      </c>
    </row>
    <row r="21">
      <c r="A21" s="14" t="n">
        <v>10</v>
      </c>
      <c r="B21" s="7" t="inlineStr">
        <is>
          <t>SPOT ON 90797 Sukun Syariah Homestay</t>
        </is>
      </c>
      <c r="C21" s="26" t="n">
        <v>-8.0091813</v>
      </c>
      <c r="D21" s="26" t="n">
        <v>112.6203767</v>
      </c>
      <c r="E21" s="21" t="n">
        <v>58306</v>
      </c>
      <c r="F21" s="27" t="n">
        <v>0</v>
      </c>
      <c r="G21" s="28" t="n">
        <v>0</v>
      </c>
      <c r="H21" s="14" t="inlineStr">
        <is>
          <t>N/A</t>
        </is>
      </c>
      <c r="I21" s="29">
        <f>6371 * 2 * ASIN(SQRT(SIN(RADIANS((C21) - INDEX('Dataset_Wisata'!$C$12:$C$622, MATCH('Dashboard'!$C$9, 'Dataset_Wisata'!$A$12:$A$622, 0)))/2)^2 + COS(RADIANS(INDEX('Dataset_Wisata'!$C$12:$C$622, MATCH('Dashboard'!$C$9, 'Dataset_Wisata'!$A$12:$A$622, 0)))) * COS(RADIANS(C21)) * SIN(RADIANS((D21) - INDEX('Dataset_Wisata'!$D$12:$D$622, MATCH('Dashboard'!$C$9, 'Dataset_Wisata'!$A$12:$A$622, 0)))/2)^2)) * 1.3</f>
        <v/>
      </c>
      <c r="J21" s="21">
        <f>ROUND(I21 * IF('Dashboard'!$C$6&lt;=1, 2250, IF('Dashboard'!$C$6&lt;=4, 5150, 6000)), 0)</f>
        <v/>
      </c>
      <c r="K21" s="30" t="n">
        <v>0.8627057060360798</v>
      </c>
      <c r="L21" s="30" t="n">
        <v>0.1071917639798384</v>
      </c>
      <c r="M21" s="30" t="n">
        <v>0.03010252998408178</v>
      </c>
      <c r="N21" s="31">
        <f>ABS(E21-$F$6)</f>
        <v/>
      </c>
      <c r="O21" s="31">
        <f>ABS(E21-$F$7)</f>
        <v/>
      </c>
      <c r="P21" s="31">
        <f>ABS(E21-$F$8)</f>
        <v/>
      </c>
      <c r="Q21" s="14">
        <f>IF(K21&gt;=MAX(L21,M21), "Hemat", IF(L21&gt;=M21, "Balanced", "Premium"))</f>
        <v/>
      </c>
      <c r="R21" s="30" t="n">
        <v>0.862705879868502</v>
      </c>
      <c r="S21" s="30" t="n">
        <v>0.1071916582278821</v>
      </c>
      <c r="T21" s="30" t="n">
        <v>0.03010246190361609</v>
      </c>
      <c r="U21" s="31">
        <f>ABS(E21-$G$6)</f>
        <v/>
      </c>
      <c r="V21" s="31">
        <f>ABS(E21-$G$7)</f>
        <v/>
      </c>
      <c r="W21" s="31">
        <f>ABS(E21-$G$8)</f>
        <v/>
      </c>
      <c r="X21" s="14">
        <f>IF(R21&gt;=MAX(S21,T21), "Hemat", IF(S21&gt;=T21, "Balanced", "Premium"))</f>
        <v/>
      </c>
    </row>
    <row r="22">
      <c r="A22" s="14" t="n">
        <v>11</v>
      </c>
      <c r="B22" s="7" t="inlineStr">
        <is>
          <t>Bromo Family Guest House</t>
        </is>
      </c>
      <c r="C22" s="26" t="n">
        <v>-8.124673</v>
      </c>
      <c r="D22" s="26" t="n">
        <v>112.5656321</v>
      </c>
      <c r="E22" s="21" t="n">
        <v>150000</v>
      </c>
      <c r="F22" s="27" t="n">
        <v>0</v>
      </c>
      <c r="G22" s="28" t="n">
        <v>0</v>
      </c>
      <c r="H22" s="14" t="inlineStr">
        <is>
          <t>N/A</t>
        </is>
      </c>
      <c r="I22" s="29">
        <f>6371 * 2 * ASIN(SQRT(SIN(RADIANS((C22) - INDEX('Dataset_Wisata'!$C$12:$C$622, MATCH('Dashboard'!$C$9, 'Dataset_Wisata'!$A$12:$A$622, 0)))/2)^2 + COS(RADIANS(INDEX('Dataset_Wisata'!$C$12:$C$622, MATCH('Dashboard'!$C$9, 'Dataset_Wisata'!$A$12:$A$622, 0)))) * COS(RADIANS(C22)) * SIN(RADIANS((D22) - INDEX('Dataset_Wisata'!$D$12:$D$622, MATCH('Dashboard'!$C$9, 'Dataset_Wisata'!$A$12:$A$622, 0)))/2)^2)) * 1.3</f>
        <v/>
      </c>
      <c r="J22" s="21">
        <f>ROUND(I22 * IF('Dashboard'!$C$6&lt;=1, 2250, IF('Dashboard'!$C$6&lt;=4, 5150, 6000)), 0)</f>
        <v/>
      </c>
      <c r="K22" s="30" t="n">
        <v>0.9236568385235482</v>
      </c>
      <c r="L22" s="30" t="n">
        <v>0.06736899151285153</v>
      </c>
      <c r="M22" s="30" t="n">
        <v>0.008974169963600275</v>
      </c>
      <c r="N22" s="31">
        <f>ABS(E22-$F$6)</f>
        <v/>
      </c>
      <c r="O22" s="31">
        <f>ABS(E22-$F$7)</f>
        <v/>
      </c>
      <c r="P22" s="31">
        <f>ABS(E22-$F$8)</f>
        <v/>
      </c>
      <c r="Q22" s="14">
        <f>IF(K22&gt;=MAX(L22,M22), "Hemat", IF(L22&gt;=M22, "Balanced", "Premium"))</f>
        <v/>
      </c>
      <c r="R22" s="30" t="n">
        <v>0.9236592327110943</v>
      </c>
      <c r="S22" s="30" t="n">
        <v>0.0673668524262508</v>
      </c>
      <c r="T22" s="30" t="n">
        <v>0.008973914862654904</v>
      </c>
      <c r="U22" s="31">
        <f>ABS(E22-$G$6)</f>
        <v/>
      </c>
      <c r="V22" s="31">
        <f>ABS(E22-$G$7)</f>
        <v/>
      </c>
      <c r="W22" s="31">
        <f>ABS(E22-$G$8)</f>
        <v/>
      </c>
      <c r="X22" s="14">
        <f>IF(R22&gt;=MAX(S22,T22), "Hemat", IF(S22&gt;=T22, "Balanced", "Premium"))</f>
        <v/>
      </c>
    </row>
    <row r="23">
      <c r="A23" s="14" t="n">
        <v>12</v>
      </c>
      <c r="B23" s="7" t="inlineStr">
        <is>
          <t>Isro Guest House Syariah /Hotel</t>
        </is>
      </c>
      <c r="C23" s="26" t="n">
        <v>-8.132798299999999</v>
      </c>
      <c r="D23" s="26" t="n">
        <v>112.5683865</v>
      </c>
      <c r="E23" s="21" t="n">
        <v>149093</v>
      </c>
      <c r="F23" s="27" t="n">
        <v>0</v>
      </c>
      <c r="G23" s="28" t="n">
        <v>0</v>
      </c>
      <c r="H23" s="14" t="inlineStr">
        <is>
          <t>N/A</t>
        </is>
      </c>
      <c r="I23" s="29">
        <f>6371 * 2 * ASIN(SQRT(SIN(RADIANS((C23) - INDEX('Dataset_Wisata'!$C$12:$C$622, MATCH('Dashboard'!$C$9, 'Dataset_Wisata'!$A$12:$A$622, 0)))/2)^2 + COS(RADIANS(INDEX('Dataset_Wisata'!$C$12:$C$622, MATCH('Dashboard'!$C$9, 'Dataset_Wisata'!$A$12:$A$622, 0)))) * COS(RADIANS(C23)) * SIN(RADIANS((D23) - INDEX('Dataset_Wisata'!$D$12:$D$622, MATCH('Dashboard'!$C$9, 'Dataset_Wisata'!$A$12:$A$622, 0)))/2)^2)) * 1.3</f>
        <v/>
      </c>
      <c r="J23" s="21">
        <f>ROUND(I23 * IF('Dashboard'!$C$6&lt;=1, 2250, IF('Dashboard'!$C$6&lt;=4, 5150, 6000)), 0)</f>
        <v/>
      </c>
      <c r="K23" s="30" t="n">
        <v>0.9297147080064593</v>
      </c>
      <c r="L23" s="30" t="n">
        <v>0.06193532797812101</v>
      </c>
      <c r="M23" s="30" t="n">
        <v>0.008349964015419745</v>
      </c>
      <c r="N23" s="31">
        <f>ABS(E23-$F$6)</f>
        <v/>
      </c>
      <c r="O23" s="31">
        <f>ABS(E23-$F$7)</f>
        <v/>
      </c>
      <c r="P23" s="31">
        <f>ABS(E23-$F$8)</f>
        <v/>
      </c>
      <c r="Q23" s="14">
        <f>IF(K23&gt;=MAX(L23,M23), "Hemat", IF(L23&gt;=M23, "Balanced", "Premium"))</f>
        <v/>
      </c>
      <c r="R23" s="30" t="n">
        <v>0.9297169604869211</v>
      </c>
      <c r="S23" s="30" t="n">
        <v>0.0619333194205165</v>
      </c>
      <c r="T23" s="30" t="n">
        <v>0.008349720092562424</v>
      </c>
      <c r="U23" s="31">
        <f>ABS(E23-$G$6)</f>
        <v/>
      </c>
      <c r="V23" s="31">
        <f>ABS(E23-$G$7)</f>
        <v/>
      </c>
      <c r="W23" s="31">
        <f>ABS(E23-$G$8)</f>
        <v/>
      </c>
      <c r="X23" s="14">
        <f>IF(R23&gt;=MAX(S23,T23), "Hemat", IF(S23&gt;=T23, "Balanced", "Premium"))</f>
        <v/>
      </c>
    </row>
    <row r="24">
      <c r="A24" s="14" t="n">
        <v>13</v>
      </c>
      <c r="B24" s="7" t="inlineStr">
        <is>
          <t>Condro Wulan Hostel</t>
        </is>
      </c>
      <c r="C24" s="26" t="n">
        <v>-7.9943298</v>
      </c>
      <c r="D24" s="26" t="n">
        <v>112.6800647</v>
      </c>
      <c r="E24" s="21" t="n">
        <v>80000</v>
      </c>
      <c r="F24" s="27" t="n">
        <v>0</v>
      </c>
      <c r="G24" s="28" t="n">
        <v>0</v>
      </c>
      <c r="H24" s="14" t="inlineStr">
        <is>
          <t>N/A</t>
        </is>
      </c>
      <c r="I24" s="29">
        <f>6371 * 2 * ASIN(SQRT(SIN(RADIANS((C24) - INDEX('Dataset_Wisata'!$C$12:$C$622, MATCH('Dashboard'!$C$9, 'Dataset_Wisata'!$A$12:$A$622, 0)))/2)^2 + COS(RADIANS(INDEX('Dataset_Wisata'!$C$12:$C$622, MATCH('Dashboard'!$C$9, 'Dataset_Wisata'!$A$12:$A$622, 0)))) * COS(RADIANS(C24)) * SIN(RADIANS((D24) - INDEX('Dataset_Wisata'!$D$12:$D$622, MATCH('Dashboard'!$C$9, 'Dataset_Wisata'!$A$12:$A$622, 0)))/2)^2)) * 1.3</f>
        <v/>
      </c>
      <c r="J24" s="21">
        <f>ROUND(I24 * IF('Dashboard'!$C$6&lt;=1, 2250, IF('Dashboard'!$C$6&lt;=4, 5150, 6000)), 0)</f>
        <v/>
      </c>
      <c r="K24" s="30" t="n">
        <v>0.917922276308166</v>
      </c>
      <c r="L24" s="30" t="n">
        <v>0.0657067181163683</v>
      </c>
      <c r="M24" s="30" t="n">
        <v>0.01637100557546559</v>
      </c>
      <c r="N24" s="31">
        <f>ABS(E24-$F$6)</f>
        <v/>
      </c>
      <c r="O24" s="31">
        <f>ABS(E24-$F$7)</f>
        <v/>
      </c>
      <c r="P24" s="31">
        <f>ABS(E24-$F$8)</f>
        <v/>
      </c>
      <c r="Q24" s="14">
        <f>IF(K24&gt;=MAX(L24,M24), "Hemat", IF(L24&gt;=M24, "Balanced", "Premium"))</f>
        <v/>
      </c>
      <c r="R24" s="30" t="n">
        <v>0.9179221982347204</v>
      </c>
      <c r="S24" s="30" t="n">
        <v>0.06570679130234151</v>
      </c>
      <c r="T24" s="30" t="n">
        <v>0.01637101046293786</v>
      </c>
      <c r="U24" s="31">
        <f>ABS(E24-$G$6)</f>
        <v/>
      </c>
      <c r="V24" s="31">
        <f>ABS(E24-$G$7)</f>
        <v/>
      </c>
      <c r="W24" s="31">
        <f>ABS(E24-$G$8)</f>
        <v/>
      </c>
      <c r="X24" s="14">
        <f>IF(R24&gt;=MAX(S24,T24), "Hemat", IF(S24&gt;=T24, "Balanced", "Premium"))</f>
        <v/>
      </c>
    </row>
    <row r="25">
      <c r="A25" s="14" t="n">
        <v>14</v>
      </c>
      <c r="B25" s="7" t="inlineStr">
        <is>
          <t>Rayana Resort</t>
        </is>
      </c>
      <c r="C25" s="26" t="n">
        <v>-7.8525478</v>
      </c>
      <c r="D25" s="26" t="n">
        <v>112.4933282</v>
      </c>
      <c r="E25" s="21" t="n">
        <v>220875</v>
      </c>
      <c r="F25" s="27" t="n">
        <v>0</v>
      </c>
      <c r="G25" s="28" t="n">
        <v>0</v>
      </c>
      <c r="H25" s="14" t="inlineStr">
        <is>
          <t>N/A</t>
        </is>
      </c>
      <c r="I25" s="29">
        <f>6371 * 2 * ASIN(SQRT(SIN(RADIANS((C25) - INDEX('Dataset_Wisata'!$C$12:$C$622, MATCH('Dashboard'!$C$9, 'Dataset_Wisata'!$A$12:$A$622, 0)))/2)^2 + COS(RADIANS(INDEX('Dataset_Wisata'!$C$12:$C$622, MATCH('Dashboard'!$C$9, 'Dataset_Wisata'!$A$12:$A$622, 0)))) * COS(RADIANS(C25)) * SIN(RADIANS((D25) - INDEX('Dataset_Wisata'!$D$12:$D$622, MATCH('Dashboard'!$C$9, 'Dataset_Wisata'!$A$12:$A$622, 0)))/2)^2)) * 1.3</f>
        <v/>
      </c>
      <c r="J25" s="21">
        <f>ROUND(I25 * IF('Dashboard'!$C$6&lt;=1, 2250, IF('Dashboard'!$C$6&lt;=4, 5150, 6000)), 0)</f>
        <v/>
      </c>
      <c r="K25" s="30" t="n">
        <v>0.05944550991485426</v>
      </c>
      <c r="L25" s="30" t="n">
        <v>0.92524674990643</v>
      </c>
      <c r="M25" s="30" t="n">
        <v>0.01530774017871571</v>
      </c>
      <c r="N25" s="31">
        <f>ABS(E25-$F$6)</f>
        <v/>
      </c>
      <c r="O25" s="31">
        <f>ABS(E25-$F$7)</f>
        <v/>
      </c>
      <c r="P25" s="31">
        <f>ABS(E25-$F$8)</f>
        <v/>
      </c>
      <c r="Q25" s="14">
        <f>IF(K25&gt;=MAX(L25,M25), "Hemat", IF(L25&gt;=M25, "Balanced", "Premium"))</f>
        <v/>
      </c>
      <c r="R25" s="30" t="n">
        <v>0.05944926943509322</v>
      </c>
      <c r="S25" s="30" t="n">
        <v>0.9252423670575173</v>
      </c>
      <c r="T25" s="30" t="n">
        <v>0.01530836350738938</v>
      </c>
      <c r="U25" s="31">
        <f>ABS(E25-$G$6)</f>
        <v/>
      </c>
      <c r="V25" s="31">
        <f>ABS(E25-$G$7)</f>
        <v/>
      </c>
      <c r="W25" s="31">
        <f>ABS(E25-$G$8)</f>
        <v/>
      </c>
      <c r="X25" s="14">
        <f>IF(R25&gt;=MAX(S25,T25), "Hemat", IF(S25&gt;=T25, "Balanced", "Premium"))</f>
        <v/>
      </c>
    </row>
    <row r="26">
      <c r="A26" s="14" t="n">
        <v>15</v>
      </c>
      <c r="B26" s="7" t="inlineStr">
        <is>
          <t>Villa Panderman Indah</t>
        </is>
      </c>
      <c r="C26" s="26" t="n">
        <v>-7.886448</v>
      </c>
      <c r="D26" s="26" t="n">
        <v>112.514457</v>
      </c>
      <c r="E26" s="21" t="n">
        <v>230000</v>
      </c>
      <c r="F26" s="27" t="n">
        <v>0</v>
      </c>
      <c r="G26" s="28" t="n">
        <v>0</v>
      </c>
      <c r="H26" s="14" t="inlineStr">
        <is>
          <t>N/A</t>
        </is>
      </c>
      <c r="I26" s="29">
        <f>6371 * 2 * ASIN(SQRT(SIN(RADIANS((C26) - INDEX('Dataset_Wisata'!$C$12:$C$622, MATCH('Dashboard'!$C$9, 'Dataset_Wisata'!$A$12:$A$622, 0)))/2)^2 + COS(RADIANS(INDEX('Dataset_Wisata'!$C$12:$C$622, MATCH('Dashboard'!$C$9, 'Dataset_Wisata'!$A$12:$A$622, 0)))) * COS(RADIANS(C26)) * SIN(RADIANS((D26) - INDEX('Dataset_Wisata'!$D$12:$D$622, MATCH('Dashboard'!$C$9, 'Dataset_Wisata'!$A$12:$A$622, 0)))/2)^2)) * 1.3</f>
        <v/>
      </c>
      <c r="J26" s="21">
        <f>ROUND(I26 * IF('Dashboard'!$C$6&lt;=1, 2250, IF('Dashboard'!$C$6&lt;=4, 5150, 6000)), 0)</f>
        <v/>
      </c>
      <c r="K26" s="30" t="n">
        <v>0.020536212615851</v>
      </c>
      <c r="L26" s="30" t="n">
        <v>0.9724759609150924</v>
      </c>
      <c r="M26" s="30" t="n">
        <v>0.006987826469056644</v>
      </c>
      <c r="N26" s="31">
        <f>ABS(E26-$F$6)</f>
        <v/>
      </c>
      <c r="O26" s="31">
        <f>ABS(E26-$F$7)</f>
        <v/>
      </c>
      <c r="P26" s="31">
        <f>ABS(E26-$F$8)</f>
        <v/>
      </c>
      <c r="Q26" s="14">
        <f>IF(K26&gt;=MAX(L26,M26), "Hemat", IF(L26&gt;=M26, "Balanced", "Premium"))</f>
        <v/>
      </c>
      <c r="R26" s="30" t="n">
        <v>0.02053831405018164</v>
      </c>
      <c r="S26" s="30" t="n">
        <v>0.9724733051330634</v>
      </c>
      <c r="T26" s="30" t="n">
        <v>0.006988380816755108</v>
      </c>
      <c r="U26" s="31">
        <f>ABS(E26-$G$6)</f>
        <v/>
      </c>
      <c r="V26" s="31">
        <f>ABS(E26-$G$7)</f>
        <v/>
      </c>
      <c r="W26" s="31">
        <f>ABS(E26-$G$8)</f>
        <v/>
      </c>
      <c r="X26" s="14">
        <f>IF(R26&gt;=MAX(S26,T26), "Hemat", IF(S26&gt;=T26, "Balanced", "Premium"))</f>
        <v/>
      </c>
    </row>
    <row r="27">
      <c r="A27" s="14" t="n">
        <v>16</v>
      </c>
      <c r="B27" s="7" t="inlineStr">
        <is>
          <t>Kanana Retreat</t>
        </is>
      </c>
      <c r="C27" s="26" t="n">
        <v>-7.8751647</v>
      </c>
      <c r="D27" s="26" t="n">
        <v>112.4829757</v>
      </c>
      <c r="E27" s="21" t="n">
        <v>1511714</v>
      </c>
      <c r="F27" s="27" t="n">
        <v>0</v>
      </c>
      <c r="G27" s="28" t="n">
        <v>0</v>
      </c>
      <c r="H27" s="14" t="inlineStr">
        <is>
          <t>N/A</t>
        </is>
      </c>
      <c r="I27" s="29">
        <f>6371 * 2 * ASIN(SQRT(SIN(RADIANS((C27) - INDEX('Dataset_Wisata'!$C$12:$C$622, MATCH('Dashboard'!$C$9, 'Dataset_Wisata'!$A$12:$A$622, 0)))/2)^2 + COS(RADIANS(INDEX('Dataset_Wisata'!$C$12:$C$622, MATCH('Dashboard'!$C$9, 'Dataset_Wisata'!$A$12:$A$622, 0)))) * COS(RADIANS(C27)) * SIN(RADIANS((D27) - INDEX('Dataset_Wisata'!$D$12:$D$622, MATCH('Dashboard'!$C$9, 'Dataset_Wisata'!$A$12:$A$622, 0)))/2)^2)) * 1.3</f>
        <v/>
      </c>
      <c r="J27" s="21">
        <f>ROUND(I27 * IF('Dashboard'!$C$6&lt;=1, 2250, IF('Dashboard'!$C$6&lt;=4, 5150, 6000)), 0)</f>
        <v/>
      </c>
      <c r="K27" s="30" t="n">
        <v>0.005194608058403992</v>
      </c>
      <c r="L27" s="30" t="n">
        <v>0.006235846843141405</v>
      </c>
      <c r="M27" s="30" t="n">
        <v>0.008258222946636869</v>
      </c>
      <c r="N27" s="31">
        <f>ABS(E27-$F$6)</f>
        <v/>
      </c>
      <c r="O27" s="31">
        <f>ABS(E27-$F$7)</f>
        <v/>
      </c>
      <c r="P27" s="31">
        <f>ABS(E27-$F$8)</f>
        <v/>
      </c>
      <c r="Q27" s="14">
        <f>IF(K27&gt;=MAX(L27,M27), "Hemat", IF(L27&gt;=M27, "Balanced", "Premium"))</f>
        <v/>
      </c>
      <c r="R27" s="30" t="n">
        <v>0.005194609806298672</v>
      </c>
      <c r="S27" s="30" t="n">
        <v>0.006235854459520943</v>
      </c>
      <c r="T27" s="30" t="n">
        <v>0.008258248227962365</v>
      </c>
      <c r="U27" s="31">
        <f>ABS(E27-$G$6)</f>
        <v/>
      </c>
      <c r="V27" s="31">
        <f>ABS(E27-$G$7)</f>
        <v/>
      </c>
      <c r="W27" s="31">
        <f>ABS(E27-$G$8)</f>
        <v/>
      </c>
      <c r="X27" s="14">
        <f>IF(R27&gt;=MAX(S27,T27), "Hemat", IF(S27&gt;=T27, "Balanced", "Premium"))</f>
        <v/>
      </c>
    </row>
    <row r="28">
      <c r="A28" s="14" t="n">
        <v>17</v>
      </c>
      <c r="B28" s="7" t="inlineStr">
        <is>
          <t>Hotel Santoso</t>
        </is>
      </c>
      <c r="C28" s="26" t="n">
        <v>-7.822739</v>
      </c>
      <c r="D28" s="26" t="n">
        <v>112.529112</v>
      </c>
      <c r="E28" s="21" t="n">
        <v>159067</v>
      </c>
      <c r="F28" s="27" t="n">
        <v>0</v>
      </c>
      <c r="G28" s="28" t="n">
        <v>0</v>
      </c>
      <c r="H28" s="14" t="inlineStr">
        <is>
          <t>N/A</t>
        </is>
      </c>
      <c r="I28" s="29">
        <f>6371 * 2 * ASIN(SQRT(SIN(RADIANS((C28) - INDEX('Dataset_Wisata'!$C$12:$C$622, MATCH('Dashboard'!$C$9, 'Dataset_Wisata'!$A$12:$A$622, 0)))/2)^2 + COS(RADIANS(INDEX('Dataset_Wisata'!$C$12:$C$622, MATCH('Dashboard'!$C$9, 'Dataset_Wisata'!$A$12:$A$622, 0)))) * COS(RADIANS(C28)) * SIN(RADIANS((D28) - INDEX('Dataset_Wisata'!$D$12:$D$622, MATCH('Dashboard'!$C$9, 'Dataset_Wisata'!$A$12:$A$622, 0)))/2)^2)) * 1.3</f>
        <v/>
      </c>
      <c r="J28" s="21">
        <f>ROUND(I28 * IF('Dashboard'!$C$6&lt;=1, 2250, IF('Dashboard'!$C$6&lt;=4, 5150, 6000)), 0)</f>
        <v/>
      </c>
      <c r="K28" s="30" t="n">
        <v>0.8461118052594062</v>
      </c>
      <c r="L28" s="30" t="n">
        <v>0.1377608842503747</v>
      </c>
      <c r="M28" s="30" t="n">
        <v>0.01612731049021924</v>
      </c>
      <c r="N28" s="31">
        <f>ABS(E28-$F$6)</f>
        <v/>
      </c>
      <c r="O28" s="31">
        <f>ABS(E28-$F$7)</f>
        <v/>
      </c>
      <c r="P28" s="31">
        <f>ABS(E28-$F$8)</f>
        <v/>
      </c>
      <c r="Q28" s="14">
        <f>IF(K28&gt;=MAX(L28,M28), "Hemat", IF(L28&gt;=M28, "Balanced", "Premium"))</f>
        <v/>
      </c>
      <c r="R28" s="30" t="n">
        <v>0.8461158221045172</v>
      </c>
      <c r="S28" s="30" t="n">
        <v>0.1377572224443192</v>
      </c>
      <c r="T28" s="30" t="n">
        <v>0.01612695545116344</v>
      </c>
      <c r="U28" s="31">
        <f>ABS(E28-$G$6)</f>
        <v/>
      </c>
      <c r="V28" s="31">
        <f>ABS(E28-$G$7)</f>
        <v/>
      </c>
      <c r="W28" s="31">
        <f>ABS(E28-$G$8)</f>
        <v/>
      </c>
      <c r="X28" s="14">
        <f>IF(R28&gt;=MAX(S28,T28), "Hemat", IF(S28&gt;=T28, "Balanced", "Premium"))</f>
        <v/>
      </c>
    </row>
    <row r="29">
      <c r="A29" s="14" t="n">
        <v>18</v>
      </c>
      <c r="B29" s="7" t="inlineStr">
        <is>
          <t>The Batu Hotel &amp; Villas</t>
        </is>
      </c>
      <c r="C29" s="26" t="n">
        <v>-7.879328</v>
      </c>
      <c r="D29" s="26" t="n">
        <v>112.522601</v>
      </c>
      <c r="E29" s="21" t="n">
        <v>525487</v>
      </c>
      <c r="F29" s="27" t="n">
        <v>0</v>
      </c>
      <c r="G29" s="28" t="n">
        <v>0</v>
      </c>
      <c r="H29" s="14" t="inlineStr">
        <is>
          <t>N/A</t>
        </is>
      </c>
      <c r="I29" s="29">
        <f>6371 * 2 * ASIN(SQRT(SIN(RADIANS((C29) - INDEX('Dataset_Wisata'!$C$12:$C$622, MATCH('Dashboard'!$C$9, 'Dataset_Wisata'!$A$12:$A$622, 0)))/2)^2 + COS(RADIANS(INDEX('Dataset_Wisata'!$C$12:$C$622, MATCH('Dashboard'!$C$9, 'Dataset_Wisata'!$A$12:$A$622, 0)))) * COS(RADIANS(C29)) * SIN(RADIANS((D29) - INDEX('Dataset_Wisata'!$D$12:$D$622, MATCH('Dashboard'!$C$9, 'Dataset_Wisata'!$A$12:$A$622, 0)))/2)^2)) * 1.3</f>
        <v/>
      </c>
      <c r="J29" s="21">
        <f>ROUND(I29 * IF('Dashboard'!$C$6&lt;=1, 2250, IF('Dashboard'!$C$6&lt;=4, 5150, 6000)), 0)</f>
        <v/>
      </c>
      <c r="K29" s="30" t="n">
        <v>0.06211335969243326</v>
      </c>
      <c r="L29" s="30" t="n">
        <v>0.1274429442226567</v>
      </c>
      <c r="M29" s="30" t="n">
        <v>0.766929207540044</v>
      </c>
      <c r="N29" s="31">
        <f>ABS(E29-$F$6)</f>
        <v/>
      </c>
      <c r="O29" s="31">
        <f>ABS(E29-$F$7)</f>
        <v/>
      </c>
      <c r="P29" s="31">
        <f>ABS(E29-$F$8)</f>
        <v/>
      </c>
      <c r="Q29" s="14">
        <f>IF(K29&gt;=MAX(L29,M29), "Hemat", IF(L29&gt;=M29, "Balanced", "Premium"))</f>
        <v/>
      </c>
      <c r="R29" s="30" t="n">
        <v>0.06211343196340323</v>
      </c>
      <c r="S29" s="30" t="n">
        <v>0.127443647911252</v>
      </c>
      <c r="T29" s="30" t="n">
        <v>0.7669518337318288</v>
      </c>
      <c r="U29" s="31">
        <f>ABS(E29-$G$6)</f>
        <v/>
      </c>
      <c r="V29" s="31">
        <f>ABS(E29-$G$7)</f>
        <v/>
      </c>
      <c r="W29" s="31">
        <f>ABS(E29-$G$8)</f>
        <v/>
      </c>
      <c r="X29" s="14">
        <f>IF(R29&gt;=MAX(S29,T29), "Hemat", IF(S29&gt;=T29, "Balanced", "Premium"))</f>
        <v/>
      </c>
    </row>
    <row r="30">
      <c r="A30" s="14" t="n">
        <v>19</v>
      </c>
      <c r="B30" s="7" t="inlineStr">
        <is>
          <t>Golden Tulip Holland Resort Batu</t>
        </is>
      </c>
      <c r="C30" s="26" t="n">
        <v>-7.890884</v>
      </c>
      <c r="D30" s="26" t="n">
        <v>112.523156</v>
      </c>
      <c r="E30" s="21" t="n">
        <v>1214876</v>
      </c>
      <c r="F30" s="27" t="n">
        <v>0</v>
      </c>
      <c r="G30" s="28" t="n">
        <v>0</v>
      </c>
      <c r="H30" s="14" t="inlineStr">
        <is>
          <t>N/A</t>
        </is>
      </c>
      <c r="I30" s="29">
        <f>6371 * 2 * ASIN(SQRT(SIN(RADIANS((C30) - INDEX('Dataset_Wisata'!$C$12:$C$622, MATCH('Dashboard'!$C$9, 'Dataset_Wisata'!$A$12:$A$622, 0)))/2)^2 + COS(RADIANS(INDEX('Dataset_Wisata'!$C$12:$C$622, MATCH('Dashboard'!$C$9, 'Dataset_Wisata'!$A$12:$A$622, 0)))) * COS(RADIANS(C30)) * SIN(RADIANS((D30) - INDEX('Dataset_Wisata'!$D$12:$D$622, MATCH('Dashboard'!$C$9, 'Dataset_Wisata'!$A$12:$A$622, 0)))/2)^2)) * 1.3</f>
        <v/>
      </c>
      <c r="J30" s="21">
        <f>ROUND(I30 * IF('Dashboard'!$C$6&lt;=1, 2250, IF('Dashboard'!$C$6&lt;=4, 5150, 6000)), 0)</f>
        <v/>
      </c>
      <c r="K30" s="30" t="n">
        <v>0.008407047720048895</v>
      </c>
      <c r="L30" s="30" t="n">
        <v>0.01063891832403338</v>
      </c>
      <c r="M30" s="30" t="n">
        <v>0.01548618580813391</v>
      </c>
      <c r="N30" s="31">
        <f>ABS(E30-$F$6)</f>
        <v/>
      </c>
      <c r="O30" s="31">
        <f>ABS(E30-$F$7)</f>
        <v/>
      </c>
      <c r="P30" s="31">
        <f>ABS(E30-$F$8)</f>
        <v/>
      </c>
      <c r="Q30" s="14">
        <f>IF(K30&gt;=MAX(L30,M30), "Hemat", IF(L30&gt;=M30, "Balanced", "Premium"))</f>
        <v/>
      </c>
      <c r="R30" s="30" t="n">
        <v>0.008407051318796443</v>
      </c>
      <c r="S30" s="30" t="n">
        <v>0.0106389352967653</v>
      </c>
      <c r="T30" s="30" t="n">
        <v>0.0154862507294032</v>
      </c>
      <c r="U30" s="31">
        <f>ABS(E30-$G$6)</f>
        <v/>
      </c>
      <c r="V30" s="31">
        <f>ABS(E30-$G$7)</f>
        <v/>
      </c>
      <c r="W30" s="31">
        <f>ABS(E30-$G$8)</f>
        <v/>
      </c>
      <c r="X30" s="14">
        <f>IF(R30&gt;=MAX(S30,T30), "Hemat", IF(S30&gt;=T30, "Balanced", "Premium"))</f>
        <v/>
      </c>
    </row>
    <row r="31">
      <c r="A31" s="14" t="n">
        <v>20</v>
      </c>
      <c r="B31" s="7" t="inlineStr">
        <is>
          <t>Family Hotel Gradia 2</t>
        </is>
      </c>
      <c r="C31" s="26" t="n">
        <v>-7.873523</v>
      </c>
      <c r="D31" s="26" t="n">
        <v>112.520217</v>
      </c>
      <c r="E31" s="21" t="n">
        <v>431203</v>
      </c>
      <c r="F31" s="27" t="n">
        <v>0</v>
      </c>
      <c r="G31" s="28" t="n">
        <v>0</v>
      </c>
      <c r="H31" s="14" t="inlineStr">
        <is>
          <t>N/A</t>
        </is>
      </c>
      <c r="I31" s="29">
        <f>6371 * 2 * ASIN(SQRT(SIN(RADIANS((C31) - INDEX('Dataset_Wisata'!$C$12:$C$622, MATCH('Dashboard'!$C$9, 'Dataset_Wisata'!$A$12:$A$622, 0)))/2)^2 + COS(RADIANS(INDEX('Dataset_Wisata'!$C$12:$C$622, MATCH('Dashboard'!$C$9, 'Dataset_Wisata'!$A$12:$A$622, 0)))) * COS(RADIANS(C31)) * SIN(RADIANS((D31) - INDEX('Dataset_Wisata'!$D$12:$D$622, MATCH('Dashboard'!$C$9, 'Dataset_Wisata'!$A$12:$A$622, 0)))/2)^2)) * 1.3</f>
        <v/>
      </c>
      <c r="J31" s="21">
        <f>ROUND(I31 * IF('Dashboard'!$C$6&lt;=1, 2250, IF('Dashboard'!$C$6&lt;=4, 5150, 6000)), 0)</f>
        <v/>
      </c>
      <c r="K31" s="30" t="n">
        <v>0.004139863700004991</v>
      </c>
      <c r="L31" s="30" t="n">
        <v>0.01129518162206573</v>
      </c>
      <c r="M31" s="30" t="n">
        <v>0.9845649546779293</v>
      </c>
      <c r="N31" s="31">
        <f>ABS(E31-$F$6)</f>
        <v/>
      </c>
      <c r="O31" s="31">
        <f>ABS(E31-$F$7)</f>
        <v/>
      </c>
      <c r="P31" s="31">
        <f>ABS(E31-$F$8)</f>
        <v/>
      </c>
      <c r="Q31" s="14">
        <f>IF(K31&gt;=MAX(L31,M31), "Hemat", IF(L31&gt;=M31, "Balanced", "Premium"))</f>
        <v/>
      </c>
      <c r="R31" s="30" t="n">
        <v>0.004139179768023009</v>
      </c>
      <c r="S31" s="30" t="n">
        <v>0.01129339240391582</v>
      </c>
      <c r="T31" s="30" t="n">
        <v>0.9845674278280612</v>
      </c>
      <c r="U31" s="31">
        <f>ABS(E31-$G$6)</f>
        <v/>
      </c>
      <c r="V31" s="31">
        <f>ABS(E31-$G$7)</f>
        <v/>
      </c>
      <c r="W31" s="31">
        <f>ABS(E31-$G$8)</f>
        <v/>
      </c>
      <c r="X31" s="14">
        <f>IF(R31&gt;=MAX(S31,T31), "Hemat", IF(S31&gt;=T31, "Balanced", "Premium"))</f>
        <v/>
      </c>
    </row>
    <row r="32">
      <c r="A32" s="14" t="n">
        <v>21</v>
      </c>
      <c r="B32" s="7" t="inlineStr">
        <is>
          <t>Pinky Guest House Hotel &amp; Villa</t>
        </is>
      </c>
      <c r="C32" s="26" t="n">
        <v>-7.8696872</v>
      </c>
      <c r="D32" s="26" t="n">
        <v>112.5156688</v>
      </c>
      <c r="E32" s="21" t="n">
        <v>98961</v>
      </c>
      <c r="F32" s="27" t="n">
        <v>0</v>
      </c>
      <c r="G32" s="28" t="n">
        <v>0</v>
      </c>
      <c r="H32" s="14" t="inlineStr">
        <is>
          <t>N/A</t>
        </is>
      </c>
      <c r="I32" s="29">
        <f>6371 * 2 * ASIN(SQRT(SIN(RADIANS((C32) - INDEX('Dataset_Wisata'!$C$12:$C$622, MATCH('Dashboard'!$C$9, 'Dataset_Wisata'!$A$12:$A$622, 0)))/2)^2 + COS(RADIANS(INDEX('Dataset_Wisata'!$C$12:$C$622, MATCH('Dashboard'!$C$9, 'Dataset_Wisata'!$A$12:$A$622, 0)))) * COS(RADIANS(C32)) * SIN(RADIANS((D32) - INDEX('Dataset_Wisata'!$D$12:$D$622, MATCH('Dashboard'!$C$9, 'Dataset_Wisata'!$A$12:$A$622, 0)))/2)^2)) * 1.3</f>
        <v/>
      </c>
      <c r="J32" s="21">
        <f>ROUND(I32 * IF('Dashboard'!$C$6&lt;=1, 2250, IF('Dashboard'!$C$6&lt;=4, 5150, 6000)), 0)</f>
        <v/>
      </c>
      <c r="K32" s="30" t="n">
        <v>0.9649025116155779</v>
      </c>
      <c r="L32" s="30" t="n">
        <v>0.02877494639096746</v>
      </c>
      <c r="M32" s="30" t="n">
        <v>0.006322541993454614</v>
      </c>
      <c r="N32" s="31">
        <f>ABS(E32-$F$6)</f>
        <v/>
      </c>
      <c r="O32" s="31">
        <f>ABS(E32-$F$7)</f>
        <v/>
      </c>
      <c r="P32" s="31">
        <f>ABS(E32-$F$8)</f>
        <v/>
      </c>
      <c r="Q32" s="14">
        <f>IF(K32&gt;=MAX(L32,M32), "Hemat", IF(L32&gt;=M32, "Balanced", "Premium"))</f>
        <v/>
      </c>
      <c r="R32" s="30" t="n">
        <v>0.9649022453932873</v>
      </c>
      <c r="S32" s="30" t="n">
        <v>0.02877516580236123</v>
      </c>
      <c r="T32" s="30" t="n">
        <v>0.006322588804351486</v>
      </c>
      <c r="U32" s="31">
        <f>ABS(E32-$G$6)</f>
        <v/>
      </c>
      <c r="V32" s="31">
        <f>ABS(E32-$G$7)</f>
        <v/>
      </c>
      <c r="W32" s="31">
        <f>ABS(E32-$G$8)</f>
        <v/>
      </c>
      <c r="X32" s="14">
        <f>IF(R32&gt;=MAX(S32,T32), "Hemat", IF(S32&gt;=T32, "Balanced", "Premium"))</f>
        <v/>
      </c>
    </row>
    <row r="33">
      <c r="A33" s="14" t="n">
        <v>22</v>
      </c>
      <c r="B33" s="7" t="inlineStr">
        <is>
          <t>Hotel Kartika Raya</t>
        </is>
      </c>
      <c r="C33" s="26" t="n">
        <v>-7.8654369</v>
      </c>
      <c r="D33" s="26" t="n">
        <v>112.4959108</v>
      </c>
      <c r="E33" s="21" t="n">
        <v>150000</v>
      </c>
      <c r="F33" s="27" t="n">
        <v>0</v>
      </c>
      <c r="G33" s="28" t="n">
        <v>0</v>
      </c>
      <c r="H33" s="14" t="inlineStr">
        <is>
          <t>N/A</t>
        </is>
      </c>
      <c r="I33" s="29">
        <f>6371 * 2 * ASIN(SQRT(SIN(RADIANS((C33) - INDEX('Dataset_Wisata'!$C$12:$C$622, MATCH('Dashboard'!$C$9, 'Dataset_Wisata'!$A$12:$A$622, 0)))/2)^2 + COS(RADIANS(INDEX('Dataset_Wisata'!$C$12:$C$622, MATCH('Dashboard'!$C$9, 'Dataset_Wisata'!$A$12:$A$622, 0)))) * COS(RADIANS(C33)) * SIN(RADIANS((D33) - INDEX('Dataset_Wisata'!$D$12:$D$622, MATCH('Dashboard'!$C$9, 'Dataset_Wisata'!$A$12:$A$622, 0)))/2)^2)) * 1.3</f>
        <v/>
      </c>
      <c r="J33" s="21">
        <f>ROUND(I33 * IF('Dashboard'!$C$6&lt;=1, 2250, IF('Dashboard'!$C$6&lt;=4, 5150, 6000)), 0)</f>
        <v/>
      </c>
      <c r="K33" s="30" t="n">
        <v>0.9236568385235482</v>
      </c>
      <c r="L33" s="30" t="n">
        <v>0.06736899151285153</v>
      </c>
      <c r="M33" s="30" t="n">
        <v>0.008974169963600275</v>
      </c>
      <c r="N33" s="31">
        <f>ABS(E33-$F$6)</f>
        <v/>
      </c>
      <c r="O33" s="31">
        <f>ABS(E33-$F$7)</f>
        <v/>
      </c>
      <c r="P33" s="31">
        <f>ABS(E33-$F$8)</f>
        <v/>
      </c>
      <c r="Q33" s="14">
        <f>IF(K33&gt;=MAX(L33,M33), "Hemat", IF(L33&gt;=M33, "Balanced", "Premium"))</f>
        <v/>
      </c>
      <c r="R33" s="30" t="n">
        <v>0.9236592327110943</v>
      </c>
      <c r="S33" s="30" t="n">
        <v>0.0673668524262508</v>
      </c>
      <c r="T33" s="30" t="n">
        <v>0.008973914862654904</v>
      </c>
      <c r="U33" s="31">
        <f>ABS(E33-$G$6)</f>
        <v/>
      </c>
      <c r="V33" s="31">
        <f>ABS(E33-$G$7)</f>
        <v/>
      </c>
      <c r="W33" s="31">
        <f>ABS(E33-$G$8)</f>
        <v/>
      </c>
      <c r="X33" s="14">
        <f>IF(R33&gt;=MAX(S33,T33), "Hemat", IF(S33&gt;=T33, "Balanced", "Premium"))</f>
        <v/>
      </c>
    </row>
    <row r="34">
      <c r="A34" s="14" t="n">
        <v>23</v>
      </c>
      <c r="B34" s="7" t="inlineStr">
        <is>
          <t>Hotel Asida</t>
        </is>
      </c>
      <c r="C34" s="26" t="n">
        <v>-7.8674991</v>
      </c>
      <c r="D34" s="26" t="n">
        <v>112.5144631</v>
      </c>
      <c r="E34" s="21" t="n">
        <v>134771</v>
      </c>
      <c r="F34" s="27" t="n">
        <v>0</v>
      </c>
      <c r="G34" s="28" t="n">
        <v>0</v>
      </c>
      <c r="H34" s="14" t="inlineStr">
        <is>
          <t>N/A</t>
        </is>
      </c>
      <c r="I34" s="29">
        <f>6371 * 2 * ASIN(SQRT(SIN(RADIANS((C34) - INDEX('Dataset_Wisata'!$C$12:$C$622, MATCH('Dashboard'!$C$9, 'Dataset_Wisata'!$A$12:$A$622, 0)))/2)^2 + COS(RADIANS(INDEX('Dataset_Wisata'!$C$12:$C$622, MATCH('Dashboard'!$C$9, 'Dataset_Wisata'!$A$12:$A$622, 0)))) * COS(RADIANS(C34)) * SIN(RADIANS((D34) - INDEX('Dataset_Wisata'!$D$12:$D$622, MATCH('Dashboard'!$C$9, 'Dataset_Wisata'!$A$12:$A$622, 0)))/2)^2)) * 1.3</f>
        <v/>
      </c>
      <c r="J34" s="21">
        <f>ROUND(I34 * IF('Dashboard'!$C$6&lt;=1, 2250, IF('Dashboard'!$C$6&lt;=4, 5150, 6000)), 0)</f>
        <v/>
      </c>
      <c r="K34" s="30" t="n">
        <v>0.9896002067407672</v>
      </c>
      <c r="L34" s="30" t="n">
        <v>0.008965645344972611</v>
      </c>
      <c r="M34" s="30" t="n">
        <v>0.001434147914260255</v>
      </c>
      <c r="N34" s="31">
        <f>ABS(E34-$F$6)</f>
        <v/>
      </c>
      <c r="O34" s="31">
        <f>ABS(E34-$F$7)</f>
        <v/>
      </c>
      <c r="P34" s="31">
        <f>ABS(E34-$F$8)</f>
        <v/>
      </c>
      <c r="Q34" s="14">
        <f>IF(K34&gt;=MAX(L34,M34), "Hemat", IF(L34&gt;=M34, "Balanced", "Premium"))</f>
        <v/>
      </c>
      <c r="R34" s="30" t="n">
        <v>0.9896008045183216</v>
      </c>
      <c r="S34" s="30" t="n">
        <v>0.008965127773336403</v>
      </c>
      <c r="T34" s="30" t="n">
        <v>0.001434067708342044</v>
      </c>
      <c r="U34" s="31">
        <f>ABS(E34-$G$6)</f>
        <v/>
      </c>
      <c r="V34" s="31">
        <f>ABS(E34-$G$7)</f>
        <v/>
      </c>
      <c r="W34" s="31">
        <f>ABS(E34-$G$8)</f>
        <v/>
      </c>
      <c r="X34" s="14">
        <f>IF(R34&gt;=MAX(S34,T34), "Hemat", IF(S34&gt;=T34, "Balanced", "Premium"))</f>
        <v/>
      </c>
    </row>
    <row r="35">
      <c r="A35" s="14" t="n">
        <v>24</v>
      </c>
      <c r="B35" s="7" t="inlineStr">
        <is>
          <t>RedDoorz @ Apache Camp</t>
        </is>
      </c>
      <c r="C35" s="26" t="n">
        <v>-7.7956762</v>
      </c>
      <c r="D35" s="26" t="n">
        <v>112.5127066</v>
      </c>
      <c r="E35" s="21" t="n">
        <v>101202</v>
      </c>
      <c r="F35" s="27" t="n">
        <v>0</v>
      </c>
      <c r="G35" s="28" t="n">
        <v>0</v>
      </c>
      <c r="H35" s="14" t="inlineStr">
        <is>
          <t>N/A</t>
        </is>
      </c>
      <c r="I35" s="29">
        <f>6371 * 2 * ASIN(SQRT(SIN(RADIANS((C35) - INDEX('Dataset_Wisata'!$C$12:$C$622, MATCH('Dashboard'!$C$9, 'Dataset_Wisata'!$A$12:$A$622, 0)))/2)^2 + COS(RADIANS(INDEX('Dataset_Wisata'!$C$12:$C$622, MATCH('Dashboard'!$C$9, 'Dataset_Wisata'!$A$12:$A$622, 0)))) * COS(RADIANS(C35)) * SIN(RADIANS((D35) - INDEX('Dataset_Wisata'!$D$12:$D$622, MATCH('Dashboard'!$C$9, 'Dataset_Wisata'!$A$12:$A$622, 0)))/2)^2)) * 1.3</f>
        <v/>
      </c>
      <c r="J35" s="21">
        <f>ROUND(I35 * IF('Dashboard'!$C$6&lt;=1, 2250, IF('Dashboard'!$C$6&lt;=4, 5150, 6000)), 0)</f>
        <v/>
      </c>
      <c r="K35" s="30" t="n">
        <v>0.9698693379921038</v>
      </c>
      <c r="L35" s="30" t="n">
        <v>0.02477566642402822</v>
      </c>
      <c r="M35" s="30" t="n">
        <v>0.00535499558386792</v>
      </c>
      <c r="N35" s="31">
        <f>ABS(E35-$F$6)</f>
        <v/>
      </c>
      <c r="O35" s="31">
        <f>ABS(E35-$F$7)</f>
        <v/>
      </c>
      <c r="P35" s="31">
        <f>ABS(E35-$F$8)</f>
        <v/>
      </c>
      <c r="Q35" s="14">
        <f>IF(K35&gt;=MAX(L35,M35), "Hemat", IF(L35&gt;=M35, "Balanced", "Premium"))</f>
        <v/>
      </c>
      <c r="R35" s="30" t="n">
        <v>0.9698690601222029</v>
      </c>
      <c r="S35" s="30" t="n">
        <v>0.02477589550373462</v>
      </c>
      <c r="T35" s="30" t="n">
        <v>0.005355044374062458</v>
      </c>
      <c r="U35" s="31">
        <f>ABS(E35-$G$6)</f>
        <v/>
      </c>
      <c r="V35" s="31">
        <f>ABS(E35-$G$7)</f>
        <v/>
      </c>
      <c r="W35" s="31">
        <f>ABS(E35-$G$8)</f>
        <v/>
      </c>
      <c r="X35" s="14">
        <f>IF(R35&gt;=MAX(S35,T35), "Hemat", IF(S35&gt;=T35, "Balanced", "Premium"))</f>
        <v/>
      </c>
    </row>
    <row r="36">
      <c r="A36" s="14" t="n">
        <v>25</v>
      </c>
      <c r="B36" s="7" t="inlineStr">
        <is>
          <t>Penginapan Dhilpratis</t>
        </is>
      </c>
      <c r="C36" s="26" t="n">
        <v>-8.402901</v>
      </c>
      <c r="D36" s="26" t="n">
        <v>112.540749</v>
      </c>
      <c r="E36" s="21" t="n">
        <v>360000</v>
      </c>
      <c r="F36" s="27" t="n">
        <v>0</v>
      </c>
      <c r="G36" s="28" t="n">
        <v>0</v>
      </c>
      <c r="H36" s="14" t="inlineStr">
        <is>
          <t>N/A</t>
        </is>
      </c>
      <c r="I36" s="29">
        <f>6371 * 2 * ASIN(SQRT(SIN(RADIANS((C36) - INDEX('Dataset_Wisata'!$C$12:$C$622, MATCH('Dashboard'!$C$9, 'Dataset_Wisata'!$A$12:$A$622, 0)))/2)^2 + COS(RADIANS(INDEX('Dataset_Wisata'!$C$12:$C$622, MATCH('Dashboard'!$C$9, 'Dataset_Wisata'!$A$12:$A$622, 0)))) * COS(RADIANS(C36)) * SIN(RADIANS((D36) - INDEX('Dataset_Wisata'!$D$12:$D$622, MATCH('Dashboard'!$C$9, 'Dataset_Wisata'!$A$12:$A$622, 0)))/2)^2)) * 1.3</f>
        <v/>
      </c>
      <c r="J36" s="21">
        <f>ROUND(I36 * IF('Dashboard'!$C$6&lt;=1, 2250, IF('Dashboard'!$C$6&lt;=4, 5150, 6000)), 0)</f>
        <v/>
      </c>
      <c r="K36" s="30" t="n">
        <v>0.03794944227047307</v>
      </c>
      <c r="L36" s="30" t="n">
        <v>0.1605171765060653</v>
      </c>
      <c r="M36" s="30" t="n">
        <v>0.8015333812234617</v>
      </c>
      <c r="N36" s="31">
        <f>ABS(E36-$F$6)</f>
        <v/>
      </c>
      <c r="O36" s="31">
        <f>ABS(E36-$F$7)</f>
        <v/>
      </c>
      <c r="P36" s="31">
        <f>ABS(E36-$F$8)</f>
        <v/>
      </c>
      <c r="Q36" s="14">
        <f>IF(K36&gt;=MAX(L36,M36), "Hemat", IF(L36&gt;=M36, "Balanced", "Premium"))</f>
        <v/>
      </c>
      <c r="R36" s="30" t="n">
        <v>0.03795142989861673</v>
      </c>
      <c r="S36" s="30" t="n">
        <v>0.1605274317689268</v>
      </c>
      <c r="T36" s="30" t="n">
        <v>0.8015211383324564</v>
      </c>
      <c r="U36" s="31">
        <f>ABS(E36-$G$6)</f>
        <v/>
      </c>
      <c r="V36" s="31">
        <f>ABS(E36-$G$7)</f>
        <v/>
      </c>
      <c r="W36" s="31">
        <f>ABS(E36-$G$8)</f>
        <v/>
      </c>
      <c r="X36" s="14">
        <f>IF(R36&gt;=MAX(S36,T36), "Hemat", IF(S36&gt;=T36, "Balanced", "Premium"))</f>
        <v/>
      </c>
    </row>
    <row r="37">
      <c r="A37" s="14" t="n">
        <v>26</v>
      </c>
      <c r="B37" s="7" t="inlineStr">
        <is>
          <t>Marry Ind</t>
        </is>
      </c>
      <c r="C37" s="26" t="n">
        <v>-8.0554451</v>
      </c>
      <c r="D37" s="26" t="n">
        <v>112.501256</v>
      </c>
      <c r="E37" s="21" t="n">
        <v>231678</v>
      </c>
      <c r="F37" s="27" t="n">
        <v>0</v>
      </c>
      <c r="G37" s="28" t="n">
        <v>0</v>
      </c>
      <c r="H37" s="14" t="inlineStr">
        <is>
          <t>N/A</t>
        </is>
      </c>
      <c r="I37" s="29">
        <f>6371 * 2 * ASIN(SQRT(SIN(RADIANS((C37) - INDEX('Dataset_Wisata'!$C$12:$C$622, MATCH('Dashboard'!$C$9, 'Dataset_Wisata'!$A$12:$A$622, 0)))/2)^2 + COS(RADIANS(INDEX('Dataset_Wisata'!$C$12:$C$622, MATCH('Dashboard'!$C$9, 'Dataset_Wisata'!$A$12:$A$622, 0)))) * COS(RADIANS(C37)) * SIN(RADIANS((D37) - INDEX('Dataset_Wisata'!$D$12:$D$622, MATCH('Dashboard'!$C$9, 'Dataset_Wisata'!$A$12:$A$622, 0)))/2)^2)) * 1.3</f>
        <v/>
      </c>
      <c r="J37" s="21">
        <f>ROUND(I37 * IF('Dashboard'!$C$6&lt;=1, 2250, IF('Dashboard'!$C$6&lt;=4, 5150, 6000)), 0)</f>
        <v/>
      </c>
      <c r="K37" s="30" t="n">
        <v>0.01588807192679718</v>
      </c>
      <c r="L37" s="30" t="n">
        <v>0.9784280725103227</v>
      </c>
      <c r="M37" s="30" t="n">
        <v>0.005683855562880105</v>
      </c>
      <c r="N37" s="31">
        <f>ABS(E37-$F$6)</f>
        <v/>
      </c>
      <c r="O37" s="31">
        <f>ABS(E37-$F$7)</f>
        <v/>
      </c>
      <c r="P37" s="31">
        <f>ABS(E37-$F$8)</f>
        <v/>
      </c>
      <c r="Q37" s="14">
        <f>IF(K37&gt;=MAX(L37,M37), "Hemat", IF(L37&gt;=M37, "Balanced", "Premium"))</f>
        <v/>
      </c>
      <c r="R37" s="30" t="n">
        <v>0.01588989789263131</v>
      </c>
      <c r="S37" s="30" t="n">
        <v>0.9784257246292182</v>
      </c>
      <c r="T37" s="30" t="n">
        <v>0.005684377478150379</v>
      </c>
      <c r="U37" s="31">
        <f>ABS(E37-$G$6)</f>
        <v/>
      </c>
      <c r="V37" s="31">
        <f>ABS(E37-$G$7)</f>
        <v/>
      </c>
      <c r="W37" s="31">
        <f>ABS(E37-$G$8)</f>
        <v/>
      </c>
      <c r="X37" s="14">
        <f>IF(R37&gt;=MAX(S37,T37), "Hemat", IF(S37&gt;=T37, "Balanced", "Premium"))</f>
        <v/>
      </c>
    </row>
    <row r="38">
      <c r="A38" s="14" t="n">
        <v>27</v>
      </c>
      <c r="B38" s="7" t="inlineStr">
        <is>
          <t>RORO Hotel ꦥꦔꦶꦤꦼꦥꦤ꧀ꦫꦫ</t>
        </is>
      </c>
      <c r="C38" s="26" t="n">
        <v>-8.0251903</v>
      </c>
      <c r="D38" s="26" t="n">
        <v>112.4936387</v>
      </c>
      <c r="E38" s="21" t="n">
        <v>285000</v>
      </c>
      <c r="F38" s="27" t="n">
        <v>0</v>
      </c>
      <c r="G38" s="28" t="n">
        <v>0</v>
      </c>
      <c r="H38" s="14" t="inlineStr">
        <is>
          <t>N/A</t>
        </is>
      </c>
      <c r="I38" s="29">
        <f>6371 * 2 * ASIN(SQRT(SIN(RADIANS((C38) - INDEX('Dataset_Wisata'!$C$12:$C$622, MATCH('Dashboard'!$C$9, 'Dataset_Wisata'!$A$12:$A$622, 0)))/2)^2 + COS(RADIANS(INDEX('Dataset_Wisata'!$C$12:$C$622, MATCH('Dashboard'!$C$9, 'Dataset_Wisata'!$A$12:$A$622, 0)))) * COS(RADIANS(C38)) * SIN(RADIANS((D38) - INDEX('Dataset_Wisata'!$D$12:$D$622, MATCH('Dashboard'!$C$9, 'Dataset_Wisata'!$A$12:$A$622, 0)))/2)^2)) * 1.3</f>
        <v/>
      </c>
      <c r="J38" s="21">
        <f>ROUND(I38 * IF('Dashboard'!$C$6&lt;=1, 2250, IF('Dashboard'!$C$6&lt;=4, 5150, 6000)), 0)</f>
        <v/>
      </c>
      <c r="K38" s="30" t="n">
        <v>0.05242948490599209</v>
      </c>
      <c r="L38" s="30" t="n">
        <v>0.8626302367713432</v>
      </c>
      <c r="M38" s="30" t="n">
        <v>0.08494027832266471</v>
      </c>
      <c r="N38" s="31">
        <f>ABS(E38-$F$6)</f>
        <v/>
      </c>
      <c r="O38" s="31">
        <f>ABS(E38-$F$7)</f>
        <v/>
      </c>
      <c r="P38" s="31">
        <f>ABS(E38-$F$8)</f>
        <v/>
      </c>
      <c r="Q38" s="14">
        <f>IF(K38&gt;=MAX(L38,M38), "Hemat", IF(L38&gt;=M38, "Balanced", "Premium"))</f>
        <v/>
      </c>
      <c r="R38" s="30" t="n">
        <v>0.05242798289147459</v>
      </c>
      <c r="S38" s="30" t="n">
        <v>0.8626366843399129</v>
      </c>
      <c r="T38" s="30" t="n">
        <v>0.08493533276861245</v>
      </c>
      <c r="U38" s="31">
        <f>ABS(E38-$G$6)</f>
        <v/>
      </c>
      <c r="V38" s="31">
        <f>ABS(E38-$G$7)</f>
        <v/>
      </c>
      <c r="W38" s="31">
        <f>ABS(E38-$G$8)</f>
        <v/>
      </c>
      <c r="X38" s="14">
        <f>IF(R38&gt;=MAX(S38,T38), "Hemat", IF(S38&gt;=T38, "Balanced", "Premium"))</f>
        <v/>
      </c>
    </row>
    <row r="39">
      <c r="A39" s="14" t="n">
        <v>28</v>
      </c>
      <c r="B39" s="7" t="inlineStr">
        <is>
          <t>Hotel Kawi Surapatha</t>
        </is>
      </c>
      <c r="C39" s="26" t="n">
        <v>-8.0264258</v>
      </c>
      <c r="D39" s="26" t="n">
        <v>112.4921883</v>
      </c>
      <c r="E39" s="21" t="n">
        <v>800000</v>
      </c>
      <c r="F39" s="27" t="n">
        <v>0</v>
      </c>
      <c r="G39" s="28" t="n">
        <v>0</v>
      </c>
      <c r="H39" s="14" t="inlineStr">
        <is>
          <t>N/A</t>
        </is>
      </c>
      <c r="I39" s="29">
        <f>6371 * 2 * ASIN(SQRT(SIN(RADIANS((C39) - INDEX('Dataset_Wisata'!$C$12:$C$622, MATCH('Dashboard'!$C$9, 'Dataset_Wisata'!$A$12:$A$622, 0)))/2)^2 + COS(RADIANS(INDEX('Dataset_Wisata'!$C$12:$C$622, MATCH('Dashboard'!$C$9, 'Dataset_Wisata'!$A$12:$A$622, 0)))) * COS(RADIANS(C39)) * SIN(RADIANS((D39) - INDEX('Dataset_Wisata'!$D$12:$D$622, MATCH('Dashboard'!$C$9, 'Dataset_Wisata'!$A$12:$A$622, 0)))/2)^2)) * 1.3</f>
        <v/>
      </c>
      <c r="J39" s="21">
        <f>ROUND(I39 * IF('Dashboard'!$C$6&lt;=1, 2250, IF('Dashboard'!$C$6&lt;=4, 5150, 6000)), 0)</f>
        <v/>
      </c>
      <c r="K39" s="30" t="n">
        <v>0.02189879179022175</v>
      </c>
      <c r="L39" s="30" t="n">
        <v>0.0325080279196789</v>
      </c>
      <c r="M39" s="30" t="n">
        <v>0.06618621882930271</v>
      </c>
      <c r="N39" s="31">
        <f>ABS(E39-$F$6)</f>
        <v/>
      </c>
      <c r="O39" s="31">
        <f>ABS(E39-$F$7)</f>
        <v/>
      </c>
      <c r="P39" s="31">
        <f>ABS(E39-$F$8)</f>
        <v/>
      </c>
      <c r="Q39" s="14">
        <f>IF(K39&gt;=MAX(L39,M39), "Hemat", IF(L39&gt;=M39, "Balanced", "Premium"))</f>
        <v/>
      </c>
      <c r="R39" s="30" t="n">
        <v>0.02189880691943798</v>
      </c>
      <c r="S39" s="30" t="n">
        <v>0.03250811857470018</v>
      </c>
      <c r="T39" s="30" t="n">
        <v>0.06618679244776028</v>
      </c>
      <c r="U39" s="31">
        <f>ABS(E39-$G$6)</f>
        <v/>
      </c>
      <c r="V39" s="31">
        <f>ABS(E39-$G$7)</f>
        <v/>
      </c>
      <c r="W39" s="31">
        <f>ABS(E39-$G$8)</f>
        <v/>
      </c>
      <c r="X39" s="14">
        <f>IF(R39&gt;=MAX(S39,T39), "Hemat", IF(S39&gt;=T39, "Balanced", "Premium"))</f>
        <v/>
      </c>
    </row>
    <row r="40">
      <c r="A40" s="14" t="n">
        <v>29</v>
      </c>
      <c r="B40" s="7" t="inlineStr">
        <is>
          <t>Villa Dua Dua Redpartner</t>
        </is>
      </c>
      <c r="C40" s="26" t="n">
        <v>-7.8991184</v>
      </c>
      <c r="D40" s="26" t="n">
        <v>112.5290096</v>
      </c>
      <c r="E40" s="21" t="n">
        <v>104444</v>
      </c>
      <c r="F40" s="27" t="n">
        <v>0</v>
      </c>
      <c r="G40" s="28" t="n">
        <v>0</v>
      </c>
      <c r="H40" s="14" t="inlineStr">
        <is>
          <t>N/A</t>
        </is>
      </c>
      <c r="I40" s="29">
        <f>6371 * 2 * ASIN(SQRT(SIN(RADIANS((C40) - INDEX('Dataset_Wisata'!$C$12:$C$622, MATCH('Dashboard'!$C$9, 'Dataset_Wisata'!$A$12:$A$622, 0)))/2)^2 + COS(RADIANS(INDEX('Dataset_Wisata'!$C$12:$C$622, MATCH('Dashboard'!$C$9, 'Dataset_Wisata'!$A$12:$A$622, 0)))) * COS(RADIANS(C40)) * SIN(RADIANS((D40) - INDEX('Dataset_Wisata'!$D$12:$D$622, MATCH('Dashboard'!$C$9, 'Dataset_Wisata'!$A$12:$A$622, 0)))/2)^2)) * 1.3</f>
        <v/>
      </c>
      <c r="J40" s="21">
        <f>ROUND(I40 * IF('Dashboard'!$C$6&lt;=1, 2250, IF('Dashboard'!$C$6&lt;=4, 5150, 6000)), 0)</f>
        <v/>
      </c>
      <c r="K40" s="30" t="n">
        <v>0.976654023312156</v>
      </c>
      <c r="L40" s="30" t="n">
        <v>0.01927962174738941</v>
      </c>
      <c r="M40" s="30" t="n">
        <v>0.004066354940454572</v>
      </c>
      <c r="N40" s="31">
        <f>ABS(E40-$F$6)</f>
        <v/>
      </c>
      <c r="O40" s="31">
        <f>ABS(E40-$F$7)</f>
        <v/>
      </c>
      <c r="P40" s="31">
        <f>ABS(E40-$F$8)</f>
        <v/>
      </c>
      <c r="Q40" s="14">
        <f>IF(K40&gt;=MAX(L40,M40), "Hemat", IF(L40&gt;=M40, "Balanced", "Premium"))</f>
        <v/>
      </c>
      <c r="R40" s="30" t="n">
        <v>0.9766537359552011</v>
      </c>
      <c r="S40" s="30" t="n">
        <v>0.01927985906304837</v>
      </c>
      <c r="T40" s="30" t="n">
        <v>0.004066404981750497</v>
      </c>
      <c r="U40" s="31">
        <f>ABS(E40-$G$6)</f>
        <v/>
      </c>
      <c r="V40" s="31">
        <f>ABS(E40-$G$7)</f>
        <v/>
      </c>
      <c r="W40" s="31">
        <f>ABS(E40-$G$8)</f>
        <v/>
      </c>
      <c r="X40" s="14">
        <f>IF(R40&gt;=MAX(S40,T40), "Hemat", IF(S40&gt;=T40, "Balanced", "Premium"))</f>
        <v/>
      </c>
    </row>
    <row r="41">
      <c r="A41" s="14" t="n">
        <v>30</v>
      </c>
      <c r="B41" s="7" t="inlineStr">
        <is>
          <t>RedDoorz near Jawa Timur Park 2</t>
        </is>
      </c>
      <c r="C41" s="26" t="n">
        <v>-7.8907573</v>
      </c>
      <c r="D41" s="26" t="n">
        <v>112.5222195</v>
      </c>
      <c r="E41" s="21" t="n">
        <v>190698</v>
      </c>
      <c r="F41" s="27" t="n">
        <v>0</v>
      </c>
      <c r="G41" s="28" t="n">
        <v>0</v>
      </c>
      <c r="H41" s="14" t="inlineStr">
        <is>
          <t>N/A</t>
        </is>
      </c>
      <c r="I41" s="29">
        <f>6371 * 2 * ASIN(SQRT(SIN(RADIANS((C41) - INDEX('Dataset_Wisata'!$C$12:$C$622, MATCH('Dashboard'!$C$9, 'Dataset_Wisata'!$A$12:$A$622, 0)))/2)^2 + COS(RADIANS(INDEX('Dataset_Wisata'!$C$12:$C$622, MATCH('Dashboard'!$C$9, 'Dataset_Wisata'!$A$12:$A$622, 0)))) * COS(RADIANS(C41)) * SIN(RADIANS((D41) - INDEX('Dataset_Wisata'!$D$12:$D$622, MATCH('Dashboard'!$C$9, 'Dataset_Wisata'!$A$12:$A$622, 0)))/2)^2)) * 1.3</f>
        <v/>
      </c>
      <c r="J41" s="21">
        <f>ROUND(I41 * IF('Dashboard'!$C$6&lt;=1, 2250, IF('Dashboard'!$C$6&lt;=4, 5150, 6000)), 0)</f>
        <v/>
      </c>
      <c r="K41" s="30" t="n">
        <v>0.3893644955779733</v>
      </c>
      <c r="L41" s="30" t="n">
        <v>0.5753020693881092</v>
      </c>
      <c r="M41" s="30" t="n">
        <v>0.0353334350339175</v>
      </c>
      <c r="N41" s="31">
        <f>ABS(E41-$F$6)</f>
        <v/>
      </c>
      <c r="O41" s="31">
        <f>ABS(E41-$F$7)</f>
        <v/>
      </c>
      <c r="P41" s="31">
        <f>ABS(E41-$F$8)</f>
        <v/>
      </c>
      <c r="Q41" s="14">
        <f>IF(K41&gt;=MAX(L41,M41), "Hemat", IF(L41&gt;=M41, "Balanced", "Premium"))</f>
        <v/>
      </c>
      <c r="R41" s="30" t="n">
        <v>0.3893727133115192</v>
      </c>
      <c r="S41" s="30" t="n">
        <v>0.5752938937293872</v>
      </c>
      <c r="T41" s="30" t="n">
        <v>0.03533339295909354</v>
      </c>
      <c r="U41" s="31">
        <f>ABS(E41-$G$6)</f>
        <v/>
      </c>
      <c r="V41" s="31">
        <f>ABS(E41-$G$7)</f>
        <v/>
      </c>
      <c r="W41" s="31">
        <f>ABS(E41-$G$8)</f>
        <v/>
      </c>
      <c r="X41" s="14">
        <f>IF(R41&gt;=MAX(S41,T41), "Hemat", IF(S41&gt;=T41, "Balanced", "Premium"))</f>
        <v/>
      </c>
    </row>
    <row r="42">
      <c r="A42" s="14" t="n">
        <v>31</v>
      </c>
      <c r="B42" s="7" t="inlineStr">
        <is>
          <t>Urbanview Hotel Bubusini Batu</t>
        </is>
      </c>
      <c r="C42" s="26" t="n">
        <v>-7.8732693</v>
      </c>
      <c r="D42" s="26" t="n">
        <v>112.5222402</v>
      </c>
      <c r="E42" s="21" t="n">
        <v>338695</v>
      </c>
      <c r="F42" s="27" t="n">
        <v>0</v>
      </c>
      <c r="G42" s="28" t="n">
        <v>0</v>
      </c>
      <c r="H42" s="14" t="inlineStr">
        <is>
          <t>N/A</t>
        </is>
      </c>
      <c r="I42" s="29">
        <f>6371 * 2 * ASIN(SQRT(SIN(RADIANS((C42) - INDEX('Dataset_Wisata'!$C$12:$C$622, MATCH('Dashboard'!$C$9, 'Dataset_Wisata'!$A$12:$A$622, 0)))/2)^2 + COS(RADIANS(INDEX('Dataset_Wisata'!$C$12:$C$622, MATCH('Dashboard'!$C$9, 'Dataset_Wisata'!$A$12:$A$622, 0)))) * COS(RADIANS(C42)) * SIN(RADIANS((D42) - INDEX('Dataset_Wisata'!$D$12:$D$622, MATCH('Dashboard'!$C$9, 'Dataset_Wisata'!$A$12:$A$622, 0)))/2)^2)) * 1.3</f>
        <v/>
      </c>
      <c r="J42" s="21">
        <f>ROUND(I42 * IF('Dashboard'!$C$6&lt;=1, 2250, IF('Dashboard'!$C$6&lt;=4, 5150, 6000)), 0)</f>
        <v/>
      </c>
      <c r="K42" s="30" t="n">
        <v>0.06664605752621057</v>
      </c>
      <c r="L42" s="30" t="n">
        <v>0.3518996824344569</v>
      </c>
      <c r="M42" s="30" t="n">
        <v>0.5814542600393325</v>
      </c>
      <c r="N42" s="31">
        <f>ABS(E42-$F$6)</f>
        <v/>
      </c>
      <c r="O42" s="31">
        <f>ABS(E42-$F$7)</f>
        <v/>
      </c>
      <c r="P42" s="31">
        <f>ABS(E42-$F$8)</f>
        <v/>
      </c>
      <c r="Q42" s="14">
        <f>IF(K42&gt;=MAX(L42,M42), "Hemat", IF(L42&gt;=M42, "Balanced", "Premium"))</f>
        <v/>
      </c>
      <c r="R42" s="30" t="n">
        <v>0.06664760227841111</v>
      </c>
      <c r="S42" s="30" t="n">
        <v>0.3519129050224095</v>
      </c>
      <c r="T42" s="30" t="n">
        <v>0.5814394926991794</v>
      </c>
      <c r="U42" s="31">
        <f>ABS(E42-$G$6)</f>
        <v/>
      </c>
      <c r="V42" s="31">
        <f>ABS(E42-$G$7)</f>
        <v/>
      </c>
      <c r="W42" s="31">
        <f>ABS(E42-$G$8)</f>
        <v/>
      </c>
      <c r="X42" s="14">
        <f>IF(R42&gt;=MAX(S42,T42), "Hemat", IF(S42&gt;=T42, "Balanced", "Premium"))</f>
        <v/>
      </c>
    </row>
    <row r="43">
      <c r="A43" s="14" t="n">
        <v>32</v>
      </c>
      <c r="B43" s="7" t="inlineStr">
        <is>
          <t>Griya Sumber Rejeki Homestay</t>
        </is>
      </c>
      <c r="C43" s="26" t="n">
        <v>-7.893541</v>
      </c>
      <c r="D43" s="26" t="n">
        <v>112.5331669</v>
      </c>
      <c r="E43" s="21" t="n">
        <v>205648</v>
      </c>
      <c r="F43" s="27" t="n">
        <v>0</v>
      </c>
      <c r="G43" s="28" t="n">
        <v>0</v>
      </c>
      <c r="H43" s="14" t="inlineStr">
        <is>
          <t>N/A</t>
        </is>
      </c>
      <c r="I43" s="29">
        <f>6371 * 2 * ASIN(SQRT(SIN(RADIANS((C43) - INDEX('Dataset_Wisata'!$C$12:$C$622, MATCH('Dashboard'!$C$9, 'Dataset_Wisata'!$A$12:$A$622, 0)))/2)^2 + COS(RADIANS(INDEX('Dataset_Wisata'!$C$12:$C$622, MATCH('Dashboard'!$C$9, 'Dataset_Wisata'!$A$12:$A$622, 0)))) * COS(RADIANS(C43)) * SIN(RADIANS((D43) - INDEX('Dataset_Wisata'!$D$12:$D$622, MATCH('Dashboard'!$C$9, 'Dataset_Wisata'!$A$12:$A$622, 0)))/2)^2)) * 1.3</f>
        <v/>
      </c>
      <c r="J43" s="21">
        <f>ROUND(I43 * IF('Dashboard'!$C$6&lt;=1, 2250, IF('Dashboard'!$C$6&lt;=4, 5150, 6000)), 0)</f>
        <v/>
      </c>
      <c r="K43" s="30" t="n">
        <v>0.1866767107166743</v>
      </c>
      <c r="L43" s="30" t="n">
        <v>0.7840735305115959</v>
      </c>
      <c r="M43" s="30" t="n">
        <v>0.02924975877172992</v>
      </c>
      <c r="N43" s="31">
        <f>ABS(E43-$F$6)</f>
        <v/>
      </c>
      <c r="O43" s="31">
        <f>ABS(E43-$F$7)</f>
        <v/>
      </c>
      <c r="P43" s="31">
        <f>ABS(E43-$F$8)</f>
        <v/>
      </c>
      <c r="Q43" s="14">
        <f>IF(K43&gt;=MAX(L43,M43), "Hemat", IF(L43&gt;=M43, "Balanced", "Premium"))</f>
        <v/>
      </c>
      <c r="R43" s="30" t="n">
        <v>0.1866833704813978</v>
      </c>
      <c r="S43" s="30" t="n">
        <v>0.7840664741533617</v>
      </c>
      <c r="T43" s="30" t="n">
        <v>0.02925015536524041</v>
      </c>
      <c r="U43" s="31">
        <f>ABS(E43-$G$6)</f>
        <v/>
      </c>
      <c r="V43" s="31">
        <f>ABS(E43-$G$7)</f>
        <v/>
      </c>
      <c r="W43" s="31">
        <f>ABS(E43-$G$8)</f>
        <v/>
      </c>
      <c r="X43" s="14">
        <f>IF(R43&gt;=MAX(S43,T43), "Hemat", IF(S43&gt;=T43, "Balanced", "Premium"))</f>
        <v/>
      </c>
    </row>
    <row r="44">
      <c r="A44" s="14" t="n">
        <v>33</v>
      </c>
      <c r="B44" s="7" t="inlineStr">
        <is>
          <t>Guest House Syariah NusaIndah 2</t>
        </is>
      </c>
      <c r="C44" s="26" t="n">
        <v>-7.9083713</v>
      </c>
      <c r="D44" s="26" t="n">
        <v>112.5384846</v>
      </c>
      <c r="E44" s="21" t="n">
        <v>300000</v>
      </c>
      <c r="F44" s="27" t="n">
        <v>0</v>
      </c>
      <c r="G44" s="28" t="n">
        <v>0</v>
      </c>
      <c r="H44" s="14" t="inlineStr">
        <is>
          <t>N/A</t>
        </is>
      </c>
      <c r="I44" s="29">
        <f>6371 * 2 * ASIN(SQRT(SIN(RADIANS((C44) - INDEX('Dataset_Wisata'!$C$12:$C$622, MATCH('Dashboard'!$C$9, 'Dataset_Wisata'!$A$12:$A$622, 0)))/2)^2 + COS(RADIANS(INDEX('Dataset_Wisata'!$C$12:$C$622, MATCH('Dashboard'!$C$9, 'Dataset_Wisata'!$A$12:$A$622, 0)))) * COS(RADIANS(C44)) * SIN(RADIANS((D44) - INDEX('Dataset_Wisata'!$D$12:$D$622, MATCH('Dashboard'!$C$9, 'Dataset_Wisata'!$A$12:$A$622, 0)))/2)^2)) * 1.3</f>
        <v/>
      </c>
      <c r="J44" s="21">
        <f>ROUND(I44 * IF('Dashboard'!$C$6&lt;=1, 2250, IF('Dashboard'!$C$6&lt;=4, 5150, 6000)), 0)</f>
        <v/>
      </c>
      <c r="K44" s="30" t="n">
        <v>0.07223626084271963</v>
      </c>
      <c r="L44" s="30" t="n">
        <v>0.7476291821940408</v>
      </c>
      <c r="M44" s="30" t="n">
        <v>0.1801345569632395</v>
      </c>
      <c r="N44" s="31">
        <f>ABS(E44-$F$6)</f>
        <v/>
      </c>
      <c r="O44" s="31">
        <f>ABS(E44-$F$7)</f>
        <v/>
      </c>
      <c r="P44" s="31">
        <f>ABS(E44-$F$8)</f>
        <v/>
      </c>
      <c r="Q44" s="14">
        <f>IF(K44&gt;=MAX(L44,M44), "Hemat", IF(L44&gt;=M44, "Balanced", "Premium"))</f>
        <v/>
      </c>
      <c r="R44" s="30" t="n">
        <v>0.07223530370768798</v>
      </c>
      <c r="S44" s="30" t="n">
        <v>0.7476384566573707</v>
      </c>
      <c r="T44" s="30" t="n">
        <v>0.1801262396349412</v>
      </c>
      <c r="U44" s="31">
        <f>ABS(E44-$G$6)</f>
        <v/>
      </c>
      <c r="V44" s="31">
        <f>ABS(E44-$G$7)</f>
        <v/>
      </c>
      <c r="W44" s="31">
        <f>ABS(E44-$G$8)</f>
        <v/>
      </c>
      <c r="X44" s="14">
        <f>IF(R44&gt;=MAX(S44,T44), "Hemat", IF(S44&gt;=T44, "Balanced", "Premium"))</f>
        <v/>
      </c>
    </row>
    <row r="45">
      <c r="A45" s="14" t="n">
        <v>34</v>
      </c>
      <c r="B45" s="7" t="inlineStr">
        <is>
          <t>Embun Pagi Hostel &amp; Villa</t>
        </is>
      </c>
      <c r="C45" s="26" t="n">
        <v>-7.8908127</v>
      </c>
      <c r="D45" s="26" t="n">
        <v>112.5226317</v>
      </c>
      <c r="E45" s="21" t="n">
        <v>150000</v>
      </c>
      <c r="F45" s="27" t="n">
        <v>0</v>
      </c>
      <c r="G45" s="28" t="n">
        <v>0</v>
      </c>
      <c r="H45" s="14" t="inlineStr">
        <is>
          <t>N/A</t>
        </is>
      </c>
      <c r="I45" s="29">
        <f>6371 * 2 * ASIN(SQRT(SIN(RADIANS((C45) - INDEX('Dataset_Wisata'!$C$12:$C$622, MATCH('Dashboard'!$C$9, 'Dataset_Wisata'!$A$12:$A$622, 0)))/2)^2 + COS(RADIANS(INDEX('Dataset_Wisata'!$C$12:$C$622, MATCH('Dashboard'!$C$9, 'Dataset_Wisata'!$A$12:$A$622, 0)))) * COS(RADIANS(C45)) * SIN(RADIANS((D45) - INDEX('Dataset_Wisata'!$D$12:$D$622, MATCH('Dashboard'!$C$9, 'Dataset_Wisata'!$A$12:$A$622, 0)))/2)^2)) * 1.3</f>
        <v/>
      </c>
      <c r="J45" s="21">
        <f>ROUND(I45 * IF('Dashboard'!$C$6&lt;=1, 2250, IF('Dashboard'!$C$6&lt;=4, 5150, 6000)), 0)</f>
        <v/>
      </c>
      <c r="K45" s="30" t="n">
        <v>0.9236568385235482</v>
      </c>
      <c r="L45" s="30" t="n">
        <v>0.06736899151285153</v>
      </c>
      <c r="M45" s="30" t="n">
        <v>0.008974169963600275</v>
      </c>
      <c r="N45" s="31">
        <f>ABS(E45-$F$6)</f>
        <v/>
      </c>
      <c r="O45" s="31">
        <f>ABS(E45-$F$7)</f>
        <v/>
      </c>
      <c r="P45" s="31">
        <f>ABS(E45-$F$8)</f>
        <v/>
      </c>
      <c r="Q45" s="14">
        <f>IF(K45&gt;=MAX(L45,M45), "Hemat", IF(L45&gt;=M45, "Balanced", "Premium"))</f>
        <v/>
      </c>
      <c r="R45" s="30" t="n">
        <v>0.9236592327110943</v>
      </c>
      <c r="S45" s="30" t="n">
        <v>0.0673668524262508</v>
      </c>
      <c r="T45" s="30" t="n">
        <v>0.008973914862654904</v>
      </c>
      <c r="U45" s="31">
        <f>ABS(E45-$G$6)</f>
        <v/>
      </c>
      <c r="V45" s="31">
        <f>ABS(E45-$G$7)</f>
        <v/>
      </c>
      <c r="W45" s="31">
        <f>ABS(E45-$G$8)</f>
        <v/>
      </c>
      <c r="X45" s="14">
        <f>IF(R45&gt;=MAX(S45,T45), "Hemat", IF(S45&gt;=T45, "Balanced", "Premium"))</f>
        <v/>
      </c>
    </row>
    <row r="46">
      <c r="A46" s="14" t="n">
        <v>35</v>
      </c>
      <c r="B46" s="7" t="inlineStr">
        <is>
          <t>Penginapan di Batu | Roemah YWI</t>
        </is>
      </c>
      <c r="C46" s="26" t="n">
        <v>-7.8980813</v>
      </c>
      <c r="D46" s="26" t="n">
        <v>112.5339835</v>
      </c>
      <c r="E46" s="21" t="n">
        <v>294916</v>
      </c>
      <c r="F46" s="27" t="n">
        <v>0</v>
      </c>
      <c r="G46" s="28" t="n">
        <v>0</v>
      </c>
      <c r="H46" s="14" t="inlineStr">
        <is>
          <t>N/A</t>
        </is>
      </c>
      <c r="I46" s="29">
        <f>6371 * 2 * ASIN(SQRT(SIN(RADIANS((C46) - INDEX('Dataset_Wisata'!$C$12:$C$622, MATCH('Dashboard'!$C$9, 'Dataset_Wisata'!$A$12:$A$622, 0)))/2)^2 + COS(RADIANS(INDEX('Dataset_Wisata'!$C$12:$C$622, MATCH('Dashboard'!$C$9, 'Dataset_Wisata'!$A$12:$A$622, 0)))) * COS(RADIANS(C46)) * SIN(RADIANS((D46) - INDEX('Dataset_Wisata'!$D$12:$D$622, MATCH('Dashboard'!$C$9, 'Dataset_Wisata'!$A$12:$A$622, 0)))/2)^2)) * 1.3</f>
        <v/>
      </c>
      <c r="J46" s="21">
        <f>ROUND(I46 * IF('Dashboard'!$C$6&lt;=1, 2250, IF('Dashboard'!$C$6&lt;=4, 5150, 6000)), 0)</f>
        <v/>
      </c>
      <c r="K46" s="30" t="n">
        <v>0.06659643170341385</v>
      </c>
      <c r="L46" s="30" t="n">
        <v>0.7901847006739883</v>
      </c>
      <c r="M46" s="30" t="n">
        <v>0.1432188676225978</v>
      </c>
      <c r="N46" s="31">
        <f>ABS(E46-$F$6)</f>
        <v/>
      </c>
      <c r="O46" s="31">
        <f>ABS(E46-$F$7)</f>
        <v/>
      </c>
      <c r="P46" s="31">
        <f>ABS(E46-$F$8)</f>
        <v/>
      </c>
      <c r="Q46" s="14">
        <f>IF(K46&gt;=MAX(L46,M46), "Hemat", IF(L46&gt;=M46, "Balanced", "Premium"))</f>
        <v/>
      </c>
      <c r="R46" s="30" t="n">
        <v>0.06659523508899361</v>
      </c>
      <c r="S46" s="30" t="n">
        <v>0.7901930077898313</v>
      </c>
      <c r="T46" s="30" t="n">
        <v>0.143211757121175</v>
      </c>
      <c r="U46" s="31">
        <f>ABS(E46-$G$6)</f>
        <v/>
      </c>
      <c r="V46" s="31">
        <f>ABS(E46-$G$7)</f>
        <v/>
      </c>
      <c r="W46" s="31">
        <f>ABS(E46-$G$8)</f>
        <v/>
      </c>
      <c r="X46" s="14">
        <f>IF(R46&gt;=MAX(S46,T46), "Hemat", IF(S46&gt;=T46, "Balanced", "Premium"))</f>
        <v/>
      </c>
    </row>
    <row r="47">
      <c r="A47" s="14" t="n">
        <v>36</v>
      </c>
      <c r="B47" s="7" t="inlineStr">
        <is>
          <t>Pohon Inn Hotel</t>
        </is>
      </c>
      <c r="C47" s="26" t="n">
        <v>-7.8886052</v>
      </c>
      <c r="D47" s="26" t="n">
        <v>112.5292964</v>
      </c>
      <c r="E47" s="21" t="n">
        <v>458549</v>
      </c>
      <c r="F47" s="27" t="n">
        <v>0</v>
      </c>
      <c r="G47" s="28" t="n">
        <v>0</v>
      </c>
      <c r="H47" s="14" t="inlineStr">
        <is>
          <t>N/A</t>
        </is>
      </c>
      <c r="I47" s="29">
        <f>6371 * 2 * ASIN(SQRT(SIN(RADIANS((C47) - INDEX('Dataset_Wisata'!$C$12:$C$622, MATCH('Dashboard'!$C$9, 'Dataset_Wisata'!$A$12:$A$622, 0)))/2)^2 + COS(RADIANS(INDEX('Dataset_Wisata'!$C$12:$C$622, MATCH('Dashboard'!$C$9, 'Dataset_Wisata'!$A$12:$A$622, 0)))) * COS(RADIANS(C47)) * SIN(RADIANS((D47) - INDEX('Dataset_Wisata'!$D$12:$D$622, MATCH('Dashboard'!$C$9, 'Dataset_Wisata'!$A$12:$A$622, 0)))/2)^2)) * 1.3</f>
        <v/>
      </c>
      <c r="J47" s="21">
        <f>ROUND(I47 * IF('Dashboard'!$C$6&lt;=1, 2250, IF('Dashboard'!$C$6&lt;=4, 5150, 6000)), 0)</f>
        <v/>
      </c>
      <c r="K47" s="30" t="n">
        <v>0.01868560848856247</v>
      </c>
      <c r="L47" s="30" t="n">
        <v>0.04595124385831059</v>
      </c>
      <c r="M47" s="30" t="n">
        <v>0.9353631476531269</v>
      </c>
      <c r="N47" s="31">
        <f>ABS(E47-$F$6)</f>
        <v/>
      </c>
      <c r="O47" s="31">
        <f>ABS(E47-$F$7)</f>
        <v/>
      </c>
      <c r="P47" s="31">
        <f>ABS(E47-$F$8)</f>
        <v/>
      </c>
      <c r="Q47" s="14">
        <f>IF(K47&gt;=MAX(L47,M47), "Hemat", IF(L47&gt;=M47, "Balanced", "Premium"))</f>
        <v/>
      </c>
      <c r="R47" s="30" t="n">
        <v>0.01868438178971472</v>
      </c>
      <c r="S47" s="30" t="n">
        <v>0.04594849639094246</v>
      </c>
      <c r="T47" s="30" t="n">
        <v>0.9353671218193429</v>
      </c>
      <c r="U47" s="31">
        <f>ABS(E47-$G$6)</f>
        <v/>
      </c>
      <c r="V47" s="31">
        <f>ABS(E47-$G$7)</f>
        <v/>
      </c>
      <c r="W47" s="31">
        <f>ABS(E47-$G$8)</f>
        <v/>
      </c>
      <c r="X47" s="14">
        <f>IF(R47&gt;=MAX(S47,T47), "Hemat", IF(S47&gt;=T47, "Balanced", "Premium"))</f>
        <v/>
      </c>
    </row>
    <row r="48">
      <c r="A48" s="14" t="n">
        <v>37</v>
      </c>
      <c r="B48" s="7" t="inlineStr">
        <is>
          <t>Omah Londo Hotel Luxury</t>
        </is>
      </c>
      <c r="C48" s="26" t="n">
        <v>-7.8869778</v>
      </c>
      <c r="D48" s="26" t="n">
        <v>112.5190906</v>
      </c>
      <c r="E48" s="21" t="n">
        <v>412776</v>
      </c>
      <c r="F48" s="27" t="n">
        <v>0</v>
      </c>
      <c r="G48" s="28" t="n">
        <v>0</v>
      </c>
      <c r="H48" s="14" t="inlineStr">
        <is>
          <t>N/A</t>
        </is>
      </c>
      <c r="I48" s="29">
        <f>6371 * 2 * ASIN(SQRT(SIN(RADIANS((C48) - INDEX('Dataset_Wisata'!$C$12:$C$622, MATCH('Dashboard'!$C$9, 'Dataset_Wisata'!$A$12:$A$622, 0)))/2)^2 + COS(RADIANS(INDEX('Dataset_Wisata'!$C$12:$C$622, MATCH('Dashboard'!$C$9, 'Dataset_Wisata'!$A$12:$A$622, 0)))) * COS(RADIANS(C48)) * SIN(RADIANS((D48) - INDEX('Dataset_Wisata'!$D$12:$D$622, MATCH('Dashboard'!$C$9, 'Dataset_Wisata'!$A$12:$A$622, 0)))/2)^2)) * 1.3</f>
        <v/>
      </c>
      <c r="J48" s="21">
        <f>ROUND(I48 * IF('Dashboard'!$C$6&lt;=1, 2250, IF('Dashboard'!$C$6&lt;=4, 5150, 6000)), 0)</f>
        <v/>
      </c>
      <c r="K48" s="30" t="n">
        <v>2.621927483434998e-05</v>
      </c>
      <c r="L48" s="30" t="n">
        <v>7.788572147752938e-05</v>
      </c>
      <c r="M48" s="30" t="n">
        <v>0.9998958950036881</v>
      </c>
      <c r="N48" s="31">
        <f>ABS(E48-$F$6)</f>
        <v/>
      </c>
      <c r="O48" s="31">
        <f>ABS(E48-$F$7)</f>
        <v/>
      </c>
      <c r="P48" s="31">
        <f>ABS(E48-$F$8)</f>
        <v/>
      </c>
      <c r="Q48" s="14">
        <f>IF(K48&gt;=MAX(L48,M48), "Hemat", IF(L48&gt;=M48, "Balanced", "Premium"))</f>
        <v/>
      </c>
      <c r="R48" s="30" t="n">
        <v>2.615957649522816e-05</v>
      </c>
      <c r="S48" s="30" t="n">
        <v>7.770897667510487e-05</v>
      </c>
      <c r="T48" s="30" t="n">
        <v>0.9998961314468297</v>
      </c>
      <c r="U48" s="31">
        <f>ABS(E48-$G$6)</f>
        <v/>
      </c>
      <c r="V48" s="31">
        <f>ABS(E48-$G$7)</f>
        <v/>
      </c>
      <c r="W48" s="31">
        <f>ABS(E48-$G$8)</f>
        <v/>
      </c>
      <c r="X48" s="14">
        <f>IF(R48&gt;=MAX(S48,T48), "Hemat", IF(S48&gt;=T48, "Balanced", "Premium"))</f>
        <v/>
      </c>
    </row>
    <row r="49">
      <c r="A49" s="14" t="n">
        <v>38</v>
      </c>
      <c r="B49" s="7" t="inlineStr">
        <is>
          <t>Villa Puncak Pinus And Pool</t>
        </is>
      </c>
      <c r="C49" s="26" t="n">
        <v>-7.9068286</v>
      </c>
      <c r="D49" s="26" t="n">
        <v>112.5241799</v>
      </c>
      <c r="E49" s="21" t="n">
        <v>650000</v>
      </c>
      <c r="F49" s="27" t="n">
        <v>0</v>
      </c>
      <c r="G49" s="28" t="n">
        <v>0</v>
      </c>
      <c r="H49" s="14" t="inlineStr">
        <is>
          <t>N/A</t>
        </is>
      </c>
      <c r="I49" s="29">
        <f>6371 * 2 * ASIN(SQRT(SIN(RADIANS((C49) - INDEX('Dataset_Wisata'!$C$12:$C$622, MATCH('Dashboard'!$C$9, 'Dataset_Wisata'!$A$12:$A$622, 0)))/2)^2 + COS(RADIANS(INDEX('Dataset_Wisata'!$C$12:$C$622, MATCH('Dashboard'!$C$9, 'Dataset_Wisata'!$A$12:$A$622, 0)))) * COS(RADIANS(C49)) * SIN(RADIANS((D49) - INDEX('Dataset_Wisata'!$D$12:$D$622, MATCH('Dashboard'!$C$9, 'Dataset_Wisata'!$A$12:$A$622, 0)))/2)^2)) * 1.3</f>
        <v/>
      </c>
      <c r="J49" s="21">
        <f>ROUND(I49 * IF('Dashboard'!$C$6&lt;=1, 2250, IF('Dashboard'!$C$6&lt;=4, 5150, 6000)), 0)</f>
        <v/>
      </c>
      <c r="K49" s="30" t="n">
        <v>0.03617691196794688</v>
      </c>
      <c r="L49" s="30" t="n">
        <v>0.06107735101803245</v>
      </c>
      <c r="M49" s="30" t="n">
        <v>0.1755050875401816</v>
      </c>
      <c r="N49" s="31">
        <f>ABS(E49-$F$6)</f>
        <v/>
      </c>
      <c r="O49" s="31">
        <f>ABS(E49-$F$7)</f>
        <v/>
      </c>
      <c r="P49" s="31">
        <f>ABS(E49-$F$8)</f>
        <v/>
      </c>
      <c r="Q49" s="14">
        <f>IF(K49&gt;=MAX(L49,M49), "Hemat", IF(L49&gt;=M49, "Balanced", "Premium"))</f>
        <v/>
      </c>
      <c r="R49" s="30" t="n">
        <v>0.03617694409223424</v>
      </c>
      <c r="S49" s="30" t="n">
        <v>0.06107758448559778</v>
      </c>
      <c r="T49" s="30" t="n">
        <v>0.175507564438056</v>
      </c>
      <c r="U49" s="31">
        <f>ABS(E49-$G$6)</f>
        <v/>
      </c>
      <c r="V49" s="31">
        <f>ABS(E49-$G$7)</f>
        <v/>
      </c>
      <c r="W49" s="31">
        <f>ABS(E49-$G$8)</f>
        <v/>
      </c>
      <c r="X49" s="14">
        <f>IF(R49&gt;=MAX(S49,T49), "Hemat", IF(S49&gt;=T49, "Balanced", "Premium"))</f>
        <v/>
      </c>
    </row>
    <row r="50">
      <c r="A50" s="14" t="n">
        <v>39</v>
      </c>
      <c r="B50" s="7" t="inlineStr">
        <is>
          <t>Hotel Tiara Family Residence Batu by NAP</t>
        </is>
      </c>
      <c r="C50" s="26" t="n">
        <v>-7.8809189</v>
      </c>
      <c r="D50" s="26" t="n">
        <v>112.5279513</v>
      </c>
      <c r="E50" s="21" t="n">
        <v>257517</v>
      </c>
      <c r="F50" s="27" t="n">
        <v>0</v>
      </c>
      <c r="G50" s="28" t="n">
        <v>0</v>
      </c>
      <c r="H50" s="14" t="inlineStr">
        <is>
          <t>N/A</t>
        </is>
      </c>
      <c r="I50" s="29">
        <f>6371 * 2 * ASIN(SQRT(SIN(RADIANS((C50) - INDEX('Dataset_Wisata'!$C$12:$C$622, MATCH('Dashboard'!$C$9, 'Dataset_Wisata'!$A$12:$A$622, 0)))/2)^2 + COS(RADIANS(INDEX('Dataset_Wisata'!$C$12:$C$622, MATCH('Dashboard'!$C$9, 'Dataset_Wisata'!$A$12:$A$622, 0)))) * COS(RADIANS(C50)) * SIN(RADIANS((D50) - INDEX('Dataset_Wisata'!$D$12:$D$622, MATCH('Dashboard'!$C$9, 'Dataset_Wisata'!$A$12:$A$622, 0)))/2)^2)) * 1.3</f>
        <v/>
      </c>
      <c r="J50" s="21">
        <f>ROUND(I50 * IF('Dashboard'!$C$6&lt;=1, 2250, IF('Dashboard'!$C$6&lt;=4, 5150, 6000)), 0)</f>
        <v/>
      </c>
      <c r="K50" s="30" t="n">
        <v>0.008190331470681123</v>
      </c>
      <c r="L50" s="30" t="n">
        <v>0.9856582148859516</v>
      </c>
      <c r="M50" s="30" t="n">
        <v>0.006151453643367232</v>
      </c>
      <c r="N50" s="31">
        <f>ABS(E50-$F$6)</f>
        <v/>
      </c>
      <c r="O50" s="31">
        <f>ABS(E50-$F$7)</f>
        <v/>
      </c>
      <c r="P50" s="31">
        <f>ABS(E50-$F$8)</f>
        <v/>
      </c>
      <c r="Q50" s="14">
        <f>IF(K50&gt;=MAX(L50,M50), "Hemat", IF(L50&gt;=M50, "Balanced", "Premium"))</f>
        <v/>
      </c>
      <c r="R50" s="30" t="n">
        <v>0.008189333270608196</v>
      </c>
      <c r="S50" s="30" t="n">
        <v>0.985660119078265</v>
      </c>
      <c r="T50" s="30" t="n">
        <v>0.006150547651126713</v>
      </c>
      <c r="U50" s="31">
        <f>ABS(E50-$G$6)</f>
        <v/>
      </c>
      <c r="V50" s="31">
        <f>ABS(E50-$G$7)</f>
        <v/>
      </c>
      <c r="W50" s="31">
        <f>ABS(E50-$G$8)</f>
        <v/>
      </c>
      <c r="X50" s="14">
        <f>IF(R50&gt;=MAX(S50,T50), "Hemat", IF(S50&gt;=T50, "Balanced", "Premium"))</f>
        <v/>
      </c>
    </row>
    <row r="51">
      <c r="A51" s="14" t="n">
        <v>40</v>
      </c>
      <c r="B51" s="7" t="inlineStr">
        <is>
          <t>Family Hotel Gradia 1</t>
        </is>
      </c>
      <c r="C51" s="26" t="n">
        <v>-7.873988</v>
      </c>
      <c r="D51" s="26" t="n">
        <v>112.520363</v>
      </c>
      <c r="E51" s="21" t="n">
        <v>452898</v>
      </c>
      <c r="F51" s="27" t="n">
        <v>0</v>
      </c>
      <c r="G51" s="28" t="n">
        <v>0</v>
      </c>
      <c r="H51" s="14" t="inlineStr">
        <is>
          <t>N/A</t>
        </is>
      </c>
      <c r="I51" s="29">
        <f>6371 * 2 * ASIN(SQRT(SIN(RADIANS((C51) - INDEX('Dataset_Wisata'!$C$12:$C$622, MATCH('Dashboard'!$C$9, 'Dataset_Wisata'!$A$12:$A$622, 0)))/2)^2 + COS(RADIANS(INDEX('Dataset_Wisata'!$C$12:$C$622, MATCH('Dashboard'!$C$9, 'Dataset_Wisata'!$A$12:$A$622, 0)))) * COS(RADIANS(C51)) * SIN(RADIANS((D51) - INDEX('Dataset_Wisata'!$D$12:$D$622, MATCH('Dashboard'!$C$9, 'Dataset_Wisata'!$A$12:$A$622, 0)))/2)^2)) * 1.3</f>
        <v/>
      </c>
      <c r="J51" s="21">
        <f>ROUND(I51 * IF('Dashboard'!$C$6&lt;=1, 2250, IF('Dashboard'!$C$6&lt;=4, 5150, 6000)), 0)</f>
        <v/>
      </c>
      <c r="K51" s="30" t="n">
        <v>0.0151688048595126</v>
      </c>
      <c r="L51" s="30" t="n">
        <v>0.03804247324626264</v>
      </c>
      <c r="M51" s="30" t="n">
        <v>0.9467887218942248</v>
      </c>
      <c r="N51" s="31">
        <f>ABS(E51-$F$6)</f>
        <v/>
      </c>
      <c r="O51" s="31">
        <f>ABS(E51-$F$7)</f>
        <v/>
      </c>
      <c r="P51" s="31">
        <f>ABS(E51-$F$8)</f>
        <v/>
      </c>
      <c r="Q51" s="14">
        <f>IF(K51&gt;=MAX(L51,M51), "Hemat", IF(L51&gt;=M51, "Balanced", "Premium"))</f>
        <v/>
      </c>
      <c r="R51" s="30" t="n">
        <v>0.01516765878214352</v>
      </c>
      <c r="S51" s="30" t="n">
        <v>0.03803982842162536</v>
      </c>
      <c r="T51" s="30" t="n">
        <v>0.946792512796231</v>
      </c>
      <c r="U51" s="31">
        <f>ABS(E51-$G$6)</f>
        <v/>
      </c>
      <c r="V51" s="31">
        <f>ABS(E51-$G$7)</f>
        <v/>
      </c>
      <c r="W51" s="31">
        <f>ABS(E51-$G$8)</f>
        <v/>
      </c>
      <c r="X51" s="14">
        <f>IF(R51&gt;=MAX(S51,T51), "Hemat", IF(S51&gt;=T51, "Balanced", "Premium"))</f>
        <v/>
      </c>
    </row>
    <row r="52">
      <c r="A52" s="14" t="n">
        <v>41</v>
      </c>
      <c r="B52" s="7" t="inlineStr">
        <is>
          <t>Mutiara Panderman Inn</t>
        </is>
      </c>
      <c r="C52" s="26" t="n">
        <v>-7.893812</v>
      </c>
      <c r="D52" s="26" t="n">
        <v>112.535109</v>
      </c>
      <c r="E52" s="21" t="n">
        <v>300000</v>
      </c>
      <c r="F52" s="27" t="n">
        <v>0</v>
      </c>
      <c r="G52" s="28" t="n">
        <v>0</v>
      </c>
      <c r="H52" s="14" t="inlineStr">
        <is>
          <t>N/A</t>
        </is>
      </c>
      <c r="I52" s="29">
        <f>6371 * 2 * ASIN(SQRT(SIN(RADIANS((C52) - INDEX('Dataset_Wisata'!$C$12:$C$622, MATCH('Dashboard'!$C$9, 'Dataset_Wisata'!$A$12:$A$622, 0)))/2)^2 + COS(RADIANS(INDEX('Dataset_Wisata'!$C$12:$C$622, MATCH('Dashboard'!$C$9, 'Dataset_Wisata'!$A$12:$A$622, 0)))) * COS(RADIANS(C52)) * SIN(RADIANS((D52) - INDEX('Dataset_Wisata'!$D$12:$D$622, MATCH('Dashboard'!$C$9, 'Dataset_Wisata'!$A$12:$A$622, 0)))/2)^2)) * 1.3</f>
        <v/>
      </c>
      <c r="J52" s="21">
        <f>ROUND(I52 * IF('Dashboard'!$C$6&lt;=1, 2250, IF('Dashboard'!$C$6&lt;=4, 5150, 6000)), 0)</f>
        <v/>
      </c>
      <c r="K52" s="30" t="n">
        <v>0.07223626084271963</v>
      </c>
      <c r="L52" s="30" t="n">
        <v>0.7476291821940408</v>
      </c>
      <c r="M52" s="30" t="n">
        <v>0.1801345569632395</v>
      </c>
      <c r="N52" s="31">
        <f>ABS(E52-$F$6)</f>
        <v/>
      </c>
      <c r="O52" s="31">
        <f>ABS(E52-$F$7)</f>
        <v/>
      </c>
      <c r="P52" s="31">
        <f>ABS(E52-$F$8)</f>
        <v/>
      </c>
      <c r="Q52" s="14">
        <f>IF(K52&gt;=MAX(L52,M52), "Hemat", IF(L52&gt;=M52, "Balanced", "Premium"))</f>
        <v/>
      </c>
      <c r="R52" s="30" t="n">
        <v>0.07223530370768798</v>
      </c>
      <c r="S52" s="30" t="n">
        <v>0.7476384566573707</v>
      </c>
      <c r="T52" s="30" t="n">
        <v>0.1801262396349412</v>
      </c>
      <c r="U52" s="31">
        <f>ABS(E52-$G$6)</f>
        <v/>
      </c>
      <c r="V52" s="31">
        <f>ABS(E52-$G$7)</f>
        <v/>
      </c>
      <c r="W52" s="31">
        <f>ABS(E52-$G$8)</f>
        <v/>
      </c>
      <c r="X52" s="14">
        <f>IF(R52&gt;=MAX(S52,T52), "Hemat", IF(S52&gt;=T52, "Balanced", "Premium"))</f>
        <v/>
      </c>
    </row>
    <row r="53">
      <c r="A53" s="14" t="n">
        <v>42</v>
      </c>
      <c r="B53" s="7" t="inlineStr">
        <is>
          <t>RedDoorz Syariah near Batu Night Spectacular 3</t>
        </is>
      </c>
      <c r="C53" s="26" t="n">
        <v>-7.9150622</v>
      </c>
      <c r="D53" s="26" t="n">
        <v>112.5379164</v>
      </c>
      <c r="E53" s="21" t="n">
        <v>115851</v>
      </c>
      <c r="F53" s="27" t="n">
        <v>0</v>
      </c>
      <c r="G53" s="28" t="n">
        <v>0</v>
      </c>
      <c r="H53" s="14" t="inlineStr">
        <is>
          <t>N/A</t>
        </is>
      </c>
      <c r="I53" s="29">
        <f>6371 * 2 * ASIN(SQRT(SIN(RADIANS((C53) - INDEX('Dataset_Wisata'!$C$12:$C$622, MATCH('Dashboard'!$C$9, 'Dataset_Wisata'!$A$12:$A$622, 0)))/2)^2 + COS(RADIANS(INDEX('Dataset_Wisata'!$C$12:$C$622, MATCH('Dashboard'!$C$9, 'Dataset_Wisata'!$A$12:$A$622, 0)))) * COS(RADIANS(C53)) * SIN(RADIANS((D53) - INDEX('Dataset_Wisata'!$D$12:$D$622, MATCH('Dashboard'!$C$9, 'Dataset_Wisata'!$A$12:$A$622, 0)))/2)^2)) * 1.3</f>
        <v/>
      </c>
      <c r="J53" s="21">
        <f>ROUND(I53 * IF('Dashboard'!$C$6&lt;=1, 2250, IF('Dashboard'!$C$6&lt;=4, 5150, 6000)), 0)</f>
        <v/>
      </c>
      <c r="K53" s="30" t="n">
        <v>0.9950186414130281</v>
      </c>
      <c r="L53" s="30" t="n">
        <v>0.004178381719547949</v>
      </c>
      <c r="M53" s="30" t="n">
        <v>0.0008029768674239176</v>
      </c>
      <c r="N53" s="31">
        <f>ABS(E53-$F$6)</f>
        <v/>
      </c>
      <c r="O53" s="31">
        <f>ABS(E53-$F$7)</f>
        <v/>
      </c>
      <c r="P53" s="31">
        <f>ABS(E53-$F$8)</f>
        <v/>
      </c>
      <c r="Q53" s="14">
        <f>IF(K53&gt;=MAX(L53,M53), "Hemat", IF(L53&gt;=M53, "Balanced", "Premium"))</f>
        <v/>
      </c>
      <c r="R53" s="30" t="n">
        <v>0.9950184244641567</v>
      </c>
      <c r="S53" s="30" t="n">
        <v>0.004178563333456878</v>
      </c>
      <c r="T53" s="30" t="n">
        <v>0.0008030122023865815</v>
      </c>
      <c r="U53" s="31">
        <f>ABS(E53-$G$6)</f>
        <v/>
      </c>
      <c r="V53" s="31">
        <f>ABS(E53-$G$7)</f>
        <v/>
      </c>
      <c r="W53" s="31">
        <f>ABS(E53-$G$8)</f>
        <v/>
      </c>
      <c r="X53" s="14">
        <f>IF(R53&gt;=MAX(S53,T53), "Hemat", IF(S53&gt;=T53, "Balanced", "Premium"))</f>
        <v/>
      </c>
    </row>
    <row r="54">
      <c r="A54" s="14" t="n">
        <v>43</v>
      </c>
      <c r="B54" s="7" t="inlineStr">
        <is>
          <t>Kusuma Agrowisata Resort &amp; Convention Hotel</t>
        </is>
      </c>
      <c r="C54" s="26" t="n">
        <v>-7.8835495</v>
      </c>
      <c r="D54" s="26" t="n">
        <v>112.5146808</v>
      </c>
      <c r="E54" s="21" t="n">
        <v>657777</v>
      </c>
      <c r="F54" s="27" t="n">
        <v>0</v>
      </c>
      <c r="G54" s="28" t="n">
        <v>0</v>
      </c>
      <c r="H54" s="14" t="inlineStr">
        <is>
          <t>N/A</t>
        </is>
      </c>
      <c r="I54" s="29">
        <f>6371 * 2 * ASIN(SQRT(SIN(RADIANS((C54) - INDEX('Dataset_Wisata'!$C$12:$C$622, MATCH('Dashboard'!$C$9, 'Dataset_Wisata'!$A$12:$A$622, 0)))/2)^2 + COS(RADIANS(INDEX('Dataset_Wisata'!$C$12:$C$622, MATCH('Dashboard'!$C$9, 'Dataset_Wisata'!$A$12:$A$622, 0)))) * COS(RADIANS(C54)) * SIN(RADIANS((D54) - INDEX('Dataset_Wisata'!$D$12:$D$622, MATCH('Dashboard'!$C$9, 'Dataset_Wisata'!$A$12:$A$622, 0)))/2)^2)) * 1.3</f>
        <v/>
      </c>
      <c r="J54" s="21">
        <f>ROUND(I54 * IF('Dashboard'!$C$6&lt;=1, 2250, IF('Dashboard'!$C$6&lt;=4, 5150, 6000)), 0)</f>
        <v/>
      </c>
      <c r="K54" s="30" t="n">
        <v>0.03512993900649273</v>
      </c>
      <c r="L54" s="30" t="n">
        <v>0.05879553729939924</v>
      </c>
      <c r="M54" s="30" t="n">
        <v>0.1646045825541225</v>
      </c>
      <c r="N54" s="31">
        <f>ABS(E54-$F$6)</f>
        <v/>
      </c>
      <c r="O54" s="31">
        <f>ABS(E54-$F$7)</f>
        <v/>
      </c>
      <c r="P54" s="31">
        <f>ABS(E54-$F$8)</f>
        <v/>
      </c>
      <c r="Q54" s="14">
        <f>IF(K54&gt;=MAX(L54,M54), "Hemat", IF(L54&gt;=M54, "Balanced", "Premium"))</f>
        <v/>
      </c>
      <c r="R54" s="30" t="n">
        <v>0.03512996974638576</v>
      </c>
      <c r="S54" s="30" t="n">
        <v>0.05879575780660531</v>
      </c>
      <c r="T54" s="30" t="n">
        <v>0.1646068323145452</v>
      </c>
      <c r="U54" s="31">
        <f>ABS(E54-$G$6)</f>
        <v/>
      </c>
      <c r="V54" s="31">
        <f>ABS(E54-$G$7)</f>
        <v/>
      </c>
      <c r="W54" s="31">
        <f>ABS(E54-$G$8)</f>
        <v/>
      </c>
      <c r="X54" s="14">
        <f>IF(R54&gt;=MAX(S54,T54), "Hemat", IF(S54&gt;=T54, "Balanced", "Premium"))</f>
        <v/>
      </c>
    </row>
    <row r="55">
      <c r="A55" s="14" t="n">
        <v>44</v>
      </c>
      <c r="B55" s="7" t="inlineStr">
        <is>
          <t>SPOT ON 1767 Villa Anggur Panderman</t>
        </is>
      </c>
      <c r="C55" s="26" t="n">
        <v>-7.8930881</v>
      </c>
      <c r="D55" s="26" t="n">
        <v>112.5133572</v>
      </c>
      <c r="E55" s="21" t="n">
        <v>65214</v>
      </c>
      <c r="F55" s="27" t="n">
        <v>0</v>
      </c>
      <c r="G55" s="28" t="n">
        <v>0</v>
      </c>
      <c r="H55" s="14" t="inlineStr">
        <is>
          <t>N/A</t>
        </is>
      </c>
      <c r="I55" s="29">
        <f>6371 * 2 * ASIN(SQRT(SIN(RADIANS((C55) - INDEX('Dataset_Wisata'!$C$12:$C$622, MATCH('Dashboard'!$C$9, 'Dataset_Wisata'!$A$12:$A$622, 0)))/2)^2 + COS(RADIANS(INDEX('Dataset_Wisata'!$C$12:$C$622, MATCH('Dashboard'!$C$9, 'Dataset_Wisata'!$A$12:$A$622, 0)))) * COS(RADIANS(C55)) * SIN(RADIANS((D55) - INDEX('Dataset_Wisata'!$D$12:$D$622, MATCH('Dashboard'!$C$9, 'Dataset_Wisata'!$A$12:$A$622, 0)))/2)^2)) * 1.3</f>
        <v/>
      </c>
      <c r="J55" s="21">
        <f>ROUND(I55 * IF('Dashboard'!$C$6&lt;=1, 2250, IF('Dashboard'!$C$6&lt;=4, 5150, 6000)), 0)</f>
        <v/>
      </c>
      <c r="K55" s="30" t="n">
        <v>0.8799286055593271</v>
      </c>
      <c r="L55" s="30" t="n">
        <v>0.09447207510900334</v>
      </c>
      <c r="M55" s="30" t="n">
        <v>0.02559931933166955</v>
      </c>
      <c r="N55" s="31">
        <f>ABS(E55-$F$6)</f>
        <v/>
      </c>
      <c r="O55" s="31">
        <f>ABS(E55-$F$7)</f>
        <v/>
      </c>
      <c r="P55" s="31">
        <f>ABS(E55-$F$8)</f>
        <v/>
      </c>
      <c r="Q55" s="14">
        <f>IF(K55&gt;=MAX(L55,M55), "Hemat", IF(L55&gt;=M55, "Balanced", "Premium"))</f>
        <v/>
      </c>
      <c r="R55" s="30" t="n">
        <v>0.8799287029096002</v>
      </c>
      <c r="S55" s="30" t="n">
        <v>0.09447202164631173</v>
      </c>
      <c r="T55" s="30" t="n">
        <v>0.02559927544408794</v>
      </c>
      <c r="U55" s="31">
        <f>ABS(E55-$G$6)</f>
        <v/>
      </c>
      <c r="V55" s="31">
        <f>ABS(E55-$G$7)</f>
        <v/>
      </c>
      <c r="W55" s="31">
        <f>ABS(E55-$G$8)</f>
        <v/>
      </c>
      <c r="X55" s="14">
        <f>IF(R55&gt;=MAX(S55,T55), "Hemat", IF(S55&gt;=T55, "Balanced", "Premium"))</f>
        <v/>
      </c>
    </row>
    <row r="56">
      <c r="A56" s="14" t="n">
        <v>45</v>
      </c>
      <c r="B56" s="7" t="inlineStr">
        <is>
          <t>Hotel Prima Asri 153</t>
        </is>
      </c>
      <c r="C56" s="26" t="n">
        <v>-7.8815488</v>
      </c>
      <c r="D56" s="26" t="n">
        <v>112.5241424</v>
      </c>
      <c r="E56" s="21" t="n">
        <v>219000</v>
      </c>
      <c r="F56" s="27" t="n">
        <v>0</v>
      </c>
      <c r="G56" s="28" t="n">
        <v>0</v>
      </c>
      <c r="H56" s="14" t="inlineStr">
        <is>
          <t>N/A</t>
        </is>
      </c>
      <c r="I56" s="29">
        <f>6371 * 2 * ASIN(SQRT(SIN(RADIANS((C56) - INDEX('Dataset_Wisata'!$C$12:$C$622, MATCH('Dashboard'!$C$9, 'Dataset_Wisata'!$A$12:$A$622, 0)))/2)^2 + COS(RADIANS(INDEX('Dataset_Wisata'!$C$12:$C$622, MATCH('Dashboard'!$C$9, 'Dataset_Wisata'!$A$12:$A$622, 0)))) * COS(RADIANS(C56)) * SIN(RADIANS((D56) - INDEX('Dataset_Wisata'!$D$12:$D$622, MATCH('Dashboard'!$C$9, 'Dataset_Wisata'!$A$12:$A$622, 0)))/2)^2)) * 1.3</f>
        <v/>
      </c>
      <c r="J56" s="21">
        <f>ROUND(I56 * IF('Dashboard'!$C$6&lt;=1, 2250, IF('Dashboard'!$C$6&lt;=4, 5150, 6000)), 0)</f>
        <v/>
      </c>
      <c r="K56" s="30" t="n">
        <v>0.0706390921328313</v>
      </c>
      <c r="L56" s="30" t="n">
        <v>0.91220921773349</v>
      </c>
      <c r="M56" s="30" t="n">
        <v>0.0171516901336787</v>
      </c>
      <c r="N56" s="31">
        <f>ABS(E56-$F$6)</f>
        <v/>
      </c>
      <c r="O56" s="31">
        <f>ABS(E56-$F$7)</f>
        <v/>
      </c>
      <c r="P56" s="31">
        <f>ABS(E56-$F$8)</f>
        <v/>
      </c>
      <c r="Q56" s="14">
        <f>IF(K56&gt;=MAX(L56,M56), "Hemat", IF(L56&gt;=M56, "Balanced", "Premium"))</f>
        <v/>
      </c>
      <c r="R56" s="30" t="n">
        <v>0.07064321660853004</v>
      </c>
      <c r="S56" s="30" t="n">
        <v>0.9122044767966747</v>
      </c>
      <c r="T56" s="30" t="n">
        <v>0.01715230659479522</v>
      </c>
      <c r="U56" s="31">
        <f>ABS(E56-$G$6)</f>
        <v/>
      </c>
      <c r="V56" s="31">
        <f>ABS(E56-$G$7)</f>
        <v/>
      </c>
      <c r="W56" s="31">
        <f>ABS(E56-$G$8)</f>
        <v/>
      </c>
      <c r="X56" s="14">
        <f>IF(R56&gt;=MAX(S56,T56), "Hemat", IF(S56&gt;=T56, "Balanced", "Premium"))</f>
        <v/>
      </c>
    </row>
    <row r="57">
      <c r="A57" s="14" t="n">
        <v>46</v>
      </c>
      <c r="B57" s="7" t="inlineStr">
        <is>
          <t>RedDoorz @ Omahku Guest House Batu</t>
        </is>
      </c>
      <c r="C57" s="26" t="n">
        <v>-7.8855692</v>
      </c>
      <c r="D57" s="26" t="n">
        <v>112.5159515</v>
      </c>
      <c r="E57" s="21" t="n">
        <v>276364</v>
      </c>
      <c r="F57" s="27" t="n">
        <v>0</v>
      </c>
      <c r="G57" s="28" t="n">
        <v>0</v>
      </c>
      <c r="H57" s="14" t="inlineStr">
        <is>
          <t>N/A</t>
        </is>
      </c>
      <c r="I57" s="29">
        <f>6371 * 2 * ASIN(SQRT(SIN(RADIANS((C57) - INDEX('Dataset_Wisata'!$C$12:$C$622, MATCH('Dashboard'!$C$9, 'Dataset_Wisata'!$A$12:$A$622, 0)))/2)^2 + COS(RADIANS(INDEX('Dataset_Wisata'!$C$12:$C$622, MATCH('Dashboard'!$C$9, 'Dataset_Wisata'!$A$12:$A$622, 0)))) * COS(RADIANS(C57)) * SIN(RADIANS((D57) - INDEX('Dataset_Wisata'!$D$12:$D$622, MATCH('Dashboard'!$C$9, 'Dataset_Wisata'!$A$12:$A$622, 0)))/2)^2)) * 1.3</f>
        <v/>
      </c>
      <c r="J57" s="21">
        <f>ROUND(I57 * IF('Dashboard'!$C$6&lt;=1, 2250, IF('Dashboard'!$C$6&lt;=4, 5150, 6000)), 0)</f>
        <v/>
      </c>
      <c r="K57" s="30" t="n">
        <v>0.03794025182912696</v>
      </c>
      <c r="L57" s="30" t="n">
        <v>0.9138397785543065</v>
      </c>
      <c r="M57" s="30" t="n">
        <v>0.04821996961656654</v>
      </c>
      <c r="N57" s="31">
        <f>ABS(E57-$F$6)</f>
        <v/>
      </c>
      <c r="O57" s="31">
        <f>ABS(E57-$F$7)</f>
        <v/>
      </c>
      <c r="P57" s="31">
        <f>ABS(E57-$F$8)</f>
        <v/>
      </c>
      <c r="Q57" s="14">
        <f>IF(K57&gt;=MAX(L57,M57), "Hemat", IF(L57&gt;=M57, "Balanced", "Premium"))</f>
        <v/>
      </c>
      <c r="R57" s="30" t="n">
        <v>0.03793867941932329</v>
      </c>
      <c r="S57" s="30" t="n">
        <v>0.9138447011673104</v>
      </c>
      <c r="T57" s="30" t="n">
        <v>0.04821661941336627</v>
      </c>
      <c r="U57" s="31">
        <f>ABS(E57-$G$6)</f>
        <v/>
      </c>
      <c r="V57" s="31">
        <f>ABS(E57-$G$7)</f>
        <v/>
      </c>
      <c r="W57" s="31">
        <f>ABS(E57-$G$8)</f>
        <v/>
      </c>
      <c r="X57" s="14">
        <f>IF(R57&gt;=MAX(S57,T57), "Hemat", IF(S57&gt;=T57, "Balanced", "Premium"))</f>
        <v/>
      </c>
    </row>
    <row r="58">
      <c r="A58" s="14" t="n">
        <v>47</v>
      </c>
      <c r="B58" s="7" t="inlineStr">
        <is>
          <t>OYO 1194 Villa Bukit Panderman Residence</t>
        </is>
      </c>
      <c r="C58" s="26" t="n">
        <v>-7.8926772</v>
      </c>
      <c r="D58" s="26" t="n">
        <v>112.5130195</v>
      </c>
      <c r="E58" s="21" t="n">
        <v>182484</v>
      </c>
      <c r="F58" s="27" t="n">
        <v>0</v>
      </c>
      <c r="G58" s="28" t="n">
        <v>0</v>
      </c>
      <c r="H58" s="14" t="inlineStr">
        <is>
          <t>N/A</t>
        </is>
      </c>
      <c r="I58" s="29">
        <f>6371 * 2 * ASIN(SQRT(SIN(RADIANS((C58) - INDEX('Dataset_Wisata'!$C$12:$C$622, MATCH('Dashboard'!$C$9, 'Dataset_Wisata'!$A$12:$A$622, 0)))/2)^2 + COS(RADIANS(INDEX('Dataset_Wisata'!$C$12:$C$622, MATCH('Dashboard'!$C$9, 'Dataset_Wisata'!$A$12:$A$622, 0)))) * COS(RADIANS(C58)) * SIN(RADIANS((D58) - INDEX('Dataset_Wisata'!$D$12:$D$622, MATCH('Dashboard'!$C$9, 'Dataset_Wisata'!$A$12:$A$622, 0)))/2)^2)) * 1.3</f>
        <v/>
      </c>
      <c r="J58" s="21">
        <f>ROUND(I58 * IF('Dashboard'!$C$6&lt;=1, 2250, IF('Dashboard'!$C$6&lt;=4, 5150, 6000)), 0)</f>
        <v/>
      </c>
      <c r="K58" s="30" t="n">
        <v>0.5201476787162357</v>
      </c>
      <c r="L58" s="30" t="n">
        <v>0.4461544403083561</v>
      </c>
      <c r="M58" s="30" t="n">
        <v>0.03369788097540824</v>
      </c>
      <c r="N58" s="31">
        <f>ABS(E58-$F$6)</f>
        <v/>
      </c>
      <c r="O58" s="31">
        <f>ABS(E58-$F$7)</f>
        <v/>
      </c>
      <c r="P58" s="31">
        <f>ABS(E58-$F$8)</f>
        <v/>
      </c>
      <c r="Q58" s="14">
        <f>IF(K58&gt;=MAX(L58,M58), "Hemat", IF(L58&gt;=M58, "Balanced", "Premium"))</f>
        <v/>
      </c>
      <c r="R58" s="30" t="n">
        <v>0.5201556453897561</v>
      </c>
      <c r="S58" s="30" t="n">
        <v>0.446146723761734</v>
      </c>
      <c r="T58" s="30" t="n">
        <v>0.03369763084850987</v>
      </c>
      <c r="U58" s="31">
        <f>ABS(E58-$G$6)</f>
        <v/>
      </c>
      <c r="V58" s="31">
        <f>ABS(E58-$G$7)</f>
        <v/>
      </c>
      <c r="W58" s="31">
        <f>ABS(E58-$G$8)</f>
        <v/>
      </c>
      <c r="X58" s="14">
        <f>IF(R58&gt;=MAX(S58,T58), "Hemat", IF(S58&gt;=T58, "Balanced", "Premium"))</f>
        <v/>
      </c>
    </row>
    <row r="59">
      <c r="A59" s="14" t="n">
        <v>48</v>
      </c>
      <c r="B59" s="7" t="inlineStr">
        <is>
          <t>Lancar Homestay Syariah</t>
        </is>
      </c>
      <c r="C59" s="26" t="n">
        <v>-7.897118</v>
      </c>
      <c r="D59" s="26" t="n">
        <v>112.5309603</v>
      </c>
      <c r="E59" s="21" t="n">
        <v>150000</v>
      </c>
      <c r="F59" s="27" t="n">
        <v>0</v>
      </c>
      <c r="G59" s="28" t="n">
        <v>0</v>
      </c>
      <c r="H59" s="14" t="inlineStr">
        <is>
          <t>N/A</t>
        </is>
      </c>
      <c r="I59" s="29">
        <f>6371 * 2 * ASIN(SQRT(SIN(RADIANS((C59) - INDEX('Dataset_Wisata'!$C$12:$C$622, MATCH('Dashboard'!$C$9, 'Dataset_Wisata'!$A$12:$A$622, 0)))/2)^2 + COS(RADIANS(INDEX('Dataset_Wisata'!$C$12:$C$622, MATCH('Dashboard'!$C$9, 'Dataset_Wisata'!$A$12:$A$622, 0)))) * COS(RADIANS(C59)) * SIN(RADIANS((D59) - INDEX('Dataset_Wisata'!$D$12:$D$622, MATCH('Dashboard'!$C$9, 'Dataset_Wisata'!$A$12:$A$622, 0)))/2)^2)) * 1.3</f>
        <v/>
      </c>
      <c r="J59" s="21">
        <f>ROUND(I59 * IF('Dashboard'!$C$6&lt;=1, 2250, IF('Dashboard'!$C$6&lt;=4, 5150, 6000)), 0)</f>
        <v/>
      </c>
      <c r="K59" s="30" t="n">
        <v>0.9236568385235482</v>
      </c>
      <c r="L59" s="30" t="n">
        <v>0.06736899151285153</v>
      </c>
      <c r="M59" s="30" t="n">
        <v>0.008974169963600275</v>
      </c>
      <c r="N59" s="31">
        <f>ABS(E59-$F$6)</f>
        <v/>
      </c>
      <c r="O59" s="31">
        <f>ABS(E59-$F$7)</f>
        <v/>
      </c>
      <c r="P59" s="31">
        <f>ABS(E59-$F$8)</f>
        <v/>
      </c>
      <c r="Q59" s="14">
        <f>IF(K59&gt;=MAX(L59,M59), "Hemat", IF(L59&gt;=M59, "Balanced", "Premium"))</f>
        <v/>
      </c>
      <c r="R59" s="30" t="n">
        <v>0.9236592327110943</v>
      </c>
      <c r="S59" s="30" t="n">
        <v>0.0673668524262508</v>
      </c>
      <c r="T59" s="30" t="n">
        <v>0.008973914862654904</v>
      </c>
      <c r="U59" s="31">
        <f>ABS(E59-$G$6)</f>
        <v/>
      </c>
      <c r="V59" s="31">
        <f>ABS(E59-$G$7)</f>
        <v/>
      </c>
      <c r="W59" s="31">
        <f>ABS(E59-$G$8)</f>
        <v/>
      </c>
      <c r="X59" s="14">
        <f>IF(R59&gt;=MAX(S59,T59), "Hemat", IF(S59&gt;=T59, "Balanced", "Premium"))</f>
        <v/>
      </c>
    </row>
    <row r="60">
      <c r="A60" s="14" t="n">
        <v>49</v>
      </c>
      <c r="B60" s="7" t="inlineStr">
        <is>
          <t>Batuque Town Villa 2</t>
        </is>
      </c>
      <c r="C60" s="26" t="n">
        <v>-7.8861227</v>
      </c>
      <c r="D60" s="26" t="n">
        <v>112.5144261</v>
      </c>
      <c r="E60" s="21" t="n">
        <v>218182</v>
      </c>
      <c r="F60" s="27" t="n">
        <v>0</v>
      </c>
      <c r="G60" s="28" t="n">
        <v>0</v>
      </c>
      <c r="H60" s="14" t="inlineStr">
        <is>
          <t>N/A</t>
        </is>
      </c>
      <c r="I60" s="29">
        <f>6371 * 2 * ASIN(SQRT(SIN(RADIANS((C60) - INDEX('Dataset_Wisata'!$C$12:$C$622, MATCH('Dashboard'!$C$9, 'Dataset_Wisata'!$A$12:$A$622, 0)))/2)^2 + COS(RADIANS(INDEX('Dataset_Wisata'!$C$12:$C$622, MATCH('Dashboard'!$C$9, 'Dataset_Wisata'!$A$12:$A$622, 0)))) * COS(RADIANS(C60)) * SIN(RADIANS((D60) - INDEX('Dataset_Wisata'!$D$12:$D$622, MATCH('Dashboard'!$C$9, 'Dataset_Wisata'!$A$12:$A$622, 0)))/2)^2)) * 1.3</f>
        <v/>
      </c>
      <c r="J60" s="21">
        <f>ROUND(I60 * IF('Dashboard'!$C$6&lt;=1, 2250, IF('Dashboard'!$C$6&lt;=4, 5150, 6000)), 0)</f>
        <v/>
      </c>
      <c r="K60" s="30" t="n">
        <v>0.07589546320911082</v>
      </c>
      <c r="L60" s="30" t="n">
        <v>0.9061464593216347</v>
      </c>
      <c r="M60" s="30" t="n">
        <v>0.01795807746925435</v>
      </c>
      <c r="N60" s="31">
        <f>ABS(E60-$F$6)</f>
        <v/>
      </c>
      <c r="O60" s="31">
        <f>ABS(E60-$F$7)</f>
        <v/>
      </c>
      <c r="P60" s="31">
        <f>ABS(E60-$F$8)</f>
        <v/>
      </c>
      <c r="Q60" s="14">
        <f>IF(K60&gt;=MAX(L60,M60), "Hemat", IF(L60&gt;=M60, "Balanced", "Premium"))</f>
        <v/>
      </c>
      <c r="R60" s="30" t="n">
        <v>0.07589974823531621</v>
      </c>
      <c r="S60" s="30" t="n">
        <v>0.9061415629192497</v>
      </c>
      <c r="T60" s="30" t="n">
        <v>0.01795868884543408</v>
      </c>
      <c r="U60" s="31">
        <f>ABS(E60-$G$6)</f>
        <v/>
      </c>
      <c r="V60" s="31">
        <f>ABS(E60-$G$7)</f>
        <v/>
      </c>
      <c r="W60" s="31">
        <f>ABS(E60-$G$8)</f>
        <v/>
      </c>
      <c r="X60" s="14">
        <f>IF(R60&gt;=MAX(S60,T60), "Hemat", IF(S60&gt;=T60, "Balanced", "Premium"))</f>
        <v/>
      </c>
    </row>
    <row r="61">
      <c r="A61" s="14" t="n">
        <v>50</v>
      </c>
      <c r="B61" s="7" t="inlineStr">
        <is>
          <t>Seulawah Resort &amp; Cafe</t>
        </is>
      </c>
      <c r="C61" s="26" t="n">
        <v>-7.867537</v>
      </c>
      <c r="D61" s="26" t="n">
        <v>112.505548</v>
      </c>
      <c r="E61" s="21" t="n">
        <v>419661</v>
      </c>
      <c r="F61" s="27" t="n">
        <v>0</v>
      </c>
      <c r="G61" s="28" t="n">
        <v>0</v>
      </c>
      <c r="H61" s="14" t="inlineStr">
        <is>
          <t>N/A</t>
        </is>
      </c>
      <c r="I61" s="29">
        <f>6371 * 2 * ASIN(SQRT(SIN(RADIANS((C61) - INDEX('Dataset_Wisata'!$C$12:$C$622, MATCH('Dashboard'!$C$9, 'Dataset_Wisata'!$A$12:$A$622, 0)))/2)^2 + COS(RADIANS(INDEX('Dataset_Wisata'!$C$12:$C$622, MATCH('Dashboard'!$C$9, 'Dataset_Wisata'!$A$12:$A$622, 0)))) * COS(RADIANS(C61)) * SIN(RADIANS((D61) - INDEX('Dataset_Wisata'!$D$12:$D$622, MATCH('Dashboard'!$C$9, 'Dataset_Wisata'!$A$12:$A$622, 0)))/2)^2)) * 1.3</f>
        <v/>
      </c>
      <c r="J61" s="21">
        <f>ROUND(I61 * IF('Dashboard'!$C$6&lt;=1, 2250, IF('Dashboard'!$C$6&lt;=4, 5150, 6000)), 0)</f>
        <v/>
      </c>
      <c r="K61" s="30" t="n">
        <v>0.0007988318423979247</v>
      </c>
      <c r="L61" s="30" t="n">
        <v>0.002294922356673621</v>
      </c>
      <c r="M61" s="30" t="n">
        <v>0.9969062458009285</v>
      </c>
      <c r="N61" s="31">
        <f>ABS(E61-$F$6)</f>
        <v/>
      </c>
      <c r="O61" s="31">
        <f>ABS(E61-$F$7)</f>
        <v/>
      </c>
      <c r="P61" s="31">
        <f>ABS(E61-$F$8)</f>
        <v/>
      </c>
      <c r="Q61" s="14">
        <f>IF(K61&gt;=MAX(L61,M61), "Hemat", IF(L61&gt;=M61, "Balanced", "Premium"))</f>
        <v/>
      </c>
      <c r="R61" s="30" t="n">
        <v>0.0007985123128870428</v>
      </c>
      <c r="S61" s="30" t="n">
        <v>0.002294021129092336</v>
      </c>
      <c r="T61" s="30" t="n">
        <v>0.9969074665580206</v>
      </c>
      <c r="U61" s="31">
        <f>ABS(E61-$G$6)</f>
        <v/>
      </c>
      <c r="V61" s="31">
        <f>ABS(E61-$G$7)</f>
        <v/>
      </c>
      <c r="W61" s="31">
        <f>ABS(E61-$G$8)</f>
        <v/>
      </c>
      <c r="X61" s="14">
        <f>IF(R61&gt;=MAX(S61,T61), "Hemat", IF(S61&gt;=T61, "Balanced", "Premium"))</f>
        <v/>
      </c>
    </row>
    <row r="62">
      <c r="A62" s="14" t="n">
        <v>51</v>
      </c>
      <c r="B62" s="7" t="inlineStr">
        <is>
          <t>BaliKu Guest House</t>
        </is>
      </c>
      <c r="C62" s="26" t="n">
        <v>-7.8812844</v>
      </c>
      <c r="D62" s="26" t="n">
        <v>112.5201419</v>
      </c>
      <c r="E62" s="21" t="n">
        <v>245700</v>
      </c>
      <c r="F62" s="27" t="n">
        <v>0</v>
      </c>
      <c r="G62" s="28" t="n">
        <v>0</v>
      </c>
      <c r="H62" s="14" t="inlineStr">
        <is>
          <t>N/A</t>
        </is>
      </c>
      <c r="I62" s="29">
        <f>6371 * 2 * ASIN(SQRT(SIN(RADIANS((C62) - INDEX('Dataset_Wisata'!$C$12:$C$622, MATCH('Dashboard'!$C$9, 'Dataset_Wisata'!$A$12:$A$622, 0)))/2)^2 + COS(RADIANS(INDEX('Dataset_Wisata'!$C$12:$C$622, MATCH('Dashboard'!$C$9, 'Dataset_Wisata'!$A$12:$A$622, 0)))) * COS(RADIANS(C62)) * SIN(RADIANS((D62) - INDEX('Dataset_Wisata'!$D$12:$D$622, MATCH('Dashboard'!$C$9, 'Dataset_Wisata'!$A$12:$A$622, 0)))/2)^2)) * 1.3</f>
        <v/>
      </c>
      <c r="J62" s="21">
        <f>ROUND(I62 * IF('Dashboard'!$C$6&lt;=1, 2250, IF('Dashboard'!$C$6&lt;=4, 5150, 6000)), 0)</f>
        <v/>
      </c>
      <c r="K62" s="30" t="n">
        <v>7.458431518846142e-06</v>
      </c>
      <c r="L62" s="30" t="n">
        <v>0.9999885294589094</v>
      </c>
      <c r="M62" s="30" t="n">
        <v>4.012109571788219e-06</v>
      </c>
      <c r="N62" s="31">
        <f>ABS(E62-$F$6)</f>
        <v/>
      </c>
      <c r="O62" s="31">
        <f>ABS(E62-$F$7)</f>
        <v/>
      </c>
      <c r="P62" s="31">
        <f>ABS(E62-$F$8)</f>
        <v/>
      </c>
      <c r="Q62" s="14">
        <f>IF(K62&gt;=MAX(L62,M62), "Hemat", IF(L62&gt;=M62, "Balanced", "Premium"))</f>
        <v/>
      </c>
      <c r="R62" s="30" t="n">
        <v>7.423722782572176e-06</v>
      </c>
      <c r="S62" s="30" t="n">
        <v>0.9999885829350819</v>
      </c>
      <c r="T62" s="30" t="n">
        <v>3.993342135509506e-06</v>
      </c>
      <c r="U62" s="31">
        <f>ABS(E62-$G$6)</f>
        <v/>
      </c>
      <c r="V62" s="31">
        <f>ABS(E62-$G$7)</f>
        <v/>
      </c>
      <c r="W62" s="31">
        <f>ABS(E62-$G$8)</f>
        <v/>
      </c>
      <c r="X62" s="14">
        <f>IF(R62&gt;=MAX(S62,T62), "Hemat", IF(S62&gt;=T62, "Balanced", "Premium"))</f>
        <v/>
      </c>
    </row>
    <row r="63">
      <c r="A63" s="14" t="n">
        <v>52</v>
      </c>
      <c r="B63" s="7" t="inlineStr">
        <is>
          <t>Pondok Wisata Ilona</t>
        </is>
      </c>
      <c r="C63" s="26" t="n">
        <v>-7.8839756</v>
      </c>
      <c r="D63" s="26" t="n">
        <v>112.5185207</v>
      </c>
      <c r="E63" s="21" t="n">
        <v>388082</v>
      </c>
      <c r="F63" s="27" t="n">
        <v>0</v>
      </c>
      <c r="G63" s="28" t="n">
        <v>0</v>
      </c>
      <c r="H63" s="14" t="inlineStr">
        <is>
          <t>N/A</t>
        </is>
      </c>
      <c r="I63" s="29">
        <f>6371 * 2 * ASIN(SQRT(SIN(RADIANS((C63) - INDEX('Dataset_Wisata'!$C$12:$C$622, MATCH('Dashboard'!$C$9, 'Dataset_Wisata'!$A$12:$A$622, 0)))/2)^2 + COS(RADIANS(INDEX('Dataset_Wisata'!$C$12:$C$622, MATCH('Dashboard'!$C$9, 'Dataset_Wisata'!$A$12:$A$622, 0)))) * COS(RADIANS(C63)) * SIN(RADIANS((D63) - INDEX('Dataset_Wisata'!$D$12:$D$622, MATCH('Dashboard'!$C$9, 'Dataset_Wisata'!$A$12:$A$622, 0)))/2)^2)) * 1.3</f>
        <v/>
      </c>
      <c r="J63" s="21">
        <f>ROUND(I63 * IF('Dashboard'!$C$6&lt;=1, 2250, IF('Dashboard'!$C$6&lt;=4, 5150, 6000)), 0)</f>
        <v/>
      </c>
      <c r="K63" s="30" t="n">
        <v>0.00748705617222978</v>
      </c>
      <c r="L63" s="30" t="n">
        <v>0.02558907081767035</v>
      </c>
      <c r="M63" s="30" t="n">
        <v>0.9669238730100999</v>
      </c>
      <c r="N63" s="31">
        <f>ABS(E63-$F$6)</f>
        <v/>
      </c>
      <c r="O63" s="31">
        <f>ABS(E63-$F$7)</f>
        <v/>
      </c>
      <c r="P63" s="31">
        <f>ABS(E63-$F$8)</f>
        <v/>
      </c>
      <c r="Q63" s="14">
        <f>IF(K63&gt;=MAX(L63,M63), "Hemat", IF(L63&gt;=M63, "Balanced", "Premium"))</f>
        <v/>
      </c>
      <c r="R63" s="30" t="n">
        <v>0.007488117729614097</v>
      </c>
      <c r="S63" s="30" t="n">
        <v>0.02559293106471813</v>
      </c>
      <c r="T63" s="30" t="n">
        <v>0.9669189512056677</v>
      </c>
      <c r="U63" s="31">
        <f>ABS(E63-$G$6)</f>
        <v/>
      </c>
      <c r="V63" s="31">
        <f>ABS(E63-$G$7)</f>
        <v/>
      </c>
      <c r="W63" s="31">
        <f>ABS(E63-$G$8)</f>
        <v/>
      </c>
      <c r="X63" s="14">
        <f>IF(R63&gt;=MAX(S63,T63), "Hemat", IF(S63&gt;=T63, "Balanced", "Premium"))</f>
        <v/>
      </c>
    </row>
    <row r="64">
      <c r="A64" s="14" t="n">
        <v>53</v>
      </c>
      <c r="B64" s="7" t="inlineStr">
        <is>
          <t>Amartahills Hotel and Resort</t>
        </is>
      </c>
      <c r="C64" s="26" t="n">
        <v>-7.8893114</v>
      </c>
      <c r="D64" s="26" t="n">
        <v>112.5143305</v>
      </c>
      <c r="E64" s="21" t="n">
        <v>450000</v>
      </c>
      <c r="F64" s="27" t="n">
        <v>0</v>
      </c>
      <c r="G64" s="28" t="n">
        <v>0</v>
      </c>
      <c r="H64" s="14" t="inlineStr">
        <is>
          <t>N/A</t>
        </is>
      </c>
      <c r="I64" s="29">
        <f>6371 * 2 * ASIN(SQRT(SIN(RADIANS((C64) - INDEX('Dataset_Wisata'!$C$12:$C$622, MATCH('Dashboard'!$C$9, 'Dataset_Wisata'!$A$12:$A$622, 0)))/2)^2 + COS(RADIANS(INDEX('Dataset_Wisata'!$C$12:$C$622, MATCH('Dashboard'!$C$9, 'Dataset_Wisata'!$A$12:$A$622, 0)))) * COS(RADIANS(C64)) * SIN(RADIANS((D64) - INDEX('Dataset_Wisata'!$D$12:$D$622, MATCH('Dashboard'!$C$9, 'Dataset_Wisata'!$A$12:$A$622, 0)))/2)^2)) * 1.3</f>
        <v/>
      </c>
      <c r="J64" s="21">
        <f>ROUND(I64 * IF('Dashboard'!$C$6&lt;=1, 2250, IF('Dashboard'!$C$6&lt;=4, 5150, 6000)), 0)</f>
        <v/>
      </c>
      <c r="K64" s="30" t="n">
        <v>0.01344402703739419</v>
      </c>
      <c r="L64" s="30" t="n">
        <v>0.0340697111636958</v>
      </c>
      <c r="M64" s="30" t="n">
        <v>0.9524862617989099</v>
      </c>
      <c r="N64" s="31">
        <f>ABS(E64-$F$6)</f>
        <v/>
      </c>
      <c r="O64" s="31">
        <f>ABS(E64-$F$7)</f>
        <v/>
      </c>
      <c r="P64" s="31">
        <f>ABS(E64-$F$8)</f>
        <v/>
      </c>
      <c r="Q64" s="14">
        <f>IF(K64&gt;=MAX(L64,M64), "Hemat", IF(L64&gt;=M64, "Balanced", "Premium"))</f>
        <v/>
      </c>
      <c r="R64" s="30" t="n">
        <v>0.01344292797616457</v>
      </c>
      <c r="S64" s="30" t="n">
        <v>0.03406713460501013</v>
      </c>
      <c r="T64" s="30" t="n">
        <v>0.9524899374188253</v>
      </c>
      <c r="U64" s="31">
        <f>ABS(E64-$G$6)</f>
        <v/>
      </c>
      <c r="V64" s="31">
        <f>ABS(E64-$G$7)</f>
        <v/>
      </c>
      <c r="W64" s="31">
        <f>ABS(E64-$G$8)</f>
        <v/>
      </c>
      <c r="X64" s="14">
        <f>IF(R64&gt;=MAX(S64,T64), "Hemat", IF(S64&gt;=T64, "Balanced", "Premium"))</f>
        <v/>
      </c>
    </row>
    <row r="65">
      <c r="A65" s="14" t="n">
        <v>54</v>
      </c>
      <c r="B65" s="7" t="inlineStr">
        <is>
          <t>Alam Batu Village</t>
        </is>
      </c>
      <c r="C65" s="26" t="n">
        <v>-7.8779029</v>
      </c>
      <c r="D65" s="26" t="n">
        <v>112.520874</v>
      </c>
      <c r="E65" s="21" t="n">
        <v>247413</v>
      </c>
      <c r="F65" s="27" t="n">
        <v>0</v>
      </c>
      <c r="G65" s="28" t="n">
        <v>0</v>
      </c>
      <c r="H65" s="14" t="inlineStr">
        <is>
          <t>N/A</t>
        </is>
      </c>
      <c r="I65" s="29">
        <f>6371 * 2 * ASIN(SQRT(SIN(RADIANS((C65) - INDEX('Dataset_Wisata'!$C$12:$C$622, MATCH('Dashboard'!$C$9, 'Dataset_Wisata'!$A$12:$A$622, 0)))/2)^2 + COS(RADIANS(INDEX('Dataset_Wisata'!$C$12:$C$622, MATCH('Dashboard'!$C$9, 'Dataset_Wisata'!$A$12:$A$622, 0)))) * COS(RADIANS(C65)) * SIN(RADIANS((D65) - INDEX('Dataset_Wisata'!$D$12:$D$622, MATCH('Dashboard'!$C$9, 'Dataset_Wisata'!$A$12:$A$622, 0)))/2)^2)) * 1.3</f>
        <v/>
      </c>
      <c r="J65" s="21">
        <f>ROUND(I65 * IF('Dashboard'!$C$6&lt;=1, 2250, IF('Dashboard'!$C$6&lt;=4, 5150, 6000)), 0)</f>
        <v/>
      </c>
      <c r="K65" s="30" t="n">
        <v>0.0002754665821891232</v>
      </c>
      <c r="L65" s="30" t="n">
        <v>0.9995689401449018</v>
      </c>
      <c r="M65" s="30" t="n">
        <v>0.0001555932729090274</v>
      </c>
      <c r="N65" s="31">
        <f>ABS(E65-$F$6)</f>
        <v/>
      </c>
      <c r="O65" s="31">
        <f>ABS(E65-$F$7)</f>
        <v/>
      </c>
      <c r="P65" s="31">
        <f>ABS(E65-$F$8)</f>
        <v/>
      </c>
      <c r="Q65" s="14">
        <f>IF(K65&gt;=MAX(L65,M65), "Hemat", IF(L65&gt;=M65, "Balanced", "Premium"))</f>
        <v/>
      </c>
      <c r="R65" s="30" t="n">
        <v>0.0002752593808598978</v>
      </c>
      <c r="S65" s="30" t="n">
        <v>0.9995692681660224</v>
      </c>
      <c r="T65" s="30" t="n">
        <v>0.0001554724531176445</v>
      </c>
      <c r="U65" s="31">
        <f>ABS(E65-$G$6)</f>
        <v/>
      </c>
      <c r="V65" s="31">
        <f>ABS(E65-$G$7)</f>
        <v/>
      </c>
      <c r="W65" s="31">
        <f>ABS(E65-$G$8)</f>
        <v/>
      </c>
      <c r="X65" s="14">
        <f>IF(R65&gt;=MAX(S65,T65), "Hemat", IF(S65&gt;=T65, "Balanced", "Premium"))</f>
        <v/>
      </c>
    </row>
    <row r="66">
      <c r="A66" s="14" t="n">
        <v>55</v>
      </c>
      <c r="B66" s="7" t="inlineStr">
        <is>
          <t>Urbanview Syariah Kanigara Guesthouse</t>
        </is>
      </c>
      <c r="C66" s="26" t="n">
        <v>-7.8752511</v>
      </c>
      <c r="D66" s="26" t="n">
        <v>112.5185752</v>
      </c>
      <c r="E66" s="21" t="n">
        <v>314618</v>
      </c>
      <c r="F66" s="27" t="n">
        <v>0</v>
      </c>
      <c r="G66" s="28" t="n">
        <v>0</v>
      </c>
      <c r="H66" s="14" t="inlineStr">
        <is>
          <t>N/A</t>
        </is>
      </c>
      <c r="I66" s="29">
        <f>6371 * 2 * ASIN(SQRT(SIN(RADIANS((C66) - INDEX('Dataset_Wisata'!$C$12:$C$622, MATCH('Dashboard'!$C$9, 'Dataset_Wisata'!$A$12:$A$622, 0)))/2)^2 + COS(RADIANS(INDEX('Dataset_Wisata'!$C$12:$C$622, MATCH('Dashboard'!$C$9, 'Dataset_Wisata'!$A$12:$A$622, 0)))) * COS(RADIANS(C66)) * SIN(RADIANS((D66) - INDEX('Dataset_Wisata'!$D$12:$D$622, MATCH('Dashboard'!$C$9, 'Dataset_Wisata'!$A$12:$A$622, 0)))/2)^2)) * 1.3</f>
        <v/>
      </c>
      <c r="J66" s="21">
        <f>ROUND(I66 * IF('Dashboard'!$C$6&lt;=1, 2250, IF('Dashboard'!$C$6&lt;=4, 5150, 6000)), 0)</f>
        <v/>
      </c>
      <c r="K66" s="30" t="n">
        <v>0.08041883795581424</v>
      </c>
      <c r="L66" s="30" t="n">
        <v>0.6077673424191625</v>
      </c>
      <c r="M66" s="30" t="n">
        <v>0.3118138196250232</v>
      </c>
      <c r="N66" s="31">
        <f>ABS(E66-$F$6)</f>
        <v/>
      </c>
      <c r="O66" s="31">
        <f>ABS(E66-$F$7)</f>
        <v/>
      </c>
      <c r="P66" s="31">
        <f>ABS(E66-$F$8)</f>
        <v/>
      </c>
      <c r="Q66" s="14">
        <f>IF(K66&gt;=MAX(L66,M66), "Hemat", IF(L66&gt;=M66, "Balanced", "Premium"))</f>
        <v/>
      </c>
      <c r="R66" s="30" t="n">
        <v>0.08041880136355663</v>
      </c>
      <c r="S66" s="30" t="n">
        <v>0.6077791501379108</v>
      </c>
      <c r="T66" s="30" t="n">
        <v>0.3118020484985325</v>
      </c>
      <c r="U66" s="31">
        <f>ABS(E66-$G$6)</f>
        <v/>
      </c>
      <c r="V66" s="31">
        <f>ABS(E66-$G$7)</f>
        <v/>
      </c>
      <c r="W66" s="31">
        <f>ABS(E66-$G$8)</f>
        <v/>
      </c>
      <c r="X66" s="14">
        <f>IF(R66&gt;=MAX(S66,T66), "Hemat", IF(S66&gt;=T66, "Balanced", "Premium"))</f>
        <v/>
      </c>
    </row>
    <row r="67">
      <c r="A67" s="14" t="n">
        <v>56</v>
      </c>
      <c r="B67" s="7" t="inlineStr">
        <is>
          <t>Kontena Hotel</t>
        </is>
      </c>
      <c r="C67" s="26" t="n">
        <v>-7.8816859</v>
      </c>
      <c r="D67" s="26" t="n">
        <v>112.529298</v>
      </c>
      <c r="E67" s="21" t="n">
        <v>410244</v>
      </c>
      <c r="F67" s="27" t="n">
        <v>0</v>
      </c>
      <c r="G67" s="28" t="n">
        <v>0</v>
      </c>
      <c r="H67" s="14" t="inlineStr">
        <is>
          <t>N/A</t>
        </is>
      </c>
      <c r="I67" s="29">
        <f>6371 * 2 * ASIN(SQRT(SIN(RADIANS((C67) - INDEX('Dataset_Wisata'!$C$12:$C$622, MATCH('Dashboard'!$C$9, 'Dataset_Wisata'!$A$12:$A$622, 0)))/2)^2 + COS(RADIANS(INDEX('Dataset_Wisata'!$C$12:$C$622, MATCH('Dashboard'!$C$9, 'Dataset_Wisata'!$A$12:$A$622, 0)))) * COS(RADIANS(C67)) * SIN(RADIANS((D67) - INDEX('Dataset_Wisata'!$D$12:$D$622, MATCH('Dashboard'!$C$9, 'Dataset_Wisata'!$A$12:$A$622, 0)))/2)^2)) * 1.3</f>
        <v/>
      </c>
      <c r="J67" s="21">
        <f>ROUND(I67 * IF('Dashboard'!$C$6&lt;=1, 2250, IF('Dashboard'!$C$6&lt;=4, 5150, 6000)), 0)</f>
        <v/>
      </c>
      <c r="K67" s="30" t="n">
        <v>1.359373684927663e-05</v>
      </c>
      <c r="L67" s="30" t="n">
        <v>4.09032370353269e-05</v>
      </c>
      <c r="M67" s="30" t="n">
        <v>0.9999455030261154</v>
      </c>
      <c r="N67" s="31">
        <f>ABS(E67-$F$6)</f>
        <v/>
      </c>
      <c r="O67" s="31">
        <f>ABS(E67-$F$7)</f>
        <v/>
      </c>
      <c r="P67" s="31">
        <f>ABS(E67-$F$8)</f>
        <v/>
      </c>
      <c r="Q67" s="14">
        <f>IF(K67&gt;=MAX(L67,M67), "Hemat", IF(L67&gt;=M67, "Balanced", "Premium"))</f>
        <v/>
      </c>
      <c r="R67" s="30" t="n">
        <v>1.363721847631381e-05</v>
      </c>
      <c r="S67" s="30" t="n">
        <v>4.103439019571618e-05</v>
      </c>
      <c r="T67" s="30" t="n">
        <v>0.9999453283913279</v>
      </c>
      <c r="U67" s="31">
        <f>ABS(E67-$G$6)</f>
        <v/>
      </c>
      <c r="V67" s="31">
        <f>ABS(E67-$G$7)</f>
        <v/>
      </c>
      <c r="W67" s="31">
        <f>ABS(E67-$G$8)</f>
        <v/>
      </c>
      <c r="X67" s="14">
        <f>IF(R67&gt;=MAX(S67,T67), "Hemat", IF(S67&gt;=T67, "Balanced", "Premium"))</f>
        <v/>
      </c>
    </row>
    <row r="68">
      <c r="A68" s="14" t="n">
        <v>57</v>
      </c>
      <c r="B68" s="7" t="inlineStr">
        <is>
          <t>Hidden Paradiso Hotel</t>
        </is>
      </c>
      <c r="C68" s="26" t="n">
        <v>-7.8750799</v>
      </c>
      <c r="D68" s="26" t="n">
        <v>112.5261855</v>
      </c>
      <c r="E68" s="21" t="n">
        <v>244250</v>
      </c>
      <c r="F68" s="27" t="n">
        <v>0</v>
      </c>
      <c r="G68" s="28" t="n">
        <v>0</v>
      </c>
      <c r="H68" s="14" t="inlineStr">
        <is>
          <t>N/A</t>
        </is>
      </c>
      <c r="I68" s="29">
        <f>6371 * 2 * ASIN(SQRT(SIN(RADIANS((C68) - INDEX('Dataset_Wisata'!$C$12:$C$622, MATCH('Dashboard'!$C$9, 'Dataset_Wisata'!$A$12:$A$622, 0)))/2)^2 + COS(RADIANS(INDEX('Dataset_Wisata'!$C$12:$C$622, MATCH('Dashboard'!$C$9, 'Dataset_Wisata'!$A$12:$A$622, 0)))) * COS(RADIANS(C68)) * SIN(RADIANS((D68) - INDEX('Dataset_Wisata'!$D$12:$D$622, MATCH('Dashboard'!$C$9, 'Dataset_Wisata'!$A$12:$A$622, 0)))/2)^2)) * 1.3</f>
        <v/>
      </c>
      <c r="J68" s="21">
        <f>ROUND(I68 * IF('Dashboard'!$C$6&lt;=1, 2250, IF('Dashboard'!$C$6&lt;=4, 5150, 6000)), 0)</f>
        <v/>
      </c>
      <c r="K68" s="30" t="n">
        <v>8.68267463915054e-05</v>
      </c>
      <c r="L68" s="30" t="n">
        <v>0.9998683633080114</v>
      </c>
      <c r="M68" s="30" t="n">
        <v>4.480994559711212e-05</v>
      </c>
      <c r="N68" s="31">
        <f>ABS(E68-$F$6)</f>
        <v/>
      </c>
      <c r="O68" s="31">
        <f>ABS(E68-$F$7)</f>
        <v/>
      </c>
      <c r="P68" s="31">
        <f>ABS(E68-$F$8)</f>
        <v/>
      </c>
      <c r="Q68" s="14">
        <f>IF(K68&gt;=MAX(L68,M68), "Hemat", IF(L68&gt;=M68, "Balanced", "Premium"))</f>
        <v/>
      </c>
      <c r="R68" s="30" t="n">
        <v>8.69471985320471e-05</v>
      </c>
      <c r="S68" s="30" t="n">
        <v>0.9998681817718309</v>
      </c>
      <c r="T68" s="30" t="n">
        <v>4.487102963716626e-05</v>
      </c>
      <c r="U68" s="31">
        <f>ABS(E68-$G$6)</f>
        <v/>
      </c>
      <c r="V68" s="31">
        <f>ABS(E68-$G$7)</f>
        <v/>
      </c>
      <c r="W68" s="31">
        <f>ABS(E68-$G$8)</f>
        <v/>
      </c>
      <c r="X68" s="14">
        <f>IF(R68&gt;=MAX(S68,T68), "Hemat", IF(S68&gt;=T68, "Balanced", "Premium"))</f>
        <v/>
      </c>
    </row>
    <row r="69">
      <c r="A69" s="14" t="n">
        <v>58</v>
      </c>
      <c r="B69" s="7" t="inlineStr">
        <is>
          <t>Seulawah Grand View</t>
        </is>
      </c>
      <c r="C69" s="26" t="n">
        <v>-7.867297</v>
      </c>
      <c r="D69" s="26" t="n">
        <v>112.50413</v>
      </c>
      <c r="E69" s="21" t="n">
        <v>435046</v>
      </c>
      <c r="F69" s="27" t="n">
        <v>0</v>
      </c>
      <c r="G69" s="28" t="n">
        <v>0</v>
      </c>
      <c r="H69" s="14" t="inlineStr">
        <is>
          <t>N/A</t>
        </is>
      </c>
      <c r="I69" s="29">
        <f>6371 * 2 * ASIN(SQRT(SIN(RADIANS((C69) - INDEX('Dataset_Wisata'!$C$12:$C$622, MATCH('Dashboard'!$C$9, 'Dataset_Wisata'!$A$12:$A$622, 0)))/2)^2 + COS(RADIANS(INDEX('Dataset_Wisata'!$C$12:$C$622, MATCH('Dashboard'!$C$9, 'Dataset_Wisata'!$A$12:$A$622, 0)))) * COS(RADIANS(C69)) * SIN(RADIANS((D69) - INDEX('Dataset_Wisata'!$D$12:$D$622, MATCH('Dashboard'!$C$9, 'Dataset_Wisata'!$A$12:$A$622, 0)))/2)^2)) * 1.3</f>
        <v/>
      </c>
      <c r="J69" s="21">
        <f>ROUND(I69 * IF('Dashboard'!$C$6&lt;=1, 2250, IF('Dashboard'!$C$6&lt;=4, 5150, 6000)), 0)</f>
        <v/>
      </c>
      <c r="K69" s="30" t="n">
        <v>0.005715104950379898</v>
      </c>
      <c r="L69" s="30" t="n">
        <v>0.0153447325837174</v>
      </c>
      <c r="M69" s="30" t="n">
        <v>0.9789401624659028</v>
      </c>
      <c r="N69" s="31">
        <f>ABS(E69-$F$6)</f>
        <v/>
      </c>
      <c r="O69" s="31">
        <f>ABS(E69-$F$7)</f>
        <v/>
      </c>
      <c r="P69" s="31">
        <f>ABS(E69-$F$8)</f>
        <v/>
      </c>
      <c r="Q69" s="14">
        <f>IF(K69&gt;=MAX(L69,M69), "Hemat", IF(L69&gt;=M69, "Balanced", "Premium"))</f>
        <v/>
      </c>
      <c r="R69" s="30" t="n">
        <v>0.005714319141327047</v>
      </c>
      <c r="S69" s="30" t="n">
        <v>0.01534272479418743</v>
      </c>
      <c r="T69" s="30" t="n">
        <v>0.9789429560644854</v>
      </c>
      <c r="U69" s="31">
        <f>ABS(E69-$G$6)</f>
        <v/>
      </c>
      <c r="V69" s="31">
        <f>ABS(E69-$G$7)</f>
        <v/>
      </c>
      <c r="W69" s="31">
        <f>ABS(E69-$G$8)</f>
        <v/>
      </c>
      <c r="X69" s="14">
        <f>IF(R69&gt;=MAX(S69,T69), "Hemat", IF(S69&gt;=T69, "Balanced", "Premium"))</f>
        <v/>
      </c>
    </row>
    <row r="70">
      <c r="A70" s="14" t="n">
        <v>59</v>
      </c>
      <c r="B70" s="7" t="inlineStr">
        <is>
          <t>Horison Trunojoyo</t>
        </is>
      </c>
      <c r="C70" s="26" t="n">
        <v>-7.8659894</v>
      </c>
      <c r="D70" s="26" t="n">
        <v>112.5084367</v>
      </c>
      <c r="E70" s="21" t="n">
        <v>360258</v>
      </c>
      <c r="F70" s="27" t="n">
        <v>0</v>
      </c>
      <c r="G70" s="28" t="n">
        <v>0</v>
      </c>
      <c r="H70" s="14" t="inlineStr">
        <is>
          <t>N/A</t>
        </is>
      </c>
      <c r="I70" s="29">
        <f>6371 * 2 * ASIN(SQRT(SIN(RADIANS((C70) - INDEX('Dataset_Wisata'!$C$12:$C$622, MATCH('Dashboard'!$C$9, 'Dataset_Wisata'!$A$12:$A$622, 0)))/2)^2 + COS(RADIANS(INDEX('Dataset_Wisata'!$C$12:$C$622, MATCH('Dashboard'!$C$9, 'Dataset_Wisata'!$A$12:$A$622, 0)))) * COS(RADIANS(C70)) * SIN(RADIANS((D70) - INDEX('Dataset_Wisata'!$D$12:$D$622, MATCH('Dashboard'!$C$9, 'Dataset_Wisata'!$A$12:$A$622, 0)))/2)^2)) * 1.3</f>
        <v/>
      </c>
      <c r="J70" s="21">
        <f>ROUND(I70 * IF('Dashboard'!$C$6&lt;=1, 2250, IF('Dashboard'!$C$6&lt;=4, 5150, 6000)), 0)</f>
        <v/>
      </c>
      <c r="K70" s="30" t="n">
        <v>0.03759132588450066</v>
      </c>
      <c r="L70" s="30" t="n">
        <v>0.1586357461701299</v>
      </c>
      <c r="M70" s="30" t="n">
        <v>0.8037729279453695</v>
      </c>
      <c r="N70" s="31">
        <f>ABS(E70-$F$6)</f>
        <v/>
      </c>
      <c r="O70" s="31">
        <f>ABS(E70-$F$7)</f>
        <v/>
      </c>
      <c r="P70" s="31">
        <f>ABS(E70-$F$8)</f>
        <v/>
      </c>
      <c r="Q70" s="14">
        <f>IF(K70&gt;=MAX(L70,M70), "Hemat", IF(L70&gt;=M70, "Balanced", "Premium"))</f>
        <v/>
      </c>
      <c r="R70" s="30" t="n">
        <v>0.0375933113981431</v>
      </c>
      <c r="S70" s="30" t="n">
        <v>0.1586459469975626</v>
      </c>
      <c r="T70" s="30" t="n">
        <v>0.8037607416042943</v>
      </c>
      <c r="U70" s="31">
        <f>ABS(E70-$G$6)</f>
        <v/>
      </c>
      <c r="V70" s="31">
        <f>ABS(E70-$G$7)</f>
        <v/>
      </c>
      <c r="W70" s="31">
        <f>ABS(E70-$G$8)</f>
        <v/>
      </c>
      <c r="X70" s="14">
        <f>IF(R70&gt;=MAX(S70,T70), "Hemat", IF(S70&gt;=T70, "Balanced", "Premium"))</f>
        <v/>
      </c>
    </row>
    <row r="71">
      <c r="A71" s="14" t="n">
        <v>60</v>
      </c>
      <c r="B71" s="7" t="inlineStr">
        <is>
          <t>Shakila Guest House</t>
        </is>
      </c>
      <c r="C71" s="26" t="n">
        <v>-7.8638242</v>
      </c>
      <c r="D71" s="26" t="n">
        <v>112.5037865</v>
      </c>
      <c r="E71" s="21" t="n">
        <v>194042</v>
      </c>
      <c r="F71" s="27" t="n">
        <v>0</v>
      </c>
      <c r="G71" s="28" t="n">
        <v>0</v>
      </c>
      <c r="H71" s="14" t="inlineStr">
        <is>
          <t>N/A</t>
        </is>
      </c>
      <c r="I71" s="29">
        <f>6371 * 2 * ASIN(SQRT(SIN(RADIANS((C71) - INDEX('Dataset_Wisata'!$C$12:$C$622, MATCH('Dashboard'!$C$9, 'Dataset_Wisata'!$A$12:$A$622, 0)))/2)^2 + COS(RADIANS(INDEX('Dataset_Wisata'!$C$12:$C$622, MATCH('Dashboard'!$C$9, 'Dataset_Wisata'!$A$12:$A$622, 0)))) * COS(RADIANS(C71)) * SIN(RADIANS((D71) - INDEX('Dataset_Wisata'!$D$12:$D$622, MATCH('Dashboard'!$C$9, 'Dataset_Wisata'!$A$12:$A$622, 0)))/2)^2)) * 1.3</f>
        <v/>
      </c>
      <c r="J71" s="21">
        <f>ROUND(I71 * IF('Dashboard'!$C$6&lt;=1, 2250, IF('Dashboard'!$C$6&lt;=4, 5150, 6000)), 0)</f>
        <v/>
      </c>
      <c r="K71" s="30" t="n">
        <v>0.3386948928564708</v>
      </c>
      <c r="L71" s="30" t="n">
        <v>0.6263468897374828</v>
      </c>
      <c r="M71" s="30" t="n">
        <v>0.03495821740604645</v>
      </c>
      <c r="N71" s="31">
        <f>ABS(E71-$F$6)</f>
        <v/>
      </c>
      <c r="O71" s="31">
        <f>ABS(E71-$F$7)</f>
        <v/>
      </c>
      <c r="P71" s="31">
        <f>ABS(E71-$F$8)</f>
        <v/>
      </c>
      <c r="Q71" s="14">
        <f>IF(K71&gt;=MAX(L71,M71), "Hemat", IF(L71&gt;=M71, "Balanced", "Premium"))</f>
        <v/>
      </c>
      <c r="R71" s="30" t="n">
        <v>0.3387029673548838</v>
      </c>
      <c r="S71" s="30" t="n">
        <v>0.6263387577253356</v>
      </c>
      <c r="T71" s="30" t="n">
        <v>0.03495827491978051</v>
      </c>
      <c r="U71" s="31">
        <f>ABS(E71-$G$6)</f>
        <v/>
      </c>
      <c r="V71" s="31">
        <f>ABS(E71-$G$7)</f>
        <v/>
      </c>
      <c r="W71" s="31">
        <f>ABS(E71-$G$8)</f>
        <v/>
      </c>
      <c r="X71" s="14">
        <f>IF(R71&gt;=MAX(S71,T71), "Hemat", IF(S71&gt;=T71, "Balanced", "Premium"))</f>
        <v/>
      </c>
    </row>
    <row r="72">
      <c r="A72" s="14" t="n">
        <v>61</v>
      </c>
      <c r="B72" s="7" t="inlineStr">
        <is>
          <t>RedDoorz Plus @ Villa Bontes Batu</t>
        </is>
      </c>
      <c r="C72" s="26" t="n">
        <v>-7.8690103</v>
      </c>
      <c r="D72" s="26" t="n">
        <v>112.5033129</v>
      </c>
      <c r="E72" s="21" t="n">
        <v>156020</v>
      </c>
      <c r="F72" s="27" t="n">
        <v>0</v>
      </c>
      <c r="G72" s="28" t="n">
        <v>0</v>
      </c>
      <c r="H72" s="14" t="inlineStr">
        <is>
          <t>N/A</t>
        </is>
      </c>
      <c r="I72" s="29">
        <f>6371 * 2 * ASIN(SQRT(SIN(RADIANS((C72) - INDEX('Dataset_Wisata'!$C$12:$C$622, MATCH('Dashboard'!$C$9, 'Dataset_Wisata'!$A$12:$A$622, 0)))/2)^2 + COS(RADIANS(INDEX('Dataset_Wisata'!$C$12:$C$622, MATCH('Dashboard'!$C$9, 'Dataset_Wisata'!$A$12:$A$622, 0)))) * COS(RADIANS(C72)) * SIN(RADIANS((D72) - INDEX('Dataset_Wisata'!$D$12:$D$622, MATCH('Dashboard'!$C$9, 'Dataset_Wisata'!$A$12:$A$622, 0)))/2)^2)) * 1.3</f>
        <v/>
      </c>
      <c r="J72" s="21">
        <f>ROUND(I72 * IF('Dashboard'!$C$6&lt;=1, 2250, IF('Dashboard'!$C$6&lt;=4, 5150, 6000)), 0)</f>
        <v/>
      </c>
      <c r="K72" s="30" t="n">
        <v>0.8756754771252527</v>
      </c>
      <c r="L72" s="30" t="n">
        <v>0.1107565901689884</v>
      </c>
      <c r="M72" s="30" t="n">
        <v>0.01356793270575891</v>
      </c>
      <c r="N72" s="31">
        <f>ABS(E72-$F$6)</f>
        <v/>
      </c>
      <c r="O72" s="31">
        <f>ABS(E72-$F$7)</f>
        <v/>
      </c>
      <c r="P72" s="31">
        <f>ABS(E72-$F$8)</f>
        <v/>
      </c>
      <c r="Q72" s="14">
        <f>IF(K72&gt;=MAX(L72,M72), "Hemat", IF(L72&gt;=M72, "Balanced", "Premium"))</f>
        <v/>
      </c>
      <c r="R72" s="30" t="n">
        <v>0.8756789123040384</v>
      </c>
      <c r="S72" s="30" t="n">
        <v>0.1107534801512102</v>
      </c>
      <c r="T72" s="30" t="n">
        <v>0.01356760754475116</v>
      </c>
      <c r="U72" s="31">
        <f>ABS(E72-$G$6)</f>
        <v/>
      </c>
      <c r="V72" s="31">
        <f>ABS(E72-$G$7)</f>
        <v/>
      </c>
      <c r="W72" s="31">
        <f>ABS(E72-$G$8)</f>
        <v/>
      </c>
      <c r="X72" s="14">
        <f>IF(R72&gt;=MAX(S72,T72), "Hemat", IF(S72&gt;=T72, "Balanced", "Premium"))</f>
        <v/>
      </c>
    </row>
    <row r="73">
      <c r="A73" s="14" t="n">
        <v>62</v>
      </c>
      <c r="B73" s="7" t="inlineStr">
        <is>
          <t>Bobocabin Coban Rondo, Malang</t>
        </is>
      </c>
      <c r="C73" s="26" t="n">
        <v>-7.8703726</v>
      </c>
      <c r="D73" s="26" t="n">
        <v>112.4867719</v>
      </c>
      <c r="E73" s="21" t="n">
        <v>813000</v>
      </c>
      <c r="F73" s="27" t="n">
        <v>0</v>
      </c>
      <c r="G73" s="28" t="n">
        <v>0</v>
      </c>
      <c r="H73" s="14" t="inlineStr">
        <is>
          <t>N/A</t>
        </is>
      </c>
      <c r="I73" s="29">
        <f>6371 * 2 * ASIN(SQRT(SIN(RADIANS((C73) - INDEX('Dataset_Wisata'!$C$12:$C$622, MATCH('Dashboard'!$C$9, 'Dataset_Wisata'!$A$12:$A$622, 0)))/2)^2 + COS(RADIANS(INDEX('Dataset_Wisata'!$C$12:$C$622, MATCH('Dashboard'!$C$9, 'Dataset_Wisata'!$A$12:$A$622, 0)))) * COS(RADIANS(C73)) * SIN(RADIANS((D73) - INDEX('Dataset_Wisata'!$D$12:$D$622, MATCH('Dashboard'!$C$9, 'Dataset_Wisata'!$A$12:$A$622, 0)))/2)^2)) * 1.3</f>
        <v/>
      </c>
      <c r="J73" s="21">
        <f>ROUND(I73 * IF('Dashboard'!$C$6&lt;=1, 2250, IF('Dashboard'!$C$6&lt;=4, 5150, 6000)), 0)</f>
        <v/>
      </c>
      <c r="K73" s="30" t="n">
        <v>0.02107993102335377</v>
      </c>
      <c r="L73" s="30" t="n">
        <v>0.03103606966323444</v>
      </c>
      <c r="M73" s="30" t="n">
        <v>0.06197165536309359</v>
      </c>
      <c r="N73" s="31">
        <f>ABS(E73-$F$6)</f>
        <v/>
      </c>
      <c r="O73" s="31">
        <f>ABS(E73-$F$7)</f>
        <v/>
      </c>
      <c r="P73" s="31">
        <f>ABS(E73-$F$8)</f>
        <v/>
      </c>
      <c r="Q73" s="14">
        <f>IF(K73&gt;=MAX(L73,M73), "Hemat", IF(L73&gt;=M73, "Balanced", "Premium"))</f>
        <v/>
      </c>
      <c r="R73" s="30" t="n">
        <v>0.02107994531196343</v>
      </c>
      <c r="S73" s="30" t="n">
        <v>0.03103615423121973</v>
      </c>
      <c r="T73" s="30" t="n">
        <v>0.06197217507338298</v>
      </c>
      <c r="U73" s="31">
        <f>ABS(E73-$G$6)</f>
        <v/>
      </c>
      <c r="V73" s="31">
        <f>ABS(E73-$G$7)</f>
        <v/>
      </c>
      <c r="W73" s="31">
        <f>ABS(E73-$G$8)</f>
        <v/>
      </c>
      <c r="X73" s="14">
        <f>IF(R73&gt;=MAX(S73,T73), "Hemat", IF(S73&gt;=T73, "Balanced", "Premium"))</f>
        <v/>
      </c>
    </row>
    <row r="74">
      <c r="A74" s="14" t="n">
        <v>63</v>
      </c>
      <c r="B74" s="7" t="inlineStr">
        <is>
          <t>SR Guesthouse</t>
        </is>
      </c>
      <c r="C74" s="26" t="n">
        <v>-7.8630288</v>
      </c>
      <c r="D74" s="26" t="n">
        <v>112.5116416</v>
      </c>
      <c r="E74" s="21" t="n">
        <v>173966</v>
      </c>
      <c r="F74" s="27" t="n">
        <v>0</v>
      </c>
      <c r="G74" s="28" t="n">
        <v>0</v>
      </c>
      <c r="H74" s="14" t="inlineStr">
        <is>
          <t>N/A</t>
        </is>
      </c>
      <c r="I74" s="29">
        <f>6371 * 2 * ASIN(SQRT(SIN(RADIANS((C74) - INDEX('Dataset_Wisata'!$C$12:$C$622, MATCH('Dashboard'!$C$9, 'Dataset_Wisata'!$A$12:$A$622, 0)))/2)^2 + COS(RADIANS(INDEX('Dataset_Wisata'!$C$12:$C$622, MATCH('Dashboard'!$C$9, 'Dataset_Wisata'!$A$12:$A$622, 0)))) * COS(RADIANS(C74)) * SIN(RADIANS((D74) - INDEX('Dataset_Wisata'!$D$12:$D$622, MATCH('Dashboard'!$C$9, 'Dataset_Wisata'!$A$12:$A$622, 0)))/2)^2)) * 1.3</f>
        <v/>
      </c>
      <c r="J74" s="21">
        <f>ROUND(I74 * IF('Dashboard'!$C$6&lt;=1, 2250, IF('Dashboard'!$C$6&lt;=4, 5150, 6000)), 0)</f>
        <v/>
      </c>
      <c r="K74" s="30" t="n">
        <v>0.6541013226699016</v>
      </c>
      <c r="L74" s="30" t="n">
        <v>0.3171890135638198</v>
      </c>
      <c r="M74" s="30" t="n">
        <v>0.02870966376627838</v>
      </c>
      <c r="N74" s="31">
        <f>ABS(E74-$F$6)</f>
        <v/>
      </c>
      <c r="O74" s="31">
        <f>ABS(E74-$F$7)</f>
        <v/>
      </c>
      <c r="P74" s="31">
        <f>ABS(E74-$F$8)</f>
        <v/>
      </c>
      <c r="Q74" s="14">
        <f>IF(K74&gt;=MAX(L74,M74), "Hemat", IF(L74&gt;=M74, "Balanced", "Premium"))</f>
        <v/>
      </c>
      <c r="R74" s="30" t="n">
        <v>0.6541082077825484</v>
      </c>
      <c r="S74" s="30" t="n">
        <v>0.3171825033273233</v>
      </c>
      <c r="T74" s="30" t="n">
        <v>0.02870928889012831</v>
      </c>
      <c r="U74" s="31">
        <f>ABS(E74-$G$6)</f>
        <v/>
      </c>
      <c r="V74" s="31">
        <f>ABS(E74-$G$7)</f>
        <v/>
      </c>
      <c r="W74" s="31">
        <f>ABS(E74-$G$8)</f>
        <v/>
      </c>
      <c r="X74" s="14">
        <f>IF(R74&gt;=MAX(S74,T74), "Hemat", IF(S74&gt;=T74, "Balanced", "Premium"))</f>
        <v/>
      </c>
    </row>
    <row r="75">
      <c r="A75" s="14" t="n">
        <v>64</v>
      </c>
      <c r="B75" s="7" t="inlineStr">
        <is>
          <t>HOTEL GRAND PALEM</t>
        </is>
      </c>
      <c r="C75" s="26" t="n">
        <v>-7.865462</v>
      </c>
      <c r="D75" s="26" t="n">
        <v>112.507782</v>
      </c>
      <c r="E75" s="21" t="n">
        <v>209044</v>
      </c>
      <c r="F75" s="27" t="n">
        <v>0</v>
      </c>
      <c r="G75" s="28" t="n">
        <v>0</v>
      </c>
      <c r="H75" s="14" t="inlineStr">
        <is>
          <t>N/A</t>
        </is>
      </c>
      <c r="I75" s="29">
        <f>6371 * 2 * ASIN(SQRT(SIN(RADIANS((C75) - INDEX('Dataset_Wisata'!$C$12:$C$622, MATCH('Dashboard'!$C$9, 'Dataset_Wisata'!$A$12:$A$622, 0)))/2)^2 + COS(RADIANS(INDEX('Dataset_Wisata'!$C$12:$C$622, MATCH('Dashboard'!$C$9, 'Dataset_Wisata'!$A$12:$A$622, 0)))) * COS(RADIANS(C75)) * SIN(RADIANS((D75) - INDEX('Dataset_Wisata'!$D$12:$D$622, MATCH('Dashboard'!$C$9, 'Dataset_Wisata'!$A$12:$A$622, 0)))/2)^2)) * 1.3</f>
        <v/>
      </c>
      <c r="J75" s="21">
        <f>ROUND(I75 * IF('Dashboard'!$C$6&lt;=1, 2250, IF('Dashboard'!$C$6&lt;=4, 5150, 6000)), 0)</f>
        <v/>
      </c>
      <c r="K75" s="30" t="n">
        <v>0.1509251329768126</v>
      </c>
      <c r="L75" s="30" t="n">
        <v>0.8225436559792769</v>
      </c>
      <c r="M75" s="30" t="n">
        <v>0.02653121104391045</v>
      </c>
      <c r="N75" s="31">
        <f>ABS(E75-$F$6)</f>
        <v/>
      </c>
      <c r="O75" s="31">
        <f>ABS(E75-$F$7)</f>
        <v/>
      </c>
      <c r="P75" s="31">
        <f>ABS(E75-$F$8)</f>
        <v/>
      </c>
      <c r="Q75" s="14">
        <f>IF(K75&gt;=MAX(L75,M75), "Hemat", IF(L75&gt;=M75, "Balanced", "Premium"))</f>
        <v/>
      </c>
      <c r="R75" s="30" t="n">
        <v>0.1509311912289678</v>
      </c>
      <c r="S75" s="30" t="n">
        <v>0.8225371207283292</v>
      </c>
      <c r="T75" s="30" t="n">
        <v>0.02653168804270307</v>
      </c>
      <c r="U75" s="31">
        <f>ABS(E75-$G$6)</f>
        <v/>
      </c>
      <c r="V75" s="31">
        <f>ABS(E75-$G$7)</f>
        <v/>
      </c>
      <c r="W75" s="31">
        <f>ABS(E75-$G$8)</f>
        <v/>
      </c>
      <c r="X75" s="14">
        <f>IF(R75&gt;=MAX(S75,T75), "Hemat", IF(S75&gt;=T75, "Balanced", "Premium"))</f>
        <v/>
      </c>
    </row>
    <row r="76">
      <c r="A76" s="14" t="n">
        <v>65</v>
      </c>
      <c r="B76" s="7" t="inlineStr">
        <is>
          <t>Amaranta Guest House</t>
        </is>
      </c>
      <c r="C76" s="26" t="n">
        <v>-7.8683985</v>
      </c>
      <c r="D76" s="26" t="n">
        <v>112.5061635</v>
      </c>
      <c r="E76" s="21" t="n">
        <v>486035</v>
      </c>
      <c r="F76" s="27" t="n">
        <v>0</v>
      </c>
      <c r="G76" s="28" t="n">
        <v>0</v>
      </c>
      <c r="H76" s="14" t="inlineStr">
        <is>
          <t>N/A</t>
        </is>
      </c>
      <c r="I76" s="29">
        <f>6371 * 2 * ASIN(SQRT(SIN(RADIANS((C76) - INDEX('Dataset_Wisata'!$C$12:$C$622, MATCH('Dashboard'!$C$9, 'Dataset_Wisata'!$A$12:$A$622, 0)))/2)^2 + COS(RADIANS(INDEX('Dataset_Wisata'!$C$12:$C$622, MATCH('Dashboard'!$C$9, 'Dataset_Wisata'!$A$12:$A$622, 0)))) * COS(RADIANS(C76)) * SIN(RADIANS((D76) - INDEX('Dataset_Wisata'!$D$12:$D$622, MATCH('Dashboard'!$C$9, 'Dataset_Wisata'!$A$12:$A$622, 0)))/2)^2)) * 1.3</f>
        <v/>
      </c>
      <c r="J76" s="21">
        <f>ROUND(I76 * IF('Dashboard'!$C$6&lt;=1, 2250, IF('Dashboard'!$C$6&lt;=4, 5150, 6000)), 0)</f>
        <v/>
      </c>
      <c r="K76" s="30" t="n">
        <v>0.0374615072674921</v>
      </c>
      <c r="L76" s="30" t="n">
        <v>0.0846581562648646</v>
      </c>
      <c r="M76" s="30" t="n">
        <v>0.8778803364676433</v>
      </c>
      <c r="N76" s="31">
        <f>ABS(E76-$F$6)</f>
        <v/>
      </c>
      <c r="O76" s="31">
        <f>ABS(E76-$F$7)</f>
        <v/>
      </c>
      <c r="P76" s="31">
        <f>ABS(E76-$F$8)</f>
        <v/>
      </c>
      <c r="Q76" s="14">
        <f>IF(K76&gt;=MAX(L76,M76), "Hemat", IF(L76&gt;=M76, "Balanced", "Premium"))</f>
        <v/>
      </c>
      <c r="R76" s="30" t="n">
        <v>0.03746005105333147</v>
      </c>
      <c r="S76" s="30" t="n">
        <v>0.08465530022441366</v>
      </c>
      <c r="T76" s="30" t="n">
        <v>0.8778846487222548</v>
      </c>
      <c r="U76" s="31">
        <f>ABS(E76-$G$6)</f>
        <v/>
      </c>
      <c r="V76" s="31">
        <f>ABS(E76-$G$7)</f>
        <v/>
      </c>
      <c r="W76" s="31">
        <f>ABS(E76-$G$8)</f>
        <v/>
      </c>
      <c r="X76" s="14">
        <f>IF(R76&gt;=MAX(S76,T76), "Hemat", IF(S76&gt;=T76, "Balanced", "Premium"))</f>
        <v/>
      </c>
    </row>
    <row r="77">
      <c r="A77" s="14" t="n">
        <v>66</v>
      </c>
      <c r="B77" s="7" t="inlineStr">
        <is>
          <t>Penginapan Songgoriti Kota Batu</t>
        </is>
      </c>
      <c r="C77" s="26" t="n">
        <v>-7.8651521</v>
      </c>
      <c r="D77" s="26" t="n">
        <v>112.4982435</v>
      </c>
      <c r="E77" s="21" t="n">
        <v>65000</v>
      </c>
      <c r="F77" s="27" t="n">
        <v>0</v>
      </c>
      <c r="G77" s="28" t="n">
        <v>0</v>
      </c>
      <c r="H77" s="14" t="inlineStr">
        <is>
          <t>N/A</t>
        </is>
      </c>
      <c r="I77" s="29">
        <f>6371 * 2 * ASIN(SQRT(SIN(RADIANS((C77) - INDEX('Dataset_Wisata'!$C$12:$C$622, MATCH('Dashboard'!$C$9, 'Dataset_Wisata'!$A$12:$A$622, 0)))/2)^2 + COS(RADIANS(INDEX('Dataset_Wisata'!$C$12:$C$622, MATCH('Dashboard'!$C$9, 'Dataset_Wisata'!$A$12:$A$622, 0)))) * COS(RADIANS(C77)) * SIN(RADIANS((D77) - INDEX('Dataset_Wisata'!$D$12:$D$622, MATCH('Dashboard'!$C$9, 'Dataset_Wisata'!$A$12:$A$622, 0)))/2)^2)) * 1.3</f>
        <v/>
      </c>
      <c r="J77" s="21">
        <f>ROUND(I77 * IF('Dashboard'!$C$6&lt;=1, 2250, IF('Dashboard'!$C$6&lt;=4, 5150, 6000)), 0)</f>
        <v/>
      </c>
      <c r="K77" s="30" t="n">
        <v>0.8793881038440349</v>
      </c>
      <c r="L77" s="30" t="n">
        <v>0.09487430923804133</v>
      </c>
      <c r="M77" s="30" t="n">
        <v>0.02573758691792387</v>
      </c>
      <c r="N77" s="31">
        <f>ABS(E77-$F$6)</f>
        <v/>
      </c>
      <c r="O77" s="31">
        <f>ABS(E77-$F$7)</f>
        <v/>
      </c>
      <c r="P77" s="31">
        <f>ABS(E77-$F$8)</f>
        <v/>
      </c>
      <c r="Q77" s="14">
        <f>IF(K77&gt;=MAX(L77,M77), "Hemat", IF(L77&gt;=M77, "Balanced", "Premium"))</f>
        <v/>
      </c>
      <c r="R77" s="30" t="n">
        <v>0.879388203639797</v>
      </c>
      <c r="S77" s="30" t="n">
        <v>0.09487425407404036</v>
      </c>
      <c r="T77" s="30" t="n">
        <v>0.02573754228616266</v>
      </c>
      <c r="U77" s="31">
        <f>ABS(E77-$G$6)</f>
        <v/>
      </c>
      <c r="V77" s="31">
        <f>ABS(E77-$G$7)</f>
        <v/>
      </c>
      <c r="W77" s="31">
        <f>ABS(E77-$G$8)</f>
        <v/>
      </c>
      <c r="X77" s="14">
        <f>IF(R77&gt;=MAX(S77,T77), "Hemat", IF(S77&gt;=T77, "Balanced", "Premium"))</f>
        <v/>
      </c>
    </row>
    <row r="78">
      <c r="A78" s="14" t="n">
        <v>67</v>
      </c>
      <c r="B78" s="7" t="inlineStr">
        <is>
          <t>RedDoorz Plus near Balai Kota Batu 2</t>
        </is>
      </c>
      <c r="C78" s="26" t="n">
        <v>-7.8650022</v>
      </c>
      <c r="D78" s="26" t="n">
        <v>112.506961</v>
      </c>
      <c r="E78" s="21" t="n">
        <v>180000</v>
      </c>
      <c r="F78" s="27" t="n">
        <v>0</v>
      </c>
      <c r="G78" s="28" t="n">
        <v>0</v>
      </c>
      <c r="H78" s="14" t="inlineStr">
        <is>
          <t>N/A</t>
        </is>
      </c>
      <c r="I78" s="29">
        <f>6371 * 2 * ASIN(SQRT(SIN(RADIANS((C78) - INDEX('Dataset_Wisata'!$C$12:$C$622, MATCH('Dashboard'!$C$9, 'Dataset_Wisata'!$A$12:$A$622, 0)))/2)^2 + COS(RADIANS(INDEX('Dataset_Wisata'!$C$12:$C$622, MATCH('Dashboard'!$C$9, 'Dataset_Wisata'!$A$12:$A$622, 0)))) * COS(RADIANS(C78)) * SIN(RADIANS((D78) - INDEX('Dataset_Wisata'!$D$12:$D$622, MATCH('Dashboard'!$C$9, 'Dataset_Wisata'!$A$12:$A$622, 0)))/2)^2)) * 1.3</f>
        <v/>
      </c>
      <c r="J78" s="21">
        <f>ROUND(I78 * IF('Dashboard'!$C$6&lt;=1, 2250, IF('Dashboard'!$C$6&lt;=4, 5150, 6000)), 0)</f>
        <v/>
      </c>
      <c r="K78" s="30" t="n">
        <v>0.5600247732706607</v>
      </c>
      <c r="L78" s="30" t="n">
        <v>0.4074331610594847</v>
      </c>
      <c r="M78" s="30" t="n">
        <v>0.03254206566985453</v>
      </c>
      <c r="N78" s="31">
        <f>ABS(E78-$F$6)</f>
        <v/>
      </c>
      <c r="O78" s="31">
        <f>ABS(E78-$F$7)</f>
        <v/>
      </c>
      <c r="P78" s="31">
        <f>ABS(E78-$F$8)</f>
        <v/>
      </c>
      <c r="Q78" s="14">
        <f>IF(K78&gt;=MAX(L78,M78), "Hemat", IF(L78&gt;=M78, "Balanced", "Premium"))</f>
        <v/>
      </c>
      <c r="R78" s="30" t="n">
        <v>0.5600325006527688</v>
      </c>
      <c r="S78" s="30" t="n">
        <v>0.4074257310956769</v>
      </c>
      <c r="T78" s="30" t="n">
        <v>0.03254176825155451</v>
      </c>
      <c r="U78" s="31">
        <f>ABS(E78-$G$6)</f>
        <v/>
      </c>
      <c r="V78" s="31">
        <f>ABS(E78-$G$7)</f>
        <v/>
      </c>
      <c r="W78" s="31">
        <f>ABS(E78-$G$8)</f>
        <v/>
      </c>
      <c r="X78" s="14">
        <f>IF(R78&gt;=MAX(S78,T78), "Hemat", IF(S78&gt;=T78, "Balanced", "Premium"))</f>
        <v/>
      </c>
    </row>
    <row r="79">
      <c r="A79" s="14" t="n">
        <v>68</v>
      </c>
      <c r="B79" s="7" t="inlineStr">
        <is>
          <t>Three Eight Front One Boutique Hotel Batu</t>
        </is>
      </c>
      <c r="C79" s="26" t="n">
        <v>-7.8678688</v>
      </c>
      <c r="D79" s="26" t="n">
        <v>112.5103081</v>
      </c>
      <c r="E79" s="21" t="n">
        <v>342604</v>
      </c>
      <c r="F79" s="27" t="n">
        <v>0</v>
      </c>
      <c r="G79" s="28" t="n">
        <v>0</v>
      </c>
      <c r="H79" s="14" t="inlineStr">
        <is>
          <t>N/A</t>
        </is>
      </c>
      <c r="I79" s="29">
        <f>6371 * 2 * ASIN(SQRT(SIN(RADIANS((C79) - INDEX('Dataset_Wisata'!$C$12:$C$622, MATCH('Dashboard'!$C$9, 'Dataset_Wisata'!$A$12:$A$622, 0)))/2)^2 + COS(RADIANS(INDEX('Dataset_Wisata'!$C$12:$C$622, MATCH('Dashboard'!$C$9, 'Dataset_Wisata'!$A$12:$A$622, 0)))) * COS(RADIANS(C79)) * SIN(RADIANS((D79) - INDEX('Dataset_Wisata'!$D$12:$D$622, MATCH('Dashboard'!$C$9, 'Dataset_Wisata'!$A$12:$A$622, 0)))/2)^2)) * 1.3</f>
        <v/>
      </c>
      <c r="J79" s="21">
        <f>ROUND(I79 * IF('Dashboard'!$C$6&lt;=1, 2250, IF('Dashboard'!$C$6&lt;=4, 5150, 6000)), 0)</f>
        <v/>
      </c>
      <c r="K79" s="30" t="n">
        <v>0.06192995201084813</v>
      </c>
      <c r="L79" s="30" t="n">
        <v>0.3123169121970377</v>
      </c>
      <c r="M79" s="30" t="n">
        <v>0.6257531357921141</v>
      </c>
      <c r="N79" s="31">
        <f>ABS(E79-$F$6)</f>
        <v/>
      </c>
      <c r="O79" s="31">
        <f>ABS(E79-$F$7)</f>
        <v/>
      </c>
      <c r="P79" s="31">
        <f>ABS(E79-$F$8)</f>
        <v/>
      </c>
      <c r="Q79" s="14">
        <f>IF(K79&gt;=MAX(L79,M79), "Hemat", IF(L79&gt;=M79, "Balanced", "Premium"))</f>
        <v/>
      </c>
      <c r="R79" s="30" t="n">
        <v>0.06193166895104442</v>
      </c>
      <c r="S79" s="30" t="n">
        <v>0.3123298711907476</v>
      </c>
      <c r="T79" s="30" t="n">
        <v>0.625738459858208</v>
      </c>
      <c r="U79" s="31">
        <f>ABS(E79-$G$6)</f>
        <v/>
      </c>
      <c r="V79" s="31">
        <f>ABS(E79-$G$7)</f>
        <v/>
      </c>
      <c r="W79" s="31">
        <f>ABS(E79-$G$8)</f>
        <v/>
      </c>
      <c r="X79" s="14">
        <f>IF(R79&gt;=MAX(S79,T79), "Hemat", IF(S79&gt;=T79, "Balanced", "Premium"))</f>
        <v/>
      </c>
    </row>
    <row r="80">
      <c r="A80" s="14" t="n">
        <v>69</v>
      </c>
      <c r="B80" s="7" t="inlineStr">
        <is>
          <t>Royal Hotel &amp; Villa Batu</t>
        </is>
      </c>
      <c r="C80" s="26" t="n">
        <v>-7.864825</v>
      </c>
      <c r="D80" s="26" t="n">
        <v>112.5108111</v>
      </c>
      <c r="E80" s="21" t="n">
        <v>452230</v>
      </c>
      <c r="F80" s="27" t="n">
        <v>0</v>
      </c>
      <c r="G80" s="28" t="n">
        <v>0</v>
      </c>
      <c r="H80" s="14" t="inlineStr">
        <is>
          <t>N/A</t>
        </is>
      </c>
      <c r="I80" s="29">
        <f>6371 * 2 * ASIN(SQRT(SIN(RADIANS((C80) - INDEX('Dataset_Wisata'!$C$12:$C$622, MATCH('Dashboard'!$C$9, 'Dataset_Wisata'!$A$12:$A$622, 0)))/2)^2 + COS(RADIANS(INDEX('Dataset_Wisata'!$C$12:$C$622, MATCH('Dashboard'!$C$9, 'Dataset_Wisata'!$A$12:$A$622, 0)))) * COS(RADIANS(C80)) * SIN(RADIANS((D80) - INDEX('Dataset_Wisata'!$D$12:$D$622, MATCH('Dashboard'!$C$9, 'Dataset_Wisata'!$A$12:$A$622, 0)))/2)^2)) * 1.3</f>
        <v/>
      </c>
      <c r="J80" s="21">
        <f>ROUND(I80 * IF('Dashboard'!$C$6&lt;=1, 2250, IF('Dashboard'!$C$6&lt;=4, 5150, 6000)), 0)</f>
        <v/>
      </c>
      <c r="K80" s="30" t="n">
        <v>0.0147660678135586</v>
      </c>
      <c r="L80" s="30" t="n">
        <v>0.0371206304742712</v>
      </c>
      <c r="M80" s="30" t="n">
        <v>0.9481133017121701</v>
      </c>
      <c r="N80" s="31">
        <f>ABS(E80-$F$6)</f>
        <v/>
      </c>
      <c r="O80" s="31">
        <f>ABS(E80-$F$7)</f>
        <v/>
      </c>
      <c r="P80" s="31">
        <f>ABS(E80-$F$8)</f>
        <v/>
      </c>
      <c r="Q80" s="14">
        <f>IF(K80&gt;=MAX(L80,M80), "Hemat", IF(L80&gt;=M80, "Balanced", "Premium"))</f>
        <v/>
      </c>
      <c r="R80" s="30" t="n">
        <v>0.01476493221830255</v>
      </c>
      <c r="S80" s="30" t="n">
        <v>0.03711800038034065</v>
      </c>
      <c r="T80" s="30" t="n">
        <v>0.9481170674013567</v>
      </c>
      <c r="U80" s="31">
        <f>ABS(E80-$G$6)</f>
        <v/>
      </c>
      <c r="V80" s="31">
        <f>ABS(E80-$G$7)</f>
        <v/>
      </c>
      <c r="W80" s="31">
        <f>ABS(E80-$G$8)</f>
        <v/>
      </c>
      <c r="X80" s="14">
        <f>IF(R80&gt;=MAX(S80,T80), "Hemat", IF(S80&gt;=T80, "Balanced", "Premium"))</f>
        <v/>
      </c>
    </row>
    <row r="81">
      <c r="A81" s="14" t="n">
        <v>70</v>
      </c>
      <c r="B81" s="7" t="inlineStr">
        <is>
          <t>Hotel Aster</t>
        </is>
      </c>
      <c r="C81" s="26" t="n">
        <v>-7.8662647</v>
      </c>
      <c r="D81" s="26" t="n">
        <v>112.5090382</v>
      </c>
      <c r="E81" s="21" t="n">
        <v>280000</v>
      </c>
      <c r="F81" s="27" t="n">
        <v>0</v>
      </c>
      <c r="G81" s="28" t="n">
        <v>0</v>
      </c>
      <c r="H81" s="14" t="inlineStr">
        <is>
          <t>N/A</t>
        </is>
      </c>
      <c r="I81" s="29">
        <f>6371 * 2 * ASIN(SQRT(SIN(RADIANS((C81) - INDEX('Dataset_Wisata'!$C$12:$C$622, MATCH('Dashboard'!$C$9, 'Dataset_Wisata'!$A$12:$A$622, 0)))/2)^2 + COS(RADIANS(INDEX('Dataset_Wisata'!$C$12:$C$622, MATCH('Dashboard'!$C$9, 'Dataset_Wisata'!$A$12:$A$622, 0)))) * COS(RADIANS(C81)) * SIN(RADIANS((D81) - INDEX('Dataset_Wisata'!$D$12:$D$622, MATCH('Dashboard'!$C$9, 'Dataset_Wisata'!$A$12:$A$622, 0)))/2)^2)) * 1.3</f>
        <v/>
      </c>
      <c r="J81" s="21">
        <f>ROUND(I81 * IF('Dashboard'!$C$6&lt;=1, 2250, IF('Dashboard'!$C$6&lt;=4, 5150, 6000)), 0)</f>
        <v/>
      </c>
      <c r="K81" s="30" t="n">
        <v>0.04417987690348692</v>
      </c>
      <c r="L81" s="30" t="n">
        <v>0.893648151735816</v>
      </c>
      <c r="M81" s="30" t="n">
        <v>0.06217197136069716</v>
      </c>
      <c r="N81" s="31">
        <f>ABS(E81-$F$6)</f>
        <v/>
      </c>
      <c r="O81" s="31">
        <f>ABS(E81-$F$7)</f>
        <v/>
      </c>
      <c r="P81" s="31">
        <f>ABS(E81-$F$8)</f>
        <v/>
      </c>
      <c r="Q81" s="14">
        <f>IF(K81&gt;=MAX(L81,M81), "Hemat", IF(L81&gt;=M81, "Balanced", "Premium"))</f>
        <v/>
      </c>
      <c r="R81" s="30" t="n">
        <v>0.04417831066665765</v>
      </c>
      <c r="S81" s="30" t="n">
        <v>0.8936537034660662</v>
      </c>
      <c r="T81" s="30" t="n">
        <v>0.06216798586727602</v>
      </c>
      <c r="U81" s="31">
        <f>ABS(E81-$G$6)</f>
        <v/>
      </c>
      <c r="V81" s="31">
        <f>ABS(E81-$G$7)</f>
        <v/>
      </c>
      <c r="W81" s="31">
        <f>ABS(E81-$G$8)</f>
        <v/>
      </c>
      <c r="X81" s="14">
        <f>IF(R81&gt;=MAX(S81,T81), "Hemat", IF(S81&gt;=T81, "Balanced", "Premium"))</f>
        <v/>
      </c>
    </row>
    <row r="82">
      <c r="A82" s="14" t="n">
        <v>71</v>
      </c>
      <c r="B82" s="7" t="inlineStr">
        <is>
          <t>éL Hotel Kartika Wijaya Batu</t>
        </is>
      </c>
      <c r="C82" s="26" t="n">
        <v>-7.867045</v>
      </c>
      <c r="D82" s="26" t="n">
        <v>112.511201</v>
      </c>
      <c r="E82" s="21" t="n">
        <v>460972</v>
      </c>
      <c r="F82" s="27" t="n">
        <v>0</v>
      </c>
      <c r="G82" s="28" t="n">
        <v>0</v>
      </c>
      <c r="H82" s="14" t="inlineStr">
        <is>
          <t>N/A</t>
        </is>
      </c>
      <c r="I82" s="29">
        <f>6371 * 2 * ASIN(SQRT(SIN(RADIANS((C82) - INDEX('Dataset_Wisata'!$C$12:$C$622, MATCH('Dashboard'!$C$9, 'Dataset_Wisata'!$A$12:$A$622, 0)))/2)^2 + COS(RADIANS(INDEX('Dataset_Wisata'!$C$12:$C$622, MATCH('Dashboard'!$C$9, 'Dataset_Wisata'!$A$12:$A$622, 0)))) * COS(RADIANS(C82)) * SIN(RADIANS((D82) - INDEX('Dataset_Wisata'!$D$12:$D$622, MATCH('Dashboard'!$C$9, 'Dataset_Wisata'!$A$12:$A$622, 0)))/2)^2)) * 1.3</f>
        <v/>
      </c>
      <c r="J82" s="21">
        <f>ROUND(I82 * IF('Dashboard'!$C$6&lt;=1, 2250, IF('Dashboard'!$C$6&lt;=4, 5150, 6000)), 0)</f>
        <v/>
      </c>
      <c r="K82" s="30" t="n">
        <v>0.0202463251060393</v>
      </c>
      <c r="L82" s="30" t="n">
        <v>0.04938468624385899</v>
      </c>
      <c r="M82" s="30" t="n">
        <v>0.9303689886501016</v>
      </c>
      <c r="N82" s="31">
        <f>ABS(E82-$F$6)</f>
        <v/>
      </c>
      <c r="O82" s="31">
        <f>ABS(E82-$F$7)</f>
        <v/>
      </c>
      <c r="P82" s="31">
        <f>ABS(E82-$F$8)</f>
        <v/>
      </c>
      <c r="Q82" s="14">
        <f>IF(K82&gt;=MAX(L82,M82), "Hemat", IF(L82&gt;=M82, "Balanced", "Premium"))</f>
        <v/>
      </c>
      <c r="R82" s="30" t="n">
        <v>0.02024506799538674</v>
      </c>
      <c r="S82" s="30" t="n">
        <v>0.04938190569825709</v>
      </c>
      <c r="T82" s="30" t="n">
        <v>0.9303730263063562</v>
      </c>
      <c r="U82" s="31">
        <f>ABS(E82-$G$6)</f>
        <v/>
      </c>
      <c r="V82" s="31">
        <f>ABS(E82-$G$7)</f>
        <v/>
      </c>
      <c r="W82" s="31">
        <f>ABS(E82-$G$8)</f>
        <v/>
      </c>
      <c r="X82" s="14">
        <f>IF(R82&gt;=MAX(S82,T82), "Hemat", IF(S82&gt;=T82, "Balanced", "Premium"))</f>
        <v/>
      </c>
    </row>
    <row r="83">
      <c r="A83" s="14" t="n">
        <v>72</v>
      </c>
      <c r="B83" s="7" t="inlineStr">
        <is>
          <t>Hotel Batu Permai</t>
        </is>
      </c>
      <c r="C83" s="26" t="n">
        <v>-7.8678425</v>
      </c>
      <c r="D83" s="26" t="n">
        <v>112.5098974</v>
      </c>
      <c r="E83" s="21" t="n">
        <v>300000</v>
      </c>
      <c r="F83" s="27" t="n">
        <v>0</v>
      </c>
      <c r="G83" s="28" t="n">
        <v>0</v>
      </c>
      <c r="H83" s="14" t="inlineStr">
        <is>
          <t>N/A</t>
        </is>
      </c>
      <c r="I83" s="29">
        <f>6371 * 2 * ASIN(SQRT(SIN(RADIANS((C83) - INDEX('Dataset_Wisata'!$C$12:$C$622, MATCH('Dashboard'!$C$9, 'Dataset_Wisata'!$A$12:$A$622, 0)))/2)^2 + COS(RADIANS(INDEX('Dataset_Wisata'!$C$12:$C$622, MATCH('Dashboard'!$C$9, 'Dataset_Wisata'!$A$12:$A$622, 0)))) * COS(RADIANS(C83)) * SIN(RADIANS((D83) - INDEX('Dataset_Wisata'!$D$12:$D$622, MATCH('Dashboard'!$C$9, 'Dataset_Wisata'!$A$12:$A$622, 0)))/2)^2)) * 1.3</f>
        <v/>
      </c>
      <c r="J83" s="21">
        <f>ROUND(I83 * IF('Dashboard'!$C$6&lt;=1, 2250, IF('Dashboard'!$C$6&lt;=4, 5150, 6000)), 0)</f>
        <v/>
      </c>
      <c r="K83" s="30" t="n">
        <v>0.07223626084271963</v>
      </c>
      <c r="L83" s="30" t="n">
        <v>0.7476291821940408</v>
      </c>
      <c r="M83" s="30" t="n">
        <v>0.1801345569632395</v>
      </c>
      <c r="N83" s="31">
        <f>ABS(E83-$F$6)</f>
        <v/>
      </c>
      <c r="O83" s="31">
        <f>ABS(E83-$F$7)</f>
        <v/>
      </c>
      <c r="P83" s="31">
        <f>ABS(E83-$F$8)</f>
        <v/>
      </c>
      <c r="Q83" s="14">
        <f>IF(K83&gt;=MAX(L83,M83), "Hemat", IF(L83&gt;=M83, "Balanced", "Premium"))</f>
        <v/>
      </c>
      <c r="R83" s="30" t="n">
        <v>0.07223530370768798</v>
      </c>
      <c r="S83" s="30" t="n">
        <v>0.7476384566573707</v>
      </c>
      <c r="T83" s="30" t="n">
        <v>0.1801262396349412</v>
      </c>
      <c r="U83" s="31">
        <f>ABS(E83-$G$6)</f>
        <v/>
      </c>
      <c r="V83" s="31">
        <f>ABS(E83-$G$7)</f>
        <v/>
      </c>
      <c r="W83" s="31">
        <f>ABS(E83-$G$8)</f>
        <v/>
      </c>
      <c r="X83" s="14">
        <f>IF(R83&gt;=MAX(S83,T83), "Hemat", IF(S83&gt;=T83, "Balanced", "Premium"))</f>
        <v/>
      </c>
    </row>
    <row r="84">
      <c r="A84" s="14" t="n">
        <v>73</v>
      </c>
      <c r="B84" s="7" t="inlineStr">
        <is>
          <t>Homestay Sekar Gambir</t>
        </is>
      </c>
      <c r="C84" s="26" t="n">
        <v>-7.858751</v>
      </c>
      <c r="D84" s="26" t="n">
        <v>112.5081121</v>
      </c>
      <c r="E84" s="21" t="n">
        <v>199252</v>
      </c>
      <c r="F84" s="27" t="n">
        <v>0</v>
      </c>
      <c r="G84" s="28" t="n">
        <v>0</v>
      </c>
      <c r="H84" s="14" t="inlineStr">
        <is>
          <t>N/A</t>
        </is>
      </c>
      <c r="I84" s="29">
        <f>6371 * 2 * ASIN(SQRT(SIN(RADIANS((C84) - INDEX('Dataset_Wisata'!$C$12:$C$622, MATCH('Dashboard'!$C$9, 'Dataset_Wisata'!$A$12:$A$622, 0)))/2)^2 + COS(RADIANS(INDEX('Dataset_Wisata'!$C$12:$C$622, MATCH('Dashboard'!$C$9, 'Dataset_Wisata'!$A$12:$A$622, 0)))) * COS(RADIANS(C84)) * SIN(RADIANS((D84) - INDEX('Dataset_Wisata'!$D$12:$D$622, MATCH('Dashboard'!$C$9, 'Dataset_Wisata'!$A$12:$A$622, 0)))/2)^2)) * 1.3</f>
        <v/>
      </c>
      <c r="J84" s="21">
        <f>ROUND(I84 * IF('Dashboard'!$C$6&lt;=1, 2250, IF('Dashboard'!$C$6&lt;=4, 5150, 6000)), 0)</f>
        <v/>
      </c>
      <c r="K84" s="30" t="n">
        <v>0.2652083897768247</v>
      </c>
      <c r="L84" s="30" t="n">
        <v>0.7016067167499451</v>
      </c>
      <c r="M84" s="30" t="n">
        <v>0.03318489347323</v>
      </c>
      <c r="N84" s="31">
        <f>ABS(E84-$F$6)</f>
        <v/>
      </c>
      <c r="O84" s="31">
        <f>ABS(E84-$F$7)</f>
        <v/>
      </c>
      <c r="P84" s="31">
        <f>ABS(E84-$F$8)</f>
        <v/>
      </c>
      <c r="Q84" s="14">
        <f>IF(K84&gt;=MAX(L84,M84), "Hemat", IF(L84&gt;=M84, "Balanced", "Premium"))</f>
        <v/>
      </c>
      <c r="R84" s="30" t="n">
        <v>0.2652159832008822</v>
      </c>
      <c r="S84" s="30" t="n">
        <v>0.7015989069403381</v>
      </c>
      <c r="T84" s="30" t="n">
        <v>0.03318510985877967</v>
      </c>
      <c r="U84" s="31">
        <f>ABS(E84-$G$6)</f>
        <v/>
      </c>
      <c r="V84" s="31">
        <f>ABS(E84-$G$7)</f>
        <v/>
      </c>
      <c r="W84" s="31">
        <f>ABS(E84-$G$8)</f>
        <v/>
      </c>
      <c r="X84" s="14">
        <f>IF(R84&gt;=MAX(S84,T84), "Hemat", IF(S84&gt;=T84, "Balanced", "Premium"))</f>
        <v/>
      </c>
    </row>
    <row r="85">
      <c r="A85" s="14" t="n">
        <v>74</v>
      </c>
      <c r="B85" s="7" t="inlineStr">
        <is>
          <t>The Onsen Hot Spring Resort Songgoriti</t>
        </is>
      </c>
      <c r="C85" s="26" t="n">
        <v>-7.8633497</v>
      </c>
      <c r="D85" s="26" t="n">
        <v>112.5002782</v>
      </c>
      <c r="E85" s="21" t="n">
        <v>1446507</v>
      </c>
      <c r="F85" s="27" t="n">
        <v>0</v>
      </c>
      <c r="G85" s="28" t="n">
        <v>0</v>
      </c>
      <c r="H85" s="14" t="inlineStr">
        <is>
          <t>N/A</t>
        </is>
      </c>
      <c r="I85" s="29">
        <f>6371 * 2 * ASIN(SQRT(SIN(RADIANS((C85) - INDEX('Dataset_Wisata'!$C$12:$C$622, MATCH('Dashboard'!$C$9, 'Dataset_Wisata'!$A$12:$A$622, 0)))/2)^2 + COS(RADIANS(INDEX('Dataset_Wisata'!$C$12:$C$622, MATCH('Dashboard'!$C$9, 'Dataset_Wisata'!$A$12:$A$622, 0)))) * COS(RADIANS(C85)) * SIN(RADIANS((D85) - INDEX('Dataset_Wisata'!$D$12:$D$622, MATCH('Dashboard'!$C$9, 'Dataset_Wisata'!$A$12:$A$622, 0)))/2)^2)) * 1.3</f>
        <v/>
      </c>
      <c r="J85" s="21">
        <f>ROUND(I85 * IF('Dashboard'!$C$6&lt;=1, 2250, IF('Dashboard'!$C$6&lt;=4, 5150, 6000)), 0)</f>
        <v/>
      </c>
      <c r="K85" s="30" t="n">
        <v>0.00571958207376824</v>
      </c>
      <c r="L85" s="30" t="n">
        <v>0.00693128378344444</v>
      </c>
      <c r="M85" s="30" t="n">
        <v>0.009331347071245943</v>
      </c>
      <c r="N85" s="31">
        <f>ABS(E85-$F$6)</f>
        <v/>
      </c>
      <c r="O85" s="31">
        <f>ABS(E85-$F$7)</f>
        <v/>
      </c>
      <c r="P85" s="31">
        <f>ABS(E85-$F$8)</f>
        <v/>
      </c>
      <c r="Q85" s="14">
        <f>IF(K85&gt;=MAX(L85,M85), "Hemat", IF(L85&gt;=M85, "Balanced", "Premium"))</f>
        <v/>
      </c>
      <c r="R85" s="30" t="n">
        <v>0.00571958409321558</v>
      </c>
      <c r="S85" s="30" t="n">
        <v>0.006931292708808909</v>
      </c>
      <c r="T85" s="30" t="n">
        <v>0.009331377437170765</v>
      </c>
      <c r="U85" s="31">
        <f>ABS(E85-$G$6)</f>
        <v/>
      </c>
      <c r="V85" s="31">
        <f>ABS(E85-$G$7)</f>
        <v/>
      </c>
      <c r="W85" s="31">
        <f>ABS(E85-$G$8)</f>
        <v/>
      </c>
      <c r="X85" s="14">
        <f>IF(R85&gt;=MAX(S85,T85), "Hemat", IF(S85&gt;=T85, "Balanced", "Premium"))</f>
        <v/>
      </c>
    </row>
    <row r="86">
      <c r="A86" s="14" t="n">
        <v>75</v>
      </c>
      <c r="B86" s="7" t="inlineStr">
        <is>
          <t>Homestay Gafisa 2</t>
        </is>
      </c>
      <c r="C86" s="26" t="n">
        <v>-7.861691</v>
      </c>
      <c r="D86" s="26" t="n">
        <v>112.4986085</v>
      </c>
      <c r="E86" s="21" t="n">
        <v>250000</v>
      </c>
      <c r="F86" s="27" t="n">
        <v>0</v>
      </c>
      <c r="G86" s="28" t="n">
        <v>0</v>
      </c>
      <c r="H86" s="14" t="inlineStr">
        <is>
          <t>N/A</t>
        </is>
      </c>
      <c r="I86" s="29">
        <f>6371 * 2 * ASIN(SQRT(SIN(RADIANS((C86) - INDEX('Dataset_Wisata'!$C$12:$C$622, MATCH('Dashboard'!$C$9, 'Dataset_Wisata'!$A$12:$A$622, 0)))/2)^2 + COS(RADIANS(INDEX('Dataset_Wisata'!$C$12:$C$622, MATCH('Dashboard'!$C$9, 'Dataset_Wisata'!$A$12:$A$622, 0)))) * COS(RADIANS(C86)) * SIN(RADIANS((D86) - INDEX('Dataset_Wisata'!$D$12:$D$622, MATCH('Dashboard'!$C$9, 'Dataset_Wisata'!$A$12:$A$622, 0)))/2)^2)) * 1.3</f>
        <v/>
      </c>
      <c r="J86" s="21">
        <f>ROUND(I86 * IF('Dashboard'!$C$6&lt;=1, 2250, IF('Dashboard'!$C$6&lt;=4, 5150, 6000)), 0)</f>
        <v/>
      </c>
      <c r="K86" s="30" t="n">
        <v>0.001353558595276529</v>
      </c>
      <c r="L86" s="30" t="n">
        <v>0.9978236799136749</v>
      </c>
      <c r="M86" s="30" t="n">
        <v>0.0008227614910485521</v>
      </c>
      <c r="N86" s="31">
        <f>ABS(E86-$F$6)</f>
        <v/>
      </c>
      <c r="O86" s="31">
        <f>ABS(E86-$F$7)</f>
        <v/>
      </c>
      <c r="P86" s="31">
        <f>ABS(E86-$F$8)</f>
        <v/>
      </c>
      <c r="Q86" s="14">
        <f>IF(K86&gt;=MAX(L86,M86), "Hemat", IF(L86&gt;=M86, "Balanced", "Premium"))</f>
        <v/>
      </c>
      <c r="R86" s="30" t="n">
        <v>0.001353112652701395</v>
      </c>
      <c r="S86" s="30" t="n">
        <v>0.9978244171537111</v>
      </c>
      <c r="T86" s="30" t="n">
        <v>0.0008224701935875775</v>
      </c>
      <c r="U86" s="31">
        <f>ABS(E86-$G$6)</f>
        <v/>
      </c>
      <c r="V86" s="31">
        <f>ABS(E86-$G$7)</f>
        <v/>
      </c>
      <c r="W86" s="31">
        <f>ABS(E86-$G$8)</f>
        <v/>
      </c>
      <c r="X86" s="14">
        <f>IF(R86&gt;=MAX(S86,T86), "Hemat", IF(S86&gt;=T86, "Balanced", "Premium"))</f>
        <v/>
      </c>
    </row>
    <row r="87">
      <c r="A87" s="14" t="n">
        <v>76</v>
      </c>
      <c r="B87" s="7" t="inlineStr">
        <is>
          <t>Arumdalu Hotel</t>
        </is>
      </c>
      <c r="C87" s="26" t="n">
        <v>-7.8650518</v>
      </c>
      <c r="D87" s="26" t="n">
        <v>112.4942176</v>
      </c>
      <c r="E87" s="21" t="n">
        <v>150000</v>
      </c>
      <c r="F87" s="27" t="n">
        <v>0</v>
      </c>
      <c r="G87" s="28" t="n">
        <v>0</v>
      </c>
      <c r="H87" s="14" t="inlineStr">
        <is>
          <t>N/A</t>
        </is>
      </c>
      <c r="I87" s="29">
        <f>6371 * 2 * ASIN(SQRT(SIN(RADIANS((C87) - INDEX('Dataset_Wisata'!$C$12:$C$622, MATCH('Dashboard'!$C$9, 'Dataset_Wisata'!$A$12:$A$622, 0)))/2)^2 + COS(RADIANS(INDEX('Dataset_Wisata'!$C$12:$C$622, MATCH('Dashboard'!$C$9, 'Dataset_Wisata'!$A$12:$A$622, 0)))) * COS(RADIANS(C87)) * SIN(RADIANS((D87) - INDEX('Dataset_Wisata'!$D$12:$D$622, MATCH('Dashboard'!$C$9, 'Dataset_Wisata'!$A$12:$A$622, 0)))/2)^2)) * 1.3</f>
        <v/>
      </c>
      <c r="J87" s="21">
        <f>ROUND(I87 * IF('Dashboard'!$C$6&lt;=1, 2250, IF('Dashboard'!$C$6&lt;=4, 5150, 6000)), 0)</f>
        <v/>
      </c>
      <c r="K87" s="30" t="n">
        <v>0.9236568385235482</v>
      </c>
      <c r="L87" s="30" t="n">
        <v>0.06736899151285153</v>
      </c>
      <c r="M87" s="30" t="n">
        <v>0.008974169963600275</v>
      </c>
      <c r="N87" s="31">
        <f>ABS(E87-$F$6)</f>
        <v/>
      </c>
      <c r="O87" s="31">
        <f>ABS(E87-$F$7)</f>
        <v/>
      </c>
      <c r="P87" s="31">
        <f>ABS(E87-$F$8)</f>
        <v/>
      </c>
      <c r="Q87" s="14">
        <f>IF(K87&gt;=MAX(L87,M87), "Hemat", IF(L87&gt;=M87, "Balanced", "Premium"))</f>
        <v/>
      </c>
      <c r="R87" s="30" t="n">
        <v>0.9236592327110943</v>
      </c>
      <c r="S87" s="30" t="n">
        <v>0.0673668524262508</v>
      </c>
      <c r="T87" s="30" t="n">
        <v>0.008973914862654904</v>
      </c>
      <c r="U87" s="31">
        <f>ABS(E87-$G$6)</f>
        <v/>
      </c>
      <c r="V87" s="31">
        <f>ABS(E87-$G$7)</f>
        <v/>
      </c>
      <c r="W87" s="31">
        <f>ABS(E87-$G$8)</f>
        <v/>
      </c>
      <c r="X87" s="14">
        <f>IF(R87&gt;=MAX(S87,T87), "Hemat", IF(S87&gt;=T87, "Balanced", "Premium"))</f>
        <v/>
      </c>
    </row>
    <row r="88">
      <c r="A88" s="14" t="n">
        <v>77</v>
      </c>
      <c r="B88" s="7" t="inlineStr">
        <is>
          <t>RedDoorz Plus near Songgoriti Temple</t>
        </is>
      </c>
      <c r="C88" s="26" t="n">
        <v>-7.8652469</v>
      </c>
      <c r="D88" s="26" t="n">
        <v>112.5030028</v>
      </c>
      <c r="E88" s="21" t="n">
        <v>200000</v>
      </c>
      <c r="F88" s="27" t="n">
        <v>0</v>
      </c>
      <c r="G88" s="28" t="n">
        <v>0</v>
      </c>
      <c r="H88" s="14" t="inlineStr">
        <is>
          <t>N/A</t>
        </is>
      </c>
      <c r="I88" s="29">
        <f>6371 * 2 * ASIN(SQRT(SIN(RADIANS((C88) - INDEX('Dataset_Wisata'!$C$12:$C$622, MATCH('Dashboard'!$C$9, 'Dataset_Wisata'!$A$12:$A$622, 0)))/2)^2 + COS(RADIANS(INDEX('Dataset_Wisata'!$C$12:$C$622, MATCH('Dashboard'!$C$9, 'Dataset_Wisata'!$A$12:$A$622, 0)))) * COS(RADIANS(C88)) * SIN(RADIANS((D88) - INDEX('Dataset_Wisata'!$D$12:$D$622, MATCH('Dashboard'!$C$9, 'Dataset_Wisata'!$A$12:$A$622, 0)))/2)^2)) * 1.3</f>
        <v/>
      </c>
      <c r="J88" s="21">
        <f>ROUND(I88 * IF('Dashboard'!$C$6&lt;=1, 2250, IF('Dashboard'!$C$6&lt;=4, 5150, 6000)), 0)</f>
        <v/>
      </c>
      <c r="K88" s="30" t="n">
        <v>0.2553120674410002</v>
      </c>
      <c r="L88" s="30" t="n">
        <v>0.7118698806466551</v>
      </c>
      <c r="M88" s="30" t="n">
        <v>0.03281805191234464</v>
      </c>
      <c r="N88" s="31">
        <f>ABS(E88-$F$6)</f>
        <v/>
      </c>
      <c r="O88" s="31">
        <f>ABS(E88-$F$7)</f>
        <v/>
      </c>
      <c r="P88" s="31">
        <f>ABS(E88-$F$8)</f>
        <v/>
      </c>
      <c r="Q88" s="14">
        <f>IF(K88&gt;=MAX(L88,M88), "Hemat", IF(L88&gt;=M88, "Balanced", "Premium"))</f>
        <v/>
      </c>
      <c r="R88" s="30" t="n">
        <v>0.2553195689263855</v>
      </c>
      <c r="S88" s="30" t="n">
        <v>0.7118621403928133</v>
      </c>
      <c r="T88" s="30" t="n">
        <v>0.03281829068080127</v>
      </c>
      <c r="U88" s="31">
        <f>ABS(E88-$G$6)</f>
        <v/>
      </c>
      <c r="V88" s="31">
        <f>ABS(E88-$G$7)</f>
        <v/>
      </c>
      <c r="W88" s="31">
        <f>ABS(E88-$G$8)</f>
        <v/>
      </c>
      <c r="X88" s="14">
        <f>IF(R88&gt;=MAX(S88,T88), "Hemat", IF(S88&gt;=T88, "Balanced", "Premium"))</f>
        <v/>
      </c>
    </row>
    <row r="89">
      <c r="A89" s="14" t="n">
        <v>78</v>
      </c>
      <c r="B89" s="7" t="inlineStr">
        <is>
          <t>Hotel Trisno Putra</t>
        </is>
      </c>
      <c r="C89" s="26" t="n">
        <v>-7.8643077</v>
      </c>
      <c r="D89" s="26" t="n">
        <v>112.5049755</v>
      </c>
      <c r="E89" s="21" t="n">
        <v>100000</v>
      </c>
      <c r="F89" s="27" t="n">
        <v>0</v>
      </c>
      <c r="G89" s="28" t="n">
        <v>0</v>
      </c>
      <c r="H89" s="14" t="inlineStr">
        <is>
          <t>N/A</t>
        </is>
      </c>
      <c r="I89" s="29">
        <f>6371 * 2 * ASIN(SQRT(SIN(RADIANS((C89) - INDEX('Dataset_Wisata'!$C$12:$C$622, MATCH('Dashboard'!$C$9, 'Dataset_Wisata'!$A$12:$A$622, 0)))/2)^2 + COS(RADIANS(INDEX('Dataset_Wisata'!$C$12:$C$622, MATCH('Dashboard'!$C$9, 'Dataset_Wisata'!$A$12:$A$622, 0)))) * COS(RADIANS(C89)) * SIN(RADIANS((D89) - INDEX('Dataset_Wisata'!$D$12:$D$622, MATCH('Dashboard'!$C$9, 'Dataset_Wisata'!$A$12:$A$622, 0)))/2)^2)) * 1.3</f>
        <v/>
      </c>
      <c r="J89" s="21">
        <f>ROUND(I89 * IF('Dashboard'!$C$6&lt;=1, 2250, IF('Dashboard'!$C$6&lt;=4, 5150, 6000)), 0)</f>
        <v/>
      </c>
      <c r="K89" s="30" t="n">
        <v>0.9672305756379272</v>
      </c>
      <c r="L89" s="30" t="n">
        <v>0.02690286027756393</v>
      </c>
      <c r="M89" s="30" t="n">
        <v>0.005866564084508831</v>
      </c>
      <c r="N89" s="31">
        <f>ABS(E89-$F$6)</f>
        <v/>
      </c>
      <c r="O89" s="31">
        <f>ABS(E89-$F$7)</f>
        <v/>
      </c>
      <c r="P89" s="31">
        <f>ABS(E89-$F$8)</f>
        <v/>
      </c>
      <c r="Q89" s="14">
        <f>IF(K89&gt;=MAX(L89,M89), "Hemat", IF(L89&gt;=M89, "Balanced", "Premium"))</f>
        <v/>
      </c>
      <c r="R89" s="30" t="n">
        <v>0.9672303035537276</v>
      </c>
      <c r="S89" s="30" t="n">
        <v>0.02690308452718115</v>
      </c>
      <c r="T89" s="30" t="n">
        <v>0.0058666119190913</v>
      </c>
      <c r="U89" s="31">
        <f>ABS(E89-$G$6)</f>
        <v/>
      </c>
      <c r="V89" s="31">
        <f>ABS(E89-$G$7)</f>
        <v/>
      </c>
      <c r="W89" s="31">
        <f>ABS(E89-$G$8)</f>
        <v/>
      </c>
      <c r="X89" s="14">
        <f>IF(R89&gt;=MAX(S89,T89), "Hemat", IF(S89&gt;=T89, "Balanced", "Premium"))</f>
        <v/>
      </c>
    </row>
    <row r="90">
      <c r="A90" s="14" t="n">
        <v>79</v>
      </c>
      <c r="B90" s="7" t="inlineStr">
        <is>
          <t>Rosetta Villa &amp; Homestay</t>
        </is>
      </c>
      <c r="C90" s="26" t="n">
        <v>-7.8659277</v>
      </c>
      <c r="D90" s="26" t="n">
        <v>112.5021694</v>
      </c>
      <c r="E90" s="21" t="n">
        <v>215000</v>
      </c>
      <c r="F90" s="27" t="n">
        <v>0</v>
      </c>
      <c r="G90" s="28" t="n">
        <v>0</v>
      </c>
      <c r="H90" s="14" t="inlineStr">
        <is>
          <t>N/A</t>
        </is>
      </c>
      <c r="I90" s="29">
        <f>6371 * 2 * ASIN(SQRT(SIN(RADIANS((C90) - INDEX('Dataset_Wisata'!$C$12:$C$622, MATCH('Dashboard'!$C$9, 'Dataset_Wisata'!$A$12:$A$622, 0)))/2)^2 + COS(RADIANS(INDEX('Dataset_Wisata'!$C$12:$C$622, MATCH('Dashboard'!$C$9, 'Dataset_Wisata'!$A$12:$A$622, 0)))) * COS(RADIANS(C90)) * SIN(RADIANS((D90) - INDEX('Dataset_Wisata'!$D$12:$D$622, MATCH('Dashboard'!$C$9, 'Dataset_Wisata'!$A$12:$A$622, 0)))/2)^2)) * 1.3</f>
        <v/>
      </c>
      <c r="J90" s="21">
        <f>ROUND(I90 * IF('Dashboard'!$C$6&lt;=1, 2250, IF('Dashboard'!$C$6&lt;=4, 5150, 6000)), 0)</f>
        <v/>
      </c>
      <c r="K90" s="30" t="n">
        <v>0.09857113964867031</v>
      </c>
      <c r="L90" s="30" t="n">
        <v>0.8803587561063873</v>
      </c>
      <c r="M90" s="30" t="n">
        <v>0.02107010424494235</v>
      </c>
      <c r="N90" s="31">
        <f>ABS(E90-$F$6)</f>
        <v/>
      </c>
      <c r="O90" s="31">
        <f>ABS(E90-$F$7)</f>
        <v/>
      </c>
      <c r="P90" s="31">
        <f>ABS(E90-$F$8)</f>
        <v/>
      </c>
      <c r="Q90" s="14">
        <f>IF(K90&gt;=MAX(L90,M90), "Hemat", IF(L90&gt;=M90, "Balanced", "Premium"))</f>
        <v/>
      </c>
      <c r="R90" s="30" t="n">
        <v>0.09857605213507312</v>
      </c>
      <c r="S90" s="30" t="n">
        <v>0.8803532635455718</v>
      </c>
      <c r="T90" s="30" t="n">
        <v>0.02107068431935494</v>
      </c>
      <c r="U90" s="31">
        <f>ABS(E90-$G$6)</f>
        <v/>
      </c>
      <c r="V90" s="31">
        <f>ABS(E90-$G$7)</f>
        <v/>
      </c>
      <c r="W90" s="31">
        <f>ABS(E90-$G$8)</f>
        <v/>
      </c>
      <c r="X90" s="14">
        <f>IF(R90&gt;=MAX(S90,T90), "Hemat", IF(S90&gt;=T90, "Balanced", "Premium"))</f>
        <v/>
      </c>
    </row>
    <row r="91">
      <c r="A91" s="14" t="n">
        <v>80</v>
      </c>
      <c r="B91" s="7" t="inlineStr">
        <is>
          <t>Vila BIRU Songgoriti</t>
        </is>
      </c>
      <c r="C91" s="26" t="n">
        <v>-7.8638032</v>
      </c>
      <c r="D91" s="26" t="n">
        <v>112.4946451</v>
      </c>
      <c r="E91" s="21" t="n">
        <v>80000</v>
      </c>
      <c r="F91" s="27" t="n">
        <v>0</v>
      </c>
      <c r="G91" s="28" t="n">
        <v>0</v>
      </c>
      <c r="H91" s="14" t="inlineStr">
        <is>
          <t>N/A</t>
        </is>
      </c>
      <c r="I91" s="29">
        <f>6371 * 2 * ASIN(SQRT(SIN(RADIANS((C91) - INDEX('Dataset_Wisata'!$C$12:$C$622, MATCH('Dashboard'!$C$9, 'Dataset_Wisata'!$A$12:$A$622, 0)))/2)^2 + COS(RADIANS(INDEX('Dataset_Wisata'!$C$12:$C$622, MATCH('Dashboard'!$C$9, 'Dataset_Wisata'!$A$12:$A$622, 0)))) * COS(RADIANS(C91)) * SIN(RADIANS((D91) - INDEX('Dataset_Wisata'!$D$12:$D$622, MATCH('Dashboard'!$C$9, 'Dataset_Wisata'!$A$12:$A$622, 0)))/2)^2)) * 1.3</f>
        <v/>
      </c>
      <c r="J91" s="21">
        <f>ROUND(I91 * IF('Dashboard'!$C$6&lt;=1, 2250, IF('Dashboard'!$C$6&lt;=4, 5150, 6000)), 0)</f>
        <v/>
      </c>
      <c r="K91" s="30" t="n">
        <v>0.917922276308166</v>
      </c>
      <c r="L91" s="30" t="n">
        <v>0.0657067181163683</v>
      </c>
      <c r="M91" s="30" t="n">
        <v>0.01637100557546559</v>
      </c>
      <c r="N91" s="31">
        <f>ABS(E91-$F$6)</f>
        <v/>
      </c>
      <c r="O91" s="31">
        <f>ABS(E91-$F$7)</f>
        <v/>
      </c>
      <c r="P91" s="31">
        <f>ABS(E91-$F$8)</f>
        <v/>
      </c>
      <c r="Q91" s="14">
        <f>IF(K91&gt;=MAX(L91,M91), "Hemat", IF(L91&gt;=M91, "Balanced", "Premium"))</f>
        <v/>
      </c>
      <c r="R91" s="30" t="n">
        <v>0.9179221982347204</v>
      </c>
      <c r="S91" s="30" t="n">
        <v>0.06570679130234151</v>
      </c>
      <c r="T91" s="30" t="n">
        <v>0.01637101046293786</v>
      </c>
      <c r="U91" s="31">
        <f>ABS(E91-$G$6)</f>
        <v/>
      </c>
      <c r="V91" s="31">
        <f>ABS(E91-$G$7)</f>
        <v/>
      </c>
      <c r="W91" s="31">
        <f>ABS(E91-$G$8)</f>
        <v/>
      </c>
      <c r="X91" s="14">
        <f>IF(R91&gt;=MAX(S91,T91), "Hemat", IF(S91&gt;=T91, "Balanced", "Premium"))</f>
        <v/>
      </c>
    </row>
    <row r="92">
      <c r="A92" s="14" t="n">
        <v>81</v>
      </c>
      <c r="B92" s="7" t="inlineStr">
        <is>
          <t>Villa Waskita</t>
        </is>
      </c>
      <c r="C92" s="26" t="n">
        <v>-7.8628237</v>
      </c>
      <c r="D92" s="26" t="n">
        <v>112.4953738</v>
      </c>
      <c r="E92" s="21" t="n">
        <v>400000</v>
      </c>
      <c r="F92" s="27" t="n">
        <v>0</v>
      </c>
      <c r="G92" s="28" t="n">
        <v>0</v>
      </c>
      <c r="H92" s="14" t="inlineStr">
        <is>
          <t>N/A</t>
        </is>
      </c>
      <c r="I92" s="29">
        <f>6371 * 2 * ASIN(SQRT(SIN(RADIANS((C92) - INDEX('Dataset_Wisata'!$C$12:$C$622, MATCH('Dashboard'!$C$9, 'Dataset_Wisata'!$A$12:$A$622, 0)))/2)^2 + COS(RADIANS(INDEX('Dataset_Wisata'!$C$12:$C$622, MATCH('Dashboard'!$C$9, 'Dataset_Wisata'!$A$12:$A$622, 0)))) * COS(RADIANS(C92)) * SIN(RADIANS((D92) - INDEX('Dataset_Wisata'!$D$12:$D$622, MATCH('Dashboard'!$C$9, 'Dataset_Wisata'!$A$12:$A$622, 0)))/2)^2)) * 1.3</f>
        <v/>
      </c>
      <c r="J92" s="21">
        <f>ROUND(I92 * IF('Dashboard'!$C$6&lt;=1, 2250, IF('Dashboard'!$C$6&lt;=4, 5150, 6000)), 0)</f>
        <v/>
      </c>
      <c r="K92" s="30" t="n">
        <v>0.001667073170799579</v>
      </c>
      <c r="L92" s="30" t="n">
        <v>0.005301607890448092</v>
      </c>
      <c r="M92" s="30" t="n">
        <v>0.9930313189387524</v>
      </c>
      <c r="N92" s="31">
        <f>ABS(E92-$F$6)</f>
        <v/>
      </c>
      <c r="O92" s="31">
        <f>ABS(E92-$F$7)</f>
        <v/>
      </c>
      <c r="P92" s="31">
        <f>ABS(E92-$F$8)</f>
        <v/>
      </c>
      <c r="Q92" s="14">
        <f>IF(K92&gt;=MAX(L92,M92), "Hemat", IF(L92&gt;=M92, "Balanced", "Premium"))</f>
        <v/>
      </c>
      <c r="R92" s="30" t="n">
        <v>0.001667569525865401</v>
      </c>
      <c r="S92" s="30" t="n">
        <v>0.005303230460210759</v>
      </c>
      <c r="T92" s="30" t="n">
        <v>0.9930292000139238</v>
      </c>
      <c r="U92" s="31">
        <f>ABS(E92-$G$6)</f>
        <v/>
      </c>
      <c r="V92" s="31">
        <f>ABS(E92-$G$7)</f>
        <v/>
      </c>
      <c r="W92" s="31">
        <f>ABS(E92-$G$8)</f>
        <v/>
      </c>
      <c r="X92" s="14">
        <f>IF(R92&gt;=MAX(S92,T92), "Hemat", IF(S92&gt;=T92, "Balanced", "Premium"))</f>
        <v/>
      </c>
    </row>
    <row r="93">
      <c r="A93" s="14" t="n">
        <v>82</v>
      </c>
      <c r="B93" s="7" t="inlineStr">
        <is>
          <t>Panorama İnn Residence</t>
        </is>
      </c>
      <c r="C93" s="26" t="n">
        <v>-7.8659717</v>
      </c>
      <c r="D93" s="26" t="n">
        <v>112.5145741</v>
      </c>
      <c r="E93" s="21" t="n">
        <v>393589</v>
      </c>
      <c r="F93" s="27" t="n">
        <v>0</v>
      </c>
      <c r="G93" s="28" t="n">
        <v>0</v>
      </c>
      <c r="H93" s="14" t="inlineStr">
        <is>
          <t>N/A</t>
        </is>
      </c>
      <c r="I93" s="29">
        <f>6371 * 2 * ASIN(SQRT(SIN(RADIANS((C93) - INDEX('Dataset_Wisata'!$C$12:$C$622, MATCH('Dashboard'!$C$9, 'Dataset_Wisata'!$A$12:$A$622, 0)))/2)^2 + COS(RADIANS(INDEX('Dataset_Wisata'!$C$12:$C$622, MATCH('Dashboard'!$C$9, 'Dataset_Wisata'!$A$12:$A$622, 0)))) * COS(RADIANS(C93)) * SIN(RADIANS((D93) - INDEX('Dataset_Wisata'!$D$12:$D$622, MATCH('Dashboard'!$C$9, 'Dataset_Wisata'!$A$12:$A$622, 0)))/2)^2)) * 1.3</f>
        <v/>
      </c>
      <c r="J93" s="21">
        <f>ROUND(I93 * IF('Dashboard'!$C$6&lt;=1, 2250, IF('Dashboard'!$C$6&lt;=4, 5150, 6000)), 0)</f>
        <v/>
      </c>
      <c r="K93" s="30" t="n">
        <v>0.004244159201687431</v>
      </c>
      <c r="L93" s="30" t="n">
        <v>0.01401495942666061</v>
      </c>
      <c r="M93" s="30" t="n">
        <v>0.9817408813716519</v>
      </c>
      <c r="N93" s="31">
        <f>ABS(E93-$F$6)</f>
        <v/>
      </c>
      <c r="O93" s="31">
        <f>ABS(E93-$F$7)</f>
        <v/>
      </c>
      <c r="P93" s="31">
        <f>ABS(E93-$F$8)</f>
        <v/>
      </c>
      <c r="Q93" s="14">
        <f>IF(K93&gt;=MAX(L93,M93), "Hemat", IF(L93&gt;=M93, "Balanced", "Premium"))</f>
        <v/>
      </c>
      <c r="R93" s="30" t="n">
        <v>0.004244958536948627</v>
      </c>
      <c r="S93" s="30" t="n">
        <v>0.01401772095105188</v>
      </c>
      <c r="T93" s="30" t="n">
        <v>0.9817373205119996</v>
      </c>
      <c r="U93" s="31">
        <f>ABS(E93-$G$6)</f>
        <v/>
      </c>
      <c r="V93" s="31">
        <f>ABS(E93-$G$7)</f>
        <v/>
      </c>
      <c r="W93" s="31">
        <f>ABS(E93-$G$8)</f>
        <v/>
      </c>
      <c r="X93" s="14">
        <f>IF(R93&gt;=MAX(S93,T93), "Hemat", IF(S93&gt;=T93, "Balanced", "Premium"))</f>
        <v/>
      </c>
    </row>
    <row r="94">
      <c r="A94" s="14" t="n">
        <v>83</v>
      </c>
      <c r="B94" s="7" t="inlineStr">
        <is>
          <t>Gress Villa</t>
        </is>
      </c>
      <c r="C94" s="26" t="n">
        <v>-7.8648755</v>
      </c>
      <c r="D94" s="26" t="n">
        <v>112.4911326</v>
      </c>
      <c r="E94" s="21" t="n">
        <v>168591</v>
      </c>
      <c r="F94" s="27" t="n">
        <v>0</v>
      </c>
      <c r="G94" s="28" t="n">
        <v>0</v>
      </c>
      <c r="H94" s="14" t="inlineStr">
        <is>
          <t>N/A</t>
        </is>
      </c>
      <c r="I94" s="29">
        <f>6371 * 2 * ASIN(SQRT(SIN(RADIANS((C94) - INDEX('Dataset_Wisata'!$C$12:$C$622, MATCH('Dashboard'!$C$9, 'Dataset_Wisata'!$A$12:$A$622, 0)))/2)^2 + COS(RADIANS(INDEX('Dataset_Wisata'!$C$12:$C$622, MATCH('Dashboard'!$C$9, 'Dataset_Wisata'!$A$12:$A$622, 0)))) * COS(RADIANS(C94)) * SIN(RADIANS((D94) - INDEX('Dataset_Wisata'!$D$12:$D$622, MATCH('Dashboard'!$C$9, 'Dataset_Wisata'!$A$12:$A$622, 0)))/2)^2)) * 1.3</f>
        <v/>
      </c>
      <c r="J94" s="21">
        <f>ROUND(I94 * IF('Dashboard'!$C$6&lt;=1, 2250, IF('Dashboard'!$C$6&lt;=4, 5150, 6000)), 0)</f>
        <v/>
      </c>
      <c r="K94" s="30" t="n">
        <v>0.7315211936041293</v>
      </c>
      <c r="L94" s="30" t="n">
        <v>0.2440563478944383</v>
      </c>
      <c r="M94" s="30" t="n">
        <v>0.02442245850143237</v>
      </c>
      <c r="N94" s="31">
        <f>ABS(E94-$F$6)</f>
        <v/>
      </c>
      <c r="O94" s="31">
        <f>ABS(E94-$F$7)</f>
        <v/>
      </c>
      <c r="P94" s="31">
        <f>ABS(E94-$F$8)</f>
        <v/>
      </c>
      <c r="Q94" s="14">
        <f>IF(K94&gt;=MAX(L94,M94), "Hemat", IF(L94&gt;=M94, "Balanced", "Premium"))</f>
        <v/>
      </c>
      <c r="R94" s="30" t="n">
        <v>0.7315271056580328</v>
      </c>
      <c r="S94" s="30" t="n">
        <v>0.2440508345446695</v>
      </c>
      <c r="T94" s="30" t="n">
        <v>0.0244220597972977</v>
      </c>
      <c r="U94" s="31">
        <f>ABS(E94-$G$6)</f>
        <v/>
      </c>
      <c r="V94" s="31">
        <f>ABS(E94-$G$7)</f>
        <v/>
      </c>
      <c r="W94" s="31">
        <f>ABS(E94-$G$8)</f>
        <v/>
      </c>
      <c r="X94" s="14">
        <f>IF(R94&gt;=MAX(S94,T94), "Hemat", IF(S94&gt;=T94, "Balanced", "Premium"))</f>
        <v/>
      </c>
    </row>
    <row r="95">
      <c r="A95" s="14" t="n">
        <v>84</v>
      </c>
      <c r="B95" s="7" t="inlineStr">
        <is>
          <t>Villa Amigo 2</t>
        </is>
      </c>
      <c r="C95" s="26" t="n">
        <v>-7.8636173</v>
      </c>
      <c r="D95" s="26" t="n">
        <v>112.4949375</v>
      </c>
      <c r="E95" s="21" t="n">
        <v>150000</v>
      </c>
      <c r="F95" s="27" t="n">
        <v>0</v>
      </c>
      <c r="G95" s="28" t="n">
        <v>0</v>
      </c>
      <c r="H95" s="14" t="inlineStr">
        <is>
          <t>N/A</t>
        </is>
      </c>
      <c r="I95" s="29">
        <f>6371 * 2 * ASIN(SQRT(SIN(RADIANS((C95) - INDEX('Dataset_Wisata'!$C$12:$C$622, MATCH('Dashboard'!$C$9, 'Dataset_Wisata'!$A$12:$A$622, 0)))/2)^2 + COS(RADIANS(INDEX('Dataset_Wisata'!$C$12:$C$622, MATCH('Dashboard'!$C$9, 'Dataset_Wisata'!$A$12:$A$622, 0)))) * COS(RADIANS(C95)) * SIN(RADIANS((D95) - INDEX('Dataset_Wisata'!$D$12:$D$622, MATCH('Dashboard'!$C$9, 'Dataset_Wisata'!$A$12:$A$622, 0)))/2)^2)) * 1.3</f>
        <v/>
      </c>
      <c r="J95" s="21">
        <f>ROUND(I95 * IF('Dashboard'!$C$6&lt;=1, 2250, IF('Dashboard'!$C$6&lt;=4, 5150, 6000)), 0)</f>
        <v/>
      </c>
      <c r="K95" s="30" t="n">
        <v>0.9236568385235482</v>
      </c>
      <c r="L95" s="30" t="n">
        <v>0.06736899151285153</v>
      </c>
      <c r="M95" s="30" t="n">
        <v>0.008974169963600275</v>
      </c>
      <c r="N95" s="31">
        <f>ABS(E95-$F$6)</f>
        <v/>
      </c>
      <c r="O95" s="31">
        <f>ABS(E95-$F$7)</f>
        <v/>
      </c>
      <c r="P95" s="31">
        <f>ABS(E95-$F$8)</f>
        <v/>
      </c>
      <c r="Q95" s="14">
        <f>IF(K95&gt;=MAX(L95,M95), "Hemat", IF(L95&gt;=M95, "Balanced", "Premium"))</f>
        <v/>
      </c>
      <c r="R95" s="30" t="n">
        <v>0.9236592327110943</v>
      </c>
      <c r="S95" s="30" t="n">
        <v>0.0673668524262508</v>
      </c>
      <c r="T95" s="30" t="n">
        <v>0.008973914862654904</v>
      </c>
      <c r="U95" s="31">
        <f>ABS(E95-$G$6)</f>
        <v/>
      </c>
      <c r="V95" s="31">
        <f>ABS(E95-$G$7)</f>
        <v/>
      </c>
      <c r="W95" s="31">
        <f>ABS(E95-$G$8)</f>
        <v/>
      </c>
      <c r="X95" s="14">
        <f>IF(R95&gt;=MAX(S95,T95), "Hemat", IF(S95&gt;=T95, "Balanced", "Premium"))</f>
        <v/>
      </c>
    </row>
    <row r="96">
      <c r="A96" s="14" t="n">
        <v>85</v>
      </c>
      <c r="B96" s="7" t="inlineStr">
        <is>
          <t>Villa Arumdalu 24 A Songgoriti</t>
        </is>
      </c>
      <c r="C96" s="26" t="n">
        <v>-7.8632911</v>
      </c>
      <c r="D96" s="26" t="n">
        <v>112.4953165</v>
      </c>
      <c r="E96" s="21" t="n">
        <v>200000</v>
      </c>
      <c r="F96" s="27" t="n">
        <v>0</v>
      </c>
      <c r="G96" s="28" t="n">
        <v>0</v>
      </c>
      <c r="H96" s="14" t="inlineStr">
        <is>
          <t>N/A</t>
        </is>
      </c>
      <c r="I96" s="29">
        <f>6371 * 2 * ASIN(SQRT(SIN(RADIANS((C96) - INDEX('Dataset_Wisata'!$C$12:$C$622, MATCH('Dashboard'!$C$9, 'Dataset_Wisata'!$A$12:$A$622, 0)))/2)^2 + COS(RADIANS(INDEX('Dataset_Wisata'!$C$12:$C$622, MATCH('Dashboard'!$C$9, 'Dataset_Wisata'!$A$12:$A$622, 0)))) * COS(RADIANS(C96)) * SIN(RADIANS((D96) - INDEX('Dataset_Wisata'!$D$12:$D$622, MATCH('Dashboard'!$C$9, 'Dataset_Wisata'!$A$12:$A$622, 0)))/2)^2)) * 1.3</f>
        <v/>
      </c>
      <c r="J96" s="21">
        <f>ROUND(I96 * IF('Dashboard'!$C$6&lt;=1, 2250, IF('Dashboard'!$C$6&lt;=4, 5150, 6000)), 0)</f>
        <v/>
      </c>
      <c r="K96" s="30" t="n">
        <v>0.2553120674410002</v>
      </c>
      <c r="L96" s="30" t="n">
        <v>0.7118698806466551</v>
      </c>
      <c r="M96" s="30" t="n">
        <v>0.03281805191234464</v>
      </c>
      <c r="N96" s="31">
        <f>ABS(E96-$F$6)</f>
        <v/>
      </c>
      <c r="O96" s="31">
        <f>ABS(E96-$F$7)</f>
        <v/>
      </c>
      <c r="P96" s="31">
        <f>ABS(E96-$F$8)</f>
        <v/>
      </c>
      <c r="Q96" s="14">
        <f>IF(K96&gt;=MAX(L96,M96), "Hemat", IF(L96&gt;=M96, "Balanced", "Premium"))</f>
        <v/>
      </c>
      <c r="R96" s="30" t="n">
        <v>0.2553195689263855</v>
      </c>
      <c r="S96" s="30" t="n">
        <v>0.7118621403928133</v>
      </c>
      <c r="T96" s="30" t="n">
        <v>0.03281829068080127</v>
      </c>
      <c r="U96" s="31">
        <f>ABS(E96-$G$6)</f>
        <v/>
      </c>
      <c r="V96" s="31">
        <f>ABS(E96-$G$7)</f>
        <v/>
      </c>
      <c r="W96" s="31">
        <f>ABS(E96-$G$8)</f>
        <v/>
      </c>
      <c r="X96" s="14">
        <f>IF(R96&gt;=MAX(S96,T96), "Hemat", IF(S96&gt;=T96, "Balanced", "Premium"))</f>
        <v/>
      </c>
    </row>
    <row r="97">
      <c r="A97" s="14" t="n">
        <v>86</v>
      </c>
      <c r="B97" s="7" t="inlineStr">
        <is>
          <t>Urbanview Hotel Sky Batu Malang by RedDoorz</t>
        </is>
      </c>
      <c r="C97" s="26" t="n">
        <v>-7.8315996</v>
      </c>
      <c r="D97" s="26" t="n">
        <v>112.5290026</v>
      </c>
      <c r="E97" s="21" t="n">
        <v>252961</v>
      </c>
      <c r="F97" s="27" t="n">
        <v>0</v>
      </c>
      <c r="G97" s="28" t="n">
        <v>0</v>
      </c>
      <c r="H97" s="14" t="inlineStr">
        <is>
          <t>N/A</t>
        </is>
      </c>
      <c r="I97" s="29">
        <f>6371 * 2 * ASIN(SQRT(SIN(RADIANS((C97) - INDEX('Dataset_Wisata'!$C$12:$C$622, MATCH('Dashboard'!$C$9, 'Dataset_Wisata'!$A$12:$A$622, 0)))/2)^2 + COS(RADIANS(INDEX('Dataset_Wisata'!$C$12:$C$622, MATCH('Dashboard'!$C$9, 'Dataset_Wisata'!$A$12:$A$622, 0)))) * COS(RADIANS(C97)) * SIN(RADIANS((D97) - INDEX('Dataset_Wisata'!$D$12:$D$622, MATCH('Dashboard'!$C$9, 'Dataset_Wisata'!$A$12:$A$622, 0)))/2)^2)) * 1.3</f>
        <v/>
      </c>
      <c r="J97" s="21">
        <f>ROUND(I97 * IF('Dashboard'!$C$6&lt;=1, 2250, IF('Dashboard'!$C$6&lt;=4, 5150, 6000)), 0)</f>
        <v/>
      </c>
      <c r="K97" s="30" t="n">
        <v>0.003459536845556922</v>
      </c>
      <c r="L97" s="30" t="n">
        <v>0.9942542204580086</v>
      </c>
      <c r="M97" s="30" t="n">
        <v>0.002286242696434443</v>
      </c>
      <c r="N97" s="31">
        <f>ABS(E97-$F$6)</f>
        <v/>
      </c>
      <c r="O97" s="31">
        <f>ABS(E97-$F$7)</f>
        <v/>
      </c>
      <c r="P97" s="31">
        <f>ABS(E97-$F$8)</f>
        <v/>
      </c>
      <c r="Q97" s="14">
        <f>IF(K97&gt;=MAX(L97,M97), "Hemat", IF(L97&gt;=M97, "Balanced", "Premium"))</f>
        <v/>
      </c>
      <c r="R97" s="30" t="n">
        <v>0.003458848863328049</v>
      </c>
      <c r="S97" s="30" t="n">
        <v>0.9942554200163644</v>
      </c>
      <c r="T97" s="30" t="n">
        <v>0.00228573112030763</v>
      </c>
      <c r="U97" s="31">
        <f>ABS(E97-$G$6)</f>
        <v/>
      </c>
      <c r="V97" s="31">
        <f>ABS(E97-$G$7)</f>
        <v/>
      </c>
      <c r="W97" s="31">
        <f>ABS(E97-$G$8)</f>
        <v/>
      </c>
      <c r="X97" s="14">
        <f>IF(R97&gt;=MAX(S97,T97), "Hemat", IF(S97&gt;=T97, "Balanced", "Premium"))</f>
        <v/>
      </c>
    </row>
    <row r="98">
      <c r="A98" s="14" t="n">
        <v>87</v>
      </c>
      <c r="B98" s="7" t="inlineStr">
        <is>
          <t>RedDoorz near Taman Rekreasi Selecta</t>
        </is>
      </c>
      <c r="C98" s="26" t="n">
        <v>-7.8192875</v>
      </c>
      <c r="D98" s="26" t="n">
        <v>112.5271789</v>
      </c>
      <c r="E98" s="21" t="n">
        <v>144471</v>
      </c>
      <c r="F98" s="27" t="n">
        <v>0</v>
      </c>
      <c r="G98" s="28" t="n">
        <v>0</v>
      </c>
      <c r="H98" s="14" t="inlineStr">
        <is>
          <t>N/A</t>
        </is>
      </c>
      <c r="I98" s="29">
        <f>6371 * 2 * ASIN(SQRT(SIN(RADIANS((C98) - INDEX('Dataset_Wisata'!$C$12:$C$622, MATCH('Dashboard'!$C$9, 'Dataset_Wisata'!$A$12:$A$622, 0)))/2)^2 + COS(RADIANS(INDEX('Dataset_Wisata'!$C$12:$C$622, MATCH('Dashboard'!$C$9, 'Dataset_Wisata'!$A$12:$A$622, 0)))) * COS(RADIANS(C98)) * SIN(RADIANS((D98) - INDEX('Dataset_Wisata'!$D$12:$D$622, MATCH('Dashboard'!$C$9, 'Dataset_Wisata'!$A$12:$A$622, 0)))/2)^2)) * 1.3</f>
        <v/>
      </c>
      <c r="J98" s="21">
        <f>ROUND(I98 * IF('Dashboard'!$C$6&lt;=1, 2250, IF('Dashboard'!$C$6&lt;=4, 5150, 6000)), 0)</f>
        <v/>
      </c>
      <c r="K98" s="30" t="n">
        <v>0.9560821227850461</v>
      </c>
      <c r="L98" s="30" t="n">
        <v>0.03842376165210241</v>
      </c>
      <c r="M98" s="30" t="n">
        <v>0.005494115562851472</v>
      </c>
      <c r="N98" s="31">
        <f>ABS(E98-$F$6)</f>
        <v/>
      </c>
      <c r="O98" s="31">
        <f>ABS(E98-$F$7)</f>
        <v/>
      </c>
      <c r="P98" s="31">
        <f>ABS(E98-$F$8)</f>
        <v/>
      </c>
      <c r="Q98" s="14">
        <f>IF(K98&gt;=MAX(L98,M98), "Hemat", IF(L98&gt;=M98, "Balanced", "Premium"))</f>
        <v/>
      </c>
      <c r="R98" s="30" t="n">
        <v>0.9560837213730599</v>
      </c>
      <c r="S98" s="30" t="n">
        <v>0.0384223500490047</v>
      </c>
      <c r="T98" s="30" t="n">
        <v>0.005493928577935451</v>
      </c>
      <c r="U98" s="31">
        <f>ABS(E98-$G$6)</f>
        <v/>
      </c>
      <c r="V98" s="31">
        <f>ABS(E98-$G$7)</f>
        <v/>
      </c>
      <c r="W98" s="31">
        <f>ABS(E98-$G$8)</f>
        <v/>
      </c>
      <c r="X98" s="14">
        <f>IF(R98&gt;=MAX(S98,T98), "Hemat", IF(S98&gt;=T98, "Balanced", "Premium"))</f>
        <v/>
      </c>
    </row>
    <row r="99">
      <c r="A99" s="14" t="n">
        <v>88</v>
      </c>
      <c r="B99" s="7" t="inlineStr">
        <is>
          <t>Hotel Palem Sari Syariah Batu RedPartner</t>
        </is>
      </c>
      <c r="C99" s="26" t="n">
        <v>-7.8414261</v>
      </c>
      <c r="D99" s="26" t="n">
        <v>112.5282655</v>
      </c>
      <c r="E99" s="21" t="n">
        <v>161430</v>
      </c>
      <c r="F99" s="27" t="n">
        <v>0</v>
      </c>
      <c r="G99" s="28" t="n">
        <v>0</v>
      </c>
      <c r="H99" s="14" t="inlineStr">
        <is>
          <t>N/A</t>
        </is>
      </c>
      <c r="I99" s="29">
        <f>6371 * 2 * ASIN(SQRT(SIN(RADIANS((C99) - INDEX('Dataset_Wisata'!$C$12:$C$622, MATCH('Dashboard'!$C$9, 'Dataset_Wisata'!$A$12:$A$622, 0)))/2)^2 + COS(RADIANS(INDEX('Dataset_Wisata'!$C$12:$C$622, MATCH('Dashboard'!$C$9, 'Dataset_Wisata'!$A$12:$A$622, 0)))) * COS(RADIANS(C99)) * SIN(RADIANS((D99) - INDEX('Dataset_Wisata'!$D$12:$D$622, MATCH('Dashboard'!$C$9, 'Dataset_Wisata'!$A$12:$A$622, 0)))/2)^2)) * 1.3</f>
        <v/>
      </c>
      <c r="J99" s="21">
        <f>ROUND(I99 * IF('Dashboard'!$C$6&lt;=1, 2250, IF('Dashboard'!$C$6&lt;=4, 5150, 6000)), 0)</f>
        <v/>
      </c>
      <c r="K99" s="30" t="n">
        <v>0.8207408654896289</v>
      </c>
      <c r="L99" s="30" t="n">
        <v>0.1610812889098993</v>
      </c>
      <c r="M99" s="30" t="n">
        <v>0.01817784560047172</v>
      </c>
      <c r="N99" s="31">
        <f>ABS(E99-$F$6)</f>
        <v/>
      </c>
      <c r="O99" s="31">
        <f>ABS(E99-$F$7)</f>
        <v/>
      </c>
      <c r="P99" s="31">
        <f>ABS(E99-$F$8)</f>
        <v/>
      </c>
      <c r="Q99" s="14">
        <f>IF(K99&gt;=MAX(L99,M99), "Hemat", IF(L99&gt;=M99, "Balanced", "Premium"))</f>
        <v/>
      </c>
      <c r="R99" s="30" t="n">
        <v>0.8207453498017101</v>
      </c>
      <c r="S99" s="30" t="n">
        <v>0.1610771785680031</v>
      </c>
      <c r="T99" s="30" t="n">
        <v>0.01817747163028681</v>
      </c>
      <c r="U99" s="31">
        <f>ABS(E99-$G$6)</f>
        <v/>
      </c>
      <c r="V99" s="31">
        <f>ABS(E99-$G$7)</f>
        <v/>
      </c>
      <c r="W99" s="31">
        <f>ABS(E99-$G$8)</f>
        <v/>
      </c>
      <c r="X99" s="14">
        <f>IF(R99&gt;=MAX(S99,T99), "Hemat", IF(S99&gt;=T99, "Balanced", "Premium"))</f>
        <v/>
      </c>
    </row>
    <row r="100">
      <c r="A100" s="14" t="n">
        <v>89</v>
      </c>
      <c r="B100" s="7" t="inlineStr">
        <is>
          <t>Mustika Sari Hotel</t>
        </is>
      </c>
      <c r="C100" s="26" t="n">
        <v>-7.8376089</v>
      </c>
      <c r="D100" s="26" t="n">
        <v>112.5279191</v>
      </c>
      <c r="E100" s="21" t="n">
        <v>114825</v>
      </c>
      <c r="F100" s="27" t="n">
        <v>0</v>
      </c>
      <c r="G100" s="28" t="n">
        <v>0</v>
      </c>
      <c r="H100" s="14" t="inlineStr">
        <is>
          <t>N/A</t>
        </is>
      </c>
      <c r="I100" s="29">
        <f>6371 * 2 * ASIN(SQRT(SIN(RADIANS((C100) - INDEX('Dataset_Wisata'!$C$12:$C$622, MATCH('Dashboard'!$C$9, 'Dataset_Wisata'!$A$12:$A$622, 0)))/2)^2 + COS(RADIANS(INDEX('Dataset_Wisata'!$C$12:$C$622, MATCH('Dashboard'!$C$9, 'Dataset_Wisata'!$A$12:$A$622, 0)))) * COS(RADIANS(C100)) * SIN(RADIANS((D100) - INDEX('Dataset_Wisata'!$D$12:$D$622, MATCH('Dashboard'!$C$9, 'Dataset_Wisata'!$A$12:$A$622, 0)))/2)^2)) * 1.3</f>
        <v/>
      </c>
      <c r="J100" s="21">
        <f>ROUND(I100 * IF('Dashboard'!$C$6&lt;=1, 2250, IF('Dashboard'!$C$6&lt;=4, 5150, 6000)), 0)</f>
        <v/>
      </c>
      <c r="K100" s="30" t="n">
        <v>0.9938231203881094</v>
      </c>
      <c r="L100" s="30" t="n">
        <v>0.005173777477047833</v>
      </c>
      <c r="M100" s="30" t="n">
        <v>0.00100310213484271</v>
      </c>
      <c r="N100" s="31">
        <f>ABS(E100-$F$6)</f>
        <v/>
      </c>
      <c r="O100" s="31">
        <f>ABS(E100-$F$7)</f>
        <v/>
      </c>
      <c r="P100" s="31">
        <f>ABS(E100-$F$8)</f>
        <v/>
      </c>
      <c r="Q100" s="14">
        <f>IF(K100&gt;=MAX(L100,M100), "Hemat", IF(L100&gt;=M100, "Balanced", "Premium"))</f>
        <v/>
      </c>
      <c r="R100" s="30" t="n">
        <v>0.9938228883651437</v>
      </c>
      <c r="S100" s="30" t="n">
        <v>0.005173971412498953</v>
      </c>
      <c r="T100" s="30" t="n">
        <v>0.001003140222357398</v>
      </c>
      <c r="U100" s="31">
        <f>ABS(E100-$G$6)</f>
        <v/>
      </c>
      <c r="V100" s="31">
        <f>ABS(E100-$G$7)</f>
        <v/>
      </c>
      <c r="W100" s="31">
        <f>ABS(E100-$G$8)</f>
        <v/>
      </c>
      <c r="X100" s="14">
        <f>IF(R100&gt;=MAX(S100,T100), "Hemat", IF(S100&gt;=T100, "Balanced", "Premium"))</f>
        <v/>
      </c>
    </row>
    <row r="101">
      <c r="A101" s="14" t="n">
        <v>90</v>
      </c>
      <c r="B101" s="7" t="inlineStr">
        <is>
          <t>Bata Merah Guest House &amp; Camping Ground</t>
        </is>
      </c>
      <c r="C101" s="26" t="n">
        <v>-7.8415405</v>
      </c>
      <c r="D101" s="26" t="n">
        <v>112.5201514</v>
      </c>
      <c r="E101" s="21" t="n">
        <v>303301</v>
      </c>
      <c r="F101" s="27" t="n">
        <v>0</v>
      </c>
      <c r="G101" s="28" t="n">
        <v>0</v>
      </c>
      <c r="H101" s="14" t="inlineStr">
        <is>
          <t>N/A</t>
        </is>
      </c>
      <c r="I101" s="29">
        <f>6371 * 2 * ASIN(SQRT(SIN(RADIANS((C101) - INDEX('Dataset_Wisata'!$C$12:$C$622, MATCH('Dashboard'!$C$9, 'Dataset_Wisata'!$A$12:$A$622, 0)))/2)^2 + COS(RADIANS(INDEX('Dataset_Wisata'!$C$12:$C$622, MATCH('Dashboard'!$C$9, 'Dataset_Wisata'!$A$12:$A$622, 0)))) * COS(RADIANS(C101)) * SIN(RADIANS((D101) - INDEX('Dataset_Wisata'!$D$12:$D$622, MATCH('Dashboard'!$C$9, 'Dataset_Wisata'!$A$12:$A$622, 0)))/2)^2)) * 1.3</f>
        <v/>
      </c>
      <c r="J101" s="21">
        <f>ROUND(I101 * IF('Dashboard'!$C$6&lt;=1, 2250, IF('Dashboard'!$C$6&lt;=4, 5150, 6000)), 0)</f>
        <v/>
      </c>
      <c r="K101" s="30" t="n">
        <v>0.07517793483991911</v>
      </c>
      <c r="L101" s="30" t="n">
        <v>0.7181671814324356</v>
      </c>
      <c r="M101" s="30" t="n">
        <v>0.2066548837276454</v>
      </c>
      <c r="N101" s="31">
        <f>ABS(E101-$F$6)</f>
        <v/>
      </c>
      <c r="O101" s="31">
        <f>ABS(E101-$F$7)</f>
        <v/>
      </c>
      <c r="P101" s="31">
        <f>ABS(E101-$F$8)</f>
        <v/>
      </c>
      <c r="Q101" s="14">
        <f>IF(K101&gt;=MAX(L101,M101), "Hemat", IF(L101&gt;=M101, "Balanced", "Premium"))</f>
        <v/>
      </c>
      <c r="R101" s="30" t="n">
        <v>0.07517715925401457</v>
      </c>
      <c r="S101" s="30" t="n">
        <v>0.7181770737415556</v>
      </c>
      <c r="T101" s="30" t="n">
        <v>0.2066457670044299</v>
      </c>
      <c r="U101" s="31">
        <f>ABS(E101-$G$6)</f>
        <v/>
      </c>
      <c r="V101" s="31">
        <f>ABS(E101-$G$7)</f>
        <v/>
      </c>
      <c r="W101" s="31">
        <f>ABS(E101-$G$8)</f>
        <v/>
      </c>
      <c r="X101" s="14">
        <f>IF(R101&gt;=MAX(S101,T101), "Hemat", IF(S101&gt;=T101, "Balanced", "Premium"))</f>
        <v/>
      </c>
    </row>
    <row r="102">
      <c r="A102" s="14" t="n">
        <v>91</v>
      </c>
      <c r="B102" s="7" t="inlineStr">
        <is>
          <t>Spencer Green Hotel Batu</t>
        </is>
      </c>
      <c r="C102" s="26" t="n">
        <v>-7.833325</v>
      </c>
      <c r="D102" s="26" t="n">
        <v>112.528949</v>
      </c>
      <c r="E102" s="21" t="n">
        <v>223784</v>
      </c>
      <c r="F102" s="27" t="n">
        <v>0</v>
      </c>
      <c r="G102" s="28" t="n">
        <v>0</v>
      </c>
      <c r="H102" s="14" t="inlineStr">
        <is>
          <t>N/A</t>
        </is>
      </c>
      <c r="I102" s="29">
        <f>6371 * 2 * ASIN(SQRT(SIN(RADIANS((C102) - INDEX('Dataset_Wisata'!$C$12:$C$622, MATCH('Dashboard'!$C$9, 'Dataset_Wisata'!$A$12:$A$622, 0)))/2)^2 + COS(RADIANS(INDEX('Dataset_Wisata'!$C$12:$C$622, MATCH('Dashboard'!$C$9, 'Dataset_Wisata'!$A$12:$A$622, 0)))) * COS(RADIANS(C102)) * SIN(RADIANS((D102) - INDEX('Dataset_Wisata'!$D$12:$D$622, MATCH('Dashboard'!$C$9, 'Dataset_Wisata'!$A$12:$A$622, 0)))/2)^2)) * 1.3</f>
        <v/>
      </c>
      <c r="J102" s="21">
        <f>ROUND(I102 * IF('Dashboard'!$C$6&lt;=1, 2250, IF('Dashboard'!$C$6&lt;=4, 5150, 6000)), 0)</f>
        <v/>
      </c>
      <c r="K102" s="30" t="n">
        <v>0.04434699982395318</v>
      </c>
      <c r="L102" s="30" t="n">
        <v>0.9431564549983436</v>
      </c>
      <c r="M102" s="30" t="n">
        <v>0.01249654517770325</v>
      </c>
      <c r="N102" s="31">
        <f>ABS(E102-$F$6)</f>
        <v/>
      </c>
      <c r="O102" s="31">
        <f>ABS(E102-$F$7)</f>
        <v/>
      </c>
      <c r="P102" s="31">
        <f>ABS(E102-$F$8)</f>
        <v/>
      </c>
      <c r="Q102" s="14">
        <f>IF(K102&gt;=MAX(L102,M102), "Hemat", IF(L102&gt;=M102, "Balanced", "Premium"))</f>
        <v/>
      </c>
      <c r="R102" s="30" t="n">
        <v>0.04435020580234214</v>
      </c>
      <c r="S102" s="30" t="n">
        <v>0.9431526287381835</v>
      </c>
      <c r="T102" s="30" t="n">
        <v>0.01249716545947441</v>
      </c>
      <c r="U102" s="31">
        <f>ABS(E102-$G$6)</f>
        <v/>
      </c>
      <c r="V102" s="31">
        <f>ABS(E102-$G$7)</f>
        <v/>
      </c>
      <c r="W102" s="31">
        <f>ABS(E102-$G$8)</f>
        <v/>
      </c>
      <c r="X102" s="14">
        <f>IF(R102&gt;=MAX(S102,T102), "Hemat", IF(S102&gt;=T102, "Balanced", "Premium"))</f>
        <v/>
      </c>
    </row>
    <row r="103">
      <c r="A103" s="14" t="n">
        <v>92</v>
      </c>
      <c r="B103" s="7" t="inlineStr">
        <is>
          <t>DeView Hotel by PRO</t>
        </is>
      </c>
      <c r="C103" s="26" t="n">
        <v>-7.8300494</v>
      </c>
      <c r="D103" s="26" t="n">
        <v>112.5291106</v>
      </c>
      <c r="E103" s="21" t="n">
        <v>150934</v>
      </c>
      <c r="F103" s="27" t="n">
        <v>0</v>
      </c>
      <c r="G103" s="28" t="n">
        <v>0</v>
      </c>
      <c r="H103" s="14" t="inlineStr">
        <is>
          <t>N/A</t>
        </is>
      </c>
      <c r="I103" s="29">
        <f>6371 * 2 * ASIN(SQRT(SIN(RADIANS((C103) - INDEX('Dataset_Wisata'!$C$12:$C$622, MATCH('Dashboard'!$C$9, 'Dataset_Wisata'!$A$12:$A$622, 0)))/2)^2 + COS(RADIANS(INDEX('Dataset_Wisata'!$C$12:$C$622, MATCH('Dashboard'!$C$9, 'Dataset_Wisata'!$A$12:$A$622, 0)))) * COS(RADIANS(C103)) * SIN(RADIANS((D103) - INDEX('Dataset_Wisata'!$D$12:$D$622, MATCH('Dashboard'!$C$9, 'Dataset_Wisata'!$A$12:$A$622, 0)))/2)^2)) * 1.3</f>
        <v/>
      </c>
      <c r="J103" s="21">
        <f>ROUND(I103 * IF('Dashboard'!$C$6&lt;=1, 2250, IF('Dashboard'!$C$6&lt;=4, 5150, 6000)), 0)</f>
        <v/>
      </c>
      <c r="K103" s="30" t="n">
        <v>0.9171044204049972</v>
      </c>
      <c r="L103" s="30" t="n">
        <v>0.07325833205144966</v>
      </c>
      <c r="M103" s="30" t="n">
        <v>0.009637247543553312</v>
      </c>
      <c r="N103" s="31">
        <f>ABS(E103-$F$6)</f>
        <v/>
      </c>
      <c r="O103" s="31">
        <f>ABS(E103-$F$7)</f>
        <v/>
      </c>
      <c r="P103" s="31">
        <f>ABS(E103-$F$8)</f>
        <v/>
      </c>
      <c r="Q103" s="14">
        <f>IF(K103&gt;=MAX(L103,M103), "Hemat", IF(L103&gt;=M103, "Balanced", "Premium"))</f>
        <v/>
      </c>
      <c r="R103" s="30" t="n">
        <v>0.9171069649304099</v>
      </c>
      <c r="S103" s="30" t="n">
        <v>0.07325605405024324</v>
      </c>
      <c r="T103" s="30" t="n">
        <v>0.009636981019346761</v>
      </c>
      <c r="U103" s="31">
        <f>ABS(E103-$G$6)</f>
        <v/>
      </c>
      <c r="V103" s="31">
        <f>ABS(E103-$G$7)</f>
        <v/>
      </c>
      <c r="W103" s="31">
        <f>ABS(E103-$G$8)</f>
        <v/>
      </c>
      <c r="X103" s="14">
        <f>IF(R103&gt;=MAX(S103,T103), "Hemat", IF(S103&gt;=T103, "Balanced", "Premium"))</f>
        <v/>
      </c>
    </row>
    <row r="104">
      <c r="A104" s="14" t="n">
        <v>93</v>
      </c>
      <c r="B104" s="7" t="inlineStr">
        <is>
          <t>Cemara Resort &amp; Cafe</t>
        </is>
      </c>
      <c r="C104" s="26" t="n">
        <v>-7.8200255</v>
      </c>
      <c r="D104" s="26" t="n">
        <v>112.5302097</v>
      </c>
      <c r="E104" s="21" t="n">
        <v>150000</v>
      </c>
      <c r="F104" s="27" t="n">
        <v>0</v>
      </c>
      <c r="G104" s="28" t="n">
        <v>0</v>
      </c>
      <c r="H104" s="14" t="inlineStr">
        <is>
          <t>N/A</t>
        </is>
      </c>
      <c r="I104" s="29">
        <f>6371 * 2 * ASIN(SQRT(SIN(RADIANS((C104) - INDEX('Dataset_Wisata'!$C$12:$C$622, MATCH('Dashboard'!$C$9, 'Dataset_Wisata'!$A$12:$A$622, 0)))/2)^2 + COS(RADIANS(INDEX('Dataset_Wisata'!$C$12:$C$622, MATCH('Dashboard'!$C$9, 'Dataset_Wisata'!$A$12:$A$622, 0)))) * COS(RADIANS(C104)) * SIN(RADIANS((D104) - INDEX('Dataset_Wisata'!$D$12:$D$622, MATCH('Dashboard'!$C$9, 'Dataset_Wisata'!$A$12:$A$622, 0)))/2)^2)) * 1.3</f>
        <v/>
      </c>
      <c r="J104" s="21">
        <f>ROUND(I104 * IF('Dashboard'!$C$6&lt;=1, 2250, IF('Dashboard'!$C$6&lt;=4, 5150, 6000)), 0)</f>
        <v/>
      </c>
      <c r="K104" s="30" t="n">
        <v>0.9236568385235482</v>
      </c>
      <c r="L104" s="30" t="n">
        <v>0.06736899151285153</v>
      </c>
      <c r="M104" s="30" t="n">
        <v>0.008974169963600275</v>
      </c>
      <c r="N104" s="31">
        <f>ABS(E104-$F$6)</f>
        <v/>
      </c>
      <c r="O104" s="31">
        <f>ABS(E104-$F$7)</f>
        <v/>
      </c>
      <c r="P104" s="31">
        <f>ABS(E104-$F$8)</f>
        <v/>
      </c>
      <c r="Q104" s="14">
        <f>IF(K104&gt;=MAX(L104,M104), "Hemat", IF(L104&gt;=M104, "Balanced", "Premium"))</f>
        <v/>
      </c>
      <c r="R104" s="30" t="n">
        <v>0.9236592327110943</v>
      </c>
      <c r="S104" s="30" t="n">
        <v>0.0673668524262508</v>
      </c>
      <c r="T104" s="30" t="n">
        <v>0.008973914862654904</v>
      </c>
      <c r="U104" s="31">
        <f>ABS(E104-$G$6)</f>
        <v/>
      </c>
      <c r="V104" s="31">
        <f>ABS(E104-$G$7)</f>
        <v/>
      </c>
      <c r="W104" s="31">
        <f>ABS(E104-$G$8)</f>
        <v/>
      </c>
      <c r="X104" s="14">
        <f>IF(R104&gt;=MAX(S104,T104), "Hemat", IF(S104&gt;=T104, "Balanced", "Premium"))</f>
        <v/>
      </c>
    </row>
    <row r="105">
      <c r="A105" s="14" t="n">
        <v>94</v>
      </c>
      <c r="B105" s="7" t="inlineStr">
        <is>
          <t>d'homestay</t>
        </is>
      </c>
      <c r="C105" s="26" t="n">
        <v>-8.402982099999999</v>
      </c>
      <c r="D105" s="26" t="n">
        <v>112.5371211</v>
      </c>
      <c r="E105" s="21" t="n">
        <v>285000</v>
      </c>
      <c r="F105" s="27" t="n">
        <v>0</v>
      </c>
      <c r="G105" s="28" t="n">
        <v>0</v>
      </c>
      <c r="H105" s="14" t="inlineStr">
        <is>
          <t>N/A</t>
        </is>
      </c>
      <c r="I105" s="29">
        <f>6371 * 2 * ASIN(SQRT(SIN(RADIANS((C105) - INDEX('Dataset_Wisata'!$C$12:$C$622, MATCH('Dashboard'!$C$9, 'Dataset_Wisata'!$A$12:$A$622, 0)))/2)^2 + COS(RADIANS(INDEX('Dataset_Wisata'!$C$12:$C$622, MATCH('Dashboard'!$C$9, 'Dataset_Wisata'!$A$12:$A$622, 0)))) * COS(RADIANS(C105)) * SIN(RADIANS((D105) - INDEX('Dataset_Wisata'!$D$12:$D$622, MATCH('Dashboard'!$C$9, 'Dataset_Wisata'!$A$12:$A$622, 0)))/2)^2)) * 1.3</f>
        <v/>
      </c>
      <c r="J105" s="21">
        <f>ROUND(I105 * IF('Dashboard'!$C$6&lt;=1, 2250, IF('Dashboard'!$C$6&lt;=4, 5150, 6000)), 0)</f>
        <v/>
      </c>
      <c r="K105" s="30" t="n">
        <v>0.05242948490599209</v>
      </c>
      <c r="L105" s="30" t="n">
        <v>0.8626302367713432</v>
      </c>
      <c r="M105" s="30" t="n">
        <v>0.08494027832266471</v>
      </c>
      <c r="N105" s="31">
        <f>ABS(E105-$F$6)</f>
        <v/>
      </c>
      <c r="O105" s="31">
        <f>ABS(E105-$F$7)</f>
        <v/>
      </c>
      <c r="P105" s="31">
        <f>ABS(E105-$F$8)</f>
        <v/>
      </c>
      <c r="Q105" s="14">
        <f>IF(K105&gt;=MAX(L105,M105), "Hemat", IF(L105&gt;=M105, "Balanced", "Premium"))</f>
        <v/>
      </c>
      <c r="R105" s="30" t="n">
        <v>0.05242798289147459</v>
      </c>
      <c r="S105" s="30" t="n">
        <v>0.8626366843399129</v>
      </c>
      <c r="T105" s="30" t="n">
        <v>0.08493533276861245</v>
      </c>
      <c r="U105" s="31">
        <f>ABS(E105-$G$6)</f>
        <v/>
      </c>
      <c r="V105" s="31">
        <f>ABS(E105-$G$7)</f>
        <v/>
      </c>
      <c r="W105" s="31">
        <f>ABS(E105-$G$8)</f>
        <v/>
      </c>
      <c r="X105" s="14">
        <f>IF(R105&gt;=MAX(S105,T105), "Hemat", IF(S105&gt;=T105, "Balanced", "Premium"))</f>
        <v/>
      </c>
    </row>
    <row r="106">
      <c r="A106" s="14" t="n">
        <v>95</v>
      </c>
      <c r="B106" s="7" t="inlineStr">
        <is>
          <t>Grand Miami Hotel, Kepanjen</t>
        </is>
      </c>
      <c r="C106" s="26" t="n">
        <v>-8.0981506</v>
      </c>
      <c r="D106" s="26" t="n">
        <v>112.5836578</v>
      </c>
      <c r="E106" s="21" t="n">
        <v>550000</v>
      </c>
      <c r="F106" s="27" t="n">
        <v>0</v>
      </c>
      <c r="G106" s="28" t="n">
        <v>0</v>
      </c>
      <c r="H106" s="14" t="inlineStr">
        <is>
          <t>N/A</t>
        </is>
      </c>
      <c r="I106" s="29">
        <f>6371 * 2 * ASIN(SQRT(SIN(RADIANS((C106) - INDEX('Dataset_Wisata'!$C$12:$C$622, MATCH('Dashboard'!$C$9, 'Dataset_Wisata'!$A$12:$A$622, 0)))/2)^2 + COS(RADIANS(INDEX('Dataset_Wisata'!$C$12:$C$622, MATCH('Dashboard'!$C$9, 'Dataset_Wisata'!$A$12:$A$622, 0)))) * COS(RADIANS(C106)) * SIN(RADIANS((D106) - INDEX('Dataset_Wisata'!$D$12:$D$622, MATCH('Dashboard'!$C$9, 'Dataset_Wisata'!$A$12:$A$622, 0)))/2)^2)) * 1.3</f>
        <v/>
      </c>
      <c r="J106" s="21">
        <f>ROUND(I106 * IF('Dashboard'!$C$6&lt;=1, 2250, IF('Dashboard'!$C$6&lt;=4, 5150, 6000)), 0)</f>
        <v/>
      </c>
      <c r="K106" s="30" t="n">
        <v>0.05516687796961754</v>
      </c>
      <c r="L106" s="30" t="n">
        <v>0.107758071960812</v>
      </c>
      <c r="M106" s="30" t="n">
        <v>0.5198017001519138</v>
      </c>
      <c r="N106" s="31">
        <f>ABS(E106-$F$6)</f>
        <v/>
      </c>
      <c r="O106" s="31">
        <f>ABS(E106-$F$7)</f>
        <v/>
      </c>
      <c r="P106" s="31">
        <f>ABS(E106-$F$8)</f>
        <v/>
      </c>
      <c r="Q106" s="14">
        <f>IF(K106&gt;=MAX(L106,M106), "Hemat", IF(L106&gt;=M106, "Balanced", "Premium"))</f>
        <v/>
      </c>
      <c r="R106" s="30" t="n">
        <v>0.05516693846245289</v>
      </c>
      <c r="S106" s="30" t="n">
        <v>0.1077586190793018</v>
      </c>
      <c r="T106" s="30" t="n">
        <v>0.5198143252102254</v>
      </c>
      <c r="U106" s="31">
        <f>ABS(E106-$G$6)</f>
        <v/>
      </c>
      <c r="V106" s="31">
        <f>ABS(E106-$G$7)</f>
        <v/>
      </c>
      <c r="W106" s="31">
        <f>ABS(E106-$G$8)</f>
        <v/>
      </c>
      <c r="X106" s="14">
        <f>IF(R106&gt;=MAX(S106,T106), "Hemat", IF(S106&gt;=T106, "Balanced", "Premium"))</f>
        <v/>
      </c>
    </row>
    <row r="107">
      <c r="A107" s="14" t="n">
        <v>96</v>
      </c>
      <c r="B107" s="7" t="inlineStr">
        <is>
          <t>D'SHARIO HOTEL</t>
        </is>
      </c>
      <c r="C107" s="26" t="n">
        <v>-8.1031534</v>
      </c>
      <c r="D107" s="26" t="n">
        <v>112.5803401</v>
      </c>
      <c r="E107" s="21" t="n">
        <v>204132</v>
      </c>
      <c r="F107" s="27" t="n">
        <v>0</v>
      </c>
      <c r="G107" s="28" t="n">
        <v>0</v>
      </c>
      <c r="H107" s="14" t="inlineStr">
        <is>
          <t>N/A</t>
        </is>
      </c>
      <c r="I107" s="29">
        <f>6371 * 2 * ASIN(SQRT(SIN(RADIANS((C107) - INDEX('Dataset_Wisata'!$C$12:$C$622, MATCH('Dashboard'!$C$9, 'Dataset_Wisata'!$A$12:$A$622, 0)))/2)^2 + COS(RADIANS(INDEX('Dataset_Wisata'!$C$12:$C$622, MATCH('Dashboard'!$C$9, 'Dataset_Wisata'!$A$12:$A$622, 0)))) * COS(RADIANS(C107)) * SIN(RADIANS((D107) - INDEX('Dataset_Wisata'!$D$12:$D$622, MATCH('Dashboard'!$C$9, 'Dataset_Wisata'!$A$12:$A$622, 0)))/2)^2)) * 1.3</f>
        <v/>
      </c>
      <c r="J107" s="21">
        <f>ROUND(I107 * IF('Dashboard'!$C$6&lt;=1, 2250, IF('Dashboard'!$C$6&lt;=4, 5150, 6000)), 0)</f>
        <v/>
      </c>
      <c r="K107" s="30" t="n">
        <v>0.2040015441141732</v>
      </c>
      <c r="L107" s="30" t="n">
        <v>0.7656624992134837</v>
      </c>
      <c r="M107" s="30" t="n">
        <v>0.03033595667234307</v>
      </c>
      <c r="N107" s="31">
        <f>ABS(E107-$F$6)</f>
        <v/>
      </c>
      <c r="O107" s="31">
        <f>ABS(E107-$F$7)</f>
        <v/>
      </c>
      <c r="P107" s="31">
        <f>ABS(E107-$F$8)</f>
        <v/>
      </c>
      <c r="Q107" s="14">
        <f>IF(K107&gt;=MAX(L107,M107), "Hemat", IF(L107&gt;=M107, "Balanced", "Premium"))</f>
        <v/>
      </c>
      <c r="R107" s="30" t="n">
        <v>0.2040084523746537</v>
      </c>
      <c r="S107" s="30" t="n">
        <v>0.7656552342531937</v>
      </c>
      <c r="T107" s="30" t="n">
        <v>0.03033631337215252</v>
      </c>
      <c r="U107" s="31">
        <f>ABS(E107-$G$6)</f>
        <v/>
      </c>
      <c r="V107" s="31">
        <f>ABS(E107-$G$7)</f>
        <v/>
      </c>
      <c r="W107" s="31">
        <f>ABS(E107-$G$8)</f>
        <v/>
      </c>
      <c r="X107" s="14">
        <f>IF(R107&gt;=MAX(S107,T107), "Hemat", IF(S107&gt;=T107, "Balanced", "Premium"))</f>
        <v/>
      </c>
    </row>
    <row r="108">
      <c r="A108" s="14" t="n">
        <v>97</v>
      </c>
      <c r="B108" s="7" t="inlineStr">
        <is>
          <t>Losmen Ryan't</t>
        </is>
      </c>
      <c r="C108" s="26" t="n">
        <v>-8.1286448</v>
      </c>
      <c r="D108" s="26" t="n">
        <v>112.5640383</v>
      </c>
      <c r="E108" s="21" t="n">
        <v>532871</v>
      </c>
      <c r="F108" s="27" t="n">
        <v>0</v>
      </c>
      <c r="G108" s="28" t="n">
        <v>0</v>
      </c>
      <c r="H108" s="14" t="inlineStr">
        <is>
          <t>N/A</t>
        </is>
      </c>
      <c r="I108" s="29">
        <f>6371 * 2 * ASIN(SQRT(SIN(RADIANS((C108) - INDEX('Dataset_Wisata'!$C$12:$C$622, MATCH('Dashboard'!$C$9, 'Dataset_Wisata'!$A$12:$A$622, 0)))/2)^2 + COS(RADIANS(INDEX('Dataset_Wisata'!$C$12:$C$622, MATCH('Dashboard'!$C$9, 'Dataset_Wisata'!$A$12:$A$622, 0)))) * COS(RADIANS(C108)) * SIN(RADIANS((D108) - INDEX('Dataset_Wisata'!$D$12:$D$622, MATCH('Dashboard'!$C$9, 'Dataset_Wisata'!$A$12:$A$622, 0)))/2)^2)) * 1.3</f>
        <v/>
      </c>
      <c r="J108" s="21">
        <f>ROUND(I108 * IF('Dashboard'!$C$6&lt;=1, 2250, IF('Dashboard'!$C$6&lt;=4, 5150, 6000)), 0)</f>
        <v/>
      </c>
      <c r="K108" s="30" t="n">
        <v>0.05988883166552775</v>
      </c>
      <c r="L108" s="30" t="n">
        <v>0.1209807145421691</v>
      </c>
      <c r="M108" s="30" t="n">
        <v>0.6765958314497368</v>
      </c>
      <c r="N108" s="31">
        <f>ABS(E108-$F$6)</f>
        <v/>
      </c>
      <c r="O108" s="31">
        <f>ABS(E108-$F$7)</f>
        <v/>
      </c>
      <c r="P108" s="31">
        <f>ABS(E108-$F$8)</f>
        <v/>
      </c>
      <c r="Q108" s="14">
        <f>IF(K108&gt;=MAX(L108,M108), "Hemat", IF(L108&gt;=M108, "Balanced", "Premium"))</f>
        <v/>
      </c>
      <c r="R108" s="30" t="n">
        <v>0.0598889000889996</v>
      </c>
      <c r="S108" s="30" t="n">
        <v>0.1209813653922901</v>
      </c>
      <c r="T108" s="30" t="n">
        <v>0.676614580183433</v>
      </c>
      <c r="U108" s="31">
        <f>ABS(E108-$G$6)</f>
        <v/>
      </c>
      <c r="V108" s="31">
        <f>ABS(E108-$G$7)</f>
        <v/>
      </c>
      <c r="W108" s="31">
        <f>ABS(E108-$G$8)</f>
        <v/>
      </c>
      <c r="X108" s="14">
        <f>IF(R108&gt;=MAX(S108,T108), "Hemat", IF(S108&gt;=T108, "Balanced", "Premium"))</f>
        <v/>
      </c>
    </row>
    <row r="109">
      <c r="A109" s="14" t="n">
        <v>98</v>
      </c>
      <c r="B109" s="7" t="inlineStr">
        <is>
          <t>Penginapan Central</t>
        </is>
      </c>
      <c r="C109" s="26" t="n">
        <v>-8.0259202</v>
      </c>
      <c r="D109" s="26" t="n">
        <v>112.4934309</v>
      </c>
      <c r="E109" s="21" t="n">
        <v>219250</v>
      </c>
      <c r="F109" s="27" t="n">
        <v>0</v>
      </c>
      <c r="G109" s="28" t="n">
        <v>0</v>
      </c>
      <c r="H109" s="14" t="inlineStr">
        <is>
          <t>N/A</t>
        </is>
      </c>
      <c r="I109" s="29">
        <f>6371 * 2 * ASIN(SQRT(SIN(RADIANS((C109) - INDEX('Dataset_Wisata'!$C$12:$C$622, MATCH('Dashboard'!$C$9, 'Dataset_Wisata'!$A$12:$A$622, 0)))/2)^2 + COS(RADIANS(INDEX('Dataset_Wisata'!$C$12:$C$622, MATCH('Dashboard'!$C$9, 'Dataset_Wisata'!$A$12:$A$622, 0)))) * COS(RADIANS(C109)) * SIN(RADIANS((D109) - INDEX('Dataset_Wisata'!$D$12:$D$622, MATCH('Dashboard'!$C$9, 'Dataset_Wisata'!$A$12:$A$622, 0)))/2)^2)) * 1.3</f>
        <v/>
      </c>
      <c r="J109" s="21">
        <f>ROUND(I109 * IF('Dashboard'!$C$6&lt;=1, 2250, IF('Dashboard'!$C$6&lt;=4, 5150, 6000)), 0)</f>
        <v/>
      </c>
      <c r="K109" s="30" t="n">
        <v>0.06907829082600639</v>
      </c>
      <c r="L109" s="30" t="n">
        <v>0.9140164443325443</v>
      </c>
      <c r="M109" s="30" t="n">
        <v>0.01690526484144934</v>
      </c>
      <c r="N109" s="31">
        <f>ABS(E109-$F$6)</f>
        <v/>
      </c>
      <c r="O109" s="31">
        <f>ABS(E109-$F$7)</f>
        <v/>
      </c>
      <c r="P109" s="31">
        <f>ABS(E109-$F$8)</f>
        <v/>
      </c>
      <c r="Q109" s="14">
        <f>IF(K109&gt;=MAX(L109,M109), "Hemat", IF(L109&gt;=M109, "Balanced", "Premium"))</f>
        <v/>
      </c>
      <c r="R109" s="30" t="n">
        <v>0.06908236636946256</v>
      </c>
      <c r="S109" s="30" t="n">
        <v>0.9140117510240926</v>
      </c>
      <c r="T109" s="30" t="n">
        <v>0.01690588260644489</v>
      </c>
      <c r="U109" s="31">
        <f>ABS(E109-$G$6)</f>
        <v/>
      </c>
      <c r="V109" s="31">
        <f>ABS(E109-$G$7)</f>
        <v/>
      </c>
      <c r="W109" s="31">
        <f>ABS(E109-$G$8)</f>
        <v/>
      </c>
      <c r="X109" s="14">
        <f>IF(R109&gt;=MAX(S109,T109), "Hemat", IF(S109&gt;=T109, "Balanced", "Premium"))</f>
        <v/>
      </c>
    </row>
    <row r="110">
      <c r="A110" s="14" t="n">
        <v>99</v>
      </c>
      <c r="B110" s="7" t="inlineStr">
        <is>
          <t>Indah Jaya Hotel</t>
        </is>
      </c>
      <c r="C110" s="26" t="n">
        <v>-8.0250255</v>
      </c>
      <c r="D110" s="26" t="n">
        <v>112.4934779</v>
      </c>
      <c r="E110" s="21" t="n">
        <v>150000</v>
      </c>
      <c r="F110" s="27" t="n">
        <v>0</v>
      </c>
      <c r="G110" s="28" t="n">
        <v>0</v>
      </c>
      <c r="H110" s="14" t="inlineStr">
        <is>
          <t>N/A</t>
        </is>
      </c>
      <c r="I110" s="29">
        <f>6371 * 2 * ASIN(SQRT(SIN(RADIANS((C110) - INDEX('Dataset_Wisata'!$C$12:$C$622, MATCH('Dashboard'!$C$9, 'Dataset_Wisata'!$A$12:$A$622, 0)))/2)^2 + COS(RADIANS(INDEX('Dataset_Wisata'!$C$12:$C$622, MATCH('Dashboard'!$C$9, 'Dataset_Wisata'!$A$12:$A$622, 0)))) * COS(RADIANS(C110)) * SIN(RADIANS((D110) - INDEX('Dataset_Wisata'!$D$12:$D$622, MATCH('Dashboard'!$C$9, 'Dataset_Wisata'!$A$12:$A$622, 0)))/2)^2)) * 1.3</f>
        <v/>
      </c>
      <c r="J110" s="21">
        <f>ROUND(I110 * IF('Dashboard'!$C$6&lt;=1, 2250, IF('Dashboard'!$C$6&lt;=4, 5150, 6000)), 0)</f>
        <v/>
      </c>
      <c r="K110" s="30" t="n">
        <v>0.9236568385235482</v>
      </c>
      <c r="L110" s="30" t="n">
        <v>0.06736899151285153</v>
      </c>
      <c r="M110" s="30" t="n">
        <v>0.008974169963600275</v>
      </c>
      <c r="N110" s="31">
        <f>ABS(E110-$F$6)</f>
        <v/>
      </c>
      <c r="O110" s="31">
        <f>ABS(E110-$F$7)</f>
        <v/>
      </c>
      <c r="P110" s="31">
        <f>ABS(E110-$F$8)</f>
        <v/>
      </c>
      <c r="Q110" s="14">
        <f>IF(K110&gt;=MAX(L110,M110), "Hemat", IF(L110&gt;=M110, "Balanced", "Premium"))</f>
        <v/>
      </c>
      <c r="R110" s="30" t="n">
        <v>0.9236592327110943</v>
      </c>
      <c r="S110" s="30" t="n">
        <v>0.0673668524262508</v>
      </c>
      <c r="T110" s="30" t="n">
        <v>0.008973914862654904</v>
      </c>
      <c r="U110" s="31">
        <f>ABS(E110-$G$6)</f>
        <v/>
      </c>
      <c r="V110" s="31">
        <f>ABS(E110-$G$7)</f>
        <v/>
      </c>
      <c r="W110" s="31">
        <f>ABS(E110-$G$8)</f>
        <v/>
      </c>
      <c r="X110" s="14">
        <f>IF(R110&gt;=MAX(S110,T110), "Hemat", IF(S110&gt;=T110, "Balanced", "Premium"))</f>
        <v/>
      </c>
    </row>
    <row r="111">
      <c r="A111" s="14" t="n">
        <v>100</v>
      </c>
      <c r="B111" s="7" t="inlineStr">
        <is>
          <t>Penginapan Miki Gunung Kawi</t>
        </is>
      </c>
      <c r="C111" s="26" t="n">
        <v>-8.0262715</v>
      </c>
      <c r="D111" s="26" t="n">
        <v>112.4935084</v>
      </c>
      <c r="E111" s="21" t="n">
        <v>448998</v>
      </c>
      <c r="F111" s="27" t="n">
        <v>0</v>
      </c>
      <c r="G111" s="28" t="n">
        <v>0</v>
      </c>
      <c r="H111" s="14" t="inlineStr">
        <is>
          <t>N/A</t>
        </is>
      </c>
      <c r="I111" s="29">
        <f>6371 * 2 * ASIN(SQRT(SIN(RADIANS((C111) - INDEX('Dataset_Wisata'!$C$12:$C$622, MATCH('Dashboard'!$C$9, 'Dataset_Wisata'!$A$12:$A$622, 0)))/2)^2 + COS(RADIANS(INDEX('Dataset_Wisata'!$C$12:$C$622, MATCH('Dashboard'!$C$9, 'Dataset_Wisata'!$A$12:$A$622, 0)))) * COS(RADIANS(C111)) * SIN(RADIANS((D111) - INDEX('Dataset_Wisata'!$D$12:$D$622, MATCH('Dashboard'!$C$9, 'Dataset_Wisata'!$A$12:$A$622, 0)))/2)^2)) * 1.3</f>
        <v/>
      </c>
      <c r="J111" s="21">
        <f>ROUND(I111 * IF('Dashboard'!$C$6&lt;=1, 2250, IF('Dashboard'!$C$6&lt;=4, 5150, 6000)), 0)</f>
        <v/>
      </c>
      <c r="K111" s="30" t="n">
        <v>0.01286185467011022</v>
      </c>
      <c r="L111" s="30" t="n">
        <v>0.03271375712719303</v>
      </c>
      <c r="M111" s="30" t="n">
        <v>0.9544243882026968</v>
      </c>
      <c r="N111" s="31">
        <f>ABS(E111-$F$6)</f>
        <v/>
      </c>
      <c r="O111" s="31">
        <f>ABS(E111-$F$7)</f>
        <v/>
      </c>
      <c r="P111" s="31">
        <f>ABS(E111-$F$8)</f>
        <v/>
      </c>
      <c r="Q111" s="14">
        <f>IF(K111&gt;=MAX(L111,M111), "Hemat", IF(L111&gt;=M111, "Balanced", "Premium"))</f>
        <v/>
      </c>
      <c r="R111" s="30" t="n">
        <v>0.01286077281638395</v>
      </c>
      <c r="S111" s="30" t="n">
        <v>0.0327112069005825</v>
      </c>
      <c r="T111" s="30" t="n">
        <v>0.9544280202830335</v>
      </c>
      <c r="U111" s="31">
        <f>ABS(E111-$G$6)</f>
        <v/>
      </c>
      <c r="V111" s="31">
        <f>ABS(E111-$G$7)</f>
        <v/>
      </c>
      <c r="W111" s="31">
        <f>ABS(E111-$G$8)</f>
        <v/>
      </c>
      <c r="X111" s="14">
        <f>IF(R111&gt;=MAX(S111,T111), "Hemat", IF(S111&gt;=T111, "Balanced", "Premium"))</f>
        <v/>
      </c>
    </row>
    <row r="112">
      <c r="A112" s="14" t="n">
        <v>101</v>
      </c>
      <c r="B112" s="7" t="inlineStr">
        <is>
          <t>Lembah Indah Malang</t>
        </is>
      </c>
      <c r="C112" s="26" t="n">
        <v>-8.0010748</v>
      </c>
      <c r="D112" s="26" t="n">
        <v>112.4935456</v>
      </c>
      <c r="E112" s="21" t="n">
        <v>1078009</v>
      </c>
      <c r="F112" s="27" t="n">
        <v>0</v>
      </c>
      <c r="G112" s="28" t="n">
        <v>0</v>
      </c>
      <c r="H112" s="14" t="inlineStr">
        <is>
          <t>N/A</t>
        </is>
      </c>
      <c r="I112" s="29">
        <f>6371 * 2 * ASIN(SQRT(SIN(RADIANS((C112) - INDEX('Dataset_Wisata'!$C$12:$C$622, MATCH('Dashboard'!$C$9, 'Dataset_Wisata'!$A$12:$A$622, 0)))/2)^2 + COS(RADIANS(INDEX('Dataset_Wisata'!$C$12:$C$622, MATCH('Dashboard'!$C$9, 'Dataset_Wisata'!$A$12:$A$622, 0)))) * COS(RADIANS(C112)) * SIN(RADIANS((D112) - INDEX('Dataset_Wisata'!$D$12:$D$622, MATCH('Dashboard'!$C$9, 'Dataset_Wisata'!$A$12:$A$622, 0)))/2)^2)) * 1.3</f>
        <v/>
      </c>
      <c r="J112" s="21">
        <f>ROUND(I112 * IF('Dashboard'!$C$6&lt;=1, 2250, IF('Dashboard'!$C$6&lt;=4, 5150, 6000)), 0)</f>
        <v/>
      </c>
      <c r="K112" s="30" t="n">
        <v>0.01099302511247411</v>
      </c>
      <c r="L112" s="30" t="n">
        <v>0.01442396728972119</v>
      </c>
      <c r="M112" s="30" t="n">
        <v>0.02249704166330503</v>
      </c>
      <c r="N112" s="31">
        <f>ABS(E112-$F$6)</f>
        <v/>
      </c>
      <c r="O112" s="31">
        <f>ABS(E112-$F$7)</f>
        <v/>
      </c>
      <c r="P112" s="31">
        <f>ABS(E112-$F$8)</f>
        <v/>
      </c>
      <c r="Q112" s="14">
        <f>IF(K112&gt;=MAX(L112,M112), "Hemat", IF(L112&gt;=M112, "Balanced", "Premium"))</f>
        <v/>
      </c>
      <c r="R112" s="30" t="n">
        <v>0.01099303049346136</v>
      </c>
      <c r="S112" s="30" t="n">
        <v>0.0144239940834229</v>
      </c>
      <c r="T112" s="30" t="n">
        <v>0.02249715533666651</v>
      </c>
      <c r="U112" s="31">
        <f>ABS(E112-$G$6)</f>
        <v/>
      </c>
      <c r="V112" s="31">
        <f>ABS(E112-$G$7)</f>
        <v/>
      </c>
      <c r="W112" s="31">
        <f>ABS(E112-$G$8)</f>
        <v/>
      </c>
      <c r="X112" s="14">
        <f>IF(R112&gt;=MAX(S112,T112), "Hemat", IF(S112&gt;=T112, "Balanced", "Premium"))</f>
        <v/>
      </c>
    </row>
    <row r="113">
      <c r="A113" s="14" t="n">
        <v>102</v>
      </c>
      <c r="B113" s="7" t="inlineStr">
        <is>
          <t>Rayz UMM Hotel Malang</t>
        </is>
      </c>
      <c r="C113" s="26" t="n">
        <v>-7.9207769</v>
      </c>
      <c r="D113" s="26" t="n">
        <v>112.593717</v>
      </c>
      <c r="E113" s="21" t="n">
        <v>510768</v>
      </c>
      <c r="F113" s="27" t="n">
        <v>0</v>
      </c>
      <c r="G113" s="28" t="n">
        <v>0</v>
      </c>
      <c r="H113" s="14" t="inlineStr">
        <is>
          <t>N/A</t>
        </is>
      </c>
      <c r="I113" s="29">
        <f>6371 * 2 * ASIN(SQRT(SIN(RADIANS((C113) - INDEX('Dataset_Wisata'!$C$12:$C$622, MATCH('Dashboard'!$C$9, 'Dataset_Wisata'!$A$12:$A$622, 0)))/2)^2 + COS(RADIANS(INDEX('Dataset_Wisata'!$C$12:$C$622, MATCH('Dashboard'!$C$9, 'Dataset_Wisata'!$A$12:$A$622, 0)))) * COS(RADIANS(C113)) * SIN(RADIANS((D113) - INDEX('Dataset_Wisata'!$D$12:$D$622, MATCH('Dashboard'!$C$9, 'Dataset_Wisata'!$A$12:$A$622, 0)))/2)^2)) * 1.3</f>
        <v/>
      </c>
      <c r="J113" s="21">
        <f>ROUND(I113 * IF('Dashboard'!$C$6&lt;=1, 2250, IF('Dashboard'!$C$6&lt;=4, 5150, 6000)), 0)</f>
        <v/>
      </c>
      <c r="K113" s="30" t="n">
        <v>0.05488196229423474</v>
      </c>
      <c r="L113" s="30" t="n">
        <v>0.1164077111146679</v>
      </c>
      <c r="M113" s="30" t="n">
        <v>0.8287103265910974</v>
      </c>
      <c r="N113" s="31">
        <f>ABS(E113-$F$6)</f>
        <v/>
      </c>
      <c r="O113" s="31">
        <f>ABS(E113-$F$7)</f>
        <v/>
      </c>
      <c r="P113" s="31">
        <f>ABS(E113-$F$8)</f>
        <v/>
      </c>
      <c r="Q113" s="14">
        <f>IF(K113&gt;=MAX(L113,M113), "Hemat", IF(L113&gt;=M113, "Balanced", "Premium"))</f>
        <v/>
      </c>
      <c r="R113" s="30" t="n">
        <v>0.05488044739571916</v>
      </c>
      <c r="S113" s="30" t="n">
        <v>0.1164050357164148</v>
      </c>
      <c r="T113" s="30" t="n">
        <v>0.8287145168878661</v>
      </c>
      <c r="U113" s="31">
        <f>ABS(E113-$G$6)</f>
        <v/>
      </c>
      <c r="V113" s="31">
        <f>ABS(E113-$G$7)</f>
        <v/>
      </c>
      <c r="W113" s="31">
        <f>ABS(E113-$G$8)</f>
        <v/>
      </c>
      <c r="X113" s="14">
        <f>IF(R113&gt;=MAX(S113,T113), "Hemat", IF(S113&gt;=T113, "Balanced", "Premium"))</f>
        <v/>
      </c>
    </row>
    <row r="114">
      <c r="A114" s="14" t="n">
        <v>103</v>
      </c>
      <c r="B114" s="7" t="inlineStr">
        <is>
          <t>Ador 46 Homestay Syariah &amp; Kost Harian Kota Malang</t>
        </is>
      </c>
      <c r="C114" s="26" t="n">
        <v>-7.9803697</v>
      </c>
      <c r="D114" s="26" t="n">
        <v>112.5993504</v>
      </c>
      <c r="E114" s="21" t="n">
        <v>70000</v>
      </c>
      <c r="F114" s="27" t="n">
        <v>0</v>
      </c>
      <c r="G114" s="28" t="n">
        <v>0</v>
      </c>
      <c r="H114" s="14" t="inlineStr">
        <is>
          <t>N/A</t>
        </is>
      </c>
      <c r="I114" s="29">
        <f>6371 * 2 * ASIN(SQRT(SIN(RADIANS((C114) - INDEX('Dataset_Wisata'!$C$12:$C$622, MATCH('Dashboard'!$C$9, 'Dataset_Wisata'!$A$12:$A$622, 0)))/2)^2 + COS(RADIANS(INDEX('Dataset_Wisata'!$C$12:$C$622, MATCH('Dashboard'!$C$9, 'Dataset_Wisata'!$A$12:$A$622, 0)))) * COS(RADIANS(C114)) * SIN(RADIANS((D114) - INDEX('Dataset_Wisata'!$D$12:$D$622, MATCH('Dashboard'!$C$9, 'Dataset_Wisata'!$A$12:$A$622, 0)))/2)^2)) * 1.3</f>
        <v/>
      </c>
      <c r="J114" s="21">
        <f>ROUND(I114 * IF('Dashboard'!$C$6&lt;=1, 2250, IF('Dashboard'!$C$6&lt;=4, 5150, 6000)), 0)</f>
        <v/>
      </c>
      <c r="K114" s="30" t="n">
        <v>0.8921119122661371</v>
      </c>
      <c r="L114" s="30" t="n">
        <v>0.08535328907191304</v>
      </c>
      <c r="M114" s="30" t="n">
        <v>0.02253479866194994</v>
      </c>
      <c r="N114" s="31">
        <f>ABS(E114-$F$6)</f>
        <v/>
      </c>
      <c r="O114" s="31">
        <f>ABS(E114-$F$7)</f>
        <v/>
      </c>
      <c r="P114" s="31">
        <f>ABS(E114-$F$8)</f>
        <v/>
      </c>
      <c r="Q114" s="14">
        <f>IF(K114&gt;=MAX(L114,M114), "Hemat", IF(L114&gt;=M114, "Balanced", "Premium"))</f>
        <v/>
      </c>
      <c r="R114" s="30" t="n">
        <v>0.8921119538939932</v>
      </c>
      <c r="S114" s="30" t="n">
        <v>0.08535327487051378</v>
      </c>
      <c r="T114" s="30" t="n">
        <v>0.02253477123549305</v>
      </c>
      <c r="U114" s="31">
        <f>ABS(E114-$G$6)</f>
        <v/>
      </c>
      <c r="V114" s="31">
        <f>ABS(E114-$G$7)</f>
        <v/>
      </c>
      <c r="W114" s="31">
        <f>ABS(E114-$G$8)</f>
        <v/>
      </c>
      <c r="X114" s="14">
        <f>IF(R114&gt;=MAX(S114,T114), "Hemat", IF(S114&gt;=T114, "Balanced", "Premium"))</f>
        <v/>
      </c>
    </row>
    <row r="115">
      <c r="A115" s="14" t="n">
        <v>104</v>
      </c>
      <c r="B115" s="7" t="inlineStr">
        <is>
          <t>Dahlia Homestay Syariah</t>
        </is>
      </c>
      <c r="C115" s="26" t="n">
        <v>-7.9130631</v>
      </c>
      <c r="D115" s="26" t="n">
        <v>112.584605</v>
      </c>
      <c r="E115" s="21" t="n">
        <v>115000</v>
      </c>
      <c r="F115" s="27" t="n">
        <v>0</v>
      </c>
      <c r="G115" s="28" t="n">
        <v>0</v>
      </c>
      <c r="H115" s="14" t="inlineStr">
        <is>
          <t>N/A</t>
        </is>
      </c>
      <c r="I115" s="29">
        <f>6371 * 2 * ASIN(SQRT(SIN(RADIANS((C115) - INDEX('Dataset_Wisata'!$C$12:$C$622, MATCH('Dashboard'!$C$9, 'Dataset_Wisata'!$A$12:$A$622, 0)))/2)^2 + COS(RADIANS(INDEX('Dataset_Wisata'!$C$12:$C$622, MATCH('Dashboard'!$C$9, 'Dataset_Wisata'!$A$12:$A$622, 0)))) * COS(RADIANS(C115)) * SIN(RADIANS((D115) - INDEX('Dataset_Wisata'!$D$12:$D$622, MATCH('Dashboard'!$C$9, 'Dataset_Wisata'!$A$12:$A$622, 0)))/2)^2)) * 1.3</f>
        <v/>
      </c>
      <c r="J115" s="21">
        <f>ROUND(I115 * IF('Dashboard'!$C$6&lt;=1, 2250, IF('Dashboard'!$C$6&lt;=4, 5150, 6000)), 0)</f>
        <v/>
      </c>
      <c r="K115" s="30" t="n">
        <v>0.9940347157651965</v>
      </c>
      <c r="L115" s="30" t="n">
        <v>0.004997762539716297</v>
      </c>
      <c r="M115" s="30" t="n">
        <v>0.0009675216950871589</v>
      </c>
      <c r="N115" s="31">
        <f>ABS(E115-$F$6)</f>
        <v/>
      </c>
      <c r="O115" s="31">
        <f>ABS(E115-$F$7)</f>
        <v/>
      </c>
      <c r="P115" s="31">
        <f>ABS(E115-$F$8)</f>
        <v/>
      </c>
      <c r="Q115" s="14">
        <f>IF(K115&gt;=MAX(L115,M115), "Hemat", IF(L115&gt;=M115, "Balanced", "Premium"))</f>
        <v/>
      </c>
      <c r="R115" s="30" t="n">
        <v>0.9940344861646075</v>
      </c>
      <c r="S115" s="30" t="n">
        <v>0.004997954499979283</v>
      </c>
      <c r="T115" s="30" t="n">
        <v>0.0009675593354131262</v>
      </c>
      <c r="U115" s="31">
        <f>ABS(E115-$G$6)</f>
        <v/>
      </c>
      <c r="V115" s="31">
        <f>ABS(E115-$G$7)</f>
        <v/>
      </c>
      <c r="W115" s="31">
        <f>ABS(E115-$G$8)</f>
        <v/>
      </c>
      <c r="X115" s="14">
        <f>IF(R115&gt;=MAX(S115,T115), "Hemat", IF(S115&gt;=T115, "Balanced", "Premium"))</f>
        <v/>
      </c>
    </row>
    <row r="116">
      <c r="A116" s="14" t="n">
        <v>105</v>
      </c>
      <c r="B116" s="7" t="inlineStr">
        <is>
          <t>Hotel Radho Syariah malang</t>
        </is>
      </c>
      <c r="C116" s="26" t="n">
        <v>-7.91585</v>
      </c>
      <c r="D116" s="26" t="n">
        <v>112.5869394</v>
      </c>
      <c r="E116" s="21" t="n">
        <v>160000</v>
      </c>
      <c r="F116" s="27" t="n">
        <v>0</v>
      </c>
      <c r="G116" s="28" t="n">
        <v>0</v>
      </c>
      <c r="H116" s="14" t="inlineStr">
        <is>
          <t>N/A</t>
        </is>
      </c>
      <c r="I116" s="29">
        <f>6371 * 2 * ASIN(SQRT(SIN(RADIANS((C116) - INDEX('Dataset_Wisata'!$C$12:$C$622, MATCH('Dashboard'!$C$9, 'Dataset_Wisata'!$A$12:$A$622, 0)))/2)^2 + COS(RADIANS(INDEX('Dataset_Wisata'!$C$12:$C$622, MATCH('Dashboard'!$C$9, 'Dataset_Wisata'!$A$12:$A$622, 0)))) * COS(RADIANS(C116)) * SIN(RADIANS((D116) - INDEX('Dataset_Wisata'!$D$12:$D$622, MATCH('Dashboard'!$C$9, 'Dataset_Wisata'!$A$12:$A$622, 0)))/2)^2)) * 1.3</f>
        <v/>
      </c>
      <c r="J116" s="21">
        <f>ROUND(I116 * IF('Dashboard'!$C$6&lt;=1, 2250, IF('Dashboard'!$C$6&lt;=4, 5150, 6000)), 0)</f>
        <v/>
      </c>
      <c r="K116" s="30" t="n">
        <v>0.83634730863673</v>
      </c>
      <c r="L116" s="30" t="n">
        <v>0.146720811122086</v>
      </c>
      <c r="M116" s="30" t="n">
        <v>0.01693188024118406</v>
      </c>
      <c r="N116" s="31">
        <f>ABS(E116-$F$6)</f>
        <v/>
      </c>
      <c r="O116" s="31">
        <f>ABS(E116-$F$7)</f>
        <v/>
      </c>
      <c r="P116" s="31">
        <f>ABS(E116-$F$8)</f>
        <v/>
      </c>
      <c r="Q116" s="14">
        <f>IF(K116&gt;=MAX(L116,M116), "Hemat", IF(L116&gt;=M116, "Balanced", "Premium"))</f>
        <v/>
      </c>
      <c r="R116" s="30" t="n">
        <v>0.8363515087539969</v>
      </c>
      <c r="S116" s="30" t="n">
        <v>0.1467169740240282</v>
      </c>
      <c r="T116" s="30" t="n">
        <v>0.01693151722197492</v>
      </c>
      <c r="U116" s="31">
        <f>ABS(E116-$G$6)</f>
        <v/>
      </c>
      <c r="V116" s="31">
        <f>ABS(E116-$G$7)</f>
        <v/>
      </c>
      <c r="W116" s="31">
        <f>ABS(E116-$G$8)</f>
        <v/>
      </c>
      <c r="X116" s="14">
        <f>IF(R116&gt;=MAX(S116,T116), "Hemat", IF(S116&gt;=T116, "Balanced", "Premium"))</f>
        <v/>
      </c>
    </row>
    <row r="117">
      <c r="A117" s="14" t="n">
        <v>106</v>
      </c>
      <c r="B117" s="7" t="inlineStr">
        <is>
          <t>Nusa Indah Homestay</t>
        </is>
      </c>
      <c r="C117" s="26" t="n">
        <v>-7.9085214</v>
      </c>
      <c r="D117" s="26" t="n">
        <v>112.5385739</v>
      </c>
      <c r="E117" s="21" t="n">
        <v>203547</v>
      </c>
      <c r="F117" s="27" t="n">
        <v>0</v>
      </c>
      <c r="G117" s="28" t="n">
        <v>0</v>
      </c>
      <c r="H117" s="14" t="inlineStr">
        <is>
          <t>N/A</t>
        </is>
      </c>
      <c r="I117" s="29">
        <f>6371 * 2 * ASIN(SQRT(SIN(RADIANS((C117) - INDEX('Dataset_Wisata'!$C$12:$C$622, MATCH('Dashboard'!$C$9, 'Dataset_Wisata'!$A$12:$A$622, 0)))/2)^2 + COS(RADIANS(INDEX('Dataset_Wisata'!$C$12:$C$622, MATCH('Dashboard'!$C$9, 'Dataset_Wisata'!$A$12:$A$622, 0)))) * COS(RADIANS(C117)) * SIN(RADIANS((D117) - INDEX('Dataset_Wisata'!$D$12:$D$622, MATCH('Dashboard'!$C$9, 'Dataset_Wisata'!$A$12:$A$622, 0)))/2)^2)) * 1.3</f>
        <v/>
      </c>
      <c r="J117" s="21">
        <f>ROUND(I117 * IF('Dashboard'!$C$6&lt;=1, 2250, IF('Dashboard'!$C$6&lt;=4, 5150, 6000)), 0)</f>
        <v/>
      </c>
      <c r="K117" s="30" t="n">
        <v>0.2109073559557238</v>
      </c>
      <c r="L117" s="30" t="n">
        <v>0.7583612099617381</v>
      </c>
      <c r="M117" s="30" t="n">
        <v>0.0307314340825381</v>
      </c>
      <c r="N117" s="31">
        <f>ABS(E117-$F$6)</f>
        <v/>
      </c>
      <c r="O117" s="31">
        <f>ABS(E117-$F$7)</f>
        <v/>
      </c>
      <c r="P117" s="31">
        <f>ABS(E117-$F$8)</f>
        <v/>
      </c>
      <c r="Q117" s="14">
        <f>IF(K117&gt;=MAX(L117,M117), "Hemat", IF(L117&gt;=M117, "Balanced", "Premium"))</f>
        <v/>
      </c>
      <c r="R117" s="30" t="n">
        <v>0.2109143561168691</v>
      </c>
      <c r="S117" s="30" t="n">
        <v>0.7583538690523497</v>
      </c>
      <c r="T117" s="30" t="n">
        <v>0.03073177483078118</v>
      </c>
      <c r="U117" s="31">
        <f>ABS(E117-$G$6)</f>
        <v/>
      </c>
      <c r="V117" s="31">
        <f>ABS(E117-$G$7)</f>
        <v/>
      </c>
      <c r="W117" s="31">
        <f>ABS(E117-$G$8)</f>
        <v/>
      </c>
      <c r="X117" s="14">
        <f>IF(R117&gt;=MAX(S117,T117), "Hemat", IF(S117&gt;=T117, "Balanced", "Premium"))</f>
        <v/>
      </c>
    </row>
    <row r="118">
      <c r="A118" s="14" t="n">
        <v>107</v>
      </c>
      <c r="B118" s="7" t="inlineStr">
        <is>
          <t>Lovina Inn Batu</t>
        </is>
      </c>
      <c r="C118" s="26" t="n">
        <v>-7.9151623</v>
      </c>
      <c r="D118" s="26" t="n">
        <v>112.5386075</v>
      </c>
      <c r="E118" s="21" t="n">
        <v>250000</v>
      </c>
      <c r="F118" s="27" t="n">
        <v>0</v>
      </c>
      <c r="G118" s="28" t="n">
        <v>0</v>
      </c>
      <c r="H118" s="14" t="inlineStr">
        <is>
          <t>N/A</t>
        </is>
      </c>
      <c r="I118" s="29">
        <f>6371 * 2 * ASIN(SQRT(SIN(RADIANS((C118) - INDEX('Dataset_Wisata'!$C$12:$C$622, MATCH('Dashboard'!$C$9, 'Dataset_Wisata'!$A$12:$A$622, 0)))/2)^2 + COS(RADIANS(INDEX('Dataset_Wisata'!$C$12:$C$622, MATCH('Dashboard'!$C$9, 'Dataset_Wisata'!$A$12:$A$622, 0)))) * COS(RADIANS(C118)) * SIN(RADIANS((D118) - INDEX('Dataset_Wisata'!$D$12:$D$622, MATCH('Dashboard'!$C$9, 'Dataset_Wisata'!$A$12:$A$622, 0)))/2)^2)) * 1.3</f>
        <v/>
      </c>
      <c r="J118" s="21">
        <f>ROUND(I118 * IF('Dashboard'!$C$6&lt;=1, 2250, IF('Dashboard'!$C$6&lt;=4, 5150, 6000)), 0)</f>
        <v/>
      </c>
      <c r="K118" s="30" t="n">
        <v>0.001353558595276529</v>
      </c>
      <c r="L118" s="30" t="n">
        <v>0.9978236799136749</v>
      </c>
      <c r="M118" s="30" t="n">
        <v>0.0008227614910485521</v>
      </c>
      <c r="N118" s="31">
        <f>ABS(E118-$F$6)</f>
        <v/>
      </c>
      <c r="O118" s="31">
        <f>ABS(E118-$F$7)</f>
        <v/>
      </c>
      <c r="P118" s="31">
        <f>ABS(E118-$F$8)</f>
        <v/>
      </c>
      <c r="Q118" s="14">
        <f>IF(K118&gt;=MAX(L118,M118), "Hemat", IF(L118&gt;=M118, "Balanced", "Premium"))</f>
        <v/>
      </c>
      <c r="R118" s="30" t="n">
        <v>0.001353112652701395</v>
      </c>
      <c r="S118" s="30" t="n">
        <v>0.9978244171537111</v>
      </c>
      <c r="T118" s="30" t="n">
        <v>0.0008224701935875775</v>
      </c>
      <c r="U118" s="31">
        <f>ABS(E118-$G$6)</f>
        <v/>
      </c>
      <c r="V118" s="31">
        <f>ABS(E118-$G$7)</f>
        <v/>
      </c>
      <c r="W118" s="31">
        <f>ABS(E118-$G$8)</f>
        <v/>
      </c>
      <c r="X118" s="14">
        <f>IF(R118&gt;=MAX(S118,T118), "Hemat", IF(S118&gt;=T118, "Balanced", "Premium"))</f>
        <v/>
      </c>
    </row>
    <row r="119">
      <c r="A119" s="14" t="n">
        <v>108</v>
      </c>
      <c r="B119" s="7" t="inlineStr">
        <is>
          <t>Mitra Guest House Syariah</t>
        </is>
      </c>
      <c r="C119" s="26" t="n">
        <v>-7.901089</v>
      </c>
      <c r="D119" s="26" t="n">
        <v>112.5587072</v>
      </c>
      <c r="E119" s="21" t="n">
        <v>151271</v>
      </c>
      <c r="F119" s="27" t="n">
        <v>0</v>
      </c>
      <c r="G119" s="28" t="n">
        <v>0</v>
      </c>
      <c r="H119" s="14" t="inlineStr">
        <is>
          <t>N/A</t>
        </is>
      </c>
      <c r="I119" s="29">
        <f>6371 * 2 * ASIN(SQRT(SIN(RADIANS((C119) - INDEX('Dataset_Wisata'!$C$12:$C$622, MATCH('Dashboard'!$C$9, 'Dataset_Wisata'!$A$12:$A$622, 0)))/2)^2 + COS(RADIANS(INDEX('Dataset_Wisata'!$C$12:$C$622, MATCH('Dashboard'!$C$9, 'Dataset_Wisata'!$A$12:$A$622, 0)))) * COS(RADIANS(C119)) * SIN(RADIANS((D119) - INDEX('Dataset_Wisata'!$D$12:$D$622, MATCH('Dashboard'!$C$9, 'Dataset_Wisata'!$A$12:$A$622, 0)))/2)^2)) * 1.3</f>
        <v/>
      </c>
      <c r="J119" s="21">
        <f>ROUND(I119 * IF('Dashboard'!$C$6&lt;=1, 2250, IF('Dashboard'!$C$6&lt;=4, 5150, 6000)), 0)</f>
        <v/>
      </c>
      <c r="K119" s="30" t="n">
        <v>0.9146611475789964</v>
      </c>
      <c r="L119" s="30" t="n">
        <v>0.07545746414960908</v>
      </c>
      <c r="M119" s="30" t="n">
        <v>0.00988138827139453</v>
      </c>
      <c r="N119" s="31">
        <f>ABS(E119-$F$6)</f>
        <v/>
      </c>
      <c r="O119" s="31">
        <f>ABS(E119-$F$7)</f>
        <v/>
      </c>
      <c r="P119" s="31">
        <f>ABS(E119-$F$8)</f>
        <v/>
      </c>
      <c r="Q119" s="14">
        <f>IF(K119&gt;=MAX(L119,M119), "Hemat", IF(L119&gt;=M119, "Balanced", "Premium"))</f>
        <v/>
      </c>
      <c r="R119" s="30" t="n">
        <v>0.9146637474247109</v>
      </c>
      <c r="S119" s="30" t="n">
        <v>0.07545513491964624</v>
      </c>
      <c r="T119" s="30" t="n">
        <v>0.009881117655642832</v>
      </c>
      <c r="U119" s="31">
        <f>ABS(E119-$G$6)</f>
        <v/>
      </c>
      <c r="V119" s="31">
        <f>ABS(E119-$G$7)</f>
        <v/>
      </c>
      <c r="W119" s="31">
        <f>ABS(E119-$G$8)</f>
        <v/>
      </c>
      <c r="X119" s="14">
        <f>IF(R119&gt;=MAX(S119,T119), "Hemat", IF(S119&gt;=T119, "Balanced", "Premium"))</f>
        <v/>
      </c>
    </row>
    <row r="120">
      <c r="A120" s="14" t="n">
        <v>109</v>
      </c>
      <c r="B120" s="7" t="inlineStr">
        <is>
          <t>RINDANG Glamping</t>
        </is>
      </c>
      <c r="C120" s="26" t="n">
        <v>-7.9167439</v>
      </c>
      <c r="D120" s="26" t="n">
        <v>112.5328379</v>
      </c>
      <c r="E120" s="21" t="n">
        <v>1129873</v>
      </c>
      <c r="F120" s="27" t="n">
        <v>0</v>
      </c>
      <c r="G120" s="28" t="n">
        <v>0</v>
      </c>
      <c r="H120" s="14" t="inlineStr">
        <is>
          <t>N/A</t>
        </is>
      </c>
      <c r="I120" s="29">
        <f>6371 * 2 * ASIN(SQRT(SIN(RADIANS((C120) - INDEX('Dataset_Wisata'!$C$12:$C$622, MATCH('Dashboard'!$C$9, 'Dataset_Wisata'!$A$12:$A$622, 0)))/2)^2 + COS(RADIANS(INDEX('Dataset_Wisata'!$C$12:$C$622, MATCH('Dashboard'!$C$9, 'Dataset_Wisata'!$A$12:$A$622, 0)))) * COS(RADIANS(C120)) * SIN(RADIANS((D120) - INDEX('Dataset_Wisata'!$D$12:$D$622, MATCH('Dashboard'!$C$9, 'Dataset_Wisata'!$A$12:$A$622, 0)))/2)^2)) * 1.3</f>
        <v/>
      </c>
      <c r="J120" s="21">
        <f>ROUND(I120 * IF('Dashboard'!$C$6&lt;=1, 2250, IF('Dashboard'!$C$6&lt;=4, 5150, 6000)), 0)</f>
        <v/>
      </c>
      <c r="K120" s="30" t="n">
        <v>0.00988836310751179</v>
      </c>
      <c r="L120" s="30" t="n">
        <v>0.01278202640003074</v>
      </c>
      <c r="M120" s="30" t="n">
        <v>0.01936673452785728</v>
      </c>
      <c r="N120" s="31">
        <f>ABS(E120-$F$6)</f>
        <v/>
      </c>
      <c r="O120" s="31">
        <f>ABS(E120-$F$7)</f>
        <v/>
      </c>
      <c r="P120" s="31">
        <f>ABS(E120-$F$8)</f>
        <v/>
      </c>
      <c r="Q120" s="14">
        <f>IF(K120&gt;=MAX(L120,M120), "Hemat", IF(L120&gt;=M120, "Balanced", "Premium"))</f>
        <v/>
      </c>
      <c r="R120" s="30" t="n">
        <v>0.009888367698146468</v>
      </c>
      <c r="S120" s="30" t="n">
        <v>0.01278204875145255</v>
      </c>
      <c r="T120" s="30" t="n">
        <v>0.0193668253214213</v>
      </c>
      <c r="U120" s="31">
        <f>ABS(E120-$G$6)</f>
        <v/>
      </c>
      <c r="V120" s="31">
        <f>ABS(E120-$G$7)</f>
        <v/>
      </c>
      <c r="W120" s="31">
        <f>ABS(E120-$G$8)</f>
        <v/>
      </c>
      <c r="X120" s="14">
        <f>IF(R120&gt;=MAX(S120,T120), "Hemat", IF(S120&gt;=T120, "Balanced", "Premium"))</f>
        <v/>
      </c>
    </row>
    <row r="121">
      <c r="A121" s="14" t="n">
        <v>110</v>
      </c>
      <c r="B121" s="7" t="inlineStr">
        <is>
          <t>Urbanview Hotel Ling near Jawa Timur Park 2</t>
        </is>
      </c>
      <c r="C121" s="26" t="n">
        <v>-7.8958482</v>
      </c>
      <c r="D121" s="26" t="n">
        <v>112.5330614</v>
      </c>
      <c r="E121" s="21" t="n">
        <v>133002</v>
      </c>
      <c r="F121" s="27" t="n">
        <v>0</v>
      </c>
      <c r="G121" s="28" t="n">
        <v>0</v>
      </c>
      <c r="H121" s="14" t="inlineStr">
        <is>
          <t>N/A</t>
        </is>
      </c>
      <c r="I121" s="29">
        <f>6371 * 2 * ASIN(SQRT(SIN(RADIANS((C121) - INDEX('Dataset_Wisata'!$C$12:$C$622, MATCH('Dashboard'!$C$9, 'Dataset_Wisata'!$A$12:$A$622, 0)))/2)^2 + COS(RADIANS(INDEX('Dataset_Wisata'!$C$12:$C$622, MATCH('Dashboard'!$C$9, 'Dataset_Wisata'!$A$12:$A$622, 0)))) * COS(RADIANS(C121)) * SIN(RADIANS((D121) - INDEX('Dataset_Wisata'!$D$12:$D$622, MATCH('Dashboard'!$C$9, 'Dataset_Wisata'!$A$12:$A$622, 0)))/2)^2)) * 1.3</f>
        <v/>
      </c>
      <c r="J121" s="21">
        <f>ROUND(I121 * IF('Dashboard'!$C$6&lt;=1, 2250, IF('Dashboard'!$C$6&lt;=4, 5150, 6000)), 0)</f>
        <v/>
      </c>
      <c r="K121" s="30" t="n">
        <v>0.9929842937615578</v>
      </c>
      <c r="L121" s="30" t="n">
        <v>0.006032287070679394</v>
      </c>
      <c r="M121" s="30" t="n">
        <v>0.0009834191677627613</v>
      </c>
      <c r="N121" s="31">
        <f>ABS(E121-$F$6)</f>
        <v/>
      </c>
      <c r="O121" s="31">
        <f>ABS(E121-$F$7)</f>
        <v/>
      </c>
      <c r="P121" s="31">
        <f>ABS(E121-$F$8)</f>
        <v/>
      </c>
      <c r="Q121" s="14">
        <f>IF(K121&gt;=MAX(L121,M121), "Hemat", IF(L121&gt;=M121, "Balanced", "Premium"))</f>
        <v/>
      </c>
      <c r="R121" s="30" t="n">
        <v>0.9929847593809392</v>
      </c>
      <c r="S121" s="30" t="n">
        <v>0.006031885315566262</v>
      </c>
      <c r="T121" s="30" t="n">
        <v>0.0009833553034944409</v>
      </c>
      <c r="U121" s="31">
        <f>ABS(E121-$G$6)</f>
        <v/>
      </c>
      <c r="V121" s="31">
        <f>ABS(E121-$G$7)</f>
        <v/>
      </c>
      <c r="W121" s="31">
        <f>ABS(E121-$G$8)</f>
        <v/>
      </c>
      <c r="X121" s="14">
        <f>IF(R121&gt;=MAX(S121,T121), "Hemat", IF(S121&gt;=T121, "Balanced", "Premium"))</f>
        <v/>
      </c>
    </row>
    <row r="122">
      <c r="A122" s="14" t="n">
        <v>111</v>
      </c>
      <c r="B122" s="7" t="inlineStr">
        <is>
          <t>Super OYO 604 Cemara's Homestay</t>
        </is>
      </c>
      <c r="C122" s="26" t="n">
        <v>-7.8959831</v>
      </c>
      <c r="D122" s="26" t="n">
        <v>112.5338066</v>
      </c>
      <c r="E122" s="21" t="n">
        <v>182496</v>
      </c>
      <c r="F122" s="27" t="n">
        <v>0</v>
      </c>
      <c r="G122" s="28" t="n">
        <v>0</v>
      </c>
      <c r="H122" s="14" t="inlineStr">
        <is>
          <t>N/A</t>
        </is>
      </c>
      <c r="I122" s="29">
        <f>6371 * 2 * ASIN(SQRT(SIN(RADIANS((C122) - INDEX('Dataset_Wisata'!$C$12:$C$622, MATCH('Dashboard'!$C$9, 'Dataset_Wisata'!$A$12:$A$622, 0)))/2)^2 + COS(RADIANS(INDEX('Dataset_Wisata'!$C$12:$C$622, MATCH('Dashboard'!$C$9, 'Dataset_Wisata'!$A$12:$A$622, 0)))) * COS(RADIANS(C122)) * SIN(RADIANS((D122) - INDEX('Dataset_Wisata'!$D$12:$D$622, MATCH('Dashboard'!$C$9, 'Dataset_Wisata'!$A$12:$A$622, 0)))/2)^2)) * 1.3</f>
        <v/>
      </c>
      <c r="J122" s="21">
        <f>ROUND(I122 * IF('Dashboard'!$C$6&lt;=1, 2250, IF('Dashboard'!$C$6&lt;=4, 5150, 6000)), 0)</f>
        <v/>
      </c>
      <c r="K122" s="30" t="n">
        <v>0.5199544152168658</v>
      </c>
      <c r="L122" s="30" t="n">
        <v>0.4463428067307326</v>
      </c>
      <c r="M122" s="30" t="n">
        <v>0.03370277805240156</v>
      </c>
      <c r="N122" s="31">
        <f>ABS(E122-$F$6)</f>
        <v/>
      </c>
      <c r="O122" s="31">
        <f>ABS(E122-$F$7)</f>
        <v/>
      </c>
      <c r="P122" s="31">
        <f>ABS(E122-$F$8)</f>
        <v/>
      </c>
      <c r="Q122" s="14">
        <f>IF(K122&gt;=MAX(L122,M122), "Hemat", IF(L122&gt;=M122, "Balanced", "Premium"))</f>
        <v/>
      </c>
      <c r="R122" s="30" t="n">
        <v>0.5199623828731633</v>
      </c>
      <c r="S122" s="30" t="n">
        <v>0.4463350889524881</v>
      </c>
      <c r="T122" s="30" t="n">
        <v>0.03370252817434855</v>
      </c>
      <c r="U122" s="31">
        <f>ABS(E122-$G$6)</f>
        <v/>
      </c>
      <c r="V122" s="31">
        <f>ABS(E122-$G$7)</f>
        <v/>
      </c>
      <c r="W122" s="31">
        <f>ABS(E122-$G$8)</f>
        <v/>
      </c>
      <c r="X122" s="14">
        <f>IF(R122&gt;=MAX(S122,T122), "Hemat", IF(S122&gt;=T122, "Balanced", "Premium"))</f>
        <v/>
      </c>
    </row>
    <row r="123">
      <c r="A123" s="14" t="n">
        <v>112</v>
      </c>
      <c r="B123" s="7" t="inlineStr">
        <is>
          <t>Sinergi Hotel dan Villa</t>
        </is>
      </c>
      <c r="C123" s="26" t="n">
        <v>-7.9172974</v>
      </c>
      <c r="D123" s="26" t="n">
        <v>112.5672284</v>
      </c>
      <c r="E123" s="21" t="n">
        <v>396694</v>
      </c>
      <c r="F123" s="27" t="n">
        <v>0</v>
      </c>
      <c r="G123" s="28" t="n">
        <v>0</v>
      </c>
      <c r="H123" s="14" t="inlineStr">
        <is>
          <t>N/A</t>
        </is>
      </c>
      <c r="I123" s="29">
        <f>6371 * 2 * ASIN(SQRT(SIN(RADIANS((C123) - INDEX('Dataset_Wisata'!$C$12:$C$622, MATCH('Dashboard'!$C$9, 'Dataset_Wisata'!$A$12:$A$622, 0)))/2)^2 + COS(RADIANS(INDEX('Dataset_Wisata'!$C$12:$C$622, MATCH('Dashboard'!$C$9, 'Dataset_Wisata'!$A$12:$A$622, 0)))) * COS(RADIANS(C123)) * SIN(RADIANS((D123) - INDEX('Dataset_Wisata'!$D$12:$D$622, MATCH('Dashboard'!$C$9, 'Dataset_Wisata'!$A$12:$A$622, 0)))/2)^2)) * 1.3</f>
        <v/>
      </c>
      <c r="J123" s="21">
        <f>ROUND(I123 * IF('Dashboard'!$C$6&lt;=1, 2250, IF('Dashboard'!$C$6&lt;=4, 5150, 6000)), 0)</f>
        <v/>
      </c>
      <c r="K123" s="30" t="n">
        <v>0.002838825913472611</v>
      </c>
      <c r="L123" s="30" t="n">
        <v>0.009202102453848978</v>
      </c>
      <c r="M123" s="30" t="n">
        <v>0.9879590716326785</v>
      </c>
      <c r="N123" s="31">
        <f>ABS(E123-$F$6)</f>
        <v/>
      </c>
      <c r="O123" s="31">
        <f>ABS(E123-$F$7)</f>
        <v/>
      </c>
      <c r="P123" s="31">
        <f>ABS(E123-$F$8)</f>
        <v/>
      </c>
      <c r="Q123" s="14">
        <f>IF(K123&gt;=MAX(L123,M123), "Hemat", IF(L123&gt;=M123, "Balanced", "Premium"))</f>
        <v/>
      </c>
      <c r="R123" s="30" t="n">
        <v>0.002839477467543922</v>
      </c>
      <c r="S123" s="30" t="n">
        <v>0.009204292782092786</v>
      </c>
      <c r="T123" s="30" t="n">
        <v>0.9879562297503633</v>
      </c>
      <c r="U123" s="31">
        <f>ABS(E123-$G$6)</f>
        <v/>
      </c>
      <c r="V123" s="31">
        <f>ABS(E123-$G$7)</f>
        <v/>
      </c>
      <c r="W123" s="31">
        <f>ABS(E123-$G$8)</f>
        <v/>
      </c>
      <c r="X123" s="14">
        <f>IF(R123&gt;=MAX(S123,T123), "Hemat", IF(S123&gt;=T123, "Balanced", "Premium"))</f>
        <v/>
      </c>
    </row>
    <row r="124">
      <c r="A124" s="14" t="n">
        <v>113</v>
      </c>
      <c r="B124" s="7" t="inlineStr">
        <is>
          <t>Redjeki Guesthouse Cafe Batu - Reddoorz near Jatim Park 3</t>
        </is>
      </c>
      <c r="C124" s="26" t="n">
        <v>-7.904108</v>
      </c>
      <c r="D124" s="26" t="n">
        <v>112.5657952</v>
      </c>
      <c r="E124" s="21" t="n">
        <v>280696</v>
      </c>
      <c r="F124" s="27" t="n">
        <v>0</v>
      </c>
      <c r="G124" s="28" t="n">
        <v>0</v>
      </c>
      <c r="H124" s="14" t="inlineStr">
        <is>
          <t>N/A</t>
        </is>
      </c>
      <c r="I124" s="29">
        <f>6371 * 2 * ASIN(SQRT(SIN(RADIANS((C124) - INDEX('Dataset_Wisata'!$C$12:$C$622, MATCH('Dashboard'!$C$9, 'Dataset_Wisata'!$A$12:$A$622, 0)))/2)^2 + COS(RADIANS(INDEX('Dataset_Wisata'!$C$12:$C$622, MATCH('Dashboard'!$C$9, 'Dataset_Wisata'!$A$12:$A$622, 0)))) * COS(RADIANS(C124)) * SIN(RADIANS((D124) - INDEX('Dataset_Wisata'!$D$12:$D$622, MATCH('Dashboard'!$C$9, 'Dataset_Wisata'!$A$12:$A$622, 0)))/2)^2)) * 1.3</f>
        <v/>
      </c>
      <c r="J124" s="21">
        <f>ROUND(I124 * IF('Dashboard'!$C$6&lt;=1, 2250, IF('Dashboard'!$C$6&lt;=4, 5150, 6000)), 0)</f>
        <v/>
      </c>
      <c r="K124" s="30" t="n">
        <v>0.04535668981470225</v>
      </c>
      <c r="L124" s="30" t="n">
        <v>0.8895553435566131</v>
      </c>
      <c r="M124" s="30" t="n">
        <v>0.06508796662868466</v>
      </c>
      <c r="N124" s="31">
        <f>ABS(E124-$F$6)</f>
        <v/>
      </c>
      <c r="O124" s="31">
        <f>ABS(E124-$F$7)</f>
        <v/>
      </c>
      <c r="P124" s="31">
        <f>ABS(E124-$F$8)</f>
        <v/>
      </c>
      <c r="Q124" s="14">
        <f>IF(K124&gt;=MAX(L124,M124), "Hemat", IF(L124&gt;=M124, "Balanced", "Premium"))</f>
        <v/>
      </c>
      <c r="R124" s="30" t="n">
        <v>0.04535512870873851</v>
      </c>
      <c r="S124" s="30" t="n">
        <v>0.8895610178853035</v>
      </c>
      <c r="T124" s="30" t="n">
        <v>0.06508385340595803</v>
      </c>
      <c r="U124" s="31">
        <f>ABS(E124-$G$6)</f>
        <v/>
      </c>
      <c r="V124" s="31">
        <f>ABS(E124-$G$7)</f>
        <v/>
      </c>
      <c r="W124" s="31">
        <f>ABS(E124-$G$8)</f>
        <v/>
      </c>
      <c r="X124" s="14">
        <f>IF(R124&gt;=MAX(S124,T124), "Hemat", IF(S124&gt;=T124, "Balanced", "Premium"))</f>
        <v/>
      </c>
    </row>
    <row r="125">
      <c r="A125" s="14" t="n">
        <v>114</v>
      </c>
      <c r="B125" s="7" t="inlineStr">
        <is>
          <t>Grand Dream Cita Mandiri Syariah</t>
        </is>
      </c>
      <c r="C125" s="26" t="n">
        <v>-7.9017468</v>
      </c>
      <c r="D125" s="26" t="n">
        <v>112.5586124</v>
      </c>
      <c r="E125" s="21" t="n">
        <v>247666</v>
      </c>
      <c r="F125" s="27" t="n">
        <v>0</v>
      </c>
      <c r="G125" s="28" t="n">
        <v>0</v>
      </c>
      <c r="H125" s="14" t="inlineStr">
        <is>
          <t>N/A</t>
        </is>
      </c>
      <c r="I125" s="29">
        <f>6371 * 2 * ASIN(SQRT(SIN(RADIANS((C125) - INDEX('Dataset_Wisata'!$C$12:$C$622, MATCH('Dashboard'!$C$9, 'Dataset_Wisata'!$A$12:$A$622, 0)))/2)^2 + COS(RADIANS(INDEX('Dataset_Wisata'!$C$12:$C$622, MATCH('Dashboard'!$C$9, 'Dataset_Wisata'!$A$12:$A$622, 0)))) * COS(RADIANS(C125)) * SIN(RADIANS((D125) - INDEX('Dataset_Wisata'!$D$12:$D$622, MATCH('Dashboard'!$C$9, 'Dataset_Wisata'!$A$12:$A$622, 0)))/2)^2)) * 1.3</f>
        <v/>
      </c>
      <c r="J125" s="21">
        <f>ROUND(I125 * IF('Dashboard'!$C$6&lt;=1, 2250, IF('Dashboard'!$C$6&lt;=4, 5150, 6000)), 0)</f>
        <v/>
      </c>
      <c r="K125" s="30" t="n">
        <v>0.0003463898970937528</v>
      </c>
      <c r="L125" s="30" t="n">
        <v>0.9994565442531804</v>
      </c>
      <c r="M125" s="30" t="n">
        <v>0.0001970658497256801</v>
      </c>
      <c r="N125" s="31">
        <f>ABS(E125-$F$6)</f>
        <v/>
      </c>
      <c r="O125" s="31">
        <f>ABS(E125-$F$7)</f>
        <v/>
      </c>
      <c r="P125" s="31">
        <f>ABS(E125-$F$8)</f>
        <v/>
      </c>
      <c r="Q125" s="14">
        <f>IF(K125&gt;=MAX(L125,M125), "Hemat", IF(L125&gt;=M125, "Balanced", "Premium"))</f>
        <v/>
      </c>
      <c r="R125" s="30" t="n">
        <v>0.0003461582009911557</v>
      </c>
      <c r="S125" s="30" t="n">
        <v>0.9994569125634866</v>
      </c>
      <c r="T125" s="30" t="n">
        <v>0.0001969292355222557</v>
      </c>
      <c r="U125" s="31">
        <f>ABS(E125-$G$6)</f>
        <v/>
      </c>
      <c r="V125" s="31">
        <f>ABS(E125-$G$7)</f>
        <v/>
      </c>
      <c r="W125" s="31">
        <f>ABS(E125-$G$8)</f>
        <v/>
      </c>
      <c r="X125" s="14">
        <f>IF(R125&gt;=MAX(S125,T125), "Hemat", IF(S125&gt;=T125, "Balanced", "Premium"))</f>
        <v/>
      </c>
    </row>
    <row r="126">
      <c r="A126" s="14" t="n">
        <v>115</v>
      </c>
      <c r="B126" s="7" t="inlineStr">
        <is>
          <t>RedDoorz Syariah near Batu Night Spectacular</t>
        </is>
      </c>
      <c r="C126" s="26" t="n">
        <v>-7.8965813</v>
      </c>
      <c r="D126" s="26" t="n">
        <v>112.5326265</v>
      </c>
      <c r="E126" s="21" t="n">
        <v>115851</v>
      </c>
      <c r="F126" s="27" t="n">
        <v>0</v>
      </c>
      <c r="G126" s="28" t="n">
        <v>0</v>
      </c>
      <c r="H126" s="14" t="inlineStr">
        <is>
          <t>N/A</t>
        </is>
      </c>
      <c r="I126" s="29">
        <f>6371 * 2 * ASIN(SQRT(SIN(RADIANS((C126) - INDEX('Dataset_Wisata'!$C$12:$C$622, MATCH('Dashboard'!$C$9, 'Dataset_Wisata'!$A$12:$A$622, 0)))/2)^2 + COS(RADIANS(INDEX('Dataset_Wisata'!$C$12:$C$622, MATCH('Dashboard'!$C$9, 'Dataset_Wisata'!$A$12:$A$622, 0)))) * COS(RADIANS(C126)) * SIN(RADIANS((D126) - INDEX('Dataset_Wisata'!$D$12:$D$622, MATCH('Dashboard'!$C$9, 'Dataset_Wisata'!$A$12:$A$622, 0)))/2)^2)) * 1.3</f>
        <v/>
      </c>
      <c r="J126" s="21">
        <f>ROUND(I126 * IF('Dashboard'!$C$6&lt;=1, 2250, IF('Dashboard'!$C$6&lt;=4, 5150, 6000)), 0)</f>
        <v/>
      </c>
      <c r="K126" s="30" t="n">
        <v>0.9950186414130281</v>
      </c>
      <c r="L126" s="30" t="n">
        <v>0.004178381719547949</v>
      </c>
      <c r="M126" s="30" t="n">
        <v>0.0008029768674239176</v>
      </c>
      <c r="N126" s="31">
        <f>ABS(E126-$F$6)</f>
        <v/>
      </c>
      <c r="O126" s="31">
        <f>ABS(E126-$F$7)</f>
        <v/>
      </c>
      <c r="P126" s="31">
        <f>ABS(E126-$F$8)</f>
        <v/>
      </c>
      <c r="Q126" s="14">
        <f>IF(K126&gt;=MAX(L126,M126), "Hemat", IF(L126&gt;=M126, "Balanced", "Premium"))</f>
        <v/>
      </c>
      <c r="R126" s="30" t="n">
        <v>0.9950184244641567</v>
      </c>
      <c r="S126" s="30" t="n">
        <v>0.004178563333456878</v>
      </c>
      <c r="T126" s="30" t="n">
        <v>0.0008030122023865815</v>
      </c>
      <c r="U126" s="31">
        <f>ABS(E126-$G$6)</f>
        <v/>
      </c>
      <c r="V126" s="31">
        <f>ABS(E126-$G$7)</f>
        <v/>
      </c>
      <c r="W126" s="31">
        <f>ABS(E126-$G$8)</f>
        <v/>
      </c>
      <c r="X126" s="14">
        <f>IF(R126&gt;=MAX(S126,T126), "Hemat", IF(S126&gt;=T126, "Balanced", "Premium"))</f>
        <v/>
      </c>
    </row>
    <row r="127">
      <c r="A127" s="14" t="n">
        <v>116</v>
      </c>
      <c r="B127" s="7" t="inlineStr">
        <is>
          <t>GUEST HOUSE PALEM ASRI</t>
        </is>
      </c>
      <c r="C127" s="26" t="n">
        <v>-7.8940054</v>
      </c>
      <c r="D127" s="26" t="n">
        <v>112.5350983</v>
      </c>
      <c r="E127" s="21" t="n">
        <v>268595</v>
      </c>
      <c r="F127" s="27" t="n">
        <v>0</v>
      </c>
      <c r="G127" s="28" t="n">
        <v>0</v>
      </c>
      <c r="H127" s="14" t="inlineStr">
        <is>
          <t>N/A</t>
        </is>
      </c>
      <c r="I127" s="29">
        <f>6371 * 2 * ASIN(SQRT(SIN(RADIANS((C127) - INDEX('Dataset_Wisata'!$C$12:$C$622, MATCH('Dashboard'!$C$9, 'Dataset_Wisata'!$A$12:$A$622, 0)))/2)^2 + COS(RADIANS(INDEX('Dataset_Wisata'!$C$12:$C$622, MATCH('Dashboard'!$C$9, 'Dataset_Wisata'!$A$12:$A$622, 0)))) * COS(RADIANS(C127)) * SIN(RADIANS((D127) - INDEX('Dataset_Wisata'!$D$12:$D$622, MATCH('Dashboard'!$C$9, 'Dataset_Wisata'!$A$12:$A$622, 0)))/2)^2)) * 1.3</f>
        <v/>
      </c>
      <c r="J127" s="21">
        <f>ROUND(I127 * IF('Dashboard'!$C$6&lt;=1, 2250, IF('Dashboard'!$C$6&lt;=4, 5150, 6000)), 0)</f>
        <v/>
      </c>
      <c r="K127" s="30" t="n">
        <v>0.02460152571918171</v>
      </c>
      <c r="L127" s="30" t="n">
        <v>0.9502256183666121</v>
      </c>
      <c r="M127" s="30" t="n">
        <v>0.02517285591420619</v>
      </c>
      <c r="N127" s="31">
        <f>ABS(E127-$F$6)</f>
        <v/>
      </c>
      <c r="O127" s="31">
        <f>ABS(E127-$F$7)</f>
        <v/>
      </c>
      <c r="P127" s="31">
        <f>ABS(E127-$F$8)</f>
        <v/>
      </c>
      <c r="Q127" s="14">
        <f>IF(K127&gt;=MAX(L127,M127), "Hemat", IF(L127&gt;=M127, "Balanced", "Premium"))</f>
        <v/>
      </c>
      <c r="R127" s="30" t="n">
        <v>0.02460006125643656</v>
      </c>
      <c r="S127" s="30" t="n">
        <v>0.9502292569097613</v>
      </c>
      <c r="T127" s="30" t="n">
        <v>0.02517068183380201</v>
      </c>
      <c r="U127" s="31">
        <f>ABS(E127-$G$6)</f>
        <v/>
      </c>
      <c r="V127" s="31">
        <f>ABS(E127-$G$7)</f>
        <v/>
      </c>
      <c r="W127" s="31">
        <f>ABS(E127-$G$8)</f>
        <v/>
      </c>
      <c r="X127" s="14">
        <f>IF(R127&gt;=MAX(S127,T127), "Hemat", IF(S127&gt;=T127, "Balanced", "Premium"))</f>
        <v/>
      </c>
    </row>
    <row r="128">
      <c r="A128" s="14" t="n">
        <v>117</v>
      </c>
      <c r="B128" s="7" t="inlineStr">
        <is>
          <t>Penginapan Kenkei</t>
        </is>
      </c>
      <c r="C128" s="26" t="n">
        <v>-7.8941804</v>
      </c>
      <c r="D128" s="26" t="n">
        <v>112.5328322</v>
      </c>
      <c r="E128" s="21" t="n">
        <v>50000</v>
      </c>
      <c r="F128" s="27" t="n">
        <v>0</v>
      </c>
      <c r="G128" s="28" t="n">
        <v>0</v>
      </c>
      <c r="H128" s="14" t="inlineStr">
        <is>
          <t>N/A</t>
        </is>
      </c>
      <c r="I128" s="29">
        <f>6371 * 2 * ASIN(SQRT(SIN(RADIANS((C128) - INDEX('Dataset_Wisata'!$C$12:$C$622, MATCH('Dashboard'!$C$9, 'Dataset_Wisata'!$A$12:$A$622, 0)))/2)^2 + COS(RADIANS(INDEX('Dataset_Wisata'!$C$12:$C$622, MATCH('Dashboard'!$C$9, 'Dataset_Wisata'!$A$12:$A$622, 0)))) * COS(RADIANS(C128)) * SIN(RADIANS((D128) - INDEX('Dataset_Wisata'!$D$12:$D$622, MATCH('Dashboard'!$C$9, 'Dataset_Wisata'!$A$12:$A$622, 0)))/2)^2)) * 1.3</f>
        <v/>
      </c>
      <c r="J128" s="21">
        <f>ROUND(I128 * IF('Dashboard'!$C$6&lt;=1, 2250, IF('Dashboard'!$C$6&lt;=4, 5150, 6000)), 0)</f>
        <v/>
      </c>
      <c r="K128" s="30" t="n">
        <v>0.8427136775647432</v>
      </c>
      <c r="L128" s="30" t="n">
        <v>0.1217010560603878</v>
      </c>
      <c r="M128" s="30" t="n">
        <v>0.03558526637486881</v>
      </c>
      <c r="N128" s="31">
        <f>ABS(E128-$F$6)</f>
        <v/>
      </c>
      <c r="O128" s="31">
        <f>ABS(E128-$F$7)</f>
        <v/>
      </c>
      <c r="P128" s="31">
        <f>ABS(E128-$F$8)</f>
        <v/>
      </c>
      <c r="Q128" s="14">
        <f>IF(K128&gt;=MAX(L128,M128), "Hemat", IF(L128&gt;=M128, "Balanced", "Premium"))</f>
        <v/>
      </c>
      <c r="R128" s="30" t="n">
        <v>0.8427139356353498</v>
      </c>
      <c r="S128" s="30" t="n">
        <v>0.121700895122662</v>
      </c>
      <c r="T128" s="30" t="n">
        <v>0.03558516924198825</v>
      </c>
      <c r="U128" s="31">
        <f>ABS(E128-$G$6)</f>
        <v/>
      </c>
      <c r="V128" s="31">
        <f>ABS(E128-$G$7)</f>
        <v/>
      </c>
      <c r="W128" s="31">
        <f>ABS(E128-$G$8)</f>
        <v/>
      </c>
      <c r="X128" s="14">
        <f>IF(R128&gt;=MAX(S128,T128), "Hemat", IF(S128&gt;=T128, "Balanced", "Premium"))</f>
        <v/>
      </c>
    </row>
    <row r="129">
      <c r="A129" s="14" t="n">
        <v>118</v>
      </c>
      <c r="B129" s="7" t="inlineStr">
        <is>
          <t>Penginapan murah di batu malang</t>
        </is>
      </c>
      <c r="C129" s="26" t="n">
        <v>-7.8932588</v>
      </c>
      <c r="D129" s="26" t="n">
        <v>112.5319777</v>
      </c>
      <c r="E129" s="21" t="n">
        <v>65291</v>
      </c>
      <c r="F129" s="27" t="n">
        <v>0</v>
      </c>
      <c r="G129" s="28" t="n">
        <v>0</v>
      </c>
      <c r="H129" s="14" t="inlineStr">
        <is>
          <t>N/A</t>
        </is>
      </c>
      <c r="I129" s="29">
        <f>6371 * 2 * ASIN(SQRT(SIN(RADIANS((C129) - INDEX('Dataset_Wisata'!$C$12:$C$622, MATCH('Dashboard'!$C$9, 'Dataset_Wisata'!$A$12:$A$622, 0)))/2)^2 + COS(RADIANS(INDEX('Dataset_Wisata'!$C$12:$C$622, MATCH('Dashboard'!$C$9, 'Dataset_Wisata'!$A$12:$A$622, 0)))) * COS(RADIANS(C129)) * SIN(RADIANS((D129) - INDEX('Dataset_Wisata'!$D$12:$D$622, MATCH('Dashboard'!$C$9, 'Dataset_Wisata'!$A$12:$A$622, 0)))/2)^2)) * 1.3</f>
        <v/>
      </c>
      <c r="J129" s="21">
        <f>ROUND(I129 * IF('Dashboard'!$C$6&lt;=1, 2250, IF('Dashboard'!$C$6&lt;=4, 5150, 6000)), 0)</f>
        <v/>
      </c>
      <c r="K129" s="30" t="n">
        <v>0.8801231831705832</v>
      </c>
      <c r="L129" s="30" t="n">
        <v>0.0943272248334709</v>
      </c>
      <c r="M129" s="30" t="n">
        <v>0.02554959199594578</v>
      </c>
      <c r="N129" s="31">
        <f>ABS(E129-$F$6)</f>
        <v/>
      </c>
      <c r="O129" s="31">
        <f>ABS(E129-$F$7)</f>
        <v/>
      </c>
      <c r="P129" s="31">
        <f>ABS(E129-$F$8)</f>
        <v/>
      </c>
      <c r="Q129" s="14">
        <f>IF(K129&gt;=MAX(L129,M129), "Hemat", IF(L129&gt;=M129, "Balanced", "Premium"))</f>
        <v/>
      </c>
      <c r="R129" s="30" t="n">
        <v>0.8801232796398667</v>
      </c>
      <c r="S129" s="30" t="n">
        <v>0.09432717198413584</v>
      </c>
      <c r="T129" s="30" t="n">
        <v>0.02554954837599754</v>
      </c>
      <c r="U129" s="31">
        <f>ABS(E129-$G$6)</f>
        <v/>
      </c>
      <c r="V129" s="31">
        <f>ABS(E129-$G$7)</f>
        <v/>
      </c>
      <c r="W129" s="31">
        <f>ABS(E129-$G$8)</f>
        <v/>
      </c>
      <c r="X129" s="14">
        <f>IF(R129&gt;=MAX(S129,T129), "Hemat", IF(S129&gt;=T129, "Balanced", "Premium"))</f>
        <v/>
      </c>
    </row>
    <row r="130">
      <c r="A130" s="14" t="n">
        <v>119</v>
      </c>
      <c r="B130" s="7" t="inlineStr">
        <is>
          <t>OYO 90828 Ara Guest House</t>
        </is>
      </c>
      <c r="C130" s="26" t="n">
        <v>-7.892595</v>
      </c>
      <c r="D130" s="26" t="n">
        <v>112.5320293</v>
      </c>
      <c r="E130" s="21" t="n">
        <v>194237</v>
      </c>
      <c r="F130" s="27" t="n">
        <v>0</v>
      </c>
      <c r="G130" s="28" t="n">
        <v>0</v>
      </c>
      <c r="H130" s="14" t="inlineStr">
        <is>
          <t>N/A</t>
        </is>
      </c>
      <c r="I130" s="29">
        <f>6371 * 2 * ASIN(SQRT(SIN(RADIANS((C130) - INDEX('Dataset_Wisata'!$C$12:$C$622, MATCH('Dashboard'!$C$9, 'Dataset_Wisata'!$A$12:$A$622, 0)))/2)^2 + COS(RADIANS(INDEX('Dataset_Wisata'!$C$12:$C$622, MATCH('Dashboard'!$C$9, 'Dataset_Wisata'!$A$12:$A$622, 0)))) * COS(RADIANS(C130)) * SIN(RADIANS((D130) - INDEX('Dataset_Wisata'!$D$12:$D$622, MATCH('Dashboard'!$C$9, 'Dataset_Wisata'!$A$12:$A$622, 0)))/2)^2)) * 1.3</f>
        <v/>
      </c>
      <c r="J130" s="21">
        <f>ROUND(I130 * IF('Dashboard'!$C$6&lt;=1, 2250, IF('Dashboard'!$C$6&lt;=4, 5150, 6000)), 0)</f>
        <v/>
      </c>
      <c r="K130" s="30" t="n">
        <v>0.3358147001792648</v>
      </c>
      <c r="L130" s="30" t="n">
        <v>0.629267766905507</v>
      </c>
      <c r="M130" s="30" t="n">
        <v>0.03491753291522818</v>
      </c>
      <c r="N130" s="31">
        <f>ABS(E130-$F$6)</f>
        <v/>
      </c>
      <c r="O130" s="31">
        <f>ABS(E130-$F$7)</f>
        <v/>
      </c>
      <c r="P130" s="31">
        <f>ABS(E130-$F$8)</f>
        <v/>
      </c>
      <c r="Q130" s="14">
        <f>IF(K130&gt;=MAX(L130,M130), "Hemat", IF(L130&gt;=M130, "Balanced", "Premium"))</f>
        <v/>
      </c>
      <c r="R130" s="30" t="n">
        <v>0.3358227621227685</v>
      </c>
      <c r="S130" s="30" t="n">
        <v>0.6292596415169142</v>
      </c>
      <c r="T130" s="30" t="n">
        <v>0.03491759636031729</v>
      </c>
      <c r="U130" s="31">
        <f>ABS(E130-$G$6)</f>
        <v/>
      </c>
      <c r="V130" s="31">
        <f>ABS(E130-$G$7)</f>
        <v/>
      </c>
      <c r="W130" s="31">
        <f>ABS(E130-$G$8)</f>
        <v/>
      </c>
      <c r="X130" s="14">
        <f>IF(R130&gt;=MAX(S130,T130), "Hemat", IF(S130&gt;=T130, "Balanced", "Premium"))</f>
        <v/>
      </c>
    </row>
    <row r="131">
      <c r="A131" s="14" t="n">
        <v>120</v>
      </c>
      <c r="B131" s="7" t="inlineStr">
        <is>
          <t>Penginapan Farel</t>
        </is>
      </c>
      <c r="C131" s="26" t="n">
        <v>-7.9075157</v>
      </c>
      <c r="D131" s="26" t="n">
        <v>112.5404111</v>
      </c>
      <c r="E131" s="21" t="n">
        <v>50000</v>
      </c>
      <c r="F131" s="27" t="n">
        <v>0</v>
      </c>
      <c r="G131" s="28" t="n">
        <v>0</v>
      </c>
      <c r="H131" s="14" t="inlineStr">
        <is>
          <t>N/A</t>
        </is>
      </c>
      <c r="I131" s="29">
        <f>6371 * 2 * ASIN(SQRT(SIN(RADIANS((C131) - INDEX('Dataset_Wisata'!$C$12:$C$622, MATCH('Dashboard'!$C$9, 'Dataset_Wisata'!$A$12:$A$622, 0)))/2)^2 + COS(RADIANS(INDEX('Dataset_Wisata'!$C$12:$C$622, MATCH('Dashboard'!$C$9, 'Dataset_Wisata'!$A$12:$A$622, 0)))) * COS(RADIANS(C131)) * SIN(RADIANS((D131) - INDEX('Dataset_Wisata'!$D$12:$D$622, MATCH('Dashboard'!$C$9, 'Dataset_Wisata'!$A$12:$A$622, 0)))/2)^2)) * 1.3</f>
        <v/>
      </c>
      <c r="J131" s="21">
        <f>ROUND(I131 * IF('Dashboard'!$C$6&lt;=1, 2250, IF('Dashboard'!$C$6&lt;=4, 5150, 6000)), 0)</f>
        <v/>
      </c>
      <c r="K131" s="30" t="n">
        <v>0.8427136775647432</v>
      </c>
      <c r="L131" s="30" t="n">
        <v>0.1217010560603878</v>
      </c>
      <c r="M131" s="30" t="n">
        <v>0.03558526637486881</v>
      </c>
      <c r="N131" s="31">
        <f>ABS(E131-$F$6)</f>
        <v/>
      </c>
      <c r="O131" s="31">
        <f>ABS(E131-$F$7)</f>
        <v/>
      </c>
      <c r="P131" s="31">
        <f>ABS(E131-$F$8)</f>
        <v/>
      </c>
      <c r="Q131" s="14">
        <f>IF(K131&gt;=MAX(L131,M131), "Hemat", IF(L131&gt;=M131, "Balanced", "Premium"))</f>
        <v/>
      </c>
      <c r="R131" s="30" t="n">
        <v>0.8427139356353498</v>
      </c>
      <c r="S131" s="30" t="n">
        <v>0.121700895122662</v>
      </c>
      <c r="T131" s="30" t="n">
        <v>0.03558516924198825</v>
      </c>
      <c r="U131" s="31">
        <f>ABS(E131-$G$6)</f>
        <v/>
      </c>
      <c r="V131" s="31">
        <f>ABS(E131-$G$7)</f>
        <v/>
      </c>
      <c r="W131" s="31">
        <f>ABS(E131-$G$8)</f>
        <v/>
      </c>
      <c r="X131" s="14">
        <f>IF(R131&gt;=MAX(S131,T131), "Hemat", IF(S131&gt;=T131, "Balanced", "Premium"))</f>
        <v/>
      </c>
    </row>
    <row r="132">
      <c r="A132" s="14" t="n">
        <v>121</v>
      </c>
      <c r="B132" s="7" t="inlineStr">
        <is>
          <t>Kahan Homestay</t>
        </is>
      </c>
      <c r="C132" s="26" t="n">
        <v>-7.8946447</v>
      </c>
      <c r="D132" s="26" t="n">
        <v>112.53302</v>
      </c>
      <c r="E132" s="21" t="n">
        <v>176740</v>
      </c>
      <c r="F132" s="27" t="n">
        <v>0</v>
      </c>
      <c r="G132" s="28" t="n">
        <v>0</v>
      </c>
      <c r="H132" s="14" t="inlineStr">
        <is>
          <t>N/A</t>
        </is>
      </c>
      <c r="I132" s="29">
        <f>6371 * 2 * ASIN(SQRT(SIN(RADIANS((C132) - INDEX('Dataset_Wisata'!$C$12:$C$622, MATCH('Dashboard'!$C$9, 'Dataset_Wisata'!$A$12:$A$622, 0)))/2)^2 + COS(RADIANS(INDEX('Dataset_Wisata'!$C$12:$C$622, MATCH('Dashboard'!$C$9, 'Dataset_Wisata'!$A$12:$A$622, 0)))) * COS(RADIANS(C132)) * SIN(RADIANS((D132) - INDEX('Dataset_Wisata'!$D$12:$D$622, MATCH('Dashboard'!$C$9, 'Dataset_Wisata'!$A$12:$A$622, 0)))/2)^2)) * 1.3</f>
        <v/>
      </c>
      <c r="J132" s="21">
        <f>ROUND(I132 * IF('Dashboard'!$C$6&lt;=1, 2250, IF('Dashboard'!$C$6&lt;=4, 5150, 6000)), 0)</f>
        <v/>
      </c>
      <c r="K132" s="30" t="n">
        <v>0.6115416128979604</v>
      </c>
      <c r="L132" s="30" t="n">
        <v>0.3578263132907582</v>
      </c>
      <c r="M132" s="30" t="n">
        <v>0.03063207381128157</v>
      </c>
      <c r="N132" s="31">
        <f>ABS(E132-$F$6)</f>
        <v/>
      </c>
      <c r="O132" s="31">
        <f>ABS(E132-$F$7)</f>
        <v/>
      </c>
      <c r="P132" s="31">
        <f>ABS(E132-$F$8)</f>
        <v/>
      </c>
      <c r="Q132" s="14">
        <f>IF(K132&gt;=MAX(L132,M132), "Hemat", IF(L132&gt;=M132, "Balanced", "Premium"))</f>
        <v/>
      </c>
      <c r="R132" s="30" t="n">
        <v>0.6115489262915353</v>
      </c>
      <c r="S132" s="30" t="n">
        <v>0.3578193459279499</v>
      </c>
      <c r="T132" s="30" t="n">
        <v>0.03063172778051465</v>
      </c>
      <c r="U132" s="31">
        <f>ABS(E132-$G$6)</f>
        <v/>
      </c>
      <c r="V132" s="31">
        <f>ABS(E132-$G$7)</f>
        <v/>
      </c>
      <c r="W132" s="31">
        <f>ABS(E132-$G$8)</f>
        <v/>
      </c>
      <c r="X132" s="14">
        <f>IF(R132&gt;=MAX(S132,T132), "Hemat", IF(S132&gt;=T132, "Balanced", "Premium"))</f>
        <v/>
      </c>
    </row>
    <row r="133">
      <c r="A133" s="14" t="n">
        <v>122</v>
      </c>
      <c r="B133" s="7" t="inlineStr">
        <is>
          <t>RedDoorz @ Oro Oro Ombo Batu</t>
        </is>
      </c>
      <c r="C133" s="26" t="n">
        <v>-7.893956</v>
      </c>
      <c r="D133" s="26" t="n">
        <v>112.534917</v>
      </c>
      <c r="E133" s="21" t="n">
        <v>115000</v>
      </c>
      <c r="F133" s="27" t="n">
        <v>0</v>
      </c>
      <c r="G133" s="28" t="n">
        <v>0</v>
      </c>
      <c r="H133" s="14" t="inlineStr">
        <is>
          <t>N/A</t>
        </is>
      </c>
      <c r="I133" s="29">
        <f>6371 * 2 * ASIN(SQRT(SIN(RADIANS((C133) - INDEX('Dataset_Wisata'!$C$12:$C$622, MATCH('Dashboard'!$C$9, 'Dataset_Wisata'!$A$12:$A$622, 0)))/2)^2 + COS(RADIANS(INDEX('Dataset_Wisata'!$C$12:$C$622, MATCH('Dashboard'!$C$9, 'Dataset_Wisata'!$A$12:$A$622, 0)))) * COS(RADIANS(C133)) * SIN(RADIANS((D133) - INDEX('Dataset_Wisata'!$D$12:$D$622, MATCH('Dashboard'!$C$9, 'Dataset_Wisata'!$A$12:$A$622, 0)))/2)^2)) * 1.3</f>
        <v/>
      </c>
      <c r="J133" s="21">
        <f>ROUND(I133 * IF('Dashboard'!$C$6&lt;=1, 2250, IF('Dashboard'!$C$6&lt;=4, 5150, 6000)), 0)</f>
        <v/>
      </c>
      <c r="K133" s="30" t="n">
        <v>0.9940347157651965</v>
      </c>
      <c r="L133" s="30" t="n">
        <v>0.004997762539716297</v>
      </c>
      <c r="M133" s="30" t="n">
        <v>0.0009675216950871589</v>
      </c>
      <c r="N133" s="31">
        <f>ABS(E133-$F$6)</f>
        <v/>
      </c>
      <c r="O133" s="31">
        <f>ABS(E133-$F$7)</f>
        <v/>
      </c>
      <c r="P133" s="31">
        <f>ABS(E133-$F$8)</f>
        <v/>
      </c>
      <c r="Q133" s="14">
        <f>IF(K133&gt;=MAX(L133,M133), "Hemat", IF(L133&gt;=M133, "Balanced", "Premium"))</f>
        <v/>
      </c>
      <c r="R133" s="30" t="n">
        <v>0.9940344861646075</v>
      </c>
      <c r="S133" s="30" t="n">
        <v>0.004997954499979283</v>
      </c>
      <c r="T133" s="30" t="n">
        <v>0.0009675593354131262</v>
      </c>
      <c r="U133" s="31">
        <f>ABS(E133-$G$6)</f>
        <v/>
      </c>
      <c r="V133" s="31">
        <f>ABS(E133-$G$7)</f>
        <v/>
      </c>
      <c r="W133" s="31">
        <f>ABS(E133-$G$8)</f>
        <v/>
      </c>
      <c r="X133" s="14">
        <f>IF(R133&gt;=MAX(S133,T133), "Hemat", IF(S133&gt;=T133, "Balanced", "Premium"))</f>
        <v/>
      </c>
    </row>
    <row r="134">
      <c r="A134" s="14" t="n">
        <v>123</v>
      </c>
      <c r="B134" s="7" t="inlineStr">
        <is>
          <t>Batuque Town Villa</t>
        </is>
      </c>
      <c r="C134" s="26" t="n">
        <v>-7.8956999</v>
      </c>
      <c r="D134" s="26" t="n">
        <v>112.5335962</v>
      </c>
      <c r="E134" s="21" t="n">
        <v>273729</v>
      </c>
      <c r="F134" s="27" t="n">
        <v>0</v>
      </c>
      <c r="G134" s="28" t="n">
        <v>0</v>
      </c>
      <c r="H134" s="14" t="inlineStr">
        <is>
          <t>N/A</t>
        </is>
      </c>
      <c r="I134" s="29">
        <f>6371 * 2 * ASIN(SQRT(SIN(RADIANS((C134) - INDEX('Dataset_Wisata'!$C$12:$C$622, MATCH('Dashboard'!$C$9, 'Dataset_Wisata'!$A$12:$A$622, 0)))/2)^2 + COS(RADIANS(INDEX('Dataset_Wisata'!$C$12:$C$622, MATCH('Dashboard'!$C$9, 'Dataset_Wisata'!$A$12:$A$622, 0)))) * COS(RADIANS(C134)) * SIN(RADIANS((D134) - INDEX('Dataset_Wisata'!$D$12:$D$622, MATCH('Dashboard'!$C$9, 'Dataset_Wisata'!$A$12:$A$622, 0)))/2)^2)) * 1.3</f>
        <v/>
      </c>
      <c r="J134" s="21">
        <f>ROUND(I134 * IF('Dashboard'!$C$6&lt;=1, 2250, IF('Dashboard'!$C$6&lt;=4, 5150, 6000)), 0)</f>
        <v/>
      </c>
      <c r="K134" s="30" t="n">
        <v>0.03337494087355949</v>
      </c>
      <c r="L134" s="30" t="n">
        <v>0.9272182274372731</v>
      </c>
      <c r="M134" s="30" t="n">
        <v>0.03940683168916737</v>
      </c>
      <c r="N134" s="31">
        <f>ABS(E134-$F$6)</f>
        <v/>
      </c>
      <c r="O134" s="31">
        <f>ABS(E134-$F$7)</f>
        <v/>
      </c>
      <c r="P134" s="31">
        <f>ABS(E134-$F$8)</f>
        <v/>
      </c>
      <c r="Q134" s="14">
        <f>IF(K134&gt;=MAX(L134,M134), "Hemat", IF(L134&gt;=M134, "Balanced", "Premium"))</f>
        <v/>
      </c>
      <c r="R134" s="30" t="n">
        <v>0.03337338616095983</v>
      </c>
      <c r="S134" s="30" t="n">
        <v>0.9272227058280388</v>
      </c>
      <c r="T134" s="30" t="n">
        <v>0.03940390801100145</v>
      </c>
      <c r="U134" s="31">
        <f>ABS(E134-$G$6)</f>
        <v/>
      </c>
      <c r="V134" s="31">
        <f>ABS(E134-$G$7)</f>
        <v/>
      </c>
      <c r="W134" s="31">
        <f>ABS(E134-$G$8)</f>
        <v/>
      </c>
      <c r="X134" s="14">
        <f>IF(R134&gt;=MAX(S134,T134), "Hemat", IF(S134&gt;=T134, "Balanced", "Premium"))</f>
        <v/>
      </c>
    </row>
    <row r="135">
      <c r="A135" s="14" t="n">
        <v>124</v>
      </c>
      <c r="B135" s="7" t="inlineStr">
        <is>
          <t>Farbel Homestay</t>
        </is>
      </c>
      <c r="C135" s="26" t="n">
        <v>-7.9068781</v>
      </c>
      <c r="D135" s="26" t="n">
        <v>112.5418277</v>
      </c>
      <c r="E135" s="21" t="n">
        <v>1500000</v>
      </c>
      <c r="F135" s="27" t="n">
        <v>0</v>
      </c>
      <c r="G135" s="28" t="n">
        <v>0</v>
      </c>
      <c r="H135" s="14" t="inlineStr">
        <is>
          <t>N/A</t>
        </is>
      </c>
      <c r="I135" s="29">
        <f>6371 * 2 * ASIN(SQRT(SIN(RADIANS((C135) - INDEX('Dataset_Wisata'!$C$12:$C$622, MATCH('Dashboard'!$C$9, 'Dataset_Wisata'!$A$12:$A$622, 0)))/2)^2 + COS(RADIANS(INDEX('Dataset_Wisata'!$C$12:$C$622, MATCH('Dashboard'!$C$9, 'Dataset_Wisata'!$A$12:$A$622, 0)))) * COS(RADIANS(C135)) * SIN(RADIANS((D135) - INDEX('Dataset_Wisata'!$D$12:$D$622, MATCH('Dashboard'!$C$9, 'Dataset_Wisata'!$A$12:$A$622, 0)))/2)^2)) * 1.3</f>
        <v/>
      </c>
      <c r="J135" s="21">
        <f>ROUND(I135 * IF('Dashboard'!$C$6&lt;=1, 2250, IF('Dashboard'!$C$6&lt;=4, 5150, 6000)), 0)</f>
        <v/>
      </c>
      <c r="K135" s="30" t="n">
        <v>0.005283444585871828</v>
      </c>
      <c r="L135" s="30" t="n">
        <v>0.006352833707174612</v>
      </c>
      <c r="M135" s="30" t="n">
        <v>0.008436889456875606</v>
      </c>
      <c r="N135" s="31">
        <f>ABS(E135-$F$6)</f>
        <v/>
      </c>
      <c r="O135" s="31">
        <f>ABS(E135-$F$7)</f>
        <v/>
      </c>
      <c r="P135" s="31">
        <f>ABS(E135-$F$8)</f>
        <v/>
      </c>
      <c r="Q135" s="14">
        <f>IF(K135&gt;=MAX(L135,M135), "Hemat", IF(L135&gt;=M135, "Balanced", "Premium"))</f>
        <v/>
      </c>
      <c r="R135" s="30" t="n">
        <v>0.005283446378795574</v>
      </c>
      <c r="S135" s="30" t="n">
        <v>0.006352841538885596</v>
      </c>
      <c r="T135" s="30" t="n">
        <v>0.008436915563064995</v>
      </c>
      <c r="U135" s="31">
        <f>ABS(E135-$G$6)</f>
        <v/>
      </c>
      <c r="V135" s="31">
        <f>ABS(E135-$G$7)</f>
        <v/>
      </c>
      <c r="W135" s="31">
        <f>ABS(E135-$G$8)</f>
        <v/>
      </c>
      <c r="X135" s="14">
        <f>IF(R135&gt;=MAX(S135,T135), "Hemat", IF(S135&gt;=T135, "Balanced", "Premium"))</f>
        <v/>
      </c>
    </row>
    <row r="136">
      <c r="A136" s="14" t="n">
        <v>125</v>
      </c>
      <c r="B136" s="7" t="inlineStr">
        <is>
          <t>RedDoorz near Eco Green Park Batu</t>
        </is>
      </c>
      <c r="C136" s="26" t="n">
        <v>-7.8850662</v>
      </c>
      <c r="D136" s="26" t="n">
        <v>112.530885</v>
      </c>
      <c r="E136" s="21" t="n">
        <v>90808</v>
      </c>
      <c r="F136" s="27" t="n">
        <v>0</v>
      </c>
      <c r="G136" s="28" t="n">
        <v>0</v>
      </c>
      <c r="H136" s="14" t="inlineStr">
        <is>
          <t>N/A</t>
        </is>
      </c>
      <c r="I136" s="29">
        <f>6371 * 2 * ASIN(SQRT(SIN(RADIANS((C136) - INDEX('Dataset_Wisata'!$C$12:$C$622, MATCH('Dashboard'!$C$9, 'Dataset_Wisata'!$A$12:$A$622, 0)))/2)^2 + COS(RADIANS(INDEX('Dataset_Wisata'!$C$12:$C$622, MATCH('Dashboard'!$C$9, 'Dataset_Wisata'!$A$12:$A$622, 0)))) * COS(RADIANS(C136)) * SIN(RADIANS((D136) - INDEX('Dataset_Wisata'!$D$12:$D$622, MATCH('Dashboard'!$C$9, 'Dataset_Wisata'!$A$12:$A$622, 0)))/2)^2)) * 1.3</f>
        <v/>
      </c>
      <c r="J136" s="21">
        <f>ROUND(I136 * IF('Dashboard'!$C$6&lt;=1, 2250, IF('Dashboard'!$C$6&lt;=4, 5150, 6000)), 0)</f>
        <v/>
      </c>
      <c r="K136" s="30" t="n">
        <v>0.9454630760949491</v>
      </c>
      <c r="L136" s="30" t="n">
        <v>0.04424628400364035</v>
      </c>
      <c r="M136" s="30" t="n">
        <v>0.01029063990141049</v>
      </c>
      <c r="N136" s="31">
        <f>ABS(E136-$F$6)</f>
        <v/>
      </c>
      <c r="O136" s="31">
        <f>ABS(E136-$F$7)</f>
        <v/>
      </c>
      <c r="P136" s="31">
        <f>ABS(E136-$F$8)</f>
        <v/>
      </c>
      <c r="Q136" s="14">
        <f>IF(K136&gt;=MAX(L136,M136), "Hemat", IF(L136&gt;=M136, "Balanced", "Premium"))</f>
        <v/>
      </c>
      <c r="R136" s="30" t="n">
        <v>0.9454628770342682</v>
      </c>
      <c r="S136" s="30" t="n">
        <v>0.04424644971250449</v>
      </c>
      <c r="T136" s="30" t="n">
        <v>0.01029067325322724</v>
      </c>
      <c r="U136" s="31">
        <f>ABS(E136-$G$6)</f>
        <v/>
      </c>
      <c r="V136" s="31">
        <f>ABS(E136-$G$7)</f>
        <v/>
      </c>
      <c r="W136" s="31">
        <f>ABS(E136-$G$8)</f>
        <v/>
      </c>
      <c r="X136" s="14">
        <f>IF(R136&gt;=MAX(S136,T136), "Hemat", IF(S136&gt;=T136, "Balanced", "Premium"))</f>
        <v/>
      </c>
    </row>
    <row r="137">
      <c r="A137" s="14" t="n">
        <v>126</v>
      </c>
      <c r="B137" s="7" t="inlineStr">
        <is>
          <t>Griya Rahayu Guesthouse RedPartner near Jatim Park 2 Batu</t>
        </is>
      </c>
      <c r="C137" s="26" t="n">
        <v>-7.8860302</v>
      </c>
      <c r="D137" s="26" t="n">
        <v>112.5330945</v>
      </c>
      <c r="E137" s="21" t="n">
        <v>106000</v>
      </c>
      <c r="F137" s="27" t="n">
        <v>0</v>
      </c>
      <c r="G137" s="28" t="n">
        <v>0</v>
      </c>
      <c r="H137" s="14" t="inlineStr">
        <is>
          <t>N/A</t>
        </is>
      </c>
      <c r="I137" s="29">
        <f>6371 * 2 * ASIN(SQRT(SIN(RADIANS((C137) - INDEX('Dataset_Wisata'!$C$12:$C$622, MATCH('Dashboard'!$C$9, 'Dataset_Wisata'!$A$12:$A$622, 0)))/2)^2 + COS(RADIANS(INDEX('Dataset_Wisata'!$C$12:$C$622, MATCH('Dashboard'!$C$9, 'Dataset_Wisata'!$A$12:$A$622, 0)))) * COS(RADIANS(C137)) * SIN(RADIANS((D137) - INDEX('Dataset_Wisata'!$D$12:$D$622, MATCH('Dashboard'!$C$9, 'Dataset_Wisata'!$A$12:$A$622, 0)))/2)^2)) * 1.3</f>
        <v/>
      </c>
      <c r="J137" s="21">
        <f>ROUND(I137 * IF('Dashboard'!$C$6&lt;=1, 2250, IF('Dashboard'!$C$6&lt;=4, 5150, 6000)), 0)</f>
        <v/>
      </c>
      <c r="K137" s="30" t="n">
        <v>0.9797130146485091</v>
      </c>
      <c r="L137" s="30" t="n">
        <v>0.01678843003503948</v>
      </c>
      <c r="M137" s="30" t="n">
        <v>0.003498555316451375</v>
      </c>
      <c r="N137" s="31">
        <f>ABS(E137-$F$6)</f>
        <v/>
      </c>
      <c r="O137" s="31">
        <f>ABS(E137-$F$7)</f>
        <v/>
      </c>
      <c r="P137" s="31">
        <f>ABS(E137-$F$8)</f>
        <v/>
      </c>
      <c r="Q137" s="14">
        <f>IF(K137&gt;=MAX(L137,M137), "Hemat", IF(L137&gt;=M137, "Balanced", "Premium"))</f>
        <v/>
      </c>
      <c r="R137" s="30" t="n">
        <v>0.9797127263991592</v>
      </c>
      <c r="S137" s="30" t="n">
        <v>0.01678866839067837</v>
      </c>
      <c r="T137" s="30" t="n">
        <v>0.00349860521016236</v>
      </c>
      <c r="U137" s="31">
        <f>ABS(E137-$G$6)</f>
        <v/>
      </c>
      <c r="V137" s="31">
        <f>ABS(E137-$G$7)</f>
        <v/>
      </c>
      <c r="W137" s="31">
        <f>ABS(E137-$G$8)</f>
        <v/>
      </c>
      <c r="X137" s="14">
        <f>IF(R137&gt;=MAX(S137,T137), "Hemat", IF(S137&gt;=T137, "Balanced", "Premium"))</f>
        <v/>
      </c>
    </row>
    <row r="138">
      <c r="A138" s="14" t="n">
        <v>127</v>
      </c>
      <c r="B138" s="7" t="inlineStr">
        <is>
          <t>Mama Homestay</t>
        </is>
      </c>
      <c r="C138" s="26" t="n">
        <v>-7.8943351</v>
      </c>
      <c r="D138" s="26" t="n">
        <v>112.5309608</v>
      </c>
      <c r="E138" s="21" t="n">
        <v>100000</v>
      </c>
      <c r="F138" s="27" t="n">
        <v>0</v>
      </c>
      <c r="G138" s="28" t="n">
        <v>0</v>
      </c>
      <c r="H138" s="14" t="inlineStr">
        <is>
          <t>N/A</t>
        </is>
      </c>
      <c r="I138" s="29">
        <f>6371 * 2 * ASIN(SQRT(SIN(RADIANS((C138) - INDEX('Dataset_Wisata'!$C$12:$C$622, MATCH('Dashboard'!$C$9, 'Dataset_Wisata'!$A$12:$A$622, 0)))/2)^2 + COS(RADIANS(INDEX('Dataset_Wisata'!$C$12:$C$622, MATCH('Dashboard'!$C$9, 'Dataset_Wisata'!$A$12:$A$622, 0)))) * COS(RADIANS(C138)) * SIN(RADIANS((D138) - INDEX('Dataset_Wisata'!$D$12:$D$622, MATCH('Dashboard'!$C$9, 'Dataset_Wisata'!$A$12:$A$622, 0)))/2)^2)) * 1.3</f>
        <v/>
      </c>
      <c r="J138" s="21">
        <f>ROUND(I138 * IF('Dashboard'!$C$6&lt;=1, 2250, IF('Dashboard'!$C$6&lt;=4, 5150, 6000)), 0)</f>
        <v/>
      </c>
      <c r="K138" s="30" t="n">
        <v>0.9672305756379272</v>
      </c>
      <c r="L138" s="30" t="n">
        <v>0.02690286027756393</v>
      </c>
      <c r="M138" s="30" t="n">
        <v>0.005866564084508831</v>
      </c>
      <c r="N138" s="31">
        <f>ABS(E138-$F$6)</f>
        <v/>
      </c>
      <c r="O138" s="31">
        <f>ABS(E138-$F$7)</f>
        <v/>
      </c>
      <c r="P138" s="31">
        <f>ABS(E138-$F$8)</f>
        <v/>
      </c>
      <c r="Q138" s="14">
        <f>IF(K138&gt;=MAX(L138,M138), "Hemat", IF(L138&gt;=M138, "Balanced", "Premium"))</f>
        <v/>
      </c>
      <c r="R138" s="30" t="n">
        <v>0.9672303035537276</v>
      </c>
      <c r="S138" s="30" t="n">
        <v>0.02690308452718115</v>
      </c>
      <c r="T138" s="30" t="n">
        <v>0.0058666119190913</v>
      </c>
      <c r="U138" s="31">
        <f>ABS(E138-$G$6)</f>
        <v/>
      </c>
      <c r="V138" s="31">
        <f>ABS(E138-$G$7)</f>
        <v/>
      </c>
      <c r="W138" s="31">
        <f>ABS(E138-$G$8)</f>
        <v/>
      </c>
      <c r="X138" s="14">
        <f>IF(R138&gt;=MAX(S138,T138), "Hemat", IF(S138&gt;=T138, "Balanced", "Premium"))</f>
        <v/>
      </c>
    </row>
    <row r="139">
      <c r="A139" s="14" t="n">
        <v>128</v>
      </c>
      <c r="B139" s="7" t="inlineStr">
        <is>
          <t>Omah Anin Guest House Batu</t>
        </is>
      </c>
      <c r="C139" s="26" t="n">
        <v>-7.886067</v>
      </c>
      <c r="D139" s="26" t="n">
        <v>112.5306464</v>
      </c>
      <c r="E139" s="21" t="n">
        <v>195612</v>
      </c>
      <c r="F139" s="27" t="n">
        <v>0</v>
      </c>
      <c r="G139" s="28" t="n">
        <v>0</v>
      </c>
      <c r="H139" s="14" t="inlineStr">
        <is>
          <t>N/A</t>
        </is>
      </c>
      <c r="I139" s="29">
        <f>6371 * 2 * ASIN(SQRT(SIN(RADIANS((C139) - INDEX('Dataset_Wisata'!$C$12:$C$622, MATCH('Dashboard'!$C$9, 'Dataset_Wisata'!$A$12:$A$622, 0)))/2)^2 + COS(RADIANS(INDEX('Dataset_Wisata'!$C$12:$C$622, MATCH('Dashboard'!$C$9, 'Dataset_Wisata'!$A$12:$A$622, 0)))) * COS(RADIANS(C139)) * SIN(RADIANS((D139) - INDEX('Dataset_Wisata'!$D$12:$D$622, MATCH('Dashboard'!$C$9, 'Dataset_Wisata'!$A$12:$A$622, 0)))/2)^2)) * 1.3</f>
        <v/>
      </c>
      <c r="J139" s="21">
        <f>ROUND(I139 * IF('Dashboard'!$C$6&lt;=1, 2250, IF('Dashboard'!$C$6&lt;=4, 5150, 6000)), 0)</f>
        <v/>
      </c>
      <c r="K139" s="30" t="n">
        <v>0.3157711264524095</v>
      </c>
      <c r="L139" s="30" t="n">
        <v>0.6496561360164231</v>
      </c>
      <c r="M139" s="30" t="n">
        <v>0.03457273753116752</v>
      </c>
      <c r="N139" s="31">
        <f>ABS(E139-$F$6)</f>
        <v/>
      </c>
      <c r="O139" s="31">
        <f>ABS(E139-$F$7)</f>
        <v/>
      </c>
      <c r="P139" s="31">
        <f>ABS(E139-$F$8)</f>
        <v/>
      </c>
      <c r="Q139" s="14">
        <f>IF(K139&gt;=MAX(L139,M139), "Hemat", IF(L139&gt;=M139, "Balanced", "Premium"))</f>
        <v/>
      </c>
      <c r="R139" s="30" t="n">
        <v>0.3157790872874802</v>
      </c>
      <c r="S139" s="30" t="n">
        <v>0.6496480697276322</v>
      </c>
      <c r="T139" s="30" t="n">
        <v>0.03457284298488759</v>
      </c>
      <c r="U139" s="31">
        <f>ABS(E139-$G$6)</f>
        <v/>
      </c>
      <c r="V139" s="31">
        <f>ABS(E139-$G$7)</f>
        <v/>
      </c>
      <c r="W139" s="31">
        <f>ABS(E139-$G$8)</f>
        <v/>
      </c>
      <c r="X139" s="14">
        <f>IF(R139&gt;=MAX(S139,T139), "Hemat", IF(S139&gt;=T139, "Balanced", "Premium"))</f>
        <v/>
      </c>
    </row>
    <row r="140">
      <c r="A140" s="14" t="n">
        <v>129</v>
      </c>
      <c r="B140" s="7" t="inlineStr">
        <is>
          <t>Griya Imafa Inn RedPartner near Jatim Park 2</t>
        </is>
      </c>
      <c r="C140" s="26" t="n">
        <v>-7.8874171</v>
      </c>
      <c r="D140" s="26" t="n">
        <v>112.5305526</v>
      </c>
      <c r="E140" s="21" t="n">
        <v>153125</v>
      </c>
      <c r="F140" s="27" t="n">
        <v>0</v>
      </c>
      <c r="G140" s="28" t="n">
        <v>0</v>
      </c>
      <c r="H140" s="14" t="inlineStr">
        <is>
          <t>N/A</t>
        </is>
      </c>
      <c r="I140" s="29">
        <f>6371 * 2 * ASIN(SQRT(SIN(RADIANS((C140) - INDEX('Dataset_Wisata'!$C$12:$C$622, MATCH('Dashboard'!$C$9, 'Dataset_Wisata'!$A$12:$A$622, 0)))/2)^2 + COS(RADIANS(INDEX('Dataset_Wisata'!$C$12:$C$622, MATCH('Dashboard'!$C$9, 'Dataset_Wisata'!$A$12:$A$622, 0)))) * COS(RADIANS(C140)) * SIN(RADIANS((D140) - INDEX('Dataset_Wisata'!$D$12:$D$622, MATCH('Dashboard'!$C$9, 'Dataset_Wisata'!$A$12:$A$622, 0)))/2)^2)) * 1.3</f>
        <v/>
      </c>
      <c r="J140" s="21">
        <f>ROUND(I140 * IF('Dashboard'!$C$6&lt;=1, 2250, IF('Dashboard'!$C$6&lt;=4, 5150, 6000)), 0)</f>
        <v/>
      </c>
      <c r="K140" s="30" t="n">
        <v>0.9004601305664706</v>
      </c>
      <c r="L140" s="30" t="n">
        <v>0.08827136739751378</v>
      </c>
      <c r="M140" s="30" t="n">
        <v>0.01126850203601563</v>
      </c>
      <c r="N140" s="31">
        <f>ABS(E140-$F$6)</f>
        <v/>
      </c>
      <c r="O140" s="31">
        <f>ABS(E140-$F$7)</f>
        <v/>
      </c>
      <c r="P140" s="31">
        <f>ABS(E140-$F$8)</f>
        <v/>
      </c>
      <c r="Q140" s="14">
        <f>IF(K140&gt;=MAX(L140,M140), "Hemat", IF(L140&gt;=M140, "Balanced", "Premium"))</f>
        <v/>
      </c>
      <c r="R140" s="30" t="n">
        <v>0.9004630445848745</v>
      </c>
      <c r="S140" s="30" t="n">
        <v>0.08826874609944839</v>
      </c>
      <c r="T140" s="30" t="n">
        <v>0.01126820931567716</v>
      </c>
      <c r="U140" s="31">
        <f>ABS(E140-$G$6)</f>
        <v/>
      </c>
      <c r="V140" s="31">
        <f>ABS(E140-$G$7)</f>
        <v/>
      </c>
      <c r="W140" s="31">
        <f>ABS(E140-$G$8)</f>
        <v/>
      </c>
      <c r="X140" s="14">
        <f>IF(R140&gt;=MAX(S140,T140), "Hemat", IF(S140&gt;=T140, "Balanced", "Premium"))</f>
        <v/>
      </c>
    </row>
    <row r="141">
      <c r="A141" s="14" t="n">
        <v>130</v>
      </c>
      <c r="B141" s="7" t="inlineStr">
        <is>
          <t>AKBAR 3 Homestay</t>
        </is>
      </c>
      <c r="C141" s="26" t="n">
        <v>-7.8961977</v>
      </c>
      <c r="D141" s="26" t="n">
        <v>112.531503</v>
      </c>
      <c r="E141" s="21" t="n">
        <v>150000</v>
      </c>
      <c r="F141" s="27" t="n">
        <v>0</v>
      </c>
      <c r="G141" s="28" t="n">
        <v>0</v>
      </c>
      <c r="H141" s="14" t="inlineStr">
        <is>
          <t>N/A</t>
        </is>
      </c>
      <c r="I141" s="29">
        <f>6371 * 2 * ASIN(SQRT(SIN(RADIANS((C141) - INDEX('Dataset_Wisata'!$C$12:$C$622, MATCH('Dashboard'!$C$9, 'Dataset_Wisata'!$A$12:$A$622, 0)))/2)^2 + COS(RADIANS(INDEX('Dataset_Wisata'!$C$12:$C$622, MATCH('Dashboard'!$C$9, 'Dataset_Wisata'!$A$12:$A$622, 0)))) * COS(RADIANS(C141)) * SIN(RADIANS((D141) - INDEX('Dataset_Wisata'!$D$12:$D$622, MATCH('Dashboard'!$C$9, 'Dataset_Wisata'!$A$12:$A$622, 0)))/2)^2)) * 1.3</f>
        <v/>
      </c>
      <c r="J141" s="21">
        <f>ROUND(I141 * IF('Dashboard'!$C$6&lt;=1, 2250, IF('Dashboard'!$C$6&lt;=4, 5150, 6000)), 0)</f>
        <v/>
      </c>
      <c r="K141" s="30" t="n">
        <v>0.9236568385235482</v>
      </c>
      <c r="L141" s="30" t="n">
        <v>0.06736899151285153</v>
      </c>
      <c r="M141" s="30" t="n">
        <v>0.008974169963600275</v>
      </c>
      <c r="N141" s="31">
        <f>ABS(E141-$F$6)</f>
        <v/>
      </c>
      <c r="O141" s="31">
        <f>ABS(E141-$F$7)</f>
        <v/>
      </c>
      <c r="P141" s="31">
        <f>ABS(E141-$F$8)</f>
        <v/>
      </c>
      <c r="Q141" s="14">
        <f>IF(K141&gt;=MAX(L141,M141), "Hemat", IF(L141&gt;=M141, "Balanced", "Premium"))</f>
        <v/>
      </c>
      <c r="R141" s="30" t="n">
        <v>0.9236592327110943</v>
      </c>
      <c r="S141" s="30" t="n">
        <v>0.0673668524262508</v>
      </c>
      <c r="T141" s="30" t="n">
        <v>0.008973914862654904</v>
      </c>
      <c r="U141" s="31">
        <f>ABS(E141-$G$6)</f>
        <v/>
      </c>
      <c r="V141" s="31">
        <f>ABS(E141-$G$7)</f>
        <v/>
      </c>
      <c r="W141" s="31">
        <f>ABS(E141-$G$8)</f>
        <v/>
      </c>
      <c r="X141" s="14">
        <f>IF(R141&gt;=MAX(S141,T141), "Hemat", IF(S141&gt;=T141, "Balanced", "Premium"))</f>
        <v/>
      </c>
    </row>
    <row r="142">
      <c r="A142" s="14" t="n">
        <v>131</v>
      </c>
      <c r="B142" s="7" t="inlineStr">
        <is>
          <t>Batu View Villa</t>
        </is>
      </c>
      <c r="C142" s="26" t="n">
        <v>-7.8943651</v>
      </c>
      <c r="D142" s="26" t="n">
        <v>112.5187564</v>
      </c>
      <c r="E142" s="21" t="n">
        <v>1500000</v>
      </c>
      <c r="F142" s="27" t="n">
        <v>0</v>
      </c>
      <c r="G142" s="28" t="n">
        <v>0</v>
      </c>
      <c r="H142" s="14" t="inlineStr">
        <is>
          <t>N/A</t>
        </is>
      </c>
      <c r="I142" s="29">
        <f>6371 * 2 * ASIN(SQRT(SIN(RADIANS((C142) - INDEX('Dataset_Wisata'!$C$12:$C$622, MATCH('Dashboard'!$C$9, 'Dataset_Wisata'!$A$12:$A$622, 0)))/2)^2 + COS(RADIANS(INDEX('Dataset_Wisata'!$C$12:$C$622, MATCH('Dashboard'!$C$9, 'Dataset_Wisata'!$A$12:$A$622, 0)))) * COS(RADIANS(C142)) * SIN(RADIANS((D142) - INDEX('Dataset_Wisata'!$D$12:$D$622, MATCH('Dashboard'!$C$9, 'Dataset_Wisata'!$A$12:$A$622, 0)))/2)^2)) * 1.3</f>
        <v/>
      </c>
      <c r="J142" s="21">
        <f>ROUND(I142 * IF('Dashboard'!$C$6&lt;=1, 2250, IF('Dashboard'!$C$6&lt;=4, 5150, 6000)), 0)</f>
        <v/>
      </c>
      <c r="K142" s="30" t="n">
        <v>0.005283444585871828</v>
      </c>
      <c r="L142" s="30" t="n">
        <v>0.006352833707174612</v>
      </c>
      <c r="M142" s="30" t="n">
        <v>0.008436889456875606</v>
      </c>
      <c r="N142" s="31">
        <f>ABS(E142-$F$6)</f>
        <v/>
      </c>
      <c r="O142" s="31">
        <f>ABS(E142-$F$7)</f>
        <v/>
      </c>
      <c r="P142" s="31">
        <f>ABS(E142-$F$8)</f>
        <v/>
      </c>
      <c r="Q142" s="14">
        <f>IF(K142&gt;=MAX(L142,M142), "Hemat", IF(L142&gt;=M142, "Balanced", "Premium"))</f>
        <v/>
      </c>
      <c r="R142" s="30" t="n">
        <v>0.005283446378795574</v>
      </c>
      <c r="S142" s="30" t="n">
        <v>0.006352841538885596</v>
      </c>
      <c r="T142" s="30" t="n">
        <v>0.008436915563064995</v>
      </c>
      <c r="U142" s="31">
        <f>ABS(E142-$G$6)</f>
        <v/>
      </c>
      <c r="V142" s="31">
        <f>ABS(E142-$G$7)</f>
        <v/>
      </c>
      <c r="W142" s="31">
        <f>ABS(E142-$G$8)</f>
        <v/>
      </c>
      <c r="X142" s="14">
        <f>IF(R142&gt;=MAX(S142,T142), "Hemat", IF(S142&gt;=T142, "Balanced", "Premium"))</f>
        <v/>
      </c>
    </row>
    <row r="143">
      <c r="A143" s="14" t="n">
        <v>132</v>
      </c>
      <c r="B143" s="7" t="inlineStr">
        <is>
          <t>Guest house syariah KaGami</t>
        </is>
      </c>
      <c r="C143" s="26" t="n">
        <v>-7.8967343</v>
      </c>
      <c r="D143" s="26" t="n">
        <v>112.532726</v>
      </c>
      <c r="E143" s="21" t="n">
        <v>199091</v>
      </c>
      <c r="F143" s="27" t="n">
        <v>0</v>
      </c>
      <c r="G143" s="28" t="n">
        <v>0</v>
      </c>
      <c r="H143" s="14" t="inlineStr">
        <is>
          <t>N/A</t>
        </is>
      </c>
      <c r="I143" s="29">
        <f>6371 * 2 * ASIN(SQRT(SIN(RADIANS((C143) - INDEX('Dataset_Wisata'!$C$12:$C$622, MATCH('Dashboard'!$C$9, 'Dataset_Wisata'!$A$12:$A$622, 0)))/2)^2 + COS(RADIANS(INDEX('Dataset_Wisata'!$C$12:$C$622, MATCH('Dashboard'!$C$9, 'Dataset_Wisata'!$A$12:$A$622, 0)))) * COS(RADIANS(C143)) * SIN(RADIANS((D143) - INDEX('Dataset_Wisata'!$D$12:$D$622, MATCH('Dashboard'!$C$9, 'Dataset_Wisata'!$A$12:$A$622, 0)))/2)^2)) * 1.3</f>
        <v/>
      </c>
      <c r="J143" s="21">
        <f>ROUND(I143 * IF('Dashboard'!$C$6&lt;=1, 2250, IF('Dashboard'!$C$6&lt;=4, 5150, 6000)), 0)</f>
        <v/>
      </c>
      <c r="K143" s="30" t="n">
        <v>0.2673615943878295</v>
      </c>
      <c r="L143" s="30" t="n">
        <v>0.6993780739823036</v>
      </c>
      <c r="M143" s="30" t="n">
        <v>0.03326033162986688</v>
      </c>
      <c r="N143" s="31">
        <f>ABS(E143-$F$6)</f>
        <v/>
      </c>
      <c r="O143" s="31">
        <f>ABS(E143-$F$7)</f>
        <v/>
      </c>
      <c r="P143" s="31">
        <f>ABS(E143-$F$8)</f>
        <v/>
      </c>
      <c r="Q143" s="14">
        <f>IF(K143&gt;=MAX(L143,M143), "Hemat", IF(L143&gt;=M143, "Balanced", "Premium"))</f>
        <v/>
      </c>
      <c r="R143" s="30" t="n">
        <v>0.2673692069116477</v>
      </c>
      <c r="S143" s="30" t="n">
        <v>0.6993702499187142</v>
      </c>
      <c r="T143" s="30" t="n">
        <v>0.03326054316963808</v>
      </c>
      <c r="U143" s="31">
        <f>ABS(E143-$G$6)</f>
        <v/>
      </c>
      <c r="V143" s="31">
        <f>ABS(E143-$G$7)</f>
        <v/>
      </c>
      <c r="W143" s="31">
        <f>ABS(E143-$G$8)</f>
        <v/>
      </c>
      <c r="X143" s="14">
        <f>IF(R143&gt;=MAX(S143,T143), "Hemat", IF(S143&gt;=T143, "Balanced", "Premium"))</f>
        <v/>
      </c>
    </row>
    <row r="144">
      <c r="A144" s="14" t="n">
        <v>133</v>
      </c>
      <c r="B144" s="7" t="inlineStr">
        <is>
          <t>Reddoorz near dino park</t>
        </is>
      </c>
      <c r="C144" s="26" t="n">
        <v>-7.8873944</v>
      </c>
      <c r="D144" s="26" t="n">
        <v>112.5435124</v>
      </c>
      <c r="E144" s="21" t="n">
        <v>282293</v>
      </c>
      <c r="F144" s="27" t="n">
        <v>0</v>
      </c>
      <c r="G144" s="28" t="n">
        <v>0</v>
      </c>
      <c r="H144" s="14" t="inlineStr">
        <is>
          <t>N/A</t>
        </is>
      </c>
      <c r="I144" s="29">
        <f>6371 * 2 * ASIN(SQRT(SIN(RADIANS((C144) - INDEX('Dataset_Wisata'!$C$12:$C$622, MATCH('Dashboard'!$C$9, 'Dataset_Wisata'!$A$12:$A$622, 0)))/2)^2 + COS(RADIANS(INDEX('Dataset_Wisata'!$C$12:$C$622, MATCH('Dashboard'!$C$9, 'Dataset_Wisata'!$A$12:$A$622, 0)))) * COS(RADIANS(C144)) * SIN(RADIANS((D144) - INDEX('Dataset_Wisata'!$D$12:$D$622, MATCH('Dashboard'!$C$9, 'Dataset_Wisata'!$A$12:$A$622, 0)))/2)^2)) * 1.3</f>
        <v/>
      </c>
      <c r="J144" s="21">
        <f>ROUND(I144 * IF('Dashboard'!$C$6&lt;=1, 2250, IF('Dashboard'!$C$6&lt;=4, 5150, 6000)), 0)</f>
        <v/>
      </c>
      <c r="K144" s="30" t="n">
        <v>0.048026186751517</v>
      </c>
      <c r="L144" s="30" t="n">
        <v>0.8798887555181462</v>
      </c>
      <c r="M144" s="30" t="n">
        <v>0.07208505773033672</v>
      </c>
      <c r="N144" s="31">
        <f>ABS(E144-$F$6)</f>
        <v/>
      </c>
      <c r="O144" s="31">
        <f>ABS(E144-$F$7)</f>
        <v/>
      </c>
      <c r="P144" s="31">
        <f>ABS(E144-$F$8)</f>
        <v/>
      </c>
      <c r="Q144" s="14">
        <f>IF(K144&gt;=MAX(L144,M144), "Hemat", IF(L144&gt;=M144, "Balanced", "Premium"))</f>
        <v/>
      </c>
      <c r="R144" s="30" t="n">
        <v>0.04802464211859513</v>
      </c>
      <c r="S144" s="30" t="n">
        <v>0.8798947137682268</v>
      </c>
      <c r="T144" s="30" t="n">
        <v>0.07208064411317794</v>
      </c>
      <c r="U144" s="31">
        <f>ABS(E144-$G$6)</f>
        <v/>
      </c>
      <c r="V144" s="31">
        <f>ABS(E144-$G$7)</f>
        <v/>
      </c>
      <c r="W144" s="31">
        <f>ABS(E144-$G$8)</f>
        <v/>
      </c>
      <c r="X144" s="14">
        <f>IF(R144&gt;=MAX(S144,T144), "Hemat", IF(S144&gt;=T144, "Balanced", "Premium"))</f>
        <v/>
      </c>
    </row>
    <row r="145">
      <c r="A145" s="14" t="n">
        <v>134</v>
      </c>
      <c r="B145" s="7" t="inlineStr">
        <is>
          <t>Kaluna Resort &amp; Cafe</t>
        </is>
      </c>
      <c r="C145" s="26" t="n">
        <v>-7.8867996</v>
      </c>
      <c r="D145" s="26" t="n">
        <v>112.5448713</v>
      </c>
      <c r="E145" s="21" t="n">
        <v>246300</v>
      </c>
      <c r="F145" s="27" t="n">
        <v>0</v>
      </c>
      <c r="G145" s="28" t="n">
        <v>0</v>
      </c>
      <c r="H145" s="14" t="inlineStr">
        <is>
          <t>N/A</t>
        </is>
      </c>
      <c r="I145" s="29">
        <f>6371 * 2 * ASIN(SQRT(SIN(RADIANS((C145) - INDEX('Dataset_Wisata'!$C$12:$C$622, MATCH('Dashboard'!$C$9, 'Dataset_Wisata'!$A$12:$A$622, 0)))/2)^2 + COS(RADIANS(INDEX('Dataset_Wisata'!$C$12:$C$622, MATCH('Dashboard'!$C$9, 'Dataset_Wisata'!$A$12:$A$622, 0)))) * COS(RADIANS(C145)) * SIN(RADIANS((D145) - INDEX('Dataset_Wisata'!$D$12:$D$622, MATCH('Dashboard'!$C$9, 'Dataset_Wisata'!$A$12:$A$622, 0)))/2)^2)) * 1.3</f>
        <v/>
      </c>
      <c r="J145" s="21">
        <f>ROUND(I145 * IF('Dashboard'!$C$6&lt;=1, 2250, IF('Dashboard'!$C$6&lt;=4, 5150, 6000)), 0)</f>
        <v/>
      </c>
      <c r="K145" s="30" t="n">
        <v>5.82632229547056e-05</v>
      </c>
      <c r="L145" s="30" t="n">
        <v>0.9999098542375588</v>
      </c>
      <c r="M145" s="30" t="n">
        <v>3.188253948635286e-05</v>
      </c>
      <c r="N145" s="31">
        <f>ABS(E145-$F$6)</f>
        <v/>
      </c>
      <c r="O145" s="31">
        <f>ABS(E145-$F$7)</f>
        <v/>
      </c>
      <c r="P145" s="31">
        <f>ABS(E145-$F$8)</f>
        <v/>
      </c>
      <c r="Q145" s="14">
        <f>IF(K145&gt;=MAX(L145,M145), "Hemat", IF(L145&gt;=M145, "Balanced", "Premium"))</f>
        <v/>
      </c>
      <c r="R145" s="30" t="n">
        <v>5.816677270215358e-05</v>
      </c>
      <c r="S145" s="30" t="n">
        <v>0.9999100042384846</v>
      </c>
      <c r="T145" s="30" t="n">
        <v>3.182898881312989e-05</v>
      </c>
      <c r="U145" s="31">
        <f>ABS(E145-$G$6)</f>
        <v/>
      </c>
      <c r="V145" s="31">
        <f>ABS(E145-$G$7)</f>
        <v/>
      </c>
      <c r="W145" s="31">
        <f>ABS(E145-$G$8)</f>
        <v/>
      </c>
      <c r="X145" s="14">
        <f>IF(R145&gt;=MAX(S145,T145), "Hemat", IF(S145&gt;=T145, "Balanced", "Premium"))</f>
        <v/>
      </c>
    </row>
    <row r="146">
      <c r="A146" s="14" t="n">
        <v>135</v>
      </c>
      <c r="B146" s="7" t="inlineStr">
        <is>
          <t>Villa Villi</t>
        </is>
      </c>
      <c r="C146" s="26" t="n">
        <v>-7.8942353</v>
      </c>
      <c r="D146" s="26" t="n">
        <v>112.5346554</v>
      </c>
      <c r="E146" s="21" t="n">
        <v>366736</v>
      </c>
      <c r="F146" s="27" t="n">
        <v>0</v>
      </c>
      <c r="G146" s="28" t="n">
        <v>0</v>
      </c>
      <c r="H146" s="14" t="inlineStr">
        <is>
          <t>N/A</t>
        </is>
      </c>
      <c r="I146" s="29">
        <f>6371 * 2 * ASIN(SQRT(SIN(RADIANS((C146) - INDEX('Dataset_Wisata'!$C$12:$C$622, MATCH('Dashboard'!$C$9, 'Dataset_Wisata'!$A$12:$A$622, 0)))/2)^2 + COS(RADIANS(INDEX('Dataset_Wisata'!$C$12:$C$622, MATCH('Dashboard'!$C$9, 'Dataset_Wisata'!$A$12:$A$622, 0)))) * COS(RADIANS(C146)) * SIN(RADIANS((D146) - INDEX('Dataset_Wisata'!$D$12:$D$622, MATCH('Dashboard'!$C$9, 'Dataset_Wisata'!$A$12:$A$622, 0)))/2)^2)) * 1.3</f>
        <v/>
      </c>
      <c r="J146" s="21">
        <f>ROUND(I146 * IF('Dashboard'!$C$6&lt;=1, 2250, IF('Dashboard'!$C$6&lt;=4, 5150, 6000)), 0)</f>
        <v/>
      </c>
      <c r="K146" s="30" t="n">
        <v>0.02889908927997981</v>
      </c>
      <c r="L146" s="30" t="n">
        <v>0.1153646661595136</v>
      </c>
      <c r="M146" s="30" t="n">
        <v>0.8557362445605066</v>
      </c>
      <c r="N146" s="31">
        <f>ABS(E146-$F$6)</f>
        <v/>
      </c>
      <c r="O146" s="31">
        <f>ABS(E146-$F$7)</f>
        <v/>
      </c>
      <c r="P146" s="31">
        <f>ABS(E146-$F$8)</f>
        <v/>
      </c>
      <c r="Q146" s="14">
        <f>IF(K146&gt;=MAX(L146,M146), "Hemat", IF(L146&gt;=M146, "Balanced", "Premium"))</f>
        <v/>
      </c>
      <c r="R146" s="30" t="n">
        <v>0.02890097032679132</v>
      </c>
      <c r="S146" s="30" t="n">
        <v>0.1153734234462101</v>
      </c>
      <c r="T146" s="30" t="n">
        <v>0.8557256062269987</v>
      </c>
      <c r="U146" s="31">
        <f>ABS(E146-$G$6)</f>
        <v/>
      </c>
      <c r="V146" s="31">
        <f>ABS(E146-$G$7)</f>
        <v/>
      </c>
      <c r="W146" s="31">
        <f>ABS(E146-$G$8)</f>
        <v/>
      </c>
      <c r="X146" s="14">
        <f>IF(R146&gt;=MAX(S146,T146), "Hemat", IF(S146&gt;=T146, "Balanced", "Premium"))</f>
        <v/>
      </c>
    </row>
    <row r="147">
      <c r="A147" s="14" t="n">
        <v>136</v>
      </c>
      <c r="B147" s="7" t="inlineStr">
        <is>
          <t>Family Homestay Arya</t>
        </is>
      </c>
      <c r="C147" s="26" t="n">
        <v>-7.8960613</v>
      </c>
      <c r="D147" s="26" t="n">
        <v>112.5321019</v>
      </c>
      <c r="E147" s="21" t="n">
        <v>220925</v>
      </c>
      <c r="F147" s="27" t="n">
        <v>0</v>
      </c>
      <c r="G147" s="28" t="n">
        <v>0</v>
      </c>
      <c r="H147" s="14" t="inlineStr">
        <is>
          <t>N/A</t>
        </is>
      </c>
      <c r="I147" s="29">
        <f>6371 * 2 * ASIN(SQRT(SIN(RADIANS((C147) - INDEX('Dataset_Wisata'!$C$12:$C$622, MATCH('Dashboard'!$C$9, 'Dataset_Wisata'!$A$12:$A$622, 0)))/2)^2 + COS(RADIANS(INDEX('Dataset_Wisata'!$C$12:$C$622, MATCH('Dashboard'!$C$9, 'Dataset_Wisata'!$A$12:$A$622, 0)))) * COS(RADIANS(C147)) * SIN(RADIANS((D147) - INDEX('Dataset_Wisata'!$D$12:$D$622, MATCH('Dashboard'!$C$9, 'Dataset_Wisata'!$A$12:$A$622, 0)))/2)^2)) * 1.3</f>
        <v/>
      </c>
      <c r="J147" s="21">
        <f>ROUND(I147 * IF('Dashboard'!$C$6&lt;=1, 2250, IF('Dashboard'!$C$6&lt;=4, 5150, 6000)), 0)</f>
        <v/>
      </c>
      <c r="K147" s="30" t="n">
        <v>0.05916302306093697</v>
      </c>
      <c r="L147" s="30" t="n">
        <v>0.9255781973439325</v>
      </c>
      <c r="M147" s="30" t="n">
        <v>0.0152587795951305</v>
      </c>
      <c r="N147" s="31">
        <f>ABS(E147-$F$6)</f>
        <v/>
      </c>
      <c r="O147" s="31">
        <f>ABS(E147-$F$7)</f>
        <v/>
      </c>
      <c r="P147" s="31">
        <f>ABS(E147-$F$8)</f>
        <v/>
      </c>
      <c r="Q147" s="14">
        <f>IF(K147&gt;=MAX(L147,M147), "Hemat", IF(L147&gt;=M147, "Balanced", "Premium"))</f>
        <v/>
      </c>
      <c r="R147" s="30" t="n">
        <v>0.05916677292246021</v>
      </c>
      <c r="S147" s="30" t="n">
        <v>0.9255738240636427</v>
      </c>
      <c r="T147" s="30" t="n">
        <v>0.0152594030138971</v>
      </c>
      <c r="U147" s="31">
        <f>ABS(E147-$G$6)</f>
        <v/>
      </c>
      <c r="V147" s="31">
        <f>ABS(E147-$G$7)</f>
        <v/>
      </c>
      <c r="W147" s="31">
        <f>ABS(E147-$G$8)</f>
        <v/>
      </c>
      <c r="X147" s="14">
        <f>IF(R147&gt;=MAX(S147,T147), "Hemat", IF(S147&gt;=T147, "Balanced", "Premium"))</f>
        <v/>
      </c>
    </row>
    <row r="148">
      <c r="A148" s="14" t="n">
        <v>137</v>
      </c>
      <c r="B148" s="7" t="inlineStr">
        <is>
          <t>HANSEL HOMESTAY Dekat BNS Kota Batu</t>
        </is>
      </c>
      <c r="C148" s="26" t="n">
        <v>-7.8943095</v>
      </c>
      <c r="D148" s="26" t="n">
        <v>112.5424845</v>
      </c>
      <c r="E148" s="21" t="n">
        <v>300000</v>
      </c>
      <c r="F148" s="27" t="n">
        <v>0</v>
      </c>
      <c r="G148" s="28" t="n">
        <v>0</v>
      </c>
      <c r="H148" s="14" t="inlineStr">
        <is>
          <t>N/A</t>
        </is>
      </c>
      <c r="I148" s="29">
        <f>6371 * 2 * ASIN(SQRT(SIN(RADIANS((C148) - INDEX('Dataset_Wisata'!$C$12:$C$622, MATCH('Dashboard'!$C$9, 'Dataset_Wisata'!$A$12:$A$622, 0)))/2)^2 + COS(RADIANS(INDEX('Dataset_Wisata'!$C$12:$C$622, MATCH('Dashboard'!$C$9, 'Dataset_Wisata'!$A$12:$A$622, 0)))) * COS(RADIANS(C148)) * SIN(RADIANS((D148) - INDEX('Dataset_Wisata'!$D$12:$D$622, MATCH('Dashboard'!$C$9, 'Dataset_Wisata'!$A$12:$A$622, 0)))/2)^2)) * 1.3</f>
        <v/>
      </c>
      <c r="J148" s="21">
        <f>ROUND(I148 * IF('Dashboard'!$C$6&lt;=1, 2250, IF('Dashboard'!$C$6&lt;=4, 5150, 6000)), 0)</f>
        <v/>
      </c>
      <c r="K148" s="30" t="n">
        <v>0.07223626084271963</v>
      </c>
      <c r="L148" s="30" t="n">
        <v>0.7476291821940408</v>
      </c>
      <c r="M148" s="30" t="n">
        <v>0.1801345569632395</v>
      </c>
      <c r="N148" s="31">
        <f>ABS(E148-$F$6)</f>
        <v/>
      </c>
      <c r="O148" s="31">
        <f>ABS(E148-$F$7)</f>
        <v/>
      </c>
      <c r="P148" s="31">
        <f>ABS(E148-$F$8)</f>
        <v/>
      </c>
      <c r="Q148" s="14">
        <f>IF(K148&gt;=MAX(L148,M148), "Hemat", IF(L148&gt;=M148, "Balanced", "Premium"))</f>
        <v/>
      </c>
      <c r="R148" s="30" t="n">
        <v>0.07223530370768798</v>
      </c>
      <c r="S148" s="30" t="n">
        <v>0.7476384566573707</v>
      </c>
      <c r="T148" s="30" t="n">
        <v>0.1801262396349412</v>
      </c>
      <c r="U148" s="31">
        <f>ABS(E148-$G$6)</f>
        <v/>
      </c>
      <c r="V148" s="31">
        <f>ABS(E148-$G$7)</f>
        <v/>
      </c>
      <c r="W148" s="31">
        <f>ABS(E148-$G$8)</f>
        <v/>
      </c>
      <c r="X148" s="14">
        <f>IF(R148&gt;=MAX(S148,T148), "Hemat", IF(S148&gt;=T148, "Balanced", "Premium"))</f>
        <v/>
      </c>
    </row>
    <row r="149">
      <c r="A149" s="14" t="n">
        <v>138</v>
      </c>
      <c r="B149" s="7" t="inlineStr">
        <is>
          <t>Villa Panderman View Di Batu</t>
        </is>
      </c>
      <c r="C149" s="26" t="n">
        <v>-7.890916</v>
      </c>
      <c r="D149" s="26" t="n">
        <v>112.5225929</v>
      </c>
      <c r="E149" s="21" t="n">
        <v>300000</v>
      </c>
      <c r="F149" s="27" t="n">
        <v>0</v>
      </c>
      <c r="G149" s="28" t="n">
        <v>0</v>
      </c>
      <c r="H149" s="14" t="inlineStr">
        <is>
          <t>N/A</t>
        </is>
      </c>
      <c r="I149" s="29">
        <f>6371 * 2 * ASIN(SQRT(SIN(RADIANS((C149) - INDEX('Dataset_Wisata'!$C$12:$C$622, MATCH('Dashboard'!$C$9, 'Dataset_Wisata'!$A$12:$A$622, 0)))/2)^2 + COS(RADIANS(INDEX('Dataset_Wisata'!$C$12:$C$622, MATCH('Dashboard'!$C$9, 'Dataset_Wisata'!$A$12:$A$622, 0)))) * COS(RADIANS(C149)) * SIN(RADIANS((D149) - INDEX('Dataset_Wisata'!$D$12:$D$622, MATCH('Dashboard'!$C$9, 'Dataset_Wisata'!$A$12:$A$622, 0)))/2)^2)) * 1.3</f>
        <v/>
      </c>
      <c r="J149" s="21">
        <f>ROUND(I149 * IF('Dashboard'!$C$6&lt;=1, 2250, IF('Dashboard'!$C$6&lt;=4, 5150, 6000)), 0)</f>
        <v/>
      </c>
      <c r="K149" s="30" t="n">
        <v>0.07223626084271963</v>
      </c>
      <c r="L149" s="30" t="n">
        <v>0.7476291821940408</v>
      </c>
      <c r="M149" s="30" t="n">
        <v>0.1801345569632395</v>
      </c>
      <c r="N149" s="31">
        <f>ABS(E149-$F$6)</f>
        <v/>
      </c>
      <c r="O149" s="31">
        <f>ABS(E149-$F$7)</f>
        <v/>
      </c>
      <c r="P149" s="31">
        <f>ABS(E149-$F$8)</f>
        <v/>
      </c>
      <c r="Q149" s="14">
        <f>IF(K149&gt;=MAX(L149,M149), "Hemat", IF(L149&gt;=M149, "Balanced", "Premium"))</f>
        <v/>
      </c>
      <c r="R149" s="30" t="n">
        <v>0.07223530370768798</v>
      </c>
      <c r="S149" s="30" t="n">
        <v>0.7476384566573707</v>
      </c>
      <c r="T149" s="30" t="n">
        <v>0.1801262396349412</v>
      </c>
      <c r="U149" s="31">
        <f>ABS(E149-$G$6)</f>
        <v/>
      </c>
      <c r="V149" s="31">
        <f>ABS(E149-$G$7)</f>
        <v/>
      </c>
      <c r="W149" s="31">
        <f>ABS(E149-$G$8)</f>
        <v/>
      </c>
      <c r="X149" s="14">
        <f>IF(R149&gt;=MAX(S149,T149), "Hemat", IF(S149&gt;=T149, "Balanced", "Premium"))</f>
        <v/>
      </c>
    </row>
    <row r="150">
      <c r="A150" s="14" t="n">
        <v>139</v>
      </c>
      <c r="B150" s="7" t="inlineStr">
        <is>
          <t>Grand Batu Inn</t>
        </is>
      </c>
      <c r="C150" s="26" t="n">
        <v>-7.8841755</v>
      </c>
      <c r="D150" s="26" t="n">
        <v>112.52928</v>
      </c>
      <c r="E150" s="21" t="n">
        <v>281828</v>
      </c>
      <c r="F150" s="27" t="n">
        <v>0</v>
      </c>
      <c r="G150" s="28" t="n">
        <v>0</v>
      </c>
      <c r="H150" s="14" t="inlineStr">
        <is>
          <t>N/A</t>
        </is>
      </c>
      <c r="I150" s="29">
        <f>6371 * 2 * ASIN(SQRT(SIN(RADIANS((C150) - INDEX('Dataset_Wisata'!$C$12:$C$622, MATCH('Dashboard'!$C$9, 'Dataset_Wisata'!$A$12:$A$622, 0)))/2)^2 + COS(RADIANS(INDEX('Dataset_Wisata'!$C$12:$C$622, MATCH('Dashboard'!$C$9, 'Dataset_Wisata'!$A$12:$A$622, 0)))) * COS(RADIANS(C150)) * SIN(RADIANS((D150) - INDEX('Dataset_Wisata'!$D$12:$D$622, MATCH('Dashboard'!$C$9, 'Dataset_Wisata'!$A$12:$A$622, 0)))/2)^2)) * 1.3</f>
        <v/>
      </c>
      <c r="J150" s="21">
        <f>ROUND(I150 * IF('Dashboard'!$C$6&lt;=1, 2250, IF('Dashboard'!$C$6&lt;=4, 5150, 6000)), 0)</f>
        <v/>
      </c>
      <c r="K150" s="30" t="n">
        <v>0.04725372841113487</v>
      </c>
      <c r="L150" s="30" t="n">
        <v>0.8827429311427292</v>
      </c>
      <c r="M150" s="30" t="n">
        <v>0.0700033404461359</v>
      </c>
      <c r="N150" s="31">
        <f>ABS(E150-$F$6)</f>
        <v/>
      </c>
      <c r="O150" s="31">
        <f>ABS(E150-$F$7)</f>
        <v/>
      </c>
      <c r="P150" s="31">
        <f>ABS(E150-$F$8)</f>
        <v/>
      </c>
      <c r="Q150" s="14">
        <f>IF(K150&gt;=MAX(L150,M150), "Hemat", IF(L150&gt;=M150, "Balanced", "Premium"))</f>
        <v/>
      </c>
      <c r="R150" s="30" t="n">
        <v>0.04725217831037978</v>
      </c>
      <c r="S150" s="30" t="n">
        <v>0.8827488063504505</v>
      </c>
      <c r="T150" s="30" t="n">
        <v>0.06999901533916966</v>
      </c>
      <c r="U150" s="31">
        <f>ABS(E150-$G$6)</f>
        <v/>
      </c>
      <c r="V150" s="31">
        <f>ABS(E150-$G$7)</f>
        <v/>
      </c>
      <c r="W150" s="31">
        <f>ABS(E150-$G$8)</f>
        <v/>
      </c>
      <c r="X150" s="14">
        <f>IF(R150&gt;=MAX(S150,T150), "Hemat", IF(S150&gt;=T150, "Balanced", "Premium"))</f>
        <v/>
      </c>
    </row>
    <row r="151">
      <c r="A151" s="14" t="n">
        <v>140</v>
      </c>
      <c r="B151" s="7" t="inlineStr">
        <is>
          <t>Sea Villa Kota Batu</t>
        </is>
      </c>
      <c r="C151" s="26" t="n">
        <v>-7.8967642</v>
      </c>
      <c r="D151" s="26" t="n">
        <v>112.5373146</v>
      </c>
      <c r="E151" s="21" t="n">
        <v>1000000</v>
      </c>
      <c r="F151" s="27" t="n">
        <v>0</v>
      </c>
      <c r="G151" s="28" t="n">
        <v>0</v>
      </c>
      <c r="H151" s="14" t="inlineStr">
        <is>
          <t>N/A</t>
        </is>
      </c>
      <c r="I151" s="29">
        <f>6371 * 2 * ASIN(SQRT(SIN(RADIANS((C151) - INDEX('Dataset_Wisata'!$C$12:$C$622, MATCH('Dashboard'!$C$9, 'Dataset_Wisata'!$A$12:$A$622, 0)))/2)^2 + COS(RADIANS(INDEX('Dataset_Wisata'!$C$12:$C$622, MATCH('Dashboard'!$C$9, 'Dataset_Wisata'!$A$12:$A$622, 0)))) * COS(RADIANS(C151)) * SIN(RADIANS((D151) - INDEX('Dataset_Wisata'!$D$12:$D$622, MATCH('Dashboard'!$C$9, 'Dataset_Wisata'!$A$12:$A$622, 0)))/2)^2)) * 1.3</f>
        <v/>
      </c>
      <c r="J151" s="21">
        <f>ROUND(I151 * IF('Dashboard'!$C$6&lt;=1, 2250, IF('Dashboard'!$C$6&lt;=4, 5150, 6000)), 0)</f>
        <v/>
      </c>
      <c r="K151" s="30" t="n">
        <v>0.01303868333947927</v>
      </c>
      <c r="L151" s="30" t="n">
        <v>0.01756021830388563</v>
      </c>
      <c r="M151" s="30" t="n">
        <v>0.02885424518837367</v>
      </c>
      <c r="N151" s="31">
        <f>ABS(E151-$F$6)</f>
        <v/>
      </c>
      <c r="O151" s="31">
        <f>ABS(E151-$F$7)</f>
        <v/>
      </c>
      <c r="P151" s="31">
        <f>ABS(E151-$F$8)</f>
        <v/>
      </c>
      <c r="Q151" s="14">
        <f>IF(K151&gt;=MAX(L151,M151), "Hemat", IF(L151&gt;=M151, "Balanced", "Premium"))</f>
        <v/>
      </c>
      <c r="R151" s="30" t="n">
        <v>0.01303869029031066</v>
      </c>
      <c r="S151" s="30" t="n">
        <v>0.01756025429543588</v>
      </c>
      <c r="T151" s="30" t="n">
        <v>0.02885441030293644</v>
      </c>
      <c r="U151" s="31">
        <f>ABS(E151-$G$6)</f>
        <v/>
      </c>
      <c r="V151" s="31">
        <f>ABS(E151-$G$7)</f>
        <v/>
      </c>
      <c r="W151" s="31">
        <f>ABS(E151-$G$8)</f>
        <v/>
      </c>
      <c r="X151" s="14">
        <f>IF(R151&gt;=MAX(S151,T151), "Hemat", IF(S151&gt;=T151, "Balanced", "Premium"))</f>
        <v/>
      </c>
    </row>
    <row r="152">
      <c r="A152" s="14" t="n">
        <v>141</v>
      </c>
      <c r="B152" s="7" t="inlineStr">
        <is>
          <t>RedDoorz near Alun Alun Batu 2</t>
        </is>
      </c>
      <c r="C152" s="26" t="n">
        <v>-7.8733855</v>
      </c>
      <c r="D152" s="26" t="n">
        <v>112.5264017</v>
      </c>
      <c r="E152" s="21" t="n">
        <v>226896</v>
      </c>
      <c r="F152" s="27" t="n">
        <v>0</v>
      </c>
      <c r="G152" s="28" t="n">
        <v>0</v>
      </c>
      <c r="H152" s="14" t="inlineStr">
        <is>
          <t>N/A</t>
        </is>
      </c>
      <c r="I152" s="29">
        <f>6371 * 2 * ASIN(SQRT(SIN(RADIANS((C152) - INDEX('Dataset_Wisata'!$C$12:$C$622, MATCH('Dashboard'!$C$9, 'Dataset_Wisata'!$A$12:$A$622, 0)))/2)^2 + COS(RADIANS(INDEX('Dataset_Wisata'!$C$12:$C$622, MATCH('Dashboard'!$C$9, 'Dataset_Wisata'!$A$12:$A$622, 0)))) * COS(RADIANS(C152)) * SIN(RADIANS((D152) - INDEX('Dataset_Wisata'!$D$12:$D$622, MATCH('Dashboard'!$C$9, 'Dataset_Wisata'!$A$12:$A$622, 0)))/2)^2)) * 1.3</f>
        <v/>
      </c>
      <c r="J152" s="21">
        <f>ROUND(I152 * IF('Dashboard'!$C$6&lt;=1, 2250, IF('Dashboard'!$C$6&lt;=4, 5150, 6000)), 0)</f>
        <v/>
      </c>
      <c r="K152" s="30" t="n">
        <v>0.03106457808699389</v>
      </c>
      <c r="L152" s="30" t="n">
        <v>0.9593089569465738</v>
      </c>
      <c r="M152" s="30" t="n">
        <v>0.009626464966432246</v>
      </c>
      <c r="N152" s="31">
        <f>ABS(E152-$F$6)</f>
        <v/>
      </c>
      <c r="O152" s="31">
        <f>ABS(E152-$F$7)</f>
        <v/>
      </c>
      <c r="P152" s="31">
        <f>ABS(E152-$F$8)</f>
        <v/>
      </c>
      <c r="Q152" s="14">
        <f>IF(K152&gt;=MAX(L152,M152), "Hemat", IF(L152&gt;=M152, "Balanced", "Premium"))</f>
        <v/>
      </c>
      <c r="R152" s="30" t="n">
        <v>0.0310672157130737</v>
      </c>
      <c r="S152" s="30" t="n">
        <v>0.9593057216153127</v>
      </c>
      <c r="T152" s="30" t="n">
        <v>0.009627062671613623</v>
      </c>
      <c r="U152" s="31">
        <f>ABS(E152-$G$6)</f>
        <v/>
      </c>
      <c r="V152" s="31">
        <f>ABS(E152-$G$7)</f>
        <v/>
      </c>
      <c r="W152" s="31">
        <f>ABS(E152-$G$8)</f>
        <v/>
      </c>
      <c r="X152" s="14">
        <f>IF(R152&gt;=MAX(S152,T152), "Hemat", IF(S152&gt;=T152, "Balanced", "Premium"))</f>
        <v/>
      </c>
    </row>
    <row r="153">
      <c r="A153" s="14" t="n">
        <v>142</v>
      </c>
      <c r="B153" s="7" t="inlineStr">
        <is>
          <t>THE HALONA VILLA BATU</t>
        </is>
      </c>
      <c r="C153" s="26" t="n">
        <v>-7.8638422</v>
      </c>
      <c r="D153" s="26" t="n">
        <v>112.5351446</v>
      </c>
      <c r="E153" s="21" t="n">
        <v>149835</v>
      </c>
      <c r="F153" s="27" t="n">
        <v>0</v>
      </c>
      <c r="G153" s="28" t="n">
        <v>0</v>
      </c>
      <c r="H153" s="14" t="inlineStr">
        <is>
          <t>N/A</t>
        </is>
      </c>
      <c r="I153" s="29">
        <f>6371 * 2 * ASIN(SQRT(SIN(RADIANS((C153) - INDEX('Dataset_Wisata'!$C$12:$C$622, MATCH('Dashboard'!$C$9, 'Dataset_Wisata'!$A$12:$A$622, 0)))/2)^2 + COS(RADIANS(INDEX('Dataset_Wisata'!$C$12:$C$622, MATCH('Dashboard'!$C$9, 'Dataset_Wisata'!$A$12:$A$622, 0)))) * COS(RADIANS(C153)) * SIN(RADIANS((D153) - INDEX('Dataset_Wisata'!$D$12:$D$622, MATCH('Dashboard'!$C$9, 'Dataset_Wisata'!$A$12:$A$622, 0)))/2)^2)) * 1.3</f>
        <v/>
      </c>
      <c r="J153" s="21">
        <f>ROUND(I153 * IF('Dashboard'!$C$6&lt;=1, 2250, IF('Dashboard'!$C$6&lt;=4, 5150, 6000)), 0)</f>
        <v/>
      </c>
      <c r="K153" s="30" t="n">
        <v>0.9247811288695414</v>
      </c>
      <c r="L153" s="30" t="n">
        <v>0.06635972272730072</v>
      </c>
      <c r="M153" s="30" t="n">
        <v>0.008859148403157917</v>
      </c>
      <c r="N153" s="31">
        <f>ABS(E153-$F$6)</f>
        <v/>
      </c>
      <c r="O153" s="31">
        <f>ABS(E153-$F$7)</f>
        <v/>
      </c>
      <c r="P153" s="31">
        <f>ABS(E153-$F$8)</f>
        <v/>
      </c>
      <c r="Q153" s="14">
        <f>IF(K153&gt;=MAX(L153,M153), "Hemat", IF(L153&gt;=M153, "Balanced", "Premium"))</f>
        <v/>
      </c>
      <c r="R153" s="30" t="n">
        <v>0.9247834969607575</v>
      </c>
      <c r="S153" s="30" t="n">
        <v>0.06635760770859195</v>
      </c>
      <c r="T153" s="30" t="n">
        <v>0.00885889533065061</v>
      </c>
      <c r="U153" s="31">
        <f>ABS(E153-$G$6)</f>
        <v/>
      </c>
      <c r="V153" s="31">
        <f>ABS(E153-$G$7)</f>
        <v/>
      </c>
      <c r="W153" s="31">
        <f>ABS(E153-$G$8)</f>
        <v/>
      </c>
      <c r="X153" s="14">
        <f>IF(R153&gt;=MAX(S153,T153), "Hemat", IF(S153&gt;=T153, "Balanced", "Premium"))</f>
        <v/>
      </c>
    </row>
    <row r="154">
      <c r="A154" s="14" t="n">
        <v>143</v>
      </c>
      <c r="B154" s="7" t="inlineStr">
        <is>
          <t>Griya Mulya near Alun Alun Batu RedPartner</t>
        </is>
      </c>
      <c r="C154" s="26" t="n">
        <v>-7.8616786</v>
      </c>
      <c r="D154" s="26" t="n">
        <v>112.5222706</v>
      </c>
      <c r="E154" s="21" t="n">
        <v>147818</v>
      </c>
      <c r="F154" s="27" t="n">
        <v>0</v>
      </c>
      <c r="G154" s="28" t="n">
        <v>0</v>
      </c>
      <c r="H154" s="14" t="inlineStr">
        <is>
          <t>N/A</t>
        </is>
      </c>
      <c r="I154" s="29">
        <f>6371 * 2 * ASIN(SQRT(SIN(RADIANS((C154) - INDEX('Dataset_Wisata'!$C$12:$C$622, MATCH('Dashboard'!$C$9, 'Dataset_Wisata'!$A$12:$A$622, 0)))/2)^2 + COS(RADIANS(INDEX('Dataset_Wisata'!$C$12:$C$622, MATCH('Dashboard'!$C$9, 'Dataset_Wisata'!$A$12:$A$622, 0)))) * COS(RADIANS(C154)) * SIN(RADIANS((D154) - INDEX('Dataset_Wisata'!$D$12:$D$622, MATCH('Dashboard'!$C$9, 'Dataset_Wisata'!$A$12:$A$622, 0)))/2)^2)) * 1.3</f>
        <v/>
      </c>
      <c r="J154" s="21">
        <f>ROUND(I154 * IF('Dashboard'!$C$6&lt;=1, 2250, IF('Dashboard'!$C$6&lt;=4, 5150, 6000)), 0)</f>
        <v/>
      </c>
      <c r="K154" s="30" t="n">
        <v>0.9377302228969986</v>
      </c>
      <c r="L154" s="30" t="n">
        <v>0.05476309170983144</v>
      </c>
      <c r="M154" s="30" t="n">
        <v>0.007506685393169932</v>
      </c>
      <c r="N154" s="31">
        <f>ABS(E154-$F$6)</f>
        <v/>
      </c>
      <c r="O154" s="31">
        <f>ABS(E154-$F$7)</f>
        <v/>
      </c>
      <c r="P154" s="31">
        <f>ABS(E154-$F$8)</f>
        <v/>
      </c>
      <c r="Q154" s="14">
        <f>IF(K154&gt;=MAX(L154,M154), "Hemat", IF(L154&gt;=M154, "Balanced", "Premium"))</f>
        <v/>
      </c>
      <c r="R154" s="30" t="n">
        <v>0.9377322834877834</v>
      </c>
      <c r="S154" s="30" t="n">
        <v>0.05476125926018927</v>
      </c>
      <c r="T154" s="30" t="n">
        <v>0.00750645725202754</v>
      </c>
      <c r="U154" s="31">
        <f>ABS(E154-$G$6)</f>
        <v/>
      </c>
      <c r="V154" s="31">
        <f>ABS(E154-$G$7)</f>
        <v/>
      </c>
      <c r="W154" s="31">
        <f>ABS(E154-$G$8)</f>
        <v/>
      </c>
      <c r="X154" s="14">
        <f>IF(R154&gt;=MAX(S154,T154), "Hemat", IF(S154&gt;=T154, "Balanced", "Premium"))</f>
        <v/>
      </c>
    </row>
    <row r="155">
      <c r="A155" s="14" t="n">
        <v>144</v>
      </c>
      <c r="B155" s="7" t="inlineStr">
        <is>
          <t>Harwin Homestay Keluarga</t>
        </is>
      </c>
      <c r="C155" s="26" t="n">
        <v>-7.8644947</v>
      </c>
      <c r="D155" s="26" t="n">
        <v>112.5391843</v>
      </c>
      <c r="E155" s="21" t="n">
        <v>70000</v>
      </c>
      <c r="F155" s="27" t="n">
        <v>0</v>
      </c>
      <c r="G155" s="28" t="n">
        <v>0</v>
      </c>
      <c r="H155" s="14" t="inlineStr">
        <is>
          <t>N/A</t>
        </is>
      </c>
      <c r="I155" s="29">
        <f>6371 * 2 * ASIN(SQRT(SIN(RADIANS((C155) - INDEX('Dataset_Wisata'!$C$12:$C$622, MATCH('Dashboard'!$C$9, 'Dataset_Wisata'!$A$12:$A$622, 0)))/2)^2 + COS(RADIANS(INDEX('Dataset_Wisata'!$C$12:$C$622, MATCH('Dashboard'!$C$9, 'Dataset_Wisata'!$A$12:$A$622, 0)))) * COS(RADIANS(C155)) * SIN(RADIANS((D155) - INDEX('Dataset_Wisata'!$D$12:$D$622, MATCH('Dashboard'!$C$9, 'Dataset_Wisata'!$A$12:$A$622, 0)))/2)^2)) * 1.3</f>
        <v/>
      </c>
      <c r="J155" s="21">
        <f>ROUND(I155 * IF('Dashboard'!$C$6&lt;=1, 2250, IF('Dashboard'!$C$6&lt;=4, 5150, 6000)), 0)</f>
        <v/>
      </c>
      <c r="K155" s="30" t="n">
        <v>0.8921119122661371</v>
      </c>
      <c r="L155" s="30" t="n">
        <v>0.08535328907191304</v>
      </c>
      <c r="M155" s="30" t="n">
        <v>0.02253479866194994</v>
      </c>
      <c r="N155" s="31">
        <f>ABS(E155-$F$6)</f>
        <v/>
      </c>
      <c r="O155" s="31">
        <f>ABS(E155-$F$7)</f>
        <v/>
      </c>
      <c r="P155" s="31">
        <f>ABS(E155-$F$8)</f>
        <v/>
      </c>
      <c r="Q155" s="14">
        <f>IF(K155&gt;=MAX(L155,M155), "Hemat", IF(L155&gt;=M155, "Balanced", "Premium"))</f>
        <v/>
      </c>
      <c r="R155" s="30" t="n">
        <v>0.8921119538939932</v>
      </c>
      <c r="S155" s="30" t="n">
        <v>0.08535327487051378</v>
      </c>
      <c r="T155" s="30" t="n">
        <v>0.02253477123549305</v>
      </c>
      <c r="U155" s="31">
        <f>ABS(E155-$G$6)</f>
        <v/>
      </c>
      <c r="V155" s="31">
        <f>ABS(E155-$G$7)</f>
        <v/>
      </c>
      <c r="W155" s="31">
        <f>ABS(E155-$G$8)</f>
        <v/>
      </c>
      <c r="X155" s="14">
        <f>IF(R155&gt;=MAX(S155,T155), "Hemat", IF(S155&gt;=T155, "Balanced", "Premium"))</f>
        <v/>
      </c>
    </row>
    <row r="156">
      <c r="A156" s="14" t="n">
        <v>145</v>
      </c>
      <c r="B156" s="7" t="inlineStr">
        <is>
          <t>Sahabat Backpacker 1 Alegria Inn</t>
        </is>
      </c>
      <c r="C156" s="26" t="n">
        <v>-7.8754354</v>
      </c>
      <c r="D156" s="26" t="n">
        <v>112.5183772</v>
      </c>
      <c r="E156" s="21" t="n">
        <v>86241</v>
      </c>
      <c r="F156" s="27" t="n">
        <v>0</v>
      </c>
      <c r="G156" s="28" t="n">
        <v>0</v>
      </c>
      <c r="H156" s="14" t="inlineStr">
        <is>
          <t>N/A</t>
        </is>
      </c>
      <c r="I156" s="29">
        <f>6371 * 2 * ASIN(SQRT(SIN(RADIANS((C156) - INDEX('Dataset_Wisata'!$C$12:$C$622, MATCH('Dashboard'!$C$9, 'Dataset_Wisata'!$A$12:$A$622, 0)))/2)^2 + COS(RADIANS(INDEX('Dataset_Wisata'!$C$12:$C$622, MATCH('Dashboard'!$C$9, 'Dataset_Wisata'!$A$12:$A$622, 0)))) * COS(RADIANS(C156)) * SIN(RADIANS((D156) - INDEX('Dataset_Wisata'!$D$12:$D$622, MATCH('Dashboard'!$C$9, 'Dataset_Wisata'!$A$12:$A$622, 0)))/2)^2)) * 1.3</f>
        <v/>
      </c>
      <c r="J156" s="21">
        <f>ROUND(I156 * IF('Dashboard'!$C$6&lt;=1, 2250, IF('Dashboard'!$C$6&lt;=4, 5150, 6000)), 0)</f>
        <v/>
      </c>
      <c r="K156" s="30" t="n">
        <v>0.9339650269225601</v>
      </c>
      <c r="L156" s="30" t="n">
        <v>0.05326924608656078</v>
      </c>
      <c r="M156" s="30" t="n">
        <v>0.01276572699087912</v>
      </c>
      <c r="N156" s="31">
        <f>ABS(E156-$F$6)</f>
        <v/>
      </c>
      <c r="O156" s="31">
        <f>ABS(E156-$F$7)</f>
        <v/>
      </c>
      <c r="P156" s="31">
        <f>ABS(E156-$F$8)</f>
        <v/>
      </c>
      <c r="Q156" s="14">
        <f>IF(K156&gt;=MAX(L156,M156), "Hemat", IF(L156&gt;=M156, "Balanced", "Premium"))</f>
        <v/>
      </c>
      <c r="R156" s="30" t="n">
        <v>0.9339648764067825</v>
      </c>
      <c r="S156" s="30" t="n">
        <v>0.05326937413358206</v>
      </c>
      <c r="T156" s="30" t="n">
        <v>0.01276574945963537</v>
      </c>
      <c r="U156" s="31">
        <f>ABS(E156-$G$6)</f>
        <v/>
      </c>
      <c r="V156" s="31">
        <f>ABS(E156-$G$7)</f>
        <v/>
      </c>
      <c r="W156" s="31">
        <f>ABS(E156-$G$8)</f>
        <v/>
      </c>
      <c r="X156" s="14">
        <f>IF(R156&gt;=MAX(S156,T156), "Hemat", IF(S156&gt;=T156, "Balanced", "Premium"))</f>
        <v/>
      </c>
    </row>
    <row r="157">
      <c r="A157" s="14" t="n">
        <v>146</v>
      </c>
      <c r="B157" s="7" t="inlineStr">
        <is>
          <t>RedDoorz @ Pandan Inn Batu</t>
        </is>
      </c>
      <c r="C157" s="26" t="n">
        <v>-7.8647197</v>
      </c>
      <c r="D157" s="26" t="n">
        <v>112.5396846</v>
      </c>
      <c r="E157" s="21" t="n">
        <v>170000</v>
      </c>
      <c r="F157" s="27" t="n">
        <v>0</v>
      </c>
      <c r="G157" s="28" t="n">
        <v>0</v>
      </c>
      <c r="H157" s="14" t="inlineStr">
        <is>
          <t>N/A</t>
        </is>
      </c>
      <c r="I157" s="29">
        <f>6371 * 2 * ASIN(SQRT(SIN(RADIANS((C157) - INDEX('Dataset_Wisata'!$C$12:$C$622, MATCH('Dashboard'!$C$9, 'Dataset_Wisata'!$A$12:$A$622, 0)))/2)^2 + COS(RADIANS(INDEX('Dataset_Wisata'!$C$12:$C$622, MATCH('Dashboard'!$C$9, 'Dataset_Wisata'!$A$12:$A$622, 0)))) * COS(RADIANS(C157)) * SIN(RADIANS((D157) - INDEX('Dataset_Wisata'!$D$12:$D$622, MATCH('Dashboard'!$C$9, 'Dataset_Wisata'!$A$12:$A$622, 0)))/2)^2)) * 1.3</f>
        <v/>
      </c>
      <c r="J157" s="21">
        <f>ROUND(I157 * IF('Dashboard'!$C$6&lt;=1, 2250, IF('Dashboard'!$C$6&lt;=4, 5150, 6000)), 0)</f>
        <v/>
      </c>
      <c r="K157" s="30" t="n">
        <v>0.7119837183050363</v>
      </c>
      <c r="L157" s="30" t="n">
        <v>0.2624152611455975</v>
      </c>
      <c r="M157" s="30" t="n">
        <v>0.02560102054936619</v>
      </c>
      <c r="N157" s="31">
        <f>ABS(E157-$F$6)</f>
        <v/>
      </c>
      <c r="O157" s="31">
        <f>ABS(E157-$F$7)</f>
        <v/>
      </c>
      <c r="P157" s="31">
        <f>ABS(E157-$F$8)</f>
        <v/>
      </c>
      <c r="Q157" s="14">
        <f>IF(K157&gt;=MAX(L157,M157), "Hemat", IF(L157&gt;=M157, "Balanced", "Premium"))</f>
        <v/>
      </c>
      <c r="R157" s="30" t="n">
        <v>0.7119898992332693</v>
      </c>
      <c r="S157" s="30" t="n">
        <v>0.2624094765922805</v>
      </c>
      <c r="T157" s="30" t="n">
        <v>0.02560062417445023</v>
      </c>
      <c r="U157" s="31">
        <f>ABS(E157-$G$6)</f>
        <v/>
      </c>
      <c r="V157" s="31">
        <f>ABS(E157-$G$7)</f>
        <v/>
      </c>
      <c r="W157" s="31">
        <f>ABS(E157-$G$8)</f>
        <v/>
      </c>
      <c r="X157" s="14">
        <f>IF(R157&gt;=MAX(S157,T157), "Hemat", IF(S157&gt;=T157, "Balanced", "Premium"))</f>
        <v/>
      </c>
    </row>
    <row r="158">
      <c r="A158" s="14" t="n">
        <v>147</v>
      </c>
      <c r="B158" s="7" t="inlineStr">
        <is>
          <t>Hotel Arjuna Kota Batu</t>
        </is>
      </c>
      <c r="C158" s="26" t="n">
        <v>-7.869495</v>
      </c>
      <c r="D158" s="26" t="n">
        <v>112.5212373</v>
      </c>
      <c r="E158" s="21" t="n">
        <v>379770</v>
      </c>
      <c r="F158" s="27" t="n">
        <v>0</v>
      </c>
      <c r="G158" s="28" t="n">
        <v>0</v>
      </c>
      <c r="H158" s="14" t="inlineStr">
        <is>
          <t>N/A</t>
        </is>
      </c>
      <c r="I158" s="29">
        <f>6371 * 2 * ASIN(SQRT(SIN(RADIANS((C158) - INDEX('Dataset_Wisata'!$C$12:$C$622, MATCH('Dashboard'!$C$9, 'Dataset_Wisata'!$A$12:$A$622, 0)))/2)^2 + COS(RADIANS(INDEX('Dataset_Wisata'!$C$12:$C$622, MATCH('Dashboard'!$C$9, 'Dataset_Wisata'!$A$12:$A$622, 0)))) * COS(RADIANS(C158)) * SIN(RADIANS((D158) - INDEX('Dataset_Wisata'!$D$12:$D$622, MATCH('Dashboard'!$C$9, 'Dataset_Wisata'!$A$12:$A$622, 0)))/2)^2)) * 1.3</f>
        <v/>
      </c>
      <c r="J158" s="21">
        <f>ROUND(I158 * IF('Dashboard'!$C$6&lt;=1, 2250, IF('Dashboard'!$C$6&lt;=4, 5150, 6000)), 0)</f>
        <v/>
      </c>
      <c r="K158" s="30" t="n">
        <v>0.01422491117628782</v>
      </c>
      <c r="L158" s="30" t="n">
        <v>0.05141742207143026</v>
      </c>
      <c r="M158" s="30" t="n">
        <v>0.9343576667522818</v>
      </c>
      <c r="N158" s="31">
        <f>ABS(E158-$F$6)</f>
        <v/>
      </c>
      <c r="O158" s="31">
        <f>ABS(E158-$F$7)</f>
        <v/>
      </c>
      <c r="P158" s="31">
        <f>ABS(E158-$F$8)</f>
        <v/>
      </c>
      <c r="Q158" s="14">
        <f>IF(K158&gt;=MAX(L158,M158), "Hemat", IF(L158&gt;=M158, "Balanced", "Premium"))</f>
        <v/>
      </c>
      <c r="R158" s="30" t="n">
        <v>0.01422634853866314</v>
      </c>
      <c r="S158" s="30" t="n">
        <v>0.05142311539166792</v>
      </c>
      <c r="T158" s="30" t="n">
        <v>0.934350536069669</v>
      </c>
      <c r="U158" s="31">
        <f>ABS(E158-$G$6)</f>
        <v/>
      </c>
      <c r="V158" s="31">
        <f>ABS(E158-$G$7)</f>
        <v/>
      </c>
      <c r="W158" s="31">
        <f>ABS(E158-$G$8)</f>
        <v/>
      </c>
      <c r="X158" s="14">
        <f>IF(R158&gt;=MAX(S158,T158), "Hemat", IF(S158&gt;=T158, "Balanced", "Premium"))</f>
        <v/>
      </c>
    </row>
    <row r="159">
      <c r="A159" s="14" t="n">
        <v>148</v>
      </c>
      <c r="B159" s="7" t="inlineStr">
        <is>
          <t>Sahabat Backpacker 2 /Matabean Inn</t>
        </is>
      </c>
      <c r="C159" s="26" t="n">
        <v>-7.8800943</v>
      </c>
      <c r="D159" s="26" t="n">
        <v>112.5257244</v>
      </c>
      <c r="E159" s="21" t="n">
        <v>147420</v>
      </c>
      <c r="F159" s="27" t="n">
        <v>0</v>
      </c>
      <c r="G159" s="28" t="n">
        <v>0</v>
      </c>
      <c r="H159" s="14" t="inlineStr">
        <is>
          <t>N/A</t>
        </is>
      </c>
      <c r="I159" s="29">
        <f>6371 * 2 * ASIN(SQRT(SIN(RADIANS((C159) - INDEX('Dataset_Wisata'!$C$12:$C$622, MATCH('Dashboard'!$C$9, 'Dataset_Wisata'!$A$12:$A$622, 0)))/2)^2 + COS(RADIANS(INDEX('Dataset_Wisata'!$C$12:$C$622, MATCH('Dashboard'!$C$9, 'Dataset_Wisata'!$A$12:$A$622, 0)))) * COS(RADIANS(C159)) * SIN(RADIANS((D159) - INDEX('Dataset_Wisata'!$D$12:$D$622, MATCH('Dashboard'!$C$9, 'Dataset_Wisata'!$A$12:$A$622, 0)))/2)^2)) * 1.3</f>
        <v/>
      </c>
      <c r="J159" s="21">
        <f>ROUND(I159 * IF('Dashboard'!$C$6&lt;=1, 2250, IF('Dashboard'!$C$6&lt;=4, 5150, 6000)), 0)</f>
        <v/>
      </c>
      <c r="K159" s="30" t="n">
        <v>0.9401143450081867</v>
      </c>
      <c r="L159" s="30" t="n">
        <v>0.05263377942506966</v>
      </c>
      <c r="M159" s="30" t="n">
        <v>0.007251875566743635</v>
      </c>
      <c r="N159" s="31">
        <f>ABS(E159-$F$6)</f>
        <v/>
      </c>
      <c r="O159" s="31">
        <f>ABS(E159-$F$7)</f>
        <v/>
      </c>
      <c r="P159" s="31">
        <f>ABS(E159-$F$8)</f>
        <v/>
      </c>
      <c r="Q159" s="14">
        <f>IF(K159&gt;=MAX(L159,M159), "Hemat", IF(L159&gt;=M159, "Balanced", "Premium"))</f>
        <v/>
      </c>
      <c r="R159" s="30" t="n">
        <v>0.9401163474765628</v>
      </c>
      <c r="S159" s="30" t="n">
        <v>0.05263200016888128</v>
      </c>
      <c r="T159" s="30" t="n">
        <v>0.007251652354555954</v>
      </c>
      <c r="U159" s="31">
        <f>ABS(E159-$G$6)</f>
        <v/>
      </c>
      <c r="V159" s="31">
        <f>ABS(E159-$G$7)</f>
        <v/>
      </c>
      <c r="W159" s="31">
        <f>ABS(E159-$G$8)</f>
        <v/>
      </c>
      <c r="X159" s="14">
        <f>IF(R159&gt;=MAX(S159,T159), "Hemat", IF(S159&gt;=T159, "Balanced", "Premium"))</f>
        <v/>
      </c>
    </row>
    <row r="160">
      <c r="A160" s="14" t="n">
        <v>149</v>
      </c>
      <c r="B160" s="7" t="inlineStr">
        <is>
          <t>Guest House 180</t>
        </is>
      </c>
      <c r="C160" s="26" t="n">
        <v>-7.876368</v>
      </c>
      <c r="D160" s="26" t="n">
        <v>112.5280063</v>
      </c>
      <c r="E160" s="21" t="n">
        <v>250619</v>
      </c>
      <c r="F160" s="27" t="n">
        <v>0</v>
      </c>
      <c r="G160" s="28" t="n">
        <v>0</v>
      </c>
      <c r="H160" s="14" t="inlineStr">
        <is>
          <t>N/A</t>
        </is>
      </c>
      <c r="I160" s="29">
        <f>6371 * 2 * ASIN(SQRT(SIN(RADIANS((C160) - INDEX('Dataset_Wisata'!$C$12:$C$622, MATCH('Dashboard'!$C$9, 'Dataset_Wisata'!$A$12:$A$622, 0)))/2)^2 + COS(RADIANS(INDEX('Dataset_Wisata'!$C$12:$C$622, MATCH('Dashboard'!$C$9, 'Dataset_Wisata'!$A$12:$A$622, 0)))) * COS(RADIANS(C160)) * SIN(RADIANS((D160) - INDEX('Dataset_Wisata'!$D$12:$D$622, MATCH('Dashboard'!$C$9, 'Dataset_Wisata'!$A$12:$A$622, 0)))/2)^2)) * 1.3</f>
        <v/>
      </c>
      <c r="J160" s="21">
        <f>ROUND(I160 * IF('Dashboard'!$C$6&lt;=1, 2250, IF('Dashboard'!$C$6&lt;=4, 5150, 6000)), 0)</f>
        <v/>
      </c>
      <c r="K160" s="30" t="n">
        <v>0.001721472664682409</v>
      </c>
      <c r="L160" s="30" t="n">
        <v>0.9972136449408695</v>
      </c>
      <c r="M160" s="30" t="n">
        <v>0.001064882394448094</v>
      </c>
      <c r="N160" s="31">
        <f>ABS(E160-$F$6)</f>
        <v/>
      </c>
      <c r="O160" s="31">
        <f>ABS(E160-$F$7)</f>
        <v/>
      </c>
      <c r="P160" s="31">
        <f>ABS(E160-$F$8)</f>
        <v/>
      </c>
      <c r="Q160" s="14">
        <f>IF(K160&gt;=MAX(L160,M160), "Hemat", IF(L160&gt;=M160, "Balanced", "Premium"))</f>
        <v/>
      </c>
      <c r="R160" s="30" t="n">
        <v>0.001720973406197153</v>
      </c>
      <c r="S160" s="30" t="n">
        <v>0.9972144792865137</v>
      </c>
      <c r="T160" s="30" t="n">
        <v>0.001064547307289117</v>
      </c>
      <c r="U160" s="31">
        <f>ABS(E160-$G$6)</f>
        <v/>
      </c>
      <c r="V160" s="31">
        <f>ABS(E160-$G$7)</f>
        <v/>
      </c>
      <c r="W160" s="31">
        <f>ABS(E160-$G$8)</f>
        <v/>
      </c>
      <c r="X160" s="14">
        <f>IF(R160&gt;=MAX(S160,T160), "Hemat", IF(S160&gt;=T160, "Balanced", "Premium"))</f>
        <v/>
      </c>
    </row>
    <row r="161">
      <c r="A161" s="14" t="n">
        <v>150</v>
      </c>
      <c r="B161" s="7" t="inlineStr">
        <is>
          <t>Arimbi Guest House</t>
        </is>
      </c>
      <c r="C161" s="26" t="n">
        <v>-7.8797695</v>
      </c>
      <c r="D161" s="26" t="n">
        <v>112.5349478</v>
      </c>
      <c r="E161" s="21" t="n">
        <v>240000</v>
      </c>
      <c r="F161" s="27" t="n">
        <v>0</v>
      </c>
      <c r="G161" s="28" t="n">
        <v>0</v>
      </c>
      <c r="H161" s="14" t="inlineStr">
        <is>
          <t>N/A</t>
        </is>
      </c>
      <c r="I161" s="29">
        <f>6371 * 2 * ASIN(SQRT(SIN(RADIANS((C161) - INDEX('Dataset_Wisata'!$C$12:$C$622, MATCH('Dashboard'!$C$9, 'Dataset_Wisata'!$A$12:$A$622, 0)))/2)^2 + COS(RADIANS(INDEX('Dataset_Wisata'!$C$12:$C$622, MATCH('Dashboard'!$C$9, 'Dataset_Wisata'!$A$12:$A$622, 0)))) * COS(RADIANS(C161)) * SIN(RADIANS((D161) - INDEX('Dataset_Wisata'!$D$12:$D$622, MATCH('Dashboard'!$C$9, 'Dataset_Wisata'!$A$12:$A$622, 0)))/2)^2)) * 1.3</f>
        <v/>
      </c>
      <c r="J161" s="21">
        <f>ROUND(I161 * IF('Dashboard'!$C$6&lt;=1, 2250, IF('Dashboard'!$C$6&lt;=4, 5150, 6000)), 0)</f>
        <v/>
      </c>
      <c r="K161" s="30" t="n">
        <v>0.002144015676932973</v>
      </c>
      <c r="L161" s="30" t="n">
        <v>0.996876927285313</v>
      </c>
      <c r="M161" s="30" t="n">
        <v>0.0009790570377540791</v>
      </c>
      <c r="N161" s="31">
        <f>ABS(E161-$F$6)</f>
        <v/>
      </c>
      <c r="O161" s="31">
        <f>ABS(E161-$F$7)</f>
        <v/>
      </c>
      <c r="P161" s="31">
        <f>ABS(E161-$F$8)</f>
        <v/>
      </c>
      <c r="Q161" s="14">
        <f>IF(K161&gt;=MAX(L161,M161), "Hemat", IF(L161&gt;=M161, "Balanced", "Premium"))</f>
        <v/>
      </c>
      <c r="R161" s="30" t="n">
        <v>0.002144640190326161</v>
      </c>
      <c r="S161" s="30" t="n">
        <v>0.9968760407992929</v>
      </c>
      <c r="T161" s="30" t="n">
        <v>0.0009793190103809897</v>
      </c>
      <c r="U161" s="31">
        <f>ABS(E161-$G$6)</f>
        <v/>
      </c>
      <c r="V161" s="31">
        <f>ABS(E161-$G$7)</f>
        <v/>
      </c>
      <c r="W161" s="31">
        <f>ABS(E161-$G$8)</f>
        <v/>
      </c>
      <c r="X161" s="14">
        <f>IF(R161&gt;=MAX(S161,T161), "Hemat", IF(S161&gt;=T161, "Balanced", "Premium"))</f>
        <v/>
      </c>
    </row>
    <row r="162">
      <c r="A162" s="14" t="n">
        <v>151</v>
      </c>
      <c r="B162" s="7" t="inlineStr">
        <is>
          <t>Bayleaf Guest House Syariah Batu</t>
        </is>
      </c>
      <c r="C162" s="26" t="n">
        <v>-7.8766722</v>
      </c>
      <c r="D162" s="26" t="n">
        <v>112.5333826</v>
      </c>
      <c r="E162" s="21" t="n">
        <v>389204</v>
      </c>
      <c r="F162" s="27" t="n">
        <v>0</v>
      </c>
      <c r="G162" s="28" t="n">
        <v>0</v>
      </c>
      <c r="H162" s="14" t="inlineStr">
        <is>
          <t>N/A</t>
        </is>
      </c>
      <c r="I162" s="29">
        <f>6371 * 2 * ASIN(SQRT(SIN(RADIANS((C162) - INDEX('Dataset_Wisata'!$C$12:$C$622, MATCH('Dashboard'!$C$9, 'Dataset_Wisata'!$A$12:$A$622, 0)))/2)^2 + COS(RADIANS(INDEX('Dataset_Wisata'!$C$12:$C$622, MATCH('Dashboard'!$C$9, 'Dataset_Wisata'!$A$12:$A$622, 0)))) * COS(RADIANS(C162)) * SIN(RADIANS((D162) - INDEX('Dataset_Wisata'!$D$12:$D$622, MATCH('Dashboard'!$C$9, 'Dataset_Wisata'!$A$12:$A$622, 0)))/2)^2)) * 1.3</f>
        <v/>
      </c>
      <c r="J162" s="21">
        <f>ROUND(I162 * IF('Dashboard'!$C$6&lt;=1, 2250, IF('Dashboard'!$C$6&lt;=4, 5150, 6000)), 0)</f>
        <v/>
      </c>
      <c r="K162" s="30" t="n">
        <v>0.006747438335641305</v>
      </c>
      <c r="L162" s="30" t="n">
        <v>0.02289634897114429</v>
      </c>
      <c r="M162" s="30" t="n">
        <v>0.9703562126932144</v>
      </c>
      <c r="N162" s="31">
        <f>ABS(E162-$F$6)</f>
        <v/>
      </c>
      <c r="O162" s="31">
        <f>ABS(E162-$F$7)</f>
        <v/>
      </c>
      <c r="P162" s="31">
        <f>ABS(E162-$F$8)</f>
        <v/>
      </c>
      <c r="Q162" s="14">
        <f>IF(K162&gt;=MAX(L162,M162), "Hemat", IF(L162&gt;=M162, "Balanced", "Premium"))</f>
        <v/>
      </c>
      <c r="R162" s="30" t="n">
        <v>0.006748446803576997</v>
      </c>
      <c r="S162" s="30" t="n">
        <v>0.02289997694357681</v>
      </c>
      <c r="T162" s="30" t="n">
        <v>0.9703515762528462</v>
      </c>
      <c r="U162" s="31">
        <f>ABS(E162-$G$6)</f>
        <v/>
      </c>
      <c r="V162" s="31">
        <f>ABS(E162-$G$7)</f>
        <v/>
      </c>
      <c r="W162" s="31">
        <f>ABS(E162-$G$8)</f>
        <v/>
      </c>
      <c r="X162" s="14">
        <f>IF(R162&gt;=MAX(S162,T162), "Hemat", IF(S162&gt;=T162, "Balanced", "Premium"))</f>
        <v/>
      </c>
    </row>
    <row r="163">
      <c r="A163" s="14" t="n">
        <v>152</v>
      </c>
      <c r="B163" s="7" t="inlineStr">
        <is>
          <t>Hotel Mutiara Baru</t>
        </is>
      </c>
      <c r="C163" s="26" t="n">
        <v>-7.8682249</v>
      </c>
      <c r="D163" s="26" t="n">
        <v>112.5161982</v>
      </c>
      <c r="E163" s="21" t="n">
        <v>370000</v>
      </c>
      <c r="F163" s="27" t="n">
        <v>0</v>
      </c>
      <c r="G163" s="28" t="n">
        <v>0</v>
      </c>
      <c r="H163" s="14" t="inlineStr">
        <is>
          <t>N/A</t>
        </is>
      </c>
      <c r="I163" s="29">
        <f>6371 * 2 * ASIN(SQRT(SIN(RADIANS((C163) - INDEX('Dataset_Wisata'!$C$12:$C$622, MATCH('Dashboard'!$C$9, 'Dataset_Wisata'!$A$12:$A$622, 0)))/2)^2 + COS(RADIANS(INDEX('Dataset_Wisata'!$C$12:$C$622, MATCH('Dashboard'!$C$9, 'Dataset_Wisata'!$A$12:$A$622, 0)))) * COS(RADIANS(C163)) * SIN(RADIANS((D163) - INDEX('Dataset_Wisata'!$D$12:$D$622, MATCH('Dashboard'!$C$9, 'Dataset_Wisata'!$A$12:$A$622, 0)))/2)^2)) * 1.3</f>
        <v/>
      </c>
      <c r="J163" s="21">
        <f>ROUND(I163 * IF('Dashboard'!$C$6&lt;=1, 2250, IF('Dashboard'!$C$6&lt;=4, 5150, 6000)), 0)</f>
        <v/>
      </c>
      <c r="K163" s="30" t="n">
        <v>0.02481429609922826</v>
      </c>
      <c r="L163" s="30" t="n">
        <v>0.09648354468456455</v>
      </c>
      <c r="M163" s="30" t="n">
        <v>0.8787021592162072</v>
      </c>
      <c r="N163" s="31">
        <f>ABS(E163-$F$6)</f>
        <v/>
      </c>
      <c r="O163" s="31">
        <f>ABS(E163-$F$7)</f>
        <v/>
      </c>
      <c r="P163" s="31">
        <f>ABS(E163-$F$8)</f>
        <v/>
      </c>
      <c r="Q163" s="14">
        <f>IF(K163&gt;=MAX(L163,M163), "Hemat", IF(L163&gt;=M163, "Balanced", "Premium"))</f>
        <v/>
      </c>
      <c r="R163" s="30" t="n">
        <v>0.02481609097430032</v>
      </c>
      <c r="S163" s="30" t="n">
        <v>0.0964915377287946</v>
      </c>
      <c r="T163" s="30" t="n">
        <v>0.878692371296905</v>
      </c>
      <c r="U163" s="31">
        <f>ABS(E163-$G$6)</f>
        <v/>
      </c>
      <c r="V163" s="31">
        <f>ABS(E163-$G$7)</f>
        <v/>
      </c>
      <c r="W163" s="31">
        <f>ABS(E163-$G$8)</f>
        <v/>
      </c>
      <c r="X163" s="14">
        <f>IF(R163&gt;=MAX(S163,T163), "Hemat", IF(S163&gt;=T163, "Balanced", "Premium"))</f>
        <v/>
      </c>
    </row>
    <row r="164">
      <c r="A164" s="14" t="n">
        <v>153</v>
      </c>
      <c r="B164" s="7" t="inlineStr">
        <is>
          <t>BATU INDAH POOL VILLA</t>
        </is>
      </c>
      <c r="C164" s="26" t="n">
        <v>-7.8799367</v>
      </c>
      <c r="D164" s="26" t="n">
        <v>112.531395</v>
      </c>
      <c r="E164" s="21" t="n">
        <v>400000</v>
      </c>
      <c r="F164" s="27" t="n">
        <v>0</v>
      </c>
      <c r="G164" s="28" t="n">
        <v>0</v>
      </c>
      <c r="H164" s="14" t="inlineStr">
        <is>
          <t>N/A</t>
        </is>
      </c>
      <c r="I164" s="29">
        <f>6371 * 2 * ASIN(SQRT(SIN(RADIANS((C164) - INDEX('Dataset_Wisata'!$C$12:$C$622, MATCH('Dashboard'!$C$9, 'Dataset_Wisata'!$A$12:$A$622, 0)))/2)^2 + COS(RADIANS(INDEX('Dataset_Wisata'!$C$12:$C$622, MATCH('Dashboard'!$C$9, 'Dataset_Wisata'!$A$12:$A$622, 0)))) * COS(RADIANS(C164)) * SIN(RADIANS((D164) - INDEX('Dataset_Wisata'!$D$12:$D$622, MATCH('Dashboard'!$C$9, 'Dataset_Wisata'!$A$12:$A$622, 0)))/2)^2)) * 1.3</f>
        <v/>
      </c>
      <c r="J164" s="21">
        <f>ROUND(I164 * IF('Dashboard'!$C$6&lt;=1, 2250, IF('Dashboard'!$C$6&lt;=4, 5150, 6000)), 0)</f>
        <v/>
      </c>
      <c r="K164" s="30" t="n">
        <v>0.001667073170799579</v>
      </c>
      <c r="L164" s="30" t="n">
        <v>0.005301607890448092</v>
      </c>
      <c r="M164" s="30" t="n">
        <v>0.9930313189387524</v>
      </c>
      <c r="N164" s="31">
        <f>ABS(E164-$F$6)</f>
        <v/>
      </c>
      <c r="O164" s="31">
        <f>ABS(E164-$F$7)</f>
        <v/>
      </c>
      <c r="P164" s="31">
        <f>ABS(E164-$F$8)</f>
        <v/>
      </c>
      <c r="Q164" s="14">
        <f>IF(K164&gt;=MAX(L164,M164), "Hemat", IF(L164&gt;=M164, "Balanced", "Premium"))</f>
        <v/>
      </c>
      <c r="R164" s="30" t="n">
        <v>0.001667569525865401</v>
      </c>
      <c r="S164" s="30" t="n">
        <v>0.005303230460210759</v>
      </c>
      <c r="T164" s="30" t="n">
        <v>0.9930292000139238</v>
      </c>
      <c r="U164" s="31">
        <f>ABS(E164-$G$6)</f>
        <v/>
      </c>
      <c r="V164" s="31">
        <f>ABS(E164-$G$7)</f>
        <v/>
      </c>
      <c r="W164" s="31">
        <f>ABS(E164-$G$8)</f>
        <v/>
      </c>
      <c r="X164" s="14">
        <f>IF(R164&gt;=MAX(S164,T164), "Hemat", IF(S164&gt;=T164, "Balanced", "Premium"))</f>
        <v/>
      </c>
    </row>
    <row r="165">
      <c r="A165" s="14" t="n">
        <v>154</v>
      </c>
      <c r="B165" s="7" t="inlineStr">
        <is>
          <t>Sahar Backpacker</t>
        </is>
      </c>
      <c r="C165" s="26" t="n">
        <v>-7.8757656</v>
      </c>
      <c r="D165" s="26" t="n">
        <v>112.5242683</v>
      </c>
      <c r="E165" s="21" t="n">
        <v>85000</v>
      </c>
      <c r="F165" s="27" t="n">
        <v>0</v>
      </c>
      <c r="G165" s="28" t="n">
        <v>0</v>
      </c>
      <c r="H165" s="14" t="inlineStr">
        <is>
          <t>N/A</t>
        </is>
      </c>
      <c r="I165" s="29">
        <f>6371 * 2 * ASIN(SQRT(SIN(RADIANS((C165) - INDEX('Dataset_Wisata'!$C$12:$C$622, MATCH('Dashboard'!$C$9, 'Dataset_Wisata'!$A$12:$A$622, 0)))/2)^2 + COS(RADIANS(INDEX('Dataset_Wisata'!$C$12:$C$622, MATCH('Dashboard'!$C$9, 'Dataset_Wisata'!$A$12:$A$622, 0)))) * COS(RADIANS(C165)) * SIN(RADIANS((D165) - INDEX('Dataset_Wisata'!$D$12:$D$622, MATCH('Dashboard'!$C$9, 'Dataset_Wisata'!$A$12:$A$622, 0)))/2)^2)) * 1.3</f>
        <v/>
      </c>
      <c r="J165" s="21">
        <f>ROUND(I165 * IF('Dashboard'!$C$6&lt;=1, 2250, IF('Dashboard'!$C$6&lt;=4, 5150, 6000)), 0)</f>
        <v/>
      </c>
      <c r="K165" s="30" t="n">
        <v>0.9307965111363624</v>
      </c>
      <c r="L165" s="30" t="n">
        <v>0.05573959446036283</v>
      </c>
      <c r="M165" s="30" t="n">
        <v>0.01346389440327482</v>
      </c>
      <c r="N165" s="31">
        <f>ABS(E165-$F$6)</f>
        <v/>
      </c>
      <c r="O165" s="31">
        <f>ABS(E165-$F$7)</f>
        <v/>
      </c>
      <c r="P165" s="31">
        <f>ABS(E165-$F$8)</f>
        <v/>
      </c>
      <c r="Q165" s="14">
        <f>IF(K165&gt;=MAX(L165,M165), "Hemat", IF(L165&gt;=M165, "Balanced", "Premium"))</f>
        <v/>
      </c>
      <c r="R165" s="30" t="n">
        <v>0.9307963746120681</v>
      </c>
      <c r="S165" s="30" t="n">
        <v>0.05573971179179612</v>
      </c>
      <c r="T165" s="30" t="n">
        <v>0.01346391359613581</v>
      </c>
      <c r="U165" s="31">
        <f>ABS(E165-$G$6)</f>
        <v/>
      </c>
      <c r="V165" s="31">
        <f>ABS(E165-$G$7)</f>
        <v/>
      </c>
      <c r="W165" s="31">
        <f>ABS(E165-$G$8)</f>
        <v/>
      </c>
      <c r="X165" s="14">
        <f>IF(R165&gt;=MAX(S165,T165), "Hemat", IF(S165&gt;=T165, "Balanced", "Premium"))</f>
        <v/>
      </c>
    </row>
    <row r="166">
      <c r="A166" s="14" t="n">
        <v>155</v>
      </c>
      <c r="B166" s="7" t="inlineStr">
        <is>
          <t>Apple Green Hotel Batu</t>
        </is>
      </c>
      <c r="C166" s="26" t="n">
        <v>-7.8775531</v>
      </c>
      <c r="D166" s="26" t="n">
        <v>112.5327902</v>
      </c>
      <c r="E166" s="21" t="n">
        <v>267480</v>
      </c>
      <c r="F166" s="27" t="n">
        <v>0</v>
      </c>
      <c r="G166" s="28" t="n">
        <v>0</v>
      </c>
      <c r="H166" s="14" t="inlineStr">
        <is>
          <t>N/A</t>
        </is>
      </c>
      <c r="I166" s="29">
        <f>6371 * 2 * ASIN(SQRT(SIN(RADIANS((C166) - INDEX('Dataset_Wisata'!$C$12:$C$622, MATCH('Dashboard'!$C$9, 'Dataset_Wisata'!$A$12:$A$622, 0)))/2)^2 + COS(RADIANS(INDEX('Dataset_Wisata'!$C$12:$C$622, MATCH('Dashboard'!$C$9, 'Dataset_Wisata'!$A$12:$A$622, 0)))) * COS(RADIANS(C166)) * SIN(RADIANS((D166) - INDEX('Dataset_Wisata'!$D$12:$D$622, MATCH('Dashboard'!$C$9, 'Dataset_Wisata'!$A$12:$A$622, 0)))/2)^2)) * 1.3</f>
        <v/>
      </c>
      <c r="J166" s="21">
        <f>ROUND(I166 * IF('Dashboard'!$C$6&lt;=1, 2250, IF('Dashboard'!$C$6&lt;=4, 5150, 6000)), 0)</f>
        <v/>
      </c>
      <c r="K166" s="30" t="n">
        <v>0.02275089905407401</v>
      </c>
      <c r="L166" s="30" t="n">
        <v>0.9546821165754723</v>
      </c>
      <c r="M166" s="30" t="n">
        <v>0.02256698437045382</v>
      </c>
      <c r="N166" s="31">
        <f>ABS(E166-$F$6)</f>
        <v/>
      </c>
      <c r="O166" s="31">
        <f>ABS(E166-$F$7)</f>
        <v/>
      </c>
      <c r="P166" s="31">
        <f>ABS(E166-$F$8)</f>
        <v/>
      </c>
      <c r="Q166" s="14">
        <f>IF(K166&gt;=MAX(L166,M166), "Hemat", IF(L166&gt;=M166, "Balanced", "Premium"))</f>
        <v/>
      </c>
      <c r="R166" s="30" t="n">
        <v>0.02274946427372377</v>
      </c>
      <c r="S166" s="30" t="n">
        <v>0.9546855766434205</v>
      </c>
      <c r="T166" s="30" t="n">
        <v>0.02256495908285575</v>
      </c>
      <c r="U166" s="31">
        <f>ABS(E166-$G$6)</f>
        <v/>
      </c>
      <c r="V166" s="31">
        <f>ABS(E166-$G$7)</f>
        <v/>
      </c>
      <c r="W166" s="31">
        <f>ABS(E166-$G$8)</f>
        <v/>
      </c>
      <c r="X166" s="14">
        <f>IF(R166&gt;=MAX(S166,T166), "Hemat", IF(S166&gt;=T166, "Balanced", "Premium"))</f>
        <v/>
      </c>
    </row>
    <row r="167">
      <c r="A167" s="14" t="n">
        <v>156</v>
      </c>
      <c r="B167" s="7" t="inlineStr">
        <is>
          <t>Pondok Jatim Park Hotel and Cafe</t>
        </is>
      </c>
      <c r="C167" s="26" t="n">
        <v>-7.8821966</v>
      </c>
      <c r="D167" s="26" t="n">
        <v>112.5254605</v>
      </c>
      <c r="E167" s="21" t="n">
        <v>293334</v>
      </c>
      <c r="F167" s="27" t="n">
        <v>0</v>
      </c>
      <c r="G167" s="28" t="n">
        <v>0</v>
      </c>
      <c r="H167" s="14" t="inlineStr">
        <is>
          <t>N/A</t>
        </is>
      </c>
      <c r="I167" s="29">
        <f>6371 * 2 * ASIN(SQRT(SIN(RADIANS((C167) - INDEX('Dataset_Wisata'!$C$12:$C$622, MATCH('Dashboard'!$C$9, 'Dataset_Wisata'!$A$12:$A$622, 0)))/2)^2 + COS(RADIANS(INDEX('Dataset_Wisata'!$C$12:$C$622, MATCH('Dashboard'!$C$9, 'Dataset_Wisata'!$A$12:$A$622, 0)))) * COS(RADIANS(C167)) * SIN(RADIANS((D167) - INDEX('Dataset_Wisata'!$D$12:$D$622, MATCH('Dashboard'!$C$9, 'Dataset_Wisata'!$A$12:$A$622, 0)))/2)^2)) * 1.3</f>
        <v/>
      </c>
      <c r="J167" s="21">
        <f>ROUND(I167 * IF('Dashboard'!$C$6&lt;=1, 2250, IF('Dashboard'!$C$6&lt;=4, 5150, 6000)), 0)</f>
        <v/>
      </c>
      <c r="K167" s="30" t="n">
        <v>0.06459172445960369</v>
      </c>
      <c r="L167" s="30" t="n">
        <v>0.8026962888880391</v>
      </c>
      <c r="M167" s="30" t="n">
        <v>0.1327119866523574</v>
      </c>
      <c r="N167" s="31">
        <f>ABS(E167-$F$6)</f>
        <v/>
      </c>
      <c r="O167" s="31">
        <f>ABS(E167-$F$7)</f>
        <v/>
      </c>
      <c r="P167" s="31">
        <f>ABS(E167-$F$8)</f>
        <v/>
      </c>
      <c r="Q167" s="14">
        <f>IF(K167&gt;=MAX(L167,M167), "Hemat", IF(L167&gt;=M167, "Balanced", "Premium"))</f>
        <v/>
      </c>
      <c r="R167" s="30" t="n">
        <v>0.06459046418826286</v>
      </c>
      <c r="S167" s="30" t="n">
        <v>0.8027042946947313</v>
      </c>
      <c r="T167" s="30" t="n">
        <v>0.1327052411170057</v>
      </c>
      <c r="U167" s="31">
        <f>ABS(E167-$G$6)</f>
        <v/>
      </c>
      <c r="V167" s="31">
        <f>ABS(E167-$G$7)</f>
        <v/>
      </c>
      <c r="W167" s="31">
        <f>ABS(E167-$G$8)</f>
        <v/>
      </c>
      <c r="X167" s="14">
        <f>IF(R167&gt;=MAX(S167,T167), "Hemat", IF(S167&gt;=T167, "Balanced", "Premium"))</f>
        <v/>
      </c>
    </row>
    <row r="168">
      <c r="A168" s="14" t="n">
        <v>157</v>
      </c>
      <c r="B168" s="7" t="inlineStr">
        <is>
          <t>Gendhis Batu Boutique Hotel</t>
        </is>
      </c>
      <c r="C168" s="26" t="n">
        <v>-7.8701068</v>
      </c>
      <c r="D168" s="26" t="n">
        <v>112.5235276</v>
      </c>
      <c r="E168" s="21" t="n">
        <v>1593528</v>
      </c>
      <c r="F168" s="27" t="n">
        <v>0</v>
      </c>
      <c r="G168" s="28" t="n">
        <v>0</v>
      </c>
      <c r="H168" s="14" t="inlineStr">
        <is>
          <t>N/A</t>
        </is>
      </c>
      <c r="I168" s="29">
        <f>6371 * 2 * ASIN(SQRT(SIN(RADIANS((C168) - INDEX('Dataset_Wisata'!$C$12:$C$622, MATCH('Dashboard'!$C$9, 'Dataset_Wisata'!$A$12:$A$622, 0)))/2)^2 + COS(RADIANS(INDEX('Dataset_Wisata'!$C$12:$C$622, MATCH('Dashboard'!$C$9, 'Dataset_Wisata'!$A$12:$A$622, 0)))) * COS(RADIANS(C168)) * SIN(RADIANS((D168) - INDEX('Dataset_Wisata'!$D$12:$D$622, MATCH('Dashboard'!$C$9, 'Dataset_Wisata'!$A$12:$A$622, 0)))/2)^2)) * 1.3</f>
        <v/>
      </c>
      <c r="J168" s="21">
        <f>ROUND(I168 * IF('Dashboard'!$C$6&lt;=1, 2250, IF('Dashboard'!$C$6&lt;=4, 5150, 6000)), 0)</f>
        <v/>
      </c>
      <c r="K168" s="30" t="n">
        <v>0.004632212669310797</v>
      </c>
      <c r="L168" s="30" t="n">
        <v>0.005501958603850929</v>
      </c>
      <c r="M168" s="30" t="n">
        <v>0.00715478218998384</v>
      </c>
      <c r="N168" s="31">
        <f>ABS(E168-$F$6)</f>
        <v/>
      </c>
      <c r="O168" s="31">
        <f>ABS(E168-$F$7)</f>
        <v/>
      </c>
      <c r="P168" s="31">
        <f>ABS(E168-$F$8)</f>
        <v/>
      </c>
      <c r="Q168" s="14">
        <f>IF(K168&gt;=MAX(L168,M168), "Hemat", IF(L168&gt;=M168, "Balanced", "Premium"))</f>
        <v/>
      </c>
      <c r="R168" s="30" t="n">
        <v>0.004632214141178624</v>
      </c>
      <c r="S168" s="30" t="n">
        <v>0.005501964916059945</v>
      </c>
      <c r="T168" s="30" t="n">
        <v>0.00715480257750816</v>
      </c>
      <c r="U168" s="31">
        <f>ABS(E168-$G$6)</f>
        <v/>
      </c>
      <c r="V168" s="31">
        <f>ABS(E168-$G$7)</f>
        <v/>
      </c>
      <c r="W168" s="31">
        <f>ABS(E168-$G$8)</f>
        <v/>
      </c>
      <c r="X168" s="14">
        <f>IF(R168&gt;=MAX(S168,T168), "Hemat", IF(S168&gt;=T168, "Balanced", "Premium"))</f>
        <v/>
      </c>
    </row>
    <row r="169">
      <c r="A169" s="14" t="n">
        <v>158</v>
      </c>
      <c r="B169" s="7" t="inlineStr">
        <is>
          <t>Tripletree Ciptaningati Culture Hotel</t>
        </is>
      </c>
      <c r="C169" s="26" t="n">
        <v>-7.8757527</v>
      </c>
      <c r="D169" s="26" t="n">
        <v>112.5339069</v>
      </c>
      <c r="E169" s="21" t="n">
        <v>238936</v>
      </c>
      <c r="F169" s="27" t="n">
        <v>0</v>
      </c>
      <c r="G169" s="28" t="n">
        <v>0</v>
      </c>
      <c r="H169" s="14" t="inlineStr">
        <is>
          <t>N/A</t>
        </is>
      </c>
      <c r="I169" s="29">
        <f>6371 * 2 * ASIN(SQRT(SIN(RADIANS((C169) - INDEX('Dataset_Wisata'!$C$12:$C$622, MATCH('Dashboard'!$C$9, 'Dataset_Wisata'!$A$12:$A$622, 0)))/2)^2 + COS(RADIANS(INDEX('Dataset_Wisata'!$C$12:$C$622, MATCH('Dashboard'!$C$9, 'Dataset_Wisata'!$A$12:$A$622, 0)))) * COS(RADIANS(C169)) * SIN(RADIANS((D169) - INDEX('Dataset_Wisata'!$D$12:$D$622, MATCH('Dashboard'!$C$9, 'Dataset_Wisata'!$A$12:$A$622, 0)))/2)^2)) * 1.3</f>
        <v/>
      </c>
      <c r="J169" s="21">
        <f>ROUND(I169 * IF('Dashboard'!$C$6&lt;=1, 2250, IF('Dashboard'!$C$6&lt;=4, 5150, 6000)), 0)</f>
        <v/>
      </c>
      <c r="K169" s="30" t="n">
        <v>0.003131120895533261</v>
      </c>
      <c r="L169" s="30" t="n">
        <v>0.9954825043048867</v>
      </c>
      <c r="M169" s="30" t="n">
        <v>0.001386374799580146</v>
      </c>
      <c r="N169" s="31">
        <f>ABS(E169-$F$6)</f>
        <v/>
      </c>
      <c r="O169" s="31">
        <f>ABS(E169-$F$7)</f>
        <v/>
      </c>
      <c r="P169" s="31">
        <f>ABS(E169-$F$8)</f>
        <v/>
      </c>
      <c r="Q169" s="14">
        <f>IF(K169&gt;=MAX(L169,M169), "Hemat", IF(L169&gt;=M169, "Balanced", "Premium"))</f>
        <v/>
      </c>
      <c r="R169" s="30" t="n">
        <v>0.003131883234142339</v>
      </c>
      <c r="S169" s="30" t="n">
        <v>0.9954814371704289</v>
      </c>
      <c r="T169" s="30" t="n">
        <v>0.001386679595428719</v>
      </c>
      <c r="U169" s="31">
        <f>ABS(E169-$G$6)</f>
        <v/>
      </c>
      <c r="V169" s="31">
        <f>ABS(E169-$G$7)</f>
        <v/>
      </c>
      <c r="W169" s="31">
        <f>ABS(E169-$G$8)</f>
        <v/>
      </c>
      <c r="X169" s="14">
        <f>IF(R169&gt;=MAX(S169,T169), "Hemat", IF(S169&gt;=T169, "Balanced", "Premium"))</f>
        <v/>
      </c>
    </row>
    <row r="170">
      <c r="A170" s="14" t="n">
        <v>159</v>
      </c>
      <c r="B170" s="7" t="inlineStr">
        <is>
          <t>Zavier Guest House</t>
        </is>
      </c>
      <c r="C170" s="26" t="n">
        <v>-7.8805981</v>
      </c>
      <c r="D170" s="26" t="n">
        <v>112.5306258</v>
      </c>
      <c r="E170" s="21" t="n">
        <v>377703</v>
      </c>
      <c r="F170" s="27" t="n">
        <v>0</v>
      </c>
      <c r="G170" s="28" t="n">
        <v>0</v>
      </c>
      <c r="H170" s="14" t="inlineStr">
        <is>
          <t>N/A</t>
        </is>
      </c>
      <c r="I170" s="29">
        <f>6371 * 2 * ASIN(SQRT(SIN(RADIANS((C170) - INDEX('Dataset_Wisata'!$C$12:$C$622, MATCH('Dashboard'!$C$9, 'Dataset_Wisata'!$A$12:$A$622, 0)))/2)^2 + COS(RADIANS(INDEX('Dataset_Wisata'!$C$12:$C$622, MATCH('Dashboard'!$C$9, 'Dataset_Wisata'!$A$12:$A$622, 0)))) * COS(RADIANS(C170)) * SIN(RADIANS((D170) - INDEX('Dataset_Wisata'!$D$12:$D$622, MATCH('Dashboard'!$C$9, 'Dataset_Wisata'!$A$12:$A$622, 0)))/2)^2)) * 1.3</f>
        <v/>
      </c>
      <c r="J170" s="21">
        <f>ROUND(I170 * IF('Dashboard'!$C$6&lt;=1, 2250, IF('Dashboard'!$C$6&lt;=4, 5150, 6000)), 0)</f>
        <v/>
      </c>
      <c r="K170" s="30" t="n">
        <v>0.01623724585798659</v>
      </c>
      <c r="L170" s="30" t="n">
        <v>0.05956352520255388</v>
      </c>
      <c r="M170" s="30" t="n">
        <v>0.9241992289394595</v>
      </c>
      <c r="N170" s="31">
        <f>ABS(E170-$F$6)</f>
        <v/>
      </c>
      <c r="O170" s="31">
        <f>ABS(E170-$F$7)</f>
        <v/>
      </c>
      <c r="P170" s="31">
        <f>ABS(E170-$F$8)</f>
        <v/>
      </c>
      <c r="Q170" s="14">
        <f>IF(K170&gt;=MAX(L170,M170), "Hemat", IF(L170&gt;=M170, "Balanced", "Premium"))</f>
        <v/>
      </c>
      <c r="R170" s="30" t="n">
        <v>0.0162387687585189</v>
      </c>
      <c r="S170" s="30" t="n">
        <v>0.05956969821041598</v>
      </c>
      <c r="T170" s="30" t="n">
        <v>0.9241915330310652</v>
      </c>
      <c r="U170" s="31">
        <f>ABS(E170-$G$6)</f>
        <v/>
      </c>
      <c r="V170" s="31">
        <f>ABS(E170-$G$7)</f>
        <v/>
      </c>
      <c r="W170" s="31">
        <f>ABS(E170-$G$8)</f>
        <v/>
      </c>
      <c r="X170" s="14">
        <f>IF(R170&gt;=MAX(S170,T170), "Hemat", IF(S170&gt;=T170, "Balanced", "Premium"))</f>
        <v/>
      </c>
    </row>
    <row r="171">
      <c r="A171" s="14" t="n">
        <v>160</v>
      </c>
      <c r="B171" s="7" t="inlineStr">
        <is>
          <t>Hotel de Wahyu Batu</t>
        </is>
      </c>
      <c r="C171" s="26" t="n">
        <v>-7.8684114</v>
      </c>
      <c r="D171" s="26" t="n">
        <v>112.5167129</v>
      </c>
      <c r="E171" s="21" t="n">
        <v>272727</v>
      </c>
      <c r="F171" s="27" t="n">
        <v>0</v>
      </c>
      <c r="G171" s="28" t="n">
        <v>0</v>
      </c>
      <c r="H171" s="14" t="inlineStr">
        <is>
          <t>N/A</t>
        </is>
      </c>
      <c r="I171" s="29">
        <f>6371 * 2 * ASIN(SQRT(SIN(RADIANS((C171) - INDEX('Dataset_Wisata'!$C$12:$C$622, MATCH('Dashboard'!$C$9, 'Dataset_Wisata'!$A$12:$A$622, 0)))/2)^2 + COS(RADIANS(INDEX('Dataset_Wisata'!$C$12:$C$622, MATCH('Dashboard'!$C$9, 'Dataset_Wisata'!$A$12:$A$622, 0)))) * COS(RADIANS(C171)) * SIN(RADIANS((D171) - INDEX('Dataset_Wisata'!$D$12:$D$622, MATCH('Dashboard'!$C$9, 'Dataset_Wisata'!$A$12:$A$622, 0)))/2)^2)) * 1.3</f>
        <v/>
      </c>
      <c r="J171" s="21">
        <f>ROUND(I171 * IF('Dashboard'!$C$6&lt;=1, 2250, IF('Dashboard'!$C$6&lt;=4, 5150, 6000)), 0)</f>
        <v/>
      </c>
      <c r="K171" s="30" t="n">
        <v>0.03164214925300787</v>
      </c>
      <c r="L171" s="30" t="n">
        <v>0.9320273229977055</v>
      </c>
      <c r="M171" s="30" t="n">
        <v>0.03633052774928661</v>
      </c>
      <c r="N171" s="31">
        <f>ABS(E171-$F$6)</f>
        <v/>
      </c>
      <c r="O171" s="31">
        <f>ABS(E171-$F$7)</f>
        <v/>
      </c>
      <c r="P171" s="31">
        <f>ABS(E171-$F$8)</f>
        <v/>
      </c>
      <c r="Q171" s="14">
        <f>IF(K171&gt;=MAX(L171,M171), "Hemat", IF(L171&gt;=M171, "Balanced", "Premium"))</f>
        <v/>
      </c>
      <c r="R171" s="30" t="n">
        <v>0.03164060628666535</v>
      </c>
      <c r="S171" s="30" t="n">
        <v>0.9320316349279826</v>
      </c>
      <c r="T171" s="30" t="n">
        <v>0.036327758785352</v>
      </c>
      <c r="U171" s="31">
        <f>ABS(E171-$G$6)</f>
        <v/>
      </c>
      <c r="V171" s="31">
        <f>ABS(E171-$G$7)</f>
        <v/>
      </c>
      <c r="W171" s="31">
        <f>ABS(E171-$G$8)</f>
        <v/>
      </c>
      <c r="X171" s="14">
        <f>IF(R171&gt;=MAX(S171,T171), "Hemat", IF(S171&gt;=T171, "Balanced", "Premium"))</f>
        <v/>
      </c>
    </row>
    <row r="172">
      <c r="A172" s="14" t="n">
        <v>161</v>
      </c>
      <c r="B172" s="7" t="inlineStr">
        <is>
          <t>Hanoman Kota Batu</t>
        </is>
      </c>
      <c r="C172" s="26" t="n">
        <v>-7.8608203</v>
      </c>
      <c r="D172" s="26" t="n">
        <v>112.5270133</v>
      </c>
      <c r="E172" s="21" t="n">
        <v>717973</v>
      </c>
      <c r="F172" s="27" t="n">
        <v>0</v>
      </c>
      <c r="G172" s="28" t="n">
        <v>0</v>
      </c>
      <c r="H172" s="14" t="inlineStr">
        <is>
          <t>N/A</t>
        </is>
      </c>
      <c r="I172" s="29">
        <f>6371 * 2 * ASIN(SQRT(SIN(RADIANS((C172) - INDEX('Dataset_Wisata'!$C$12:$C$622, MATCH('Dashboard'!$C$9, 'Dataset_Wisata'!$A$12:$A$622, 0)))/2)^2 + COS(RADIANS(INDEX('Dataset_Wisata'!$C$12:$C$622, MATCH('Dashboard'!$C$9, 'Dataset_Wisata'!$A$12:$A$622, 0)))) * COS(RADIANS(C172)) * SIN(RADIANS((D172) - INDEX('Dataset_Wisata'!$D$12:$D$622, MATCH('Dashboard'!$C$9, 'Dataset_Wisata'!$A$12:$A$622, 0)))/2)^2)) * 1.3</f>
        <v/>
      </c>
      <c r="J172" s="21">
        <f>ROUND(I172 * IF('Dashboard'!$C$6&lt;=1, 2250, IF('Dashboard'!$C$6&lt;=4, 5150, 6000)), 0)</f>
        <v/>
      </c>
      <c r="K172" s="30" t="n">
        <v>0.02836765573953484</v>
      </c>
      <c r="L172" s="30" t="n">
        <v>0.04477173531549867</v>
      </c>
      <c r="M172" s="30" t="n">
        <v>0.1063272724562037</v>
      </c>
      <c r="N172" s="31">
        <f>ABS(E172-$F$6)</f>
        <v/>
      </c>
      <c r="O172" s="31">
        <f>ABS(E172-$F$7)</f>
        <v/>
      </c>
      <c r="P172" s="31">
        <f>ABS(E172-$F$8)</f>
        <v/>
      </c>
      <c r="Q172" s="14">
        <f>IF(K172&gt;=MAX(L172,M172), "Hemat", IF(L172&gt;=M172, "Balanced", "Premium"))</f>
        <v/>
      </c>
      <c r="R172" s="30" t="n">
        <v>0.0283676780455196</v>
      </c>
      <c r="S172" s="30" t="n">
        <v>0.04477188184058203</v>
      </c>
      <c r="T172" s="30" t="n">
        <v>0.1063284404472839</v>
      </c>
      <c r="U172" s="31">
        <f>ABS(E172-$G$6)</f>
        <v/>
      </c>
      <c r="V172" s="31">
        <f>ABS(E172-$G$7)</f>
        <v/>
      </c>
      <c r="W172" s="31">
        <f>ABS(E172-$G$8)</f>
        <v/>
      </c>
      <c r="X172" s="14">
        <f>IF(R172&gt;=MAX(S172,T172), "Hemat", IF(S172&gt;=T172, "Balanced", "Premium"))</f>
        <v/>
      </c>
    </row>
    <row r="173">
      <c r="A173" s="14" t="n">
        <v>162</v>
      </c>
      <c r="B173" s="7" t="inlineStr">
        <is>
          <t>Purnama Hotel</t>
        </is>
      </c>
      <c r="C173" s="26" t="n">
        <v>-7.8406214</v>
      </c>
      <c r="D173" s="26" t="n">
        <v>112.5279657</v>
      </c>
      <c r="E173" s="21" t="n">
        <v>600000</v>
      </c>
      <c r="F173" s="27" t="n">
        <v>0</v>
      </c>
      <c r="G173" s="28" t="n">
        <v>0</v>
      </c>
      <c r="H173" s="14" t="inlineStr">
        <is>
          <t>N/A</t>
        </is>
      </c>
      <c r="I173" s="29">
        <f>6371 * 2 * ASIN(SQRT(SIN(RADIANS((C173) - INDEX('Dataset_Wisata'!$C$12:$C$622, MATCH('Dashboard'!$C$9, 'Dataset_Wisata'!$A$12:$A$622, 0)))/2)^2 + COS(RADIANS(INDEX('Dataset_Wisata'!$C$12:$C$622, MATCH('Dashboard'!$C$9, 'Dataset_Wisata'!$A$12:$A$622, 0)))) * COS(RADIANS(C173)) * SIN(RADIANS((D173) - INDEX('Dataset_Wisata'!$D$12:$D$622, MATCH('Dashboard'!$C$9, 'Dataset_Wisata'!$A$12:$A$622, 0)))/2)^2)) * 1.3</f>
        <v/>
      </c>
      <c r="J173" s="21">
        <f>ROUND(I173 * IF('Dashboard'!$C$6&lt;=1, 2250, IF('Dashboard'!$C$6&lt;=4, 5150, 6000)), 0)</f>
        <v/>
      </c>
      <c r="K173" s="30" t="n">
        <v>0.04418058038771073</v>
      </c>
      <c r="L173" s="30" t="n">
        <v>0.07951423636953152</v>
      </c>
      <c r="M173" s="30" t="n">
        <v>0.2808337527717566</v>
      </c>
      <c r="N173" s="31">
        <f>ABS(E173-$F$6)</f>
        <v/>
      </c>
      <c r="O173" s="31">
        <f>ABS(E173-$F$7)</f>
        <v/>
      </c>
      <c r="P173" s="31">
        <f>ABS(E173-$F$8)</f>
        <v/>
      </c>
      <c r="Q173" s="14">
        <f>IF(K173&gt;=MAX(L173,M173), "Hemat", IF(L173&gt;=M173, "Balanced", "Premium"))</f>
        <v/>
      </c>
      <c r="R173" s="30" t="n">
        <v>0.04418062374213448</v>
      </c>
      <c r="S173" s="30" t="n">
        <v>0.07951458316529153</v>
      </c>
      <c r="T173" s="30" t="n">
        <v>0.2808387663605185</v>
      </c>
      <c r="U173" s="31">
        <f>ABS(E173-$G$6)</f>
        <v/>
      </c>
      <c r="V173" s="31">
        <f>ABS(E173-$G$7)</f>
        <v/>
      </c>
      <c r="W173" s="31">
        <f>ABS(E173-$G$8)</f>
        <v/>
      </c>
      <c r="X173" s="14">
        <f>IF(R173&gt;=MAX(S173,T173), "Hemat", IF(S173&gt;=T173, "Balanced", "Premium"))</f>
        <v/>
      </c>
    </row>
    <row r="174">
      <c r="A174" s="14" t="n">
        <v>163</v>
      </c>
      <c r="B174" s="7" t="inlineStr">
        <is>
          <t>Lembah Metro Resort</t>
        </is>
      </c>
      <c r="C174" s="26" t="n">
        <v>-7.8579484</v>
      </c>
      <c r="D174" s="26" t="n">
        <v>112.5218856</v>
      </c>
      <c r="E174" s="21" t="n">
        <v>1982645</v>
      </c>
      <c r="F174" s="27" t="n">
        <v>0</v>
      </c>
      <c r="G174" s="28" t="n">
        <v>0</v>
      </c>
      <c r="H174" s="14" t="inlineStr">
        <is>
          <t>N/A</t>
        </is>
      </c>
      <c r="I174" s="29">
        <f>6371 * 2 * ASIN(SQRT(SIN(RADIANS((C174) - INDEX('Dataset_Wisata'!$C$12:$C$622, MATCH('Dashboard'!$C$9, 'Dataset_Wisata'!$A$12:$A$622, 0)))/2)^2 + COS(RADIANS(INDEX('Dataset_Wisata'!$C$12:$C$622, MATCH('Dashboard'!$C$9, 'Dataset_Wisata'!$A$12:$A$622, 0)))) * COS(RADIANS(C174)) * SIN(RADIANS((D174) - INDEX('Dataset_Wisata'!$D$12:$D$622, MATCH('Dashboard'!$C$9, 'Dataset_Wisata'!$A$12:$A$622, 0)))/2)^2)) * 1.3</f>
        <v/>
      </c>
      <c r="J174" s="21">
        <f>ROUND(I174 * IF('Dashboard'!$C$6&lt;=1, 2250, IF('Dashboard'!$C$6&lt;=4, 5150, 6000)), 0)</f>
        <v/>
      </c>
      <c r="K174" s="30" t="n">
        <v>0.002895483737539276</v>
      </c>
      <c r="L174" s="30" t="n">
        <v>0.003313309532857617</v>
      </c>
      <c r="M174" s="30" t="n">
        <v>0.00405000981702824</v>
      </c>
      <c r="N174" s="31">
        <f>ABS(E174-$F$6)</f>
        <v/>
      </c>
      <c r="O174" s="31">
        <f>ABS(E174-$F$7)</f>
        <v/>
      </c>
      <c r="P174" s="31">
        <f>ABS(E174-$F$8)</f>
        <v/>
      </c>
      <c r="Q174" s="14">
        <f>IF(K174&gt;=MAX(L174,M174), "Hemat", IF(L174&gt;=M174, "Balanced", "Premium"))</f>
        <v/>
      </c>
      <c r="R174" s="30" t="n">
        <v>0.002895484464929987</v>
      </c>
      <c r="S174" s="30" t="n">
        <v>0.003313312482696697</v>
      </c>
      <c r="T174" s="30" t="n">
        <v>0.004050018499707339</v>
      </c>
      <c r="U174" s="31">
        <f>ABS(E174-$G$6)</f>
        <v/>
      </c>
      <c r="V174" s="31">
        <f>ABS(E174-$G$7)</f>
        <v/>
      </c>
      <c r="W174" s="31">
        <f>ABS(E174-$G$8)</f>
        <v/>
      </c>
      <c r="X174" s="14">
        <f>IF(R174&gt;=MAX(S174,T174), "Hemat", IF(S174&gt;=T174, "Balanced", "Premium"))</f>
        <v/>
      </c>
    </row>
    <row r="175">
      <c r="A175" s="14" t="n">
        <v>164</v>
      </c>
      <c r="B175" s="7" t="inlineStr">
        <is>
          <t>Hotel Wijaya</t>
        </is>
      </c>
      <c r="C175" s="26" t="n">
        <v>-7.830803</v>
      </c>
      <c r="D175" s="26" t="n">
        <v>112.5295105</v>
      </c>
      <c r="E175" s="21" t="n">
        <v>460972</v>
      </c>
      <c r="F175" s="27" t="n">
        <v>0</v>
      </c>
      <c r="G175" s="28" t="n">
        <v>0</v>
      </c>
      <c r="H175" s="14" t="inlineStr">
        <is>
          <t>N/A</t>
        </is>
      </c>
      <c r="I175" s="29">
        <f>6371 * 2 * ASIN(SQRT(SIN(RADIANS((C175) - INDEX('Dataset_Wisata'!$C$12:$C$622, MATCH('Dashboard'!$C$9, 'Dataset_Wisata'!$A$12:$A$622, 0)))/2)^2 + COS(RADIANS(INDEX('Dataset_Wisata'!$C$12:$C$622, MATCH('Dashboard'!$C$9, 'Dataset_Wisata'!$A$12:$A$622, 0)))) * COS(RADIANS(C175)) * SIN(RADIANS((D175) - INDEX('Dataset_Wisata'!$D$12:$D$622, MATCH('Dashboard'!$C$9, 'Dataset_Wisata'!$A$12:$A$622, 0)))/2)^2)) * 1.3</f>
        <v/>
      </c>
      <c r="J175" s="21">
        <f>ROUND(I175 * IF('Dashboard'!$C$6&lt;=1, 2250, IF('Dashboard'!$C$6&lt;=4, 5150, 6000)), 0)</f>
        <v/>
      </c>
      <c r="K175" s="30" t="n">
        <v>0.0202463251060393</v>
      </c>
      <c r="L175" s="30" t="n">
        <v>0.04938468624385899</v>
      </c>
      <c r="M175" s="30" t="n">
        <v>0.9303689886501016</v>
      </c>
      <c r="N175" s="31">
        <f>ABS(E175-$F$6)</f>
        <v/>
      </c>
      <c r="O175" s="31">
        <f>ABS(E175-$F$7)</f>
        <v/>
      </c>
      <c r="P175" s="31">
        <f>ABS(E175-$F$8)</f>
        <v/>
      </c>
      <c r="Q175" s="14">
        <f>IF(K175&gt;=MAX(L175,M175), "Hemat", IF(L175&gt;=M175, "Balanced", "Premium"))</f>
        <v/>
      </c>
      <c r="R175" s="30" t="n">
        <v>0.02024506799538674</v>
      </c>
      <c r="S175" s="30" t="n">
        <v>0.04938190569825709</v>
      </c>
      <c r="T175" s="30" t="n">
        <v>0.9303730263063562</v>
      </c>
      <c r="U175" s="31">
        <f>ABS(E175-$G$6)</f>
        <v/>
      </c>
      <c r="V175" s="31">
        <f>ABS(E175-$G$7)</f>
        <v/>
      </c>
      <c r="W175" s="31">
        <f>ABS(E175-$G$8)</f>
        <v/>
      </c>
      <c r="X175" s="14">
        <f>IF(R175&gt;=MAX(S175,T175), "Hemat", IF(S175&gt;=T175, "Balanced", "Premium"))</f>
        <v/>
      </c>
    </row>
    <row r="176">
      <c r="A176" s="14" t="n">
        <v>165</v>
      </c>
      <c r="B176" s="7" t="inlineStr">
        <is>
          <t>Hotel Grand City Batu</t>
        </is>
      </c>
      <c r="C176" s="26" t="n">
        <v>-7.8493019</v>
      </c>
      <c r="D176" s="26" t="n">
        <v>112.5281477</v>
      </c>
      <c r="E176" s="21" t="n">
        <v>299106</v>
      </c>
      <c r="F176" s="27" t="n">
        <v>0</v>
      </c>
      <c r="G176" s="28" t="n">
        <v>0</v>
      </c>
      <c r="H176" s="14" t="inlineStr">
        <is>
          <t>N/A</t>
        </is>
      </c>
      <c r="I176" s="29">
        <f>6371 * 2 * ASIN(SQRT(SIN(RADIANS((C176) - INDEX('Dataset_Wisata'!$C$12:$C$622, MATCH('Dashboard'!$C$9, 'Dataset_Wisata'!$A$12:$A$622, 0)))/2)^2 + COS(RADIANS(INDEX('Dataset_Wisata'!$C$12:$C$622, MATCH('Dashboard'!$C$9, 'Dataset_Wisata'!$A$12:$A$622, 0)))) * COS(RADIANS(C176)) * SIN(RADIANS((D176) - INDEX('Dataset_Wisata'!$D$12:$D$622, MATCH('Dashboard'!$C$9, 'Dataset_Wisata'!$A$12:$A$622, 0)))/2)^2)) * 1.3</f>
        <v/>
      </c>
      <c r="J176" s="21">
        <f>ROUND(I176 * IF('Dashboard'!$C$6&lt;=1, 2250, IF('Dashboard'!$C$6&lt;=4, 5150, 6000)), 0)</f>
        <v/>
      </c>
      <c r="K176" s="30" t="n">
        <v>0.07133857790112641</v>
      </c>
      <c r="L176" s="30" t="n">
        <v>0.7553657325090181</v>
      </c>
      <c r="M176" s="30" t="n">
        <v>0.1732956895898555</v>
      </c>
      <c r="N176" s="31">
        <f>ABS(E176-$F$6)</f>
        <v/>
      </c>
      <c r="O176" s="31">
        <f>ABS(E176-$F$7)</f>
        <v/>
      </c>
      <c r="P176" s="31">
        <f>ABS(E176-$F$8)</f>
        <v/>
      </c>
      <c r="Q176" s="14">
        <f>IF(K176&gt;=MAX(L176,M176), "Hemat", IF(L176&gt;=M176, "Balanced", "Premium"))</f>
        <v/>
      </c>
      <c r="R176" s="30" t="n">
        <v>0.07133757497653315</v>
      </c>
      <c r="S176" s="30" t="n">
        <v>0.7553748376723165</v>
      </c>
      <c r="T176" s="30" t="n">
        <v>0.1732875873511504</v>
      </c>
      <c r="U176" s="31">
        <f>ABS(E176-$G$6)</f>
        <v/>
      </c>
      <c r="V176" s="31">
        <f>ABS(E176-$G$7)</f>
        <v/>
      </c>
      <c r="W176" s="31">
        <f>ABS(E176-$G$8)</f>
        <v/>
      </c>
      <c r="X176" s="14">
        <f>IF(R176&gt;=MAX(S176,T176), "Hemat", IF(S176&gt;=T176, "Balanced", "Premium"))</f>
        <v/>
      </c>
    </row>
    <row r="177">
      <c r="A177" s="14" t="n">
        <v>166</v>
      </c>
      <c r="B177" s="7" t="inlineStr">
        <is>
          <t>Kintamani 360 Villa &amp; Guest House Syariah</t>
        </is>
      </c>
      <c r="C177" s="26" t="n">
        <v>-7.8610678</v>
      </c>
      <c r="D177" s="26" t="n">
        <v>112.5340847</v>
      </c>
      <c r="E177" s="21" t="n">
        <v>600000</v>
      </c>
      <c r="F177" s="27" t="n">
        <v>0</v>
      </c>
      <c r="G177" s="28" t="n">
        <v>0</v>
      </c>
      <c r="H177" s="14" t="inlineStr">
        <is>
          <t>N/A</t>
        </is>
      </c>
      <c r="I177" s="29">
        <f>6371 * 2 * ASIN(SQRT(SIN(RADIANS((C177) - INDEX('Dataset_Wisata'!$C$12:$C$622, MATCH('Dashboard'!$C$9, 'Dataset_Wisata'!$A$12:$A$622, 0)))/2)^2 + COS(RADIANS(INDEX('Dataset_Wisata'!$C$12:$C$622, MATCH('Dashboard'!$C$9, 'Dataset_Wisata'!$A$12:$A$622, 0)))) * COS(RADIANS(C177)) * SIN(RADIANS((D177) - INDEX('Dataset_Wisata'!$D$12:$D$622, MATCH('Dashboard'!$C$9, 'Dataset_Wisata'!$A$12:$A$622, 0)))/2)^2)) * 1.3</f>
        <v/>
      </c>
      <c r="J177" s="21">
        <f>ROUND(I177 * IF('Dashboard'!$C$6&lt;=1, 2250, IF('Dashboard'!$C$6&lt;=4, 5150, 6000)), 0)</f>
        <v/>
      </c>
      <c r="K177" s="30" t="n">
        <v>0.04418058038771073</v>
      </c>
      <c r="L177" s="30" t="n">
        <v>0.07951423636953152</v>
      </c>
      <c r="M177" s="30" t="n">
        <v>0.2808337527717566</v>
      </c>
      <c r="N177" s="31">
        <f>ABS(E177-$F$6)</f>
        <v/>
      </c>
      <c r="O177" s="31">
        <f>ABS(E177-$F$7)</f>
        <v/>
      </c>
      <c r="P177" s="31">
        <f>ABS(E177-$F$8)</f>
        <v/>
      </c>
      <c r="Q177" s="14">
        <f>IF(K177&gt;=MAX(L177,M177), "Hemat", IF(L177&gt;=M177, "Balanced", "Premium"))</f>
        <v/>
      </c>
      <c r="R177" s="30" t="n">
        <v>0.04418062374213448</v>
      </c>
      <c r="S177" s="30" t="n">
        <v>0.07951458316529153</v>
      </c>
      <c r="T177" s="30" t="n">
        <v>0.2808387663605185</v>
      </c>
      <c r="U177" s="31">
        <f>ABS(E177-$G$6)</f>
        <v/>
      </c>
      <c r="V177" s="31">
        <f>ABS(E177-$G$7)</f>
        <v/>
      </c>
      <c r="W177" s="31">
        <f>ABS(E177-$G$8)</f>
        <v/>
      </c>
      <c r="X177" s="14">
        <f>IF(R177&gt;=MAX(S177,T177), "Hemat", IF(S177&gt;=T177, "Balanced", "Premium"))</f>
        <v/>
      </c>
    </row>
    <row r="178">
      <c r="A178" s="14" t="n">
        <v>167</v>
      </c>
      <c r="B178" s="7" t="inlineStr">
        <is>
          <t>Hotel Filadelfia Gallery Resort</t>
        </is>
      </c>
      <c r="C178" s="26" t="n">
        <v>-7.8622786</v>
      </c>
      <c r="D178" s="26" t="n">
        <v>112.5270715</v>
      </c>
      <c r="E178" s="21" t="n">
        <v>388430</v>
      </c>
      <c r="F178" s="27" t="n">
        <v>0</v>
      </c>
      <c r="G178" s="28" t="n">
        <v>0</v>
      </c>
      <c r="H178" s="14" t="inlineStr">
        <is>
          <t>N/A</t>
        </is>
      </c>
      <c r="I178" s="29">
        <f>6371 * 2 * ASIN(SQRT(SIN(RADIANS((C178) - INDEX('Dataset_Wisata'!$C$12:$C$622, MATCH('Dashboard'!$C$9, 'Dataset_Wisata'!$A$12:$A$622, 0)))/2)^2 + COS(RADIANS(INDEX('Dataset_Wisata'!$C$12:$C$622, MATCH('Dashboard'!$C$9, 'Dataset_Wisata'!$A$12:$A$622, 0)))) * COS(RADIANS(C178)) * SIN(RADIANS((D178) - INDEX('Dataset_Wisata'!$D$12:$D$622, MATCH('Dashboard'!$C$9, 'Dataset_Wisata'!$A$12:$A$622, 0)))/2)^2)) * 1.3</f>
        <v/>
      </c>
      <c r="J178" s="21">
        <f>ROUND(I178 * IF('Dashboard'!$C$6&lt;=1, 2250, IF('Dashboard'!$C$6&lt;=4, 5150, 6000)), 0)</f>
        <v/>
      </c>
      <c r="K178" s="30" t="n">
        <v>0.007253313211071251</v>
      </c>
      <c r="L178" s="30" t="n">
        <v>0.02473485285682579</v>
      </c>
      <c r="M178" s="30" t="n">
        <v>0.9680118339321029</v>
      </c>
      <c r="N178" s="31">
        <f>ABS(E178-$F$6)</f>
        <v/>
      </c>
      <c r="O178" s="31">
        <f>ABS(E178-$F$7)</f>
        <v/>
      </c>
      <c r="P178" s="31">
        <f>ABS(E178-$F$8)</f>
        <v/>
      </c>
      <c r="Q178" s="14">
        <f>IF(K178&gt;=MAX(L178,M178), "Hemat", IF(L178&gt;=M178, "Balanced", "Premium"))</f>
        <v/>
      </c>
      <c r="R178" s="30" t="n">
        <v>0.007254358334950173</v>
      </c>
      <c r="S178" s="30" t="n">
        <v>0.02473864062292401</v>
      </c>
      <c r="T178" s="30" t="n">
        <v>0.9680070010421258</v>
      </c>
      <c r="U178" s="31">
        <f>ABS(E178-$G$6)</f>
        <v/>
      </c>
      <c r="V178" s="31">
        <f>ABS(E178-$G$7)</f>
        <v/>
      </c>
      <c r="W178" s="31">
        <f>ABS(E178-$G$8)</f>
        <v/>
      </c>
      <c r="X178" s="14">
        <f>IF(R178&gt;=MAX(S178,T178), "Hemat", IF(S178&gt;=T178, "Balanced", "Premium"))</f>
        <v/>
      </c>
    </row>
    <row r="179">
      <c r="A179" s="14" t="n">
        <v>168</v>
      </c>
      <c r="B179" s="7" t="inlineStr">
        <is>
          <t>Villa Melinda Home Stay</t>
        </is>
      </c>
      <c r="C179" s="26" t="n">
        <v>-7.821476</v>
      </c>
      <c r="D179" s="26" t="n">
        <v>112.530322</v>
      </c>
      <c r="E179" s="21" t="n">
        <v>1500000</v>
      </c>
      <c r="F179" s="27" t="n">
        <v>0</v>
      </c>
      <c r="G179" s="28" t="n">
        <v>0</v>
      </c>
      <c r="H179" s="14" t="inlineStr">
        <is>
          <t>N/A</t>
        </is>
      </c>
      <c r="I179" s="29">
        <f>6371 * 2 * ASIN(SQRT(SIN(RADIANS((C179) - INDEX('Dataset_Wisata'!$C$12:$C$622, MATCH('Dashboard'!$C$9, 'Dataset_Wisata'!$A$12:$A$622, 0)))/2)^2 + COS(RADIANS(INDEX('Dataset_Wisata'!$C$12:$C$622, MATCH('Dashboard'!$C$9, 'Dataset_Wisata'!$A$12:$A$622, 0)))) * COS(RADIANS(C179)) * SIN(RADIANS((D179) - INDEX('Dataset_Wisata'!$D$12:$D$622, MATCH('Dashboard'!$C$9, 'Dataset_Wisata'!$A$12:$A$622, 0)))/2)^2)) * 1.3</f>
        <v/>
      </c>
      <c r="J179" s="21">
        <f>ROUND(I179 * IF('Dashboard'!$C$6&lt;=1, 2250, IF('Dashboard'!$C$6&lt;=4, 5150, 6000)), 0)</f>
        <v/>
      </c>
      <c r="K179" s="30" t="n">
        <v>0.005283444585871828</v>
      </c>
      <c r="L179" s="30" t="n">
        <v>0.006352833707174612</v>
      </c>
      <c r="M179" s="30" t="n">
        <v>0.008436889456875606</v>
      </c>
      <c r="N179" s="31">
        <f>ABS(E179-$F$6)</f>
        <v/>
      </c>
      <c r="O179" s="31">
        <f>ABS(E179-$F$7)</f>
        <v/>
      </c>
      <c r="P179" s="31">
        <f>ABS(E179-$F$8)</f>
        <v/>
      </c>
      <c r="Q179" s="14">
        <f>IF(K179&gt;=MAX(L179,M179), "Hemat", IF(L179&gt;=M179, "Balanced", "Premium"))</f>
        <v/>
      </c>
      <c r="R179" s="30" t="n">
        <v>0.005283446378795574</v>
      </c>
      <c r="S179" s="30" t="n">
        <v>0.006352841538885596</v>
      </c>
      <c r="T179" s="30" t="n">
        <v>0.008436915563064995</v>
      </c>
      <c r="U179" s="31">
        <f>ABS(E179-$G$6)</f>
        <v/>
      </c>
      <c r="V179" s="31">
        <f>ABS(E179-$G$7)</f>
        <v/>
      </c>
      <c r="W179" s="31">
        <f>ABS(E179-$G$8)</f>
        <v/>
      </c>
      <c r="X179" s="14">
        <f>IF(R179&gt;=MAX(S179,T179), "Hemat", IF(S179&gt;=T179, "Balanced", "Premium"))</f>
        <v/>
      </c>
    </row>
    <row r="180">
      <c r="A180" s="14" t="n">
        <v>169</v>
      </c>
      <c r="B180" s="7" t="inlineStr">
        <is>
          <t>Oak Tree Glamping Resort</t>
        </is>
      </c>
      <c r="C180" s="26" t="n">
        <v>-7.8656221</v>
      </c>
      <c r="D180" s="26" t="n">
        <v>112.5264326</v>
      </c>
      <c r="E180" s="21" t="n">
        <v>710100</v>
      </c>
      <c r="F180" s="27" t="n">
        <v>0</v>
      </c>
      <c r="G180" s="28" t="n">
        <v>0</v>
      </c>
      <c r="H180" s="14" t="inlineStr">
        <is>
          <t>N/A</t>
        </is>
      </c>
      <c r="I180" s="29">
        <f>6371 * 2 * ASIN(SQRT(SIN(RADIANS((C180) - INDEX('Dataset_Wisata'!$C$12:$C$622, MATCH('Dashboard'!$C$9, 'Dataset_Wisata'!$A$12:$A$622, 0)))/2)^2 + COS(RADIANS(INDEX('Dataset_Wisata'!$C$12:$C$622, MATCH('Dashboard'!$C$9, 'Dataset_Wisata'!$A$12:$A$622, 0)))) * COS(RADIANS(C180)) * SIN(RADIANS((D180) - INDEX('Dataset_Wisata'!$D$12:$D$622, MATCH('Dashboard'!$C$9, 'Dataset_Wisata'!$A$12:$A$622, 0)))/2)^2)) * 1.3</f>
        <v/>
      </c>
      <c r="J180" s="21">
        <f>ROUND(I180 * IF('Dashboard'!$C$6&lt;=1, 2250, IF('Dashboard'!$C$6&lt;=4, 5150, 6000)), 0)</f>
        <v/>
      </c>
      <c r="K180" s="30" t="n">
        <v>0.02913521366801751</v>
      </c>
      <c r="L180" s="30" t="n">
        <v>0.04630153676130698</v>
      </c>
      <c r="M180" s="30" t="n">
        <v>0.1120042387273009</v>
      </c>
      <c r="N180" s="31">
        <f>ABS(E180-$F$6)</f>
        <v/>
      </c>
      <c r="O180" s="31">
        <f>ABS(E180-$F$7)</f>
        <v/>
      </c>
      <c r="P180" s="31">
        <f>ABS(E180-$F$8)</f>
        <v/>
      </c>
      <c r="Q180" s="14">
        <f>IF(K180&gt;=MAX(L180,M180), "Hemat", IF(L180&gt;=M180, "Balanced", "Premium"))</f>
        <v/>
      </c>
      <c r="R180" s="30" t="n">
        <v>0.02913523688541539</v>
      </c>
      <c r="S180" s="30" t="n">
        <v>0.04630169086009116</v>
      </c>
      <c r="T180" s="30" t="n">
        <v>0.1120055014974246</v>
      </c>
      <c r="U180" s="31">
        <f>ABS(E180-$G$6)</f>
        <v/>
      </c>
      <c r="V180" s="31">
        <f>ABS(E180-$G$7)</f>
        <v/>
      </c>
      <c r="W180" s="31">
        <f>ABS(E180-$G$8)</f>
        <v/>
      </c>
      <c r="X180" s="14">
        <f>IF(R180&gt;=MAX(S180,T180), "Hemat", IF(S180&gt;=T180, "Balanced", "Premium"))</f>
        <v/>
      </c>
    </row>
    <row r="181">
      <c r="A181" s="14" t="n">
        <v>170</v>
      </c>
      <c r="B181" s="7" t="inlineStr">
        <is>
          <t>Bliss Family Cottage Batu</t>
        </is>
      </c>
      <c r="C181" s="26" t="n">
        <v>-7.8497878</v>
      </c>
      <c r="D181" s="26" t="n">
        <v>112.5295807</v>
      </c>
      <c r="E181" s="21" t="n">
        <v>300000</v>
      </c>
      <c r="F181" s="27" t="n">
        <v>0</v>
      </c>
      <c r="G181" s="28" t="n">
        <v>0</v>
      </c>
      <c r="H181" s="14" t="inlineStr">
        <is>
          <t>N/A</t>
        </is>
      </c>
      <c r="I181" s="29">
        <f>6371 * 2 * ASIN(SQRT(SIN(RADIANS((C181) - INDEX('Dataset_Wisata'!$C$12:$C$622, MATCH('Dashboard'!$C$9, 'Dataset_Wisata'!$A$12:$A$622, 0)))/2)^2 + COS(RADIANS(INDEX('Dataset_Wisata'!$C$12:$C$622, MATCH('Dashboard'!$C$9, 'Dataset_Wisata'!$A$12:$A$622, 0)))) * COS(RADIANS(C181)) * SIN(RADIANS((D181) - INDEX('Dataset_Wisata'!$D$12:$D$622, MATCH('Dashboard'!$C$9, 'Dataset_Wisata'!$A$12:$A$622, 0)))/2)^2)) * 1.3</f>
        <v/>
      </c>
      <c r="J181" s="21">
        <f>ROUND(I181 * IF('Dashboard'!$C$6&lt;=1, 2250, IF('Dashboard'!$C$6&lt;=4, 5150, 6000)), 0)</f>
        <v/>
      </c>
      <c r="K181" s="30" t="n">
        <v>0.07223626084271963</v>
      </c>
      <c r="L181" s="30" t="n">
        <v>0.7476291821940408</v>
      </c>
      <c r="M181" s="30" t="n">
        <v>0.1801345569632395</v>
      </c>
      <c r="N181" s="31">
        <f>ABS(E181-$F$6)</f>
        <v/>
      </c>
      <c r="O181" s="31">
        <f>ABS(E181-$F$7)</f>
        <v/>
      </c>
      <c r="P181" s="31">
        <f>ABS(E181-$F$8)</f>
        <v/>
      </c>
      <c r="Q181" s="14">
        <f>IF(K181&gt;=MAX(L181,M181), "Hemat", IF(L181&gt;=M181, "Balanced", "Premium"))</f>
        <v/>
      </c>
      <c r="R181" s="30" t="n">
        <v>0.07223530370768798</v>
      </c>
      <c r="S181" s="30" t="n">
        <v>0.7476384566573707</v>
      </c>
      <c r="T181" s="30" t="n">
        <v>0.1801262396349412</v>
      </c>
      <c r="U181" s="31">
        <f>ABS(E181-$G$6)</f>
        <v/>
      </c>
      <c r="V181" s="31">
        <f>ABS(E181-$G$7)</f>
        <v/>
      </c>
      <c r="W181" s="31">
        <f>ABS(E181-$G$8)</f>
        <v/>
      </c>
      <c r="X181" s="14">
        <f>IF(R181&gt;=MAX(S181,T181), "Hemat", IF(S181&gt;=T181, "Balanced", "Premium"))</f>
        <v/>
      </c>
    </row>
    <row r="182">
      <c r="A182" s="14" t="n">
        <v>171</v>
      </c>
      <c r="B182" s="7" t="inlineStr">
        <is>
          <t>Wisma Wisata Wiratama</t>
        </is>
      </c>
      <c r="C182" s="26" t="n">
        <v>-7.8622157</v>
      </c>
      <c r="D182" s="26" t="n">
        <v>112.5289752</v>
      </c>
      <c r="E182" s="21" t="n">
        <v>263718</v>
      </c>
      <c r="F182" s="27" t="n">
        <v>0</v>
      </c>
      <c r="G182" s="28" t="n">
        <v>0</v>
      </c>
      <c r="H182" s="14" t="inlineStr">
        <is>
          <t>N/A</t>
        </is>
      </c>
      <c r="I182" s="29">
        <f>6371 * 2 * ASIN(SQRT(SIN(RADIANS((C182) - INDEX('Dataset_Wisata'!$C$12:$C$622, MATCH('Dashboard'!$C$9, 'Dataset_Wisata'!$A$12:$A$622, 0)))/2)^2 + COS(RADIANS(INDEX('Dataset_Wisata'!$C$12:$C$622, MATCH('Dashboard'!$C$9, 'Dataset_Wisata'!$A$12:$A$622, 0)))) * COS(RADIANS(C182)) * SIN(RADIANS((D182) - INDEX('Dataset_Wisata'!$D$12:$D$622, MATCH('Dashboard'!$C$9, 'Dataset_Wisata'!$A$12:$A$622, 0)))/2)^2)) * 1.3</f>
        <v/>
      </c>
      <c r="J182" s="21">
        <f>ROUND(I182 * IF('Dashboard'!$C$6&lt;=1, 2250, IF('Dashboard'!$C$6&lt;=4, 5150, 6000)), 0)</f>
        <v/>
      </c>
      <c r="K182" s="30" t="n">
        <v>0.01675977787581811</v>
      </c>
      <c r="L182" s="30" t="n">
        <v>0.9682710795414684</v>
      </c>
      <c r="M182" s="30" t="n">
        <v>0.01496914258271342</v>
      </c>
      <c r="N182" s="31">
        <f>ABS(E182-$F$6)</f>
        <v/>
      </c>
      <c r="O182" s="31">
        <f>ABS(E182-$F$7)</f>
        <v/>
      </c>
      <c r="P182" s="31">
        <f>ABS(E182-$F$8)</f>
        <v/>
      </c>
      <c r="Q182" s="14">
        <f>IF(K182&gt;=MAX(L182,M182), "Hemat", IF(L182&gt;=M182, "Balanced", "Premium"))</f>
        <v/>
      </c>
      <c r="R182" s="30" t="n">
        <v>0.01675847092310549</v>
      </c>
      <c r="S182" s="30" t="n">
        <v>0.9682739455724806</v>
      </c>
      <c r="T182" s="30" t="n">
        <v>0.01496758350441397</v>
      </c>
      <c r="U182" s="31">
        <f>ABS(E182-$G$6)</f>
        <v/>
      </c>
      <c r="V182" s="31">
        <f>ABS(E182-$G$7)</f>
        <v/>
      </c>
      <c r="W182" s="31">
        <f>ABS(E182-$G$8)</f>
        <v/>
      </c>
      <c r="X182" s="14">
        <f>IF(R182&gt;=MAX(S182,T182), "Hemat", IF(S182&gt;=T182, "Balanced", "Premium"))</f>
        <v/>
      </c>
    </row>
    <row r="183">
      <c r="A183" s="14" t="n">
        <v>172</v>
      </c>
      <c r="B183" s="7" t="inlineStr">
        <is>
          <t>The New Handayani Villa's</t>
        </is>
      </c>
      <c r="C183" s="26" t="n">
        <v>-7.8192894</v>
      </c>
      <c r="D183" s="26" t="n">
        <v>112.5271765</v>
      </c>
      <c r="E183" s="21" t="n">
        <v>137826</v>
      </c>
      <c r="F183" s="27" t="n">
        <v>0</v>
      </c>
      <c r="G183" s="28" t="n">
        <v>0</v>
      </c>
      <c r="H183" s="14" t="inlineStr">
        <is>
          <t>N/A</t>
        </is>
      </c>
      <c r="I183" s="29">
        <f>6371 * 2 * ASIN(SQRT(SIN(RADIANS((C183) - INDEX('Dataset_Wisata'!$C$12:$C$622, MATCH('Dashboard'!$C$9, 'Dataset_Wisata'!$A$12:$A$622, 0)))/2)^2 + COS(RADIANS(INDEX('Dataset_Wisata'!$C$12:$C$622, MATCH('Dashboard'!$C$9, 'Dataset_Wisata'!$A$12:$A$622, 0)))) * COS(RADIANS(C183)) * SIN(RADIANS((D183) - INDEX('Dataset_Wisata'!$D$12:$D$622, MATCH('Dashboard'!$C$9, 'Dataset_Wisata'!$A$12:$A$622, 0)))/2)^2)) * 1.3</f>
        <v/>
      </c>
      <c r="J183" s="21">
        <f>ROUND(I183 * IF('Dashboard'!$C$6&lt;=1, 2250, IF('Dashboard'!$C$6&lt;=4, 5150, 6000)), 0)</f>
        <v/>
      </c>
      <c r="K183" s="30" t="n">
        <v>0.981916092291268</v>
      </c>
      <c r="L183" s="30" t="n">
        <v>0.01566189883932745</v>
      </c>
      <c r="M183" s="30" t="n">
        <v>0.002422008869404605</v>
      </c>
      <c r="N183" s="31">
        <f>ABS(E183-$F$6)</f>
        <v/>
      </c>
      <c r="O183" s="31">
        <f>ABS(E183-$F$7)</f>
        <v/>
      </c>
      <c r="P183" s="31">
        <f>ABS(E183-$F$8)</f>
        <v/>
      </c>
      <c r="Q183" s="14">
        <f>IF(K183&gt;=MAX(L183,M183), "Hemat", IF(L183&gt;=M183, "Balanced", "Premium"))</f>
        <v/>
      </c>
      <c r="R183" s="30" t="n">
        <v>0.9819169531137517</v>
      </c>
      <c r="S183" s="30" t="n">
        <v>0.01566114897946477</v>
      </c>
      <c r="T183" s="30" t="n">
        <v>0.002421897906783577</v>
      </c>
      <c r="U183" s="31">
        <f>ABS(E183-$G$6)</f>
        <v/>
      </c>
      <c r="V183" s="31">
        <f>ABS(E183-$G$7)</f>
        <v/>
      </c>
      <c r="W183" s="31">
        <f>ABS(E183-$G$8)</f>
        <v/>
      </c>
      <c r="X183" s="14">
        <f>IF(R183&gt;=MAX(S183,T183), "Hemat", IF(S183&gt;=T183, "Balanced", "Premium"))</f>
        <v/>
      </c>
    </row>
    <row r="184">
      <c r="A184" s="14" t="n">
        <v>173</v>
      </c>
      <c r="B184" s="7" t="inlineStr">
        <is>
          <t>Hotel Transformer Center</t>
        </is>
      </c>
      <c r="C184" s="26" t="n">
        <v>-7.8644231</v>
      </c>
      <c r="D184" s="26" t="n">
        <v>112.5335211</v>
      </c>
      <c r="E184" s="21" t="n">
        <v>379603</v>
      </c>
      <c r="F184" s="27" t="n">
        <v>0</v>
      </c>
      <c r="G184" s="28" t="n">
        <v>0</v>
      </c>
      <c r="H184" s="14" t="inlineStr">
        <is>
          <t>N/A</t>
        </is>
      </c>
      <c r="I184" s="29">
        <f>6371 * 2 * ASIN(SQRT(SIN(RADIANS((C184) - INDEX('Dataset_Wisata'!$C$12:$C$622, MATCH('Dashboard'!$C$9, 'Dataset_Wisata'!$A$12:$A$622, 0)))/2)^2 + COS(RADIANS(INDEX('Dataset_Wisata'!$C$12:$C$622, MATCH('Dashboard'!$C$9, 'Dataset_Wisata'!$A$12:$A$622, 0)))) * COS(RADIANS(C184)) * SIN(RADIANS((D184) - INDEX('Dataset_Wisata'!$D$12:$D$622, MATCH('Dashboard'!$C$9, 'Dataset_Wisata'!$A$12:$A$622, 0)))/2)^2)) * 1.3</f>
        <v/>
      </c>
      <c r="J184" s="21">
        <f>ROUND(I184 * IF('Dashboard'!$C$6&lt;=1, 2250, IF('Dashboard'!$C$6&lt;=4, 5150, 6000)), 0)</f>
        <v/>
      </c>
      <c r="K184" s="30" t="n">
        <v>0.01438265326068212</v>
      </c>
      <c r="L184" s="30" t="n">
        <v>0.05204893187372873</v>
      </c>
      <c r="M184" s="30" t="n">
        <v>0.9335684148655892</v>
      </c>
      <c r="N184" s="31">
        <f>ABS(E184-$F$6)</f>
        <v/>
      </c>
      <c r="O184" s="31">
        <f>ABS(E184-$F$7)</f>
        <v/>
      </c>
      <c r="P184" s="31">
        <f>ABS(E184-$F$8)</f>
        <v/>
      </c>
      <c r="Q184" s="14">
        <f>IF(K184&gt;=MAX(L184,M184), "Hemat", IF(L184&gt;=M184, "Balanced", "Premium"))</f>
        <v/>
      </c>
      <c r="R184" s="30" t="n">
        <v>0.01438409768727857</v>
      </c>
      <c r="S184" s="30" t="n">
        <v>0.05205466368511563</v>
      </c>
      <c r="T184" s="30" t="n">
        <v>0.9335612386276059</v>
      </c>
      <c r="U184" s="31">
        <f>ABS(E184-$G$6)</f>
        <v/>
      </c>
      <c r="V184" s="31">
        <f>ABS(E184-$G$7)</f>
        <v/>
      </c>
      <c r="W184" s="31">
        <f>ABS(E184-$G$8)</f>
        <v/>
      </c>
      <c r="X184" s="14">
        <f>IF(R184&gt;=MAX(S184,T184), "Hemat", IF(S184&gt;=T184, "Balanced", "Premium"))</f>
        <v/>
      </c>
    </row>
    <row r="185">
      <c r="A185" s="14" t="n">
        <v>174</v>
      </c>
      <c r="B185" s="7" t="inlineStr">
        <is>
          <t>Panorama Villas Batu</t>
        </is>
      </c>
      <c r="C185" s="26" t="n">
        <v>-7.8653393</v>
      </c>
      <c r="D185" s="26" t="n">
        <v>112.5151444</v>
      </c>
      <c r="E185" s="21" t="n">
        <v>144978</v>
      </c>
      <c r="F185" s="27" t="n">
        <v>0</v>
      </c>
      <c r="G185" s="28" t="n">
        <v>0</v>
      </c>
      <c r="H185" s="14" t="inlineStr">
        <is>
          <t>N/A</t>
        </is>
      </c>
      <c r="I185" s="29">
        <f>6371 * 2 * ASIN(SQRT(SIN(RADIANS((C185) - INDEX('Dataset_Wisata'!$C$12:$C$622, MATCH('Dashboard'!$C$9, 'Dataset_Wisata'!$A$12:$A$622, 0)))/2)^2 + COS(RADIANS(INDEX('Dataset_Wisata'!$C$12:$C$622, MATCH('Dashboard'!$C$9, 'Dataset_Wisata'!$A$12:$A$622, 0)))) * COS(RADIANS(C185)) * SIN(RADIANS((D185) - INDEX('Dataset_Wisata'!$D$12:$D$622, MATCH('Dashboard'!$C$9, 'Dataset_Wisata'!$A$12:$A$622, 0)))/2)^2)) * 1.3</f>
        <v/>
      </c>
      <c r="J185" s="21">
        <f>ROUND(I185 * IF('Dashboard'!$C$6&lt;=1, 2250, IF('Dashboard'!$C$6&lt;=4, 5150, 6000)), 0)</f>
        <v/>
      </c>
      <c r="K185" s="30" t="n">
        <v>0.9535456235222524</v>
      </c>
      <c r="L185" s="30" t="n">
        <v>0.04067475670319676</v>
      </c>
      <c r="M185" s="30" t="n">
        <v>0.005779619774550948</v>
      </c>
      <c r="N185" s="31">
        <f>ABS(E185-$F$6)</f>
        <v/>
      </c>
      <c r="O185" s="31">
        <f>ABS(E185-$F$7)</f>
        <v/>
      </c>
      <c r="P185" s="31">
        <f>ABS(E185-$F$8)</f>
        <v/>
      </c>
      <c r="Q185" s="14">
        <f>IF(K185&gt;=MAX(L185,M185), "Hemat", IF(L185&gt;=M185, "Balanced", "Premium"))</f>
        <v/>
      </c>
      <c r="R185" s="30" t="n">
        <v>0.9535472881688832</v>
      </c>
      <c r="S185" s="30" t="n">
        <v>0.04067328520917914</v>
      </c>
      <c r="T185" s="30" t="n">
        <v>0.005779426621937639</v>
      </c>
      <c r="U185" s="31">
        <f>ABS(E185-$G$6)</f>
        <v/>
      </c>
      <c r="V185" s="31">
        <f>ABS(E185-$G$7)</f>
        <v/>
      </c>
      <c r="W185" s="31">
        <f>ABS(E185-$G$8)</f>
        <v/>
      </c>
      <c r="X185" s="14">
        <f>IF(R185&gt;=MAX(S185,T185), "Hemat", IF(S185&gt;=T185, "Balanced", "Premium"))</f>
        <v/>
      </c>
    </row>
    <row r="186">
      <c r="A186" s="14" t="n">
        <v>175</v>
      </c>
      <c r="B186" s="7" t="inlineStr">
        <is>
          <t>Parama Guest House</t>
        </is>
      </c>
      <c r="C186" s="26" t="n">
        <v>-7.8318286</v>
      </c>
      <c r="D186" s="26" t="n">
        <v>112.528307</v>
      </c>
      <c r="E186" s="21" t="n">
        <v>87000</v>
      </c>
      <c r="F186" s="27" t="n">
        <v>0</v>
      </c>
      <c r="G186" s="28" t="n">
        <v>0</v>
      </c>
      <c r="H186" s="14" t="inlineStr">
        <is>
          <t>N/A</t>
        </is>
      </c>
      <c r="I186" s="29">
        <f>6371 * 2 * ASIN(SQRT(SIN(RADIANS((C186) - INDEX('Dataset_Wisata'!$C$12:$C$622, MATCH('Dashboard'!$C$9, 'Dataset_Wisata'!$A$12:$A$622, 0)))/2)^2 + COS(RADIANS(INDEX('Dataset_Wisata'!$C$12:$C$622, MATCH('Dashboard'!$C$9, 'Dataset_Wisata'!$A$12:$A$622, 0)))) * COS(RADIANS(C186)) * SIN(RADIANS((D186) - INDEX('Dataset_Wisata'!$D$12:$D$622, MATCH('Dashboard'!$C$9, 'Dataset_Wisata'!$A$12:$A$622, 0)))/2)^2)) * 1.3</f>
        <v/>
      </c>
      <c r="J186" s="21">
        <f>ROUND(I186 * IF('Dashboard'!$C$6&lt;=1, 2250, IF('Dashboard'!$C$6&lt;=4, 5150, 6000)), 0)</f>
        <v/>
      </c>
      <c r="K186" s="30" t="n">
        <v>0.9358951560173817</v>
      </c>
      <c r="L186" s="30" t="n">
        <v>0.05176102616286868</v>
      </c>
      <c r="M186" s="30" t="n">
        <v>0.0123438178197496</v>
      </c>
      <c r="N186" s="31">
        <f>ABS(E186-$F$6)</f>
        <v/>
      </c>
      <c r="O186" s="31">
        <f>ABS(E186-$F$7)</f>
        <v/>
      </c>
      <c r="P186" s="31">
        <f>ABS(E186-$F$8)</f>
        <v/>
      </c>
      <c r="Q186" s="14">
        <f>IF(K186&gt;=MAX(L186,M186), "Hemat", IF(L186&gt;=M186, "Balanced", "Premium"))</f>
        <v/>
      </c>
      <c r="R186" s="30" t="n">
        <v>0.9358949970865004</v>
      </c>
      <c r="S186" s="30" t="n">
        <v>0.05176116068357087</v>
      </c>
      <c r="T186" s="30" t="n">
        <v>0.01234384222992867</v>
      </c>
      <c r="U186" s="31">
        <f>ABS(E186-$G$6)</f>
        <v/>
      </c>
      <c r="V186" s="31">
        <f>ABS(E186-$G$7)</f>
        <v/>
      </c>
      <c r="W186" s="31">
        <f>ABS(E186-$G$8)</f>
        <v/>
      </c>
      <c r="X186" s="14">
        <f>IF(R186&gt;=MAX(S186,T186), "Hemat", IF(S186&gt;=T186, "Balanced", "Premium"))</f>
        <v/>
      </c>
    </row>
    <row r="187">
      <c r="A187" s="14" t="n">
        <v>176</v>
      </c>
      <c r="B187" s="7" t="inlineStr">
        <is>
          <t>Hotel Selecta</t>
        </is>
      </c>
      <c r="C187" s="26" t="n">
        <v>-7.822375</v>
      </c>
      <c r="D187" s="26" t="n">
        <v>112.52702</v>
      </c>
      <c r="E187" s="21" t="n">
        <v>390000</v>
      </c>
      <c r="F187" s="27" t="n">
        <v>0</v>
      </c>
      <c r="G187" s="28" t="n">
        <v>0</v>
      </c>
      <c r="H187" s="14" t="inlineStr">
        <is>
          <t>N/A</t>
        </is>
      </c>
      <c r="I187" s="29">
        <f>6371 * 2 * ASIN(SQRT(SIN(RADIANS((C187) - INDEX('Dataset_Wisata'!$C$12:$C$622, MATCH('Dashboard'!$C$9, 'Dataset_Wisata'!$A$12:$A$622, 0)))/2)^2 + COS(RADIANS(INDEX('Dataset_Wisata'!$C$12:$C$622, MATCH('Dashboard'!$C$9, 'Dataset_Wisata'!$A$12:$A$622, 0)))) * COS(RADIANS(C187)) * SIN(RADIANS((D187) - INDEX('Dataset_Wisata'!$D$12:$D$622, MATCH('Dashboard'!$C$9, 'Dataset_Wisata'!$A$12:$A$622, 0)))/2)^2)) * 1.3</f>
        <v/>
      </c>
      <c r="J187" s="21">
        <f>ROUND(I187 * IF('Dashboard'!$C$6&lt;=1, 2250, IF('Dashboard'!$C$6&lt;=4, 5150, 6000)), 0)</f>
        <v/>
      </c>
      <c r="K187" s="30" t="n">
        <v>0.006247308359401102</v>
      </c>
      <c r="L187" s="30" t="n">
        <v>0.0210927002659158</v>
      </c>
      <c r="M187" s="30" t="n">
        <v>0.9726599913746831</v>
      </c>
      <c r="N187" s="31">
        <f>ABS(E187-$F$6)</f>
        <v/>
      </c>
      <c r="O187" s="31">
        <f>ABS(E187-$F$7)</f>
        <v/>
      </c>
      <c r="P187" s="31">
        <f>ABS(E187-$F$8)</f>
        <v/>
      </c>
      <c r="Q187" s="14">
        <f>IF(K187&gt;=MAX(L187,M187), "Hemat", IF(L187&gt;=M187, "Balanced", "Premium"))</f>
        <v/>
      </c>
      <c r="R187" s="30" t="n">
        <v>0.006248279003250851</v>
      </c>
      <c r="S187" s="30" t="n">
        <v>0.02109616597999713</v>
      </c>
      <c r="T187" s="30" t="n">
        <v>0.972655555016752</v>
      </c>
      <c r="U187" s="31">
        <f>ABS(E187-$G$6)</f>
        <v/>
      </c>
      <c r="V187" s="31">
        <f>ABS(E187-$G$7)</f>
        <v/>
      </c>
      <c r="W187" s="31">
        <f>ABS(E187-$G$8)</f>
        <v/>
      </c>
      <c r="X187" s="14">
        <f>IF(R187&gt;=MAX(S187,T187), "Hemat", IF(S187&gt;=T187, "Balanced", "Premium"))</f>
        <v/>
      </c>
    </row>
    <row r="188">
      <c r="A188" s="14" t="n">
        <v>177</v>
      </c>
      <c r="B188" s="7" t="inlineStr">
        <is>
          <t>Sazara Hotel Batu</t>
        </is>
      </c>
      <c r="C188" s="26" t="n">
        <v>-7.8121121</v>
      </c>
      <c r="D188" s="26" t="n">
        <v>112.5262441</v>
      </c>
      <c r="E188" s="21" t="n">
        <v>143108</v>
      </c>
      <c r="F188" s="27" t="n">
        <v>0</v>
      </c>
      <c r="G188" s="28" t="n">
        <v>0</v>
      </c>
      <c r="H188" s="14" t="inlineStr">
        <is>
          <t>N/A</t>
        </is>
      </c>
      <c r="I188" s="29">
        <f>6371 * 2 * ASIN(SQRT(SIN(RADIANS((C188) - INDEX('Dataset_Wisata'!$C$12:$C$622, MATCH('Dashboard'!$C$9, 'Dataset_Wisata'!$A$12:$A$622, 0)))/2)^2 + COS(RADIANS(INDEX('Dataset_Wisata'!$C$12:$C$622, MATCH('Dashboard'!$C$9, 'Dataset_Wisata'!$A$12:$A$622, 0)))) * COS(RADIANS(C188)) * SIN(RADIANS((D188) - INDEX('Dataset_Wisata'!$D$12:$D$622, MATCH('Dashboard'!$C$9, 'Dataset_Wisata'!$A$12:$A$622, 0)))/2)^2)) * 1.3</f>
        <v/>
      </c>
      <c r="J188" s="21">
        <f>ROUND(I188 * IF('Dashboard'!$C$6&lt;=1, 2250, IF('Dashboard'!$C$6&lt;=4, 5150, 6000)), 0)</f>
        <v/>
      </c>
      <c r="K188" s="30" t="n">
        <v>0.9624853470785176</v>
      </c>
      <c r="L188" s="30" t="n">
        <v>0.03275280194928333</v>
      </c>
      <c r="M188" s="30" t="n">
        <v>0.004761850972199044</v>
      </c>
      <c r="N188" s="31">
        <f>ABS(E188-$F$6)</f>
        <v/>
      </c>
      <c r="O188" s="31">
        <f>ABS(E188-$F$7)</f>
        <v/>
      </c>
      <c r="P188" s="31">
        <f>ABS(E188-$F$8)</f>
        <v/>
      </c>
      <c r="Q188" s="14">
        <f>IF(K188&gt;=MAX(L188,M188), "Hemat", IF(L188&gt;=M188, "Balanced", "Premium"))</f>
        <v/>
      </c>
      <c r="R188" s="30" t="n">
        <v>0.9624867750380433</v>
      </c>
      <c r="S188" s="30" t="n">
        <v>0.03275154458572453</v>
      </c>
      <c r="T188" s="30" t="n">
        <v>0.004761680376232241</v>
      </c>
      <c r="U188" s="31">
        <f>ABS(E188-$G$6)</f>
        <v/>
      </c>
      <c r="V188" s="31">
        <f>ABS(E188-$G$7)</f>
        <v/>
      </c>
      <c r="W188" s="31">
        <f>ABS(E188-$G$8)</f>
        <v/>
      </c>
      <c r="X188" s="14">
        <f>IF(R188&gt;=MAX(S188,T188), "Hemat", IF(S188&gt;=T188, "Balanced", "Premium"))</f>
        <v/>
      </c>
    </row>
    <row r="189">
      <c r="A189" s="14" t="n">
        <v>178</v>
      </c>
      <c r="B189" s="7" t="inlineStr">
        <is>
          <t>Mutu Edutel</t>
        </is>
      </c>
      <c r="C189" s="26" t="n">
        <v>-8.1714564</v>
      </c>
      <c r="D189" s="26" t="n">
        <v>112.6429443</v>
      </c>
      <c r="E189" s="21" t="n">
        <v>250000</v>
      </c>
      <c r="F189" s="27" t="n">
        <v>0</v>
      </c>
      <c r="G189" s="28" t="n">
        <v>0</v>
      </c>
      <c r="H189" s="14" t="inlineStr">
        <is>
          <t>N/A</t>
        </is>
      </c>
      <c r="I189" s="29">
        <f>6371 * 2 * ASIN(SQRT(SIN(RADIANS((C189) - INDEX('Dataset_Wisata'!$C$12:$C$622, MATCH('Dashboard'!$C$9, 'Dataset_Wisata'!$A$12:$A$622, 0)))/2)^2 + COS(RADIANS(INDEX('Dataset_Wisata'!$C$12:$C$622, MATCH('Dashboard'!$C$9, 'Dataset_Wisata'!$A$12:$A$622, 0)))) * COS(RADIANS(C189)) * SIN(RADIANS((D189) - INDEX('Dataset_Wisata'!$D$12:$D$622, MATCH('Dashboard'!$C$9, 'Dataset_Wisata'!$A$12:$A$622, 0)))/2)^2)) * 1.3</f>
        <v/>
      </c>
      <c r="J189" s="21">
        <f>ROUND(I189 * IF('Dashboard'!$C$6&lt;=1, 2250, IF('Dashboard'!$C$6&lt;=4, 5150, 6000)), 0)</f>
        <v/>
      </c>
      <c r="K189" s="30" t="n">
        <v>0.001353558595276529</v>
      </c>
      <c r="L189" s="30" t="n">
        <v>0.9978236799136749</v>
      </c>
      <c r="M189" s="30" t="n">
        <v>0.0008227614910485521</v>
      </c>
      <c r="N189" s="31">
        <f>ABS(E189-$F$6)</f>
        <v/>
      </c>
      <c r="O189" s="31">
        <f>ABS(E189-$F$7)</f>
        <v/>
      </c>
      <c r="P189" s="31">
        <f>ABS(E189-$F$8)</f>
        <v/>
      </c>
      <c r="Q189" s="14">
        <f>IF(K189&gt;=MAX(L189,M189), "Hemat", IF(L189&gt;=M189, "Balanced", "Premium"))</f>
        <v/>
      </c>
      <c r="R189" s="30" t="n">
        <v>0.001353112652701395</v>
      </c>
      <c r="S189" s="30" t="n">
        <v>0.9978244171537111</v>
      </c>
      <c r="T189" s="30" t="n">
        <v>0.0008224701935875775</v>
      </c>
      <c r="U189" s="31">
        <f>ABS(E189-$G$6)</f>
        <v/>
      </c>
      <c r="V189" s="31">
        <f>ABS(E189-$G$7)</f>
        <v/>
      </c>
      <c r="W189" s="31">
        <f>ABS(E189-$G$8)</f>
        <v/>
      </c>
      <c r="X189" s="14">
        <f>IF(R189&gt;=MAX(S189,T189), "Hemat", IF(S189&gt;=T189, "Balanced", "Premium"))</f>
        <v/>
      </c>
    </row>
    <row r="190">
      <c r="A190" s="14" t="n">
        <v>179</v>
      </c>
      <c r="B190" s="7" t="inlineStr">
        <is>
          <t>SAFIRA HOMESTAY PANTAI UNGAPAN</t>
        </is>
      </c>
      <c r="C190" s="26" t="n">
        <v>-8.4376658</v>
      </c>
      <c r="D190" s="26" t="n">
        <v>112.6434341</v>
      </c>
      <c r="E190" s="21" t="n">
        <v>71612</v>
      </c>
      <c r="F190" s="27" t="n">
        <v>0</v>
      </c>
      <c r="G190" s="28" t="n">
        <v>0</v>
      </c>
      <c r="H190" s="14" t="inlineStr">
        <is>
          <t>N/A</t>
        </is>
      </c>
      <c r="I190" s="29">
        <f>6371 * 2 * ASIN(SQRT(SIN(RADIANS((C190) - INDEX('Dataset_Wisata'!$C$12:$C$622, MATCH('Dashboard'!$C$9, 'Dataset_Wisata'!$A$12:$A$622, 0)))/2)^2 + COS(RADIANS(INDEX('Dataset_Wisata'!$C$12:$C$622, MATCH('Dashboard'!$C$9, 'Dataset_Wisata'!$A$12:$A$622, 0)))) * COS(RADIANS(C190)) * SIN(RADIANS((D190) - INDEX('Dataset_Wisata'!$D$12:$D$622, MATCH('Dashboard'!$C$9, 'Dataset_Wisata'!$A$12:$A$622, 0)))/2)^2)) * 1.3</f>
        <v/>
      </c>
      <c r="J190" s="21">
        <f>ROUND(I190 * IF('Dashboard'!$C$6&lt;=1, 2250, IF('Dashboard'!$C$6&lt;=4, 5150, 6000)), 0)</f>
        <v/>
      </c>
      <c r="K190" s="30" t="n">
        <v>0.8962502026887392</v>
      </c>
      <c r="L190" s="30" t="n">
        <v>0.08223327302800892</v>
      </c>
      <c r="M190" s="30" t="n">
        <v>0.02151652428325189</v>
      </c>
      <c r="N190" s="31">
        <f>ABS(E190-$F$6)</f>
        <v/>
      </c>
      <c r="O190" s="31">
        <f>ABS(E190-$F$7)</f>
        <v/>
      </c>
      <c r="P190" s="31">
        <f>ABS(E190-$F$8)</f>
        <v/>
      </c>
      <c r="Q190" s="14">
        <f>IF(K190&gt;=MAX(L190,M190), "Hemat", IF(L190&gt;=M190, "Balanced", "Premium"))</f>
        <v/>
      </c>
      <c r="R190" s="30" t="n">
        <v>0.8962502251832272</v>
      </c>
      <c r="S190" s="30" t="n">
        <v>0.08223327252069759</v>
      </c>
      <c r="T190" s="30" t="n">
        <v>0.02151650229607538</v>
      </c>
      <c r="U190" s="31">
        <f>ABS(E190-$G$6)</f>
        <v/>
      </c>
      <c r="V190" s="31">
        <f>ABS(E190-$G$7)</f>
        <v/>
      </c>
      <c r="W190" s="31">
        <f>ABS(E190-$G$8)</f>
        <v/>
      </c>
      <c r="X190" s="14">
        <f>IF(R190&gt;=MAX(S190,T190), "Hemat", IF(S190&gt;=T190, "Balanced", "Premium"))</f>
        <v/>
      </c>
    </row>
    <row r="191">
      <c r="A191" s="14" t="n">
        <v>180</v>
      </c>
      <c r="B191" s="7" t="inlineStr">
        <is>
          <t>ELTARI Pine House</t>
        </is>
      </c>
      <c r="C191" s="26" t="n">
        <v>-7.9984987</v>
      </c>
      <c r="D191" s="26" t="n">
        <v>112.6776793</v>
      </c>
      <c r="E191" s="21" t="n">
        <v>80000</v>
      </c>
      <c r="F191" s="27" t="n">
        <v>0</v>
      </c>
      <c r="G191" s="28" t="n">
        <v>0</v>
      </c>
      <c r="H191" s="14" t="inlineStr">
        <is>
          <t>N/A</t>
        </is>
      </c>
      <c r="I191" s="29">
        <f>6371 * 2 * ASIN(SQRT(SIN(RADIANS((C191) - INDEX('Dataset_Wisata'!$C$12:$C$622, MATCH('Dashboard'!$C$9, 'Dataset_Wisata'!$A$12:$A$622, 0)))/2)^2 + COS(RADIANS(INDEX('Dataset_Wisata'!$C$12:$C$622, MATCH('Dashboard'!$C$9, 'Dataset_Wisata'!$A$12:$A$622, 0)))) * COS(RADIANS(C191)) * SIN(RADIANS((D191) - INDEX('Dataset_Wisata'!$D$12:$D$622, MATCH('Dashboard'!$C$9, 'Dataset_Wisata'!$A$12:$A$622, 0)))/2)^2)) * 1.3</f>
        <v/>
      </c>
      <c r="J191" s="21">
        <f>ROUND(I191 * IF('Dashboard'!$C$6&lt;=1, 2250, IF('Dashboard'!$C$6&lt;=4, 5150, 6000)), 0)</f>
        <v/>
      </c>
      <c r="K191" s="30" t="n">
        <v>0.917922276308166</v>
      </c>
      <c r="L191" s="30" t="n">
        <v>0.0657067181163683</v>
      </c>
      <c r="M191" s="30" t="n">
        <v>0.01637100557546559</v>
      </c>
      <c r="N191" s="31">
        <f>ABS(E191-$F$6)</f>
        <v/>
      </c>
      <c r="O191" s="31">
        <f>ABS(E191-$F$7)</f>
        <v/>
      </c>
      <c r="P191" s="31">
        <f>ABS(E191-$F$8)</f>
        <v/>
      </c>
      <c r="Q191" s="14">
        <f>IF(K191&gt;=MAX(L191,M191), "Hemat", IF(L191&gt;=M191, "Balanced", "Premium"))</f>
        <v/>
      </c>
      <c r="R191" s="30" t="n">
        <v>0.9179221982347204</v>
      </c>
      <c r="S191" s="30" t="n">
        <v>0.06570679130234151</v>
      </c>
      <c r="T191" s="30" t="n">
        <v>0.01637101046293786</v>
      </c>
      <c r="U191" s="31">
        <f>ABS(E191-$G$6)</f>
        <v/>
      </c>
      <c r="V191" s="31">
        <f>ABS(E191-$G$7)</f>
        <v/>
      </c>
      <c r="W191" s="31">
        <f>ABS(E191-$G$8)</f>
        <v/>
      </c>
      <c r="X191" s="14">
        <f>IF(R191&gt;=MAX(S191,T191), "Hemat", IF(S191&gt;=T191, "Balanced", "Premium"))</f>
        <v/>
      </c>
    </row>
    <row r="192">
      <c r="A192" s="14" t="n">
        <v>181</v>
      </c>
      <c r="B192" s="7" t="inlineStr">
        <is>
          <t>Hotel YNO Castle Kepanjen</t>
        </is>
      </c>
      <c r="C192" s="26" t="n">
        <v>-8.1316576</v>
      </c>
      <c r="D192" s="26" t="n">
        <v>112.5696743</v>
      </c>
      <c r="E192" s="21" t="n">
        <v>344000</v>
      </c>
      <c r="F192" s="27" t="n">
        <v>0</v>
      </c>
      <c r="G192" s="28" t="n">
        <v>0</v>
      </c>
      <c r="H192" s="14" t="inlineStr">
        <is>
          <t>N/A</t>
        </is>
      </c>
      <c r="I192" s="29">
        <f>6371 * 2 * ASIN(SQRT(SIN(RADIANS((C192) - INDEX('Dataset_Wisata'!$C$12:$C$622, MATCH('Dashboard'!$C$9, 'Dataset_Wisata'!$A$12:$A$622, 0)))/2)^2 + COS(RADIANS(INDEX('Dataset_Wisata'!$C$12:$C$622, MATCH('Dashboard'!$C$9, 'Dataset_Wisata'!$A$12:$A$622, 0)))) * COS(RADIANS(C192)) * SIN(RADIANS((D192) - INDEX('Dataset_Wisata'!$D$12:$D$622, MATCH('Dashboard'!$C$9, 'Dataset_Wisata'!$A$12:$A$622, 0)))/2)^2)) * 1.3</f>
        <v/>
      </c>
      <c r="J192" s="21">
        <f>ROUND(I192 * IF('Dashboard'!$C$6&lt;=1, 2250, IF('Dashboard'!$C$6&lt;=4, 5150, 6000)), 0)</f>
        <v/>
      </c>
      <c r="K192" s="30" t="n">
        <v>0.0601432156946364</v>
      </c>
      <c r="L192" s="30" t="n">
        <v>0.298562437468223</v>
      </c>
      <c r="M192" s="30" t="n">
        <v>0.6412943468371407</v>
      </c>
      <c r="N192" s="31">
        <f>ABS(E192-$F$6)</f>
        <v/>
      </c>
      <c r="O192" s="31">
        <f>ABS(E192-$F$7)</f>
        <v/>
      </c>
      <c r="P192" s="31">
        <f>ABS(E192-$F$8)</f>
        <v/>
      </c>
      <c r="Q192" s="14">
        <f>IF(K192&gt;=MAX(L192,M192), "Hemat", IF(L192&gt;=M192, "Balanced", "Premium"))</f>
        <v/>
      </c>
      <c r="R192" s="30" t="n">
        <v>0.06014498483611472</v>
      </c>
      <c r="S192" s="30" t="n">
        <v>0.2985752676272703</v>
      </c>
      <c r="T192" s="30" t="n">
        <v>0.6412797475366149</v>
      </c>
      <c r="U192" s="31">
        <f>ABS(E192-$G$6)</f>
        <v/>
      </c>
      <c r="V192" s="31">
        <f>ABS(E192-$G$7)</f>
        <v/>
      </c>
      <c r="W192" s="31">
        <f>ABS(E192-$G$8)</f>
        <v/>
      </c>
      <c r="X192" s="14">
        <f>IF(R192&gt;=MAX(S192,T192), "Hemat", IF(S192&gt;=T192, "Balanced", "Premium"))</f>
        <v/>
      </c>
    </row>
    <row r="193">
      <c r="A193" s="14" t="n">
        <v>182</v>
      </c>
      <c r="B193" s="7" t="inlineStr">
        <is>
          <t>Core Inn Juwita Hotel</t>
        </is>
      </c>
      <c r="C193" s="26" t="n">
        <v>-8.1250395</v>
      </c>
      <c r="D193" s="26" t="n">
        <v>112.5651574</v>
      </c>
      <c r="E193" s="21" t="n">
        <v>149093</v>
      </c>
      <c r="F193" s="27" t="n">
        <v>0</v>
      </c>
      <c r="G193" s="28" t="n">
        <v>0</v>
      </c>
      <c r="H193" s="14" t="inlineStr">
        <is>
          <t>N/A</t>
        </is>
      </c>
      <c r="I193" s="29">
        <f>6371 * 2 * ASIN(SQRT(SIN(RADIANS((C193) - INDEX('Dataset_Wisata'!$C$12:$C$622, MATCH('Dashboard'!$C$9, 'Dataset_Wisata'!$A$12:$A$622, 0)))/2)^2 + COS(RADIANS(INDEX('Dataset_Wisata'!$C$12:$C$622, MATCH('Dashboard'!$C$9, 'Dataset_Wisata'!$A$12:$A$622, 0)))) * COS(RADIANS(C193)) * SIN(RADIANS((D193) - INDEX('Dataset_Wisata'!$D$12:$D$622, MATCH('Dashboard'!$C$9, 'Dataset_Wisata'!$A$12:$A$622, 0)))/2)^2)) * 1.3</f>
        <v/>
      </c>
      <c r="J193" s="21">
        <f>ROUND(I193 * IF('Dashboard'!$C$6&lt;=1, 2250, IF('Dashboard'!$C$6&lt;=4, 5150, 6000)), 0)</f>
        <v/>
      </c>
      <c r="K193" s="30" t="n">
        <v>0.9297147080064593</v>
      </c>
      <c r="L193" s="30" t="n">
        <v>0.06193532797812101</v>
      </c>
      <c r="M193" s="30" t="n">
        <v>0.008349964015419745</v>
      </c>
      <c r="N193" s="31">
        <f>ABS(E193-$F$6)</f>
        <v/>
      </c>
      <c r="O193" s="31">
        <f>ABS(E193-$F$7)</f>
        <v/>
      </c>
      <c r="P193" s="31">
        <f>ABS(E193-$F$8)</f>
        <v/>
      </c>
      <c r="Q193" s="14">
        <f>IF(K193&gt;=MAX(L193,M193), "Hemat", IF(L193&gt;=M193, "Balanced", "Premium"))</f>
        <v/>
      </c>
      <c r="R193" s="30" t="n">
        <v>0.9297169604869211</v>
      </c>
      <c r="S193" s="30" t="n">
        <v>0.0619333194205165</v>
      </c>
      <c r="T193" s="30" t="n">
        <v>0.008349720092562424</v>
      </c>
      <c r="U193" s="31">
        <f>ABS(E193-$G$6)</f>
        <v/>
      </c>
      <c r="V193" s="31">
        <f>ABS(E193-$G$7)</f>
        <v/>
      </c>
      <c r="W193" s="31">
        <f>ABS(E193-$G$8)</f>
        <v/>
      </c>
      <c r="X193" s="14">
        <f>IF(R193&gt;=MAX(S193,T193), "Hemat", IF(S193&gt;=T193, "Balanced", "Premium"))</f>
        <v/>
      </c>
    </row>
    <row r="194">
      <c r="A194" s="14" t="n">
        <v>183</v>
      </c>
      <c r="B194" s="7" t="inlineStr">
        <is>
          <t>Hotel Gerbang Biru</t>
        </is>
      </c>
      <c r="C194" s="26" t="n">
        <v>-8.125106000000001</v>
      </c>
      <c r="D194" s="26" t="n">
        <v>112.558275</v>
      </c>
      <c r="E194" s="21" t="n">
        <v>57212</v>
      </c>
      <c r="F194" s="27" t="n">
        <v>0</v>
      </c>
      <c r="G194" s="28" t="n">
        <v>0</v>
      </c>
      <c r="H194" s="14" t="inlineStr">
        <is>
          <t>N/A</t>
        </is>
      </c>
      <c r="I194" s="29">
        <f>6371 * 2 * ASIN(SQRT(SIN(RADIANS((C194) - INDEX('Dataset_Wisata'!$C$12:$C$622, MATCH('Dashboard'!$C$9, 'Dataset_Wisata'!$A$12:$A$622, 0)))/2)^2 + COS(RADIANS(INDEX('Dataset_Wisata'!$C$12:$C$622, MATCH('Dashboard'!$C$9, 'Dataset_Wisata'!$A$12:$A$622, 0)))) * COS(RADIANS(C194)) * SIN(RADIANS((D194) - INDEX('Dataset_Wisata'!$D$12:$D$622, MATCH('Dashboard'!$C$9, 'Dataset_Wisata'!$A$12:$A$622, 0)))/2)^2)) * 1.3</f>
        <v/>
      </c>
      <c r="J194" s="21">
        <f>ROUND(I194 * IF('Dashboard'!$C$6&lt;=1, 2250, IF('Dashboard'!$C$6&lt;=4, 5150, 6000)), 0)</f>
        <v/>
      </c>
      <c r="K194" s="30" t="n">
        <v>0.8600248399119151</v>
      </c>
      <c r="L194" s="30" t="n">
        <v>0.1091534764213973</v>
      </c>
      <c r="M194" s="30" t="n">
        <v>0.03082168366668737</v>
      </c>
      <c r="N194" s="31">
        <f>ABS(E194-$F$6)</f>
        <v/>
      </c>
      <c r="O194" s="31">
        <f>ABS(E194-$F$7)</f>
        <v/>
      </c>
      <c r="P194" s="31">
        <f>ABS(E194-$F$8)</f>
        <v/>
      </c>
      <c r="Q194" s="14">
        <f>IF(K194&gt;=MAX(L194,M194), "Hemat", IF(L194&gt;=M194, "Balanced", "Premium"))</f>
        <v/>
      </c>
      <c r="R194" s="30" t="n">
        <v>0.8600250253479975</v>
      </c>
      <c r="S194" s="30" t="n">
        <v>0.1091533629097819</v>
      </c>
      <c r="T194" s="30" t="n">
        <v>0.03082161174222067</v>
      </c>
      <c r="U194" s="31">
        <f>ABS(E194-$G$6)</f>
        <v/>
      </c>
      <c r="V194" s="31">
        <f>ABS(E194-$G$7)</f>
        <v/>
      </c>
      <c r="W194" s="31">
        <f>ABS(E194-$G$8)</f>
        <v/>
      </c>
      <c r="X194" s="14">
        <f>IF(R194&gt;=MAX(S194,T194), "Hemat", IF(S194&gt;=T194, "Balanced", "Premium"))</f>
        <v/>
      </c>
    </row>
    <row r="195">
      <c r="A195" s="14" t="n">
        <v>184</v>
      </c>
      <c r="B195" s="7" t="inlineStr">
        <is>
          <t>Grand Kanjuruhan Hotel</t>
        </is>
      </c>
      <c r="C195" s="26" t="n">
        <v>-8.108029500000001</v>
      </c>
      <c r="D195" s="26" t="n">
        <v>112.5786367</v>
      </c>
      <c r="E195" s="21" t="n">
        <v>149093</v>
      </c>
      <c r="F195" s="27" t="n">
        <v>0</v>
      </c>
      <c r="G195" s="28" t="n">
        <v>0</v>
      </c>
      <c r="H195" s="14" t="inlineStr">
        <is>
          <t>N/A</t>
        </is>
      </c>
      <c r="I195" s="29">
        <f>6371 * 2 * ASIN(SQRT(SIN(RADIANS((C195) - INDEX('Dataset_Wisata'!$C$12:$C$622, MATCH('Dashboard'!$C$9, 'Dataset_Wisata'!$A$12:$A$622, 0)))/2)^2 + COS(RADIANS(INDEX('Dataset_Wisata'!$C$12:$C$622, MATCH('Dashboard'!$C$9, 'Dataset_Wisata'!$A$12:$A$622, 0)))) * COS(RADIANS(C195)) * SIN(RADIANS((D195) - INDEX('Dataset_Wisata'!$D$12:$D$622, MATCH('Dashboard'!$C$9, 'Dataset_Wisata'!$A$12:$A$622, 0)))/2)^2)) * 1.3</f>
        <v/>
      </c>
      <c r="J195" s="21">
        <f>ROUND(I195 * IF('Dashboard'!$C$6&lt;=1, 2250, IF('Dashboard'!$C$6&lt;=4, 5150, 6000)), 0)</f>
        <v/>
      </c>
      <c r="K195" s="30" t="n">
        <v>0.9297147080064593</v>
      </c>
      <c r="L195" s="30" t="n">
        <v>0.06193532797812101</v>
      </c>
      <c r="M195" s="30" t="n">
        <v>0.008349964015419745</v>
      </c>
      <c r="N195" s="31">
        <f>ABS(E195-$F$6)</f>
        <v/>
      </c>
      <c r="O195" s="31">
        <f>ABS(E195-$F$7)</f>
        <v/>
      </c>
      <c r="P195" s="31">
        <f>ABS(E195-$F$8)</f>
        <v/>
      </c>
      <c r="Q195" s="14">
        <f>IF(K195&gt;=MAX(L195,M195), "Hemat", IF(L195&gt;=M195, "Balanced", "Premium"))</f>
        <v/>
      </c>
      <c r="R195" s="30" t="n">
        <v>0.9297169604869211</v>
      </c>
      <c r="S195" s="30" t="n">
        <v>0.0619333194205165</v>
      </c>
      <c r="T195" s="30" t="n">
        <v>0.008349720092562424</v>
      </c>
      <c r="U195" s="31">
        <f>ABS(E195-$G$6)</f>
        <v/>
      </c>
      <c r="V195" s="31">
        <f>ABS(E195-$G$7)</f>
        <v/>
      </c>
      <c r="W195" s="31">
        <f>ABS(E195-$G$8)</f>
        <v/>
      </c>
      <c r="X195" s="14">
        <f>IF(R195&gt;=MAX(S195,T195), "Hemat", IF(S195&gt;=T195, "Balanced", "Premium"))</f>
        <v/>
      </c>
    </row>
    <row r="196">
      <c r="A196" s="14" t="n">
        <v>185</v>
      </c>
      <c r="B196" s="7" t="inlineStr">
        <is>
          <t>Mirabell Hotel &amp; Convention Hall</t>
        </is>
      </c>
      <c r="C196" s="26" t="n">
        <v>-8.1146656</v>
      </c>
      <c r="D196" s="26" t="n">
        <v>112.5753498</v>
      </c>
      <c r="E196" s="21" t="n">
        <v>315315</v>
      </c>
      <c r="F196" s="27" t="n">
        <v>0</v>
      </c>
      <c r="G196" s="28" t="n">
        <v>0</v>
      </c>
      <c r="H196" s="14" t="inlineStr">
        <is>
          <t>N/A</t>
        </is>
      </c>
      <c r="I196" s="29">
        <f>6371 * 2 * ASIN(SQRT(SIN(RADIANS((C196) - INDEX('Dataset_Wisata'!$C$12:$C$622, MATCH('Dashboard'!$C$9, 'Dataset_Wisata'!$A$12:$A$622, 0)))/2)^2 + COS(RADIANS(INDEX('Dataset_Wisata'!$C$12:$C$622, MATCH('Dashboard'!$C$9, 'Dataset_Wisata'!$A$12:$A$622, 0)))) * COS(RADIANS(C196)) * SIN(RADIANS((D196) - INDEX('Dataset_Wisata'!$D$12:$D$622, MATCH('Dashboard'!$C$9, 'Dataset_Wisata'!$A$12:$A$622, 0)))/2)^2)) * 1.3</f>
        <v/>
      </c>
      <c r="J196" s="21">
        <f>ROUND(I196 * IF('Dashboard'!$C$6&lt;=1, 2250, IF('Dashboard'!$C$6&lt;=4, 5150, 6000)), 0)</f>
        <v/>
      </c>
      <c r="K196" s="30" t="n">
        <v>0.08048453643978144</v>
      </c>
      <c r="L196" s="30" t="n">
        <v>0.6005755247789987</v>
      </c>
      <c r="M196" s="30" t="n">
        <v>0.3189399387812199</v>
      </c>
      <c r="N196" s="31">
        <f>ABS(E196-$F$6)</f>
        <v/>
      </c>
      <c r="O196" s="31">
        <f>ABS(E196-$F$7)</f>
        <v/>
      </c>
      <c r="P196" s="31">
        <f>ABS(E196-$F$8)</f>
        <v/>
      </c>
      <c r="Q196" s="14">
        <f>IF(K196&gt;=MAX(L196,M196), "Hemat", IF(L196&gt;=M196, "Balanced", "Premium"))</f>
        <v/>
      </c>
      <c r="R196" s="30" t="n">
        <v>0.08048454930815731</v>
      </c>
      <c r="S196" s="30" t="n">
        <v>0.6005874337833015</v>
      </c>
      <c r="T196" s="30" t="n">
        <v>0.3189280169085413</v>
      </c>
      <c r="U196" s="31">
        <f>ABS(E196-$G$6)</f>
        <v/>
      </c>
      <c r="V196" s="31">
        <f>ABS(E196-$G$7)</f>
        <v/>
      </c>
      <c r="W196" s="31">
        <f>ABS(E196-$G$8)</f>
        <v/>
      </c>
      <c r="X196" s="14">
        <f>IF(R196&gt;=MAX(S196,T196), "Hemat", IF(S196&gt;=T196, "Balanced", "Premium"))</f>
        <v/>
      </c>
    </row>
    <row r="197">
      <c r="A197" s="14" t="n">
        <v>186</v>
      </c>
      <c r="B197" s="7" t="inlineStr">
        <is>
          <t>GRAND SEMANGGI HOTEL</t>
        </is>
      </c>
      <c r="C197" s="26" t="n">
        <v>-8.109131</v>
      </c>
      <c r="D197" s="26" t="n">
        <v>112.5776353</v>
      </c>
      <c r="E197" s="21" t="n">
        <v>550000</v>
      </c>
      <c r="F197" s="27" t="n">
        <v>0</v>
      </c>
      <c r="G197" s="28" t="n">
        <v>0</v>
      </c>
      <c r="H197" s="14" t="inlineStr">
        <is>
          <t>N/A</t>
        </is>
      </c>
      <c r="I197" s="29">
        <f>6371 * 2 * ASIN(SQRT(SIN(RADIANS((C197) - INDEX('Dataset_Wisata'!$C$12:$C$622, MATCH('Dashboard'!$C$9, 'Dataset_Wisata'!$A$12:$A$622, 0)))/2)^2 + COS(RADIANS(INDEX('Dataset_Wisata'!$C$12:$C$622, MATCH('Dashboard'!$C$9, 'Dataset_Wisata'!$A$12:$A$622, 0)))) * COS(RADIANS(C197)) * SIN(RADIANS((D197) - INDEX('Dataset_Wisata'!$D$12:$D$622, MATCH('Dashboard'!$C$9, 'Dataset_Wisata'!$A$12:$A$622, 0)))/2)^2)) * 1.3</f>
        <v/>
      </c>
      <c r="J197" s="21">
        <f>ROUND(I197 * IF('Dashboard'!$C$6&lt;=1, 2250, IF('Dashboard'!$C$6&lt;=4, 5150, 6000)), 0)</f>
        <v/>
      </c>
      <c r="K197" s="30" t="n">
        <v>0.05516687796961754</v>
      </c>
      <c r="L197" s="30" t="n">
        <v>0.107758071960812</v>
      </c>
      <c r="M197" s="30" t="n">
        <v>0.5198017001519138</v>
      </c>
      <c r="N197" s="31">
        <f>ABS(E197-$F$6)</f>
        <v/>
      </c>
      <c r="O197" s="31">
        <f>ABS(E197-$F$7)</f>
        <v/>
      </c>
      <c r="P197" s="31">
        <f>ABS(E197-$F$8)</f>
        <v/>
      </c>
      <c r="Q197" s="14">
        <f>IF(K197&gt;=MAX(L197,M197), "Hemat", IF(L197&gt;=M197, "Balanced", "Premium"))</f>
        <v/>
      </c>
      <c r="R197" s="30" t="n">
        <v>0.05516693846245289</v>
      </c>
      <c r="S197" s="30" t="n">
        <v>0.1077586190793018</v>
      </c>
      <c r="T197" s="30" t="n">
        <v>0.5198143252102254</v>
      </c>
      <c r="U197" s="31">
        <f>ABS(E197-$G$6)</f>
        <v/>
      </c>
      <c r="V197" s="31">
        <f>ABS(E197-$G$7)</f>
        <v/>
      </c>
      <c r="W197" s="31">
        <f>ABS(E197-$G$8)</f>
        <v/>
      </c>
      <c r="X197" s="14">
        <f>IF(R197&gt;=MAX(S197,T197), "Hemat", IF(S197&gt;=T197, "Balanced", "Premium"))</f>
        <v/>
      </c>
    </row>
    <row r="198">
      <c r="A198" s="14" t="n">
        <v>187</v>
      </c>
      <c r="B198" s="7" t="inlineStr">
        <is>
          <t>Kos Griya Gangsar Kepanjen Malang</t>
        </is>
      </c>
      <c r="C198" s="26" t="n">
        <v>-8.134702799999999</v>
      </c>
      <c r="D198" s="26" t="n">
        <v>112.566171</v>
      </c>
      <c r="E198" s="21" t="n">
        <v>900000</v>
      </c>
      <c r="F198" s="27" t="n">
        <v>0</v>
      </c>
      <c r="G198" s="28" t="n">
        <v>0</v>
      </c>
      <c r="H198" s="14" t="inlineStr">
        <is>
          <t>N/A</t>
        </is>
      </c>
      <c r="I198" s="29">
        <f>6371 * 2 * ASIN(SQRT(SIN(RADIANS((C198) - INDEX('Dataset_Wisata'!$C$12:$C$622, MATCH('Dashboard'!$C$9, 'Dataset_Wisata'!$A$12:$A$622, 0)))/2)^2 + COS(RADIANS(INDEX('Dataset_Wisata'!$C$12:$C$622, MATCH('Dashboard'!$C$9, 'Dataset_Wisata'!$A$12:$A$622, 0)))) * COS(RADIANS(C198)) * SIN(RADIANS((D198) - INDEX('Dataset_Wisata'!$D$12:$D$622, MATCH('Dashboard'!$C$9, 'Dataset_Wisata'!$A$12:$A$622, 0)))/2)^2)) * 1.3</f>
        <v/>
      </c>
      <c r="J198" s="21">
        <f>ROUND(I198 * IF('Dashboard'!$C$6&lt;=1, 2250, IF('Dashboard'!$C$6&lt;=4, 5150, 6000)), 0)</f>
        <v/>
      </c>
      <c r="K198" s="30" t="n">
        <v>0.01661688797332142</v>
      </c>
      <c r="L198" s="30" t="n">
        <v>0.02333489959341132</v>
      </c>
      <c r="M198" s="30" t="n">
        <v>0.04187093501018076</v>
      </c>
      <c r="N198" s="31">
        <f>ABS(E198-$F$6)</f>
        <v/>
      </c>
      <c r="O198" s="31">
        <f>ABS(E198-$F$7)</f>
        <v/>
      </c>
      <c r="P198" s="31">
        <f>ABS(E198-$F$8)</f>
        <v/>
      </c>
      <c r="Q198" s="14">
        <f>IF(K198&gt;=MAX(L198,M198), "Hemat", IF(L198&gt;=M198, "Balanced", "Premium"))</f>
        <v/>
      </c>
      <c r="R198" s="30" t="n">
        <v>0.01661689797356797</v>
      </c>
      <c r="S198" s="30" t="n">
        <v>0.02333495472680097</v>
      </c>
      <c r="T198" s="30" t="n">
        <v>0.0418712236393186</v>
      </c>
      <c r="U198" s="31">
        <f>ABS(E198-$G$6)</f>
        <v/>
      </c>
      <c r="V198" s="31">
        <f>ABS(E198-$G$7)</f>
        <v/>
      </c>
      <c r="W198" s="31">
        <f>ABS(E198-$G$8)</f>
        <v/>
      </c>
      <c r="X198" s="14">
        <f>IF(R198&gt;=MAX(S198,T198), "Hemat", IF(S198&gt;=T198, "Balanced", "Premium"))</f>
        <v/>
      </c>
    </row>
    <row r="199">
      <c r="A199" s="14" t="n">
        <v>188</v>
      </c>
      <c r="B199" s="7" t="inlineStr">
        <is>
          <t>Joyo Homestay Syariah (penginapan murah malang)</t>
        </is>
      </c>
      <c r="C199" s="26" t="n">
        <v>-7.9412704</v>
      </c>
      <c r="D199" s="26" t="n">
        <v>112.5996786</v>
      </c>
      <c r="E199" s="21" t="n">
        <v>86000</v>
      </c>
      <c r="F199" s="27" t="n">
        <v>0</v>
      </c>
      <c r="G199" s="28" t="n">
        <v>0</v>
      </c>
      <c r="H199" s="14" t="inlineStr">
        <is>
          <t>N/A</t>
        </is>
      </c>
      <c r="I199" s="29">
        <f>6371 * 2 * ASIN(SQRT(SIN(RADIANS((C199) - INDEX('Dataset_Wisata'!$C$12:$C$622, MATCH('Dashboard'!$C$9, 'Dataset_Wisata'!$A$12:$A$622, 0)))/2)^2 + COS(RADIANS(INDEX('Dataset_Wisata'!$C$12:$C$622, MATCH('Dashboard'!$C$9, 'Dataset_Wisata'!$A$12:$A$622, 0)))) * COS(RADIANS(C199)) * SIN(RADIANS((D199) - INDEX('Dataset_Wisata'!$D$12:$D$622, MATCH('Dashboard'!$C$9, 'Dataset_Wisata'!$A$12:$A$622, 0)))/2)^2)) * 1.3</f>
        <v/>
      </c>
      <c r="J199" s="21">
        <f>ROUND(I199 * IF('Dashboard'!$C$6&lt;=1, 2250, IF('Dashboard'!$C$6&lt;=4, 5150, 6000)), 0)</f>
        <v/>
      </c>
      <c r="K199" s="30" t="n">
        <v>0.933350875955743</v>
      </c>
      <c r="L199" s="30" t="n">
        <v>0.05374861057335611</v>
      </c>
      <c r="M199" s="30" t="n">
        <v>0.01290051347090107</v>
      </c>
      <c r="N199" s="31">
        <f>ABS(E199-$F$6)</f>
        <v/>
      </c>
      <c r="O199" s="31">
        <f>ABS(E199-$F$7)</f>
        <v/>
      </c>
      <c r="P199" s="31">
        <f>ABS(E199-$F$8)</f>
        <v/>
      </c>
      <c r="Q199" s="14">
        <f>IF(K199&gt;=MAX(L199,M199), "Hemat", IF(L199&gt;=M199, "Balanced", "Premium"))</f>
        <v/>
      </c>
      <c r="R199" s="30" t="n">
        <v>0.933350728135541</v>
      </c>
      <c r="S199" s="30" t="n">
        <v>0.05374873655131013</v>
      </c>
      <c r="T199" s="30" t="n">
        <v>0.01290053531314894</v>
      </c>
      <c r="U199" s="31">
        <f>ABS(E199-$G$6)</f>
        <v/>
      </c>
      <c r="V199" s="31">
        <f>ABS(E199-$G$7)</f>
        <v/>
      </c>
      <c r="W199" s="31">
        <f>ABS(E199-$G$8)</f>
        <v/>
      </c>
      <c r="X199" s="14">
        <f>IF(R199&gt;=MAX(S199,T199), "Hemat", IF(S199&gt;=T199, "Balanced", "Premium"))</f>
        <v/>
      </c>
    </row>
    <row r="200">
      <c r="A200" s="14" t="n">
        <v>189</v>
      </c>
      <c r="B200" s="7" t="inlineStr">
        <is>
          <t>RedDoorz Plus @ Swun Stay Raya Langsep</t>
        </is>
      </c>
      <c r="C200" s="26" t="n">
        <v>-7.9816774</v>
      </c>
      <c r="D200" s="26" t="n">
        <v>112.6144323</v>
      </c>
      <c r="E200" s="21" t="n">
        <v>193850</v>
      </c>
      <c r="F200" s="27" t="n">
        <v>0</v>
      </c>
      <c r="G200" s="28" t="n">
        <v>0</v>
      </c>
      <c r="H200" s="14" t="inlineStr">
        <is>
          <t>N/A</t>
        </is>
      </c>
      <c r="I200" s="29">
        <f>6371 * 2 * ASIN(SQRT(SIN(RADIANS((C200) - INDEX('Dataset_Wisata'!$C$12:$C$622, MATCH('Dashboard'!$C$9, 'Dataset_Wisata'!$A$12:$A$622, 0)))/2)^2 + COS(RADIANS(INDEX('Dataset_Wisata'!$C$12:$C$622, MATCH('Dashboard'!$C$9, 'Dataset_Wisata'!$A$12:$A$622, 0)))) * COS(RADIANS(C200)) * SIN(RADIANS((D200) - INDEX('Dataset_Wisata'!$D$12:$D$622, MATCH('Dashboard'!$C$9, 'Dataset_Wisata'!$A$12:$A$622, 0)))/2)^2)) * 1.3</f>
        <v/>
      </c>
      <c r="J200" s="21">
        <f>ROUND(I200 * IF('Dashboard'!$C$6&lt;=1, 2250, IF('Dashboard'!$C$6&lt;=4, 5150, 6000)), 0)</f>
        <v/>
      </c>
      <c r="K200" s="30" t="n">
        <v>0.3415395310459577</v>
      </c>
      <c r="L200" s="30" t="n">
        <v>0.6234642010921285</v>
      </c>
      <c r="M200" s="30" t="n">
        <v>0.03499626786191372</v>
      </c>
      <c r="N200" s="31">
        <f>ABS(E200-$F$6)</f>
        <v/>
      </c>
      <c r="O200" s="31">
        <f>ABS(E200-$F$7)</f>
        <v/>
      </c>
      <c r="P200" s="31">
        <f>ABS(E200-$F$8)</f>
        <v/>
      </c>
      <c r="Q200" s="14">
        <f>IF(K200&gt;=MAX(L200,M200), "Hemat", IF(L200&gt;=M200, "Balanced", "Premium"))</f>
        <v/>
      </c>
      <c r="R200" s="30" t="n">
        <v>0.3415476174652723</v>
      </c>
      <c r="S200" s="30" t="n">
        <v>0.6234560629902883</v>
      </c>
      <c r="T200" s="30" t="n">
        <v>0.03499631954443936</v>
      </c>
      <c r="U200" s="31">
        <f>ABS(E200-$G$6)</f>
        <v/>
      </c>
      <c r="V200" s="31">
        <f>ABS(E200-$G$7)</f>
        <v/>
      </c>
      <c r="W200" s="31">
        <f>ABS(E200-$G$8)</f>
        <v/>
      </c>
      <c r="X200" s="14">
        <f>IF(R200&gt;=MAX(S200,T200), "Hemat", IF(S200&gt;=T200, "Balanced", "Premium"))</f>
        <v/>
      </c>
    </row>
    <row r="201">
      <c r="A201" s="14" t="n">
        <v>190</v>
      </c>
      <c r="B201" s="7" t="inlineStr">
        <is>
          <t>Sigura-Gura Homestay Syariah</t>
        </is>
      </c>
      <c r="C201" s="26" t="n">
        <v>-7.9606998</v>
      </c>
      <c r="D201" s="26" t="n">
        <v>112.6050038</v>
      </c>
      <c r="E201" s="21" t="n">
        <v>95112</v>
      </c>
      <c r="F201" s="27" t="n">
        <v>0</v>
      </c>
      <c r="G201" s="28" t="n">
        <v>0</v>
      </c>
      <c r="H201" s="14" t="inlineStr">
        <is>
          <t>N/A</t>
        </is>
      </c>
      <c r="I201" s="29">
        <f>6371 * 2 * ASIN(SQRT(SIN(RADIANS((C201) - INDEX('Dataset_Wisata'!$C$12:$C$622, MATCH('Dashboard'!$C$9, 'Dataset_Wisata'!$A$12:$A$622, 0)))/2)^2 + COS(RADIANS(INDEX('Dataset_Wisata'!$C$12:$C$622, MATCH('Dashboard'!$C$9, 'Dataset_Wisata'!$A$12:$A$622, 0)))) * COS(RADIANS(C201)) * SIN(RADIANS((D201) - INDEX('Dataset_Wisata'!$D$12:$D$622, MATCH('Dashboard'!$C$9, 'Dataset_Wisata'!$A$12:$A$622, 0)))/2)^2)) * 1.3</f>
        <v/>
      </c>
      <c r="J201" s="21">
        <f>ROUND(I201 * IF('Dashboard'!$C$6&lt;=1, 2250, IF('Dashboard'!$C$6&lt;=4, 5150, 6000)), 0)</f>
        <v/>
      </c>
      <c r="K201" s="30" t="n">
        <v>0.955950618157814</v>
      </c>
      <c r="L201" s="30" t="n">
        <v>0.03593437598508493</v>
      </c>
      <c r="M201" s="30" t="n">
        <v>0.008115005857100933</v>
      </c>
      <c r="N201" s="31">
        <f>ABS(E201-$F$6)</f>
        <v/>
      </c>
      <c r="O201" s="31">
        <f>ABS(E201-$F$7)</f>
        <v/>
      </c>
      <c r="P201" s="31">
        <f>ABS(E201-$F$8)</f>
        <v/>
      </c>
      <c r="Q201" s="14">
        <f>IF(K201&gt;=MAX(L201,M201), "Hemat", IF(L201&gt;=M201, "Balanced", "Premium"))</f>
        <v/>
      </c>
      <c r="R201" s="30" t="n">
        <v>0.9559503795895929</v>
      </c>
      <c r="S201" s="30" t="n">
        <v>0.03593457299019135</v>
      </c>
      <c r="T201" s="30" t="n">
        <v>0.008115047420215803</v>
      </c>
      <c r="U201" s="31">
        <f>ABS(E201-$G$6)</f>
        <v/>
      </c>
      <c r="V201" s="31">
        <f>ABS(E201-$G$7)</f>
        <v/>
      </c>
      <c r="W201" s="31">
        <f>ABS(E201-$G$8)</f>
        <v/>
      </c>
      <c r="X201" s="14">
        <f>IF(R201&gt;=MAX(S201,T201), "Hemat", IF(S201&gt;=T201, "Balanced", "Premium"))</f>
        <v/>
      </c>
    </row>
    <row r="202">
      <c r="A202" s="14" t="n">
        <v>191</v>
      </c>
      <c r="B202" s="7" t="inlineStr">
        <is>
          <t>Youkata Stay Hotel Malang</t>
        </is>
      </c>
      <c r="C202" s="26" t="n">
        <v>-7.9658718</v>
      </c>
      <c r="D202" s="26" t="n">
        <v>112.6369394</v>
      </c>
      <c r="E202" s="21" t="n">
        <v>226168</v>
      </c>
      <c r="F202" s="27" t="n">
        <v>0</v>
      </c>
      <c r="G202" s="28" t="n">
        <v>0</v>
      </c>
      <c r="H202" s="14" t="inlineStr">
        <is>
          <t>N/A</t>
        </is>
      </c>
      <c r="I202" s="29">
        <f>6371 * 2 * ASIN(SQRT(SIN(RADIANS((C202) - INDEX('Dataset_Wisata'!$C$12:$C$622, MATCH('Dashboard'!$C$9, 'Dataset_Wisata'!$A$12:$A$622, 0)))/2)^2 + COS(RADIANS(INDEX('Dataset_Wisata'!$C$12:$C$622, MATCH('Dashboard'!$C$9, 'Dataset_Wisata'!$A$12:$A$622, 0)))) * COS(RADIANS(C202)) * SIN(RADIANS((D202) - INDEX('Dataset_Wisata'!$D$12:$D$622, MATCH('Dashboard'!$C$9, 'Dataset_Wisata'!$A$12:$A$622, 0)))/2)^2)) * 1.3</f>
        <v/>
      </c>
      <c r="J202" s="21">
        <f>ROUND(I202 * IF('Dashboard'!$C$6&lt;=1, 2250, IF('Dashboard'!$C$6&lt;=4, 5150, 6000)), 0)</f>
        <v/>
      </c>
      <c r="K202" s="30" t="n">
        <v>0.03391802122244601</v>
      </c>
      <c r="L202" s="30" t="n">
        <v>0.9558011616805723</v>
      </c>
      <c r="M202" s="30" t="n">
        <v>0.01028081709698171</v>
      </c>
      <c r="N202" s="31">
        <f>ABS(E202-$F$6)</f>
        <v/>
      </c>
      <c r="O202" s="31">
        <f>ABS(E202-$F$7)</f>
        <v/>
      </c>
      <c r="P202" s="31">
        <f>ABS(E202-$F$8)</f>
        <v/>
      </c>
      <c r="Q202" s="14">
        <f>IF(K202&gt;=MAX(L202,M202), "Hemat", IF(L202&gt;=M202, "Balanced", "Premium"))</f>
        <v/>
      </c>
      <c r="R202" s="30" t="n">
        <v>0.03392078924457333</v>
      </c>
      <c r="S202" s="30" t="n">
        <v>0.9557977888320999</v>
      </c>
      <c r="T202" s="30" t="n">
        <v>0.01028142192332696</v>
      </c>
      <c r="U202" s="31">
        <f>ABS(E202-$G$6)</f>
        <v/>
      </c>
      <c r="V202" s="31">
        <f>ABS(E202-$G$7)</f>
        <v/>
      </c>
      <c r="W202" s="31">
        <f>ABS(E202-$G$8)</f>
        <v/>
      </c>
      <c r="X202" s="14">
        <f>IF(R202&gt;=MAX(S202,T202), "Hemat", IF(S202&gt;=T202, "Balanced", "Premium"))</f>
        <v/>
      </c>
    </row>
    <row r="203">
      <c r="A203" s="14" t="n">
        <v>192</v>
      </c>
      <c r="B203" s="7" t="inlineStr">
        <is>
          <t>Hotel Syariah 99 by VRV</t>
        </is>
      </c>
      <c r="C203" s="26" t="n">
        <v>-7.9531324</v>
      </c>
      <c r="D203" s="26" t="n">
        <v>112.6191344</v>
      </c>
      <c r="E203" s="21" t="n">
        <v>186486</v>
      </c>
      <c r="F203" s="27" t="n">
        <v>0</v>
      </c>
      <c r="G203" s="28" t="n">
        <v>0</v>
      </c>
      <c r="H203" s="14" t="inlineStr">
        <is>
          <t>N/A</t>
        </is>
      </c>
      <c r="I203" s="29">
        <f>6371 * 2 * ASIN(SQRT(SIN(RADIANS((C203) - INDEX('Dataset_Wisata'!$C$12:$C$622, MATCH('Dashboard'!$C$9, 'Dataset_Wisata'!$A$12:$A$622, 0)))/2)^2 + COS(RADIANS(INDEX('Dataset_Wisata'!$C$12:$C$622, MATCH('Dashboard'!$C$9, 'Dataset_Wisata'!$A$12:$A$622, 0)))) * COS(RADIANS(C203)) * SIN(RADIANS((D203) - INDEX('Dataset_Wisata'!$D$12:$D$622, MATCH('Dashboard'!$C$9, 'Dataset_Wisata'!$A$12:$A$622, 0)))/2)^2)) * 1.3</f>
        <v/>
      </c>
      <c r="J203" s="21">
        <f>ROUND(I203 * IF('Dashboard'!$C$6&lt;=1, 2250, IF('Dashboard'!$C$6&lt;=4, 5150, 6000)), 0)</f>
        <v/>
      </c>
      <c r="K203" s="30" t="n">
        <v>0.4557834053589246</v>
      </c>
      <c r="L203" s="30" t="n">
        <v>0.509279648709871</v>
      </c>
      <c r="M203" s="30" t="n">
        <v>0.03493694593120437</v>
      </c>
      <c r="N203" s="31">
        <f>ABS(E203-$F$6)</f>
        <v/>
      </c>
      <c r="O203" s="31">
        <f>ABS(E203-$F$7)</f>
        <v/>
      </c>
      <c r="P203" s="31">
        <f>ABS(E203-$F$8)</f>
        <v/>
      </c>
      <c r="Q203" s="14">
        <f>IF(K203&gt;=MAX(L203,M203), "Hemat", IF(L203&gt;=M203, "Balanced", "Premium"))</f>
        <v/>
      </c>
      <c r="R203" s="30" t="n">
        <v>0.4557916017219815</v>
      </c>
      <c r="S203" s="30" t="n">
        <v>0.5092716096507913</v>
      </c>
      <c r="T203" s="30" t="n">
        <v>0.03493678862722732</v>
      </c>
      <c r="U203" s="31">
        <f>ABS(E203-$G$6)</f>
        <v/>
      </c>
      <c r="V203" s="31">
        <f>ABS(E203-$G$7)</f>
        <v/>
      </c>
      <c r="W203" s="31">
        <f>ABS(E203-$G$8)</f>
        <v/>
      </c>
      <c r="X203" s="14">
        <f>IF(R203&gt;=MAX(S203,T203), "Hemat", IF(S203&gt;=T203, "Balanced", "Premium"))</f>
        <v/>
      </c>
    </row>
    <row r="204">
      <c r="A204" s="14" t="n">
        <v>193</v>
      </c>
      <c r="B204" s="7" t="inlineStr">
        <is>
          <t>Hotel Camelia</t>
        </is>
      </c>
      <c r="C204" s="26" t="n">
        <v>-7.9694642</v>
      </c>
      <c r="D204" s="26" t="n">
        <v>112.637138</v>
      </c>
      <c r="E204" s="21" t="n">
        <v>300000</v>
      </c>
      <c r="F204" s="27" t="n">
        <v>0</v>
      </c>
      <c r="G204" s="28" t="n">
        <v>0</v>
      </c>
      <c r="H204" s="14" t="inlineStr">
        <is>
          <t>N/A</t>
        </is>
      </c>
      <c r="I204" s="29">
        <f>6371 * 2 * ASIN(SQRT(SIN(RADIANS((C204) - INDEX('Dataset_Wisata'!$C$12:$C$622, MATCH('Dashboard'!$C$9, 'Dataset_Wisata'!$A$12:$A$622, 0)))/2)^2 + COS(RADIANS(INDEX('Dataset_Wisata'!$C$12:$C$622, MATCH('Dashboard'!$C$9, 'Dataset_Wisata'!$A$12:$A$622, 0)))) * COS(RADIANS(C204)) * SIN(RADIANS((D204) - INDEX('Dataset_Wisata'!$D$12:$D$622, MATCH('Dashboard'!$C$9, 'Dataset_Wisata'!$A$12:$A$622, 0)))/2)^2)) * 1.3</f>
        <v/>
      </c>
      <c r="J204" s="21">
        <f>ROUND(I204 * IF('Dashboard'!$C$6&lt;=1, 2250, IF('Dashboard'!$C$6&lt;=4, 5150, 6000)), 0)</f>
        <v/>
      </c>
      <c r="K204" s="30" t="n">
        <v>0.07223626084271963</v>
      </c>
      <c r="L204" s="30" t="n">
        <v>0.7476291821940408</v>
      </c>
      <c r="M204" s="30" t="n">
        <v>0.1801345569632395</v>
      </c>
      <c r="N204" s="31">
        <f>ABS(E204-$F$6)</f>
        <v/>
      </c>
      <c r="O204" s="31">
        <f>ABS(E204-$F$7)</f>
        <v/>
      </c>
      <c r="P204" s="31">
        <f>ABS(E204-$F$8)</f>
        <v/>
      </c>
      <c r="Q204" s="14">
        <f>IF(K204&gt;=MAX(L204,M204), "Hemat", IF(L204&gt;=M204, "Balanced", "Premium"))</f>
        <v/>
      </c>
      <c r="R204" s="30" t="n">
        <v>0.07223530370768798</v>
      </c>
      <c r="S204" s="30" t="n">
        <v>0.7476384566573707</v>
      </c>
      <c r="T204" s="30" t="n">
        <v>0.1801262396349412</v>
      </c>
      <c r="U204" s="31">
        <f>ABS(E204-$G$6)</f>
        <v/>
      </c>
      <c r="V204" s="31">
        <f>ABS(E204-$G$7)</f>
        <v/>
      </c>
      <c r="W204" s="31">
        <f>ABS(E204-$G$8)</f>
        <v/>
      </c>
      <c r="X204" s="14">
        <f>IF(R204&gt;=MAX(S204,T204), "Hemat", IF(S204&gt;=T204, "Balanced", "Premium"))</f>
        <v/>
      </c>
    </row>
    <row r="205">
      <c r="A205" s="14" t="n">
        <v>194</v>
      </c>
      <c r="B205" s="7" t="inlineStr">
        <is>
          <t>Tya Family Guest House</t>
        </is>
      </c>
      <c r="C205" s="26" t="n">
        <v>-7.9383559</v>
      </c>
      <c r="D205" s="26" t="n">
        <v>112.5885009</v>
      </c>
      <c r="E205" s="21" t="n">
        <v>155571</v>
      </c>
      <c r="F205" s="27" t="n">
        <v>0</v>
      </c>
      <c r="G205" s="28" t="n">
        <v>0</v>
      </c>
      <c r="H205" s="14" t="inlineStr">
        <is>
          <t>N/A</t>
        </is>
      </c>
      <c r="I205" s="29">
        <f>6371 * 2 * ASIN(SQRT(SIN(RADIANS((C205) - INDEX('Dataset_Wisata'!$C$12:$C$622, MATCH('Dashboard'!$C$9, 'Dataset_Wisata'!$A$12:$A$622, 0)))/2)^2 + COS(RADIANS(INDEX('Dataset_Wisata'!$C$12:$C$622, MATCH('Dashboard'!$C$9, 'Dataset_Wisata'!$A$12:$A$622, 0)))) * COS(RADIANS(C205)) * SIN(RADIANS((D205) - INDEX('Dataset_Wisata'!$D$12:$D$622, MATCH('Dashboard'!$C$9, 'Dataset_Wisata'!$A$12:$A$622, 0)))/2)^2)) * 1.3</f>
        <v/>
      </c>
      <c r="J205" s="21">
        <f>ROUND(I205 * IF('Dashboard'!$C$6&lt;=1, 2250, IF('Dashboard'!$C$6&lt;=4, 5150, 6000)), 0)</f>
        <v/>
      </c>
      <c r="K205" s="30" t="n">
        <v>0.8797299067699927</v>
      </c>
      <c r="L205" s="30" t="n">
        <v>0.1070683090054093</v>
      </c>
      <c r="M205" s="30" t="n">
        <v>0.01320178422459788</v>
      </c>
      <c r="N205" s="31">
        <f>ABS(E205-$F$6)</f>
        <v/>
      </c>
      <c r="O205" s="31">
        <f>ABS(E205-$F$7)</f>
        <v/>
      </c>
      <c r="P205" s="31">
        <f>ABS(E205-$F$8)</f>
        <v/>
      </c>
      <c r="Q205" s="14">
        <f>IF(K205&gt;=MAX(L205,M205), "Hemat", IF(L205&gt;=M205, "Balanced", "Premium"))</f>
        <v/>
      </c>
      <c r="R205" s="30" t="n">
        <v>0.8797332588897843</v>
      </c>
      <c r="S205" s="30" t="n">
        <v>0.1070652772308943</v>
      </c>
      <c r="T205" s="30" t="n">
        <v>0.01320146387932141</v>
      </c>
      <c r="U205" s="31">
        <f>ABS(E205-$G$6)</f>
        <v/>
      </c>
      <c r="V205" s="31">
        <f>ABS(E205-$G$7)</f>
        <v/>
      </c>
      <c r="W205" s="31">
        <f>ABS(E205-$G$8)</f>
        <v/>
      </c>
      <c r="X205" s="14">
        <f>IF(R205&gt;=MAX(S205,T205), "Hemat", IF(S205&gt;=T205, "Balanced", "Premium"))</f>
        <v/>
      </c>
    </row>
    <row r="206">
      <c r="A206" s="14" t="n">
        <v>195</v>
      </c>
      <c r="B206" s="7" t="inlineStr">
        <is>
          <t>dinoyo homestay syariah</t>
        </is>
      </c>
      <c r="C206" s="26" t="n">
        <v>-7.9395241</v>
      </c>
      <c r="D206" s="26" t="n">
        <v>112.6085081</v>
      </c>
      <c r="E206" s="21" t="n">
        <v>71658</v>
      </c>
      <c r="F206" s="27" t="n">
        <v>0</v>
      </c>
      <c r="G206" s="28" t="n">
        <v>0</v>
      </c>
      <c r="H206" s="14" t="inlineStr">
        <is>
          <t>N/A</t>
        </is>
      </c>
      <c r="I206" s="29">
        <f>6371 * 2 * ASIN(SQRT(SIN(RADIANS((C206) - INDEX('Dataset_Wisata'!$C$12:$C$622, MATCH('Dashboard'!$C$9, 'Dataset_Wisata'!$A$12:$A$622, 0)))/2)^2 + COS(RADIANS(INDEX('Dataset_Wisata'!$C$12:$C$622, MATCH('Dashboard'!$C$9, 'Dataset_Wisata'!$A$12:$A$622, 0)))) * COS(RADIANS(C206)) * SIN(RADIANS((D206) - INDEX('Dataset_Wisata'!$D$12:$D$622, MATCH('Dashboard'!$C$9, 'Dataset_Wisata'!$A$12:$A$622, 0)))/2)^2)) * 1.3</f>
        <v/>
      </c>
      <c r="J206" s="21">
        <f>ROUND(I206 * IF('Dashboard'!$C$6&lt;=1, 2250, IF('Dashboard'!$C$6&lt;=4, 5150, 6000)), 0)</f>
        <v/>
      </c>
      <c r="K206" s="30" t="n">
        <v>0.89636849974201</v>
      </c>
      <c r="L206" s="30" t="n">
        <v>0.08214391584908147</v>
      </c>
      <c r="M206" s="30" t="n">
        <v>0.02148758440890847</v>
      </c>
      <c r="N206" s="31">
        <f>ABS(E206-$F$6)</f>
        <v/>
      </c>
      <c r="O206" s="31">
        <f>ABS(E206-$F$7)</f>
        <v/>
      </c>
      <c r="P206" s="31">
        <f>ABS(E206-$F$8)</f>
        <v/>
      </c>
      <c r="Q206" s="14">
        <f>IF(K206&gt;=MAX(L206,M206), "Hemat", IF(L206&gt;=M206, "Balanced", "Premium"))</f>
        <v/>
      </c>
      <c r="R206" s="30" t="n">
        <v>0.89636852168846</v>
      </c>
      <c r="S206" s="30" t="n">
        <v>0.08214391573557654</v>
      </c>
      <c r="T206" s="30" t="n">
        <v>0.02148756257596336</v>
      </c>
      <c r="U206" s="31">
        <f>ABS(E206-$G$6)</f>
        <v/>
      </c>
      <c r="V206" s="31">
        <f>ABS(E206-$G$7)</f>
        <v/>
      </c>
      <c r="W206" s="31">
        <f>ABS(E206-$G$8)</f>
        <v/>
      </c>
      <c r="X206" s="14">
        <f>IF(R206&gt;=MAX(S206,T206), "Hemat", IF(S206&gt;=T206, "Balanced", "Premium"))</f>
        <v/>
      </c>
    </row>
    <row r="207">
      <c r="A207" s="14" t="n">
        <v>196</v>
      </c>
      <c r="B207" s="7" t="inlineStr">
        <is>
          <t>OYO Life 414 Loji Rejo Guest House</t>
        </is>
      </c>
      <c r="C207" s="26" t="n">
        <v>-7.9573189</v>
      </c>
      <c r="D207" s="26" t="n">
        <v>112.5910027</v>
      </c>
      <c r="E207" s="21" t="n">
        <v>100000</v>
      </c>
      <c r="F207" s="27" t="n">
        <v>0</v>
      </c>
      <c r="G207" s="28" t="n">
        <v>0</v>
      </c>
      <c r="H207" s="14" t="inlineStr">
        <is>
          <t>N/A</t>
        </is>
      </c>
      <c r="I207" s="29">
        <f>6371 * 2 * ASIN(SQRT(SIN(RADIANS((C207) - INDEX('Dataset_Wisata'!$C$12:$C$622, MATCH('Dashboard'!$C$9, 'Dataset_Wisata'!$A$12:$A$622, 0)))/2)^2 + COS(RADIANS(INDEX('Dataset_Wisata'!$C$12:$C$622, MATCH('Dashboard'!$C$9, 'Dataset_Wisata'!$A$12:$A$622, 0)))) * COS(RADIANS(C207)) * SIN(RADIANS((D207) - INDEX('Dataset_Wisata'!$D$12:$D$622, MATCH('Dashboard'!$C$9, 'Dataset_Wisata'!$A$12:$A$622, 0)))/2)^2)) * 1.3</f>
        <v/>
      </c>
      <c r="J207" s="21">
        <f>ROUND(I207 * IF('Dashboard'!$C$6&lt;=1, 2250, IF('Dashboard'!$C$6&lt;=4, 5150, 6000)), 0)</f>
        <v/>
      </c>
      <c r="K207" s="30" t="n">
        <v>0.9672305756379272</v>
      </c>
      <c r="L207" s="30" t="n">
        <v>0.02690286027756393</v>
      </c>
      <c r="M207" s="30" t="n">
        <v>0.005866564084508831</v>
      </c>
      <c r="N207" s="31">
        <f>ABS(E207-$F$6)</f>
        <v/>
      </c>
      <c r="O207" s="31">
        <f>ABS(E207-$F$7)</f>
        <v/>
      </c>
      <c r="P207" s="31">
        <f>ABS(E207-$F$8)</f>
        <v/>
      </c>
      <c r="Q207" s="14">
        <f>IF(K207&gt;=MAX(L207,M207), "Hemat", IF(L207&gt;=M207, "Balanced", "Premium"))</f>
        <v/>
      </c>
      <c r="R207" s="30" t="n">
        <v>0.9672303035537276</v>
      </c>
      <c r="S207" s="30" t="n">
        <v>0.02690308452718115</v>
      </c>
      <c r="T207" s="30" t="n">
        <v>0.0058666119190913</v>
      </c>
      <c r="U207" s="31">
        <f>ABS(E207-$G$6)</f>
        <v/>
      </c>
      <c r="V207" s="31">
        <f>ABS(E207-$G$7)</f>
        <v/>
      </c>
      <c r="W207" s="31">
        <f>ABS(E207-$G$8)</f>
        <v/>
      </c>
      <c r="X207" s="14">
        <f>IF(R207&gt;=MAX(S207,T207), "Hemat", IF(S207&gt;=T207, "Balanced", "Premium"))</f>
        <v/>
      </c>
    </row>
    <row r="208">
      <c r="A208" s="14" t="n">
        <v>197</v>
      </c>
      <c r="B208" s="7" t="inlineStr">
        <is>
          <t>Vintage 58 Penginapan khusus wanita</t>
        </is>
      </c>
      <c r="C208" s="26" t="n">
        <v>-7.9658229</v>
      </c>
      <c r="D208" s="26" t="n">
        <v>112.6302866</v>
      </c>
      <c r="E208" s="21" t="n">
        <v>69356</v>
      </c>
      <c r="F208" s="27" t="n">
        <v>0</v>
      </c>
      <c r="G208" s="28" t="n">
        <v>0</v>
      </c>
      <c r="H208" s="14" t="inlineStr">
        <is>
          <t>N/A</t>
        </is>
      </c>
      <c r="I208" s="29">
        <f>6371 * 2 * ASIN(SQRT(SIN(RADIANS((C208) - INDEX('Dataset_Wisata'!$C$12:$C$622, MATCH('Dashboard'!$C$9, 'Dataset_Wisata'!$A$12:$A$622, 0)))/2)^2 + COS(RADIANS(INDEX('Dataset_Wisata'!$C$12:$C$622, MATCH('Dashboard'!$C$9, 'Dataset_Wisata'!$A$12:$A$622, 0)))) * COS(RADIANS(C208)) * SIN(RADIANS((D208) - INDEX('Dataset_Wisata'!$D$12:$D$622, MATCH('Dashboard'!$C$9, 'Dataset_Wisata'!$A$12:$A$622, 0)))/2)^2)) * 1.3</f>
        <v/>
      </c>
      <c r="J208" s="21">
        <f>ROUND(I208 * IF('Dashboard'!$C$6&lt;=1, 2250, IF('Dashboard'!$C$6&lt;=4, 5150, 6000)), 0)</f>
        <v/>
      </c>
      <c r="K208" s="30" t="n">
        <v>0.8904629534008714</v>
      </c>
      <c r="L208" s="30" t="n">
        <v>0.08659330751309843</v>
      </c>
      <c r="M208" s="30" t="n">
        <v>0.02294373908603011</v>
      </c>
      <c r="N208" s="31">
        <f>ABS(E208-$F$6)</f>
        <v/>
      </c>
      <c r="O208" s="31">
        <f>ABS(E208-$F$7)</f>
        <v/>
      </c>
      <c r="P208" s="31">
        <f>ABS(E208-$F$8)</f>
        <v/>
      </c>
      <c r="Q208" s="14">
        <f>IF(K208&gt;=MAX(L208,M208), "Hemat", IF(L208&gt;=M208, "Balanced", "Premium"))</f>
        <v/>
      </c>
      <c r="R208" s="30" t="n">
        <v>0.8904630026287484</v>
      </c>
      <c r="S208" s="30" t="n">
        <v>0.08659328790196026</v>
      </c>
      <c r="T208" s="30" t="n">
        <v>0.02294370946929137</v>
      </c>
      <c r="U208" s="31">
        <f>ABS(E208-$G$6)</f>
        <v/>
      </c>
      <c r="V208" s="31">
        <f>ABS(E208-$G$7)</f>
        <v/>
      </c>
      <c r="W208" s="31">
        <f>ABS(E208-$G$8)</f>
        <v/>
      </c>
      <c r="X208" s="14">
        <f>IF(R208&gt;=MAX(S208,T208), "Hemat", IF(S208&gt;=T208, "Balanced", "Premium"))</f>
        <v/>
      </c>
    </row>
    <row r="209">
      <c r="A209" s="14" t="n">
        <v>198</v>
      </c>
      <c r="B209" s="7" t="inlineStr">
        <is>
          <t>Noura Guest House syariah merjosari</t>
        </is>
      </c>
      <c r="C209" s="26" t="n">
        <v>-7.9377736</v>
      </c>
      <c r="D209" s="26" t="n">
        <v>112.5830285</v>
      </c>
      <c r="E209" s="21" t="n">
        <v>142997</v>
      </c>
      <c r="F209" s="27" t="n">
        <v>0</v>
      </c>
      <c r="G209" s="28" t="n">
        <v>0</v>
      </c>
      <c r="H209" s="14" t="inlineStr">
        <is>
          <t>N/A</t>
        </is>
      </c>
      <c r="I209" s="29">
        <f>6371 * 2 * ASIN(SQRT(SIN(RADIANS((C209) - INDEX('Dataset_Wisata'!$C$12:$C$622, MATCH('Dashboard'!$C$9, 'Dataset_Wisata'!$A$12:$A$622, 0)))/2)^2 + COS(RADIANS(INDEX('Dataset_Wisata'!$C$12:$C$622, MATCH('Dashboard'!$C$9, 'Dataset_Wisata'!$A$12:$A$622, 0)))) * COS(RADIANS(C209)) * SIN(RADIANS((D209) - INDEX('Dataset_Wisata'!$D$12:$D$622, MATCH('Dashboard'!$C$9, 'Dataset_Wisata'!$A$12:$A$622, 0)))/2)^2)) * 1.3</f>
        <v/>
      </c>
      <c r="J209" s="21">
        <f>ROUND(I209 * IF('Dashboard'!$C$6&lt;=1, 2250, IF('Dashboard'!$C$6&lt;=4, 5150, 6000)), 0)</f>
        <v/>
      </c>
      <c r="K209" s="30" t="n">
        <v>0.96298054866761</v>
      </c>
      <c r="L209" s="30" t="n">
        <v>0.03231494883568075</v>
      </c>
      <c r="M209" s="30" t="n">
        <v>0.004704502496709321</v>
      </c>
      <c r="N209" s="31">
        <f>ABS(E209-$F$6)</f>
        <v/>
      </c>
      <c r="O209" s="31">
        <f>ABS(E209-$F$7)</f>
        <v/>
      </c>
      <c r="P209" s="31">
        <f>ABS(E209-$F$8)</f>
        <v/>
      </c>
      <c r="Q209" s="14">
        <f>IF(K209&gt;=MAX(L209,M209), "Hemat", IF(L209&gt;=M209, "Balanced", "Premium"))</f>
        <v/>
      </c>
      <c r="R209" s="30" t="n">
        <v>0.9629819631773002</v>
      </c>
      <c r="S209" s="30" t="n">
        <v>0.03231370360140251</v>
      </c>
      <c r="T209" s="30" t="n">
        <v>0.004704333221297194</v>
      </c>
      <c r="U209" s="31">
        <f>ABS(E209-$G$6)</f>
        <v/>
      </c>
      <c r="V209" s="31">
        <f>ABS(E209-$G$7)</f>
        <v/>
      </c>
      <c r="W209" s="31">
        <f>ABS(E209-$G$8)</f>
        <v/>
      </c>
      <c r="X209" s="14">
        <f>IF(R209&gt;=MAX(S209,T209), "Hemat", IF(S209&gt;=T209, "Balanced", "Premium"))</f>
        <v/>
      </c>
    </row>
    <row r="210">
      <c r="A210" s="14" t="n">
        <v>199</v>
      </c>
      <c r="B210" s="7" t="inlineStr">
        <is>
          <t>Giri Palma Villa</t>
        </is>
      </c>
      <c r="C210" s="26" t="n">
        <v>-7.9561418</v>
      </c>
      <c r="D210" s="26" t="n">
        <v>112.5873277</v>
      </c>
      <c r="E210" s="21" t="n">
        <v>200000</v>
      </c>
      <c r="F210" s="27" t="n">
        <v>0</v>
      </c>
      <c r="G210" s="28" t="n">
        <v>0</v>
      </c>
      <c r="H210" s="14" t="inlineStr">
        <is>
          <t>N/A</t>
        </is>
      </c>
      <c r="I210" s="29">
        <f>6371 * 2 * ASIN(SQRT(SIN(RADIANS((C210) - INDEX('Dataset_Wisata'!$C$12:$C$622, MATCH('Dashboard'!$C$9, 'Dataset_Wisata'!$A$12:$A$622, 0)))/2)^2 + COS(RADIANS(INDEX('Dataset_Wisata'!$C$12:$C$622, MATCH('Dashboard'!$C$9, 'Dataset_Wisata'!$A$12:$A$622, 0)))) * COS(RADIANS(C210)) * SIN(RADIANS((D210) - INDEX('Dataset_Wisata'!$D$12:$D$622, MATCH('Dashboard'!$C$9, 'Dataset_Wisata'!$A$12:$A$622, 0)))/2)^2)) * 1.3</f>
        <v/>
      </c>
      <c r="J210" s="21">
        <f>ROUND(I210 * IF('Dashboard'!$C$6&lt;=1, 2250, IF('Dashboard'!$C$6&lt;=4, 5150, 6000)), 0)</f>
        <v/>
      </c>
      <c r="K210" s="30" t="n">
        <v>0.2553120674410002</v>
      </c>
      <c r="L210" s="30" t="n">
        <v>0.7118698806466551</v>
      </c>
      <c r="M210" s="30" t="n">
        <v>0.03281805191234464</v>
      </c>
      <c r="N210" s="31">
        <f>ABS(E210-$F$6)</f>
        <v/>
      </c>
      <c r="O210" s="31">
        <f>ABS(E210-$F$7)</f>
        <v/>
      </c>
      <c r="P210" s="31">
        <f>ABS(E210-$F$8)</f>
        <v/>
      </c>
      <c r="Q210" s="14">
        <f>IF(K210&gt;=MAX(L210,M210), "Hemat", IF(L210&gt;=M210, "Balanced", "Premium"))</f>
        <v/>
      </c>
      <c r="R210" s="30" t="n">
        <v>0.2553195689263855</v>
      </c>
      <c r="S210" s="30" t="n">
        <v>0.7118621403928133</v>
      </c>
      <c r="T210" s="30" t="n">
        <v>0.03281829068080127</v>
      </c>
      <c r="U210" s="31">
        <f>ABS(E210-$G$6)</f>
        <v/>
      </c>
      <c r="V210" s="31">
        <f>ABS(E210-$G$7)</f>
        <v/>
      </c>
      <c r="W210" s="31">
        <f>ABS(E210-$G$8)</f>
        <v/>
      </c>
      <c r="X210" s="14">
        <f>IF(R210&gt;=MAX(S210,T210), "Hemat", IF(S210&gt;=T210, "Balanced", "Premium"))</f>
        <v/>
      </c>
    </row>
    <row r="211">
      <c r="A211" s="14" t="n">
        <v>200</v>
      </c>
      <c r="B211" s="7" t="inlineStr">
        <is>
          <t>Hotel Tidar</t>
        </is>
      </c>
      <c r="C211" s="26" t="n">
        <v>-7.9612861</v>
      </c>
      <c r="D211" s="26" t="n">
        <v>112.5973419</v>
      </c>
      <c r="E211" s="21" t="n">
        <v>251721</v>
      </c>
      <c r="F211" s="27" t="n">
        <v>0</v>
      </c>
      <c r="G211" s="28" t="n">
        <v>0</v>
      </c>
      <c r="H211" s="14" t="inlineStr">
        <is>
          <t>N/A</t>
        </is>
      </c>
      <c r="I211" s="29">
        <f>6371 * 2 * ASIN(SQRT(SIN(RADIANS((C211) - INDEX('Dataset_Wisata'!$C$12:$C$622, MATCH('Dashboard'!$C$9, 'Dataset_Wisata'!$A$12:$A$622, 0)))/2)^2 + COS(RADIANS(INDEX('Dataset_Wisata'!$C$12:$C$622, MATCH('Dashboard'!$C$9, 'Dataset_Wisata'!$A$12:$A$622, 0)))) * COS(RADIANS(C211)) * SIN(RADIANS((D211) - INDEX('Dataset_Wisata'!$D$12:$D$622, MATCH('Dashboard'!$C$9, 'Dataset_Wisata'!$A$12:$A$622, 0)))/2)^2)) * 1.3</f>
        <v/>
      </c>
      <c r="J211" s="21">
        <f>ROUND(I211 * IF('Dashboard'!$C$6&lt;=1, 2250, IF('Dashboard'!$C$6&lt;=4, 5150, 6000)), 0)</f>
        <v/>
      </c>
      <c r="K211" s="30" t="n">
        <v>0.0024733731865044</v>
      </c>
      <c r="L211" s="30" t="n">
        <v>0.9959482520657152</v>
      </c>
      <c r="M211" s="30" t="n">
        <v>0.001578374747780357</v>
      </c>
      <c r="N211" s="31">
        <f>ABS(E211-$F$6)</f>
        <v/>
      </c>
      <c r="O211" s="31">
        <f>ABS(E211-$F$7)</f>
        <v/>
      </c>
      <c r="P211" s="31">
        <f>ABS(E211-$F$8)</f>
        <v/>
      </c>
      <c r="Q211" s="14">
        <f>IF(K211&gt;=MAX(L211,M211), "Hemat", IF(L211&gt;=M211, "Balanced", "Premium"))</f>
        <v/>
      </c>
      <c r="R211" s="30" t="n">
        <v>0.00247278258453022</v>
      </c>
      <c r="S211" s="30" t="n">
        <v>0.9959492586490225</v>
      </c>
      <c r="T211" s="30" t="n">
        <v>0.001577958766447346</v>
      </c>
      <c r="U211" s="31">
        <f>ABS(E211-$G$6)</f>
        <v/>
      </c>
      <c r="V211" s="31">
        <f>ABS(E211-$G$7)</f>
        <v/>
      </c>
      <c r="W211" s="31">
        <f>ABS(E211-$G$8)</f>
        <v/>
      </c>
      <c r="X211" s="14">
        <f>IF(R211&gt;=MAX(S211,T211), "Hemat", IF(S211&gt;=T211, "Balanced", "Premium"))</f>
        <v/>
      </c>
    </row>
    <row r="212">
      <c r="A212" s="14" t="n">
        <v>201</v>
      </c>
      <c r="B212" s="7" t="inlineStr">
        <is>
          <t>RedDoorz Hostel near Malang Train Station 3.</t>
        </is>
      </c>
      <c r="C212" s="26" t="n">
        <v>-7.9762923</v>
      </c>
      <c r="D212" s="26" t="n">
        <v>112.6300843</v>
      </c>
      <c r="E212" s="21" t="n">
        <v>102504</v>
      </c>
      <c r="F212" s="27" t="n">
        <v>0</v>
      </c>
      <c r="G212" s="28" t="n">
        <v>0</v>
      </c>
      <c r="H212" s="14" t="inlineStr">
        <is>
          <t>N/A</t>
        </is>
      </c>
      <c r="I212" s="29">
        <f>6371 * 2 * ASIN(SQRT(SIN(RADIANS((C212) - INDEX('Dataset_Wisata'!$C$12:$C$622, MATCH('Dashboard'!$C$9, 'Dataset_Wisata'!$A$12:$A$622, 0)))/2)^2 + COS(RADIANS(INDEX('Dataset_Wisata'!$C$12:$C$622, MATCH('Dashboard'!$C$9, 'Dataset_Wisata'!$A$12:$A$622, 0)))) * COS(RADIANS(C212)) * SIN(RADIANS((D212) - INDEX('Dataset_Wisata'!$D$12:$D$622, MATCH('Dashboard'!$C$9, 'Dataset_Wisata'!$A$12:$A$622, 0)))/2)^2)) * 1.3</f>
        <v/>
      </c>
      <c r="J212" s="21">
        <f>ROUND(I212 * IF('Dashboard'!$C$6&lt;=1, 2250, IF('Dashboard'!$C$6&lt;=4, 5150, 6000)), 0)</f>
        <v/>
      </c>
      <c r="K212" s="30" t="n">
        <v>0.9726557883459509</v>
      </c>
      <c r="L212" s="30" t="n">
        <v>0.02252319789633118</v>
      </c>
      <c r="M212" s="30" t="n">
        <v>0.004821013757717958</v>
      </c>
      <c r="N212" s="31">
        <f>ABS(E212-$F$6)</f>
        <v/>
      </c>
      <c r="O212" s="31">
        <f>ABS(E212-$F$7)</f>
        <v/>
      </c>
      <c r="P212" s="31">
        <f>ABS(E212-$F$8)</f>
        <v/>
      </c>
      <c r="Q212" s="14">
        <f>IF(K212&gt;=MAX(L212,M212), "Hemat", IF(L212&gt;=M212, "Balanced", "Premium"))</f>
        <v/>
      </c>
      <c r="R212" s="30" t="n">
        <v>0.972655505527138</v>
      </c>
      <c r="S212" s="30" t="n">
        <v>0.02252343118153897</v>
      </c>
      <c r="T212" s="30" t="n">
        <v>0.004821063291323101</v>
      </c>
      <c r="U212" s="31">
        <f>ABS(E212-$G$6)</f>
        <v/>
      </c>
      <c r="V212" s="31">
        <f>ABS(E212-$G$7)</f>
        <v/>
      </c>
      <c r="W212" s="31">
        <f>ABS(E212-$G$8)</f>
        <v/>
      </c>
      <c r="X212" s="14">
        <f>IF(R212&gt;=MAX(S212,T212), "Hemat", IF(S212&gt;=T212, "Balanced", "Premium"))</f>
        <v/>
      </c>
    </row>
    <row r="213">
      <c r="A213" s="14" t="n">
        <v>202</v>
      </c>
      <c r="B213" s="7" t="inlineStr">
        <is>
          <t>SULFAT HOMESTAY Penginapan Murah dekat Stasiun Kota Malang Jalur Bromo Dekat Bandara Abd Saleh</t>
        </is>
      </c>
      <c r="C213" s="26" t="n">
        <v>-7.9678062</v>
      </c>
      <c r="D213" s="26" t="n">
        <v>112.652169</v>
      </c>
      <c r="E213" s="21" t="n">
        <v>79775</v>
      </c>
      <c r="F213" s="27" t="n">
        <v>0</v>
      </c>
      <c r="G213" s="28" t="n">
        <v>0</v>
      </c>
      <c r="H213" s="14" t="inlineStr">
        <is>
          <t>N/A</t>
        </is>
      </c>
      <c r="I213" s="29">
        <f>6371 * 2 * ASIN(SQRT(SIN(RADIANS((C213) - INDEX('Dataset_Wisata'!$C$12:$C$622, MATCH('Dashboard'!$C$9, 'Dataset_Wisata'!$A$12:$A$622, 0)))/2)^2 + COS(RADIANS(INDEX('Dataset_Wisata'!$C$12:$C$622, MATCH('Dashboard'!$C$9, 'Dataset_Wisata'!$A$12:$A$622, 0)))) * COS(RADIANS(C213)) * SIN(RADIANS((D213) - INDEX('Dataset_Wisata'!$D$12:$D$622, MATCH('Dashboard'!$C$9, 'Dataset_Wisata'!$A$12:$A$622, 0)))/2)^2)) * 1.3</f>
        <v/>
      </c>
      <c r="J213" s="21">
        <f>ROUND(I213 * IF('Dashboard'!$C$6&lt;=1, 2250, IF('Dashboard'!$C$6&lt;=4, 5150, 6000)), 0)</f>
        <v/>
      </c>
      <c r="K213" s="30" t="n">
        <v>0.9173404731051908</v>
      </c>
      <c r="L213" s="30" t="n">
        <v>0.06615449891846381</v>
      </c>
      <c r="M213" s="30" t="n">
        <v>0.01650502797634515</v>
      </c>
      <c r="N213" s="31">
        <f>ABS(E213-$F$6)</f>
        <v/>
      </c>
      <c r="O213" s="31">
        <f>ABS(E213-$F$7)</f>
        <v/>
      </c>
      <c r="P213" s="31">
        <f>ABS(E213-$F$8)</f>
        <v/>
      </c>
      <c r="Q213" s="14">
        <f>IF(K213&gt;=MAX(L213,M213), "Hemat", IF(L213&gt;=M213, "Balanced", "Premium"))</f>
        <v/>
      </c>
      <c r="R213" s="30" t="n">
        <v>0.9173403977142516</v>
      </c>
      <c r="S213" s="30" t="n">
        <v>0.06615457010183651</v>
      </c>
      <c r="T213" s="30" t="n">
        <v>0.01650503218391185</v>
      </c>
      <c r="U213" s="31">
        <f>ABS(E213-$G$6)</f>
        <v/>
      </c>
      <c r="V213" s="31">
        <f>ABS(E213-$G$7)</f>
        <v/>
      </c>
      <c r="W213" s="31">
        <f>ABS(E213-$G$8)</f>
        <v/>
      </c>
      <c r="X213" s="14">
        <f>IF(R213&gt;=MAX(S213,T213), "Hemat", IF(S213&gt;=T213, "Balanced", "Premium"))</f>
        <v/>
      </c>
    </row>
    <row r="214">
      <c r="A214" s="14" t="n">
        <v>203</v>
      </c>
      <c r="B214" s="7" t="inlineStr">
        <is>
          <t>De'Vita Family Homestay</t>
        </is>
      </c>
      <c r="C214" s="26" t="n">
        <v>-7.9424252</v>
      </c>
      <c r="D214" s="26" t="n">
        <v>112.5826408</v>
      </c>
      <c r="E214" s="21" t="n">
        <v>50000</v>
      </c>
      <c r="F214" s="27" t="n">
        <v>0</v>
      </c>
      <c r="G214" s="28" t="n">
        <v>0</v>
      </c>
      <c r="H214" s="14" t="inlineStr">
        <is>
          <t>N/A</t>
        </is>
      </c>
      <c r="I214" s="29">
        <f>6371 * 2 * ASIN(SQRT(SIN(RADIANS((C214) - INDEX('Dataset_Wisata'!$C$12:$C$622, MATCH('Dashboard'!$C$9, 'Dataset_Wisata'!$A$12:$A$622, 0)))/2)^2 + COS(RADIANS(INDEX('Dataset_Wisata'!$C$12:$C$622, MATCH('Dashboard'!$C$9, 'Dataset_Wisata'!$A$12:$A$622, 0)))) * COS(RADIANS(C214)) * SIN(RADIANS((D214) - INDEX('Dataset_Wisata'!$D$12:$D$622, MATCH('Dashboard'!$C$9, 'Dataset_Wisata'!$A$12:$A$622, 0)))/2)^2)) * 1.3</f>
        <v/>
      </c>
      <c r="J214" s="21">
        <f>ROUND(I214 * IF('Dashboard'!$C$6&lt;=1, 2250, IF('Dashboard'!$C$6&lt;=4, 5150, 6000)), 0)</f>
        <v/>
      </c>
      <c r="K214" s="30" t="n">
        <v>0.8427136775647432</v>
      </c>
      <c r="L214" s="30" t="n">
        <v>0.1217010560603878</v>
      </c>
      <c r="M214" s="30" t="n">
        <v>0.03558526637486881</v>
      </c>
      <c r="N214" s="31">
        <f>ABS(E214-$F$6)</f>
        <v/>
      </c>
      <c r="O214" s="31">
        <f>ABS(E214-$F$7)</f>
        <v/>
      </c>
      <c r="P214" s="31">
        <f>ABS(E214-$F$8)</f>
        <v/>
      </c>
      <c r="Q214" s="14">
        <f>IF(K214&gt;=MAX(L214,M214), "Hemat", IF(L214&gt;=M214, "Balanced", "Premium"))</f>
        <v/>
      </c>
      <c r="R214" s="30" t="n">
        <v>0.8427139356353498</v>
      </c>
      <c r="S214" s="30" t="n">
        <v>0.121700895122662</v>
      </c>
      <c r="T214" s="30" t="n">
        <v>0.03558516924198825</v>
      </c>
      <c r="U214" s="31">
        <f>ABS(E214-$G$6)</f>
        <v/>
      </c>
      <c r="V214" s="31">
        <f>ABS(E214-$G$7)</f>
        <v/>
      </c>
      <c r="W214" s="31">
        <f>ABS(E214-$G$8)</f>
        <v/>
      </c>
      <c r="X214" s="14">
        <f>IF(R214&gt;=MAX(S214,T214), "Hemat", IF(S214&gt;=T214, "Balanced", "Premium"))</f>
        <v/>
      </c>
    </row>
    <row r="215">
      <c r="A215" s="14" t="n">
        <v>204</v>
      </c>
      <c r="B215" s="7" t="inlineStr">
        <is>
          <t>SPOT ON 91530 Sumpil Syariah</t>
        </is>
      </c>
      <c r="C215" s="26" t="n">
        <v>-7.9343941</v>
      </c>
      <c r="D215" s="26" t="n">
        <v>112.6453402</v>
      </c>
      <c r="E215" s="21" t="n">
        <v>100000</v>
      </c>
      <c r="F215" s="27" t="n">
        <v>0</v>
      </c>
      <c r="G215" s="28" t="n">
        <v>0</v>
      </c>
      <c r="H215" s="14" t="inlineStr">
        <is>
          <t>N/A</t>
        </is>
      </c>
      <c r="I215" s="29">
        <f>6371 * 2 * ASIN(SQRT(SIN(RADIANS((C215) - INDEX('Dataset_Wisata'!$C$12:$C$622, MATCH('Dashboard'!$C$9, 'Dataset_Wisata'!$A$12:$A$622, 0)))/2)^2 + COS(RADIANS(INDEX('Dataset_Wisata'!$C$12:$C$622, MATCH('Dashboard'!$C$9, 'Dataset_Wisata'!$A$12:$A$622, 0)))) * COS(RADIANS(C215)) * SIN(RADIANS((D215) - INDEX('Dataset_Wisata'!$D$12:$D$622, MATCH('Dashboard'!$C$9, 'Dataset_Wisata'!$A$12:$A$622, 0)))/2)^2)) * 1.3</f>
        <v/>
      </c>
      <c r="J215" s="21">
        <f>ROUND(I215 * IF('Dashboard'!$C$6&lt;=1, 2250, IF('Dashboard'!$C$6&lt;=4, 5150, 6000)), 0)</f>
        <v/>
      </c>
      <c r="K215" s="30" t="n">
        <v>0.9672305756379272</v>
      </c>
      <c r="L215" s="30" t="n">
        <v>0.02690286027756393</v>
      </c>
      <c r="M215" s="30" t="n">
        <v>0.005866564084508831</v>
      </c>
      <c r="N215" s="31">
        <f>ABS(E215-$F$6)</f>
        <v/>
      </c>
      <c r="O215" s="31">
        <f>ABS(E215-$F$7)</f>
        <v/>
      </c>
      <c r="P215" s="31">
        <f>ABS(E215-$F$8)</f>
        <v/>
      </c>
      <c r="Q215" s="14">
        <f>IF(K215&gt;=MAX(L215,M215), "Hemat", IF(L215&gt;=M215, "Balanced", "Premium"))</f>
        <v/>
      </c>
      <c r="R215" s="30" t="n">
        <v>0.9672303035537276</v>
      </c>
      <c r="S215" s="30" t="n">
        <v>0.02690308452718115</v>
      </c>
      <c r="T215" s="30" t="n">
        <v>0.0058666119190913</v>
      </c>
      <c r="U215" s="31">
        <f>ABS(E215-$G$6)</f>
        <v/>
      </c>
      <c r="V215" s="31">
        <f>ABS(E215-$G$7)</f>
        <v/>
      </c>
      <c r="W215" s="31">
        <f>ABS(E215-$G$8)</f>
        <v/>
      </c>
      <c r="X215" s="14">
        <f>IF(R215&gt;=MAX(S215,T215), "Hemat", IF(S215&gt;=T215, "Balanced", "Premium"))</f>
        <v/>
      </c>
    </row>
    <row r="216">
      <c r="A216" s="14" t="n">
        <v>205</v>
      </c>
      <c r="B216" s="7" t="inlineStr">
        <is>
          <t>Fayfai homestay Malang (Penginapan di batu Malang, Kos harian Malang, dekat UMM, Murah)</t>
        </is>
      </c>
      <c r="C216" s="26" t="n">
        <v>-7.9266861</v>
      </c>
      <c r="D216" s="26" t="n">
        <v>112.5847492</v>
      </c>
      <c r="E216" s="21" t="n">
        <v>80000</v>
      </c>
      <c r="F216" s="27" t="n">
        <v>0</v>
      </c>
      <c r="G216" s="28" t="n">
        <v>0</v>
      </c>
      <c r="H216" s="14" t="inlineStr">
        <is>
          <t>N/A</t>
        </is>
      </c>
      <c r="I216" s="29">
        <f>6371 * 2 * ASIN(SQRT(SIN(RADIANS((C216) - INDEX('Dataset_Wisata'!$C$12:$C$622, MATCH('Dashboard'!$C$9, 'Dataset_Wisata'!$A$12:$A$622, 0)))/2)^2 + COS(RADIANS(INDEX('Dataset_Wisata'!$C$12:$C$622, MATCH('Dashboard'!$C$9, 'Dataset_Wisata'!$A$12:$A$622, 0)))) * COS(RADIANS(C216)) * SIN(RADIANS((D216) - INDEX('Dataset_Wisata'!$D$12:$D$622, MATCH('Dashboard'!$C$9, 'Dataset_Wisata'!$A$12:$A$622, 0)))/2)^2)) * 1.3</f>
        <v/>
      </c>
      <c r="J216" s="21">
        <f>ROUND(I216 * IF('Dashboard'!$C$6&lt;=1, 2250, IF('Dashboard'!$C$6&lt;=4, 5150, 6000)), 0)</f>
        <v/>
      </c>
      <c r="K216" s="30" t="n">
        <v>0.917922276308166</v>
      </c>
      <c r="L216" s="30" t="n">
        <v>0.0657067181163683</v>
      </c>
      <c r="M216" s="30" t="n">
        <v>0.01637100557546559</v>
      </c>
      <c r="N216" s="31">
        <f>ABS(E216-$F$6)</f>
        <v/>
      </c>
      <c r="O216" s="31">
        <f>ABS(E216-$F$7)</f>
        <v/>
      </c>
      <c r="P216" s="31">
        <f>ABS(E216-$F$8)</f>
        <v/>
      </c>
      <c r="Q216" s="14">
        <f>IF(K216&gt;=MAX(L216,M216), "Hemat", IF(L216&gt;=M216, "Balanced", "Premium"))</f>
        <v/>
      </c>
      <c r="R216" s="30" t="n">
        <v>0.9179221982347204</v>
      </c>
      <c r="S216" s="30" t="n">
        <v>0.06570679130234151</v>
      </c>
      <c r="T216" s="30" t="n">
        <v>0.01637101046293786</v>
      </c>
      <c r="U216" s="31">
        <f>ABS(E216-$G$6)</f>
        <v/>
      </c>
      <c r="V216" s="31">
        <f>ABS(E216-$G$7)</f>
        <v/>
      </c>
      <c r="W216" s="31">
        <f>ABS(E216-$G$8)</f>
        <v/>
      </c>
      <c r="X216" s="14">
        <f>IF(R216&gt;=MAX(S216,T216), "Hemat", IF(S216&gt;=T216, "Balanced", "Premium"))</f>
        <v/>
      </c>
    </row>
    <row r="217">
      <c r="A217" s="14" t="n">
        <v>206</v>
      </c>
      <c r="B217" s="7" t="inlineStr">
        <is>
          <t>Hotel O Symphony Homestay Tlogomas</t>
        </is>
      </c>
      <c r="C217" s="26" t="n">
        <v>-7.9253218</v>
      </c>
      <c r="D217" s="26" t="n">
        <v>112.6006691</v>
      </c>
      <c r="E217" s="21" t="n">
        <v>120879</v>
      </c>
      <c r="F217" s="27" t="n">
        <v>0</v>
      </c>
      <c r="G217" s="28" t="n">
        <v>0</v>
      </c>
      <c r="H217" s="14" t="inlineStr">
        <is>
          <t>N/A</t>
        </is>
      </c>
      <c r="I217" s="29">
        <f>6371 * 2 * ASIN(SQRT(SIN(RADIANS((C217) - INDEX('Dataset_Wisata'!$C$12:$C$622, MATCH('Dashboard'!$C$9, 'Dataset_Wisata'!$A$12:$A$622, 0)))/2)^2 + COS(RADIANS(INDEX('Dataset_Wisata'!$C$12:$C$622, MATCH('Dashboard'!$C$9, 'Dataset_Wisata'!$A$12:$A$622, 0)))) * COS(RADIANS(C217)) * SIN(RADIANS((D217) - INDEX('Dataset_Wisata'!$D$12:$D$622, MATCH('Dashboard'!$C$9, 'Dataset_Wisata'!$A$12:$A$622, 0)))/2)^2)) * 1.3</f>
        <v/>
      </c>
      <c r="J217" s="21">
        <f>ROUND(I217 * IF('Dashboard'!$C$6&lt;=1, 2250, IF('Dashboard'!$C$6&lt;=4, 5150, 6000)), 0)</f>
        <v/>
      </c>
      <c r="K217" s="30" t="n">
        <v>0.9991358614714403</v>
      </c>
      <c r="L217" s="30" t="n">
        <v>0.0007300047432689202</v>
      </c>
      <c r="M217" s="30" t="n">
        <v>0.0001341337852907942</v>
      </c>
      <c r="N217" s="31">
        <f>ABS(E217-$F$6)</f>
        <v/>
      </c>
      <c r="O217" s="31">
        <f>ABS(E217-$F$7)</f>
        <v/>
      </c>
      <c r="P217" s="31">
        <f>ABS(E217-$F$8)</f>
        <v/>
      </c>
      <c r="Q217" s="14">
        <f>IF(K217&gt;=MAX(L217,M217), "Hemat", IF(L217&gt;=M217, "Balanced", "Premium"))</f>
        <v/>
      </c>
      <c r="R217" s="30" t="n">
        <v>0.9991357522977656</v>
      </c>
      <c r="S217" s="30" t="n">
        <v>0.000730096877263834</v>
      </c>
      <c r="T217" s="30" t="n">
        <v>0.0001341508249705533</v>
      </c>
      <c r="U217" s="31">
        <f>ABS(E217-$G$6)</f>
        <v/>
      </c>
      <c r="V217" s="31">
        <f>ABS(E217-$G$7)</f>
        <v/>
      </c>
      <c r="W217" s="31">
        <f>ABS(E217-$G$8)</f>
        <v/>
      </c>
      <c r="X217" s="14">
        <f>IF(R217&gt;=MAX(S217,T217), "Hemat", IF(S217&gt;=T217, "Balanced", "Premium"))</f>
        <v/>
      </c>
    </row>
    <row r="218">
      <c r="A218" s="14" t="n">
        <v>207</v>
      </c>
      <c r="B218" s="7" t="inlineStr">
        <is>
          <t>Griya Gribig Guest House Mitra RedDoorz</t>
        </is>
      </c>
      <c r="C218" s="26" t="n">
        <v>-7.9803516</v>
      </c>
      <c r="D218" s="26" t="n">
        <v>112.6651629</v>
      </c>
      <c r="E218" s="21" t="n">
        <v>175496</v>
      </c>
      <c r="F218" s="27" t="n">
        <v>0</v>
      </c>
      <c r="G218" s="28" t="n">
        <v>0</v>
      </c>
      <c r="H218" s="14" t="inlineStr">
        <is>
          <t>N/A</t>
        </is>
      </c>
      <c r="I218" s="29">
        <f>6371 * 2 * ASIN(SQRT(SIN(RADIANS((C218) - INDEX('Dataset_Wisata'!$C$12:$C$622, MATCH('Dashboard'!$C$9, 'Dataset_Wisata'!$A$12:$A$622, 0)))/2)^2 + COS(RADIANS(INDEX('Dataset_Wisata'!$C$12:$C$622, MATCH('Dashboard'!$C$9, 'Dataset_Wisata'!$A$12:$A$622, 0)))) * COS(RADIANS(C218)) * SIN(RADIANS((D218) - INDEX('Dataset_Wisata'!$D$12:$D$622, MATCH('Dashboard'!$C$9, 'Dataset_Wisata'!$A$12:$A$622, 0)))/2)^2)) * 1.3</f>
        <v/>
      </c>
      <c r="J218" s="21">
        <f>ROUND(I218 * IF('Dashboard'!$C$6&lt;=1, 2250, IF('Dashboard'!$C$6&lt;=4, 5150, 6000)), 0)</f>
        <v/>
      </c>
      <c r="K218" s="30" t="n">
        <v>0.6308040541835173</v>
      </c>
      <c r="L218" s="30" t="n">
        <v>0.3393957156202428</v>
      </c>
      <c r="M218" s="30" t="n">
        <v>0.02980023019623988</v>
      </c>
      <c r="N218" s="31">
        <f>ABS(E218-$F$6)</f>
        <v/>
      </c>
      <c r="O218" s="31">
        <f>ABS(E218-$F$7)</f>
        <v/>
      </c>
      <c r="P218" s="31">
        <f>ABS(E218-$F$8)</f>
        <v/>
      </c>
      <c r="Q218" s="14">
        <f>IF(K218&gt;=MAX(L218,M218), "Hemat", IF(L218&gt;=M218, "Balanced", "Premium"))</f>
        <v/>
      </c>
      <c r="R218" s="30" t="n">
        <v>0.6308111832605264</v>
      </c>
      <c r="S218" s="30" t="n">
        <v>0.3393889469413848</v>
      </c>
      <c r="T218" s="30" t="n">
        <v>0.02979986979808882</v>
      </c>
      <c r="U218" s="31">
        <f>ABS(E218-$G$6)</f>
        <v/>
      </c>
      <c r="V218" s="31">
        <f>ABS(E218-$G$7)</f>
        <v/>
      </c>
      <c r="W218" s="31">
        <f>ABS(E218-$G$8)</f>
        <v/>
      </c>
      <c r="X218" s="14">
        <f>IF(R218&gt;=MAX(S218,T218), "Hemat", IF(S218&gt;=T218, "Balanced", "Premium"))</f>
        <v/>
      </c>
    </row>
    <row r="219">
      <c r="A219" s="14" t="n">
        <v>208</v>
      </c>
      <c r="B219" s="7" t="inlineStr">
        <is>
          <t>Tini’s Guest House</t>
        </is>
      </c>
      <c r="C219" s="26" t="n">
        <v>-7.9728819</v>
      </c>
      <c r="D219" s="26" t="n">
        <v>112.618846</v>
      </c>
      <c r="E219" s="21" t="n">
        <v>162476</v>
      </c>
      <c r="F219" s="27" t="n">
        <v>0</v>
      </c>
      <c r="G219" s="28" t="n">
        <v>0</v>
      </c>
      <c r="H219" s="14" t="inlineStr">
        <is>
          <t>N/A</t>
        </is>
      </c>
      <c r="I219" s="29">
        <f>6371 * 2 * ASIN(SQRT(SIN(RADIANS((C219) - INDEX('Dataset_Wisata'!$C$12:$C$622, MATCH('Dashboard'!$C$9, 'Dataset_Wisata'!$A$12:$A$622, 0)))/2)^2 + COS(RADIANS(INDEX('Dataset_Wisata'!$C$12:$C$622, MATCH('Dashboard'!$C$9, 'Dataset_Wisata'!$A$12:$A$622, 0)))) * COS(RADIANS(C219)) * SIN(RADIANS((D219) - INDEX('Dataset_Wisata'!$D$12:$D$622, MATCH('Dashboard'!$C$9, 'Dataset_Wisata'!$A$12:$A$622, 0)))/2)^2)) * 1.3</f>
        <v/>
      </c>
      <c r="J219" s="21">
        <f>ROUND(I219 * IF('Dashboard'!$C$6&lt;=1, 2250, IF('Dashboard'!$C$6&lt;=4, 5150, 6000)), 0)</f>
        <v/>
      </c>
      <c r="K219" s="30" t="n">
        <v>0.8088405825318949</v>
      </c>
      <c r="L219" s="30" t="n">
        <v>0.1720636068332503</v>
      </c>
      <c r="M219" s="30" t="n">
        <v>0.01909581063485478</v>
      </c>
      <c r="N219" s="31">
        <f>ABS(E219-$F$6)</f>
        <v/>
      </c>
      <c r="O219" s="31">
        <f>ABS(E219-$F$7)</f>
        <v/>
      </c>
      <c r="P219" s="31">
        <f>ABS(E219-$F$8)</f>
        <v/>
      </c>
      <c r="Q219" s="14">
        <f>IF(K219&gt;=MAX(L219,M219), "Hemat", IF(L219&gt;=M219, "Balanced", "Premium"))</f>
        <v/>
      </c>
      <c r="R219" s="30" t="n">
        <v>0.8088452764857663</v>
      </c>
      <c r="S219" s="30" t="n">
        <v>0.1720592937736078</v>
      </c>
      <c r="T219" s="30" t="n">
        <v>0.0190954297406259</v>
      </c>
      <c r="U219" s="31">
        <f>ABS(E219-$G$6)</f>
        <v/>
      </c>
      <c r="V219" s="31">
        <f>ABS(E219-$G$7)</f>
        <v/>
      </c>
      <c r="W219" s="31">
        <f>ABS(E219-$G$8)</f>
        <v/>
      </c>
      <c r="X219" s="14">
        <f>IF(R219&gt;=MAX(S219,T219), "Hemat", IF(S219&gt;=T219, "Balanced", "Premium"))</f>
        <v/>
      </c>
    </row>
    <row r="220">
      <c r="A220" s="14" t="n">
        <v>209</v>
      </c>
      <c r="B220" s="7" t="inlineStr">
        <is>
          <t>Edotel tebe syariah</t>
        </is>
      </c>
      <c r="C220" s="26" t="n">
        <v>-7.9607908</v>
      </c>
      <c r="D220" s="26" t="n">
        <v>112.648075</v>
      </c>
      <c r="E220" s="21" t="n">
        <v>50000</v>
      </c>
      <c r="F220" s="27" t="n">
        <v>0</v>
      </c>
      <c r="G220" s="28" t="n">
        <v>0</v>
      </c>
      <c r="H220" s="14" t="inlineStr">
        <is>
          <t>N/A</t>
        </is>
      </c>
      <c r="I220" s="29">
        <f>6371 * 2 * ASIN(SQRT(SIN(RADIANS((C220) - INDEX('Dataset_Wisata'!$C$12:$C$622, MATCH('Dashboard'!$C$9, 'Dataset_Wisata'!$A$12:$A$622, 0)))/2)^2 + COS(RADIANS(INDEX('Dataset_Wisata'!$C$12:$C$622, MATCH('Dashboard'!$C$9, 'Dataset_Wisata'!$A$12:$A$622, 0)))) * COS(RADIANS(C220)) * SIN(RADIANS((D220) - INDEX('Dataset_Wisata'!$D$12:$D$622, MATCH('Dashboard'!$C$9, 'Dataset_Wisata'!$A$12:$A$622, 0)))/2)^2)) * 1.3</f>
        <v/>
      </c>
      <c r="J220" s="21">
        <f>ROUND(I220 * IF('Dashboard'!$C$6&lt;=1, 2250, IF('Dashboard'!$C$6&lt;=4, 5150, 6000)), 0)</f>
        <v/>
      </c>
      <c r="K220" s="30" t="n">
        <v>0.8427136775647432</v>
      </c>
      <c r="L220" s="30" t="n">
        <v>0.1217010560603878</v>
      </c>
      <c r="M220" s="30" t="n">
        <v>0.03558526637486881</v>
      </c>
      <c r="N220" s="31">
        <f>ABS(E220-$F$6)</f>
        <v/>
      </c>
      <c r="O220" s="31">
        <f>ABS(E220-$F$7)</f>
        <v/>
      </c>
      <c r="P220" s="31">
        <f>ABS(E220-$F$8)</f>
        <v/>
      </c>
      <c r="Q220" s="14">
        <f>IF(K220&gt;=MAX(L220,M220), "Hemat", IF(L220&gt;=M220, "Balanced", "Premium"))</f>
        <v/>
      </c>
      <c r="R220" s="30" t="n">
        <v>0.8427139356353498</v>
      </c>
      <c r="S220" s="30" t="n">
        <v>0.121700895122662</v>
      </c>
      <c r="T220" s="30" t="n">
        <v>0.03558516924198825</v>
      </c>
      <c r="U220" s="31">
        <f>ABS(E220-$G$6)</f>
        <v/>
      </c>
      <c r="V220" s="31">
        <f>ABS(E220-$G$7)</f>
        <v/>
      </c>
      <c r="W220" s="31">
        <f>ABS(E220-$G$8)</f>
        <v/>
      </c>
      <c r="X220" s="14">
        <f>IF(R220&gt;=MAX(S220,T220), "Hemat", IF(S220&gt;=T220, "Balanced", "Premium"))</f>
        <v/>
      </c>
    </row>
    <row r="221">
      <c r="A221" s="14" t="n">
        <v>210</v>
      </c>
      <c r="B221" s="7" t="inlineStr">
        <is>
          <t>OYO 353 Loesje Guest House Syariah</t>
        </is>
      </c>
      <c r="C221" s="26" t="n">
        <v>-7.9769477</v>
      </c>
      <c r="D221" s="26" t="n">
        <v>112.6252761</v>
      </c>
      <c r="E221" s="21" t="n">
        <v>100000</v>
      </c>
      <c r="F221" s="27" t="n">
        <v>0</v>
      </c>
      <c r="G221" s="28" t="n">
        <v>0</v>
      </c>
      <c r="H221" s="14" t="inlineStr">
        <is>
          <t>N/A</t>
        </is>
      </c>
      <c r="I221" s="29">
        <f>6371 * 2 * ASIN(SQRT(SIN(RADIANS((C221) - INDEX('Dataset_Wisata'!$C$12:$C$622, MATCH('Dashboard'!$C$9, 'Dataset_Wisata'!$A$12:$A$622, 0)))/2)^2 + COS(RADIANS(INDEX('Dataset_Wisata'!$C$12:$C$622, MATCH('Dashboard'!$C$9, 'Dataset_Wisata'!$A$12:$A$622, 0)))) * COS(RADIANS(C221)) * SIN(RADIANS((D221) - INDEX('Dataset_Wisata'!$D$12:$D$622, MATCH('Dashboard'!$C$9, 'Dataset_Wisata'!$A$12:$A$622, 0)))/2)^2)) * 1.3</f>
        <v/>
      </c>
      <c r="J221" s="21">
        <f>ROUND(I221 * IF('Dashboard'!$C$6&lt;=1, 2250, IF('Dashboard'!$C$6&lt;=4, 5150, 6000)), 0)</f>
        <v/>
      </c>
      <c r="K221" s="30" t="n">
        <v>0.9672305756379272</v>
      </c>
      <c r="L221" s="30" t="n">
        <v>0.02690286027756393</v>
      </c>
      <c r="M221" s="30" t="n">
        <v>0.005866564084508831</v>
      </c>
      <c r="N221" s="31">
        <f>ABS(E221-$F$6)</f>
        <v/>
      </c>
      <c r="O221" s="31">
        <f>ABS(E221-$F$7)</f>
        <v/>
      </c>
      <c r="P221" s="31">
        <f>ABS(E221-$F$8)</f>
        <v/>
      </c>
      <c r="Q221" s="14">
        <f>IF(K221&gt;=MAX(L221,M221), "Hemat", IF(L221&gt;=M221, "Balanced", "Premium"))</f>
        <v/>
      </c>
      <c r="R221" s="30" t="n">
        <v>0.9672303035537276</v>
      </c>
      <c r="S221" s="30" t="n">
        <v>0.02690308452718115</v>
      </c>
      <c r="T221" s="30" t="n">
        <v>0.0058666119190913</v>
      </c>
      <c r="U221" s="31">
        <f>ABS(E221-$G$6)</f>
        <v/>
      </c>
      <c r="V221" s="31">
        <f>ABS(E221-$G$7)</f>
        <v/>
      </c>
      <c r="W221" s="31">
        <f>ABS(E221-$G$8)</f>
        <v/>
      </c>
      <c r="X221" s="14">
        <f>IF(R221&gt;=MAX(S221,T221), "Hemat", IF(S221&gt;=T221, "Balanced", "Premium"))</f>
        <v/>
      </c>
    </row>
    <row r="222">
      <c r="A222" s="14" t="n">
        <v>211</v>
      </c>
      <c r="B222" s="7" t="inlineStr">
        <is>
          <t>D Maktab Syariah Mitra RedDoorz Malang</t>
        </is>
      </c>
      <c r="C222" s="26" t="n">
        <v>-7.9510225</v>
      </c>
      <c r="D222" s="26" t="n">
        <v>112.6266283</v>
      </c>
      <c r="E222" s="21" t="n">
        <v>150944</v>
      </c>
      <c r="F222" s="27" t="n">
        <v>0</v>
      </c>
      <c r="G222" s="28" t="n">
        <v>0</v>
      </c>
      <c r="H222" s="14" t="inlineStr">
        <is>
          <t>N/A</t>
        </is>
      </c>
      <c r="I222" s="29">
        <f>6371 * 2 * ASIN(SQRT(SIN(RADIANS((C222) - INDEX('Dataset_Wisata'!$C$12:$C$622, MATCH('Dashboard'!$C$9, 'Dataset_Wisata'!$A$12:$A$622, 0)))/2)^2 + COS(RADIANS(INDEX('Dataset_Wisata'!$C$12:$C$622, MATCH('Dashboard'!$C$9, 'Dataset_Wisata'!$A$12:$A$622, 0)))) * COS(RADIANS(C222)) * SIN(RADIANS((D222) - INDEX('Dataset_Wisata'!$D$12:$D$622, MATCH('Dashboard'!$C$9, 'Dataset_Wisata'!$A$12:$A$622, 0)))/2)^2)) * 1.3</f>
        <v/>
      </c>
      <c r="J222" s="21">
        <f>ROUND(I222 * IF('Dashboard'!$C$6&lt;=1, 2250, IF('Dashboard'!$C$6&lt;=4, 5150, 6000)), 0)</f>
        <v/>
      </c>
      <c r="K222" s="30" t="n">
        <v>0.9170325258791332</v>
      </c>
      <c r="L222" s="30" t="n">
        <v>0.07332301884310022</v>
      </c>
      <c r="M222" s="30" t="n">
        <v>0.00964445527776654</v>
      </c>
      <c r="N222" s="31">
        <f>ABS(E222-$F$6)</f>
        <v/>
      </c>
      <c r="O222" s="31">
        <f>ABS(E222-$F$7)</f>
        <v/>
      </c>
      <c r="P222" s="31">
        <f>ABS(E222-$F$8)</f>
        <v/>
      </c>
      <c r="Q222" s="14">
        <f>IF(K222&gt;=MAX(L222,M222), "Hemat", IF(L222&gt;=M222, "Balanced", "Premium"))</f>
        <v/>
      </c>
      <c r="R222" s="30" t="n">
        <v>0.917035072037964</v>
      </c>
      <c r="S222" s="30" t="n">
        <v>0.07332073933014512</v>
      </c>
      <c r="T222" s="30" t="n">
        <v>0.00964418863189098</v>
      </c>
      <c r="U222" s="31">
        <f>ABS(E222-$G$6)</f>
        <v/>
      </c>
      <c r="V222" s="31">
        <f>ABS(E222-$G$7)</f>
        <v/>
      </c>
      <c r="W222" s="31">
        <f>ABS(E222-$G$8)</f>
        <v/>
      </c>
      <c r="X222" s="14">
        <f>IF(R222&gt;=MAX(S222,T222), "Hemat", IF(S222&gt;=T222, "Balanced", "Premium"))</f>
        <v/>
      </c>
    </row>
    <row r="223">
      <c r="A223" s="14" t="n">
        <v>212</v>
      </c>
      <c r="B223" s="7" t="inlineStr">
        <is>
          <t>AORI Guest House (Syariah)</t>
        </is>
      </c>
      <c r="C223" s="26" t="n">
        <v>-7.9555326</v>
      </c>
      <c r="D223" s="26" t="n">
        <v>112.6082053</v>
      </c>
      <c r="E223" s="21" t="n">
        <v>150000</v>
      </c>
      <c r="F223" s="27" t="n">
        <v>0</v>
      </c>
      <c r="G223" s="28" t="n">
        <v>0</v>
      </c>
      <c r="H223" s="14" t="inlineStr">
        <is>
          <t>N/A</t>
        </is>
      </c>
      <c r="I223" s="29">
        <f>6371 * 2 * ASIN(SQRT(SIN(RADIANS((C223) - INDEX('Dataset_Wisata'!$C$12:$C$622, MATCH('Dashboard'!$C$9, 'Dataset_Wisata'!$A$12:$A$622, 0)))/2)^2 + COS(RADIANS(INDEX('Dataset_Wisata'!$C$12:$C$622, MATCH('Dashboard'!$C$9, 'Dataset_Wisata'!$A$12:$A$622, 0)))) * COS(RADIANS(C223)) * SIN(RADIANS((D223) - INDEX('Dataset_Wisata'!$D$12:$D$622, MATCH('Dashboard'!$C$9, 'Dataset_Wisata'!$A$12:$A$622, 0)))/2)^2)) * 1.3</f>
        <v/>
      </c>
      <c r="J223" s="21">
        <f>ROUND(I223 * IF('Dashboard'!$C$6&lt;=1, 2250, IF('Dashboard'!$C$6&lt;=4, 5150, 6000)), 0)</f>
        <v/>
      </c>
      <c r="K223" s="30" t="n">
        <v>0.9236568385235482</v>
      </c>
      <c r="L223" s="30" t="n">
        <v>0.06736899151285153</v>
      </c>
      <c r="M223" s="30" t="n">
        <v>0.008974169963600275</v>
      </c>
      <c r="N223" s="31">
        <f>ABS(E223-$F$6)</f>
        <v/>
      </c>
      <c r="O223" s="31">
        <f>ABS(E223-$F$7)</f>
        <v/>
      </c>
      <c r="P223" s="31">
        <f>ABS(E223-$F$8)</f>
        <v/>
      </c>
      <c r="Q223" s="14">
        <f>IF(K223&gt;=MAX(L223,M223), "Hemat", IF(L223&gt;=M223, "Balanced", "Premium"))</f>
        <v/>
      </c>
      <c r="R223" s="30" t="n">
        <v>0.9236592327110943</v>
      </c>
      <c r="S223" s="30" t="n">
        <v>0.0673668524262508</v>
      </c>
      <c r="T223" s="30" t="n">
        <v>0.008973914862654904</v>
      </c>
      <c r="U223" s="31">
        <f>ABS(E223-$G$6)</f>
        <v/>
      </c>
      <c r="V223" s="31">
        <f>ABS(E223-$G$7)</f>
        <v/>
      </c>
      <c r="W223" s="31">
        <f>ABS(E223-$G$8)</f>
        <v/>
      </c>
      <c r="X223" s="14">
        <f>IF(R223&gt;=MAX(S223,T223), "Hemat", IF(S223&gt;=T223, "Balanced", "Premium"))</f>
        <v/>
      </c>
    </row>
    <row r="224">
      <c r="A224" s="14" t="n">
        <v>213</v>
      </c>
      <c r="B224" s="7" t="inlineStr">
        <is>
          <t>OYO Flagship 90723 Khalifi House Malang</t>
        </is>
      </c>
      <c r="C224" s="26" t="n">
        <v>-7.9694153</v>
      </c>
      <c r="D224" s="26" t="n">
        <v>112.6684127</v>
      </c>
      <c r="E224" s="21" t="n">
        <v>120000</v>
      </c>
      <c r="F224" s="27" t="n">
        <v>0</v>
      </c>
      <c r="G224" s="28" t="n">
        <v>0</v>
      </c>
      <c r="H224" s="14" t="inlineStr">
        <is>
          <t>N/A</t>
        </is>
      </c>
      <c r="I224" s="29">
        <f>6371 * 2 * ASIN(SQRT(SIN(RADIANS((C224) - INDEX('Dataset_Wisata'!$C$12:$C$622, MATCH('Dashboard'!$C$9, 'Dataset_Wisata'!$A$12:$A$622, 0)))/2)^2 + COS(RADIANS(INDEX('Dataset_Wisata'!$C$12:$C$622, MATCH('Dashboard'!$C$9, 'Dataset_Wisata'!$A$12:$A$622, 0)))) * COS(RADIANS(C224)) * SIN(RADIANS((D224) - INDEX('Dataset_Wisata'!$D$12:$D$622, MATCH('Dashboard'!$C$9, 'Dataset_Wisata'!$A$12:$A$622, 0)))/2)^2)) * 1.3</f>
        <v/>
      </c>
      <c r="J224" s="21">
        <f>ROUND(I224 * IF('Dashboard'!$C$6&lt;=1, 2250, IF('Dashboard'!$C$6&lt;=4, 5150, 6000)), 0)</f>
        <v/>
      </c>
      <c r="K224" s="30" t="n">
        <v>0.9986436162287543</v>
      </c>
      <c r="L224" s="30" t="n">
        <v>0.001144410621696876</v>
      </c>
      <c r="M224" s="30" t="n">
        <v>0.0002119731495487825</v>
      </c>
      <c r="N224" s="31">
        <f>ABS(E224-$F$6)</f>
        <v/>
      </c>
      <c r="O224" s="31">
        <f>ABS(E224-$F$7)</f>
        <v/>
      </c>
      <c r="P224" s="31">
        <f>ABS(E224-$F$8)</f>
        <v/>
      </c>
      <c r="Q224" s="14">
        <f>IF(K224&gt;=MAX(L224,M224), "Hemat", IF(L224&gt;=M224, "Balanced", "Premium"))</f>
        <v/>
      </c>
      <c r="R224" s="30" t="n">
        <v>0.9986434837674383</v>
      </c>
      <c r="S224" s="30" t="n">
        <v>0.001144522244010714</v>
      </c>
      <c r="T224" s="30" t="n">
        <v>0.0002119939885510254</v>
      </c>
      <c r="U224" s="31">
        <f>ABS(E224-$G$6)</f>
        <v/>
      </c>
      <c r="V224" s="31">
        <f>ABS(E224-$G$7)</f>
        <v/>
      </c>
      <c r="W224" s="31">
        <f>ABS(E224-$G$8)</f>
        <v/>
      </c>
      <c r="X224" s="14">
        <f>IF(R224&gt;=MAX(S224,T224), "Hemat", IF(S224&gt;=T224, "Balanced", "Premium"))</f>
        <v/>
      </c>
    </row>
    <row r="225">
      <c r="A225" s="14" t="n">
        <v>214</v>
      </c>
      <c r="B225" s="7" t="inlineStr">
        <is>
          <t>RADZ &amp; RASFA Homestay Syariah</t>
        </is>
      </c>
      <c r="C225" s="26" t="n">
        <v>-7.974073</v>
      </c>
      <c r="D225" s="26" t="n">
        <v>112.6363326</v>
      </c>
      <c r="E225" s="21" t="n">
        <v>50000</v>
      </c>
      <c r="F225" s="27" t="n">
        <v>0</v>
      </c>
      <c r="G225" s="28" t="n">
        <v>0</v>
      </c>
      <c r="H225" s="14" t="inlineStr">
        <is>
          <t>N/A</t>
        </is>
      </c>
      <c r="I225" s="29">
        <f>6371 * 2 * ASIN(SQRT(SIN(RADIANS((C225) - INDEX('Dataset_Wisata'!$C$12:$C$622, MATCH('Dashboard'!$C$9, 'Dataset_Wisata'!$A$12:$A$622, 0)))/2)^2 + COS(RADIANS(INDEX('Dataset_Wisata'!$C$12:$C$622, MATCH('Dashboard'!$C$9, 'Dataset_Wisata'!$A$12:$A$622, 0)))) * COS(RADIANS(C225)) * SIN(RADIANS((D225) - INDEX('Dataset_Wisata'!$D$12:$D$622, MATCH('Dashboard'!$C$9, 'Dataset_Wisata'!$A$12:$A$622, 0)))/2)^2)) * 1.3</f>
        <v/>
      </c>
      <c r="J225" s="21">
        <f>ROUND(I225 * IF('Dashboard'!$C$6&lt;=1, 2250, IF('Dashboard'!$C$6&lt;=4, 5150, 6000)), 0)</f>
        <v/>
      </c>
      <c r="K225" s="30" t="n">
        <v>0.8427136775647432</v>
      </c>
      <c r="L225" s="30" t="n">
        <v>0.1217010560603878</v>
      </c>
      <c r="M225" s="30" t="n">
        <v>0.03558526637486881</v>
      </c>
      <c r="N225" s="31">
        <f>ABS(E225-$F$6)</f>
        <v/>
      </c>
      <c r="O225" s="31">
        <f>ABS(E225-$F$7)</f>
        <v/>
      </c>
      <c r="P225" s="31">
        <f>ABS(E225-$F$8)</f>
        <v/>
      </c>
      <c r="Q225" s="14">
        <f>IF(K225&gt;=MAX(L225,M225), "Hemat", IF(L225&gt;=M225, "Balanced", "Premium"))</f>
        <v/>
      </c>
      <c r="R225" s="30" t="n">
        <v>0.8427139356353498</v>
      </c>
      <c r="S225" s="30" t="n">
        <v>0.121700895122662</v>
      </c>
      <c r="T225" s="30" t="n">
        <v>0.03558516924198825</v>
      </c>
      <c r="U225" s="31">
        <f>ABS(E225-$G$6)</f>
        <v/>
      </c>
      <c r="V225" s="31">
        <f>ABS(E225-$G$7)</f>
        <v/>
      </c>
      <c r="W225" s="31">
        <f>ABS(E225-$G$8)</f>
        <v/>
      </c>
      <c r="X225" s="14">
        <f>IF(R225&gt;=MAX(S225,T225), "Hemat", IF(S225&gt;=T225, "Balanced", "Premium"))</f>
        <v/>
      </c>
    </row>
    <row r="226">
      <c r="A226" s="14" t="n">
        <v>215</v>
      </c>
      <c r="B226" s="7" t="inlineStr">
        <is>
          <t>Ascent Premiere Hotel and Convention</t>
        </is>
      </c>
      <c r="C226" s="26" t="n">
        <v>-7.9952993</v>
      </c>
      <c r="D226" s="26" t="n">
        <v>112.632715</v>
      </c>
      <c r="E226" s="21" t="n">
        <v>1260000</v>
      </c>
      <c r="F226" s="27" t="n">
        <v>0</v>
      </c>
      <c r="G226" s="28" t="n">
        <v>0</v>
      </c>
      <c r="H226" s="14" t="inlineStr">
        <is>
          <t>N/A</t>
        </is>
      </c>
      <c r="I226" s="29">
        <f>6371 * 2 * ASIN(SQRT(SIN(RADIANS((C226) - INDEX('Dataset_Wisata'!$C$12:$C$622, MATCH('Dashboard'!$C$9, 'Dataset_Wisata'!$A$12:$A$622, 0)))/2)^2 + COS(RADIANS(INDEX('Dataset_Wisata'!$C$12:$C$622, MATCH('Dashboard'!$C$9, 'Dataset_Wisata'!$A$12:$A$622, 0)))) * COS(RADIANS(C226)) * SIN(RADIANS((D226) - INDEX('Dataset_Wisata'!$D$12:$D$622, MATCH('Dashboard'!$C$9, 'Dataset_Wisata'!$A$12:$A$622, 0)))/2)^2)) * 1.3</f>
        <v/>
      </c>
      <c r="J226" s="21">
        <f>ROUND(I226 * IF('Dashboard'!$C$6&lt;=1, 2250, IF('Dashboard'!$C$6&lt;=4, 5150, 6000)), 0)</f>
        <v/>
      </c>
      <c r="K226" s="30" t="n">
        <v>0.007752288128854717</v>
      </c>
      <c r="L226" s="30" t="n">
        <v>0.009713665556079575</v>
      </c>
      <c r="M226" s="30" t="n">
        <v>0.01388321541561648</v>
      </c>
      <c r="N226" s="31">
        <f>ABS(E226-$F$6)</f>
        <v/>
      </c>
      <c r="O226" s="31">
        <f>ABS(E226-$F$7)</f>
        <v/>
      </c>
      <c r="P226" s="31">
        <f>ABS(E226-$F$8)</f>
        <v/>
      </c>
      <c r="Q226" s="14">
        <f>IF(K226&gt;=MAX(L226,M226), "Hemat", IF(L226&gt;=M226, "Balanced", "Premium"))</f>
        <v/>
      </c>
      <c r="R226" s="30" t="n">
        <v>0.007752291315479769</v>
      </c>
      <c r="S226" s="30" t="n">
        <v>0.009713680363528251</v>
      </c>
      <c r="T226" s="30" t="n">
        <v>0.01388327052243321</v>
      </c>
      <c r="U226" s="31">
        <f>ABS(E226-$G$6)</f>
        <v/>
      </c>
      <c r="V226" s="31">
        <f>ABS(E226-$G$7)</f>
        <v/>
      </c>
      <c r="W226" s="31">
        <f>ABS(E226-$G$8)</f>
        <v/>
      </c>
      <c r="X226" s="14">
        <f>IF(R226&gt;=MAX(S226,T226), "Hemat", IF(S226&gt;=T226, "Balanced", "Premium"))</f>
        <v/>
      </c>
    </row>
    <row r="227">
      <c r="A227" s="14" t="n">
        <v>216</v>
      </c>
      <c r="B227" s="7" t="inlineStr">
        <is>
          <t>RedDoorz Plus near Brawijaya Museum</t>
        </is>
      </c>
      <c r="C227" s="26" t="n">
        <v>-7.9728937</v>
      </c>
      <c r="D227" s="26" t="n">
        <v>112.6179994</v>
      </c>
      <c r="E227" s="21" t="n">
        <v>313066</v>
      </c>
      <c r="F227" s="27" t="n">
        <v>0</v>
      </c>
      <c r="G227" s="28" t="n">
        <v>0</v>
      </c>
      <c r="H227" s="14" t="inlineStr">
        <is>
          <t>N/A</t>
        </is>
      </c>
      <c r="I227" s="29">
        <f>6371 * 2 * ASIN(SQRT(SIN(RADIANS((C227) - INDEX('Dataset_Wisata'!$C$12:$C$622, MATCH('Dashboard'!$C$9, 'Dataset_Wisata'!$A$12:$A$622, 0)))/2)^2 + COS(RADIANS(INDEX('Dataset_Wisata'!$C$12:$C$622, MATCH('Dashboard'!$C$9, 'Dataset_Wisata'!$A$12:$A$622, 0)))) * COS(RADIANS(C227)) * SIN(RADIANS((D227) - INDEX('Dataset_Wisata'!$D$12:$D$622, MATCH('Dashboard'!$C$9, 'Dataset_Wisata'!$A$12:$A$622, 0)))/2)^2)) * 1.3</f>
        <v/>
      </c>
      <c r="J227" s="21">
        <f>ROUND(I227 * IF('Dashboard'!$C$6&lt;=1, 2250, IF('Dashboard'!$C$6&lt;=4, 5150, 6000)), 0)</f>
        <v/>
      </c>
      <c r="K227" s="30" t="n">
        <v>0.0801639404979181</v>
      </c>
      <c r="L227" s="30" t="n">
        <v>0.6236436516799648</v>
      </c>
      <c r="M227" s="30" t="n">
        <v>0.2961924078221171</v>
      </c>
      <c r="N227" s="31">
        <f>ABS(E227-$F$6)</f>
        <v/>
      </c>
      <c r="O227" s="31">
        <f>ABS(E227-$F$7)</f>
        <v/>
      </c>
      <c r="P227" s="31">
        <f>ABS(E227-$F$8)</f>
        <v/>
      </c>
      <c r="Q227" s="14">
        <f>IF(K227&gt;=MAX(L227,M227), "Hemat", IF(L227&gt;=M227, "Balanced", "Premium"))</f>
        <v/>
      </c>
      <c r="R227" s="30" t="n">
        <v>0.08016379482844334</v>
      </c>
      <c r="S227" s="30" t="n">
        <v>0.623655225117297</v>
      </c>
      <c r="T227" s="30" t="n">
        <v>0.2961809800542596</v>
      </c>
      <c r="U227" s="31">
        <f>ABS(E227-$G$6)</f>
        <v/>
      </c>
      <c r="V227" s="31">
        <f>ABS(E227-$G$7)</f>
        <v/>
      </c>
      <c r="W227" s="31">
        <f>ABS(E227-$G$8)</f>
        <v/>
      </c>
      <c r="X227" s="14">
        <f>IF(R227&gt;=MAX(S227,T227), "Hemat", IF(S227&gt;=T227, "Balanced", "Premium"))</f>
        <v/>
      </c>
    </row>
    <row r="228">
      <c r="A228" s="14" t="n">
        <v>217</v>
      </c>
      <c r="B228" s="7" t="inlineStr">
        <is>
          <t>GUEST HOUSE DE AZKA STYLE SYARIAH</t>
        </is>
      </c>
      <c r="C228" s="26" t="n">
        <v>-7.9111819</v>
      </c>
      <c r="D228" s="26" t="n">
        <v>112.625114</v>
      </c>
      <c r="E228" s="21" t="n">
        <v>157523</v>
      </c>
      <c r="F228" s="27" t="n">
        <v>0</v>
      </c>
      <c r="G228" s="28" t="n">
        <v>0</v>
      </c>
      <c r="H228" s="14" t="inlineStr">
        <is>
          <t>N/A</t>
        </is>
      </c>
      <c r="I228" s="29">
        <f>6371 * 2 * ASIN(SQRT(SIN(RADIANS((C228) - INDEX('Dataset_Wisata'!$C$12:$C$622, MATCH('Dashboard'!$C$9, 'Dataset_Wisata'!$A$12:$A$622, 0)))/2)^2 + COS(RADIANS(INDEX('Dataset_Wisata'!$C$12:$C$622, MATCH('Dashboard'!$C$9, 'Dataset_Wisata'!$A$12:$A$622, 0)))) * COS(RADIANS(C228)) * SIN(RADIANS((D228) - INDEX('Dataset_Wisata'!$D$12:$D$622, MATCH('Dashboard'!$C$9, 'Dataset_Wisata'!$A$12:$A$622, 0)))/2)^2)) * 1.3</f>
        <v/>
      </c>
      <c r="J228" s="21">
        <f>ROUND(I228 * IF('Dashboard'!$C$6&lt;=1, 2250, IF('Dashboard'!$C$6&lt;=4, 5150, 6000)), 0)</f>
        <v/>
      </c>
      <c r="K228" s="30" t="n">
        <v>0.8615388445831299</v>
      </c>
      <c r="L228" s="30" t="n">
        <v>0.1236456487197091</v>
      </c>
      <c r="M228" s="30" t="n">
        <v>0.01481550669716102</v>
      </c>
      <c r="N228" s="31">
        <f>ABS(E228-$F$6)</f>
        <v/>
      </c>
      <c r="O228" s="31">
        <f>ABS(E228-$F$7)</f>
        <v/>
      </c>
      <c r="P228" s="31">
        <f>ABS(E228-$F$8)</f>
        <v/>
      </c>
      <c r="Q228" s="14">
        <f>IF(K228&gt;=MAX(L228,M228), "Hemat", IF(L228&gt;=M228, "Balanced", "Premium"))</f>
        <v/>
      </c>
      <c r="R228" s="30" t="n">
        <v>0.8615425630472459</v>
      </c>
      <c r="S228" s="30" t="n">
        <v>0.1236422708173755</v>
      </c>
      <c r="T228" s="30" t="n">
        <v>0.01481516613537866</v>
      </c>
      <c r="U228" s="31">
        <f>ABS(E228-$G$6)</f>
        <v/>
      </c>
      <c r="V228" s="31">
        <f>ABS(E228-$G$7)</f>
        <v/>
      </c>
      <c r="W228" s="31">
        <f>ABS(E228-$G$8)</f>
        <v/>
      </c>
      <c r="X228" s="14">
        <f>IF(R228&gt;=MAX(S228,T228), "Hemat", IF(S228&gt;=T228, "Balanced", "Premium"))</f>
        <v/>
      </c>
    </row>
    <row r="229">
      <c r="A229" s="14" t="n">
        <v>218</v>
      </c>
      <c r="B229" s="7" t="inlineStr">
        <is>
          <t>Villa WoPi</t>
        </is>
      </c>
      <c r="C229" s="26" t="n">
        <v>-7.9353348</v>
      </c>
      <c r="D229" s="26" t="n">
        <v>112.5634104</v>
      </c>
      <c r="E229" s="21" t="n">
        <v>65291</v>
      </c>
      <c r="F229" s="27" t="n">
        <v>0</v>
      </c>
      <c r="G229" s="28" t="n">
        <v>0</v>
      </c>
      <c r="H229" s="14" t="inlineStr">
        <is>
          <t>N/A</t>
        </is>
      </c>
      <c r="I229" s="29">
        <f>6371 * 2 * ASIN(SQRT(SIN(RADIANS((C229) - INDEX('Dataset_Wisata'!$C$12:$C$622, MATCH('Dashboard'!$C$9, 'Dataset_Wisata'!$A$12:$A$622, 0)))/2)^2 + COS(RADIANS(INDEX('Dataset_Wisata'!$C$12:$C$622, MATCH('Dashboard'!$C$9, 'Dataset_Wisata'!$A$12:$A$622, 0)))) * COS(RADIANS(C229)) * SIN(RADIANS((D229) - INDEX('Dataset_Wisata'!$D$12:$D$622, MATCH('Dashboard'!$C$9, 'Dataset_Wisata'!$A$12:$A$622, 0)))/2)^2)) * 1.3</f>
        <v/>
      </c>
      <c r="J229" s="21">
        <f>ROUND(I229 * IF('Dashboard'!$C$6&lt;=1, 2250, IF('Dashboard'!$C$6&lt;=4, 5150, 6000)), 0)</f>
        <v/>
      </c>
      <c r="K229" s="30" t="n">
        <v>0.8801231831705832</v>
      </c>
      <c r="L229" s="30" t="n">
        <v>0.0943272248334709</v>
      </c>
      <c r="M229" s="30" t="n">
        <v>0.02554959199594578</v>
      </c>
      <c r="N229" s="31">
        <f>ABS(E229-$F$6)</f>
        <v/>
      </c>
      <c r="O229" s="31">
        <f>ABS(E229-$F$7)</f>
        <v/>
      </c>
      <c r="P229" s="31">
        <f>ABS(E229-$F$8)</f>
        <v/>
      </c>
      <c r="Q229" s="14">
        <f>IF(K229&gt;=MAX(L229,M229), "Hemat", IF(L229&gt;=M229, "Balanced", "Premium"))</f>
        <v/>
      </c>
      <c r="R229" s="30" t="n">
        <v>0.8801232796398667</v>
      </c>
      <c r="S229" s="30" t="n">
        <v>0.09432717198413584</v>
      </c>
      <c r="T229" s="30" t="n">
        <v>0.02554954837599754</v>
      </c>
      <c r="U229" s="31">
        <f>ABS(E229-$G$6)</f>
        <v/>
      </c>
      <c r="V229" s="31">
        <f>ABS(E229-$G$7)</f>
        <v/>
      </c>
      <c r="W229" s="31">
        <f>ABS(E229-$G$8)</f>
        <v/>
      </c>
      <c r="X229" s="14">
        <f>IF(R229&gt;=MAX(S229,T229), "Hemat", IF(S229&gt;=T229, "Balanced", "Premium"))</f>
        <v/>
      </c>
    </row>
    <row r="230">
      <c r="A230" s="14" t="n">
        <v>219</v>
      </c>
      <c r="B230" s="7" t="inlineStr">
        <is>
          <t>Kapal Garden Hotel</t>
        </is>
      </c>
      <c r="C230" s="26" t="n">
        <v>-7.9151203</v>
      </c>
      <c r="D230" s="26" t="n">
        <v>112.5870178</v>
      </c>
      <c r="E230" s="21" t="n">
        <v>581554</v>
      </c>
      <c r="F230" s="27" t="n">
        <v>0</v>
      </c>
      <c r="G230" s="28" t="n">
        <v>0</v>
      </c>
      <c r="H230" s="14" t="inlineStr">
        <is>
          <t>N/A</t>
        </is>
      </c>
      <c r="I230" s="29">
        <f>6371 * 2 * ASIN(SQRT(SIN(RADIANS((C230) - INDEX('Dataset_Wisata'!$C$12:$C$622, MATCH('Dashboard'!$C$9, 'Dataset_Wisata'!$A$12:$A$622, 0)))/2)^2 + COS(RADIANS(INDEX('Dataset_Wisata'!$C$12:$C$622, MATCH('Dashboard'!$C$9, 'Dataset_Wisata'!$A$12:$A$622, 0)))) * COS(RADIANS(C230)) * SIN(RADIANS((D230) - INDEX('Dataset_Wisata'!$D$12:$D$622, MATCH('Dashboard'!$C$9, 'Dataset_Wisata'!$A$12:$A$622, 0)))/2)^2)) * 1.3</f>
        <v/>
      </c>
      <c r="J230" s="21">
        <f>ROUND(I230 * IF('Dashboard'!$C$6&lt;=1, 2250, IF('Dashboard'!$C$6&lt;=4, 5150, 6000)), 0)</f>
        <v/>
      </c>
      <c r="K230" s="30" t="n">
        <v>0.04781658621475401</v>
      </c>
      <c r="L230" s="30" t="n">
        <v>0.08847926936134133</v>
      </c>
      <c r="M230" s="30" t="n">
        <v>0.3449830109616192</v>
      </c>
      <c r="N230" s="31">
        <f>ABS(E230-$F$6)</f>
        <v/>
      </c>
      <c r="O230" s="31">
        <f>ABS(E230-$F$7)</f>
        <v/>
      </c>
      <c r="P230" s="31">
        <f>ABS(E230-$F$8)</f>
        <v/>
      </c>
      <c r="Q230" s="14">
        <f>IF(K230&gt;=MAX(L230,M230), "Hemat", IF(L230&gt;=M230, "Balanced", "Premium"))</f>
        <v/>
      </c>
      <c r="R230" s="30" t="n">
        <v>0.04781663502985103</v>
      </c>
      <c r="S230" s="30" t="n">
        <v>0.088479676431072</v>
      </c>
      <c r="T230" s="30" t="n">
        <v>0.3449898370506051</v>
      </c>
      <c r="U230" s="31">
        <f>ABS(E230-$G$6)</f>
        <v/>
      </c>
      <c r="V230" s="31">
        <f>ABS(E230-$G$7)</f>
        <v/>
      </c>
      <c r="W230" s="31">
        <f>ABS(E230-$G$8)</f>
        <v/>
      </c>
      <c r="X230" s="14">
        <f>IF(R230&gt;=MAX(S230,T230), "Hemat", IF(S230&gt;=T230, "Balanced", "Premium"))</f>
        <v/>
      </c>
    </row>
    <row r="231">
      <c r="A231" s="14" t="n">
        <v>220</v>
      </c>
      <c r="B231" s="7" t="inlineStr">
        <is>
          <t>Riuma Resort | Hotel Malang | Penginapan Malang</t>
        </is>
      </c>
      <c r="C231" s="26" t="n">
        <v>-7.8928156</v>
      </c>
      <c r="D231" s="26" t="n">
        <v>112.6022678</v>
      </c>
      <c r="E231" s="21" t="n">
        <v>300000</v>
      </c>
      <c r="F231" s="27" t="n">
        <v>0</v>
      </c>
      <c r="G231" s="28" t="n">
        <v>0</v>
      </c>
      <c r="H231" s="14" t="inlineStr">
        <is>
          <t>N/A</t>
        </is>
      </c>
      <c r="I231" s="29">
        <f>6371 * 2 * ASIN(SQRT(SIN(RADIANS((C231) - INDEX('Dataset_Wisata'!$C$12:$C$622, MATCH('Dashboard'!$C$9, 'Dataset_Wisata'!$A$12:$A$622, 0)))/2)^2 + COS(RADIANS(INDEX('Dataset_Wisata'!$C$12:$C$622, MATCH('Dashboard'!$C$9, 'Dataset_Wisata'!$A$12:$A$622, 0)))) * COS(RADIANS(C231)) * SIN(RADIANS((D231) - INDEX('Dataset_Wisata'!$D$12:$D$622, MATCH('Dashboard'!$C$9, 'Dataset_Wisata'!$A$12:$A$622, 0)))/2)^2)) * 1.3</f>
        <v/>
      </c>
      <c r="J231" s="21">
        <f>ROUND(I231 * IF('Dashboard'!$C$6&lt;=1, 2250, IF('Dashboard'!$C$6&lt;=4, 5150, 6000)), 0)</f>
        <v/>
      </c>
      <c r="K231" s="30" t="n">
        <v>0.07223626084271963</v>
      </c>
      <c r="L231" s="30" t="n">
        <v>0.7476291821940408</v>
      </c>
      <c r="M231" s="30" t="n">
        <v>0.1801345569632395</v>
      </c>
      <c r="N231" s="31">
        <f>ABS(E231-$F$6)</f>
        <v/>
      </c>
      <c r="O231" s="31">
        <f>ABS(E231-$F$7)</f>
        <v/>
      </c>
      <c r="P231" s="31">
        <f>ABS(E231-$F$8)</f>
        <v/>
      </c>
      <c r="Q231" s="14">
        <f>IF(K231&gt;=MAX(L231,M231), "Hemat", IF(L231&gt;=M231, "Balanced", "Premium"))</f>
        <v/>
      </c>
      <c r="R231" s="30" t="n">
        <v>0.07223530370768798</v>
      </c>
      <c r="S231" s="30" t="n">
        <v>0.7476384566573707</v>
      </c>
      <c r="T231" s="30" t="n">
        <v>0.1801262396349412</v>
      </c>
      <c r="U231" s="31">
        <f>ABS(E231-$G$6)</f>
        <v/>
      </c>
      <c r="V231" s="31">
        <f>ABS(E231-$G$7)</f>
        <v/>
      </c>
      <c r="W231" s="31">
        <f>ABS(E231-$G$8)</f>
        <v/>
      </c>
      <c r="X231" s="14">
        <f>IF(R231&gt;=MAX(S231,T231), "Hemat", IF(S231&gt;=T231, "Balanced", "Premium"))</f>
        <v/>
      </c>
    </row>
    <row r="232">
      <c r="A232" s="14" t="n">
        <v>221</v>
      </c>
      <c r="B232" s="7" t="inlineStr">
        <is>
          <t>RedDoorz near Jawa Timur Park 3</t>
        </is>
      </c>
      <c r="C232" s="26" t="n">
        <v>-7.904144</v>
      </c>
      <c r="D232" s="26" t="n">
        <v>112.5657147</v>
      </c>
      <c r="E232" s="21" t="n">
        <v>280696</v>
      </c>
      <c r="F232" s="27" t="n">
        <v>0</v>
      </c>
      <c r="G232" s="28" t="n">
        <v>0</v>
      </c>
      <c r="H232" s="14" t="inlineStr">
        <is>
          <t>N/A</t>
        </is>
      </c>
      <c r="I232" s="29">
        <f>6371 * 2 * ASIN(SQRT(SIN(RADIANS((C232) - INDEX('Dataset_Wisata'!$C$12:$C$622, MATCH('Dashboard'!$C$9, 'Dataset_Wisata'!$A$12:$A$622, 0)))/2)^2 + COS(RADIANS(INDEX('Dataset_Wisata'!$C$12:$C$622, MATCH('Dashboard'!$C$9, 'Dataset_Wisata'!$A$12:$A$622, 0)))) * COS(RADIANS(C232)) * SIN(RADIANS((D232) - INDEX('Dataset_Wisata'!$D$12:$D$622, MATCH('Dashboard'!$C$9, 'Dataset_Wisata'!$A$12:$A$622, 0)))/2)^2)) * 1.3</f>
        <v/>
      </c>
      <c r="J232" s="21">
        <f>ROUND(I232 * IF('Dashboard'!$C$6&lt;=1, 2250, IF('Dashboard'!$C$6&lt;=4, 5150, 6000)), 0)</f>
        <v/>
      </c>
      <c r="K232" s="30" t="n">
        <v>0.04535668981470225</v>
      </c>
      <c r="L232" s="30" t="n">
        <v>0.8895553435566131</v>
      </c>
      <c r="M232" s="30" t="n">
        <v>0.06508796662868466</v>
      </c>
      <c r="N232" s="31">
        <f>ABS(E232-$F$6)</f>
        <v/>
      </c>
      <c r="O232" s="31">
        <f>ABS(E232-$F$7)</f>
        <v/>
      </c>
      <c r="P232" s="31">
        <f>ABS(E232-$F$8)</f>
        <v/>
      </c>
      <c r="Q232" s="14">
        <f>IF(K232&gt;=MAX(L232,M232), "Hemat", IF(L232&gt;=M232, "Balanced", "Premium"))</f>
        <v/>
      </c>
      <c r="R232" s="30" t="n">
        <v>0.04535512870873851</v>
      </c>
      <c r="S232" s="30" t="n">
        <v>0.8895610178853035</v>
      </c>
      <c r="T232" s="30" t="n">
        <v>0.06508385340595803</v>
      </c>
      <c r="U232" s="31">
        <f>ABS(E232-$G$6)</f>
        <v/>
      </c>
      <c r="V232" s="31">
        <f>ABS(E232-$G$7)</f>
        <v/>
      </c>
      <c r="W232" s="31">
        <f>ABS(E232-$G$8)</f>
        <v/>
      </c>
      <c r="X232" s="14">
        <f>IF(R232&gt;=MAX(S232,T232), "Hemat", IF(S232&gt;=T232, "Balanced", "Premium"))</f>
        <v/>
      </c>
    </row>
    <row r="233">
      <c r="A233" s="14" t="n">
        <v>222</v>
      </c>
      <c r="B233" s="7" t="inlineStr">
        <is>
          <t>OYO 3909 ARG Guest House Syariah</t>
        </is>
      </c>
      <c r="C233" s="26" t="n">
        <v>-7.9120303</v>
      </c>
      <c r="D233" s="26" t="n">
        <v>112.5858641</v>
      </c>
      <c r="E233" s="21" t="n">
        <v>150000</v>
      </c>
      <c r="F233" s="27" t="n">
        <v>0</v>
      </c>
      <c r="G233" s="28" t="n">
        <v>0</v>
      </c>
      <c r="H233" s="14" t="inlineStr">
        <is>
          <t>N/A</t>
        </is>
      </c>
      <c r="I233" s="29">
        <f>6371 * 2 * ASIN(SQRT(SIN(RADIANS((C233) - INDEX('Dataset_Wisata'!$C$12:$C$622, MATCH('Dashboard'!$C$9, 'Dataset_Wisata'!$A$12:$A$622, 0)))/2)^2 + COS(RADIANS(INDEX('Dataset_Wisata'!$C$12:$C$622, MATCH('Dashboard'!$C$9, 'Dataset_Wisata'!$A$12:$A$622, 0)))) * COS(RADIANS(C233)) * SIN(RADIANS((D233) - INDEX('Dataset_Wisata'!$D$12:$D$622, MATCH('Dashboard'!$C$9, 'Dataset_Wisata'!$A$12:$A$622, 0)))/2)^2)) * 1.3</f>
        <v/>
      </c>
      <c r="J233" s="21">
        <f>ROUND(I233 * IF('Dashboard'!$C$6&lt;=1, 2250, IF('Dashboard'!$C$6&lt;=4, 5150, 6000)), 0)</f>
        <v/>
      </c>
      <c r="K233" s="30" t="n">
        <v>0.9236568385235482</v>
      </c>
      <c r="L233" s="30" t="n">
        <v>0.06736899151285153</v>
      </c>
      <c r="M233" s="30" t="n">
        <v>0.008974169963600275</v>
      </c>
      <c r="N233" s="31">
        <f>ABS(E233-$F$6)</f>
        <v/>
      </c>
      <c r="O233" s="31">
        <f>ABS(E233-$F$7)</f>
        <v/>
      </c>
      <c r="P233" s="31">
        <f>ABS(E233-$F$8)</f>
        <v/>
      </c>
      <c r="Q233" s="14">
        <f>IF(K233&gt;=MAX(L233,M233), "Hemat", IF(L233&gt;=M233, "Balanced", "Premium"))</f>
        <v/>
      </c>
      <c r="R233" s="30" t="n">
        <v>0.9236592327110943</v>
      </c>
      <c r="S233" s="30" t="n">
        <v>0.0673668524262508</v>
      </c>
      <c r="T233" s="30" t="n">
        <v>0.008973914862654904</v>
      </c>
      <c r="U233" s="31">
        <f>ABS(E233-$G$6)</f>
        <v/>
      </c>
      <c r="V233" s="31">
        <f>ABS(E233-$G$7)</f>
        <v/>
      </c>
      <c r="W233" s="31">
        <f>ABS(E233-$G$8)</f>
        <v/>
      </c>
      <c r="X233" s="14">
        <f>IF(R233&gt;=MAX(S233,T233), "Hemat", IF(S233&gt;=T233, "Balanced", "Premium"))</f>
        <v/>
      </c>
    </row>
    <row r="234">
      <c r="A234" s="14" t="n">
        <v>223</v>
      </c>
      <c r="B234" s="7" t="inlineStr">
        <is>
          <t>MHS Inn Syariah</t>
        </is>
      </c>
      <c r="C234" s="26" t="n">
        <v>-7.9375284</v>
      </c>
      <c r="D234" s="26" t="n">
        <v>112.6021479</v>
      </c>
      <c r="E234" s="21" t="n">
        <v>150000</v>
      </c>
      <c r="F234" s="27" t="n">
        <v>0</v>
      </c>
      <c r="G234" s="28" t="n">
        <v>0</v>
      </c>
      <c r="H234" s="14" t="inlineStr">
        <is>
          <t>N/A</t>
        </is>
      </c>
      <c r="I234" s="29">
        <f>6371 * 2 * ASIN(SQRT(SIN(RADIANS((C234) - INDEX('Dataset_Wisata'!$C$12:$C$622, MATCH('Dashboard'!$C$9, 'Dataset_Wisata'!$A$12:$A$622, 0)))/2)^2 + COS(RADIANS(INDEX('Dataset_Wisata'!$C$12:$C$622, MATCH('Dashboard'!$C$9, 'Dataset_Wisata'!$A$12:$A$622, 0)))) * COS(RADIANS(C234)) * SIN(RADIANS((D234) - INDEX('Dataset_Wisata'!$D$12:$D$622, MATCH('Dashboard'!$C$9, 'Dataset_Wisata'!$A$12:$A$622, 0)))/2)^2)) * 1.3</f>
        <v/>
      </c>
      <c r="J234" s="21">
        <f>ROUND(I234 * IF('Dashboard'!$C$6&lt;=1, 2250, IF('Dashboard'!$C$6&lt;=4, 5150, 6000)), 0)</f>
        <v/>
      </c>
      <c r="K234" s="30" t="n">
        <v>0.9236568385235482</v>
      </c>
      <c r="L234" s="30" t="n">
        <v>0.06736899151285153</v>
      </c>
      <c r="M234" s="30" t="n">
        <v>0.008974169963600275</v>
      </c>
      <c r="N234" s="31">
        <f>ABS(E234-$F$6)</f>
        <v/>
      </c>
      <c r="O234" s="31">
        <f>ABS(E234-$F$7)</f>
        <v/>
      </c>
      <c r="P234" s="31">
        <f>ABS(E234-$F$8)</f>
        <v/>
      </c>
      <c r="Q234" s="14">
        <f>IF(K234&gt;=MAX(L234,M234), "Hemat", IF(L234&gt;=M234, "Balanced", "Premium"))</f>
        <v/>
      </c>
      <c r="R234" s="30" t="n">
        <v>0.9236592327110943</v>
      </c>
      <c r="S234" s="30" t="n">
        <v>0.0673668524262508</v>
      </c>
      <c r="T234" s="30" t="n">
        <v>0.008973914862654904</v>
      </c>
      <c r="U234" s="31">
        <f>ABS(E234-$G$6)</f>
        <v/>
      </c>
      <c r="V234" s="31">
        <f>ABS(E234-$G$7)</f>
        <v/>
      </c>
      <c r="W234" s="31">
        <f>ABS(E234-$G$8)</f>
        <v/>
      </c>
      <c r="X234" s="14">
        <f>IF(R234&gt;=MAX(S234,T234), "Hemat", IF(S234&gt;=T234, "Balanced", "Premium"))</f>
        <v/>
      </c>
    </row>
    <row r="235">
      <c r="A235" s="14" t="n">
        <v>224</v>
      </c>
      <c r="B235" s="7" t="inlineStr">
        <is>
          <t>Putri Utari Guest House</t>
        </is>
      </c>
      <c r="C235" s="26" t="n">
        <v>-7.9165867</v>
      </c>
      <c r="D235" s="26" t="n">
        <v>112.5874814</v>
      </c>
      <c r="E235" s="21" t="n">
        <v>99347</v>
      </c>
      <c r="F235" s="27" t="n">
        <v>0</v>
      </c>
      <c r="G235" s="28" t="n">
        <v>0</v>
      </c>
      <c r="H235" s="14" t="inlineStr">
        <is>
          <t>N/A</t>
        </is>
      </c>
      <c r="I235" s="29">
        <f>6371 * 2 * ASIN(SQRT(SIN(RADIANS((C235) - INDEX('Dataset_Wisata'!$C$12:$C$622, MATCH('Dashboard'!$C$9, 'Dataset_Wisata'!$A$12:$A$622, 0)))/2)^2 + COS(RADIANS(INDEX('Dataset_Wisata'!$C$12:$C$622, MATCH('Dashboard'!$C$9, 'Dataset_Wisata'!$A$12:$A$622, 0)))) * COS(RADIANS(C235)) * SIN(RADIANS((D235) - INDEX('Dataset_Wisata'!$D$12:$D$622, MATCH('Dashboard'!$C$9, 'Dataset_Wisata'!$A$12:$A$622, 0)))/2)^2)) * 1.3</f>
        <v/>
      </c>
      <c r="J235" s="21">
        <f>ROUND(I235 * IF('Dashboard'!$C$6&lt;=1, 2250, IF('Dashboard'!$C$6&lt;=4, 5150, 6000)), 0)</f>
        <v/>
      </c>
      <c r="K235" s="30" t="n">
        <v>0.9657722877172294</v>
      </c>
      <c r="L235" s="30" t="n">
        <v>0.02807602929154503</v>
      </c>
      <c r="M235" s="30" t="n">
        <v>0.006151682991225529</v>
      </c>
      <c r="N235" s="31">
        <f>ABS(E235-$F$6)</f>
        <v/>
      </c>
      <c r="O235" s="31">
        <f>ABS(E235-$F$7)</f>
        <v/>
      </c>
      <c r="P235" s="31">
        <f>ABS(E235-$F$8)</f>
        <v/>
      </c>
      <c r="Q235" s="14">
        <f>IF(K235&gt;=MAX(L235,M235), "Hemat", IF(L235&gt;=M235, "Balanced", "Premium"))</f>
        <v/>
      </c>
      <c r="R235" s="30" t="n">
        <v>0.9657720192283745</v>
      </c>
      <c r="S235" s="30" t="n">
        <v>0.02807625056838838</v>
      </c>
      <c r="T235" s="30" t="n">
        <v>0.006151730203236977</v>
      </c>
      <c r="U235" s="31">
        <f>ABS(E235-$G$6)</f>
        <v/>
      </c>
      <c r="V235" s="31">
        <f>ABS(E235-$G$7)</f>
        <v/>
      </c>
      <c r="W235" s="31">
        <f>ABS(E235-$G$8)</f>
        <v/>
      </c>
      <c r="X235" s="14">
        <f>IF(R235&gt;=MAX(S235,T235), "Hemat", IF(S235&gt;=T235, "Balanced", "Premium"))</f>
        <v/>
      </c>
    </row>
    <row r="236">
      <c r="A236" s="14" t="n">
        <v>225</v>
      </c>
      <c r="B236" s="7" t="inlineStr">
        <is>
          <t>Hotel Mentari</t>
        </is>
      </c>
      <c r="C236" s="26" t="n">
        <v>-7.903547</v>
      </c>
      <c r="D236" s="26" t="n">
        <v>112.5635475</v>
      </c>
      <c r="E236" s="21" t="n">
        <v>150000</v>
      </c>
      <c r="F236" s="27" t="n">
        <v>0</v>
      </c>
      <c r="G236" s="28" t="n">
        <v>0</v>
      </c>
      <c r="H236" s="14" t="inlineStr">
        <is>
          <t>N/A</t>
        </is>
      </c>
      <c r="I236" s="29">
        <f>6371 * 2 * ASIN(SQRT(SIN(RADIANS((C236) - INDEX('Dataset_Wisata'!$C$12:$C$622, MATCH('Dashboard'!$C$9, 'Dataset_Wisata'!$A$12:$A$622, 0)))/2)^2 + COS(RADIANS(INDEX('Dataset_Wisata'!$C$12:$C$622, MATCH('Dashboard'!$C$9, 'Dataset_Wisata'!$A$12:$A$622, 0)))) * COS(RADIANS(C236)) * SIN(RADIANS((D236) - INDEX('Dataset_Wisata'!$D$12:$D$622, MATCH('Dashboard'!$C$9, 'Dataset_Wisata'!$A$12:$A$622, 0)))/2)^2)) * 1.3</f>
        <v/>
      </c>
      <c r="J236" s="21">
        <f>ROUND(I236 * IF('Dashboard'!$C$6&lt;=1, 2250, IF('Dashboard'!$C$6&lt;=4, 5150, 6000)), 0)</f>
        <v/>
      </c>
      <c r="K236" s="30" t="n">
        <v>0.9236568385235482</v>
      </c>
      <c r="L236" s="30" t="n">
        <v>0.06736899151285153</v>
      </c>
      <c r="M236" s="30" t="n">
        <v>0.008974169963600275</v>
      </c>
      <c r="N236" s="31">
        <f>ABS(E236-$F$6)</f>
        <v/>
      </c>
      <c r="O236" s="31">
        <f>ABS(E236-$F$7)</f>
        <v/>
      </c>
      <c r="P236" s="31">
        <f>ABS(E236-$F$8)</f>
        <v/>
      </c>
      <c r="Q236" s="14">
        <f>IF(K236&gt;=MAX(L236,M236), "Hemat", IF(L236&gt;=M236, "Balanced", "Premium"))</f>
        <v/>
      </c>
      <c r="R236" s="30" t="n">
        <v>0.9236592327110943</v>
      </c>
      <c r="S236" s="30" t="n">
        <v>0.0673668524262508</v>
      </c>
      <c r="T236" s="30" t="n">
        <v>0.008973914862654904</v>
      </c>
      <c r="U236" s="31">
        <f>ABS(E236-$G$6)</f>
        <v/>
      </c>
      <c r="V236" s="31">
        <f>ABS(E236-$G$7)</f>
        <v/>
      </c>
      <c r="W236" s="31">
        <f>ABS(E236-$G$8)</f>
        <v/>
      </c>
      <c r="X236" s="14">
        <f>IF(R236&gt;=MAX(S236,T236), "Hemat", IF(S236&gt;=T236, "Balanced", "Premium"))</f>
        <v/>
      </c>
    </row>
    <row r="237">
      <c r="A237" s="14" t="n">
        <v>226</v>
      </c>
      <c r="B237" s="7" t="inlineStr">
        <is>
          <t>Briggs Inn Batu</t>
        </is>
      </c>
      <c r="C237" s="26" t="n">
        <v>-7.9010474</v>
      </c>
      <c r="D237" s="26" t="n">
        <v>112.5586311</v>
      </c>
      <c r="E237" s="21" t="n">
        <v>336125</v>
      </c>
      <c r="F237" s="27" t="n">
        <v>0</v>
      </c>
      <c r="G237" s="28" t="n">
        <v>0</v>
      </c>
      <c r="H237" s="14" t="inlineStr">
        <is>
          <t>N/A</t>
        </is>
      </c>
      <c r="I237" s="29">
        <f>6371 * 2 * ASIN(SQRT(SIN(RADIANS((C237) - INDEX('Dataset_Wisata'!$C$12:$C$622, MATCH('Dashboard'!$C$9, 'Dataset_Wisata'!$A$12:$A$622, 0)))/2)^2 + COS(RADIANS(INDEX('Dataset_Wisata'!$C$12:$C$622, MATCH('Dashboard'!$C$9, 'Dataset_Wisata'!$A$12:$A$622, 0)))) * COS(RADIANS(C237)) * SIN(RADIANS((D237) - INDEX('Dataset_Wisata'!$D$12:$D$622, MATCH('Dashboard'!$C$9, 'Dataset_Wisata'!$A$12:$A$622, 0)))/2)^2)) * 1.3</f>
        <v/>
      </c>
      <c r="J237" s="21">
        <f>ROUND(I237 * IF('Dashboard'!$C$6&lt;=1, 2250, IF('Dashboard'!$C$6&lt;=4, 5150, 6000)), 0)</f>
        <v/>
      </c>
      <c r="K237" s="30" t="n">
        <v>0.06947021025376426</v>
      </c>
      <c r="L237" s="30" t="n">
        <v>0.378638986463199</v>
      </c>
      <c r="M237" s="30" t="n">
        <v>0.5518908032830366</v>
      </c>
      <c r="N237" s="31">
        <f>ABS(E237-$F$6)</f>
        <v/>
      </c>
      <c r="O237" s="31">
        <f>ABS(E237-$F$7)</f>
        <v/>
      </c>
      <c r="P237" s="31">
        <f>ABS(E237-$F$8)</f>
        <v/>
      </c>
      <c r="Q237" s="14">
        <f>IF(K237&gt;=MAX(L237,M237), "Hemat", IF(L237&gt;=M237, "Balanced", "Premium"))</f>
        <v/>
      </c>
      <c r="R237" s="30" t="n">
        <v>0.06947162250181721</v>
      </c>
      <c r="S237" s="30" t="n">
        <v>0.3786523024904932</v>
      </c>
      <c r="T237" s="30" t="n">
        <v>0.5518760750076895</v>
      </c>
      <c r="U237" s="31">
        <f>ABS(E237-$G$6)</f>
        <v/>
      </c>
      <c r="V237" s="31">
        <f>ABS(E237-$G$7)</f>
        <v/>
      </c>
      <c r="W237" s="31">
        <f>ABS(E237-$G$8)</f>
        <v/>
      </c>
      <c r="X237" s="14">
        <f>IF(R237&gt;=MAX(S237,T237), "Hemat", IF(S237&gt;=T237, "Balanced", "Premium"))</f>
        <v/>
      </c>
    </row>
    <row r="238">
      <c r="A238" s="14" t="n">
        <v>227</v>
      </c>
      <c r="B238" s="7" t="inlineStr">
        <is>
          <t>Kalila Penginapan di Batu Malang (Dekat jatimpark 3, Alun alun batu, Kota Batu)</t>
        </is>
      </c>
      <c r="C238" s="26" t="n">
        <v>-7.8972126</v>
      </c>
      <c r="D238" s="26" t="n">
        <v>112.5498994</v>
      </c>
      <c r="E238" s="21" t="n">
        <v>147866</v>
      </c>
      <c r="F238" s="27" t="n">
        <v>0</v>
      </c>
      <c r="G238" s="28" t="n">
        <v>0</v>
      </c>
      <c r="H238" s="14" t="inlineStr">
        <is>
          <t>N/A</t>
        </is>
      </c>
      <c r="I238" s="29">
        <f>6371 * 2 * ASIN(SQRT(SIN(RADIANS((C238) - INDEX('Dataset_Wisata'!$C$12:$C$622, MATCH('Dashboard'!$C$9, 'Dataset_Wisata'!$A$12:$A$622, 0)))/2)^2 + COS(RADIANS(INDEX('Dataset_Wisata'!$C$12:$C$622, MATCH('Dashboard'!$C$9, 'Dataset_Wisata'!$A$12:$A$622, 0)))) * COS(RADIANS(C238)) * SIN(RADIANS((D238) - INDEX('Dataset_Wisata'!$D$12:$D$622, MATCH('Dashboard'!$C$9, 'Dataset_Wisata'!$A$12:$A$622, 0)))/2)^2)) * 1.3</f>
        <v/>
      </c>
      <c r="J238" s="21">
        <f>ROUND(I238 * IF('Dashboard'!$C$6&lt;=1, 2250, IF('Dashboard'!$C$6&lt;=4, 5150, 6000)), 0)</f>
        <v/>
      </c>
      <c r="K238" s="30" t="n">
        <v>0.937438925438232</v>
      </c>
      <c r="L238" s="30" t="n">
        <v>0.05502338398176984</v>
      </c>
      <c r="M238" s="30" t="n">
        <v>0.00753769057999809</v>
      </c>
      <c r="N238" s="31">
        <f>ABS(E238-$F$6)</f>
        <v/>
      </c>
      <c r="O238" s="31">
        <f>ABS(E238-$F$7)</f>
        <v/>
      </c>
      <c r="P238" s="31">
        <f>ABS(E238-$F$8)</f>
        <v/>
      </c>
      <c r="Q238" s="14">
        <f>IF(K238&gt;=MAX(L238,M238), "Hemat", IF(L238&gt;=M238, "Balanced", "Premium"))</f>
        <v/>
      </c>
      <c r="R238" s="30" t="n">
        <v>0.9374409930962437</v>
      </c>
      <c r="S238" s="30" t="n">
        <v>0.05502154505946751</v>
      </c>
      <c r="T238" s="30" t="n">
        <v>0.007537461844288849</v>
      </c>
      <c r="U238" s="31">
        <f>ABS(E238-$G$6)</f>
        <v/>
      </c>
      <c r="V238" s="31">
        <f>ABS(E238-$G$7)</f>
        <v/>
      </c>
      <c r="W238" s="31">
        <f>ABS(E238-$G$8)</f>
        <v/>
      </c>
      <c r="X238" s="14">
        <f>IF(R238&gt;=MAX(S238,T238), "Hemat", IF(S238&gt;=T238, "Balanced", "Premium"))</f>
        <v/>
      </c>
    </row>
    <row r="239">
      <c r="A239" s="14" t="n">
        <v>228</v>
      </c>
      <c r="B239" s="7" t="inlineStr">
        <is>
          <t>Senyum World Hotel</t>
        </is>
      </c>
      <c r="C239" s="26" t="n">
        <v>-7.896527</v>
      </c>
      <c r="D239" s="26" t="n">
        <v>112.5527418</v>
      </c>
      <c r="E239" s="21" t="n">
        <v>540000</v>
      </c>
      <c r="F239" s="27" t="n">
        <v>0</v>
      </c>
      <c r="G239" s="28" t="n">
        <v>0</v>
      </c>
      <c r="H239" s="14" t="inlineStr">
        <is>
          <t>N/A</t>
        </is>
      </c>
      <c r="I239" s="29">
        <f>6371 * 2 * ASIN(SQRT(SIN(RADIANS((C239) - INDEX('Dataset_Wisata'!$C$12:$C$622, MATCH('Dashboard'!$C$9, 'Dataset_Wisata'!$A$12:$A$622, 0)))/2)^2 + COS(RADIANS(INDEX('Dataset_Wisata'!$C$12:$C$622, MATCH('Dashboard'!$C$9, 'Dataset_Wisata'!$A$12:$A$622, 0)))) * COS(RADIANS(C239)) * SIN(RADIANS((D239) - INDEX('Dataset_Wisata'!$D$12:$D$622, MATCH('Dashboard'!$C$9, 'Dataset_Wisata'!$A$12:$A$622, 0)))/2)^2)) * 1.3</f>
        <v/>
      </c>
      <c r="J239" s="21">
        <f>ROUND(I239 * IF('Dashboard'!$C$6&lt;=1, 2250, IF('Dashboard'!$C$6&lt;=4, 5150, 6000)), 0)</f>
        <v/>
      </c>
      <c r="K239" s="30" t="n">
        <v>0.0578526036327788</v>
      </c>
      <c r="L239" s="30" t="n">
        <v>0.1151969702930572</v>
      </c>
      <c r="M239" s="30" t="n">
        <v>0.6037161516342512</v>
      </c>
      <c r="N239" s="31">
        <f>ABS(E239-$F$6)</f>
        <v/>
      </c>
      <c r="O239" s="31">
        <f>ABS(E239-$F$7)</f>
        <v/>
      </c>
      <c r="P239" s="31">
        <f>ABS(E239-$F$8)</f>
        <v/>
      </c>
      <c r="Q239" s="14">
        <f>IF(K239&gt;=MAX(L239,M239), "Hemat", IF(L239&gt;=M239, "Balanced", "Premium"))</f>
        <v/>
      </c>
      <c r="R239" s="30" t="n">
        <v>0.05785266859647139</v>
      </c>
      <c r="S239" s="30" t="n">
        <v>0.1151975750325279</v>
      </c>
      <c r="T239" s="30" t="n">
        <v>0.6037319541654488</v>
      </c>
      <c r="U239" s="31">
        <f>ABS(E239-$G$6)</f>
        <v/>
      </c>
      <c r="V239" s="31">
        <f>ABS(E239-$G$7)</f>
        <v/>
      </c>
      <c r="W239" s="31">
        <f>ABS(E239-$G$8)</f>
        <v/>
      </c>
      <c r="X239" s="14">
        <f>IF(R239&gt;=MAX(S239,T239), "Hemat", IF(S239&gt;=T239, "Balanced", "Premium"))</f>
        <v/>
      </c>
    </row>
    <row r="240">
      <c r="A240" s="14" t="n">
        <v>229</v>
      </c>
      <c r="B240" s="7" t="inlineStr">
        <is>
          <t>The Singhasari Resort</t>
        </is>
      </c>
      <c r="C240" s="26" t="n">
        <v>-7.893714</v>
      </c>
      <c r="D240" s="26" t="n">
        <v>112.549662</v>
      </c>
      <c r="E240" s="21" t="n">
        <v>1306898</v>
      </c>
      <c r="F240" s="27" t="n">
        <v>0</v>
      </c>
      <c r="G240" s="28" t="n">
        <v>0</v>
      </c>
      <c r="H240" s="14" t="inlineStr">
        <is>
          <t>N/A</t>
        </is>
      </c>
      <c r="I240" s="29">
        <f>6371 * 2 * ASIN(SQRT(SIN(RADIANS((C240) - INDEX('Dataset_Wisata'!$C$12:$C$622, MATCH('Dashboard'!$C$9, 'Dataset_Wisata'!$A$12:$A$622, 0)))/2)^2 + COS(RADIANS(INDEX('Dataset_Wisata'!$C$12:$C$622, MATCH('Dashboard'!$C$9, 'Dataset_Wisata'!$A$12:$A$622, 0)))) * COS(RADIANS(C240)) * SIN(RADIANS((D240) - INDEX('Dataset_Wisata'!$D$12:$D$622, MATCH('Dashboard'!$C$9, 'Dataset_Wisata'!$A$12:$A$622, 0)))/2)^2)) * 1.3</f>
        <v/>
      </c>
      <c r="J240" s="21">
        <f>ROUND(I240 * IF('Dashboard'!$C$6&lt;=1, 2250, IF('Dashboard'!$C$6&lt;=4, 5150, 6000)), 0)</f>
        <v/>
      </c>
      <c r="K240" s="30" t="n">
        <v>0.007149646605136235</v>
      </c>
      <c r="L240" s="30" t="n">
        <v>0.008874332587907627</v>
      </c>
      <c r="M240" s="30" t="n">
        <v>0.01246729732575867</v>
      </c>
      <c r="N240" s="31">
        <f>ABS(E240-$F$6)</f>
        <v/>
      </c>
      <c r="O240" s="31">
        <f>ABS(E240-$F$7)</f>
        <v/>
      </c>
      <c r="P240" s="31">
        <f>ABS(E240-$F$8)</f>
        <v/>
      </c>
      <c r="Q240" s="14">
        <f>IF(K240&gt;=MAX(L240,M240), "Hemat", IF(L240&gt;=M240, "Balanced", "Premium"))</f>
        <v/>
      </c>
      <c r="R240" s="30" t="n">
        <v>0.007149649427499858</v>
      </c>
      <c r="S240" s="30" t="n">
        <v>0.008874345518220864</v>
      </c>
      <c r="T240" s="30" t="n">
        <v>0.01246734422098526</v>
      </c>
      <c r="U240" s="31">
        <f>ABS(E240-$G$6)</f>
        <v/>
      </c>
      <c r="V240" s="31">
        <f>ABS(E240-$G$7)</f>
        <v/>
      </c>
      <c r="W240" s="31">
        <f>ABS(E240-$G$8)</f>
        <v/>
      </c>
      <c r="X240" s="14">
        <f>IF(R240&gt;=MAX(S240,T240), "Hemat", IF(S240&gt;=T240, "Balanced", "Premium"))</f>
        <v/>
      </c>
    </row>
    <row r="241">
      <c r="A241" s="14" t="n">
        <v>230</v>
      </c>
      <c r="B241" s="7" t="inlineStr">
        <is>
          <t>Azana BeSt Hotel Batu</t>
        </is>
      </c>
      <c r="C241" s="26" t="n">
        <v>-7.8899888</v>
      </c>
      <c r="D241" s="26" t="n">
        <v>112.5525116</v>
      </c>
      <c r="E241" s="21" t="n">
        <v>318644</v>
      </c>
      <c r="F241" s="27" t="n">
        <v>0</v>
      </c>
      <c r="G241" s="28" t="n">
        <v>0</v>
      </c>
      <c r="H241" s="14" t="inlineStr">
        <is>
          <t>N/A</t>
        </is>
      </c>
      <c r="I241" s="29">
        <f>6371 * 2 * ASIN(SQRT(SIN(RADIANS((C241) - INDEX('Dataset_Wisata'!$C$12:$C$622, MATCH('Dashboard'!$C$9, 'Dataset_Wisata'!$A$12:$A$622, 0)))/2)^2 + COS(RADIANS(INDEX('Dataset_Wisata'!$C$12:$C$622, MATCH('Dashboard'!$C$9, 'Dataset_Wisata'!$A$12:$A$622, 0)))) * COS(RADIANS(C241)) * SIN(RADIANS((D241) - INDEX('Dataset_Wisata'!$D$12:$D$622, MATCH('Dashboard'!$C$9, 'Dataset_Wisata'!$A$12:$A$622, 0)))/2)^2)) * 1.3</f>
        <v/>
      </c>
      <c r="J241" s="21">
        <f>ROUND(I241 * IF('Dashboard'!$C$6&lt;=1, 2250, IF('Dashboard'!$C$6&lt;=4, 5150, 6000)), 0)</f>
        <v/>
      </c>
      <c r="K241" s="30" t="n">
        <v>0.0803827789032783</v>
      </c>
      <c r="L241" s="30" t="n">
        <v>0.56576447321745</v>
      </c>
      <c r="M241" s="30" t="n">
        <v>0.3538527478792717</v>
      </c>
      <c r="N241" s="31">
        <f>ABS(E241-$F$6)</f>
        <v/>
      </c>
      <c r="O241" s="31">
        <f>ABS(E241-$F$7)</f>
        <v/>
      </c>
      <c r="P241" s="31">
        <f>ABS(E241-$F$8)</f>
        <v/>
      </c>
      <c r="Q241" s="14">
        <f>IF(K241&gt;=MAX(L241,M241), "Hemat", IF(L241&gt;=M241, "Balanced", "Premium"))</f>
        <v/>
      </c>
      <c r="R241" s="30" t="n">
        <v>0.08038303060690963</v>
      </c>
      <c r="S241" s="30" t="n">
        <v>0.5657768283922214</v>
      </c>
      <c r="T241" s="30" t="n">
        <v>0.353840141000869</v>
      </c>
      <c r="U241" s="31">
        <f>ABS(E241-$G$6)</f>
        <v/>
      </c>
      <c r="V241" s="31">
        <f>ABS(E241-$G$7)</f>
        <v/>
      </c>
      <c r="W241" s="31">
        <f>ABS(E241-$G$8)</f>
        <v/>
      </c>
      <c r="X241" s="14">
        <f>IF(R241&gt;=MAX(S241,T241), "Hemat", IF(S241&gt;=T241, "Balanced", "Premium"))</f>
        <v/>
      </c>
    </row>
    <row r="242">
      <c r="A242" s="14" t="n">
        <v>231</v>
      </c>
      <c r="B242" s="7" t="inlineStr">
        <is>
          <t>Rumasagara Homestay</t>
        </is>
      </c>
      <c r="C242" s="26" t="n">
        <v>-7.8954312</v>
      </c>
      <c r="D242" s="26" t="n">
        <v>112.558995</v>
      </c>
      <c r="E242" s="21" t="n">
        <v>238092</v>
      </c>
      <c r="F242" s="27" t="n">
        <v>0</v>
      </c>
      <c r="G242" s="28" t="n">
        <v>0</v>
      </c>
      <c r="H242" s="14" t="inlineStr">
        <is>
          <t>N/A</t>
        </is>
      </c>
      <c r="I242" s="29">
        <f>6371 * 2 * ASIN(SQRT(SIN(RADIANS((C242) - INDEX('Dataset_Wisata'!$C$12:$C$622, MATCH('Dashboard'!$C$9, 'Dataset_Wisata'!$A$12:$A$622, 0)))/2)^2 + COS(RADIANS(INDEX('Dataset_Wisata'!$C$12:$C$622, MATCH('Dashboard'!$C$9, 'Dataset_Wisata'!$A$12:$A$622, 0)))) * COS(RADIANS(C242)) * SIN(RADIANS((D242) - INDEX('Dataset_Wisata'!$D$12:$D$622, MATCH('Dashboard'!$C$9, 'Dataset_Wisata'!$A$12:$A$622, 0)))/2)^2)) * 1.3</f>
        <v/>
      </c>
      <c r="J242" s="21">
        <f>ROUND(I242 * IF('Dashboard'!$C$6&lt;=1, 2250, IF('Dashboard'!$C$6&lt;=4, 5150, 6000)), 0)</f>
        <v/>
      </c>
      <c r="K242" s="30" t="n">
        <v>0.004061039481945836</v>
      </c>
      <c r="L242" s="30" t="n">
        <v>0.994184434598273</v>
      </c>
      <c r="M242" s="30" t="n">
        <v>0.00175452591978115</v>
      </c>
      <c r="N242" s="31">
        <f>ABS(E242-$F$6)</f>
        <v/>
      </c>
      <c r="O242" s="31">
        <f>ABS(E242-$F$7)</f>
        <v/>
      </c>
      <c r="P242" s="31">
        <f>ABS(E242-$F$8)</f>
        <v/>
      </c>
      <c r="Q242" s="14">
        <f>IF(K242&gt;=MAX(L242,M242), "Hemat", IF(L242&gt;=M242, "Balanced", "Premium"))</f>
        <v/>
      </c>
      <c r="R242" s="30" t="n">
        <v>0.004061914474152646</v>
      </c>
      <c r="S242" s="30" t="n">
        <v>0.99418322290308</v>
      </c>
      <c r="T242" s="30" t="n">
        <v>0.00175486262276746</v>
      </c>
      <c r="U242" s="31">
        <f>ABS(E242-$G$6)</f>
        <v/>
      </c>
      <c r="V242" s="31">
        <f>ABS(E242-$G$7)</f>
        <v/>
      </c>
      <c r="W242" s="31">
        <f>ABS(E242-$G$8)</f>
        <v/>
      </c>
      <c r="X242" s="14">
        <f>IF(R242&gt;=MAX(S242,T242), "Hemat", IF(S242&gt;=T242, "Balanced", "Premium"))</f>
        <v/>
      </c>
    </row>
    <row r="243">
      <c r="A243" s="14" t="n">
        <v>232</v>
      </c>
      <c r="B243" s="7" t="inlineStr">
        <is>
          <t>Maniva Particael Resort</t>
        </is>
      </c>
      <c r="C243" s="26" t="n">
        <v>-7.8869642</v>
      </c>
      <c r="D243" s="26" t="n">
        <v>112.5448492</v>
      </c>
      <c r="E243" s="21" t="n">
        <v>600000</v>
      </c>
      <c r="F243" s="27" t="n">
        <v>0</v>
      </c>
      <c r="G243" s="28" t="n">
        <v>0</v>
      </c>
      <c r="H243" s="14" t="inlineStr">
        <is>
          <t>N/A</t>
        </is>
      </c>
      <c r="I243" s="29">
        <f>6371 * 2 * ASIN(SQRT(SIN(RADIANS((C243) - INDEX('Dataset_Wisata'!$C$12:$C$622, MATCH('Dashboard'!$C$9, 'Dataset_Wisata'!$A$12:$A$622, 0)))/2)^2 + COS(RADIANS(INDEX('Dataset_Wisata'!$C$12:$C$622, MATCH('Dashboard'!$C$9, 'Dataset_Wisata'!$A$12:$A$622, 0)))) * COS(RADIANS(C243)) * SIN(RADIANS((D243) - INDEX('Dataset_Wisata'!$D$12:$D$622, MATCH('Dashboard'!$C$9, 'Dataset_Wisata'!$A$12:$A$622, 0)))/2)^2)) * 1.3</f>
        <v/>
      </c>
      <c r="J243" s="21">
        <f>ROUND(I243 * IF('Dashboard'!$C$6&lt;=1, 2250, IF('Dashboard'!$C$6&lt;=4, 5150, 6000)), 0)</f>
        <v/>
      </c>
      <c r="K243" s="30" t="n">
        <v>0.04418058038771073</v>
      </c>
      <c r="L243" s="30" t="n">
        <v>0.07951423636953152</v>
      </c>
      <c r="M243" s="30" t="n">
        <v>0.2808337527717566</v>
      </c>
      <c r="N243" s="31">
        <f>ABS(E243-$F$6)</f>
        <v/>
      </c>
      <c r="O243" s="31">
        <f>ABS(E243-$F$7)</f>
        <v/>
      </c>
      <c r="P243" s="31">
        <f>ABS(E243-$F$8)</f>
        <v/>
      </c>
      <c r="Q243" s="14">
        <f>IF(K243&gt;=MAX(L243,M243), "Hemat", IF(L243&gt;=M243, "Balanced", "Premium"))</f>
        <v/>
      </c>
      <c r="R243" s="30" t="n">
        <v>0.04418062374213448</v>
      </c>
      <c r="S243" s="30" t="n">
        <v>0.07951458316529153</v>
      </c>
      <c r="T243" s="30" t="n">
        <v>0.2808387663605185</v>
      </c>
      <c r="U243" s="31">
        <f>ABS(E243-$G$6)</f>
        <v/>
      </c>
      <c r="V243" s="31">
        <f>ABS(E243-$G$7)</f>
        <v/>
      </c>
      <c r="W243" s="31">
        <f>ABS(E243-$G$8)</f>
        <v/>
      </c>
      <c r="X243" s="14">
        <f>IF(R243&gt;=MAX(S243,T243), "Hemat", IF(S243&gt;=T243, "Balanced", "Premium"))</f>
        <v/>
      </c>
    </row>
    <row r="244">
      <c r="A244" s="14" t="n">
        <v>233</v>
      </c>
      <c r="B244" s="7" t="inlineStr">
        <is>
          <t>Dedaunan Guest House</t>
        </is>
      </c>
      <c r="C244" s="26" t="n">
        <v>-7.9011425</v>
      </c>
      <c r="D244" s="26" t="n">
        <v>112.5574391</v>
      </c>
      <c r="E244" s="21" t="n">
        <v>309295</v>
      </c>
      <c r="F244" s="27" t="n">
        <v>0</v>
      </c>
      <c r="G244" s="28" t="n">
        <v>0</v>
      </c>
      <c r="H244" s="14" t="inlineStr">
        <is>
          <t>N/A</t>
        </is>
      </c>
      <c r="I244" s="29">
        <f>6371 * 2 * ASIN(SQRT(SIN(RADIANS((C244) - INDEX('Dataset_Wisata'!$C$12:$C$622, MATCH('Dashboard'!$C$9, 'Dataset_Wisata'!$A$12:$A$622, 0)))/2)^2 + COS(RADIANS(INDEX('Dataset_Wisata'!$C$12:$C$622, MATCH('Dashboard'!$C$9, 'Dataset_Wisata'!$A$12:$A$622, 0)))) * COS(RADIANS(C244)) * SIN(RADIANS((D244) - INDEX('Dataset_Wisata'!$D$12:$D$622, MATCH('Dashboard'!$C$9, 'Dataset_Wisata'!$A$12:$A$622, 0)))/2)^2)) * 1.3</f>
        <v/>
      </c>
      <c r="J244" s="21">
        <f>ROUND(I244 * IF('Dashboard'!$C$6&lt;=1, 2250, IF('Dashboard'!$C$6&lt;=4, 5150, 6000)), 0)</f>
        <v/>
      </c>
      <c r="K244" s="30" t="n">
        <v>0.0789222729977879</v>
      </c>
      <c r="L244" s="30" t="n">
        <v>0.6613296240154906</v>
      </c>
      <c r="M244" s="30" t="n">
        <v>0.2597481029867216</v>
      </c>
      <c r="N244" s="31">
        <f>ABS(E244-$F$6)</f>
        <v/>
      </c>
      <c r="O244" s="31">
        <f>ABS(E244-$F$7)</f>
        <v/>
      </c>
      <c r="P244" s="31">
        <f>ABS(E244-$F$8)</f>
        <v/>
      </c>
      <c r="Q244" s="14">
        <f>IF(K244&gt;=MAX(L244,M244), "Hemat", IF(L244&gt;=M244, "Balanced", "Premium"))</f>
        <v/>
      </c>
      <c r="R244" s="30" t="n">
        <v>0.07892187056783188</v>
      </c>
      <c r="S244" s="30" t="n">
        <v>0.6613405843459056</v>
      </c>
      <c r="T244" s="30" t="n">
        <v>0.2597375450862623</v>
      </c>
      <c r="U244" s="31">
        <f>ABS(E244-$G$6)</f>
        <v/>
      </c>
      <c r="V244" s="31">
        <f>ABS(E244-$G$7)</f>
        <v/>
      </c>
      <c r="W244" s="31">
        <f>ABS(E244-$G$8)</f>
        <v/>
      </c>
      <c r="X244" s="14">
        <f>IF(R244&gt;=MAX(S244,T244), "Hemat", IF(S244&gt;=T244, "Balanced", "Premium"))</f>
        <v/>
      </c>
    </row>
    <row r="245">
      <c r="A245" s="14" t="n">
        <v>234</v>
      </c>
      <c r="B245" s="7" t="inlineStr">
        <is>
          <t>SUGIH WARAS FAMILY HOMESTAY &amp; KOS HARIAN</t>
        </is>
      </c>
      <c r="C245" s="26" t="n">
        <v>-7.8919038</v>
      </c>
      <c r="D245" s="26" t="n">
        <v>112.5488272</v>
      </c>
      <c r="E245" s="21" t="n">
        <v>100000</v>
      </c>
      <c r="F245" s="27" t="n">
        <v>0</v>
      </c>
      <c r="G245" s="28" t="n">
        <v>0</v>
      </c>
      <c r="H245" s="14" t="inlineStr">
        <is>
          <t>N/A</t>
        </is>
      </c>
      <c r="I245" s="29">
        <f>6371 * 2 * ASIN(SQRT(SIN(RADIANS((C245) - INDEX('Dataset_Wisata'!$C$12:$C$622, MATCH('Dashboard'!$C$9, 'Dataset_Wisata'!$A$12:$A$622, 0)))/2)^2 + COS(RADIANS(INDEX('Dataset_Wisata'!$C$12:$C$622, MATCH('Dashboard'!$C$9, 'Dataset_Wisata'!$A$12:$A$622, 0)))) * COS(RADIANS(C245)) * SIN(RADIANS((D245) - INDEX('Dataset_Wisata'!$D$12:$D$622, MATCH('Dashboard'!$C$9, 'Dataset_Wisata'!$A$12:$A$622, 0)))/2)^2)) * 1.3</f>
        <v/>
      </c>
      <c r="J245" s="21">
        <f>ROUND(I245 * IF('Dashboard'!$C$6&lt;=1, 2250, IF('Dashboard'!$C$6&lt;=4, 5150, 6000)), 0)</f>
        <v/>
      </c>
      <c r="K245" s="30" t="n">
        <v>0.9672305756379272</v>
      </c>
      <c r="L245" s="30" t="n">
        <v>0.02690286027756393</v>
      </c>
      <c r="M245" s="30" t="n">
        <v>0.005866564084508831</v>
      </c>
      <c r="N245" s="31">
        <f>ABS(E245-$F$6)</f>
        <v/>
      </c>
      <c r="O245" s="31">
        <f>ABS(E245-$F$7)</f>
        <v/>
      </c>
      <c r="P245" s="31">
        <f>ABS(E245-$F$8)</f>
        <v/>
      </c>
      <c r="Q245" s="14">
        <f>IF(K245&gt;=MAX(L245,M245), "Hemat", IF(L245&gt;=M245, "Balanced", "Premium"))</f>
        <v/>
      </c>
      <c r="R245" s="30" t="n">
        <v>0.9672303035537276</v>
      </c>
      <c r="S245" s="30" t="n">
        <v>0.02690308452718115</v>
      </c>
      <c r="T245" s="30" t="n">
        <v>0.0058666119190913</v>
      </c>
      <c r="U245" s="31">
        <f>ABS(E245-$G$6)</f>
        <v/>
      </c>
      <c r="V245" s="31">
        <f>ABS(E245-$G$7)</f>
        <v/>
      </c>
      <c r="W245" s="31">
        <f>ABS(E245-$G$8)</f>
        <v/>
      </c>
      <c r="X245" s="14">
        <f>IF(R245&gt;=MAX(S245,T245), "Hemat", IF(S245&gt;=T245, "Balanced", "Premium"))</f>
        <v/>
      </c>
    </row>
    <row r="246">
      <c r="A246" s="14" t="n">
        <v>235</v>
      </c>
      <c r="B246" s="7" t="inlineStr">
        <is>
          <t>Vanda Villa Batu</t>
        </is>
      </c>
      <c r="C246" s="26" t="n">
        <v>-7.861731</v>
      </c>
      <c r="D246" s="26" t="n">
        <v>112.527217</v>
      </c>
      <c r="E246" s="21" t="n">
        <v>168733</v>
      </c>
      <c r="F246" s="27" t="n">
        <v>0</v>
      </c>
      <c r="G246" s="28" t="n">
        <v>0</v>
      </c>
      <c r="H246" s="14" t="inlineStr">
        <is>
          <t>N/A</t>
        </is>
      </c>
      <c r="I246" s="29">
        <f>6371 * 2 * ASIN(SQRT(SIN(RADIANS((C246) - INDEX('Dataset_Wisata'!$C$12:$C$622, MATCH('Dashboard'!$C$9, 'Dataset_Wisata'!$A$12:$A$622, 0)))/2)^2 + COS(RADIANS(INDEX('Dataset_Wisata'!$C$12:$C$622, MATCH('Dashboard'!$C$9, 'Dataset_Wisata'!$A$12:$A$622, 0)))) * COS(RADIANS(C246)) * SIN(RADIANS((D246) - INDEX('Dataset_Wisata'!$D$12:$D$622, MATCH('Dashboard'!$C$9, 'Dataset_Wisata'!$A$12:$A$622, 0)))/2)^2)) * 1.3</f>
        <v/>
      </c>
      <c r="J246" s="21">
        <f>ROUND(I246 * IF('Dashboard'!$C$6&lt;=1, 2250, IF('Dashboard'!$C$6&lt;=4, 5150, 6000)), 0)</f>
        <v/>
      </c>
      <c r="K246" s="30" t="n">
        <v>0.729579074856447</v>
      </c>
      <c r="L246" s="30" t="n">
        <v>0.2458783594143573</v>
      </c>
      <c r="M246" s="30" t="n">
        <v>0.02454256572919575</v>
      </c>
      <c r="N246" s="31">
        <f>ABS(E246-$F$6)</f>
        <v/>
      </c>
      <c r="O246" s="31">
        <f>ABS(E246-$F$7)</f>
        <v/>
      </c>
      <c r="P246" s="31">
        <f>ABS(E246-$F$8)</f>
        <v/>
      </c>
      <c r="Q246" s="14">
        <f>IF(K246&gt;=MAX(L246,M246), "Hemat", IF(L246&gt;=M246, "Balanced", "Premium"))</f>
        <v/>
      </c>
      <c r="R246" s="30" t="n">
        <v>0.7295850143384843</v>
      </c>
      <c r="S246" s="30" t="n">
        <v>0.2458728185213703</v>
      </c>
      <c r="T246" s="30" t="n">
        <v>0.02454216714014524</v>
      </c>
      <c r="U246" s="31">
        <f>ABS(E246-$G$6)</f>
        <v/>
      </c>
      <c r="V246" s="31">
        <f>ABS(E246-$G$7)</f>
        <v/>
      </c>
      <c r="W246" s="31">
        <f>ABS(E246-$G$8)</f>
        <v/>
      </c>
      <c r="X246" s="14">
        <f>IF(R246&gt;=MAX(S246,T246), "Hemat", IF(S246&gt;=T246, "Balanced", "Premium"))</f>
        <v/>
      </c>
    </row>
    <row r="247">
      <c r="A247" s="14" t="n">
        <v>236</v>
      </c>
      <c r="B247" s="7" t="inlineStr">
        <is>
          <t>RedDoorz Syariah near Gor Ken Arok</t>
        </is>
      </c>
      <c r="C247" s="26" t="n">
        <v>-8.014310999999999</v>
      </c>
      <c r="D247" s="26" t="n">
        <v>112.642194</v>
      </c>
      <c r="E247" s="21" t="n">
        <v>199021</v>
      </c>
      <c r="F247" s="27" t="n">
        <v>0</v>
      </c>
      <c r="G247" s="28" t="n">
        <v>0</v>
      </c>
      <c r="H247" s="14" t="inlineStr">
        <is>
          <t>N/A</t>
        </is>
      </c>
      <c r="I247" s="29">
        <f>6371 * 2 * ASIN(SQRT(SIN(RADIANS((C247) - INDEX('Dataset_Wisata'!$C$12:$C$622, MATCH('Dashboard'!$C$9, 'Dataset_Wisata'!$A$12:$A$622, 0)))/2)^2 + COS(RADIANS(INDEX('Dataset_Wisata'!$C$12:$C$622, MATCH('Dashboard'!$C$9, 'Dataset_Wisata'!$A$12:$A$622, 0)))) * COS(RADIANS(C247)) * SIN(RADIANS((D247) - INDEX('Dataset_Wisata'!$D$12:$D$622, MATCH('Dashboard'!$C$9, 'Dataset_Wisata'!$A$12:$A$622, 0)))/2)^2)) * 1.3</f>
        <v/>
      </c>
      <c r="J247" s="21">
        <f>ROUND(I247 * IF('Dashboard'!$C$6&lt;=1, 2250, IF('Dashboard'!$C$6&lt;=4, 5150, 6000)), 0)</f>
        <v/>
      </c>
      <c r="K247" s="30" t="n">
        <v>0.2683002931184894</v>
      </c>
      <c r="L247" s="30" t="n">
        <v>0.698406969179623</v>
      </c>
      <c r="M247" s="30" t="n">
        <v>0.03329273770188761</v>
      </c>
      <c r="N247" s="31">
        <f>ABS(E247-$F$6)</f>
        <v/>
      </c>
      <c r="O247" s="31">
        <f>ABS(E247-$F$7)</f>
        <v/>
      </c>
      <c r="P247" s="31">
        <f>ABS(E247-$F$8)</f>
        <v/>
      </c>
      <c r="Q247" s="14">
        <f>IF(K247&gt;=MAX(L247,M247), "Hemat", IF(L247&gt;=M247, "Balanced", "Premium"))</f>
        <v/>
      </c>
      <c r="R247" s="30" t="n">
        <v>0.268307913868979</v>
      </c>
      <c r="S247" s="30" t="n">
        <v>0.6983991389990274</v>
      </c>
      <c r="T247" s="30" t="n">
        <v>0.03329294713199367</v>
      </c>
      <c r="U247" s="31">
        <f>ABS(E247-$G$6)</f>
        <v/>
      </c>
      <c r="V247" s="31">
        <f>ABS(E247-$G$7)</f>
        <v/>
      </c>
      <c r="W247" s="31">
        <f>ABS(E247-$G$8)</f>
        <v/>
      </c>
      <c r="X247" s="14">
        <f>IF(R247&gt;=MAX(S247,T247), "Hemat", IF(S247&gt;=T247, "Balanced", "Premium"))</f>
        <v/>
      </c>
    </row>
    <row r="248">
      <c r="A248" s="14" t="n">
        <v>237</v>
      </c>
      <c r="B248" s="7" t="inlineStr">
        <is>
          <t>Padi Heritage Hotel</t>
        </is>
      </c>
      <c r="C248" s="26" t="n">
        <v>-7.932017</v>
      </c>
      <c r="D248" s="26" t="n">
        <v>112.606699</v>
      </c>
      <c r="E248" s="21" t="n">
        <v>353587</v>
      </c>
      <c r="F248" s="27" t="n">
        <v>0</v>
      </c>
      <c r="G248" s="28" t="n">
        <v>0</v>
      </c>
      <c r="H248" s="14" t="inlineStr">
        <is>
          <t>N/A</t>
        </is>
      </c>
      <c r="I248" s="29">
        <f>6371 * 2 * ASIN(SQRT(SIN(RADIANS((C248) - INDEX('Dataset_Wisata'!$C$12:$C$622, MATCH('Dashboard'!$C$9, 'Dataset_Wisata'!$A$12:$A$622, 0)))/2)^2 + COS(RADIANS(INDEX('Dataset_Wisata'!$C$12:$C$622, MATCH('Dashboard'!$C$9, 'Dataset_Wisata'!$A$12:$A$622, 0)))) * COS(RADIANS(C248)) * SIN(RADIANS((D248) - INDEX('Dataset_Wisata'!$D$12:$D$622, MATCH('Dashboard'!$C$9, 'Dataset_Wisata'!$A$12:$A$622, 0)))/2)^2)) * 1.3</f>
        <v/>
      </c>
      <c r="J248" s="21">
        <f>ROUND(I248 * IF('Dashboard'!$C$6&lt;=1, 2250, IF('Dashboard'!$C$6&lt;=4, 5150, 6000)), 0)</f>
        <v/>
      </c>
      <c r="K248" s="30" t="n">
        <v>0.0469845880693323</v>
      </c>
      <c r="L248" s="30" t="n">
        <v>0.2110191408591828</v>
      </c>
      <c r="M248" s="30" t="n">
        <v>0.7419962710714849</v>
      </c>
      <c r="N248" s="31">
        <f>ABS(E248-$F$6)</f>
        <v/>
      </c>
      <c r="O248" s="31">
        <f>ABS(E248-$F$7)</f>
        <v/>
      </c>
      <c r="P248" s="31">
        <f>ABS(E248-$F$8)</f>
        <v/>
      </c>
      <c r="Q248" s="14">
        <f>IF(K248&gt;=MAX(L248,M248), "Hemat", IF(L248&gt;=M248, "Balanced", "Premium"))</f>
        <v/>
      </c>
      <c r="R248" s="30" t="n">
        <v>0.04698657250184311</v>
      </c>
      <c r="S248" s="30" t="n">
        <v>0.2110306399553017</v>
      </c>
      <c r="T248" s="30" t="n">
        <v>0.7419827875428552</v>
      </c>
      <c r="U248" s="31">
        <f>ABS(E248-$G$6)</f>
        <v/>
      </c>
      <c r="V248" s="31">
        <f>ABS(E248-$G$7)</f>
        <v/>
      </c>
      <c r="W248" s="31">
        <f>ABS(E248-$G$8)</f>
        <v/>
      </c>
      <c r="X248" s="14">
        <f>IF(R248&gt;=MAX(S248,T248), "Hemat", IF(S248&gt;=T248, "Balanced", "Premium"))</f>
        <v/>
      </c>
    </row>
    <row r="249">
      <c r="A249" s="14" t="n">
        <v>238</v>
      </c>
      <c r="B249" s="7" t="inlineStr">
        <is>
          <t>Sofia Syariah Residence</t>
        </is>
      </c>
      <c r="C249" s="26" t="n">
        <v>-7.942962</v>
      </c>
      <c r="D249" s="26" t="n">
        <v>112.618771</v>
      </c>
      <c r="E249" s="21" t="n">
        <v>256476</v>
      </c>
      <c r="F249" s="27" t="n">
        <v>0</v>
      </c>
      <c r="G249" s="28" t="n">
        <v>0</v>
      </c>
      <c r="H249" s="14" t="inlineStr">
        <is>
          <t>N/A</t>
        </is>
      </c>
      <c r="I249" s="29">
        <f>6371 * 2 * ASIN(SQRT(SIN(RADIANS((C249) - INDEX('Dataset_Wisata'!$C$12:$C$622, MATCH('Dashboard'!$C$9, 'Dataset_Wisata'!$A$12:$A$622, 0)))/2)^2 + COS(RADIANS(INDEX('Dataset_Wisata'!$C$12:$C$622, MATCH('Dashboard'!$C$9, 'Dataset_Wisata'!$A$12:$A$622, 0)))) * COS(RADIANS(C249)) * SIN(RADIANS((D249) - INDEX('Dataset_Wisata'!$D$12:$D$622, MATCH('Dashboard'!$C$9, 'Dataset_Wisata'!$A$12:$A$622, 0)))/2)^2)) * 1.3</f>
        <v/>
      </c>
      <c r="J249" s="21">
        <f>ROUND(I249 * IF('Dashboard'!$C$6&lt;=1, 2250, IF('Dashboard'!$C$6&lt;=4, 5150, 6000)), 0)</f>
        <v/>
      </c>
      <c r="K249" s="30" t="n">
        <v>0.006971193639313773</v>
      </c>
      <c r="L249" s="30" t="n">
        <v>0.9879435571199336</v>
      </c>
      <c r="M249" s="30" t="n">
        <v>0.005085249240752611</v>
      </c>
      <c r="N249" s="31">
        <f>ABS(E249-$F$6)</f>
        <v/>
      </c>
      <c r="O249" s="31">
        <f>ABS(E249-$F$7)</f>
        <v/>
      </c>
      <c r="P249" s="31">
        <f>ABS(E249-$F$8)</f>
        <v/>
      </c>
      <c r="Q249" s="14">
        <f>IF(K249&gt;=MAX(L249,M249), "Hemat", IF(L249&gt;=M249, "Balanced", "Premium"))</f>
        <v/>
      </c>
      <c r="R249" s="30" t="n">
        <v>0.006970259876474793</v>
      </c>
      <c r="S249" s="30" t="n">
        <v>0.9879453006145603</v>
      </c>
      <c r="T249" s="30" t="n">
        <v>0.005084439508964906</v>
      </c>
      <c r="U249" s="31">
        <f>ABS(E249-$G$6)</f>
        <v/>
      </c>
      <c r="V249" s="31">
        <f>ABS(E249-$G$7)</f>
        <v/>
      </c>
      <c r="W249" s="31">
        <f>ABS(E249-$G$8)</f>
        <v/>
      </c>
      <c r="X249" s="14">
        <f>IF(R249&gt;=MAX(S249,T249), "Hemat", IF(S249&gt;=T249, "Balanced", "Premium"))</f>
        <v/>
      </c>
    </row>
    <row r="250">
      <c r="A250" s="14" t="n">
        <v>239</v>
      </c>
      <c r="B250" s="7" t="inlineStr">
        <is>
          <t>Miami Guest House</t>
        </is>
      </c>
      <c r="C250" s="26" t="n">
        <v>-8.0467642</v>
      </c>
      <c r="D250" s="26" t="n">
        <v>112.6096984</v>
      </c>
      <c r="E250" s="21" t="n">
        <v>150000</v>
      </c>
      <c r="F250" s="27" t="n">
        <v>0</v>
      </c>
      <c r="G250" s="28" t="n">
        <v>0</v>
      </c>
      <c r="H250" s="14" t="inlineStr">
        <is>
          <t>N/A</t>
        </is>
      </c>
      <c r="I250" s="29">
        <f>6371 * 2 * ASIN(SQRT(SIN(RADIANS((C250) - INDEX('Dataset_Wisata'!$C$12:$C$622, MATCH('Dashboard'!$C$9, 'Dataset_Wisata'!$A$12:$A$622, 0)))/2)^2 + COS(RADIANS(INDEX('Dataset_Wisata'!$C$12:$C$622, MATCH('Dashboard'!$C$9, 'Dataset_Wisata'!$A$12:$A$622, 0)))) * COS(RADIANS(C250)) * SIN(RADIANS((D250) - INDEX('Dataset_Wisata'!$D$12:$D$622, MATCH('Dashboard'!$C$9, 'Dataset_Wisata'!$A$12:$A$622, 0)))/2)^2)) * 1.3</f>
        <v/>
      </c>
      <c r="J250" s="21">
        <f>ROUND(I250 * IF('Dashboard'!$C$6&lt;=1, 2250, IF('Dashboard'!$C$6&lt;=4, 5150, 6000)), 0)</f>
        <v/>
      </c>
      <c r="K250" s="30" t="n">
        <v>0.9236568385235482</v>
      </c>
      <c r="L250" s="30" t="n">
        <v>0.06736899151285153</v>
      </c>
      <c r="M250" s="30" t="n">
        <v>0.008974169963600275</v>
      </c>
      <c r="N250" s="31">
        <f>ABS(E250-$F$6)</f>
        <v/>
      </c>
      <c r="O250" s="31">
        <f>ABS(E250-$F$7)</f>
        <v/>
      </c>
      <c r="P250" s="31">
        <f>ABS(E250-$F$8)</f>
        <v/>
      </c>
      <c r="Q250" s="14">
        <f>IF(K250&gt;=MAX(L250,M250), "Hemat", IF(L250&gt;=M250, "Balanced", "Premium"))</f>
        <v/>
      </c>
      <c r="R250" s="30" t="n">
        <v>0.9236592327110943</v>
      </c>
      <c r="S250" s="30" t="n">
        <v>0.0673668524262508</v>
      </c>
      <c r="T250" s="30" t="n">
        <v>0.008973914862654904</v>
      </c>
      <c r="U250" s="31">
        <f>ABS(E250-$G$6)</f>
        <v/>
      </c>
      <c r="V250" s="31">
        <f>ABS(E250-$G$7)</f>
        <v/>
      </c>
      <c r="W250" s="31">
        <f>ABS(E250-$G$8)</f>
        <v/>
      </c>
      <c r="X250" s="14">
        <f>IF(R250&gt;=MAX(S250,T250), "Hemat", IF(S250&gt;=T250, "Balanced", "Premium"))</f>
        <v/>
      </c>
    </row>
    <row r="251">
      <c r="A251" s="14" t="n">
        <v>240</v>
      </c>
      <c r="B251" s="7" t="inlineStr">
        <is>
          <t>Great Star Premium Homestay</t>
        </is>
      </c>
      <c r="C251" s="26" t="n">
        <v>-7.96231</v>
      </c>
      <c r="D251" s="26" t="n">
        <v>112.653175</v>
      </c>
      <c r="E251" s="21" t="n">
        <v>176516</v>
      </c>
      <c r="F251" s="27" t="n">
        <v>0</v>
      </c>
      <c r="G251" s="28" t="n">
        <v>0</v>
      </c>
      <c r="H251" s="14" t="inlineStr">
        <is>
          <t>N/A</t>
        </is>
      </c>
      <c r="I251" s="29">
        <f>6371 * 2 * ASIN(SQRT(SIN(RADIANS((C251) - INDEX('Dataset_Wisata'!$C$12:$C$622, MATCH('Dashboard'!$C$9, 'Dataset_Wisata'!$A$12:$A$622, 0)))/2)^2 + COS(RADIANS(INDEX('Dataset_Wisata'!$C$12:$C$622, MATCH('Dashboard'!$C$9, 'Dataset_Wisata'!$A$12:$A$622, 0)))) * COS(RADIANS(C251)) * SIN(RADIANS((D251) - INDEX('Dataset_Wisata'!$D$12:$D$622, MATCH('Dashboard'!$C$9, 'Dataset_Wisata'!$A$12:$A$622, 0)))/2)^2)) * 1.3</f>
        <v/>
      </c>
      <c r="J251" s="21">
        <f>ROUND(I251 * IF('Dashboard'!$C$6&lt;=1, 2250, IF('Dashboard'!$C$6&lt;=4, 5150, 6000)), 0)</f>
        <v/>
      </c>
      <c r="K251" s="30" t="n">
        <v>0.6150292151536734</v>
      </c>
      <c r="L251" s="30" t="n">
        <v>0.3544846162535162</v>
      </c>
      <c r="M251" s="30" t="n">
        <v>0.03048616859281036</v>
      </c>
      <c r="N251" s="31">
        <f>ABS(E251-$F$6)</f>
        <v/>
      </c>
      <c r="O251" s="31">
        <f>ABS(E251-$F$7)</f>
        <v/>
      </c>
      <c r="P251" s="31">
        <f>ABS(E251-$F$8)</f>
        <v/>
      </c>
      <c r="Q251" s="14">
        <f>IF(K251&gt;=MAX(L251,M251), "Hemat", IF(L251&gt;=M251, "Balanced", "Premium"))</f>
        <v/>
      </c>
      <c r="R251" s="30" t="n">
        <v>0.6150364963519702</v>
      </c>
      <c r="S251" s="30" t="n">
        <v>0.3544776838450813</v>
      </c>
      <c r="T251" s="30" t="n">
        <v>0.03048581980294846</v>
      </c>
      <c r="U251" s="31">
        <f>ABS(E251-$G$6)</f>
        <v/>
      </c>
      <c r="V251" s="31">
        <f>ABS(E251-$G$7)</f>
        <v/>
      </c>
      <c r="W251" s="31">
        <f>ABS(E251-$G$8)</f>
        <v/>
      </c>
      <c r="X251" s="14">
        <f>IF(R251&gt;=MAX(S251,T251), "Hemat", IF(S251&gt;=T251, "Balanced", "Premium"))</f>
        <v/>
      </c>
    </row>
    <row r="252">
      <c r="A252" s="14" t="n">
        <v>241</v>
      </c>
      <c r="B252" s="7" t="inlineStr">
        <is>
          <t>RedDoorz @ Bukit Dieng 2</t>
        </is>
      </c>
      <c r="C252" s="26" t="n">
        <v>-7.9713225</v>
      </c>
      <c r="D252" s="26" t="n">
        <v>112.5982818</v>
      </c>
      <c r="E252" s="21" t="n">
        <v>158782</v>
      </c>
      <c r="F252" s="27" t="n">
        <v>0</v>
      </c>
      <c r="G252" s="28" t="n">
        <v>0</v>
      </c>
      <c r="H252" s="14" t="inlineStr">
        <is>
          <t>N/A</t>
        </is>
      </c>
      <c r="I252" s="29">
        <f>6371 * 2 * ASIN(SQRT(SIN(RADIANS((C252) - INDEX('Dataset_Wisata'!$C$12:$C$622, MATCH('Dashboard'!$C$9, 'Dataset_Wisata'!$A$12:$A$622, 0)))/2)^2 + COS(RADIANS(INDEX('Dataset_Wisata'!$C$12:$C$622, MATCH('Dashboard'!$C$9, 'Dataset_Wisata'!$A$12:$A$622, 0)))) * COS(RADIANS(C252)) * SIN(RADIANS((D252) - INDEX('Dataset_Wisata'!$D$12:$D$622, MATCH('Dashboard'!$C$9, 'Dataset_Wisata'!$A$12:$A$622, 0)))/2)^2)) * 1.3</f>
        <v/>
      </c>
      <c r="J252" s="21">
        <f>ROUND(I252 * IF('Dashboard'!$C$6&lt;=1, 2250, IF('Dashboard'!$C$6&lt;=4, 5150, 6000)), 0)</f>
        <v/>
      </c>
      <c r="K252" s="30" t="n">
        <v>0.8490282433692735</v>
      </c>
      <c r="L252" s="30" t="n">
        <v>0.1350885764820658</v>
      </c>
      <c r="M252" s="30" t="n">
        <v>0.01588318014866064</v>
      </c>
      <c r="N252" s="31">
        <f>ABS(E252-$F$6)</f>
        <v/>
      </c>
      <c r="O252" s="31">
        <f>ABS(E252-$F$7)</f>
        <v/>
      </c>
      <c r="P252" s="31">
        <f>ABS(E252-$F$8)</f>
        <v/>
      </c>
      <c r="Q252" s="14">
        <f>IF(K252&gt;=MAX(L252,M252), "Hemat", IF(L252&gt;=M252, "Balanced", "Premium"))</f>
        <v/>
      </c>
      <c r="R252" s="30" t="n">
        <v>0.8490322046439363</v>
      </c>
      <c r="S252" s="30" t="n">
        <v>0.1350849676882399</v>
      </c>
      <c r="T252" s="30" t="n">
        <v>0.01588282766782377</v>
      </c>
      <c r="U252" s="31">
        <f>ABS(E252-$G$6)</f>
        <v/>
      </c>
      <c r="V252" s="31">
        <f>ABS(E252-$G$7)</f>
        <v/>
      </c>
      <c r="W252" s="31">
        <f>ABS(E252-$G$8)</f>
        <v/>
      </c>
      <c r="X252" s="14">
        <f>IF(R252&gt;=MAX(S252,T252), "Hemat", IF(S252&gt;=T252, "Balanced", "Premium"))</f>
        <v/>
      </c>
    </row>
    <row r="253">
      <c r="A253" s="14" t="n">
        <v>242</v>
      </c>
      <c r="B253" s="7" t="inlineStr">
        <is>
          <t>CLASS Premium Guest House Malang</t>
        </is>
      </c>
      <c r="C253" s="26" t="n">
        <v>-7.9696028</v>
      </c>
      <c r="D253" s="26" t="n">
        <v>112.6032744</v>
      </c>
      <c r="E253" s="21" t="n">
        <v>315234</v>
      </c>
      <c r="F253" s="27" t="n">
        <v>0</v>
      </c>
      <c r="G253" s="28" t="n">
        <v>0</v>
      </c>
      <c r="H253" s="14" t="inlineStr">
        <is>
          <t>N/A</t>
        </is>
      </c>
      <c r="I253" s="29">
        <f>6371 * 2 * ASIN(SQRT(SIN(RADIANS((C253) - INDEX('Dataset_Wisata'!$C$12:$C$622, MATCH('Dashboard'!$C$9, 'Dataset_Wisata'!$A$12:$A$622, 0)))/2)^2 + COS(RADIANS(INDEX('Dataset_Wisata'!$C$12:$C$622, MATCH('Dashboard'!$C$9, 'Dataset_Wisata'!$A$12:$A$622, 0)))) * COS(RADIANS(C253)) * SIN(RADIANS((D253) - INDEX('Dataset_Wisata'!$D$12:$D$622, MATCH('Dashboard'!$C$9, 'Dataset_Wisata'!$A$12:$A$622, 0)))/2)^2)) * 1.3</f>
        <v/>
      </c>
      <c r="J253" s="21">
        <f>ROUND(I253 * IF('Dashboard'!$C$6&lt;=1, 2250, IF('Dashboard'!$C$6&lt;=4, 5150, 6000)), 0)</f>
        <v/>
      </c>
      <c r="K253" s="30" t="n">
        <v>0.08047845340250118</v>
      </c>
      <c r="L253" s="30" t="n">
        <v>0.6014131762527398</v>
      </c>
      <c r="M253" s="30" t="n">
        <v>0.318108370344759</v>
      </c>
      <c r="N253" s="31">
        <f>ABS(E253-$F$6)</f>
        <v/>
      </c>
      <c r="O253" s="31">
        <f>ABS(E253-$F$7)</f>
        <v/>
      </c>
      <c r="P253" s="31">
        <f>ABS(E253-$F$8)</f>
        <v/>
      </c>
      <c r="Q253" s="14">
        <f>IF(K253&gt;=MAX(L253,M253), "Hemat", IF(L253&gt;=M253, "Balanced", "Premium"))</f>
        <v/>
      </c>
      <c r="R253" s="30" t="n">
        <v>0.08047846050990166</v>
      </c>
      <c r="S253" s="30" t="n">
        <v>0.6014250736172969</v>
      </c>
      <c r="T253" s="30" t="n">
        <v>0.3180964658728014</v>
      </c>
      <c r="U253" s="31">
        <f>ABS(E253-$G$6)</f>
        <v/>
      </c>
      <c r="V253" s="31">
        <f>ABS(E253-$G$7)</f>
        <v/>
      </c>
      <c r="W253" s="31">
        <f>ABS(E253-$G$8)</f>
        <v/>
      </c>
      <c r="X253" s="14">
        <f>IF(R253&gt;=MAX(S253,T253), "Hemat", IF(S253&gt;=T253, "Balanced", "Premium"))</f>
        <v/>
      </c>
    </row>
    <row r="254">
      <c r="A254" s="14" t="n">
        <v>243</v>
      </c>
      <c r="B254" s="7" t="inlineStr">
        <is>
          <t>Home Stay Pulosari Living</t>
        </is>
      </c>
      <c r="C254" s="26" t="n">
        <v>-7.9739223</v>
      </c>
      <c r="D254" s="26" t="n">
        <v>112.6168839</v>
      </c>
      <c r="E254" s="21" t="n">
        <v>206612</v>
      </c>
      <c r="F254" s="27" t="n">
        <v>0</v>
      </c>
      <c r="G254" s="28" t="n">
        <v>0</v>
      </c>
      <c r="H254" s="14" t="inlineStr">
        <is>
          <t>N/A</t>
        </is>
      </c>
      <c r="I254" s="29">
        <f>6371 * 2 * ASIN(SQRT(SIN(RADIANS((C254) - INDEX('Dataset_Wisata'!$C$12:$C$622, MATCH('Dashboard'!$C$9, 'Dataset_Wisata'!$A$12:$A$622, 0)))/2)^2 + COS(RADIANS(INDEX('Dataset_Wisata'!$C$12:$C$622, MATCH('Dashboard'!$C$9, 'Dataset_Wisata'!$A$12:$A$622, 0)))) * COS(RADIANS(C254)) * SIN(RADIANS((D254) - INDEX('Dataset_Wisata'!$D$12:$D$622, MATCH('Dashboard'!$C$9, 'Dataset_Wisata'!$A$12:$A$622, 0)))/2)^2)) * 1.3</f>
        <v/>
      </c>
      <c r="J254" s="21">
        <f>ROUND(I254 * IF('Dashboard'!$C$6&lt;=1, 2250, IF('Dashboard'!$C$6&lt;=4, 5150, 6000)), 0)</f>
        <v/>
      </c>
      <c r="K254" s="30" t="n">
        <v>0.1760950100297361</v>
      </c>
      <c r="L254" s="30" t="n">
        <v>0.7953891685561739</v>
      </c>
      <c r="M254" s="30" t="n">
        <v>0.02851582141409006</v>
      </c>
      <c r="N254" s="31">
        <f>ABS(E254-$F$6)</f>
        <v/>
      </c>
      <c r="O254" s="31">
        <f>ABS(E254-$F$7)</f>
        <v/>
      </c>
      <c r="P254" s="31">
        <f>ABS(E254-$F$8)</f>
        <v/>
      </c>
      <c r="Q254" s="14">
        <f>IF(K254&gt;=MAX(L254,M254), "Hemat", IF(L254&gt;=M254, "Balanced", "Premium"))</f>
        <v/>
      </c>
      <c r="R254" s="30" t="n">
        <v>0.1761015047640976</v>
      </c>
      <c r="S254" s="30" t="n">
        <v>0.7953822530591962</v>
      </c>
      <c r="T254" s="30" t="n">
        <v>0.02851624217670608</v>
      </c>
      <c r="U254" s="31">
        <f>ABS(E254-$G$6)</f>
        <v/>
      </c>
      <c r="V254" s="31">
        <f>ABS(E254-$G$7)</f>
        <v/>
      </c>
      <c r="W254" s="31">
        <f>ABS(E254-$G$8)</f>
        <v/>
      </c>
      <c r="X254" s="14">
        <f>IF(R254&gt;=MAX(S254,T254), "Hemat", IF(S254&gt;=T254, "Balanced", "Premium"))</f>
        <v/>
      </c>
    </row>
    <row r="255">
      <c r="A255" s="14" t="n">
        <v>244</v>
      </c>
      <c r="B255" s="7" t="inlineStr">
        <is>
          <t>Java Boutique Hotel</t>
        </is>
      </c>
      <c r="C255" s="26" t="n">
        <v>-7.9718245</v>
      </c>
      <c r="D255" s="26" t="n">
        <v>112.616943</v>
      </c>
      <c r="E255" s="21" t="n">
        <v>186486</v>
      </c>
      <c r="F255" s="27" t="n">
        <v>0</v>
      </c>
      <c r="G255" s="28" t="n">
        <v>0</v>
      </c>
      <c r="H255" s="14" t="inlineStr">
        <is>
          <t>N/A</t>
        </is>
      </c>
      <c r="I255" s="29">
        <f>6371 * 2 * ASIN(SQRT(SIN(RADIANS((C255) - INDEX('Dataset_Wisata'!$C$12:$C$622, MATCH('Dashboard'!$C$9, 'Dataset_Wisata'!$A$12:$A$622, 0)))/2)^2 + COS(RADIANS(INDEX('Dataset_Wisata'!$C$12:$C$622, MATCH('Dashboard'!$C$9, 'Dataset_Wisata'!$A$12:$A$622, 0)))) * COS(RADIANS(C255)) * SIN(RADIANS((D255) - INDEX('Dataset_Wisata'!$D$12:$D$622, MATCH('Dashboard'!$C$9, 'Dataset_Wisata'!$A$12:$A$622, 0)))/2)^2)) * 1.3</f>
        <v/>
      </c>
      <c r="J255" s="21">
        <f>ROUND(I255 * IF('Dashboard'!$C$6&lt;=1, 2250, IF('Dashboard'!$C$6&lt;=4, 5150, 6000)), 0)</f>
        <v/>
      </c>
      <c r="K255" s="30" t="n">
        <v>0.4557834053589246</v>
      </c>
      <c r="L255" s="30" t="n">
        <v>0.509279648709871</v>
      </c>
      <c r="M255" s="30" t="n">
        <v>0.03493694593120437</v>
      </c>
      <c r="N255" s="31">
        <f>ABS(E255-$F$6)</f>
        <v/>
      </c>
      <c r="O255" s="31">
        <f>ABS(E255-$F$7)</f>
        <v/>
      </c>
      <c r="P255" s="31">
        <f>ABS(E255-$F$8)</f>
        <v/>
      </c>
      <c r="Q255" s="14">
        <f>IF(K255&gt;=MAX(L255,M255), "Hemat", IF(L255&gt;=M255, "Balanced", "Premium"))</f>
        <v/>
      </c>
      <c r="R255" s="30" t="n">
        <v>0.4557916017219815</v>
      </c>
      <c r="S255" s="30" t="n">
        <v>0.5092716096507913</v>
      </c>
      <c r="T255" s="30" t="n">
        <v>0.03493678862722732</v>
      </c>
      <c r="U255" s="31">
        <f>ABS(E255-$G$6)</f>
        <v/>
      </c>
      <c r="V255" s="31">
        <f>ABS(E255-$G$7)</f>
        <v/>
      </c>
      <c r="W255" s="31">
        <f>ABS(E255-$G$8)</f>
        <v/>
      </c>
      <c r="X255" s="14">
        <f>IF(R255&gt;=MAX(S255,T255), "Hemat", IF(S255&gt;=T255, "Balanced", "Premium"))</f>
        <v/>
      </c>
    </row>
    <row r="256">
      <c r="A256" s="14" t="n">
        <v>245</v>
      </c>
      <c r="B256" s="7" t="inlineStr">
        <is>
          <t>OYO 815 Double D9 Guesthouse</t>
        </is>
      </c>
      <c r="C256" s="26" t="n">
        <v>-7.9712836</v>
      </c>
      <c r="D256" s="26" t="n">
        <v>112.5982165</v>
      </c>
      <c r="E256" s="21" t="n">
        <v>170000</v>
      </c>
      <c r="F256" s="27" t="n">
        <v>0</v>
      </c>
      <c r="G256" s="28" t="n">
        <v>0</v>
      </c>
      <c r="H256" s="14" t="inlineStr">
        <is>
          <t>N/A</t>
        </is>
      </c>
      <c r="I256" s="29">
        <f>6371 * 2 * ASIN(SQRT(SIN(RADIANS((C256) - INDEX('Dataset_Wisata'!$C$12:$C$622, MATCH('Dashboard'!$C$9, 'Dataset_Wisata'!$A$12:$A$622, 0)))/2)^2 + COS(RADIANS(INDEX('Dataset_Wisata'!$C$12:$C$622, MATCH('Dashboard'!$C$9, 'Dataset_Wisata'!$A$12:$A$622, 0)))) * COS(RADIANS(C256)) * SIN(RADIANS((D256) - INDEX('Dataset_Wisata'!$D$12:$D$622, MATCH('Dashboard'!$C$9, 'Dataset_Wisata'!$A$12:$A$622, 0)))/2)^2)) * 1.3</f>
        <v/>
      </c>
      <c r="J256" s="21">
        <f>ROUND(I256 * IF('Dashboard'!$C$6&lt;=1, 2250, IF('Dashboard'!$C$6&lt;=4, 5150, 6000)), 0)</f>
        <v/>
      </c>
      <c r="K256" s="30" t="n">
        <v>0.7119837183050363</v>
      </c>
      <c r="L256" s="30" t="n">
        <v>0.2624152611455975</v>
      </c>
      <c r="M256" s="30" t="n">
        <v>0.02560102054936619</v>
      </c>
      <c r="N256" s="31">
        <f>ABS(E256-$F$6)</f>
        <v/>
      </c>
      <c r="O256" s="31">
        <f>ABS(E256-$F$7)</f>
        <v/>
      </c>
      <c r="P256" s="31">
        <f>ABS(E256-$F$8)</f>
        <v/>
      </c>
      <c r="Q256" s="14">
        <f>IF(K256&gt;=MAX(L256,M256), "Hemat", IF(L256&gt;=M256, "Balanced", "Premium"))</f>
        <v/>
      </c>
      <c r="R256" s="30" t="n">
        <v>0.7119898992332693</v>
      </c>
      <c r="S256" s="30" t="n">
        <v>0.2624094765922805</v>
      </c>
      <c r="T256" s="30" t="n">
        <v>0.02560062417445023</v>
      </c>
      <c r="U256" s="31">
        <f>ABS(E256-$G$6)</f>
        <v/>
      </c>
      <c r="V256" s="31">
        <f>ABS(E256-$G$7)</f>
        <v/>
      </c>
      <c r="W256" s="31">
        <f>ABS(E256-$G$8)</f>
        <v/>
      </c>
      <c r="X256" s="14">
        <f>IF(R256&gt;=MAX(S256,T256), "Hemat", IF(S256&gt;=T256, "Balanced", "Premium"))</f>
        <v/>
      </c>
    </row>
    <row r="257">
      <c r="A257" s="14" t="n">
        <v>246</v>
      </c>
      <c r="B257" s="7" t="inlineStr">
        <is>
          <t>mcb Homestay</t>
        </is>
      </c>
      <c r="C257" s="26" t="n">
        <v>-7.9736553</v>
      </c>
      <c r="D257" s="26" t="n">
        <v>112.6143808</v>
      </c>
      <c r="E257" s="21" t="n">
        <v>243243</v>
      </c>
      <c r="F257" s="27" t="n">
        <v>0</v>
      </c>
      <c r="G257" s="28" t="n">
        <v>0</v>
      </c>
      <c r="H257" s="14" t="inlineStr">
        <is>
          <t>N/A</t>
        </is>
      </c>
      <c r="I257" s="29">
        <f>6371 * 2 * ASIN(SQRT(SIN(RADIANS((C257) - INDEX('Dataset_Wisata'!$C$12:$C$622, MATCH('Dashboard'!$C$9, 'Dataset_Wisata'!$A$12:$A$622, 0)))/2)^2 + COS(RADIANS(INDEX('Dataset_Wisata'!$C$12:$C$622, MATCH('Dashboard'!$C$9, 'Dataset_Wisata'!$A$12:$A$622, 0)))) * COS(RADIANS(C257)) * SIN(RADIANS((D257) - INDEX('Dataset_Wisata'!$D$12:$D$622, MATCH('Dashboard'!$C$9, 'Dataset_Wisata'!$A$12:$A$622, 0)))/2)^2)) * 1.3</f>
        <v/>
      </c>
      <c r="J257" s="21">
        <f>ROUND(I257 * IF('Dashboard'!$C$6&lt;=1, 2250, IF('Dashboard'!$C$6&lt;=4, 5150, 6000)), 0)</f>
        <v/>
      </c>
      <c r="K257" s="30" t="n">
        <v>0.0003188202092602907</v>
      </c>
      <c r="L257" s="30" t="n">
        <v>0.9995213244552615</v>
      </c>
      <c r="M257" s="30" t="n">
        <v>0.0001598553354781601</v>
      </c>
      <c r="N257" s="31">
        <f>ABS(E257-$F$6)</f>
        <v/>
      </c>
      <c r="O257" s="31">
        <f>ABS(E257-$F$7)</f>
        <v/>
      </c>
      <c r="P257" s="31">
        <f>ABS(E257-$F$8)</f>
        <v/>
      </c>
      <c r="Q257" s="14">
        <f>IF(K257&gt;=MAX(L257,M257), "Hemat", IF(L257&gt;=M257, "Balanced", "Premium"))</f>
        <v/>
      </c>
      <c r="R257" s="30" t="n">
        <v>0.0003190534154099611</v>
      </c>
      <c r="S257" s="30" t="n">
        <v>0.9995209781546297</v>
      </c>
      <c r="T257" s="30" t="n">
        <v>0.0001599684299604277</v>
      </c>
      <c r="U257" s="31">
        <f>ABS(E257-$G$6)</f>
        <v/>
      </c>
      <c r="V257" s="31">
        <f>ABS(E257-$G$7)</f>
        <v/>
      </c>
      <c r="W257" s="31">
        <f>ABS(E257-$G$8)</f>
        <v/>
      </c>
      <c r="X257" s="14">
        <f>IF(R257&gt;=MAX(S257,T257), "Hemat", IF(S257&gt;=T257, "Balanced", "Premium"))</f>
        <v/>
      </c>
    </row>
    <row r="258">
      <c r="A258" s="14" t="n">
        <v>247</v>
      </c>
      <c r="B258" s="7" t="inlineStr">
        <is>
          <t>RedDoorz Plus @ Bukit Dieng Malang</t>
        </is>
      </c>
      <c r="C258" s="26" t="n">
        <v>-7.9746295</v>
      </c>
      <c r="D258" s="26" t="n">
        <v>112.5980961</v>
      </c>
      <c r="E258" s="21" t="n">
        <v>158000</v>
      </c>
      <c r="F258" s="27" t="n">
        <v>0</v>
      </c>
      <c r="G258" s="28" t="n">
        <v>0</v>
      </c>
      <c r="H258" s="14" t="inlineStr">
        <is>
          <t>N/A</t>
        </is>
      </c>
      <c r="I258" s="29">
        <f>6371 * 2 * ASIN(SQRT(SIN(RADIANS((C258) - INDEX('Dataset_Wisata'!$C$12:$C$622, MATCH('Dashboard'!$C$9, 'Dataset_Wisata'!$A$12:$A$622, 0)))/2)^2 + COS(RADIANS(INDEX('Dataset_Wisata'!$C$12:$C$622, MATCH('Dashboard'!$C$9, 'Dataset_Wisata'!$A$12:$A$622, 0)))) * COS(RADIANS(C258)) * SIN(RADIANS((D258) - INDEX('Dataset_Wisata'!$D$12:$D$622, MATCH('Dashboard'!$C$9, 'Dataset_Wisata'!$A$12:$A$622, 0)))/2)^2)) * 1.3</f>
        <v/>
      </c>
      <c r="J258" s="21">
        <f>ROUND(I258 * IF('Dashboard'!$C$6&lt;=1, 2250, IF('Dashboard'!$C$6&lt;=4, 5150, 6000)), 0)</f>
        <v/>
      </c>
      <c r="K258" s="30" t="n">
        <v>0.8568705855374575</v>
      </c>
      <c r="L258" s="30" t="n">
        <v>0.1279115944703082</v>
      </c>
      <c r="M258" s="30" t="n">
        <v>0.01521781999223434</v>
      </c>
      <c r="N258" s="31">
        <f>ABS(E258-$F$6)</f>
        <v/>
      </c>
      <c r="O258" s="31">
        <f>ABS(E258-$F$7)</f>
        <v/>
      </c>
      <c r="P258" s="31">
        <f>ABS(E258-$F$8)</f>
        <v/>
      </c>
      <c r="Q258" s="14">
        <f>IF(K258&gt;=MAX(L258,M258), "Hemat", IF(L258&gt;=M258, "Balanced", "Premium"))</f>
        <v/>
      </c>
      <c r="R258" s="30" t="n">
        <v>0.8568743954538822</v>
      </c>
      <c r="S258" s="30" t="n">
        <v>0.1279081297453601</v>
      </c>
      <c r="T258" s="30" t="n">
        <v>0.0152174748007577</v>
      </c>
      <c r="U258" s="31">
        <f>ABS(E258-$G$6)</f>
        <v/>
      </c>
      <c r="V258" s="31">
        <f>ABS(E258-$G$7)</f>
        <v/>
      </c>
      <c r="W258" s="31">
        <f>ABS(E258-$G$8)</f>
        <v/>
      </c>
      <c r="X258" s="14">
        <f>IF(R258&gt;=MAX(S258,T258), "Hemat", IF(S258&gt;=T258, "Balanced", "Premium"))</f>
        <v/>
      </c>
    </row>
    <row r="259">
      <c r="A259" s="14" t="n">
        <v>248</v>
      </c>
      <c r="B259" s="7" t="inlineStr">
        <is>
          <t>Hillside Suite Guest House</t>
        </is>
      </c>
      <c r="C259" s="26" t="n">
        <v>-7.9648264</v>
      </c>
      <c r="D259" s="26" t="n">
        <v>112.6055115</v>
      </c>
      <c r="E259" s="21" t="n">
        <v>272505</v>
      </c>
      <c r="F259" s="27" t="n">
        <v>0</v>
      </c>
      <c r="G259" s="28" t="n">
        <v>0</v>
      </c>
      <c r="H259" s="14" t="inlineStr">
        <is>
          <t>N/A</t>
        </is>
      </c>
      <c r="I259" s="29">
        <f>6371 * 2 * ASIN(SQRT(SIN(RADIANS((C259) - INDEX('Dataset_Wisata'!$C$12:$C$622, MATCH('Dashboard'!$C$9, 'Dataset_Wisata'!$A$12:$A$622, 0)))/2)^2 + COS(RADIANS(INDEX('Dataset_Wisata'!$C$12:$C$622, MATCH('Dashboard'!$C$9, 'Dataset_Wisata'!$A$12:$A$622, 0)))) * COS(RADIANS(C259)) * SIN(RADIANS((D259) - INDEX('Dataset_Wisata'!$D$12:$D$622, MATCH('Dashboard'!$C$9, 'Dataset_Wisata'!$A$12:$A$622, 0)))/2)^2)) * 1.3</f>
        <v/>
      </c>
      <c r="J259" s="21">
        <f>ROUND(I259 * IF('Dashboard'!$C$6&lt;=1, 2250, IF('Dashboard'!$C$6&lt;=4, 5150, 6000)), 0)</f>
        <v/>
      </c>
      <c r="K259" s="30" t="n">
        <v>0.03125901226663784</v>
      </c>
      <c r="L259" s="30" t="n">
        <v>0.9330719866648258</v>
      </c>
      <c r="M259" s="30" t="n">
        <v>0.03566900106853624</v>
      </c>
      <c r="N259" s="31">
        <f>ABS(E259-$F$6)</f>
        <v/>
      </c>
      <c r="O259" s="31">
        <f>ABS(E259-$F$7)</f>
        <v/>
      </c>
      <c r="P259" s="31">
        <f>ABS(E259-$F$8)</f>
        <v/>
      </c>
      <c r="Q259" s="14">
        <f>IF(K259&gt;=MAX(L259,M259), "Hemat", IF(L259&gt;=M259, "Balanced", "Premium"))</f>
        <v/>
      </c>
      <c r="R259" s="30" t="n">
        <v>0.03125747228211702</v>
      </c>
      <c r="S259" s="30" t="n">
        <v>0.9330762618911811</v>
      </c>
      <c r="T259" s="30" t="n">
        <v>0.03566626582670182</v>
      </c>
      <c r="U259" s="31">
        <f>ABS(E259-$G$6)</f>
        <v/>
      </c>
      <c r="V259" s="31">
        <f>ABS(E259-$G$7)</f>
        <v/>
      </c>
      <c r="W259" s="31">
        <f>ABS(E259-$G$8)</f>
        <v/>
      </c>
      <c r="X259" s="14">
        <f>IF(R259&gt;=MAX(S259,T259), "Hemat", IF(S259&gt;=T259, "Balanced", "Premium"))</f>
        <v/>
      </c>
    </row>
    <row r="260">
      <c r="A260" s="14" t="n">
        <v>249</v>
      </c>
      <c r="B260" s="7" t="inlineStr">
        <is>
          <t>Ijen Suites Resort &amp; Convention Malang</t>
        </is>
      </c>
      <c r="C260" s="26" t="n">
        <v>-7.9808125</v>
      </c>
      <c r="D260" s="26" t="n">
        <v>112.6155625</v>
      </c>
      <c r="E260" s="21" t="n">
        <v>578109</v>
      </c>
      <c r="F260" s="27" t="n">
        <v>0</v>
      </c>
      <c r="G260" s="28" t="n">
        <v>0</v>
      </c>
      <c r="H260" s="14" t="inlineStr">
        <is>
          <t>N/A</t>
        </is>
      </c>
      <c r="I260" s="29">
        <f>6371 * 2 * ASIN(SQRT(SIN(RADIANS((C260) - INDEX('Dataset_Wisata'!$C$12:$C$622, MATCH('Dashboard'!$C$9, 'Dataset_Wisata'!$A$12:$A$622, 0)))/2)^2 + COS(RADIANS(INDEX('Dataset_Wisata'!$C$12:$C$622, MATCH('Dashboard'!$C$9, 'Dataset_Wisata'!$A$12:$A$622, 0)))) * COS(RADIANS(C260)) * SIN(RADIANS((D260) - INDEX('Dataset_Wisata'!$D$12:$D$622, MATCH('Dashboard'!$C$9, 'Dataset_Wisata'!$A$12:$A$622, 0)))/2)^2)) * 1.3</f>
        <v/>
      </c>
      <c r="J260" s="21">
        <f>ROUND(I260 * IF('Dashboard'!$C$6&lt;=1, 2250, IF('Dashboard'!$C$6&lt;=4, 5150, 6000)), 0)</f>
        <v/>
      </c>
      <c r="K260" s="30" t="n">
        <v>0.04854523154172892</v>
      </c>
      <c r="L260" s="30" t="n">
        <v>0.09032087755492628</v>
      </c>
      <c r="M260" s="30" t="n">
        <v>0.3593794511849367</v>
      </c>
      <c r="N260" s="31">
        <f>ABS(E260-$F$6)</f>
        <v/>
      </c>
      <c r="O260" s="31">
        <f>ABS(E260-$F$7)</f>
        <v/>
      </c>
      <c r="P260" s="31">
        <f>ABS(E260-$F$8)</f>
        <v/>
      </c>
      <c r="Q260" s="14">
        <f>IF(K260&gt;=MAX(L260,M260), "Hemat", IF(L260&gt;=M260, "Balanced", "Premium"))</f>
        <v/>
      </c>
      <c r="R260" s="30" t="n">
        <v>0.04854528147685764</v>
      </c>
      <c r="S260" s="30" t="n">
        <v>0.09032129739970504</v>
      </c>
      <c r="T260" s="30" t="n">
        <v>0.3593867089913114</v>
      </c>
      <c r="U260" s="31">
        <f>ABS(E260-$G$6)</f>
        <v/>
      </c>
      <c r="V260" s="31">
        <f>ABS(E260-$G$7)</f>
        <v/>
      </c>
      <c r="W260" s="31">
        <f>ABS(E260-$G$8)</f>
        <v/>
      </c>
      <c r="X260" s="14">
        <f>IF(R260&gt;=MAX(S260,T260), "Hemat", IF(S260&gt;=T260, "Balanced", "Premium"))</f>
        <v/>
      </c>
    </row>
    <row r="261">
      <c r="A261" s="14" t="n">
        <v>250</v>
      </c>
      <c r="B261" s="7" t="inlineStr">
        <is>
          <t>D'Paragon Bukit Dieng Malang</t>
        </is>
      </c>
      <c r="C261" s="26" t="n">
        <v>-7.9726885</v>
      </c>
      <c r="D261" s="26" t="n">
        <v>112.6008373</v>
      </c>
      <c r="E261" s="21" t="n">
        <v>202205</v>
      </c>
      <c r="F261" s="27" t="n">
        <v>0</v>
      </c>
      <c r="G261" s="28" t="n">
        <v>0</v>
      </c>
      <c r="H261" s="14" t="inlineStr">
        <is>
          <t>N/A</t>
        </is>
      </c>
      <c r="I261" s="29">
        <f>6371 * 2 * ASIN(SQRT(SIN(RADIANS((C261) - INDEX('Dataset_Wisata'!$C$12:$C$622, MATCH('Dashboard'!$C$9, 'Dataset_Wisata'!$A$12:$A$622, 0)))/2)^2 + COS(RADIANS(INDEX('Dataset_Wisata'!$C$12:$C$622, MATCH('Dashboard'!$C$9, 'Dataset_Wisata'!$A$12:$A$622, 0)))) * COS(RADIANS(C261)) * SIN(RADIANS((D261) - INDEX('Dataset_Wisata'!$D$12:$D$622, MATCH('Dashboard'!$C$9, 'Dataset_Wisata'!$A$12:$A$622, 0)))/2)^2)) * 1.3</f>
        <v/>
      </c>
      <c r="J261" s="21">
        <f>ROUND(I261 * IF('Dashboard'!$C$6&lt;=1, 2250, IF('Dashboard'!$C$6&lt;=4, 5150, 6000)), 0)</f>
        <v/>
      </c>
      <c r="K261" s="30" t="n">
        <v>0.2272039093357759</v>
      </c>
      <c r="L261" s="30" t="n">
        <v>0.7412104461210948</v>
      </c>
      <c r="M261" s="30" t="n">
        <v>0.03158564454312943</v>
      </c>
      <c r="N261" s="31">
        <f>ABS(E261-$F$6)</f>
        <v/>
      </c>
      <c r="O261" s="31">
        <f>ABS(E261-$F$7)</f>
        <v/>
      </c>
      <c r="P261" s="31">
        <f>ABS(E261-$F$8)</f>
        <v/>
      </c>
      <c r="Q261" s="14">
        <f>IF(K261&gt;=MAX(L261,M261), "Hemat", IF(L261&gt;=M261, "Balanced", "Premium"))</f>
        <v/>
      </c>
      <c r="R261" s="30" t="n">
        <v>0.227211111022836</v>
      </c>
      <c r="S261" s="30" t="n">
        <v>0.7412029413055393</v>
      </c>
      <c r="T261" s="30" t="n">
        <v>0.03158594767162465</v>
      </c>
      <c r="U261" s="31">
        <f>ABS(E261-$G$6)</f>
        <v/>
      </c>
      <c r="V261" s="31">
        <f>ABS(E261-$G$7)</f>
        <v/>
      </c>
      <c r="W261" s="31">
        <f>ABS(E261-$G$8)</f>
        <v/>
      </c>
      <c r="X261" s="14">
        <f>IF(R261&gt;=MAX(S261,T261), "Hemat", IF(S261&gt;=T261, "Balanced", "Premium"))</f>
        <v/>
      </c>
    </row>
    <row r="262">
      <c r="A262" s="14" t="n">
        <v>251</v>
      </c>
      <c r="B262" s="7" t="inlineStr">
        <is>
          <t>Hotel Aloha Malang</t>
        </is>
      </c>
      <c r="C262" s="26" t="n">
        <v>-7.9786929</v>
      </c>
      <c r="D262" s="26" t="n">
        <v>112.6354288</v>
      </c>
      <c r="E262" s="21" t="n">
        <v>160524</v>
      </c>
      <c r="F262" s="27" t="n">
        <v>0</v>
      </c>
      <c r="G262" s="28" t="n">
        <v>0</v>
      </c>
      <c r="H262" s="14" t="inlineStr">
        <is>
          <t>N/A</t>
        </is>
      </c>
      <c r="I262" s="29">
        <f>6371 * 2 * ASIN(SQRT(SIN(RADIANS((C262) - INDEX('Dataset_Wisata'!$C$12:$C$622, MATCH('Dashboard'!$C$9, 'Dataset_Wisata'!$A$12:$A$622, 0)))/2)^2 + COS(RADIANS(INDEX('Dataset_Wisata'!$C$12:$C$622, MATCH('Dashboard'!$C$9, 'Dataset_Wisata'!$A$12:$A$622, 0)))) * COS(RADIANS(C262)) * SIN(RADIANS((D262) - INDEX('Dataset_Wisata'!$D$12:$D$622, MATCH('Dashboard'!$C$9, 'Dataset_Wisata'!$A$12:$A$622, 0)))/2)^2)) * 1.3</f>
        <v/>
      </c>
      <c r="J262" s="21">
        <f>ROUND(I262 * IF('Dashboard'!$C$6&lt;=1, 2250, IF('Dashboard'!$C$6&lt;=4, 5150, 6000)), 0)</f>
        <v/>
      </c>
      <c r="K262" s="30" t="n">
        <v>0.8307181457528493</v>
      </c>
      <c r="L262" s="30" t="n">
        <v>0.1518949620863749</v>
      </c>
      <c r="M262" s="30" t="n">
        <v>0.01738689216077579</v>
      </c>
      <c r="N262" s="31">
        <f>ABS(E262-$F$6)</f>
        <v/>
      </c>
      <c r="O262" s="31">
        <f>ABS(E262-$F$7)</f>
        <v/>
      </c>
      <c r="P262" s="31">
        <f>ABS(E262-$F$8)</f>
        <v/>
      </c>
      <c r="Q262" s="14">
        <f>IF(K262&gt;=MAX(L262,M262), "Hemat", IF(L262&gt;=M262, "Balanced", "Premium"))</f>
        <v/>
      </c>
      <c r="R262" s="30" t="n">
        <v>0.8307224496035021</v>
      </c>
      <c r="S262" s="30" t="n">
        <v>0.1518910254558363</v>
      </c>
      <c r="T262" s="30" t="n">
        <v>0.01738652494066152</v>
      </c>
      <c r="U262" s="31">
        <f>ABS(E262-$G$6)</f>
        <v/>
      </c>
      <c r="V262" s="31">
        <f>ABS(E262-$G$7)</f>
        <v/>
      </c>
      <c r="W262" s="31">
        <f>ABS(E262-$G$8)</f>
        <v/>
      </c>
      <c r="X262" s="14">
        <f>IF(R262&gt;=MAX(S262,T262), "Hemat", IF(S262&gt;=T262, "Balanced", "Premium"))</f>
        <v/>
      </c>
    </row>
    <row r="263">
      <c r="A263" s="14" t="n">
        <v>252</v>
      </c>
      <c r="B263" s="7" t="inlineStr">
        <is>
          <t>De'Corner Guest House</t>
        </is>
      </c>
      <c r="C263" s="26" t="n">
        <v>-7.9731135</v>
      </c>
      <c r="D263" s="26" t="n">
        <v>112.6184562</v>
      </c>
      <c r="E263" s="21" t="n">
        <v>260088</v>
      </c>
      <c r="F263" s="27" t="n">
        <v>0</v>
      </c>
      <c r="G263" s="28" t="n">
        <v>0</v>
      </c>
      <c r="H263" s="14" t="inlineStr">
        <is>
          <t>N/A</t>
        </is>
      </c>
      <c r="I263" s="29">
        <f>6371 * 2 * ASIN(SQRT(SIN(RADIANS((C263) - INDEX('Dataset_Wisata'!$C$12:$C$622, MATCH('Dashboard'!$C$9, 'Dataset_Wisata'!$A$12:$A$622, 0)))/2)^2 + COS(RADIANS(INDEX('Dataset_Wisata'!$C$12:$C$622, MATCH('Dashboard'!$C$9, 'Dataset_Wisata'!$A$12:$A$622, 0)))) * COS(RADIANS(C263)) * SIN(RADIANS((D263) - INDEX('Dataset_Wisata'!$D$12:$D$622, MATCH('Dashboard'!$C$9, 'Dataset_Wisata'!$A$12:$A$622, 0)))/2)^2)) * 1.3</f>
        <v/>
      </c>
      <c r="J263" s="21">
        <f>ROUND(I263 * IF('Dashboard'!$C$6&lt;=1, 2250, IF('Dashboard'!$C$6&lt;=4, 5150, 6000)), 0)</f>
        <v/>
      </c>
      <c r="K263" s="30" t="n">
        <v>0.01149737271106151</v>
      </c>
      <c r="L263" s="30" t="n">
        <v>0.9792233159629956</v>
      </c>
      <c r="M263" s="30" t="n">
        <v>0.009279311325942813</v>
      </c>
      <c r="N263" s="31">
        <f>ABS(E263-$F$6)</f>
        <v/>
      </c>
      <c r="O263" s="31">
        <f>ABS(E263-$F$7)</f>
        <v/>
      </c>
      <c r="P263" s="31">
        <f>ABS(E263-$F$8)</f>
        <v/>
      </c>
      <c r="Q263" s="14">
        <f>IF(K263&gt;=MAX(L263,M263), "Hemat", IF(L263&gt;=M263, "Balanced", "Premium"))</f>
        <v/>
      </c>
      <c r="R263" s="30" t="n">
        <v>0.01149623116651254</v>
      </c>
      <c r="S263" s="30" t="n">
        <v>0.9792256174187244</v>
      </c>
      <c r="T263" s="30" t="n">
        <v>0.009278151414763127</v>
      </c>
      <c r="U263" s="31">
        <f>ABS(E263-$G$6)</f>
        <v/>
      </c>
      <c r="V263" s="31">
        <f>ABS(E263-$G$7)</f>
        <v/>
      </c>
      <c r="W263" s="31">
        <f>ABS(E263-$G$8)</f>
        <v/>
      </c>
      <c r="X263" s="14">
        <f>IF(R263&gt;=MAX(S263,T263), "Hemat", IF(S263&gt;=T263, "Balanced", "Premium"))</f>
        <v/>
      </c>
    </row>
    <row r="264">
      <c r="A264" s="14" t="n">
        <v>253</v>
      </c>
      <c r="B264" s="7" t="inlineStr">
        <is>
          <t>Srikandi Guesthouse</t>
        </is>
      </c>
      <c r="C264" s="26" t="n">
        <v>-7.974263</v>
      </c>
      <c r="D264" s="26" t="n">
        <v>112.6200916</v>
      </c>
      <c r="E264" s="21" t="n">
        <v>226523</v>
      </c>
      <c r="F264" s="27" t="n">
        <v>0</v>
      </c>
      <c r="G264" s="28" t="n">
        <v>0</v>
      </c>
      <c r="H264" s="14" t="inlineStr">
        <is>
          <t>N/A</t>
        </is>
      </c>
      <c r="I264" s="29">
        <f>6371 * 2 * ASIN(SQRT(SIN(RADIANS((C264) - INDEX('Dataset_Wisata'!$C$12:$C$622, MATCH('Dashboard'!$C$9, 'Dataset_Wisata'!$A$12:$A$622, 0)))/2)^2 + COS(RADIANS(INDEX('Dataset_Wisata'!$C$12:$C$622, MATCH('Dashboard'!$C$9, 'Dataset_Wisata'!$A$12:$A$622, 0)))) * COS(RADIANS(C264)) * SIN(RADIANS((D264) - INDEX('Dataset_Wisata'!$D$12:$D$622, MATCH('Dashboard'!$C$9, 'Dataset_Wisata'!$A$12:$A$622, 0)))/2)^2)) * 1.3</f>
        <v/>
      </c>
      <c r="J264" s="21">
        <f>ROUND(I264 * IF('Dashboard'!$C$6&lt;=1, 2250, IF('Dashboard'!$C$6&lt;=4, 5150, 6000)), 0)</f>
        <v/>
      </c>
      <c r="K264" s="30" t="n">
        <v>0.03250770578738509</v>
      </c>
      <c r="L264" s="30" t="n">
        <v>0.9575320348144117</v>
      </c>
      <c r="M264" s="30" t="n">
        <v>0.009960259398203145</v>
      </c>
      <c r="N264" s="31">
        <f>ABS(E264-$F$6)</f>
        <v/>
      </c>
      <c r="O264" s="31">
        <f>ABS(E264-$F$7)</f>
        <v/>
      </c>
      <c r="P264" s="31">
        <f>ABS(E264-$F$8)</f>
        <v/>
      </c>
      <c r="Q264" s="14">
        <f>IF(K264&gt;=MAX(L264,M264), "Hemat", IF(L264&gt;=M264, "Balanced", "Premium"))</f>
        <v/>
      </c>
      <c r="R264" s="30" t="n">
        <v>0.0325104100161176</v>
      </c>
      <c r="S264" s="30" t="n">
        <v>0.9575287290895964</v>
      </c>
      <c r="T264" s="30" t="n">
        <v>0.009960860894285915</v>
      </c>
      <c r="U264" s="31">
        <f>ABS(E264-$G$6)</f>
        <v/>
      </c>
      <c r="V264" s="31">
        <f>ABS(E264-$G$7)</f>
        <v/>
      </c>
      <c r="W264" s="31">
        <f>ABS(E264-$G$8)</f>
        <v/>
      </c>
      <c r="X264" s="14">
        <f>IF(R264&gt;=MAX(S264,T264), "Hemat", IF(S264&gt;=T264, "Balanced", "Premium"))</f>
        <v/>
      </c>
    </row>
    <row r="265">
      <c r="A265" s="14" t="n">
        <v>254</v>
      </c>
      <c r="B265" s="7" t="inlineStr">
        <is>
          <t>Tlogomas Guest House</t>
        </is>
      </c>
      <c r="C265" s="26" t="n">
        <v>-7.933265</v>
      </c>
      <c r="D265" s="26" t="n">
        <v>112.603597</v>
      </c>
      <c r="E265" s="21" t="n">
        <v>330323</v>
      </c>
      <c r="F265" s="27" t="n">
        <v>0</v>
      </c>
      <c r="G265" s="28" t="n">
        <v>0</v>
      </c>
      <c r="H265" s="14" t="inlineStr">
        <is>
          <t>N/A</t>
        </is>
      </c>
      <c r="I265" s="29">
        <f>6371 * 2 * ASIN(SQRT(SIN(RADIANS((C265) - INDEX('Dataset_Wisata'!$C$12:$C$622, MATCH('Dashboard'!$C$9, 'Dataset_Wisata'!$A$12:$A$622, 0)))/2)^2 + COS(RADIANS(INDEX('Dataset_Wisata'!$C$12:$C$622, MATCH('Dashboard'!$C$9, 'Dataset_Wisata'!$A$12:$A$622, 0)))) * COS(RADIANS(C265)) * SIN(RADIANS((D265) - INDEX('Dataset_Wisata'!$D$12:$D$622, MATCH('Dashboard'!$C$9, 'Dataset_Wisata'!$A$12:$A$622, 0)))/2)^2)) * 1.3</f>
        <v/>
      </c>
      <c r="J265" s="21">
        <f>ROUND(I265 * IF('Dashboard'!$C$6&lt;=1, 2250, IF('Dashboard'!$C$6&lt;=4, 5150, 6000)), 0)</f>
        <v/>
      </c>
      <c r="K265" s="30" t="n">
        <v>0.07484431289567517</v>
      </c>
      <c r="L265" s="30" t="n">
        <v>0.4404042925731374</v>
      </c>
      <c r="M265" s="30" t="n">
        <v>0.4847513945311874</v>
      </c>
      <c r="N265" s="31">
        <f>ABS(E265-$F$6)</f>
        <v/>
      </c>
      <c r="O265" s="31">
        <f>ABS(E265-$F$7)</f>
        <v/>
      </c>
      <c r="P265" s="31">
        <f>ABS(E265-$F$8)</f>
        <v/>
      </c>
      <c r="Q265" s="14">
        <f>IF(K265&gt;=MAX(L265,M265), "Hemat", IF(L265&gt;=M265, "Balanced", "Premium"))</f>
        <v/>
      </c>
      <c r="R265" s="30" t="n">
        <v>0.07484537897348957</v>
      </c>
      <c r="S265" s="30" t="n">
        <v>0.440417586205429</v>
      </c>
      <c r="T265" s="30" t="n">
        <v>0.4847370348210815</v>
      </c>
      <c r="U265" s="31">
        <f>ABS(E265-$G$6)</f>
        <v/>
      </c>
      <c r="V265" s="31">
        <f>ABS(E265-$G$7)</f>
        <v/>
      </c>
      <c r="W265" s="31">
        <f>ABS(E265-$G$8)</f>
        <v/>
      </c>
      <c r="X265" s="14">
        <f>IF(R265&gt;=MAX(S265,T265), "Hemat", IF(S265&gt;=T265, "Balanced", "Premium"))</f>
        <v/>
      </c>
    </row>
    <row r="266">
      <c r="A266" s="14" t="n">
        <v>255</v>
      </c>
      <c r="B266" s="7" t="inlineStr">
        <is>
          <t>Family Guest House Malang</t>
        </is>
      </c>
      <c r="C266" s="26" t="n">
        <v>-7.9749804</v>
      </c>
      <c r="D266" s="26" t="n">
        <v>112.5974602</v>
      </c>
      <c r="E266" s="21" t="n">
        <v>190741</v>
      </c>
      <c r="F266" s="27" t="n">
        <v>0</v>
      </c>
      <c r="G266" s="28" t="n">
        <v>0</v>
      </c>
      <c r="H266" s="14" t="inlineStr">
        <is>
          <t>N/A</t>
        </is>
      </c>
      <c r="I266" s="29">
        <f>6371 * 2 * ASIN(SQRT(SIN(RADIANS((C266) - INDEX('Dataset_Wisata'!$C$12:$C$622, MATCH('Dashboard'!$C$9, 'Dataset_Wisata'!$A$12:$A$622, 0)))/2)^2 + COS(RADIANS(INDEX('Dataset_Wisata'!$C$12:$C$622, MATCH('Dashboard'!$C$9, 'Dataset_Wisata'!$A$12:$A$622, 0)))) * COS(RADIANS(C266)) * SIN(RADIANS((D266) - INDEX('Dataset_Wisata'!$D$12:$D$622, MATCH('Dashboard'!$C$9, 'Dataset_Wisata'!$A$12:$A$622, 0)))/2)^2)) * 1.3</f>
        <v/>
      </c>
      <c r="J266" s="21">
        <f>ROUND(I266 * IF('Dashboard'!$C$6&lt;=1, 2250, IF('Dashboard'!$C$6&lt;=4, 5150, 6000)), 0)</f>
        <v/>
      </c>
      <c r="K266" s="30" t="n">
        <v>0.388699228094946</v>
      </c>
      <c r="L266" s="30" t="n">
        <v>0.5759682720345737</v>
      </c>
      <c r="M266" s="30" t="n">
        <v>0.03533249987048034</v>
      </c>
      <c r="N266" s="31">
        <f>ABS(E266-$F$6)</f>
        <v/>
      </c>
      <c r="O266" s="31">
        <f>ABS(E266-$F$7)</f>
        <v/>
      </c>
      <c r="P266" s="31">
        <f>ABS(E266-$F$8)</f>
        <v/>
      </c>
      <c r="Q266" s="14">
        <f>IF(K266&gt;=MAX(L266,M266), "Hemat", IF(L266&gt;=M266, "Balanced", "Premium"))</f>
        <v/>
      </c>
      <c r="R266" s="30" t="n">
        <v>0.3887074448721682</v>
      </c>
      <c r="S266" s="30" t="n">
        <v>0.5759600960863974</v>
      </c>
      <c r="T266" s="30" t="n">
        <v>0.03533245904143439</v>
      </c>
      <c r="U266" s="31">
        <f>ABS(E266-$G$6)</f>
        <v/>
      </c>
      <c r="V266" s="31">
        <f>ABS(E266-$G$7)</f>
        <v/>
      </c>
      <c r="W266" s="31">
        <f>ABS(E266-$G$8)</f>
        <v/>
      </c>
      <c r="X266" s="14">
        <f>IF(R266&gt;=MAX(S266,T266), "Hemat", IF(S266&gt;=T266, "Balanced", "Premium"))</f>
        <v/>
      </c>
    </row>
    <row r="267">
      <c r="A267" s="14" t="n">
        <v>256</v>
      </c>
      <c r="B267" s="7" t="inlineStr">
        <is>
          <t>Ubud Cottages Malang</t>
        </is>
      </c>
      <c r="C267" s="26" t="n">
        <v>-7.9614215</v>
      </c>
      <c r="D267" s="26" t="n">
        <v>112.6049097</v>
      </c>
      <c r="E267" s="21" t="n">
        <v>256419</v>
      </c>
      <c r="F267" s="27" t="n">
        <v>0</v>
      </c>
      <c r="G267" s="28" t="n">
        <v>0</v>
      </c>
      <c r="H267" s="14" t="inlineStr">
        <is>
          <t>N/A</t>
        </is>
      </c>
      <c r="I267" s="29">
        <f>6371 * 2 * ASIN(SQRT(SIN(RADIANS((C267) - INDEX('Dataset_Wisata'!$C$12:$C$622, MATCH('Dashboard'!$C$9, 'Dataset_Wisata'!$A$12:$A$622, 0)))/2)^2 + COS(RADIANS(INDEX('Dataset_Wisata'!$C$12:$C$622, MATCH('Dashboard'!$C$9, 'Dataset_Wisata'!$A$12:$A$622, 0)))) * COS(RADIANS(C267)) * SIN(RADIANS((D267) - INDEX('Dataset_Wisata'!$D$12:$D$622, MATCH('Dashboard'!$C$9, 'Dataset_Wisata'!$A$12:$A$622, 0)))/2)^2)) * 1.3</f>
        <v/>
      </c>
      <c r="J267" s="21">
        <f>ROUND(I267 * IF('Dashboard'!$C$6&lt;=1, 2250, IF('Dashboard'!$C$6&lt;=4, 5150, 6000)), 0)</f>
        <v/>
      </c>
      <c r="K267" s="30" t="n">
        <v>0.006906620021414735</v>
      </c>
      <c r="L267" s="30" t="n">
        <v>0.9880632820347521</v>
      </c>
      <c r="M267" s="30" t="n">
        <v>0.005030097943833207</v>
      </c>
      <c r="N267" s="31">
        <f>ABS(E267-$F$6)</f>
        <v/>
      </c>
      <c r="O267" s="31">
        <f>ABS(E267-$F$7)</f>
        <v/>
      </c>
      <c r="P267" s="31">
        <f>ABS(E267-$F$8)</f>
        <v/>
      </c>
      <c r="Q267" s="14">
        <f>IF(K267&gt;=MAX(L267,M267), "Hemat", IF(L267&gt;=M267, "Balanced", "Premium"))</f>
        <v/>
      </c>
      <c r="R267" s="30" t="n">
        <v>0.006905689895228759</v>
      </c>
      <c r="S267" s="30" t="n">
        <v>0.9880650167289622</v>
      </c>
      <c r="T267" s="30" t="n">
        <v>0.005029293375808898</v>
      </c>
      <c r="U267" s="31">
        <f>ABS(E267-$G$6)</f>
        <v/>
      </c>
      <c r="V267" s="31">
        <f>ABS(E267-$G$7)</f>
        <v/>
      </c>
      <c r="W267" s="31">
        <f>ABS(E267-$G$8)</f>
        <v/>
      </c>
      <c r="X267" s="14">
        <f>IF(R267&gt;=MAX(S267,T267), "Hemat", IF(S267&gt;=T267, "Balanced", "Premium"))</f>
        <v/>
      </c>
    </row>
    <row r="268">
      <c r="A268" s="14" t="n">
        <v>257</v>
      </c>
      <c r="B268" s="7" t="inlineStr">
        <is>
          <t>Kos &amp; Homestay Villa Tidar</t>
        </is>
      </c>
      <c r="C268" s="26" t="n">
        <v>-7.9575416</v>
      </c>
      <c r="D268" s="26" t="n">
        <v>112.5874199</v>
      </c>
      <c r="E268" s="21" t="n">
        <v>100000</v>
      </c>
      <c r="F268" s="27" t="n">
        <v>0</v>
      </c>
      <c r="G268" s="28" t="n">
        <v>0</v>
      </c>
      <c r="H268" s="14" t="inlineStr">
        <is>
          <t>N/A</t>
        </is>
      </c>
      <c r="I268" s="29">
        <f>6371 * 2 * ASIN(SQRT(SIN(RADIANS((C268) - INDEX('Dataset_Wisata'!$C$12:$C$622, MATCH('Dashboard'!$C$9, 'Dataset_Wisata'!$A$12:$A$622, 0)))/2)^2 + COS(RADIANS(INDEX('Dataset_Wisata'!$C$12:$C$622, MATCH('Dashboard'!$C$9, 'Dataset_Wisata'!$A$12:$A$622, 0)))) * COS(RADIANS(C268)) * SIN(RADIANS((D268) - INDEX('Dataset_Wisata'!$D$12:$D$622, MATCH('Dashboard'!$C$9, 'Dataset_Wisata'!$A$12:$A$622, 0)))/2)^2)) * 1.3</f>
        <v/>
      </c>
      <c r="J268" s="21">
        <f>ROUND(I268 * IF('Dashboard'!$C$6&lt;=1, 2250, IF('Dashboard'!$C$6&lt;=4, 5150, 6000)), 0)</f>
        <v/>
      </c>
      <c r="K268" s="30" t="n">
        <v>0.9672305756379272</v>
      </c>
      <c r="L268" s="30" t="n">
        <v>0.02690286027756393</v>
      </c>
      <c r="M268" s="30" t="n">
        <v>0.005866564084508831</v>
      </c>
      <c r="N268" s="31">
        <f>ABS(E268-$F$6)</f>
        <v/>
      </c>
      <c r="O268" s="31">
        <f>ABS(E268-$F$7)</f>
        <v/>
      </c>
      <c r="P268" s="31">
        <f>ABS(E268-$F$8)</f>
        <v/>
      </c>
      <c r="Q268" s="14">
        <f>IF(K268&gt;=MAX(L268,M268), "Hemat", IF(L268&gt;=M268, "Balanced", "Premium"))</f>
        <v/>
      </c>
      <c r="R268" s="30" t="n">
        <v>0.9672303035537276</v>
      </c>
      <c r="S268" s="30" t="n">
        <v>0.02690308452718115</v>
      </c>
      <c r="T268" s="30" t="n">
        <v>0.0058666119190913</v>
      </c>
      <c r="U268" s="31">
        <f>ABS(E268-$G$6)</f>
        <v/>
      </c>
      <c r="V268" s="31">
        <f>ABS(E268-$G$7)</f>
        <v/>
      </c>
      <c r="W268" s="31">
        <f>ABS(E268-$G$8)</f>
        <v/>
      </c>
      <c r="X268" s="14">
        <f>IF(R268&gt;=MAX(S268,T268), "Hemat", IF(S268&gt;=T268, "Balanced", "Premium"))</f>
        <v/>
      </c>
    </row>
    <row r="269">
      <c r="A269" s="14" t="n">
        <v>258</v>
      </c>
      <c r="B269" s="7" t="inlineStr">
        <is>
          <t>Nyaman Homestay</t>
        </is>
      </c>
      <c r="C269" s="26" t="n">
        <v>-7.9755248</v>
      </c>
      <c r="D269" s="26" t="n">
        <v>112.5967478</v>
      </c>
      <c r="E269" s="21" t="n">
        <v>150000</v>
      </c>
      <c r="F269" s="27" t="n">
        <v>0</v>
      </c>
      <c r="G269" s="28" t="n">
        <v>0</v>
      </c>
      <c r="H269" s="14" t="inlineStr">
        <is>
          <t>N/A</t>
        </is>
      </c>
      <c r="I269" s="29">
        <f>6371 * 2 * ASIN(SQRT(SIN(RADIANS((C269) - INDEX('Dataset_Wisata'!$C$12:$C$622, MATCH('Dashboard'!$C$9, 'Dataset_Wisata'!$A$12:$A$622, 0)))/2)^2 + COS(RADIANS(INDEX('Dataset_Wisata'!$C$12:$C$622, MATCH('Dashboard'!$C$9, 'Dataset_Wisata'!$A$12:$A$622, 0)))) * COS(RADIANS(C269)) * SIN(RADIANS((D269) - INDEX('Dataset_Wisata'!$D$12:$D$622, MATCH('Dashboard'!$C$9, 'Dataset_Wisata'!$A$12:$A$622, 0)))/2)^2)) * 1.3</f>
        <v/>
      </c>
      <c r="J269" s="21">
        <f>ROUND(I269 * IF('Dashboard'!$C$6&lt;=1, 2250, IF('Dashboard'!$C$6&lt;=4, 5150, 6000)), 0)</f>
        <v/>
      </c>
      <c r="K269" s="30" t="n">
        <v>0.9236568385235482</v>
      </c>
      <c r="L269" s="30" t="n">
        <v>0.06736899151285153</v>
      </c>
      <c r="M269" s="30" t="n">
        <v>0.008974169963600275</v>
      </c>
      <c r="N269" s="31">
        <f>ABS(E269-$F$6)</f>
        <v/>
      </c>
      <c r="O269" s="31">
        <f>ABS(E269-$F$7)</f>
        <v/>
      </c>
      <c r="P269" s="31">
        <f>ABS(E269-$F$8)</f>
        <v/>
      </c>
      <c r="Q269" s="14">
        <f>IF(K269&gt;=MAX(L269,M269), "Hemat", IF(L269&gt;=M269, "Balanced", "Premium"))</f>
        <v/>
      </c>
      <c r="R269" s="30" t="n">
        <v>0.9236592327110943</v>
      </c>
      <c r="S269" s="30" t="n">
        <v>0.0673668524262508</v>
      </c>
      <c r="T269" s="30" t="n">
        <v>0.008973914862654904</v>
      </c>
      <c r="U269" s="31">
        <f>ABS(E269-$G$6)</f>
        <v/>
      </c>
      <c r="V269" s="31">
        <f>ABS(E269-$G$7)</f>
        <v/>
      </c>
      <c r="W269" s="31">
        <f>ABS(E269-$G$8)</f>
        <v/>
      </c>
      <c r="X269" s="14">
        <f>IF(R269&gt;=MAX(S269,T269), "Hemat", IF(S269&gt;=T269, "Balanced", "Premium"))</f>
        <v/>
      </c>
    </row>
    <row r="270">
      <c r="A270" s="14" t="n">
        <v>259</v>
      </c>
      <c r="B270" s="7" t="inlineStr">
        <is>
          <t>CLOSEDE PROP</t>
        </is>
      </c>
      <c r="C270" s="26" t="n">
        <v>-7.9590649</v>
      </c>
      <c r="D270" s="26" t="n">
        <v>112.605791</v>
      </c>
      <c r="E270" s="21" t="n">
        <v>79477</v>
      </c>
      <c r="F270" s="27" t="n">
        <v>0</v>
      </c>
      <c r="G270" s="28" t="n">
        <v>0</v>
      </c>
      <c r="H270" s="14" t="inlineStr">
        <is>
          <t>N/A</t>
        </is>
      </c>
      <c r="I270" s="29">
        <f>6371 * 2 * ASIN(SQRT(SIN(RADIANS((C270) - INDEX('Dataset_Wisata'!$C$12:$C$622, MATCH('Dashboard'!$C$9, 'Dataset_Wisata'!$A$12:$A$622, 0)))/2)^2 + COS(RADIANS(INDEX('Dataset_Wisata'!$C$12:$C$622, MATCH('Dashboard'!$C$9, 'Dataset_Wisata'!$A$12:$A$622, 0)))) * COS(RADIANS(C270)) * SIN(RADIANS((D270) - INDEX('Dataset_Wisata'!$D$12:$D$622, MATCH('Dashboard'!$C$9, 'Dataset_Wisata'!$A$12:$A$622, 0)))/2)^2)) * 1.3</f>
        <v/>
      </c>
      <c r="J270" s="21">
        <f>ROUND(I270 * IF('Dashboard'!$C$6&lt;=1, 2250, IF('Dashboard'!$C$6&lt;=4, 5150, 6000)), 0)</f>
        <v/>
      </c>
      <c r="K270" s="30" t="n">
        <v>0.9165697478607646</v>
      </c>
      <c r="L270" s="30" t="n">
        <v>0.06674733161144872</v>
      </c>
      <c r="M270" s="30" t="n">
        <v>0.01668292052778678</v>
      </c>
      <c r="N270" s="31">
        <f>ABS(E270-$F$6)</f>
        <v/>
      </c>
      <c r="O270" s="31">
        <f>ABS(E270-$F$7)</f>
        <v/>
      </c>
      <c r="P270" s="31">
        <f>ABS(E270-$F$8)</f>
        <v/>
      </c>
      <c r="Q270" s="14">
        <f>IF(K270&gt;=MAX(L270,M270), "Hemat", IF(L270&gt;=M270, "Balanced", "Premium"))</f>
        <v/>
      </c>
      <c r="R270" s="30" t="n">
        <v>0.9165696760269372</v>
      </c>
      <c r="S270" s="30" t="n">
        <v>0.06674740014241415</v>
      </c>
      <c r="T270" s="30" t="n">
        <v>0.01668292383064853</v>
      </c>
      <c r="U270" s="31">
        <f>ABS(E270-$G$6)</f>
        <v/>
      </c>
      <c r="V270" s="31">
        <f>ABS(E270-$G$7)</f>
        <v/>
      </c>
      <c r="W270" s="31">
        <f>ABS(E270-$G$8)</f>
        <v/>
      </c>
      <c r="X270" s="14">
        <f>IF(R270&gt;=MAX(S270,T270), "Hemat", IF(S270&gt;=T270, "Balanced", "Premium"))</f>
        <v/>
      </c>
    </row>
    <row r="271">
      <c r="A271" s="14" t="n">
        <v>260</v>
      </c>
      <c r="B271" s="7" t="inlineStr">
        <is>
          <t>RedDoorz Syariah @ Jl Simpang Gajayana (Hasanah Guest House Gajayana)</t>
        </is>
      </c>
      <c r="C271" s="26" t="n">
        <v>-7.9469596</v>
      </c>
      <c r="D271" s="26" t="n">
        <v>112.6084752</v>
      </c>
      <c r="E271" s="21" t="n">
        <v>168021</v>
      </c>
      <c r="F271" s="27" t="n">
        <v>0</v>
      </c>
      <c r="G271" s="28" t="n">
        <v>0</v>
      </c>
      <c r="H271" s="14" t="inlineStr">
        <is>
          <t>N/A</t>
        </is>
      </c>
      <c r="I271" s="29">
        <f>6371 * 2 * ASIN(SQRT(SIN(RADIANS((C271) - INDEX('Dataset_Wisata'!$C$12:$C$622, MATCH('Dashboard'!$C$9, 'Dataset_Wisata'!$A$12:$A$622, 0)))/2)^2 + COS(RADIANS(INDEX('Dataset_Wisata'!$C$12:$C$622, MATCH('Dashboard'!$C$9, 'Dataset_Wisata'!$A$12:$A$622, 0)))) * COS(RADIANS(C271)) * SIN(RADIANS((D271) - INDEX('Dataset_Wisata'!$D$12:$D$622, MATCH('Dashboard'!$C$9, 'Dataset_Wisata'!$A$12:$A$622, 0)))/2)^2)) * 1.3</f>
        <v/>
      </c>
      <c r="J271" s="21">
        <f>ROUND(I271 * IF('Dashboard'!$C$6&lt;=1, 2250, IF('Dashboard'!$C$6&lt;=4, 5150, 6000)), 0)</f>
        <v/>
      </c>
      <c r="K271" s="30" t="n">
        <v>0.7392544867573412</v>
      </c>
      <c r="L271" s="30" t="n">
        <v>0.236807811709488</v>
      </c>
      <c r="M271" s="30" t="n">
        <v>0.02393770153317082</v>
      </c>
      <c r="N271" s="31">
        <f>ABS(E271-$F$6)</f>
        <v/>
      </c>
      <c r="O271" s="31">
        <f>ABS(E271-$F$7)</f>
        <v/>
      </c>
      <c r="P271" s="31">
        <f>ABS(E271-$F$8)</f>
        <v/>
      </c>
      <c r="Q271" s="14">
        <f>IF(K271&gt;=MAX(L271,M271), "Hemat", IF(L271&gt;=M271, "Balanced", "Premium"))</f>
        <v/>
      </c>
      <c r="R271" s="30" t="n">
        <v>0.7392602880621489</v>
      </c>
      <c r="S271" s="30" t="n">
        <v>0.2368024093075209</v>
      </c>
      <c r="T271" s="30" t="n">
        <v>0.02393730263033014</v>
      </c>
      <c r="U271" s="31">
        <f>ABS(E271-$G$6)</f>
        <v/>
      </c>
      <c r="V271" s="31">
        <f>ABS(E271-$G$7)</f>
        <v/>
      </c>
      <c r="W271" s="31">
        <f>ABS(E271-$G$8)</f>
        <v/>
      </c>
      <c r="X271" s="14">
        <f>IF(R271&gt;=MAX(S271,T271), "Hemat", IF(S271&gt;=T271, "Balanced", "Premium"))</f>
        <v/>
      </c>
    </row>
    <row r="272">
      <c r="A272" s="14" t="n">
        <v>261</v>
      </c>
      <c r="B272" s="7" t="inlineStr">
        <is>
          <t>OYO 3763 Oq Guest House Syariah</t>
        </is>
      </c>
      <c r="C272" s="26" t="n">
        <v>-7.9520893</v>
      </c>
      <c r="D272" s="26" t="n">
        <v>112.603569</v>
      </c>
      <c r="E272" s="21" t="n">
        <v>170000</v>
      </c>
      <c r="F272" s="27" t="n">
        <v>0</v>
      </c>
      <c r="G272" s="28" t="n">
        <v>0</v>
      </c>
      <c r="H272" s="14" t="inlineStr">
        <is>
          <t>N/A</t>
        </is>
      </c>
      <c r="I272" s="29">
        <f>6371 * 2 * ASIN(SQRT(SIN(RADIANS((C272) - INDEX('Dataset_Wisata'!$C$12:$C$622, MATCH('Dashboard'!$C$9, 'Dataset_Wisata'!$A$12:$A$622, 0)))/2)^2 + COS(RADIANS(INDEX('Dataset_Wisata'!$C$12:$C$622, MATCH('Dashboard'!$C$9, 'Dataset_Wisata'!$A$12:$A$622, 0)))) * COS(RADIANS(C272)) * SIN(RADIANS((D272) - INDEX('Dataset_Wisata'!$D$12:$D$622, MATCH('Dashboard'!$C$9, 'Dataset_Wisata'!$A$12:$A$622, 0)))/2)^2)) * 1.3</f>
        <v/>
      </c>
      <c r="J272" s="21">
        <f>ROUND(I272 * IF('Dashboard'!$C$6&lt;=1, 2250, IF('Dashboard'!$C$6&lt;=4, 5150, 6000)), 0)</f>
        <v/>
      </c>
      <c r="K272" s="30" t="n">
        <v>0.7119837183050363</v>
      </c>
      <c r="L272" s="30" t="n">
        <v>0.2624152611455975</v>
      </c>
      <c r="M272" s="30" t="n">
        <v>0.02560102054936619</v>
      </c>
      <c r="N272" s="31">
        <f>ABS(E272-$F$6)</f>
        <v/>
      </c>
      <c r="O272" s="31">
        <f>ABS(E272-$F$7)</f>
        <v/>
      </c>
      <c r="P272" s="31">
        <f>ABS(E272-$F$8)</f>
        <v/>
      </c>
      <c r="Q272" s="14">
        <f>IF(K272&gt;=MAX(L272,M272), "Hemat", IF(L272&gt;=M272, "Balanced", "Premium"))</f>
        <v/>
      </c>
      <c r="R272" s="30" t="n">
        <v>0.7119898992332693</v>
      </c>
      <c r="S272" s="30" t="n">
        <v>0.2624094765922805</v>
      </c>
      <c r="T272" s="30" t="n">
        <v>0.02560062417445023</v>
      </c>
      <c r="U272" s="31">
        <f>ABS(E272-$G$6)</f>
        <v/>
      </c>
      <c r="V272" s="31">
        <f>ABS(E272-$G$7)</f>
        <v/>
      </c>
      <c r="W272" s="31">
        <f>ABS(E272-$G$8)</f>
        <v/>
      </c>
      <c r="X272" s="14">
        <f>IF(R272&gt;=MAX(S272,T272), "Hemat", IF(S272&gt;=T272, "Balanced", "Premium"))</f>
        <v/>
      </c>
    </row>
    <row r="273">
      <c r="A273" s="14" t="n">
        <v>262</v>
      </c>
      <c r="B273" s="7" t="inlineStr">
        <is>
          <t>Omahkoe guesthouse</t>
        </is>
      </c>
      <c r="C273" s="26" t="n">
        <v>-7.957439</v>
      </c>
      <c r="D273" s="26" t="n">
        <v>112.6100354</v>
      </c>
      <c r="E273" s="21" t="n">
        <v>200000</v>
      </c>
      <c r="F273" s="27" t="n">
        <v>0</v>
      </c>
      <c r="G273" s="28" t="n">
        <v>0</v>
      </c>
      <c r="H273" s="14" t="inlineStr">
        <is>
          <t>N/A</t>
        </is>
      </c>
      <c r="I273" s="29">
        <f>6371 * 2 * ASIN(SQRT(SIN(RADIANS((C273) - INDEX('Dataset_Wisata'!$C$12:$C$622, MATCH('Dashboard'!$C$9, 'Dataset_Wisata'!$A$12:$A$622, 0)))/2)^2 + COS(RADIANS(INDEX('Dataset_Wisata'!$C$12:$C$622, MATCH('Dashboard'!$C$9, 'Dataset_Wisata'!$A$12:$A$622, 0)))) * COS(RADIANS(C273)) * SIN(RADIANS((D273) - INDEX('Dataset_Wisata'!$D$12:$D$622, MATCH('Dashboard'!$C$9, 'Dataset_Wisata'!$A$12:$A$622, 0)))/2)^2)) * 1.3</f>
        <v/>
      </c>
      <c r="J273" s="21">
        <f>ROUND(I273 * IF('Dashboard'!$C$6&lt;=1, 2250, IF('Dashboard'!$C$6&lt;=4, 5150, 6000)), 0)</f>
        <v/>
      </c>
      <c r="K273" s="30" t="n">
        <v>0.2553120674410002</v>
      </c>
      <c r="L273" s="30" t="n">
        <v>0.7118698806466551</v>
      </c>
      <c r="M273" s="30" t="n">
        <v>0.03281805191234464</v>
      </c>
      <c r="N273" s="31">
        <f>ABS(E273-$F$6)</f>
        <v/>
      </c>
      <c r="O273" s="31">
        <f>ABS(E273-$F$7)</f>
        <v/>
      </c>
      <c r="P273" s="31">
        <f>ABS(E273-$F$8)</f>
        <v/>
      </c>
      <c r="Q273" s="14">
        <f>IF(K273&gt;=MAX(L273,M273), "Hemat", IF(L273&gt;=M273, "Balanced", "Premium"))</f>
        <v/>
      </c>
      <c r="R273" s="30" t="n">
        <v>0.2553195689263855</v>
      </c>
      <c r="S273" s="30" t="n">
        <v>0.7118621403928133</v>
      </c>
      <c r="T273" s="30" t="n">
        <v>0.03281829068080127</v>
      </c>
      <c r="U273" s="31">
        <f>ABS(E273-$G$6)</f>
        <v/>
      </c>
      <c r="V273" s="31">
        <f>ABS(E273-$G$7)</f>
        <v/>
      </c>
      <c r="W273" s="31">
        <f>ABS(E273-$G$8)</f>
        <v/>
      </c>
      <c r="X273" s="14">
        <f>IF(R273&gt;=MAX(S273,T273), "Hemat", IF(S273&gt;=T273, "Balanced", "Premium"))</f>
        <v/>
      </c>
    </row>
    <row r="274">
      <c r="A274" s="14" t="n">
        <v>263</v>
      </c>
      <c r="B274" s="7" t="inlineStr">
        <is>
          <t>HOMEY</t>
        </is>
      </c>
      <c r="C274" s="26" t="n">
        <v>-7.9497877</v>
      </c>
      <c r="D274" s="26" t="n">
        <v>112.6113754</v>
      </c>
      <c r="E274" s="21" t="n">
        <v>101510</v>
      </c>
      <c r="F274" s="27" t="n">
        <v>0</v>
      </c>
      <c r="G274" s="28" t="n">
        <v>0</v>
      </c>
      <c r="H274" s="14" t="inlineStr">
        <is>
          <t>N/A</t>
        </is>
      </c>
      <c r="I274" s="29">
        <f>6371 * 2 * ASIN(SQRT(SIN(RADIANS((C274) - INDEX('Dataset_Wisata'!$C$12:$C$622, MATCH('Dashboard'!$C$9, 'Dataset_Wisata'!$A$12:$A$622, 0)))/2)^2 + COS(RADIANS(INDEX('Dataset_Wisata'!$C$12:$C$622, MATCH('Dashboard'!$C$9, 'Dataset_Wisata'!$A$12:$A$622, 0)))) * COS(RADIANS(C274)) * SIN(RADIANS((D274) - INDEX('Dataset_Wisata'!$D$12:$D$622, MATCH('Dashboard'!$C$9, 'Dataset_Wisata'!$A$12:$A$622, 0)))/2)^2)) * 1.3</f>
        <v/>
      </c>
      <c r="J274" s="21">
        <f>ROUND(I274 * IF('Dashboard'!$C$6&lt;=1, 2250, IF('Dashboard'!$C$6&lt;=4, 5150, 6000)), 0)</f>
        <v/>
      </c>
      <c r="K274" s="30" t="n">
        <v>0.9705354852349011</v>
      </c>
      <c r="L274" s="30" t="n">
        <v>0.02423776379284151</v>
      </c>
      <c r="M274" s="30" t="n">
        <v>0.005226750972257323</v>
      </c>
      <c r="N274" s="31">
        <f>ABS(E274-$F$6)</f>
        <v/>
      </c>
      <c r="O274" s="31">
        <f>ABS(E274-$F$7)</f>
        <v/>
      </c>
      <c r="P274" s="31">
        <f>ABS(E274-$F$8)</f>
        <v/>
      </c>
      <c r="Q274" s="14">
        <f>IF(K274&gt;=MAX(L274,M274), "Hemat", IF(L274&gt;=M274, "Balanced", "Premium"))</f>
        <v/>
      </c>
      <c r="R274" s="30" t="n">
        <v>0.970535206065844</v>
      </c>
      <c r="S274" s="30" t="n">
        <v>0.02423799396784438</v>
      </c>
      <c r="T274" s="30" t="n">
        <v>0.005226799966311676</v>
      </c>
      <c r="U274" s="31">
        <f>ABS(E274-$G$6)</f>
        <v/>
      </c>
      <c r="V274" s="31">
        <f>ABS(E274-$G$7)</f>
        <v/>
      </c>
      <c r="W274" s="31">
        <f>ABS(E274-$G$8)</f>
        <v/>
      </c>
      <c r="X274" s="14">
        <f>IF(R274&gt;=MAX(S274,T274), "Hemat", IF(S274&gt;=T274, "Balanced", "Premium"))</f>
        <v/>
      </c>
    </row>
    <row r="275">
      <c r="A275" s="14" t="n">
        <v>264</v>
      </c>
      <c r="B275" s="7" t="inlineStr">
        <is>
          <t>Embun Pagi Syariah Bendungan Sempor 8 Malang</t>
        </is>
      </c>
      <c r="C275" s="26" t="n">
        <v>-7.9597593</v>
      </c>
      <c r="D275" s="26" t="n">
        <v>112.6124389</v>
      </c>
      <c r="E275" s="21" t="n">
        <v>159847</v>
      </c>
      <c r="F275" s="27" t="n">
        <v>0</v>
      </c>
      <c r="G275" s="28" t="n">
        <v>0</v>
      </c>
      <c r="H275" s="14" t="inlineStr">
        <is>
          <t>N/A</t>
        </is>
      </c>
      <c r="I275" s="29">
        <f>6371 * 2 * ASIN(SQRT(SIN(RADIANS((C275) - INDEX('Dataset_Wisata'!$C$12:$C$622, MATCH('Dashboard'!$C$9, 'Dataset_Wisata'!$A$12:$A$622, 0)))/2)^2 + COS(RADIANS(INDEX('Dataset_Wisata'!$C$12:$C$622, MATCH('Dashboard'!$C$9, 'Dataset_Wisata'!$A$12:$A$622, 0)))) * COS(RADIANS(C275)) * SIN(RADIANS((D275) - INDEX('Dataset_Wisata'!$D$12:$D$622, MATCH('Dashboard'!$C$9, 'Dataset_Wisata'!$A$12:$A$622, 0)))/2)^2)) * 1.3</f>
        <v/>
      </c>
      <c r="J275" s="21">
        <f>ROUND(I275 * IF('Dashboard'!$C$6&lt;=1, 2250, IF('Dashboard'!$C$6&lt;=4, 5150, 6000)), 0)</f>
        <v/>
      </c>
      <c r="K275" s="30" t="n">
        <v>0.8379712907964074</v>
      </c>
      <c r="L275" s="30" t="n">
        <v>0.1452292876263524</v>
      </c>
      <c r="M275" s="30" t="n">
        <v>0.0167994215772401</v>
      </c>
      <c r="N275" s="31">
        <f>ABS(E275-$F$6)</f>
        <v/>
      </c>
      <c r="O275" s="31">
        <f>ABS(E275-$F$7)</f>
        <v/>
      </c>
      <c r="P275" s="31">
        <f>ABS(E275-$F$8)</f>
        <v/>
      </c>
      <c r="Q275" s="14">
        <f>IF(K275&gt;=MAX(L275,M275), "Hemat", IF(L275&gt;=M275, "Balanced", "Premium"))</f>
        <v/>
      </c>
      <c r="R275" s="30" t="n">
        <v>0.8379754607274058</v>
      </c>
      <c r="S275" s="30" t="n">
        <v>0.1452254794488784</v>
      </c>
      <c r="T275" s="30" t="n">
        <v>0.01679905982371585</v>
      </c>
      <c r="U275" s="31">
        <f>ABS(E275-$G$6)</f>
        <v/>
      </c>
      <c r="V275" s="31">
        <f>ABS(E275-$G$7)</f>
        <v/>
      </c>
      <c r="W275" s="31">
        <f>ABS(E275-$G$8)</f>
        <v/>
      </c>
      <c r="X275" s="14">
        <f>IF(R275&gt;=MAX(S275,T275), "Hemat", IF(S275&gt;=T275, "Balanced", "Premium"))</f>
        <v/>
      </c>
    </row>
    <row r="276">
      <c r="A276" s="14" t="n">
        <v>265</v>
      </c>
      <c r="B276" s="7" t="inlineStr">
        <is>
          <t>OYO Life 2744 Guest House Qudsi</t>
        </is>
      </c>
      <c r="C276" s="26" t="n">
        <v>-7.946317</v>
      </c>
      <c r="D276" s="26" t="n">
        <v>112.6089672</v>
      </c>
      <c r="E276" s="21" t="n">
        <v>111597</v>
      </c>
      <c r="F276" s="27" t="n">
        <v>0</v>
      </c>
      <c r="G276" s="28" t="n">
        <v>0</v>
      </c>
      <c r="H276" s="14" t="inlineStr">
        <is>
          <t>N/A</t>
        </is>
      </c>
      <c r="I276" s="29">
        <f>6371 * 2 * ASIN(SQRT(SIN(RADIANS((C276) - INDEX('Dataset_Wisata'!$C$12:$C$622, MATCH('Dashboard'!$C$9, 'Dataset_Wisata'!$A$12:$A$622, 0)))/2)^2 + COS(RADIANS(INDEX('Dataset_Wisata'!$C$12:$C$622, MATCH('Dashboard'!$C$9, 'Dataset_Wisata'!$A$12:$A$622, 0)))) * COS(RADIANS(C276)) * SIN(RADIANS((D276) - INDEX('Dataset_Wisata'!$D$12:$D$622, MATCH('Dashboard'!$C$9, 'Dataset_Wisata'!$A$12:$A$622, 0)))/2)^2)) * 1.3</f>
        <v/>
      </c>
      <c r="J276" s="21">
        <f>ROUND(I276 * IF('Dashboard'!$C$6&lt;=1, 2250, IF('Dashboard'!$C$6&lt;=4, 5150, 6000)), 0)</f>
        <v/>
      </c>
      <c r="K276" s="30" t="n">
        <v>0.9893948009921992</v>
      </c>
      <c r="L276" s="30" t="n">
        <v>0.008843362904596062</v>
      </c>
      <c r="M276" s="30" t="n">
        <v>0.001761836103204701</v>
      </c>
      <c r="N276" s="31">
        <f>ABS(E276-$F$6)</f>
        <v/>
      </c>
      <c r="O276" s="31">
        <f>ABS(E276-$F$7)</f>
        <v/>
      </c>
      <c r="P276" s="31">
        <f>ABS(E276-$F$8)</f>
        <v/>
      </c>
      <c r="Q276" s="14">
        <f>IF(K276&gt;=MAX(L276,M276), "Hemat", IF(L276&gt;=M276, "Balanced", "Premium"))</f>
        <v/>
      </c>
      <c r="R276" s="30" t="n">
        <v>0.9893945344147571</v>
      </c>
      <c r="S276" s="30" t="n">
        <v>0.008843584722760344</v>
      </c>
      <c r="T276" s="30" t="n">
        <v>0.001761880862482516</v>
      </c>
      <c r="U276" s="31">
        <f>ABS(E276-$G$6)</f>
        <v/>
      </c>
      <c r="V276" s="31">
        <f>ABS(E276-$G$7)</f>
        <v/>
      </c>
      <c r="W276" s="31">
        <f>ABS(E276-$G$8)</f>
        <v/>
      </c>
      <c r="X276" s="14">
        <f>IF(R276&gt;=MAX(S276,T276), "Hemat", IF(S276&gt;=T276, "Balanced", "Premium"))</f>
        <v/>
      </c>
    </row>
    <row r="277">
      <c r="A277" s="14" t="n">
        <v>266</v>
      </c>
      <c r="B277" s="7" t="inlineStr">
        <is>
          <t>Griya Merjosari Family Syariah</t>
        </is>
      </c>
      <c r="C277" s="26" t="n">
        <v>-7.9469878</v>
      </c>
      <c r="D277" s="26" t="n">
        <v>112.6041569</v>
      </c>
      <c r="E277" s="21" t="n">
        <v>190000</v>
      </c>
      <c r="F277" s="27" t="n">
        <v>0</v>
      </c>
      <c r="G277" s="28" t="n">
        <v>0</v>
      </c>
      <c r="H277" s="14" t="inlineStr">
        <is>
          <t>N/A</t>
        </is>
      </c>
      <c r="I277" s="29">
        <f>6371 * 2 * ASIN(SQRT(SIN(RADIANS((C277) - INDEX('Dataset_Wisata'!$C$12:$C$622, MATCH('Dashboard'!$C$9, 'Dataset_Wisata'!$A$12:$A$622, 0)))/2)^2 + COS(RADIANS(INDEX('Dataset_Wisata'!$C$12:$C$622, MATCH('Dashboard'!$C$9, 'Dataset_Wisata'!$A$12:$A$622, 0)))) * COS(RADIANS(C277)) * SIN(RADIANS((D277) - INDEX('Dataset_Wisata'!$D$12:$D$622, MATCH('Dashboard'!$C$9, 'Dataset_Wisata'!$A$12:$A$622, 0)))/2)^2)) * 1.3</f>
        <v/>
      </c>
      <c r="J277" s="21">
        <f>ROUND(I277 * IF('Dashboard'!$C$6&lt;=1, 2250, IF('Dashboard'!$C$6&lt;=4, 5150, 6000)), 0)</f>
        <v/>
      </c>
      <c r="K277" s="30" t="n">
        <v>0.4002063251583005</v>
      </c>
      <c r="L277" s="30" t="n">
        <v>0.564459249895505</v>
      </c>
      <c r="M277" s="30" t="n">
        <v>0.0353344249461946</v>
      </c>
      <c r="N277" s="31">
        <f>ABS(E277-$F$6)</f>
        <v/>
      </c>
      <c r="O277" s="31">
        <f>ABS(E277-$F$7)</f>
        <v/>
      </c>
      <c r="P277" s="31">
        <f>ABS(E277-$F$8)</f>
        <v/>
      </c>
      <c r="Q277" s="14">
        <f>IF(K277&gt;=MAX(L277,M277), "Hemat", IF(L277&gt;=M277, "Balanced", "Premium"))</f>
        <v/>
      </c>
      <c r="R277" s="30" t="n">
        <v>0.4002145551203617</v>
      </c>
      <c r="S277" s="30" t="n">
        <v>0.564451082065315</v>
      </c>
      <c r="T277" s="30" t="n">
        <v>0.03533436281432327</v>
      </c>
      <c r="U277" s="31">
        <f>ABS(E277-$G$6)</f>
        <v/>
      </c>
      <c r="V277" s="31">
        <f>ABS(E277-$G$7)</f>
        <v/>
      </c>
      <c r="W277" s="31">
        <f>ABS(E277-$G$8)</f>
        <v/>
      </c>
      <c r="X277" s="14">
        <f>IF(R277&gt;=MAX(S277,T277), "Hemat", IF(S277&gt;=T277, "Balanced", "Premium"))</f>
        <v/>
      </c>
    </row>
    <row r="278">
      <c r="A278" s="14" t="n">
        <v>267</v>
      </c>
      <c r="B278" s="7" t="inlineStr">
        <is>
          <t>New Bandahara Exclusive</t>
        </is>
      </c>
      <c r="C278" s="26" t="n">
        <v>-7.9691527</v>
      </c>
      <c r="D278" s="26" t="n">
        <v>112.6081461</v>
      </c>
      <c r="E278" s="21" t="n">
        <v>220000</v>
      </c>
      <c r="F278" s="27" t="n">
        <v>0</v>
      </c>
      <c r="G278" s="28" t="n">
        <v>0</v>
      </c>
      <c r="H278" s="14" t="inlineStr">
        <is>
          <t>N/A</t>
        </is>
      </c>
      <c r="I278" s="29">
        <f>6371 * 2 * ASIN(SQRT(SIN(RADIANS((C278) - INDEX('Dataset_Wisata'!$C$12:$C$622, MATCH('Dashboard'!$C$9, 'Dataset_Wisata'!$A$12:$A$622, 0)))/2)^2 + COS(RADIANS(INDEX('Dataset_Wisata'!$C$12:$C$622, MATCH('Dashboard'!$C$9, 'Dataset_Wisata'!$A$12:$A$622, 0)))) * COS(RADIANS(C278)) * SIN(RADIANS((D278) - INDEX('Dataset_Wisata'!$D$12:$D$622, MATCH('Dashboard'!$C$9, 'Dataset_Wisata'!$A$12:$A$622, 0)))/2)^2)) * 1.3</f>
        <v/>
      </c>
      <c r="J278" s="21">
        <f>ROUND(I278 * IF('Dashboard'!$C$6&lt;=1, 2250, IF('Dashboard'!$C$6&lt;=4, 5150, 6000)), 0)</f>
        <v/>
      </c>
      <c r="K278" s="30" t="n">
        <v>0.06452274105716235</v>
      </c>
      <c r="L278" s="30" t="n">
        <v>0.9193105418902358</v>
      </c>
      <c r="M278" s="30" t="n">
        <v>0.01616671705260184</v>
      </c>
      <c r="N278" s="31">
        <f>ABS(E278-$F$6)</f>
        <v/>
      </c>
      <c r="O278" s="31">
        <f>ABS(E278-$F$7)</f>
        <v/>
      </c>
      <c r="P278" s="31">
        <f>ABS(E278-$F$8)</f>
        <v/>
      </c>
      <c r="Q278" s="14">
        <f>IF(K278&gt;=MAX(L278,M278), "Hemat", IF(L278&gt;=M278, "Balanced", "Premium"))</f>
        <v/>
      </c>
      <c r="R278" s="30" t="n">
        <v>0.06452667026745663</v>
      </c>
      <c r="S278" s="30" t="n">
        <v>0.9193059917155963</v>
      </c>
      <c r="T278" s="30" t="n">
        <v>0.01616733801694707</v>
      </c>
      <c r="U278" s="31">
        <f>ABS(E278-$G$6)</f>
        <v/>
      </c>
      <c r="V278" s="31">
        <f>ABS(E278-$G$7)</f>
        <v/>
      </c>
      <c r="W278" s="31">
        <f>ABS(E278-$G$8)</f>
        <v/>
      </c>
      <c r="X278" s="14">
        <f>IF(R278&gt;=MAX(S278,T278), "Hemat", IF(S278&gt;=T278, "Balanced", "Premium"))</f>
        <v/>
      </c>
    </row>
    <row r="279">
      <c r="A279" s="14" t="n">
        <v>268</v>
      </c>
      <c r="B279" s="7" t="inlineStr">
        <is>
          <t>Djuragan Kamar Bandahara</t>
        </is>
      </c>
      <c r="C279" s="26" t="n">
        <v>-7.9690263</v>
      </c>
      <c r="D279" s="26" t="n">
        <v>112.6080664</v>
      </c>
      <c r="E279" s="21" t="n">
        <v>172000</v>
      </c>
      <c r="F279" s="27" t="n">
        <v>0</v>
      </c>
      <c r="G279" s="28" t="n">
        <v>0</v>
      </c>
      <c r="H279" s="14" t="inlineStr">
        <is>
          <t>N/A</t>
        </is>
      </c>
      <c r="I279" s="29">
        <f>6371 * 2 * ASIN(SQRT(SIN(RADIANS((C279) - INDEX('Dataset_Wisata'!$C$12:$C$622, MATCH('Dashboard'!$C$9, 'Dataset_Wisata'!$A$12:$A$622, 0)))/2)^2 + COS(RADIANS(INDEX('Dataset_Wisata'!$C$12:$C$622, MATCH('Dashboard'!$C$9, 'Dataset_Wisata'!$A$12:$A$622, 0)))) * COS(RADIANS(C279)) * SIN(RADIANS((D279) - INDEX('Dataset_Wisata'!$D$12:$D$622, MATCH('Dashboard'!$C$9, 'Dataset_Wisata'!$A$12:$A$622, 0)))/2)^2)) * 1.3</f>
        <v/>
      </c>
      <c r="J279" s="21">
        <f>ROUND(I279 * IF('Dashboard'!$C$6&lt;=1, 2250, IF('Dashboard'!$C$6&lt;=4, 5150, 6000)), 0)</f>
        <v/>
      </c>
      <c r="K279" s="30" t="n">
        <v>0.6832896440449974</v>
      </c>
      <c r="L279" s="30" t="n">
        <v>0.2894970618457217</v>
      </c>
      <c r="M279" s="30" t="n">
        <v>0.02721329410928099</v>
      </c>
      <c r="N279" s="31">
        <f>ABS(E279-$F$6)</f>
        <v/>
      </c>
      <c r="O279" s="31">
        <f>ABS(E279-$F$7)</f>
        <v/>
      </c>
      <c r="P279" s="31">
        <f>ABS(E279-$F$8)</f>
        <v/>
      </c>
      <c r="Q279" s="14">
        <f>IF(K279&gt;=MAX(L279,M279), "Hemat", IF(L279&gt;=M279, "Balanced", "Premium"))</f>
        <v/>
      </c>
      <c r="R279" s="30" t="n">
        <v>0.6832961914069424</v>
      </c>
      <c r="S279" s="30" t="n">
        <v>0.289490902853849</v>
      </c>
      <c r="T279" s="30" t="n">
        <v>0.02721290573920864</v>
      </c>
      <c r="U279" s="31">
        <f>ABS(E279-$G$6)</f>
        <v/>
      </c>
      <c r="V279" s="31">
        <f>ABS(E279-$G$7)</f>
        <v/>
      </c>
      <c r="W279" s="31">
        <f>ABS(E279-$G$8)</f>
        <v/>
      </c>
      <c r="X279" s="14">
        <f>IF(R279&gt;=MAX(S279,T279), "Hemat", IF(S279&gt;=T279, "Balanced", "Premium"))</f>
        <v/>
      </c>
    </row>
    <row r="280">
      <c r="A280" s="14" t="n">
        <v>269</v>
      </c>
      <c r="B280" s="7" t="inlineStr">
        <is>
          <t>Ed Ning Hotel</t>
        </is>
      </c>
      <c r="C280" s="26" t="n">
        <v>-7.9704565</v>
      </c>
      <c r="D280" s="26" t="n">
        <v>112.6078609</v>
      </c>
      <c r="E280" s="21" t="n">
        <v>250000</v>
      </c>
      <c r="F280" s="27" t="n">
        <v>0</v>
      </c>
      <c r="G280" s="28" t="n">
        <v>0</v>
      </c>
      <c r="H280" s="14" t="inlineStr">
        <is>
          <t>N/A</t>
        </is>
      </c>
      <c r="I280" s="29">
        <f>6371 * 2 * ASIN(SQRT(SIN(RADIANS((C280) - INDEX('Dataset_Wisata'!$C$12:$C$622, MATCH('Dashboard'!$C$9, 'Dataset_Wisata'!$A$12:$A$622, 0)))/2)^2 + COS(RADIANS(INDEX('Dataset_Wisata'!$C$12:$C$622, MATCH('Dashboard'!$C$9, 'Dataset_Wisata'!$A$12:$A$622, 0)))) * COS(RADIANS(C280)) * SIN(RADIANS((D280) - INDEX('Dataset_Wisata'!$D$12:$D$622, MATCH('Dashboard'!$C$9, 'Dataset_Wisata'!$A$12:$A$622, 0)))/2)^2)) * 1.3</f>
        <v/>
      </c>
      <c r="J280" s="21">
        <f>ROUND(I280 * IF('Dashboard'!$C$6&lt;=1, 2250, IF('Dashboard'!$C$6&lt;=4, 5150, 6000)), 0)</f>
        <v/>
      </c>
      <c r="K280" s="30" t="n">
        <v>0.001353558595276529</v>
      </c>
      <c r="L280" s="30" t="n">
        <v>0.9978236799136749</v>
      </c>
      <c r="M280" s="30" t="n">
        <v>0.0008227614910485521</v>
      </c>
      <c r="N280" s="31">
        <f>ABS(E280-$F$6)</f>
        <v/>
      </c>
      <c r="O280" s="31">
        <f>ABS(E280-$F$7)</f>
        <v/>
      </c>
      <c r="P280" s="31">
        <f>ABS(E280-$F$8)</f>
        <v/>
      </c>
      <c r="Q280" s="14">
        <f>IF(K280&gt;=MAX(L280,M280), "Hemat", IF(L280&gt;=M280, "Balanced", "Premium"))</f>
        <v/>
      </c>
      <c r="R280" s="30" t="n">
        <v>0.001353112652701395</v>
      </c>
      <c r="S280" s="30" t="n">
        <v>0.9978244171537111</v>
      </c>
      <c r="T280" s="30" t="n">
        <v>0.0008224701935875775</v>
      </c>
      <c r="U280" s="31">
        <f>ABS(E280-$G$6)</f>
        <v/>
      </c>
      <c r="V280" s="31">
        <f>ABS(E280-$G$7)</f>
        <v/>
      </c>
      <c r="W280" s="31">
        <f>ABS(E280-$G$8)</f>
        <v/>
      </c>
      <c r="X280" s="14">
        <f>IF(R280&gt;=MAX(S280,T280), "Hemat", IF(S280&gt;=T280, "Balanced", "Premium"))</f>
        <v/>
      </c>
    </row>
    <row r="281">
      <c r="A281" s="14" t="n">
        <v>270</v>
      </c>
      <c r="B281" s="7" t="inlineStr">
        <is>
          <t>Adisa Homestay</t>
        </is>
      </c>
      <c r="C281" s="26" t="n">
        <v>-7.9656722</v>
      </c>
      <c r="D281" s="26" t="n">
        <v>112.6319221</v>
      </c>
      <c r="E281" s="21" t="n">
        <v>197188</v>
      </c>
      <c r="F281" s="27" t="n">
        <v>0</v>
      </c>
      <c r="G281" s="28" t="n">
        <v>0</v>
      </c>
      <c r="H281" s="14" t="inlineStr">
        <is>
          <t>N/A</t>
        </is>
      </c>
      <c r="I281" s="29">
        <f>6371 * 2 * ASIN(SQRT(SIN(RADIANS((C281) - INDEX('Dataset_Wisata'!$C$12:$C$622, MATCH('Dashboard'!$C$9, 'Dataset_Wisata'!$A$12:$A$622, 0)))/2)^2 + COS(RADIANS(INDEX('Dataset_Wisata'!$C$12:$C$622, MATCH('Dashboard'!$C$9, 'Dataset_Wisata'!$A$12:$A$622, 0)))) * COS(RADIANS(C281)) * SIN(RADIANS((D281) - INDEX('Dataset_Wisata'!$D$12:$D$622, MATCH('Dashboard'!$C$9, 'Dataset_Wisata'!$A$12:$A$622, 0)))/2)^2)) * 1.3</f>
        <v/>
      </c>
      <c r="J281" s="21">
        <f>ROUND(I281 * IF('Dashboard'!$C$6&lt;=1, 2250, IF('Dashboard'!$C$6&lt;=4, 5150, 6000)), 0)</f>
        <v/>
      </c>
      <c r="K281" s="30" t="n">
        <v>0.2934098781423961</v>
      </c>
      <c r="L281" s="30" t="n">
        <v>0.6725353346816362</v>
      </c>
      <c r="M281" s="30" t="n">
        <v>0.03405478717596779</v>
      </c>
      <c r="N281" s="31">
        <f>ABS(E281-$F$6)</f>
        <v/>
      </c>
      <c r="O281" s="31">
        <f>ABS(E281-$F$7)</f>
        <v/>
      </c>
      <c r="P281" s="31">
        <f>ABS(E281-$F$8)</f>
        <v/>
      </c>
      <c r="Q281" s="14">
        <f>IF(K281&gt;=MAX(L281,M281), "Hemat", IF(L281&gt;=M281, "Balanced", "Premium"))</f>
        <v/>
      </c>
      <c r="R281" s="30" t="n">
        <v>0.293417696955067</v>
      </c>
      <c r="S281" s="30" t="n">
        <v>0.6725273621506932</v>
      </c>
      <c r="T281" s="30" t="n">
        <v>0.03405494089423981</v>
      </c>
      <c r="U281" s="31">
        <f>ABS(E281-$G$6)</f>
        <v/>
      </c>
      <c r="V281" s="31">
        <f>ABS(E281-$G$7)</f>
        <v/>
      </c>
      <c r="W281" s="31">
        <f>ABS(E281-$G$8)</f>
        <v/>
      </c>
      <c r="X281" s="14">
        <f>IF(R281&gt;=MAX(S281,T281), "Hemat", IF(S281&gt;=T281, "Balanced", "Premium"))</f>
        <v/>
      </c>
    </row>
    <row r="282">
      <c r="A282" s="14" t="n">
        <v>271</v>
      </c>
      <c r="B282" s="7" t="inlineStr">
        <is>
          <t>Shinta Guest House</t>
        </is>
      </c>
      <c r="C282" s="26" t="n">
        <v>-7.9674368</v>
      </c>
      <c r="D282" s="26" t="n">
        <v>112.6250796</v>
      </c>
      <c r="E282" s="21" t="n">
        <v>563600</v>
      </c>
      <c r="F282" s="27" t="n">
        <v>0</v>
      </c>
      <c r="G282" s="28" t="n">
        <v>0</v>
      </c>
      <c r="H282" s="14" t="inlineStr">
        <is>
          <t>N/A</t>
        </is>
      </c>
      <c r="I282" s="29">
        <f>6371 * 2 * ASIN(SQRT(SIN(RADIANS((C282) - INDEX('Dataset_Wisata'!$C$12:$C$622, MATCH('Dashboard'!$C$9, 'Dataset_Wisata'!$A$12:$A$622, 0)))/2)^2 + COS(RADIANS(INDEX('Dataset_Wisata'!$C$12:$C$622, MATCH('Dashboard'!$C$9, 'Dataset_Wisata'!$A$12:$A$622, 0)))) * COS(RADIANS(C282)) * SIN(RADIANS((D282) - INDEX('Dataset_Wisata'!$D$12:$D$622, MATCH('Dashboard'!$C$9, 'Dataset_Wisata'!$A$12:$A$622, 0)))/2)^2)) * 1.3</f>
        <v/>
      </c>
      <c r="J282" s="21">
        <f>ROUND(I282 * IF('Dashboard'!$C$6&lt;=1, 2250, IF('Dashboard'!$C$6&lt;=4, 5150, 6000)), 0)</f>
        <v/>
      </c>
      <c r="K282" s="30" t="n">
        <v>0.05180442274843008</v>
      </c>
      <c r="L282" s="30" t="n">
        <v>0.09874454721735584</v>
      </c>
      <c r="M282" s="30" t="n">
        <v>0.4311135260531913</v>
      </c>
      <c r="N282" s="31">
        <f>ABS(E282-$F$6)</f>
        <v/>
      </c>
      <c r="O282" s="31">
        <f>ABS(E282-$F$7)</f>
        <v/>
      </c>
      <c r="P282" s="31">
        <f>ABS(E282-$F$8)</f>
        <v/>
      </c>
      <c r="Q282" s="14">
        <f>IF(K282&gt;=MAX(L282,M282), "Hemat", IF(L282&gt;=M282, "Balanced", "Premium"))</f>
        <v/>
      </c>
      <c r="R282" s="30" t="n">
        <v>0.05180447779580049</v>
      </c>
      <c r="S282" s="30" t="n">
        <v>0.09874502714557537</v>
      </c>
      <c r="T282" s="30" t="n">
        <v>0.431123061995526</v>
      </c>
      <c r="U282" s="31">
        <f>ABS(E282-$G$6)</f>
        <v/>
      </c>
      <c r="V282" s="31">
        <f>ABS(E282-$G$7)</f>
        <v/>
      </c>
      <c r="W282" s="31">
        <f>ABS(E282-$G$8)</f>
        <v/>
      </c>
      <c r="X282" s="14">
        <f>IF(R282&gt;=MAX(S282,T282), "Hemat", IF(S282&gt;=T282, "Balanced", "Premium"))</f>
        <v/>
      </c>
    </row>
    <row r="283">
      <c r="A283" s="14" t="n">
        <v>272</v>
      </c>
      <c r="B283" s="7" t="inlineStr">
        <is>
          <t>Onyo Sigura-gura Inn</t>
        </is>
      </c>
      <c r="C283" s="26" t="n">
        <v>-7.9558888</v>
      </c>
      <c r="D283" s="26" t="n">
        <v>112.6050346</v>
      </c>
      <c r="E283" s="21" t="n">
        <v>95112</v>
      </c>
      <c r="F283" s="27" t="n">
        <v>0</v>
      </c>
      <c r="G283" s="28" t="n">
        <v>0</v>
      </c>
      <c r="H283" s="14" t="inlineStr">
        <is>
          <t>N/A</t>
        </is>
      </c>
      <c r="I283" s="29">
        <f>6371 * 2 * ASIN(SQRT(SIN(RADIANS((C283) - INDEX('Dataset_Wisata'!$C$12:$C$622, MATCH('Dashboard'!$C$9, 'Dataset_Wisata'!$A$12:$A$622, 0)))/2)^2 + COS(RADIANS(INDEX('Dataset_Wisata'!$C$12:$C$622, MATCH('Dashboard'!$C$9, 'Dataset_Wisata'!$A$12:$A$622, 0)))) * COS(RADIANS(C283)) * SIN(RADIANS((D283) - INDEX('Dataset_Wisata'!$D$12:$D$622, MATCH('Dashboard'!$C$9, 'Dataset_Wisata'!$A$12:$A$622, 0)))/2)^2)) * 1.3</f>
        <v/>
      </c>
      <c r="J283" s="21">
        <f>ROUND(I283 * IF('Dashboard'!$C$6&lt;=1, 2250, IF('Dashboard'!$C$6&lt;=4, 5150, 6000)), 0)</f>
        <v/>
      </c>
      <c r="K283" s="30" t="n">
        <v>0.955950618157814</v>
      </c>
      <c r="L283" s="30" t="n">
        <v>0.03593437598508493</v>
      </c>
      <c r="M283" s="30" t="n">
        <v>0.008115005857100933</v>
      </c>
      <c r="N283" s="31">
        <f>ABS(E283-$F$6)</f>
        <v/>
      </c>
      <c r="O283" s="31">
        <f>ABS(E283-$F$7)</f>
        <v/>
      </c>
      <c r="P283" s="31">
        <f>ABS(E283-$F$8)</f>
        <v/>
      </c>
      <c r="Q283" s="14">
        <f>IF(K283&gt;=MAX(L283,M283), "Hemat", IF(L283&gt;=M283, "Balanced", "Premium"))</f>
        <v/>
      </c>
      <c r="R283" s="30" t="n">
        <v>0.9559503795895929</v>
      </c>
      <c r="S283" s="30" t="n">
        <v>0.03593457299019135</v>
      </c>
      <c r="T283" s="30" t="n">
        <v>0.008115047420215803</v>
      </c>
      <c r="U283" s="31">
        <f>ABS(E283-$G$6)</f>
        <v/>
      </c>
      <c r="V283" s="31">
        <f>ABS(E283-$G$7)</f>
        <v/>
      </c>
      <c r="W283" s="31">
        <f>ABS(E283-$G$8)</f>
        <v/>
      </c>
      <c r="X283" s="14">
        <f>IF(R283&gt;=MAX(S283,T283), "Hemat", IF(S283&gt;=T283, "Balanced", "Premium"))</f>
        <v/>
      </c>
    </row>
    <row r="284">
      <c r="A284" s="14" t="n">
        <v>273</v>
      </c>
      <c r="B284" s="7" t="inlineStr">
        <is>
          <t>RedDoorz Syariah near Transmart MX Malang</t>
        </is>
      </c>
      <c r="C284" s="26" t="n">
        <v>-7.9582992</v>
      </c>
      <c r="D284" s="26" t="n">
        <v>112.6112029</v>
      </c>
      <c r="E284" s="21" t="n">
        <v>187813</v>
      </c>
      <c r="F284" s="27" t="n">
        <v>0</v>
      </c>
      <c r="G284" s="28" t="n">
        <v>0</v>
      </c>
      <c r="H284" s="14" t="inlineStr">
        <is>
          <t>N/A</t>
        </is>
      </c>
      <c r="I284" s="29">
        <f>6371 * 2 * ASIN(SQRT(SIN(RADIANS((C284) - INDEX('Dataset_Wisata'!$C$12:$C$622, MATCH('Dashboard'!$C$9, 'Dataset_Wisata'!$A$12:$A$622, 0)))/2)^2 + COS(RADIANS(INDEX('Dataset_Wisata'!$C$12:$C$622, MATCH('Dashboard'!$C$9, 'Dataset_Wisata'!$A$12:$A$622, 0)))) * COS(RADIANS(C284)) * SIN(RADIANS((D284) - INDEX('Dataset_Wisata'!$D$12:$D$622, MATCH('Dashboard'!$C$9, 'Dataset_Wisata'!$A$12:$A$622, 0)))/2)^2)) * 1.3</f>
        <v/>
      </c>
      <c r="J284" s="21">
        <f>ROUND(I284 * IF('Dashboard'!$C$6&lt;=1, 2250, IF('Dashboard'!$C$6&lt;=4, 5150, 6000)), 0)</f>
        <v/>
      </c>
      <c r="K284" s="30" t="n">
        <v>0.4346319375718432</v>
      </c>
      <c r="L284" s="30" t="n">
        <v>0.5302027930517511</v>
      </c>
      <c r="M284" s="30" t="n">
        <v>0.03516526937640575</v>
      </c>
      <c r="N284" s="31">
        <f>ABS(E284-$F$6)</f>
        <v/>
      </c>
      <c r="O284" s="31">
        <f>ABS(E284-$F$7)</f>
        <v/>
      </c>
      <c r="P284" s="31">
        <f>ABS(E284-$F$8)</f>
        <v/>
      </c>
      <c r="Q284" s="14">
        <f>IF(K284&gt;=MAX(L284,M284), "Hemat", IF(L284&gt;=M284, "Balanced", "Premium"))</f>
        <v/>
      </c>
      <c r="R284" s="30" t="n">
        <v>0.4346401653338949</v>
      </c>
      <c r="S284" s="30" t="n">
        <v>0.530194687929941</v>
      </c>
      <c r="T284" s="30" t="n">
        <v>0.03516514673616431</v>
      </c>
      <c r="U284" s="31">
        <f>ABS(E284-$G$6)</f>
        <v/>
      </c>
      <c r="V284" s="31">
        <f>ABS(E284-$G$7)</f>
        <v/>
      </c>
      <c r="W284" s="31">
        <f>ABS(E284-$G$8)</f>
        <v/>
      </c>
      <c r="X284" s="14">
        <f>IF(R284&gt;=MAX(S284,T284), "Hemat", IF(S284&gt;=T284, "Balanced", "Premium"))</f>
        <v/>
      </c>
    </row>
    <row r="285">
      <c r="A285" s="14" t="n">
        <v>274</v>
      </c>
      <c r="B285" s="7" t="inlineStr">
        <is>
          <t>My Dormy Hostel UMM</t>
        </is>
      </c>
      <c r="C285" s="26" t="n">
        <v>-7.9233879</v>
      </c>
      <c r="D285" s="26" t="n">
        <v>112.6015877</v>
      </c>
      <c r="E285" s="21" t="n">
        <v>261828</v>
      </c>
      <c r="F285" s="27" t="n">
        <v>0</v>
      </c>
      <c r="G285" s="28" t="n">
        <v>0</v>
      </c>
      <c r="H285" s="14" t="inlineStr">
        <is>
          <t>N/A</t>
        </is>
      </c>
      <c r="I285" s="29">
        <f>6371 * 2 * ASIN(SQRT(SIN(RADIANS((C285) - INDEX('Dataset_Wisata'!$C$12:$C$622, MATCH('Dashboard'!$C$9, 'Dataset_Wisata'!$A$12:$A$622, 0)))/2)^2 + COS(RADIANS(INDEX('Dataset_Wisata'!$C$12:$C$622, MATCH('Dashboard'!$C$9, 'Dataset_Wisata'!$A$12:$A$622, 0)))) * COS(RADIANS(C285)) * SIN(RADIANS((D285) - INDEX('Dataset_Wisata'!$D$12:$D$622, MATCH('Dashboard'!$C$9, 'Dataset_Wisata'!$A$12:$A$622, 0)))/2)^2)) * 1.3</f>
        <v/>
      </c>
      <c r="J285" s="21">
        <f>ROUND(I285 * IF('Dashboard'!$C$6&lt;=1, 2250, IF('Dashboard'!$C$6&lt;=4, 5150, 6000)), 0)</f>
        <v/>
      </c>
      <c r="K285" s="30" t="n">
        <v>0.01394359731281799</v>
      </c>
      <c r="L285" s="30" t="n">
        <v>0.9742423247590783</v>
      </c>
      <c r="M285" s="30" t="n">
        <v>0.01181407792810382</v>
      </c>
      <c r="N285" s="31">
        <f>ABS(E285-$F$6)</f>
        <v/>
      </c>
      <c r="O285" s="31">
        <f>ABS(E285-$F$7)</f>
        <v/>
      </c>
      <c r="P285" s="31">
        <f>ABS(E285-$F$8)</f>
        <v/>
      </c>
      <c r="Q285" s="14">
        <f>IF(K285&gt;=MAX(L285,M285), "Hemat", IF(L285&gt;=M285, "Balanced", "Premium"))</f>
        <v/>
      </c>
      <c r="R285" s="30" t="n">
        <v>0.01394237119009677</v>
      </c>
      <c r="S285" s="30" t="n">
        <v>0.9742448960668252</v>
      </c>
      <c r="T285" s="30" t="n">
        <v>0.01181273274307804</v>
      </c>
      <c r="U285" s="31">
        <f>ABS(E285-$G$6)</f>
        <v/>
      </c>
      <c r="V285" s="31">
        <f>ABS(E285-$G$7)</f>
        <v/>
      </c>
      <c r="W285" s="31">
        <f>ABS(E285-$G$8)</f>
        <v/>
      </c>
      <c r="X285" s="14">
        <f>IF(R285&gt;=MAX(S285,T285), "Hemat", IF(S285&gt;=T285, "Balanced", "Premium"))</f>
        <v/>
      </c>
    </row>
    <row r="286">
      <c r="A286" s="14" t="n">
        <v>275</v>
      </c>
      <c r="B286" s="7" t="inlineStr">
        <is>
          <t>OYO 90480 sultan palace guest house</t>
        </is>
      </c>
      <c r="C286" s="26" t="n">
        <v>-7.9268265</v>
      </c>
      <c r="D286" s="26" t="n">
        <v>112.6020383</v>
      </c>
      <c r="E286" s="21" t="n">
        <v>170000</v>
      </c>
      <c r="F286" s="27" t="n">
        <v>0</v>
      </c>
      <c r="G286" s="28" t="n">
        <v>0</v>
      </c>
      <c r="H286" s="14" t="inlineStr">
        <is>
          <t>N/A</t>
        </is>
      </c>
      <c r="I286" s="29">
        <f>6371 * 2 * ASIN(SQRT(SIN(RADIANS((C286) - INDEX('Dataset_Wisata'!$C$12:$C$622, MATCH('Dashboard'!$C$9, 'Dataset_Wisata'!$A$12:$A$622, 0)))/2)^2 + COS(RADIANS(INDEX('Dataset_Wisata'!$C$12:$C$622, MATCH('Dashboard'!$C$9, 'Dataset_Wisata'!$A$12:$A$622, 0)))) * COS(RADIANS(C286)) * SIN(RADIANS((D286) - INDEX('Dataset_Wisata'!$D$12:$D$622, MATCH('Dashboard'!$C$9, 'Dataset_Wisata'!$A$12:$A$622, 0)))/2)^2)) * 1.3</f>
        <v/>
      </c>
      <c r="J286" s="21">
        <f>ROUND(I286 * IF('Dashboard'!$C$6&lt;=1, 2250, IF('Dashboard'!$C$6&lt;=4, 5150, 6000)), 0)</f>
        <v/>
      </c>
      <c r="K286" s="30" t="n">
        <v>0.7119837183050363</v>
      </c>
      <c r="L286" s="30" t="n">
        <v>0.2624152611455975</v>
      </c>
      <c r="M286" s="30" t="n">
        <v>0.02560102054936619</v>
      </c>
      <c r="N286" s="31">
        <f>ABS(E286-$F$6)</f>
        <v/>
      </c>
      <c r="O286" s="31">
        <f>ABS(E286-$F$7)</f>
        <v/>
      </c>
      <c r="P286" s="31">
        <f>ABS(E286-$F$8)</f>
        <v/>
      </c>
      <c r="Q286" s="14">
        <f>IF(K286&gt;=MAX(L286,M286), "Hemat", IF(L286&gt;=M286, "Balanced", "Premium"))</f>
        <v/>
      </c>
      <c r="R286" s="30" t="n">
        <v>0.7119898992332693</v>
      </c>
      <c r="S286" s="30" t="n">
        <v>0.2624094765922805</v>
      </c>
      <c r="T286" s="30" t="n">
        <v>0.02560062417445023</v>
      </c>
      <c r="U286" s="31">
        <f>ABS(E286-$G$6)</f>
        <v/>
      </c>
      <c r="V286" s="31">
        <f>ABS(E286-$G$7)</f>
        <v/>
      </c>
      <c r="W286" s="31">
        <f>ABS(E286-$G$8)</f>
        <v/>
      </c>
      <c r="X286" s="14">
        <f>IF(R286&gt;=MAX(S286,T286), "Hemat", IF(S286&gt;=T286, "Balanced", "Premium"))</f>
        <v/>
      </c>
    </row>
    <row r="287">
      <c r="A287" s="14" t="n">
        <v>276</v>
      </c>
      <c r="B287" s="7" t="inlineStr">
        <is>
          <t>Sunrise Resort Malang</t>
        </is>
      </c>
      <c r="C287" s="26" t="n">
        <v>-7.9444553</v>
      </c>
      <c r="D287" s="26" t="n">
        <v>112.5961537</v>
      </c>
      <c r="E287" s="21" t="n">
        <v>278611</v>
      </c>
      <c r="F287" s="27" t="n">
        <v>0</v>
      </c>
      <c r="G287" s="28" t="n">
        <v>0</v>
      </c>
      <c r="H287" s="14" t="inlineStr">
        <is>
          <t>N/A</t>
        </is>
      </c>
      <c r="I287" s="29">
        <f>6371 * 2 * ASIN(SQRT(SIN(RADIANS((C287) - INDEX('Dataset_Wisata'!$C$12:$C$622, MATCH('Dashboard'!$C$9, 'Dataset_Wisata'!$A$12:$A$622, 0)))/2)^2 + COS(RADIANS(INDEX('Dataset_Wisata'!$C$12:$C$622, MATCH('Dashboard'!$C$9, 'Dataset_Wisata'!$A$12:$A$622, 0)))) * COS(RADIANS(C287)) * SIN(RADIANS((D287) - INDEX('Dataset_Wisata'!$D$12:$D$622, MATCH('Dashboard'!$C$9, 'Dataset_Wisata'!$A$12:$A$622, 0)))/2)^2)) * 1.3</f>
        <v/>
      </c>
      <c r="J287" s="21">
        <f>ROUND(I287 * IF('Dashboard'!$C$6&lt;=1, 2250, IF('Dashboard'!$C$6&lt;=4, 5150, 6000)), 0)</f>
        <v/>
      </c>
      <c r="K287" s="30" t="n">
        <v>0.04181155691960241</v>
      </c>
      <c r="L287" s="30" t="n">
        <v>0.9015977072750405</v>
      </c>
      <c r="M287" s="30" t="n">
        <v>0.05659073580535702</v>
      </c>
      <c r="N287" s="31">
        <f>ABS(E287-$F$6)</f>
        <v/>
      </c>
      <c r="O287" s="31">
        <f>ABS(E287-$F$7)</f>
        <v/>
      </c>
      <c r="P287" s="31">
        <f>ABS(E287-$F$8)</f>
        <v/>
      </c>
      <c r="Q287" s="14">
        <f>IF(K287&gt;=MAX(L287,M287), "Hemat", IF(L287&gt;=M287, "Balanced", "Premium"))</f>
        <v/>
      </c>
      <c r="R287" s="30" t="n">
        <v>0.04180998420737916</v>
      </c>
      <c r="S287" s="30" t="n">
        <v>0.9016030164256323</v>
      </c>
      <c r="T287" s="30" t="n">
        <v>0.05658699936698863</v>
      </c>
      <c r="U287" s="31">
        <f>ABS(E287-$G$6)</f>
        <v/>
      </c>
      <c r="V287" s="31">
        <f>ABS(E287-$G$7)</f>
        <v/>
      </c>
      <c r="W287" s="31">
        <f>ABS(E287-$G$8)</f>
        <v/>
      </c>
      <c r="X287" s="14">
        <f>IF(R287&gt;=MAX(S287,T287), "Hemat", IF(S287&gt;=T287, "Balanced", "Premium"))</f>
        <v/>
      </c>
    </row>
    <row r="288">
      <c r="A288" s="14" t="n">
        <v>277</v>
      </c>
      <c r="B288" s="7" t="inlineStr">
        <is>
          <t>Forzando House Redpartner near Universitas Muhammadiyah Malang</t>
        </is>
      </c>
      <c r="C288" s="26" t="n">
        <v>-7.9219222</v>
      </c>
      <c r="D288" s="26" t="n">
        <v>112.6084985</v>
      </c>
      <c r="E288" s="21" t="n">
        <v>110000</v>
      </c>
      <c r="F288" s="27" t="n">
        <v>0</v>
      </c>
      <c r="G288" s="28" t="n">
        <v>0</v>
      </c>
      <c r="H288" s="14" t="inlineStr">
        <is>
          <t>N/A</t>
        </is>
      </c>
      <c r="I288" s="29">
        <f>6371 * 2 * ASIN(SQRT(SIN(RADIANS((C288) - INDEX('Dataset_Wisata'!$C$12:$C$622, MATCH('Dashboard'!$C$9, 'Dataset_Wisata'!$A$12:$A$622, 0)))/2)^2 + COS(RADIANS(INDEX('Dataset_Wisata'!$C$12:$C$622, MATCH('Dashboard'!$C$9, 'Dataset_Wisata'!$A$12:$A$622, 0)))) * COS(RADIANS(C288)) * SIN(RADIANS((D288) - INDEX('Dataset_Wisata'!$D$12:$D$622, MATCH('Dashboard'!$C$9, 'Dataset_Wisata'!$A$12:$A$622, 0)))/2)^2)) * 1.3</f>
        <v/>
      </c>
      <c r="J288" s="21">
        <f>ROUND(I288 * IF('Dashboard'!$C$6&lt;=1, 2250, IF('Dashboard'!$C$6&lt;=4, 5150, 6000)), 0)</f>
        <v/>
      </c>
      <c r="K288" s="30" t="n">
        <v>0.9868677266584441</v>
      </c>
      <c r="L288" s="30" t="n">
        <v>0.01092666821515279</v>
      </c>
      <c r="M288" s="30" t="n">
        <v>0.00220560512640318</v>
      </c>
      <c r="N288" s="31">
        <f>ABS(E288-$F$6)</f>
        <v/>
      </c>
      <c r="O288" s="31">
        <f>ABS(E288-$F$7)</f>
        <v/>
      </c>
      <c r="P288" s="31">
        <f>ABS(E288-$F$8)</f>
        <v/>
      </c>
      <c r="Q288" s="14">
        <f>IF(K288&gt;=MAX(L288,M288), "Hemat", IF(L288&gt;=M288, "Balanced", "Premium"))</f>
        <v/>
      </c>
      <c r="R288" s="30" t="n">
        <v>0.9868674494323426</v>
      </c>
      <c r="S288" s="30" t="n">
        <v>0.01092689843055504</v>
      </c>
      <c r="T288" s="30" t="n">
        <v>0.002205652137102445</v>
      </c>
      <c r="U288" s="31">
        <f>ABS(E288-$G$6)</f>
        <v/>
      </c>
      <c r="V288" s="31">
        <f>ABS(E288-$G$7)</f>
        <v/>
      </c>
      <c r="W288" s="31">
        <f>ABS(E288-$G$8)</f>
        <v/>
      </c>
      <c r="X288" s="14">
        <f>IF(R288&gt;=MAX(S288,T288), "Hemat", IF(S288&gt;=T288, "Balanced", "Premium"))</f>
        <v/>
      </c>
    </row>
    <row r="289">
      <c r="A289" s="14" t="n">
        <v>278</v>
      </c>
      <c r="B289" s="7" t="inlineStr">
        <is>
          <t>Rosa Pavilion Syariah near UMM Redpartner</t>
        </is>
      </c>
      <c r="C289" s="26" t="n">
        <v>-7.9191106</v>
      </c>
      <c r="D289" s="26" t="n">
        <v>112.5974765</v>
      </c>
      <c r="E289" s="21" t="n">
        <v>162236</v>
      </c>
      <c r="F289" s="27" t="n">
        <v>0</v>
      </c>
      <c r="G289" s="28" t="n">
        <v>0</v>
      </c>
      <c r="H289" s="14" t="inlineStr">
        <is>
          <t>N/A</t>
        </is>
      </c>
      <c r="I289" s="29">
        <f>6371 * 2 * ASIN(SQRT(SIN(RADIANS((C289) - INDEX('Dataset_Wisata'!$C$12:$C$622, MATCH('Dashboard'!$C$9, 'Dataset_Wisata'!$A$12:$A$622, 0)))/2)^2 + COS(RADIANS(INDEX('Dataset_Wisata'!$C$12:$C$622, MATCH('Dashboard'!$C$9, 'Dataset_Wisata'!$A$12:$A$622, 0)))) * COS(RADIANS(C289)) * SIN(RADIANS((D289) - INDEX('Dataset_Wisata'!$D$12:$D$622, MATCH('Dashboard'!$C$9, 'Dataset_Wisata'!$A$12:$A$622, 0)))/2)^2)) * 1.3</f>
        <v/>
      </c>
      <c r="J289" s="21">
        <f>ROUND(I289 * IF('Dashboard'!$C$6&lt;=1, 2250, IF('Dashboard'!$C$6&lt;=4, 5150, 6000)), 0)</f>
        <v/>
      </c>
      <c r="K289" s="30" t="n">
        <v>0.8116068758964479</v>
      </c>
      <c r="L289" s="30" t="n">
        <v>0.1695082637830287</v>
      </c>
      <c r="M289" s="30" t="n">
        <v>0.0188848603205235</v>
      </c>
      <c r="N289" s="31">
        <f>ABS(E289-$F$6)</f>
        <v/>
      </c>
      <c r="O289" s="31">
        <f>ABS(E289-$F$7)</f>
        <v/>
      </c>
      <c r="P289" s="31">
        <f>ABS(E289-$F$8)</f>
        <v/>
      </c>
      <c r="Q289" s="14">
        <f>IF(K289&gt;=MAX(L289,M289), "Hemat", IF(L289&gt;=M289, "Balanced", "Premium"))</f>
        <v/>
      </c>
      <c r="R289" s="30" t="n">
        <v>0.8116115216567035</v>
      </c>
      <c r="S289" s="30" t="n">
        <v>0.1695039974145665</v>
      </c>
      <c r="T289" s="30" t="n">
        <v>0.01888448092872994</v>
      </c>
      <c r="U289" s="31">
        <f>ABS(E289-$G$6)</f>
        <v/>
      </c>
      <c r="V289" s="31">
        <f>ABS(E289-$G$7)</f>
        <v/>
      </c>
      <c r="W289" s="31">
        <f>ABS(E289-$G$8)</f>
        <v/>
      </c>
      <c r="X289" s="14">
        <f>IF(R289&gt;=MAX(S289,T289), "Hemat", IF(S289&gt;=T289, "Balanced", "Premium"))</f>
        <v/>
      </c>
    </row>
    <row r="290">
      <c r="A290" s="14" t="n">
        <v>279</v>
      </c>
      <c r="B290" s="7" t="inlineStr">
        <is>
          <t>Smart Tlogomas Syariah</t>
        </is>
      </c>
      <c r="C290" s="26" t="n">
        <v>-7.9343441</v>
      </c>
      <c r="D290" s="26" t="n">
        <v>112.6031137</v>
      </c>
      <c r="E290" s="21" t="n">
        <v>139184</v>
      </c>
      <c r="F290" s="27" t="n">
        <v>0</v>
      </c>
      <c r="G290" s="28" t="n">
        <v>0</v>
      </c>
      <c r="H290" s="14" t="inlineStr">
        <is>
          <t>N/A</t>
        </is>
      </c>
      <c r="I290" s="29">
        <f>6371 * 2 * ASIN(SQRT(SIN(RADIANS((C290) - INDEX('Dataset_Wisata'!$C$12:$C$622, MATCH('Dashboard'!$C$9, 'Dataset_Wisata'!$A$12:$A$622, 0)))/2)^2 + COS(RADIANS(INDEX('Dataset_Wisata'!$C$12:$C$622, MATCH('Dashboard'!$C$9, 'Dataset_Wisata'!$A$12:$A$622, 0)))) * COS(RADIANS(C290)) * SIN(RADIANS((D290) - INDEX('Dataset_Wisata'!$D$12:$D$622, MATCH('Dashboard'!$C$9, 'Dataset_Wisata'!$A$12:$A$622, 0)))/2)^2)) * 1.3</f>
        <v/>
      </c>
      <c r="J290" s="21">
        <f>ROUND(I290 * IF('Dashboard'!$C$6&lt;=1, 2250, IF('Dashboard'!$C$6&lt;=4, 5150, 6000)), 0)</f>
        <v/>
      </c>
      <c r="K290" s="30" t="n">
        <v>0.9776981383121329</v>
      </c>
      <c r="L290" s="30" t="n">
        <v>0.01935470162164213</v>
      </c>
      <c r="M290" s="30" t="n">
        <v>0.002947160066224959</v>
      </c>
      <c r="N290" s="31">
        <f>ABS(E290-$F$6)</f>
        <v/>
      </c>
      <c r="O290" s="31">
        <f>ABS(E290-$F$7)</f>
        <v/>
      </c>
      <c r="P290" s="31">
        <f>ABS(E290-$F$8)</f>
        <v/>
      </c>
      <c r="Q290" s="14">
        <f>IF(K290&gt;=MAX(L290,M290), "Hemat", IF(L290&gt;=M290, "Balanced", "Premium"))</f>
        <v/>
      </c>
      <c r="R290" s="30" t="n">
        <v>0.9776991309690515</v>
      </c>
      <c r="S290" s="30" t="n">
        <v>0.01935383455148876</v>
      </c>
      <c r="T290" s="30" t="n">
        <v>0.002947034479459845</v>
      </c>
      <c r="U290" s="31">
        <f>ABS(E290-$G$6)</f>
        <v/>
      </c>
      <c r="V290" s="31">
        <f>ABS(E290-$G$7)</f>
        <v/>
      </c>
      <c r="W290" s="31">
        <f>ABS(E290-$G$8)</f>
        <v/>
      </c>
      <c r="X290" s="14">
        <f>IF(R290&gt;=MAX(S290,T290), "Hemat", IF(S290&gt;=T290, "Balanced", "Premium"))</f>
        <v/>
      </c>
    </row>
    <row r="291">
      <c r="A291" s="14" t="n">
        <v>280</v>
      </c>
      <c r="B291" s="7" t="inlineStr">
        <is>
          <t>favehotel Malang</t>
        </is>
      </c>
      <c r="C291" s="26" t="n">
        <v>-7.9327936</v>
      </c>
      <c r="D291" s="26" t="n">
        <v>112.6035154</v>
      </c>
      <c r="E291" s="21" t="n">
        <v>289549</v>
      </c>
      <c r="F291" s="27" t="n">
        <v>0</v>
      </c>
      <c r="G291" s="28" t="n">
        <v>0</v>
      </c>
      <c r="H291" s="14" t="inlineStr">
        <is>
          <t>N/A</t>
        </is>
      </c>
      <c r="I291" s="29">
        <f>6371 * 2 * ASIN(SQRT(SIN(RADIANS((C291) - INDEX('Dataset_Wisata'!$C$12:$C$622, MATCH('Dashboard'!$C$9, 'Dataset_Wisata'!$A$12:$A$622, 0)))/2)^2 + COS(RADIANS(INDEX('Dataset_Wisata'!$C$12:$C$622, MATCH('Dashboard'!$C$9, 'Dataset_Wisata'!$A$12:$A$622, 0)))) * COS(RADIANS(C291)) * SIN(RADIANS((D291) - INDEX('Dataset_Wisata'!$D$12:$D$622, MATCH('Dashboard'!$C$9, 'Dataset_Wisata'!$A$12:$A$622, 0)))/2)^2)) * 1.3</f>
        <v/>
      </c>
      <c r="J291" s="21">
        <f>ROUND(I291 * IF('Dashboard'!$C$6&lt;=1, 2250, IF('Dashboard'!$C$6&lt;=4, 5150, 6000)), 0)</f>
        <v/>
      </c>
      <c r="K291" s="30" t="n">
        <v>0.05937256671904868</v>
      </c>
      <c r="L291" s="30" t="n">
        <v>0.8311754792606363</v>
      </c>
      <c r="M291" s="30" t="n">
        <v>0.1094519540203151</v>
      </c>
      <c r="N291" s="31">
        <f>ABS(E291-$F$6)</f>
        <v/>
      </c>
      <c r="O291" s="31">
        <f>ABS(E291-$F$7)</f>
        <v/>
      </c>
      <c r="P291" s="31">
        <f>ABS(E291-$F$8)</f>
        <v/>
      </c>
      <c r="Q291" s="14">
        <f>IF(K291&gt;=MAX(L291,M291), "Hemat", IF(L291&gt;=M291, "Balanced", "Premium"))</f>
        <v/>
      </c>
      <c r="R291" s="30" t="n">
        <v>0.05937117661071468</v>
      </c>
      <c r="S291" s="30" t="n">
        <v>0.8311827694530527</v>
      </c>
      <c r="T291" s="30" t="n">
        <v>0.1094460539362327</v>
      </c>
      <c r="U291" s="31">
        <f>ABS(E291-$G$6)</f>
        <v/>
      </c>
      <c r="V291" s="31">
        <f>ABS(E291-$G$7)</f>
        <v/>
      </c>
      <c r="W291" s="31">
        <f>ABS(E291-$G$8)</f>
        <v/>
      </c>
      <c r="X291" s="14">
        <f>IF(R291&gt;=MAX(S291,T291), "Hemat", IF(S291&gt;=T291, "Balanced", "Premium"))</f>
        <v/>
      </c>
    </row>
    <row r="292">
      <c r="A292" s="14" t="n">
        <v>281</v>
      </c>
      <c r="B292" s="7" t="inlineStr">
        <is>
          <t>Pondok Rizky Amalia</t>
        </is>
      </c>
      <c r="C292" s="26" t="n">
        <v>-7.9213554</v>
      </c>
      <c r="D292" s="26" t="n">
        <v>112.5926812</v>
      </c>
      <c r="E292" s="21" t="n">
        <v>150000</v>
      </c>
      <c r="F292" s="27" t="n">
        <v>0</v>
      </c>
      <c r="G292" s="28" t="n">
        <v>0</v>
      </c>
      <c r="H292" s="14" t="inlineStr">
        <is>
          <t>N/A</t>
        </is>
      </c>
      <c r="I292" s="29">
        <f>6371 * 2 * ASIN(SQRT(SIN(RADIANS((C292) - INDEX('Dataset_Wisata'!$C$12:$C$622, MATCH('Dashboard'!$C$9, 'Dataset_Wisata'!$A$12:$A$622, 0)))/2)^2 + COS(RADIANS(INDEX('Dataset_Wisata'!$C$12:$C$622, MATCH('Dashboard'!$C$9, 'Dataset_Wisata'!$A$12:$A$622, 0)))) * COS(RADIANS(C292)) * SIN(RADIANS((D292) - INDEX('Dataset_Wisata'!$D$12:$D$622, MATCH('Dashboard'!$C$9, 'Dataset_Wisata'!$A$12:$A$622, 0)))/2)^2)) * 1.3</f>
        <v/>
      </c>
      <c r="J292" s="21">
        <f>ROUND(I292 * IF('Dashboard'!$C$6&lt;=1, 2250, IF('Dashboard'!$C$6&lt;=4, 5150, 6000)), 0)</f>
        <v/>
      </c>
      <c r="K292" s="30" t="n">
        <v>0.9236568385235482</v>
      </c>
      <c r="L292" s="30" t="n">
        <v>0.06736899151285153</v>
      </c>
      <c r="M292" s="30" t="n">
        <v>0.008974169963600275</v>
      </c>
      <c r="N292" s="31">
        <f>ABS(E292-$F$6)</f>
        <v/>
      </c>
      <c r="O292" s="31">
        <f>ABS(E292-$F$7)</f>
        <v/>
      </c>
      <c r="P292" s="31">
        <f>ABS(E292-$F$8)</f>
        <v/>
      </c>
      <c r="Q292" s="14">
        <f>IF(K292&gt;=MAX(L292,M292), "Hemat", IF(L292&gt;=M292, "Balanced", "Premium"))</f>
        <v/>
      </c>
      <c r="R292" s="30" t="n">
        <v>0.9236592327110943</v>
      </c>
      <c r="S292" s="30" t="n">
        <v>0.0673668524262508</v>
      </c>
      <c r="T292" s="30" t="n">
        <v>0.008973914862654904</v>
      </c>
      <c r="U292" s="31">
        <f>ABS(E292-$G$6)</f>
        <v/>
      </c>
      <c r="V292" s="31">
        <f>ABS(E292-$G$7)</f>
        <v/>
      </c>
      <c r="W292" s="31">
        <f>ABS(E292-$G$8)</f>
        <v/>
      </c>
      <c r="X292" s="14">
        <f>IF(R292&gt;=MAX(S292,T292), "Hemat", IF(S292&gt;=T292, "Balanced", "Premium"))</f>
        <v/>
      </c>
    </row>
    <row r="293">
      <c r="A293" s="14" t="n">
        <v>282</v>
      </c>
      <c r="B293" s="7" t="inlineStr">
        <is>
          <t>De Malang Sweet Homestay Syariah Mitra RedDoorz</t>
        </is>
      </c>
      <c r="C293" s="26" t="n">
        <v>-7.9420293</v>
      </c>
      <c r="D293" s="26" t="n">
        <v>112.6234745</v>
      </c>
      <c r="E293" s="21" t="n">
        <v>171632</v>
      </c>
      <c r="F293" s="27" t="n">
        <v>0</v>
      </c>
      <c r="G293" s="28" t="n">
        <v>0</v>
      </c>
      <c r="H293" s="14" t="inlineStr">
        <is>
          <t>N/A</t>
        </is>
      </c>
      <c r="I293" s="29">
        <f>6371 * 2 * ASIN(SQRT(SIN(RADIANS((C293) - INDEX('Dataset_Wisata'!$C$12:$C$622, MATCH('Dashboard'!$C$9, 'Dataset_Wisata'!$A$12:$A$622, 0)))/2)^2 + COS(RADIANS(INDEX('Dataset_Wisata'!$C$12:$C$622, MATCH('Dashboard'!$C$9, 'Dataset_Wisata'!$A$12:$A$622, 0)))) * COS(RADIANS(C293)) * SIN(RADIANS((D293) - INDEX('Dataset_Wisata'!$D$12:$D$622, MATCH('Dashboard'!$C$9, 'Dataset_Wisata'!$A$12:$A$622, 0)))/2)^2)) * 1.3</f>
        <v/>
      </c>
      <c r="J293" s="21">
        <f>ROUND(I293 * IF('Dashboard'!$C$6&lt;=1, 2250, IF('Dashboard'!$C$6&lt;=4, 5150, 6000)), 0)</f>
        <v/>
      </c>
      <c r="K293" s="30" t="n">
        <v>0.688649131888297</v>
      </c>
      <c r="L293" s="30" t="n">
        <v>0.2844280546780215</v>
      </c>
      <c r="M293" s="30" t="n">
        <v>0.0269228134336814</v>
      </c>
      <c r="N293" s="31">
        <f>ABS(E293-$F$6)</f>
        <v/>
      </c>
      <c r="O293" s="31">
        <f>ABS(E293-$F$7)</f>
        <v/>
      </c>
      <c r="P293" s="31">
        <f>ABS(E293-$F$8)</f>
        <v/>
      </c>
      <c r="Q293" s="14">
        <f>IF(K293&gt;=MAX(L293,M293), "Hemat", IF(L293&gt;=M293, "Balanced", "Premium"))</f>
        <v/>
      </c>
      <c r="R293" s="30" t="n">
        <v>0.6886556133875984</v>
      </c>
      <c r="S293" s="30" t="n">
        <v>0.2844219634477096</v>
      </c>
      <c r="T293" s="30" t="n">
        <v>0.02692242316469204</v>
      </c>
      <c r="U293" s="31">
        <f>ABS(E293-$G$6)</f>
        <v/>
      </c>
      <c r="V293" s="31">
        <f>ABS(E293-$G$7)</f>
        <v/>
      </c>
      <c r="W293" s="31">
        <f>ABS(E293-$G$8)</f>
        <v/>
      </c>
      <c r="X293" s="14">
        <f>IF(R293&gt;=MAX(S293,T293), "Hemat", IF(S293&gt;=T293, "Balanced", "Premium"))</f>
        <v/>
      </c>
    </row>
    <row r="294">
      <c r="A294" s="14" t="n">
        <v>283</v>
      </c>
      <c r="B294" s="7" t="inlineStr">
        <is>
          <t>Amalys Guest House</t>
        </is>
      </c>
      <c r="C294" s="26" t="n">
        <v>-7.9192545</v>
      </c>
      <c r="D294" s="26" t="n">
        <v>112.5917304</v>
      </c>
      <c r="E294" s="21" t="n">
        <v>99347</v>
      </c>
      <c r="F294" s="27" t="n">
        <v>0</v>
      </c>
      <c r="G294" s="28" t="n">
        <v>0</v>
      </c>
      <c r="H294" s="14" t="inlineStr">
        <is>
          <t>N/A</t>
        </is>
      </c>
      <c r="I294" s="29">
        <f>6371 * 2 * ASIN(SQRT(SIN(RADIANS((C294) - INDEX('Dataset_Wisata'!$C$12:$C$622, MATCH('Dashboard'!$C$9, 'Dataset_Wisata'!$A$12:$A$622, 0)))/2)^2 + COS(RADIANS(INDEX('Dataset_Wisata'!$C$12:$C$622, MATCH('Dashboard'!$C$9, 'Dataset_Wisata'!$A$12:$A$622, 0)))) * COS(RADIANS(C294)) * SIN(RADIANS((D294) - INDEX('Dataset_Wisata'!$D$12:$D$622, MATCH('Dashboard'!$C$9, 'Dataset_Wisata'!$A$12:$A$622, 0)))/2)^2)) * 1.3</f>
        <v/>
      </c>
      <c r="J294" s="21">
        <f>ROUND(I294 * IF('Dashboard'!$C$6&lt;=1, 2250, IF('Dashboard'!$C$6&lt;=4, 5150, 6000)), 0)</f>
        <v/>
      </c>
      <c r="K294" s="30" t="n">
        <v>0.9657722877172294</v>
      </c>
      <c r="L294" s="30" t="n">
        <v>0.02807602929154503</v>
      </c>
      <c r="M294" s="30" t="n">
        <v>0.006151682991225529</v>
      </c>
      <c r="N294" s="31">
        <f>ABS(E294-$F$6)</f>
        <v/>
      </c>
      <c r="O294" s="31">
        <f>ABS(E294-$F$7)</f>
        <v/>
      </c>
      <c r="P294" s="31">
        <f>ABS(E294-$F$8)</f>
        <v/>
      </c>
      <c r="Q294" s="14">
        <f>IF(K294&gt;=MAX(L294,M294), "Hemat", IF(L294&gt;=M294, "Balanced", "Premium"))</f>
        <v/>
      </c>
      <c r="R294" s="30" t="n">
        <v>0.9657720192283745</v>
      </c>
      <c r="S294" s="30" t="n">
        <v>0.02807625056838838</v>
      </c>
      <c r="T294" s="30" t="n">
        <v>0.006151730203236977</v>
      </c>
      <c r="U294" s="31">
        <f>ABS(E294-$G$6)</f>
        <v/>
      </c>
      <c r="V294" s="31">
        <f>ABS(E294-$G$7)</f>
        <v/>
      </c>
      <c r="W294" s="31">
        <f>ABS(E294-$G$8)</f>
        <v/>
      </c>
      <c r="X294" s="14">
        <f>IF(R294&gt;=MAX(S294,T294), "Hemat", IF(S294&gt;=T294, "Balanced", "Premium"))</f>
        <v/>
      </c>
    </row>
    <row r="295">
      <c r="A295" s="14" t="n">
        <v>284</v>
      </c>
      <c r="B295" s="7" t="inlineStr">
        <is>
          <t>palmview homestay griya mertojoyo malang</t>
        </is>
      </c>
      <c r="C295" s="26" t="n">
        <v>-7.9403991</v>
      </c>
      <c r="D295" s="26" t="n">
        <v>112.6037036</v>
      </c>
      <c r="E295" s="21" t="n">
        <v>100000</v>
      </c>
      <c r="F295" s="27" t="n">
        <v>0</v>
      </c>
      <c r="G295" s="28" t="n">
        <v>0</v>
      </c>
      <c r="H295" s="14" t="inlineStr">
        <is>
          <t>N/A</t>
        </is>
      </c>
      <c r="I295" s="29">
        <f>6371 * 2 * ASIN(SQRT(SIN(RADIANS((C295) - INDEX('Dataset_Wisata'!$C$12:$C$622, MATCH('Dashboard'!$C$9, 'Dataset_Wisata'!$A$12:$A$622, 0)))/2)^2 + COS(RADIANS(INDEX('Dataset_Wisata'!$C$12:$C$622, MATCH('Dashboard'!$C$9, 'Dataset_Wisata'!$A$12:$A$622, 0)))) * COS(RADIANS(C295)) * SIN(RADIANS((D295) - INDEX('Dataset_Wisata'!$D$12:$D$622, MATCH('Dashboard'!$C$9, 'Dataset_Wisata'!$A$12:$A$622, 0)))/2)^2)) * 1.3</f>
        <v/>
      </c>
      <c r="J295" s="21">
        <f>ROUND(I295 * IF('Dashboard'!$C$6&lt;=1, 2250, IF('Dashboard'!$C$6&lt;=4, 5150, 6000)), 0)</f>
        <v/>
      </c>
      <c r="K295" s="30" t="n">
        <v>0.9672305756379272</v>
      </c>
      <c r="L295" s="30" t="n">
        <v>0.02690286027756393</v>
      </c>
      <c r="M295" s="30" t="n">
        <v>0.005866564084508831</v>
      </c>
      <c r="N295" s="31">
        <f>ABS(E295-$F$6)</f>
        <v/>
      </c>
      <c r="O295" s="31">
        <f>ABS(E295-$F$7)</f>
        <v/>
      </c>
      <c r="P295" s="31">
        <f>ABS(E295-$F$8)</f>
        <v/>
      </c>
      <c r="Q295" s="14">
        <f>IF(K295&gt;=MAX(L295,M295), "Hemat", IF(L295&gt;=M295, "Balanced", "Premium"))</f>
        <v/>
      </c>
      <c r="R295" s="30" t="n">
        <v>0.9672303035537276</v>
      </c>
      <c r="S295" s="30" t="n">
        <v>0.02690308452718115</v>
      </c>
      <c r="T295" s="30" t="n">
        <v>0.0058666119190913</v>
      </c>
      <c r="U295" s="31">
        <f>ABS(E295-$G$6)</f>
        <v/>
      </c>
      <c r="V295" s="31">
        <f>ABS(E295-$G$7)</f>
        <v/>
      </c>
      <c r="W295" s="31">
        <f>ABS(E295-$G$8)</f>
        <v/>
      </c>
      <c r="X295" s="14">
        <f>IF(R295&gt;=MAX(S295,T295), "Hemat", IF(S295&gt;=T295, "Balanced", "Premium"))</f>
        <v/>
      </c>
    </row>
    <row r="296">
      <c r="A296" s="14" t="n">
        <v>285</v>
      </c>
      <c r="B296" s="7" t="inlineStr">
        <is>
          <t>RedDoorz @ Simpang Borobudur</t>
        </is>
      </c>
      <c r="C296" s="26" t="n">
        <v>-7.9367994</v>
      </c>
      <c r="D296" s="26" t="n">
        <v>112.638996</v>
      </c>
      <c r="E296" s="21" t="n">
        <v>115546</v>
      </c>
      <c r="F296" s="27" t="n">
        <v>0</v>
      </c>
      <c r="G296" s="28" t="n">
        <v>0</v>
      </c>
      <c r="H296" s="14" t="inlineStr">
        <is>
          <t>N/A</t>
        </is>
      </c>
      <c r="I296" s="29">
        <f>6371 * 2 * ASIN(SQRT(SIN(RADIANS((C296) - INDEX('Dataset_Wisata'!$C$12:$C$622, MATCH('Dashboard'!$C$9, 'Dataset_Wisata'!$A$12:$A$622, 0)))/2)^2 + COS(RADIANS(INDEX('Dataset_Wisata'!$C$12:$C$622, MATCH('Dashboard'!$C$9, 'Dataset_Wisata'!$A$12:$A$622, 0)))) * COS(RADIANS(C296)) * SIN(RADIANS((D296) - INDEX('Dataset_Wisata'!$D$12:$D$622, MATCH('Dashboard'!$C$9, 'Dataset_Wisata'!$A$12:$A$622, 0)))/2)^2)) * 1.3</f>
        <v/>
      </c>
      <c r="J296" s="21">
        <f>ROUND(I296 * IF('Dashboard'!$C$6&lt;=1, 2250, IF('Dashboard'!$C$6&lt;=4, 5150, 6000)), 0)</f>
        <v/>
      </c>
      <c r="K296" s="30" t="n">
        <v>0.9946746994307025</v>
      </c>
      <c r="L296" s="30" t="n">
        <v>0.004464978411635882</v>
      </c>
      <c r="M296" s="30" t="n">
        <v>0.0008603221576615869</v>
      </c>
      <c r="N296" s="31">
        <f>ABS(E296-$F$6)</f>
        <v/>
      </c>
      <c r="O296" s="31">
        <f>ABS(E296-$F$7)</f>
        <v/>
      </c>
      <c r="P296" s="31">
        <f>ABS(E296-$F$8)</f>
        <v/>
      </c>
      <c r="Q296" s="14">
        <f>IF(K296&gt;=MAX(L296,M296), "Hemat", IF(L296&gt;=M296, "Balanced", "Premium"))</f>
        <v/>
      </c>
      <c r="R296" s="30" t="n">
        <v>0.9946744777788625</v>
      </c>
      <c r="S296" s="30" t="n">
        <v>0.004465163877157083</v>
      </c>
      <c r="T296" s="30" t="n">
        <v>0.000860358343980435</v>
      </c>
      <c r="U296" s="31">
        <f>ABS(E296-$G$6)</f>
        <v/>
      </c>
      <c r="V296" s="31">
        <f>ABS(E296-$G$7)</f>
        <v/>
      </c>
      <c r="W296" s="31">
        <f>ABS(E296-$G$8)</f>
        <v/>
      </c>
      <c r="X296" s="14">
        <f>IF(R296&gt;=MAX(S296,T296), "Hemat", IF(S296&gt;=T296, "Balanced", "Premium"))</f>
        <v/>
      </c>
    </row>
    <row r="297">
      <c r="A297" s="14" t="n">
        <v>286</v>
      </c>
      <c r="B297" s="7" t="inlineStr">
        <is>
          <t>Cozzy Residence Syariah Malang</t>
        </is>
      </c>
      <c r="C297" s="26" t="n">
        <v>-7.9453245</v>
      </c>
      <c r="D297" s="26" t="n">
        <v>112.6349225</v>
      </c>
      <c r="E297" s="21" t="n">
        <v>102431</v>
      </c>
      <c r="F297" s="27" t="n">
        <v>0</v>
      </c>
      <c r="G297" s="28" t="n">
        <v>0</v>
      </c>
      <c r="H297" s="14" t="inlineStr">
        <is>
          <t>N/A</t>
        </is>
      </c>
      <c r="I297" s="29">
        <f>6371 * 2 * ASIN(SQRT(SIN(RADIANS((C297) - INDEX('Dataset_Wisata'!$C$12:$C$622, MATCH('Dashboard'!$C$9, 'Dataset_Wisata'!$A$12:$A$622, 0)))/2)^2 + COS(RADIANS(INDEX('Dataset_Wisata'!$C$12:$C$622, MATCH('Dashboard'!$C$9, 'Dataset_Wisata'!$A$12:$A$622, 0)))) * COS(RADIANS(C297)) * SIN(RADIANS((D297) - INDEX('Dataset_Wisata'!$D$12:$D$622, MATCH('Dashboard'!$C$9, 'Dataset_Wisata'!$A$12:$A$622, 0)))/2)^2)) * 1.3</f>
        <v/>
      </c>
      <c r="J297" s="21">
        <f>ROUND(I297 * IF('Dashboard'!$C$6&lt;=1, 2250, IF('Dashboard'!$C$6&lt;=4, 5150, 6000)), 0)</f>
        <v/>
      </c>
      <c r="K297" s="30" t="n">
        <v>0.972501650448223</v>
      </c>
      <c r="L297" s="30" t="n">
        <v>0.02264796746742775</v>
      </c>
      <c r="M297" s="30" t="n">
        <v>0.004850382084349169</v>
      </c>
      <c r="N297" s="31">
        <f>ABS(E297-$F$6)</f>
        <v/>
      </c>
      <c r="O297" s="31">
        <f>ABS(E297-$F$7)</f>
        <v/>
      </c>
      <c r="P297" s="31">
        <f>ABS(E297-$F$8)</f>
        <v/>
      </c>
      <c r="Q297" s="14">
        <f>IF(K297&gt;=MAX(L297,M297), "Hemat", IF(L297&gt;=M297, "Balanced", "Premium"))</f>
        <v/>
      </c>
      <c r="R297" s="30" t="n">
        <v>0.9725013678683828</v>
      </c>
      <c r="S297" s="30" t="n">
        <v>0.0226482005470291</v>
      </c>
      <c r="T297" s="30" t="n">
        <v>0.004850431584588057</v>
      </c>
      <c r="U297" s="31">
        <f>ABS(E297-$G$6)</f>
        <v/>
      </c>
      <c r="V297" s="31">
        <f>ABS(E297-$G$7)</f>
        <v/>
      </c>
      <c r="W297" s="31">
        <f>ABS(E297-$G$8)</f>
        <v/>
      </c>
      <c r="X297" s="14">
        <f>IF(R297&gt;=MAX(S297,T297), "Hemat", IF(S297&gt;=T297, "Balanced", "Premium"))</f>
        <v/>
      </c>
    </row>
    <row r="298">
      <c r="A298" s="14" t="n">
        <v>287</v>
      </c>
      <c r="B298" s="7" t="inlineStr">
        <is>
          <t>Maharaja homestay Syariah</t>
        </is>
      </c>
      <c r="C298" s="26" t="n">
        <v>-7.9223764</v>
      </c>
      <c r="D298" s="26" t="n">
        <v>112.6188168</v>
      </c>
      <c r="E298" s="21" t="n">
        <v>70000</v>
      </c>
      <c r="F298" s="27" t="n">
        <v>0</v>
      </c>
      <c r="G298" s="28" t="n">
        <v>0</v>
      </c>
      <c r="H298" s="14" t="inlineStr">
        <is>
          <t>N/A</t>
        </is>
      </c>
      <c r="I298" s="29">
        <f>6371 * 2 * ASIN(SQRT(SIN(RADIANS((C298) - INDEX('Dataset_Wisata'!$C$12:$C$622, MATCH('Dashboard'!$C$9, 'Dataset_Wisata'!$A$12:$A$622, 0)))/2)^2 + COS(RADIANS(INDEX('Dataset_Wisata'!$C$12:$C$622, MATCH('Dashboard'!$C$9, 'Dataset_Wisata'!$A$12:$A$622, 0)))) * COS(RADIANS(C298)) * SIN(RADIANS((D298) - INDEX('Dataset_Wisata'!$D$12:$D$622, MATCH('Dashboard'!$C$9, 'Dataset_Wisata'!$A$12:$A$622, 0)))/2)^2)) * 1.3</f>
        <v/>
      </c>
      <c r="J298" s="21">
        <f>ROUND(I298 * IF('Dashboard'!$C$6&lt;=1, 2250, IF('Dashboard'!$C$6&lt;=4, 5150, 6000)), 0)</f>
        <v/>
      </c>
      <c r="K298" s="30" t="n">
        <v>0.8921119122661371</v>
      </c>
      <c r="L298" s="30" t="n">
        <v>0.08535328907191304</v>
      </c>
      <c r="M298" s="30" t="n">
        <v>0.02253479866194994</v>
      </c>
      <c r="N298" s="31">
        <f>ABS(E298-$F$6)</f>
        <v/>
      </c>
      <c r="O298" s="31">
        <f>ABS(E298-$F$7)</f>
        <v/>
      </c>
      <c r="P298" s="31">
        <f>ABS(E298-$F$8)</f>
        <v/>
      </c>
      <c r="Q298" s="14">
        <f>IF(K298&gt;=MAX(L298,M298), "Hemat", IF(L298&gt;=M298, "Balanced", "Premium"))</f>
        <v/>
      </c>
      <c r="R298" s="30" t="n">
        <v>0.8921119538939932</v>
      </c>
      <c r="S298" s="30" t="n">
        <v>0.08535327487051378</v>
      </c>
      <c r="T298" s="30" t="n">
        <v>0.02253477123549305</v>
      </c>
      <c r="U298" s="31">
        <f>ABS(E298-$G$6)</f>
        <v/>
      </c>
      <c r="V298" s="31">
        <f>ABS(E298-$G$7)</f>
        <v/>
      </c>
      <c r="W298" s="31">
        <f>ABS(E298-$G$8)</f>
        <v/>
      </c>
      <c r="X298" s="14">
        <f>IF(R298&gt;=MAX(S298,T298), "Hemat", IF(S298&gt;=T298, "Balanced", "Premium"))</f>
        <v/>
      </c>
    </row>
    <row r="299">
      <c r="A299" s="14" t="n">
        <v>288</v>
      </c>
      <c r="B299" s="7" t="inlineStr">
        <is>
          <t>CAKRAWALA HOMESTAY</t>
        </is>
      </c>
      <c r="C299" s="26" t="n">
        <v>-8.436086400000001</v>
      </c>
      <c r="D299" s="26" t="n">
        <v>112.6424203</v>
      </c>
      <c r="E299" s="21" t="n">
        <v>200000</v>
      </c>
      <c r="F299" s="27" t="n">
        <v>0</v>
      </c>
      <c r="G299" s="28" t="n">
        <v>0</v>
      </c>
      <c r="H299" s="14" t="inlineStr">
        <is>
          <t>N/A</t>
        </is>
      </c>
      <c r="I299" s="29">
        <f>6371 * 2 * ASIN(SQRT(SIN(RADIANS((C299) - INDEX('Dataset_Wisata'!$C$12:$C$622, MATCH('Dashboard'!$C$9, 'Dataset_Wisata'!$A$12:$A$622, 0)))/2)^2 + COS(RADIANS(INDEX('Dataset_Wisata'!$C$12:$C$622, MATCH('Dashboard'!$C$9, 'Dataset_Wisata'!$A$12:$A$622, 0)))) * COS(RADIANS(C299)) * SIN(RADIANS((D299) - INDEX('Dataset_Wisata'!$D$12:$D$622, MATCH('Dashboard'!$C$9, 'Dataset_Wisata'!$A$12:$A$622, 0)))/2)^2)) * 1.3</f>
        <v/>
      </c>
      <c r="J299" s="21">
        <f>ROUND(I299 * IF('Dashboard'!$C$6&lt;=1, 2250, IF('Dashboard'!$C$6&lt;=4, 5150, 6000)), 0)</f>
        <v/>
      </c>
      <c r="K299" s="30" t="n">
        <v>0.2553120674410002</v>
      </c>
      <c r="L299" s="30" t="n">
        <v>0.7118698806466551</v>
      </c>
      <c r="M299" s="30" t="n">
        <v>0.03281805191234464</v>
      </c>
      <c r="N299" s="31">
        <f>ABS(E299-$F$6)</f>
        <v/>
      </c>
      <c r="O299" s="31">
        <f>ABS(E299-$F$7)</f>
        <v/>
      </c>
      <c r="P299" s="31">
        <f>ABS(E299-$F$8)</f>
        <v/>
      </c>
      <c r="Q299" s="14">
        <f>IF(K299&gt;=MAX(L299,M299), "Hemat", IF(L299&gt;=M299, "Balanced", "Premium"))</f>
        <v/>
      </c>
      <c r="R299" s="30" t="n">
        <v>0.2553195689263855</v>
      </c>
      <c r="S299" s="30" t="n">
        <v>0.7118621403928133</v>
      </c>
      <c r="T299" s="30" t="n">
        <v>0.03281829068080127</v>
      </c>
      <c r="U299" s="31">
        <f>ABS(E299-$G$6)</f>
        <v/>
      </c>
      <c r="V299" s="31">
        <f>ABS(E299-$G$7)</f>
        <v/>
      </c>
      <c r="W299" s="31">
        <f>ABS(E299-$G$8)</f>
        <v/>
      </c>
      <c r="X299" s="14">
        <f>IF(R299&gt;=MAX(S299,T299), "Hemat", IF(S299&gt;=T299, "Balanced", "Premium"))</f>
        <v/>
      </c>
    </row>
    <row r="300">
      <c r="A300" s="14" t="n">
        <v>289</v>
      </c>
      <c r="B300" s="7" t="inlineStr">
        <is>
          <t>VIO HOMESTAY PANTAI UNGAPAN</t>
        </is>
      </c>
      <c r="C300" s="26" t="n">
        <v>-8.4374653</v>
      </c>
      <c r="D300" s="26" t="n">
        <v>112.6433674</v>
      </c>
      <c r="E300" s="21" t="n">
        <v>250000</v>
      </c>
      <c r="F300" s="27" t="n">
        <v>0</v>
      </c>
      <c r="G300" s="28" t="n">
        <v>0</v>
      </c>
      <c r="H300" s="14" t="inlineStr">
        <is>
          <t>N/A</t>
        </is>
      </c>
      <c r="I300" s="29">
        <f>6371 * 2 * ASIN(SQRT(SIN(RADIANS((C300) - INDEX('Dataset_Wisata'!$C$12:$C$622, MATCH('Dashboard'!$C$9, 'Dataset_Wisata'!$A$12:$A$622, 0)))/2)^2 + COS(RADIANS(INDEX('Dataset_Wisata'!$C$12:$C$622, MATCH('Dashboard'!$C$9, 'Dataset_Wisata'!$A$12:$A$622, 0)))) * COS(RADIANS(C300)) * SIN(RADIANS((D300) - INDEX('Dataset_Wisata'!$D$12:$D$622, MATCH('Dashboard'!$C$9, 'Dataset_Wisata'!$A$12:$A$622, 0)))/2)^2)) * 1.3</f>
        <v/>
      </c>
      <c r="J300" s="21">
        <f>ROUND(I300 * IF('Dashboard'!$C$6&lt;=1, 2250, IF('Dashboard'!$C$6&lt;=4, 5150, 6000)), 0)</f>
        <v/>
      </c>
      <c r="K300" s="30" t="n">
        <v>0.001353558595276529</v>
      </c>
      <c r="L300" s="30" t="n">
        <v>0.9978236799136749</v>
      </c>
      <c r="M300" s="30" t="n">
        <v>0.0008227614910485521</v>
      </c>
      <c r="N300" s="31">
        <f>ABS(E300-$F$6)</f>
        <v/>
      </c>
      <c r="O300" s="31">
        <f>ABS(E300-$F$7)</f>
        <v/>
      </c>
      <c r="P300" s="31">
        <f>ABS(E300-$F$8)</f>
        <v/>
      </c>
      <c r="Q300" s="14">
        <f>IF(K300&gt;=MAX(L300,M300), "Hemat", IF(L300&gt;=M300, "Balanced", "Premium"))</f>
        <v/>
      </c>
      <c r="R300" s="30" t="n">
        <v>0.001353112652701395</v>
      </c>
      <c r="S300" s="30" t="n">
        <v>0.9978244171537111</v>
      </c>
      <c r="T300" s="30" t="n">
        <v>0.0008224701935875775</v>
      </c>
      <c r="U300" s="31">
        <f>ABS(E300-$G$6)</f>
        <v/>
      </c>
      <c r="V300" s="31">
        <f>ABS(E300-$G$7)</f>
        <v/>
      </c>
      <c r="W300" s="31">
        <f>ABS(E300-$G$8)</f>
        <v/>
      </c>
      <c r="X300" s="14">
        <f>IF(R300&gt;=MAX(S300,T300), "Hemat", IF(S300&gt;=T300, "Balanced", "Premium"))</f>
        <v/>
      </c>
    </row>
    <row r="301">
      <c r="A301" s="14" t="n">
        <v>290</v>
      </c>
      <c r="B301" s="7" t="inlineStr">
        <is>
          <t>Ariesta Homestay</t>
        </is>
      </c>
      <c r="C301" s="26" t="n">
        <v>-8.4302154</v>
      </c>
      <c r="D301" s="26" t="n">
        <v>112.6783387</v>
      </c>
      <c r="E301" s="21" t="n">
        <v>57212</v>
      </c>
      <c r="F301" s="27" t="n">
        <v>0</v>
      </c>
      <c r="G301" s="28" t="n">
        <v>0</v>
      </c>
      <c r="H301" s="14" t="inlineStr">
        <is>
          <t>N/A</t>
        </is>
      </c>
      <c r="I301" s="29">
        <f>6371 * 2 * ASIN(SQRT(SIN(RADIANS((C301) - INDEX('Dataset_Wisata'!$C$12:$C$622, MATCH('Dashboard'!$C$9, 'Dataset_Wisata'!$A$12:$A$622, 0)))/2)^2 + COS(RADIANS(INDEX('Dataset_Wisata'!$C$12:$C$622, MATCH('Dashboard'!$C$9, 'Dataset_Wisata'!$A$12:$A$622, 0)))) * COS(RADIANS(C301)) * SIN(RADIANS((D301) - INDEX('Dataset_Wisata'!$D$12:$D$622, MATCH('Dashboard'!$C$9, 'Dataset_Wisata'!$A$12:$A$622, 0)))/2)^2)) * 1.3</f>
        <v/>
      </c>
      <c r="J301" s="21">
        <f>ROUND(I301 * IF('Dashboard'!$C$6&lt;=1, 2250, IF('Dashboard'!$C$6&lt;=4, 5150, 6000)), 0)</f>
        <v/>
      </c>
      <c r="K301" s="30" t="n">
        <v>0.8600248399119151</v>
      </c>
      <c r="L301" s="30" t="n">
        <v>0.1091534764213973</v>
      </c>
      <c r="M301" s="30" t="n">
        <v>0.03082168366668737</v>
      </c>
      <c r="N301" s="31">
        <f>ABS(E301-$F$6)</f>
        <v/>
      </c>
      <c r="O301" s="31">
        <f>ABS(E301-$F$7)</f>
        <v/>
      </c>
      <c r="P301" s="31">
        <f>ABS(E301-$F$8)</f>
        <v/>
      </c>
      <c r="Q301" s="14">
        <f>IF(K301&gt;=MAX(L301,M301), "Hemat", IF(L301&gt;=M301, "Balanced", "Premium"))</f>
        <v/>
      </c>
      <c r="R301" s="30" t="n">
        <v>0.8600250253479975</v>
      </c>
      <c r="S301" s="30" t="n">
        <v>0.1091533629097819</v>
      </c>
      <c r="T301" s="30" t="n">
        <v>0.03082161174222067</v>
      </c>
      <c r="U301" s="31">
        <f>ABS(E301-$G$6)</f>
        <v/>
      </c>
      <c r="V301" s="31">
        <f>ABS(E301-$G$7)</f>
        <v/>
      </c>
      <c r="W301" s="31">
        <f>ABS(E301-$G$8)</f>
        <v/>
      </c>
      <c r="X301" s="14">
        <f>IF(R301&gt;=MAX(S301,T301), "Hemat", IF(S301&gt;=T301, "Balanced", "Premium"))</f>
        <v/>
      </c>
    </row>
    <row r="302">
      <c r="A302" s="14" t="n">
        <v>291</v>
      </c>
      <c r="B302" s="7" t="inlineStr">
        <is>
          <t>Home Stay Pak Dilu</t>
        </is>
      </c>
      <c r="C302" s="26" t="n">
        <v>-8.430443</v>
      </c>
      <c r="D302" s="26" t="n">
        <v>112.6789965</v>
      </c>
      <c r="E302" s="21" t="n">
        <v>100000</v>
      </c>
      <c r="F302" s="27" t="n">
        <v>0</v>
      </c>
      <c r="G302" s="28" t="n">
        <v>0</v>
      </c>
      <c r="H302" s="14" t="inlineStr">
        <is>
          <t>N/A</t>
        </is>
      </c>
      <c r="I302" s="29">
        <f>6371 * 2 * ASIN(SQRT(SIN(RADIANS((C302) - INDEX('Dataset_Wisata'!$C$12:$C$622, MATCH('Dashboard'!$C$9, 'Dataset_Wisata'!$A$12:$A$622, 0)))/2)^2 + COS(RADIANS(INDEX('Dataset_Wisata'!$C$12:$C$622, MATCH('Dashboard'!$C$9, 'Dataset_Wisata'!$A$12:$A$622, 0)))) * COS(RADIANS(C302)) * SIN(RADIANS((D302) - INDEX('Dataset_Wisata'!$D$12:$D$622, MATCH('Dashboard'!$C$9, 'Dataset_Wisata'!$A$12:$A$622, 0)))/2)^2)) * 1.3</f>
        <v/>
      </c>
      <c r="J302" s="21">
        <f>ROUND(I302 * IF('Dashboard'!$C$6&lt;=1, 2250, IF('Dashboard'!$C$6&lt;=4, 5150, 6000)), 0)</f>
        <v/>
      </c>
      <c r="K302" s="30" t="n">
        <v>0.9672305756379272</v>
      </c>
      <c r="L302" s="30" t="n">
        <v>0.02690286027756393</v>
      </c>
      <c r="M302" s="30" t="n">
        <v>0.005866564084508831</v>
      </c>
      <c r="N302" s="31">
        <f>ABS(E302-$F$6)</f>
        <v/>
      </c>
      <c r="O302" s="31">
        <f>ABS(E302-$F$7)</f>
        <v/>
      </c>
      <c r="P302" s="31">
        <f>ABS(E302-$F$8)</f>
        <v/>
      </c>
      <c r="Q302" s="14">
        <f>IF(K302&gt;=MAX(L302,M302), "Hemat", IF(L302&gt;=M302, "Balanced", "Premium"))</f>
        <v/>
      </c>
      <c r="R302" s="30" t="n">
        <v>0.9672303035537276</v>
      </c>
      <c r="S302" s="30" t="n">
        <v>0.02690308452718115</v>
      </c>
      <c r="T302" s="30" t="n">
        <v>0.0058666119190913</v>
      </c>
      <c r="U302" s="31">
        <f>ABS(E302-$G$6)</f>
        <v/>
      </c>
      <c r="V302" s="31">
        <f>ABS(E302-$G$7)</f>
        <v/>
      </c>
      <c r="W302" s="31">
        <f>ABS(E302-$G$8)</f>
        <v/>
      </c>
      <c r="X302" s="14">
        <f>IF(R302&gt;=MAX(S302,T302), "Hemat", IF(S302&gt;=T302, "Balanced", "Premium"))</f>
        <v/>
      </c>
    </row>
    <row r="303">
      <c r="A303" s="14" t="n">
        <v>292</v>
      </c>
      <c r="B303" s="7" t="inlineStr">
        <is>
          <t>Cakra Residence Hotel</t>
        </is>
      </c>
      <c r="C303" s="26" t="n">
        <v>-8.176038999999999</v>
      </c>
      <c r="D303" s="26" t="n">
        <v>112.6834328</v>
      </c>
      <c r="E303" s="21" t="n">
        <v>150000</v>
      </c>
      <c r="F303" s="27" t="n">
        <v>0</v>
      </c>
      <c r="G303" s="28" t="n">
        <v>0</v>
      </c>
      <c r="H303" s="14" t="inlineStr">
        <is>
          <t>N/A</t>
        </is>
      </c>
      <c r="I303" s="29">
        <f>6371 * 2 * ASIN(SQRT(SIN(RADIANS((C303) - INDEX('Dataset_Wisata'!$C$12:$C$622, MATCH('Dashboard'!$C$9, 'Dataset_Wisata'!$A$12:$A$622, 0)))/2)^2 + COS(RADIANS(INDEX('Dataset_Wisata'!$C$12:$C$622, MATCH('Dashboard'!$C$9, 'Dataset_Wisata'!$A$12:$A$622, 0)))) * COS(RADIANS(C303)) * SIN(RADIANS((D303) - INDEX('Dataset_Wisata'!$D$12:$D$622, MATCH('Dashboard'!$C$9, 'Dataset_Wisata'!$A$12:$A$622, 0)))/2)^2)) * 1.3</f>
        <v/>
      </c>
      <c r="J303" s="21">
        <f>ROUND(I303 * IF('Dashboard'!$C$6&lt;=1, 2250, IF('Dashboard'!$C$6&lt;=4, 5150, 6000)), 0)</f>
        <v/>
      </c>
      <c r="K303" s="30" t="n">
        <v>0.9236568385235482</v>
      </c>
      <c r="L303" s="30" t="n">
        <v>0.06736899151285153</v>
      </c>
      <c r="M303" s="30" t="n">
        <v>0.008974169963600275</v>
      </c>
      <c r="N303" s="31">
        <f>ABS(E303-$F$6)</f>
        <v/>
      </c>
      <c r="O303" s="31">
        <f>ABS(E303-$F$7)</f>
        <v/>
      </c>
      <c r="P303" s="31">
        <f>ABS(E303-$F$8)</f>
        <v/>
      </c>
      <c r="Q303" s="14">
        <f>IF(K303&gt;=MAX(L303,M303), "Hemat", IF(L303&gt;=M303, "Balanced", "Premium"))</f>
        <v/>
      </c>
      <c r="R303" s="30" t="n">
        <v>0.9236592327110943</v>
      </c>
      <c r="S303" s="30" t="n">
        <v>0.0673668524262508</v>
      </c>
      <c r="T303" s="30" t="n">
        <v>0.008973914862654904</v>
      </c>
      <c r="U303" s="31">
        <f>ABS(E303-$G$6)</f>
        <v/>
      </c>
      <c r="V303" s="31">
        <f>ABS(E303-$G$7)</f>
        <v/>
      </c>
      <c r="W303" s="31">
        <f>ABS(E303-$G$8)</f>
        <v/>
      </c>
      <c r="X303" s="14">
        <f>IF(R303&gt;=MAX(S303,T303), "Hemat", IF(S303&gt;=T303, "Balanced", "Premium"))</f>
        <v/>
      </c>
    </row>
    <row r="304">
      <c r="A304" s="14" t="n">
        <v>293</v>
      </c>
      <c r="B304" s="7" t="inlineStr">
        <is>
          <t>D’rael Guest House Syariah Turen</t>
        </is>
      </c>
      <c r="C304" s="26" t="n">
        <v>-8.1715573</v>
      </c>
      <c r="D304" s="26" t="n">
        <v>112.6881689</v>
      </c>
      <c r="E304" s="21" t="n">
        <v>220748</v>
      </c>
      <c r="F304" s="27" t="n">
        <v>0</v>
      </c>
      <c r="G304" s="28" t="n">
        <v>0</v>
      </c>
      <c r="H304" s="14" t="inlineStr">
        <is>
          <t>N/A</t>
        </is>
      </c>
      <c r="I304" s="29">
        <f>6371 * 2 * ASIN(SQRT(SIN(RADIANS((C304) - INDEX('Dataset_Wisata'!$C$12:$C$622, MATCH('Dashboard'!$C$9, 'Dataset_Wisata'!$A$12:$A$622, 0)))/2)^2 + COS(RADIANS(INDEX('Dataset_Wisata'!$C$12:$C$622, MATCH('Dashboard'!$C$9, 'Dataset_Wisata'!$A$12:$A$622, 0)))) * COS(RADIANS(C304)) * SIN(RADIANS((D304) - INDEX('Dataset_Wisata'!$D$12:$D$622, MATCH('Dashboard'!$C$9, 'Dataset_Wisata'!$A$12:$A$622, 0)))/2)^2)) * 1.3</f>
        <v/>
      </c>
      <c r="J304" s="21">
        <f>ROUND(I304 * IF('Dashboard'!$C$6&lt;=1, 2250, IF('Dashboard'!$C$6&lt;=4, 5150, 6000)), 0)</f>
        <v/>
      </c>
      <c r="K304" s="30" t="n">
        <v>0.06016672082849253</v>
      </c>
      <c r="L304" s="30" t="n">
        <v>0.9244011108650255</v>
      </c>
      <c r="M304" s="30" t="n">
        <v>0.01543216830648193</v>
      </c>
      <c r="N304" s="31">
        <f>ABS(E304-$F$6)</f>
        <v/>
      </c>
      <c r="O304" s="31">
        <f>ABS(E304-$F$7)</f>
        <v/>
      </c>
      <c r="P304" s="31">
        <f>ABS(E304-$F$8)</f>
        <v/>
      </c>
      <c r="Q304" s="14">
        <f>IF(K304&gt;=MAX(L304,M304), "Hemat", IF(L304&gt;=M304, "Balanced", "Premium"))</f>
        <v/>
      </c>
      <c r="R304" s="30" t="n">
        <v>0.06017050490117499</v>
      </c>
      <c r="S304" s="30" t="n">
        <v>0.9243967037144901</v>
      </c>
      <c r="T304" s="30" t="n">
        <v>0.01543279138433482</v>
      </c>
      <c r="U304" s="31">
        <f>ABS(E304-$G$6)</f>
        <v/>
      </c>
      <c r="V304" s="31">
        <f>ABS(E304-$G$7)</f>
        <v/>
      </c>
      <c r="W304" s="31">
        <f>ABS(E304-$G$8)</f>
        <v/>
      </c>
      <c r="X304" s="14">
        <f>IF(R304&gt;=MAX(S304,T304), "Hemat", IF(S304&gt;=T304, "Balanced", "Premium"))</f>
        <v/>
      </c>
    </row>
    <row r="305">
      <c r="A305" s="14" t="n">
        <v>294</v>
      </c>
      <c r="B305" s="7" t="inlineStr">
        <is>
          <t>Villa Malang GOR Ken Arok Puncak Buring by MARRY IND</t>
        </is>
      </c>
      <c r="C305" s="26" t="n">
        <v>-8.010885</v>
      </c>
      <c r="D305" s="26" t="n">
        <v>112.655245</v>
      </c>
      <c r="E305" s="21" t="n">
        <v>4304995</v>
      </c>
      <c r="F305" s="27" t="n">
        <v>0</v>
      </c>
      <c r="G305" s="28" t="n">
        <v>0</v>
      </c>
      <c r="H305" s="14" t="inlineStr">
        <is>
          <t>N/A</t>
        </is>
      </c>
      <c r="I305" s="29">
        <f>6371 * 2 * ASIN(SQRT(SIN(RADIANS((C305) - INDEX('Dataset_Wisata'!$C$12:$C$622, MATCH('Dashboard'!$C$9, 'Dataset_Wisata'!$A$12:$A$622, 0)))/2)^2 + COS(RADIANS(INDEX('Dataset_Wisata'!$C$12:$C$622, MATCH('Dashboard'!$C$9, 'Dataset_Wisata'!$A$12:$A$622, 0)))) * COS(RADIANS(C305)) * SIN(RADIANS((D305) - INDEX('Dataset_Wisata'!$D$12:$D$622, MATCH('Dashboard'!$C$9, 'Dataset_Wisata'!$A$12:$A$622, 0)))/2)^2)) * 1.3</f>
        <v/>
      </c>
      <c r="J305" s="21">
        <f>ROUND(I305 * IF('Dashboard'!$C$6&lt;=1, 2250, IF('Dashboard'!$C$6&lt;=4, 5150, 6000)), 0)</f>
        <v/>
      </c>
      <c r="K305" s="30" t="n">
        <v>0.0005721256138244593</v>
      </c>
      <c r="L305" s="30" t="n">
        <v>0.0006067751686890986</v>
      </c>
      <c r="M305" s="30" t="n">
        <v>0.0006595926489526531</v>
      </c>
      <c r="N305" s="31">
        <f>ABS(E305-$F$6)</f>
        <v/>
      </c>
      <c r="O305" s="31">
        <f>ABS(E305-$F$7)</f>
        <v/>
      </c>
      <c r="P305" s="31">
        <f>ABS(E305-$F$8)</f>
        <v/>
      </c>
      <c r="Q305" s="14">
        <f>IF(K305&gt;=MAX(L305,M305), "Hemat", IF(L305&gt;=M305, "Balanced", "Premium"))</f>
        <v/>
      </c>
      <c r="R305" s="30" t="n">
        <v>0.000572125677713019</v>
      </c>
      <c r="S305" s="30" t="n">
        <v>0.0006067753998672803</v>
      </c>
      <c r="T305" s="30" t="n">
        <v>0.0006595932196198776</v>
      </c>
      <c r="U305" s="31">
        <f>ABS(E305-$G$6)</f>
        <v/>
      </c>
      <c r="V305" s="31">
        <f>ABS(E305-$G$7)</f>
        <v/>
      </c>
      <c r="W305" s="31">
        <f>ABS(E305-$G$8)</f>
        <v/>
      </c>
      <c r="X305" s="14">
        <f>IF(R305&gt;=MAX(S305,T305), "Hemat", IF(S305&gt;=T305, "Balanced", "Premium"))</f>
        <v/>
      </c>
    </row>
    <row r="306">
      <c r="A306" s="14" t="n">
        <v>295</v>
      </c>
      <c r="B306" s="7" t="inlineStr">
        <is>
          <t>Hnr Homestay Syariah</t>
        </is>
      </c>
      <c r="C306" s="26" t="n">
        <v>-8.010960000000001</v>
      </c>
      <c r="D306" s="26" t="n">
        <v>112.651874</v>
      </c>
      <c r="E306" s="21" t="n">
        <v>100000</v>
      </c>
      <c r="F306" s="27" t="n">
        <v>0</v>
      </c>
      <c r="G306" s="28" t="n">
        <v>0</v>
      </c>
      <c r="H306" s="14" t="inlineStr">
        <is>
          <t>N/A</t>
        </is>
      </c>
      <c r="I306" s="29">
        <f>6371 * 2 * ASIN(SQRT(SIN(RADIANS((C306) - INDEX('Dataset_Wisata'!$C$12:$C$622, MATCH('Dashboard'!$C$9, 'Dataset_Wisata'!$A$12:$A$622, 0)))/2)^2 + COS(RADIANS(INDEX('Dataset_Wisata'!$C$12:$C$622, MATCH('Dashboard'!$C$9, 'Dataset_Wisata'!$A$12:$A$622, 0)))) * COS(RADIANS(C306)) * SIN(RADIANS((D306) - INDEX('Dataset_Wisata'!$D$12:$D$622, MATCH('Dashboard'!$C$9, 'Dataset_Wisata'!$A$12:$A$622, 0)))/2)^2)) * 1.3</f>
        <v/>
      </c>
      <c r="J306" s="21">
        <f>ROUND(I306 * IF('Dashboard'!$C$6&lt;=1, 2250, IF('Dashboard'!$C$6&lt;=4, 5150, 6000)), 0)</f>
        <v/>
      </c>
      <c r="K306" s="30" t="n">
        <v>0.9672305756379272</v>
      </c>
      <c r="L306" s="30" t="n">
        <v>0.02690286027756393</v>
      </c>
      <c r="M306" s="30" t="n">
        <v>0.005866564084508831</v>
      </c>
      <c r="N306" s="31">
        <f>ABS(E306-$F$6)</f>
        <v/>
      </c>
      <c r="O306" s="31">
        <f>ABS(E306-$F$7)</f>
        <v/>
      </c>
      <c r="P306" s="31">
        <f>ABS(E306-$F$8)</f>
        <v/>
      </c>
      <c r="Q306" s="14">
        <f>IF(K306&gt;=MAX(L306,M306), "Hemat", IF(L306&gt;=M306, "Balanced", "Premium"))</f>
        <v/>
      </c>
      <c r="R306" s="30" t="n">
        <v>0.9672303035537276</v>
      </c>
      <c r="S306" s="30" t="n">
        <v>0.02690308452718115</v>
      </c>
      <c r="T306" s="30" t="n">
        <v>0.0058666119190913</v>
      </c>
      <c r="U306" s="31">
        <f>ABS(E306-$G$6)</f>
        <v/>
      </c>
      <c r="V306" s="31">
        <f>ABS(E306-$G$7)</f>
        <v/>
      </c>
      <c r="W306" s="31">
        <f>ABS(E306-$G$8)</f>
        <v/>
      </c>
      <c r="X306" s="14">
        <f>IF(R306&gt;=MAX(S306,T306), "Hemat", IF(S306&gt;=T306, "Balanced", "Premium"))</f>
        <v/>
      </c>
    </row>
    <row r="307">
      <c r="A307" s="14" t="n">
        <v>296</v>
      </c>
      <c r="B307" s="7" t="inlineStr">
        <is>
          <t>Swun Stay Inn @ Sawahan Mitra RedDoorz</t>
        </is>
      </c>
      <c r="C307" s="26" t="n">
        <v>-7.9858598</v>
      </c>
      <c r="D307" s="26" t="n">
        <v>112.626014</v>
      </c>
      <c r="E307" s="21" t="n">
        <v>163480</v>
      </c>
      <c r="F307" s="27" t="n">
        <v>0</v>
      </c>
      <c r="G307" s="28" t="n">
        <v>0</v>
      </c>
      <c r="H307" s="14" t="inlineStr">
        <is>
          <t>N/A</t>
        </is>
      </c>
      <c r="I307" s="29">
        <f>6371 * 2 * ASIN(SQRT(SIN(RADIANS((C307) - INDEX('Dataset_Wisata'!$C$12:$C$622, MATCH('Dashboard'!$C$9, 'Dataset_Wisata'!$A$12:$A$622, 0)))/2)^2 + COS(RADIANS(INDEX('Dataset_Wisata'!$C$12:$C$622, MATCH('Dashboard'!$C$9, 'Dataset_Wisata'!$A$12:$A$622, 0)))) * COS(RADIANS(C307)) * SIN(RADIANS((D307) - INDEX('Dataset_Wisata'!$D$12:$D$622, MATCH('Dashboard'!$C$9, 'Dataset_Wisata'!$A$12:$A$622, 0)))/2)^2)) * 1.3</f>
        <v/>
      </c>
      <c r="J307" s="21">
        <f>ROUND(I307 * IF('Dashboard'!$C$6&lt;=1, 2250, IF('Dashboard'!$C$6&lt;=4, 5150, 6000)), 0)</f>
        <v/>
      </c>
      <c r="K307" s="30" t="n">
        <v>0.7970395819077094</v>
      </c>
      <c r="L307" s="30" t="n">
        <v>0.1829810240795553</v>
      </c>
      <c r="M307" s="30" t="n">
        <v>0.01997939401273522</v>
      </c>
      <c r="N307" s="31">
        <f>ABS(E307-$F$6)</f>
        <v/>
      </c>
      <c r="O307" s="31">
        <f>ABS(E307-$F$7)</f>
        <v/>
      </c>
      <c r="P307" s="31">
        <f>ABS(E307-$F$8)</f>
        <v/>
      </c>
      <c r="Q307" s="14">
        <f>IF(K307&gt;=MAX(L307,M307), "Hemat", IF(L307&gt;=M307, "Balanced", "Premium"))</f>
        <v/>
      </c>
      <c r="R307" s="30" t="n">
        <v>0.7970444778218625</v>
      </c>
      <c r="S307" s="30" t="n">
        <v>0.1829765147579172</v>
      </c>
      <c r="T307" s="30" t="n">
        <v>0.0199790074202203</v>
      </c>
      <c r="U307" s="31">
        <f>ABS(E307-$G$6)</f>
        <v/>
      </c>
      <c r="V307" s="31">
        <f>ABS(E307-$G$7)</f>
        <v/>
      </c>
      <c r="W307" s="31">
        <f>ABS(E307-$G$8)</f>
        <v/>
      </c>
      <c r="X307" s="14">
        <f>IF(R307&gt;=MAX(S307,T307), "Hemat", IF(S307&gt;=T307, "Balanced", "Premium"))</f>
        <v/>
      </c>
    </row>
    <row r="308">
      <c r="A308" s="14" t="n">
        <v>297</v>
      </c>
      <c r="B308" s="7" t="inlineStr">
        <is>
          <t>Bobopod Alun-Alun, Malang</t>
        </is>
      </c>
      <c r="C308" s="26" t="n">
        <v>-7.9835318</v>
      </c>
      <c r="D308" s="26" t="n">
        <v>112.6301217</v>
      </c>
      <c r="E308" s="21" t="n">
        <v>170000</v>
      </c>
      <c r="F308" s="27" t="n">
        <v>0</v>
      </c>
      <c r="G308" s="28" t="n">
        <v>0</v>
      </c>
      <c r="H308" s="14" t="inlineStr">
        <is>
          <t>N/A</t>
        </is>
      </c>
      <c r="I308" s="29">
        <f>6371 * 2 * ASIN(SQRT(SIN(RADIANS((C308) - INDEX('Dataset_Wisata'!$C$12:$C$622, MATCH('Dashboard'!$C$9, 'Dataset_Wisata'!$A$12:$A$622, 0)))/2)^2 + COS(RADIANS(INDEX('Dataset_Wisata'!$C$12:$C$622, MATCH('Dashboard'!$C$9, 'Dataset_Wisata'!$A$12:$A$622, 0)))) * COS(RADIANS(C308)) * SIN(RADIANS((D308) - INDEX('Dataset_Wisata'!$D$12:$D$622, MATCH('Dashboard'!$C$9, 'Dataset_Wisata'!$A$12:$A$622, 0)))/2)^2)) * 1.3</f>
        <v/>
      </c>
      <c r="J308" s="21">
        <f>ROUND(I308 * IF('Dashboard'!$C$6&lt;=1, 2250, IF('Dashboard'!$C$6&lt;=4, 5150, 6000)), 0)</f>
        <v/>
      </c>
      <c r="K308" s="30" t="n">
        <v>0.7119837183050363</v>
      </c>
      <c r="L308" s="30" t="n">
        <v>0.2624152611455975</v>
      </c>
      <c r="M308" s="30" t="n">
        <v>0.02560102054936619</v>
      </c>
      <c r="N308" s="31">
        <f>ABS(E308-$F$6)</f>
        <v/>
      </c>
      <c r="O308" s="31">
        <f>ABS(E308-$F$7)</f>
        <v/>
      </c>
      <c r="P308" s="31">
        <f>ABS(E308-$F$8)</f>
        <v/>
      </c>
      <c r="Q308" s="14">
        <f>IF(K308&gt;=MAX(L308,M308), "Hemat", IF(L308&gt;=M308, "Balanced", "Premium"))</f>
        <v/>
      </c>
      <c r="R308" s="30" t="n">
        <v>0.7119898992332693</v>
      </c>
      <c r="S308" s="30" t="n">
        <v>0.2624094765922805</v>
      </c>
      <c r="T308" s="30" t="n">
        <v>0.02560062417445023</v>
      </c>
      <c r="U308" s="31">
        <f>ABS(E308-$G$6)</f>
        <v/>
      </c>
      <c r="V308" s="31">
        <f>ABS(E308-$G$7)</f>
        <v/>
      </c>
      <c r="W308" s="31">
        <f>ABS(E308-$G$8)</f>
        <v/>
      </c>
      <c r="X308" s="14">
        <f>IF(R308&gt;=MAX(S308,T308), "Hemat", IF(S308&gt;=T308, "Balanced", "Premium"))</f>
        <v/>
      </c>
    </row>
    <row r="309">
      <c r="A309" s="14" t="n">
        <v>298</v>
      </c>
      <c r="B309" s="7" t="inlineStr">
        <is>
          <t>RedDoorz near Velodrome Malang 2</t>
        </is>
      </c>
      <c r="C309" s="26" t="n">
        <v>-7.983421</v>
      </c>
      <c r="D309" s="26" t="n">
        <v>112.660784</v>
      </c>
      <c r="E309" s="21" t="n">
        <v>223236</v>
      </c>
      <c r="F309" s="27" t="n">
        <v>0</v>
      </c>
      <c r="G309" s="28" t="n">
        <v>0</v>
      </c>
      <c r="H309" s="14" t="inlineStr">
        <is>
          <t>N/A</t>
        </is>
      </c>
      <c r="I309" s="29">
        <f>6371 * 2 * ASIN(SQRT(SIN(RADIANS((C309) - INDEX('Dataset_Wisata'!$C$12:$C$622, MATCH('Dashboard'!$C$9, 'Dataset_Wisata'!$A$12:$A$622, 0)))/2)^2 + COS(RADIANS(INDEX('Dataset_Wisata'!$C$12:$C$622, MATCH('Dashboard'!$C$9, 'Dataset_Wisata'!$A$12:$A$622, 0)))) * COS(RADIANS(C309)) * SIN(RADIANS((D309) - INDEX('Dataset_Wisata'!$D$12:$D$622, MATCH('Dashboard'!$C$9, 'Dataset_Wisata'!$A$12:$A$622, 0)))/2)^2)) * 1.3</f>
        <v/>
      </c>
      <c r="J309" s="21">
        <f>ROUND(I309 * IF('Dashboard'!$C$6&lt;=1, 2250, IF('Dashboard'!$C$6&lt;=4, 5150, 6000)), 0)</f>
        <v/>
      </c>
      <c r="K309" s="30" t="n">
        <v>0.04698701583419774</v>
      </c>
      <c r="L309" s="30" t="n">
        <v>0.9399940985634821</v>
      </c>
      <c r="M309" s="30" t="n">
        <v>0.01301888560232031</v>
      </c>
      <c r="N309" s="31">
        <f>ABS(E309-$F$6)</f>
        <v/>
      </c>
      <c r="O309" s="31">
        <f>ABS(E309-$F$7)</f>
        <v/>
      </c>
      <c r="P309" s="31">
        <f>ABS(E309-$F$8)</f>
        <v/>
      </c>
      <c r="Q309" s="14">
        <f>IF(K309&gt;=MAX(L309,M309), "Hemat", IF(L309&gt;=M309, "Balanced", "Premium"))</f>
        <v/>
      </c>
      <c r="R309" s="30" t="n">
        <v>0.04699032464066683</v>
      </c>
      <c r="S309" s="30" t="n">
        <v>0.9399901675940456</v>
      </c>
      <c r="T309" s="30" t="n">
        <v>0.01301950776528766</v>
      </c>
      <c r="U309" s="31">
        <f>ABS(E309-$G$6)</f>
        <v/>
      </c>
      <c r="V309" s="31">
        <f>ABS(E309-$G$7)</f>
        <v/>
      </c>
      <c r="W309" s="31">
        <f>ABS(E309-$G$8)</f>
        <v/>
      </c>
      <c r="X309" s="14">
        <f>IF(R309&gt;=MAX(S309,T309), "Hemat", IF(S309&gt;=T309, "Balanced", "Premium"))</f>
        <v/>
      </c>
    </row>
    <row r="310">
      <c r="A310" s="14" t="n">
        <v>299</v>
      </c>
      <c r="B310" s="7" t="inlineStr">
        <is>
          <t>Sentral homestay</t>
        </is>
      </c>
      <c r="C310" s="26" t="n">
        <v>-7.9813198</v>
      </c>
      <c r="D310" s="26" t="n">
        <v>112.6289104</v>
      </c>
      <c r="E310" s="21" t="n">
        <v>219250</v>
      </c>
      <c r="F310" s="27" t="n">
        <v>0</v>
      </c>
      <c r="G310" s="28" t="n">
        <v>0</v>
      </c>
      <c r="H310" s="14" t="inlineStr">
        <is>
          <t>N/A</t>
        </is>
      </c>
      <c r="I310" s="29">
        <f>6371 * 2 * ASIN(SQRT(SIN(RADIANS((C310) - INDEX('Dataset_Wisata'!$C$12:$C$622, MATCH('Dashboard'!$C$9, 'Dataset_Wisata'!$A$12:$A$622, 0)))/2)^2 + COS(RADIANS(INDEX('Dataset_Wisata'!$C$12:$C$622, MATCH('Dashboard'!$C$9, 'Dataset_Wisata'!$A$12:$A$622, 0)))) * COS(RADIANS(C310)) * SIN(RADIANS((D310) - INDEX('Dataset_Wisata'!$D$12:$D$622, MATCH('Dashboard'!$C$9, 'Dataset_Wisata'!$A$12:$A$622, 0)))/2)^2)) * 1.3</f>
        <v/>
      </c>
      <c r="J310" s="21">
        <f>ROUND(I310 * IF('Dashboard'!$C$6&lt;=1, 2250, IF('Dashboard'!$C$6&lt;=4, 5150, 6000)), 0)</f>
        <v/>
      </c>
      <c r="K310" s="30" t="n">
        <v>0.06907829082600639</v>
      </c>
      <c r="L310" s="30" t="n">
        <v>0.9140164443325443</v>
      </c>
      <c r="M310" s="30" t="n">
        <v>0.01690526484144934</v>
      </c>
      <c r="N310" s="31">
        <f>ABS(E310-$F$6)</f>
        <v/>
      </c>
      <c r="O310" s="31">
        <f>ABS(E310-$F$7)</f>
        <v/>
      </c>
      <c r="P310" s="31">
        <f>ABS(E310-$F$8)</f>
        <v/>
      </c>
      <c r="Q310" s="14">
        <f>IF(K310&gt;=MAX(L310,M310), "Hemat", IF(L310&gt;=M310, "Balanced", "Premium"))</f>
        <v/>
      </c>
      <c r="R310" s="30" t="n">
        <v>0.06908236636946256</v>
      </c>
      <c r="S310" s="30" t="n">
        <v>0.9140117510240926</v>
      </c>
      <c r="T310" s="30" t="n">
        <v>0.01690588260644489</v>
      </c>
      <c r="U310" s="31">
        <f>ABS(E310-$G$6)</f>
        <v/>
      </c>
      <c r="V310" s="31">
        <f>ABS(E310-$G$7)</f>
        <v/>
      </c>
      <c r="W310" s="31">
        <f>ABS(E310-$G$8)</f>
        <v/>
      </c>
      <c r="X310" s="14">
        <f>IF(R310&gt;=MAX(S310,T310), "Hemat", IF(S310&gt;=T310, "Balanced", "Premium"))</f>
        <v/>
      </c>
    </row>
    <row r="311">
      <c r="A311" s="14" t="n">
        <v>300</v>
      </c>
      <c r="B311" s="7" t="inlineStr">
        <is>
          <t>Penginapan Omah Wetan Homestay Malang</t>
        </is>
      </c>
      <c r="C311" s="26" t="n">
        <v>-7.9818727</v>
      </c>
      <c r="D311" s="26" t="n">
        <v>112.6529763</v>
      </c>
      <c r="E311" s="21" t="n">
        <v>211040</v>
      </c>
      <c r="F311" s="27" t="n">
        <v>0</v>
      </c>
      <c r="G311" s="28" t="n">
        <v>0</v>
      </c>
      <c r="H311" s="14" t="inlineStr">
        <is>
          <t>N/A</t>
        </is>
      </c>
      <c r="I311" s="29">
        <f>6371 * 2 * ASIN(SQRT(SIN(RADIANS((C311) - INDEX('Dataset_Wisata'!$C$12:$C$622, MATCH('Dashboard'!$C$9, 'Dataset_Wisata'!$A$12:$A$622, 0)))/2)^2 + COS(RADIANS(INDEX('Dataset_Wisata'!$C$12:$C$622, MATCH('Dashboard'!$C$9, 'Dataset_Wisata'!$A$12:$A$622, 0)))) * COS(RADIANS(C311)) * SIN(RADIANS((D311) - INDEX('Dataset_Wisata'!$D$12:$D$622, MATCH('Dashboard'!$C$9, 'Dataset_Wisata'!$A$12:$A$622, 0)))/2)^2)) * 1.3</f>
        <v/>
      </c>
      <c r="J311" s="21">
        <f>ROUND(I311 * IF('Dashboard'!$C$6&lt;=1, 2250, IF('Dashboard'!$C$6&lt;=4, 5150, 6000)), 0)</f>
        <v/>
      </c>
      <c r="K311" s="30" t="n">
        <v>0.1319137617919372</v>
      </c>
      <c r="L311" s="30" t="n">
        <v>0.8433058677819497</v>
      </c>
      <c r="M311" s="30" t="n">
        <v>0.02478037042611328</v>
      </c>
      <c r="N311" s="31">
        <f>ABS(E311-$F$6)</f>
        <v/>
      </c>
      <c r="O311" s="31">
        <f>ABS(E311-$F$7)</f>
        <v/>
      </c>
      <c r="P311" s="31">
        <f>ABS(E311-$F$8)</f>
        <v/>
      </c>
      <c r="Q311" s="14">
        <f>IF(K311&gt;=MAX(L311,M311), "Hemat", IF(L311&gt;=M311, "Balanced", "Premium"))</f>
        <v/>
      </c>
      <c r="R311" s="30" t="n">
        <v>0.1319194449635568</v>
      </c>
      <c r="S311" s="30" t="n">
        <v>0.8432996671712265</v>
      </c>
      <c r="T311" s="30" t="n">
        <v>0.02478088786521674</v>
      </c>
      <c r="U311" s="31">
        <f>ABS(E311-$G$6)</f>
        <v/>
      </c>
      <c r="V311" s="31">
        <f>ABS(E311-$G$7)</f>
        <v/>
      </c>
      <c r="W311" s="31">
        <f>ABS(E311-$G$8)</f>
        <v/>
      </c>
      <c r="X311" s="14">
        <f>IF(R311&gt;=MAX(S311,T311), "Hemat", IF(S311&gt;=T311, "Balanced", "Premium"))</f>
        <v/>
      </c>
    </row>
    <row r="312">
      <c r="A312" s="14" t="n">
        <v>301</v>
      </c>
      <c r="B312" s="7" t="inlineStr">
        <is>
          <t>SO! Boutique Hostel</t>
        </is>
      </c>
      <c r="C312" s="26" t="n">
        <v>-7.9796921</v>
      </c>
      <c r="D312" s="26" t="n">
        <v>112.6312334</v>
      </c>
      <c r="E312" s="21" t="n">
        <v>81125</v>
      </c>
      <c r="F312" s="27" t="n">
        <v>0</v>
      </c>
      <c r="G312" s="28" t="n">
        <v>0</v>
      </c>
      <c r="H312" s="14" t="inlineStr">
        <is>
          <t>N/A</t>
        </is>
      </c>
      <c r="I312" s="29">
        <f>6371 * 2 * ASIN(SQRT(SIN(RADIANS((C312) - INDEX('Dataset_Wisata'!$C$12:$C$622, MATCH('Dashboard'!$C$9, 'Dataset_Wisata'!$A$12:$A$622, 0)))/2)^2 + COS(RADIANS(INDEX('Dataset_Wisata'!$C$12:$C$622, MATCH('Dashboard'!$C$9, 'Dataset_Wisata'!$A$12:$A$622, 0)))) * COS(RADIANS(C312)) * SIN(RADIANS((D312) - INDEX('Dataset_Wisata'!$D$12:$D$622, MATCH('Dashboard'!$C$9, 'Dataset_Wisata'!$A$12:$A$622, 0)))/2)^2)) * 1.3</f>
        <v/>
      </c>
      <c r="J312" s="21">
        <f>ROUND(I312 * IF('Dashboard'!$C$6&lt;=1, 2250, IF('Dashboard'!$C$6&lt;=4, 5150, 6000)), 0)</f>
        <v/>
      </c>
      <c r="K312" s="30" t="n">
        <v>0.9208292794427627</v>
      </c>
      <c r="L312" s="30" t="n">
        <v>0.06346594758992276</v>
      </c>
      <c r="M312" s="30" t="n">
        <v>0.01570477296731453</v>
      </c>
      <c r="N312" s="31">
        <f>ABS(E312-$F$6)</f>
        <v/>
      </c>
      <c r="O312" s="31">
        <f>ABS(E312-$F$7)</f>
        <v/>
      </c>
      <c r="P312" s="31">
        <f>ABS(E312-$F$8)</f>
        <v/>
      </c>
      <c r="Q312" s="14">
        <f>IF(K312&gt;=MAX(L312,M312), "Hemat", IF(L312&gt;=M312, "Balanced", "Premium"))</f>
        <v/>
      </c>
      <c r="R312" s="30" t="n">
        <v>0.9208291880056929</v>
      </c>
      <c r="S312" s="30" t="n">
        <v>0.06346603078263559</v>
      </c>
      <c r="T312" s="30" t="n">
        <v>0.01570478121167144</v>
      </c>
      <c r="U312" s="31">
        <f>ABS(E312-$G$6)</f>
        <v/>
      </c>
      <c r="V312" s="31">
        <f>ABS(E312-$G$7)</f>
        <v/>
      </c>
      <c r="W312" s="31">
        <f>ABS(E312-$G$8)</f>
        <v/>
      </c>
      <c r="X312" s="14">
        <f>IF(R312&gt;=MAX(S312,T312), "Hemat", IF(S312&gt;=T312, "Balanced", "Premium"))</f>
        <v/>
      </c>
    </row>
    <row r="313">
      <c r="A313" s="14" t="n">
        <v>302</v>
      </c>
      <c r="B313" s="7" t="inlineStr">
        <is>
          <t>Hotel Pelangi Malang, Kayutangan Heritage</t>
        </is>
      </c>
      <c r="C313" s="26" t="n">
        <v>-7.9836023</v>
      </c>
      <c r="D313" s="26" t="n">
        <v>112.6298098</v>
      </c>
      <c r="E313" s="21" t="n">
        <v>283343</v>
      </c>
      <c r="F313" s="27" t="n">
        <v>0</v>
      </c>
      <c r="G313" s="28" t="n">
        <v>0</v>
      </c>
      <c r="H313" s="14" t="inlineStr">
        <is>
          <t>N/A</t>
        </is>
      </c>
      <c r="I313" s="29">
        <f>6371 * 2 * ASIN(SQRT(SIN(RADIANS((C313) - INDEX('Dataset_Wisata'!$C$12:$C$622, MATCH('Dashboard'!$C$9, 'Dataset_Wisata'!$A$12:$A$622, 0)))/2)^2 + COS(RADIANS(INDEX('Dataset_Wisata'!$C$12:$C$622, MATCH('Dashboard'!$C$9, 'Dataset_Wisata'!$A$12:$A$622, 0)))) * COS(RADIANS(C313)) * SIN(RADIANS((D313) - INDEX('Dataset_Wisata'!$D$12:$D$622, MATCH('Dashboard'!$C$9, 'Dataset_Wisata'!$A$12:$A$622, 0)))/2)^2)) * 1.3</f>
        <v/>
      </c>
      <c r="J313" s="21">
        <f>ROUND(I313 * IF('Dashboard'!$C$6&lt;=1, 2250, IF('Dashboard'!$C$6&lt;=4, 5150, 6000)), 0)</f>
        <v/>
      </c>
      <c r="K313" s="30" t="n">
        <v>0.04975415731675242</v>
      </c>
      <c r="L313" s="30" t="n">
        <v>0.8733245717980583</v>
      </c>
      <c r="M313" s="30" t="n">
        <v>0.07692127088518924</v>
      </c>
      <c r="N313" s="31">
        <f>ABS(E313-$F$6)</f>
        <v/>
      </c>
      <c r="O313" s="31">
        <f>ABS(E313-$F$7)</f>
        <v/>
      </c>
      <c r="P313" s="31">
        <f>ABS(E313-$F$8)</f>
        <v/>
      </c>
      <c r="Q313" s="14">
        <f>IF(K313&gt;=MAX(L313,M313), "Hemat", IF(L313&gt;=M313, "Balanced", "Premium"))</f>
        <v/>
      </c>
      <c r="R313" s="30" t="n">
        <v>0.04975262704081023</v>
      </c>
      <c r="S313" s="30" t="n">
        <v>0.8733307186703527</v>
      </c>
      <c r="T313" s="30" t="n">
        <v>0.07691665428883705</v>
      </c>
      <c r="U313" s="31">
        <f>ABS(E313-$G$6)</f>
        <v/>
      </c>
      <c r="V313" s="31">
        <f>ABS(E313-$G$7)</f>
        <v/>
      </c>
      <c r="W313" s="31">
        <f>ABS(E313-$G$8)</f>
        <v/>
      </c>
      <c r="X313" s="14">
        <f>IF(R313&gt;=MAX(S313,T313), "Hemat", IF(S313&gt;=T313, "Balanced", "Premium"))</f>
        <v/>
      </c>
    </row>
    <row r="314">
      <c r="A314" s="14" t="n">
        <v>303</v>
      </c>
      <c r="B314" s="7" t="inlineStr">
        <is>
          <t>Hotel Margosuko Malang</t>
        </is>
      </c>
      <c r="C314" s="26" t="n">
        <v>-7.9850899</v>
      </c>
      <c r="D314" s="26" t="n">
        <v>112.635942</v>
      </c>
      <c r="E314" s="21" t="n">
        <v>150000</v>
      </c>
      <c r="F314" s="27" t="n">
        <v>0</v>
      </c>
      <c r="G314" s="28" t="n">
        <v>0</v>
      </c>
      <c r="H314" s="14" t="inlineStr">
        <is>
          <t>N/A</t>
        </is>
      </c>
      <c r="I314" s="29">
        <f>6371 * 2 * ASIN(SQRT(SIN(RADIANS((C314) - INDEX('Dataset_Wisata'!$C$12:$C$622, MATCH('Dashboard'!$C$9, 'Dataset_Wisata'!$A$12:$A$622, 0)))/2)^2 + COS(RADIANS(INDEX('Dataset_Wisata'!$C$12:$C$622, MATCH('Dashboard'!$C$9, 'Dataset_Wisata'!$A$12:$A$622, 0)))) * COS(RADIANS(C314)) * SIN(RADIANS((D314) - INDEX('Dataset_Wisata'!$D$12:$D$622, MATCH('Dashboard'!$C$9, 'Dataset_Wisata'!$A$12:$A$622, 0)))/2)^2)) * 1.3</f>
        <v/>
      </c>
      <c r="J314" s="21">
        <f>ROUND(I314 * IF('Dashboard'!$C$6&lt;=1, 2250, IF('Dashboard'!$C$6&lt;=4, 5150, 6000)), 0)</f>
        <v/>
      </c>
      <c r="K314" s="30" t="n">
        <v>0.9236568385235482</v>
      </c>
      <c r="L314" s="30" t="n">
        <v>0.06736899151285153</v>
      </c>
      <c r="M314" s="30" t="n">
        <v>0.008974169963600275</v>
      </c>
      <c r="N314" s="31">
        <f>ABS(E314-$F$6)</f>
        <v/>
      </c>
      <c r="O314" s="31">
        <f>ABS(E314-$F$7)</f>
        <v/>
      </c>
      <c r="P314" s="31">
        <f>ABS(E314-$F$8)</f>
        <v/>
      </c>
      <c r="Q314" s="14">
        <f>IF(K314&gt;=MAX(L314,M314), "Hemat", IF(L314&gt;=M314, "Balanced", "Premium"))</f>
        <v/>
      </c>
      <c r="R314" s="30" t="n">
        <v>0.9236592327110943</v>
      </c>
      <c r="S314" s="30" t="n">
        <v>0.0673668524262508</v>
      </c>
      <c r="T314" s="30" t="n">
        <v>0.008973914862654904</v>
      </c>
      <c r="U314" s="31">
        <f>ABS(E314-$G$6)</f>
        <v/>
      </c>
      <c r="V314" s="31">
        <f>ABS(E314-$G$7)</f>
        <v/>
      </c>
      <c r="W314" s="31">
        <f>ABS(E314-$G$8)</f>
        <v/>
      </c>
      <c r="X314" s="14">
        <f>IF(R314&gt;=MAX(S314,T314), "Hemat", IF(S314&gt;=T314, "Balanced", "Premium"))</f>
        <v/>
      </c>
    </row>
    <row r="315">
      <c r="A315" s="14" t="n">
        <v>304</v>
      </c>
      <c r="B315" s="7" t="inlineStr">
        <is>
          <t>The Grand Palace Hotel Malang</t>
        </is>
      </c>
      <c r="C315" s="26" t="n">
        <v>-7.9850725</v>
      </c>
      <c r="D315" s="26" t="n">
        <v>112.6291926</v>
      </c>
      <c r="E315" s="21" t="n">
        <v>318189</v>
      </c>
      <c r="F315" s="27" t="n">
        <v>0</v>
      </c>
      <c r="G315" s="28" t="n">
        <v>0</v>
      </c>
      <c r="H315" s="14" t="inlineStr">
        <is>
          <t>N/A</t>
        </is>
      </c>
      <c r="I315" s="29">
        <f>6371 * 2 * ASIN(SQRT(SIN(RADIANS((C315) - INDEX('Dataset_Wisata'!$C$12:$C$622, MATCH('Dashboard'!$C$9, 'Dataset_Wisata'!$A$12:$A$622, 0)))/2)^2 + COS(RADIANS(INDEX('Dataset_Wisata'!$C$12:$C$622, MATCH('Dashboard'!$C$9, 'Dataset_Wisata'!$A$12:$A$622, 0)))) * COS(RADIANS(C315)) * SIN(RADIANS((D315) - INDEX('Dataset_Wisata'!$D$12:$D$622, MATCH('Dashboard'!$C$9, 'Dataset_Wisata'!$A$12:$A$622, 0)))/2)^2)) * 1.3</f>
        <v/>
      </c>
      <c r="J315" s="21">
        <f>ROUND(I315 * IF('Dashboard'!$C$6&lt;=1, 2250, IF('Dashboard'!$C$6&lt;=4, 5150, 6000)), 0)</f>
        <v/>
      </c>
      <c r="K315" s="30" t="n">
        <v>0.080437038413604</v>
      </c>
      <c r="L315" s="30" t="n">
        <v>0.5705630413458471</v>
      </c>
      <c r="M315" s="30" t="n">
        <v>0.3489999202405489</v>
      </c>
      <c r="N315" s="31">
        <f>ABS(E315-$F$6)</f>
        <v/>
      </c>
      <c r="O315" s="31">
        <f>ABS(E315-$F$7)</f>
        <v/>
      </c>
      <c r="P315" s="31">
        <f>ABS(E315-$F$8)</f>
        <v/>
      </c>
      <c r="Q315" s="14">
        <f>IF(K315&gt;=MAX(L315,M315), "Hemat", IF(L315&gt;=M315, "Balanced", "Premium"))</f>
        <v/>
      </c>
      <c r="R315" s="30" t="n">
        <v>0.08043725731343522</v>
      </c>
      <c r="S315" s="30" t="n">
        <v>0.5705753394530265</v>
      </c>
      <c r="T315" s="30" t="n">
        <v>0.3489874032335383</v>
      </c>
      <c r="U315" s="31">
        <f>ABS(E315-$G$6)</f>
        <v/>
      </c>
      <c r="V315" s="31">
        <f>ABS(E315-$G$7)</f>
        <v/>
      </c>
      <c r="W315" s="31">
        <f>ABS(E315-$G$8)</f>
        <v/>
      </c>
      <c r="X315" s="14">
        <f>IF(R315&gt;=MAX(S315,T315), "Hemat", IF(S315&gt;=T315, "Balanced", "Premium"))</f>
        <v/>
      </c>
    </row>
    <row r="316">
      <c r="A316" s="14" t="n">
        <v>305</v>
      </c>
      <c r="B316" s="7" t="inlineStr">
        <is>
          <t>Omah Kalimosodo RedPartner near Stasiun Malang Kota Baru</t>
        </is>
      </c>
      <c r="C316" s="26" t="n">
        <v>-7.9825372</v>
      </c>
      <c r="D316" s="26" t="n">
        <v>112.64917</v>
      </c>
      <c r="E316" s="21" t="n">
        <v>176809</v>
      </c>
      <c r="F316" s="27" t="n">
        <v>0</v>
      </c>
      <c r="G316" s="28" t="n">
        <v>0</v>
      </c>
      <c r="H316" s="14" t="inlineStr">
        <is>
          <t>N/A</t>
        </is>
      </c>
      <c r="I316" s="29">
        <f>6371 * 2 * ASIN(SQRT(SIN(RADIANS((C316) - INDEX('Dataset_Wisata'!$C$12:$C$622, MATCH('Dashboard'!$C$9, 'Dataset_Wisata'!$A$12:$A$622, 0)))/2)^2 + COS(RADIANS(INDEX('Dataset_Wisata'!$C$12:$C$622, MATCH('Dashboard'!$C$9, 'Dataset_Wisata'!$A$12:$A$622, 0)))) * COS(RADIANS(C316)) * SIN(RADIANS((D316) - INDEX('Dataset_Wisata'!$D$12:$D$622, MATCH('Dashboard'!$C$9, 'Dataset_Wisata'!$A$12:$A$622, 0)))/2)^2)) * 1.3</f>
        <v/>
      </c>
      <c r="J316" s="21">
        <f>ROUND(I316 * IF('Dashboard'!$C$6&lt;=1, 2250, IF('Dashboard'!$C$6&lt;=4, 5150, 6000)), 0)</f>
        <v/>
      </c>
      <c r="K316" s="30" t="n">
        <v>0.6104657113664057</v>
      </c>
      <c r="L316" s="30" t="n">
        <v>0.3588576251580698</v>
      </c>
      <c r="M316" s="30" t="n">
        <v>0.03067666347552442</v>
      </c>
      <c r="N316" s="31">
        <f>ABS(E316-$F$6)</f>
        <v/>
      </c>
      <c r="O316" s="31">
        <f>ABS(E316-$F$7)</f>
        <v/>
      </c>
      <c r="P316" s="31">
        <f>ABS(E316-$F$8)</f>
        <v/>
      </c>
      <c r="Q316" s="14">
        <f>IF(K316&gt;=MAX(L316,M316), "Hemat", IF(L316&gt;=M316, "Balanced", "Premium"))</f>
        <v/>
      </c>
      <c r="R316" s="30" t="n">
        <v>0.6104730345865502</v>
      </c>
      <c r="S316" s="30" t="n">
        <v>0.3588506471035879</v>
      </c>
      <c r="T316" s="30" t="n">
        <v>0.03067631830986199</v>
      </c>
      <c r="U316" s="31">
        <f>ABS(E316-$G$6)</f>
        <v/>
      </c>
      <c r="V316" s="31">
        <f>ABS(E316-$G$7)</f>
        <v/>
      </c>
      <c r="W316" s="31">
        <f>ABS(E316-$G$8)</f>
        <v/>
      </c>
      <c r="X316" s="14">
        <f>IF(R316&gt;=MAX(S316,T316), "Hemat", IF(S316&gt;=T316, "Balanced", "Premium"))</f>
        <v/>
      </c>
    </row>
    <row r="317">
      <c r="A317" s="14" t="n">
        <v>306</v>
      </c>
      <c r="B317" s="7" t="inlineStr">
        <is>
          <t>M-Suite Homestay</t>
        </is>
      </c>
      <c r="C317" s="26" t="n">
        <v>-7.9813832</v>
      </c>
      <c r="D317" s="26" t="n">
        <v>112.6337665</v>
      </c>
      <c r="E317" s="21" t="n">
        <v>225676</v>
      </c>
      <c r="F317" s="27" t="n">
        <v>0</v>
      </c>
      <c r="G317" s="28" t="n">
        <v>0</v>
      </c>
      <c r="H317" s="14" t="inlineStr">
        <is>
          <t>N/A</t>
        </is>
      </c>
      <c r="I317" s="29">
        <f>6371 * 2 * ASIN(SQRT(SIN(RADIANS((C317) - INDEX('Dataset_Wisata'!$C$12:$C$622, MATCH('Dashboard'!$C$9, 'Dataset_Wisata'!$A$12:$A$622, 0)))/2)^2 + COS(RADIANS(INDEX('Dataset_Wisata'!$C$12:$C$622, MATCH('Dashboard'!$C$9, 'Dataset_Wisata'!$A$12:$A$622, 0)))) * COS(RADIANS(C317)) * SIN(RADIANS((D317) - INDEX('Dataset_Wisata'!$D$12:$D$622, MATCH('Dashboard'!$C$9, 'Dataset_Wisata'!$A$12:$A$622, 0)))/2)^2)) * 1.3</f>
        <v/>
      </c>
      <c r="J317" s="21">
        <f>ROUND(I317 * IF('Dashboard'!$C$6&lt;=1, 2250, IF('Dashboard'!$C$6&lt;=4, 5150, 6000)), 0)</f>
        <v/>
      </c>
      <c r="K317" s="30" t="n">
        <v>0.03593267799023719</v>
      </c>
      <c r="L317" s="30" t="n">
        <v>0.9533378467194197</v>
      </c>
      <c r="M317" s="30" t="n">
        <v>0.01072947529034315</v>
      </c>
      <c r="N317" s="31">
        <f>ABS(E317-$F$6)</f>
        <v/>
      </c>
      <c r="O317" s="31">
        <f>ABS(E317-$F$7)</f>
        <v/>
      </c>
      <c r="P317" s="31">
        <f>ABS(E317-$F$8)</f>
        <v/>
      </c>
      <c r="Q317" s="14">
        <f>IF(K317&gt;=MAX(L317,M317), "Hemat", IF(L317&gt;=M317, "Balanced", "Premium"))</f>
        <v/>
      </c>
      <c r="R317" s="30" t="n">
        <v>0.03593553506132269</v>
      </c>
      <c r="S317" s="30" t="n">
        <v>0.953334380651644</v>
      </c>
      <c r="T317" s="30" t="n">
        <v>0.01073008428703337</v>
      </c>
      <c r="U317" s="31">
        <f>ABS(E317-$G$6)</f>
        <v/>
      </c>
      <c r="V317" s="31">
        <f>ABS(E317-$G$7)</f>
        <v/>
      </c>
      <c r="W317" s="31">
        <f>ABS(E317-$G$8)</f>
        <v/>
      </c>
      <c r="X317" s="14">
        <f>IF(R317&gt;=MAX(S317,T317), "Hemat", IF(S317&gt;=T317, "Balanced", "Premium"))</f>
        <v/>
      </c>
    </row>
    <row r="318">
      <c r="A318" s="14" t="n">
        <v>307</v>
      </c>
      <c r="B318" s="7" t="inlineStr">
        <is>
          <t>Granada Syariah Guest House</t>
        </is>
      </c>
      <c r="C318" s="26" t="n">
        <v>-7.9844709</v>
      </c>
      <c r="D318" s="26" t="n">
        <v>112.6272647</v>
      </c>
      <c r="E318" s="21" t="n">
        <v>266215</v>
      </c>
      <c r="F318" s="27" t="n">
        <v>0</v>
      </c>
      <c r="G318" s="28" t="n">
        <v>0</v>
      </c>
      <c r="H318" s="14" t="inlineStr">
        <is>
          <t>N/A</t>
        </is>
      </c>
      <c r="I318" s="29">
        <f>6371 * 2 * ASIN(SQRT(SIN(RADIANS((C318) - INDEX('Dataset_Wisata'!$C$12:$C$622, MATCH('Dashboard'!$C$9, 'Dataset_Wisata'!$A$12:$A$622, 0)))/2)^2 + COS(RADIANS(INDEX('Dataset_Wisata'!$C$12:$C$622, MATCH('Dashboard'!$C$9, 'Dataset_Wisata'!$A$12:$A$622, 0)))) * COS(RADIANS(C318)) * SIN(RADIANS((D318) - INDEX('Dataset_Wisata'!$D$12:$D$622, MATCH('Dashboard'!$C$9, 'Dataset_Wisata'!$A$12:$A$622, 0)))/2)^2)) * 1.3</f>
        <v/>
      </c>
      <c r="J318" s="21">
        <f>ROUND(I318 * IF('Dashboard'!$C$6&lt;=1, 2250, IF('Dashboard'!$C$6&lt;=4, 5150, 6000)), 0)</f>
        <v/>
      </c>
      <c r="K318" s="30" t="n">
        <v>0.02068812149976135</v>
      </c>
      <c r="L318" s="30" t="n">
        <v>0.9595018819677388</v>
      </c>
      <c r="M318" s="30" t="n">
        <v>0.01980999653249994</v>
      </c>
      <c r="N318" s="31">
        <f>ABS(E318-$F$6)</f>
        <v/>
      </c>
      <c r="O318" s="31">
        <f>ABS(E318-$F$7)</f>
        <v/>
      </c>
      <c r="P318" s="31">
        <f>ABS(E318-$F$8)</f>
        <v/>
      </c>
      <c r="Q318" s="14">
        <f>IF(K318&gt;=MAX(L318,M318), "Hemat", IF(L318&gt;=M318, "Balanced", "Premium"))</f>
        <v/>
      </c>
      <c r="R318" s="30" t="n">
        <v>0.02068672488749942</v>
      </c>
      <c r="S318" s="30" t="n">
        <v>0.95950514098642</v>
      </c>
      <c r="T318" s="30" t="n">
        <v>0.01980813412608062</v>
      </c>
      <c r="U318" s="31">
        <f>ABS(E318-$G$6)</f>
        <v/>
      </c>
      <c r="V318" s="31">
        <f>ABS(E318-$G$7)</f>
        <v/>
      </c>
      <c r="W318" s="31">
        <f>ABS(E318-$G$8)</f>
        <v/>
      </c>
      <c r="X318" s="14">
        <f>IF(R318&gt;=MAX(S318,T318), "Hemat", IF(S318&gt;=T318, "Balanced", "Premium"))</f>
        <v/>
      </c>
    </row>
    <row r="319">
      <c r="A319" s="14" t="n">
        <v>308</v>
      </c>
      <c r="B319" s="7" t="inlineStr">
        <is>
          <t>Griyo Sultan Agung Guest House (Book our rooms via WhatsApp Chat)</t>
        </is>
      </c>
      <c r="C319" s="26" t="n">
        <v>-7.978193</v>
      </c>
      <c r="D319" s="26" t="n">
        <v>112.635719</v>
      </c>
      <c r="E319" s="21" t="n">
        <v>254410</v>
      </c>
      <c r="F319" s="27" t="n">
        <v>0</v>
      </c>
      <c r="G319" s="28" t="n">
        <v>0</v>
      </c>
      <c r="H319" s="14" t="inlineStr">
        <is>
          <t>N/A</t>
        </is>
      </c>
      <c r="I319" s="29">
        <f>6371 * 2 * ASIN(SQRT(SIN(RADIANS((C319) - INDEX('Dataset_Wisata'!$C$12:$C$622, MATCH('Dashboard'!$C$9, 'Dataset_Wisata'!$A$12:$A$622, 0)))/2)^2 + COS(RADIANS(INDEX('Dataset_Wisata'!$C$12:$C$622, MATCH('Dashboard'!$C$9, 'Dataset_Wisata'!$A$12:$A$622, 0)))) * COS(RADIANS(C319)) * SIN(RADIANS((D319) - INDEX('Dataset_Wisata'!$D$12:$D$622, MATCH('Dashboard'!$C$9, 'Dataset_Wisata'!$A$12:$A$622, 0)))/2)^2)) * 1.3</f>
        <v/>
      </c>
      <c r="J319" s="21">
        <f>ROUND(I319 * IF('Dashboard'!$C$6&lt;=1, 2250, IF('Dashboard'!$C$6&lt;=4, 5150, 6000)), 0)</f>
        <v/>
      </c>
      <c r="K319" s="30" t="n">
        <v>0.004786094805827914</v>
      </c>
      <c r="L319" s="30" t="n">
        <v>0.9919193687808864</v>
      </c>
      <c r="M319" s="30" t="n">
        <v>0.003294536413285617</v>
      </c>
      <c r="N319" s="31">
        <f>ABS(E319-$F$6)</f>
        <v/>
      </c>
      <c r="O319" s="31">
        <f>ABS(E319-$F$7)</f>
        <v/>
      </c>
      <c r="P319" s="31">
        <f>ABS(E319-$F$8)</f>
        <v/>
      </c>
      <c r="Q319" s="14">
        <f>IF(K319&gt;=MAX(L319,M319), "Hemat", IF(L319&gt;=M319, "Balanced", "Premium"))</f>
        <v/>
      </c>
      <c r="R319" s="30" t="n">
        <v>0.004785300153135264</v>
      </c>
      <c r="S319" s="30" t="n">
        <v>0.9919207929797917</v>
      </c>
      <c r="T319" s="30" t="n">
        <v>0.003293906867072946</v>
      </c>
      <c r="U319" s="31">
        <f>ABS(E319-$G$6)</f>
        <v/>
      </c>
      <c r="V319" s="31">
        <f>ABS(E319-$G$7)</f>
        <v/>
      </c>
      <c r="W319" s="31">
        <f>ABS(E319-$G$8)</f>
        <v/>
      </c>
      <c r="X319" s="14">
        <f>IF(R319&gt;=MAX(S319,T319), "Hemat", IF(S319&gt;=T319, "Balanced", "Premium"))</f>
        <v/>
      </c>
    </row>
    <row r="320">
      <c r="A320" s="14" t="n">
        <v>309</v>
      </c>
      <c r="B320" s="7" t="inlineStr">
        <is>
          <t>Griya Backpacker Pak yon</t>
        </is>
      </c>
      <c r="C320" s="26" t="n">
        <v>-7.963327</v>
      </c>
      <c r="D320" s="26" t="n">
        <v>112.638454</v>
      </c>
      <c r="E320" s="21" t="n">
        <v>90000</v>
      </c>
      <c r="F320" s="27" t="n">
        <v>0</v>
      </c>
      <c r="G320" s="28" t="n">
        <v>0</v>
      </c>
      <c r="H320" s="14" t="inlineStr">
        <is>
          <t>N/A</t>
        </is>
      </c>
      <c r="I320" s="29">
        <f>6371 * 2 * ASIN(SQRT(SIN(RADIANS((C320) - INDEX('Dataset_Wisata'!$C$12:$C$622, MATCH('Dashboard'!$C$9, 'Dataset_Wisata'!$A$12:$A$622, 0)))/2)^2 + COS(RADIANS(INDEX('Dataset_Wisata'!$C$12:$C$622, MATCH('Dashboard'!$C$9, 'Dataset_Wisata'!$A$12:$A$622, 0)))) * COS(RADIANS(C320)) * SIN(RADIANS((D320) - INDEX('Dataset_Wisata'!$D$12:$D$622, MATCH('Dashboard'!$C$9, 'Dataset_Wisata'!$A$12:$A$622, 0)))/2)^2)) * 1.3</f>
        <v/>
      </c>
      <c r="J320" s="21">
        <f>ROUND(I320 * IF('Dashboard'!$C$6&lt;=1, 2250, IF('Dashboard'!$C$6&lt;=4, 5150, 6000)), 0)</f>
        <v/>
      </c>
      <c r="K320" s="30" t="n">
        <v>0.9434516423125573</v>
      </c>
      <c r="L320" s="30" t="n">
        <v>0.0458314192959216</v>
      </c>
      <c r="M320" s="30" t="n">
        <v>0.0107169383915211</v>
      </c>
      <c r="N320" s="31">
        <f>ABS(E320-$F$6)</f>
        <v/>
      </c>
      <c r="O320" s="31">
        <f>ABS(E320-$F$7)</f>
        <v/>
      </c>
      <c r="P320" s="31">
        <f>ABS(E320-$F$8)</f>
        <v/>
      </c>
      <c r="Q320" s="14">
        <f>IF(K320&gt;=MAX(L320,M320), "Hemat", IF(L320&gt;=M320, "Balanced", "Premium"))</f>
        <v/>
      </c>
      <c r="R320" s="30" t="n">
        <v>0.9434514514305987</v>
      </c>
      <c r="S320" s="30" t="n">
        <v>0.04583157860381438</v>
      </c>
      <c r="T320" s="30" t="n">
        <v>0.01071696996558682</v>
      </c>
      <c r="U320" s="31">
        <f>ABS(E320-$G$6)</f>
        <v/>
      </c>
      <c r="V320" s="31">
        <f>ABS(E320-$G$7)</f>
        <v/>
      </c>
      <c r="W320" s="31">
        <f>ABS(E320-$G$8)</f>
        <v/>
      </c>
      <c r="X320" s="14">
        <f>IF(R320&gt;=MAX(S320,T320), "Hemat", IF(S320&gt;=T320, "Balanced", "Premium"))</f>
        <v/>
      </c>
    </row>
    <row r="321">
      <c r="A321" s="14" t="n">
        <v>310</v>
      </c>
      <c r="B321" s="7" t="inlineStr">
        <is>
          <t>Bedpackers Hostel Malang</t>
        </is>
      </c>
      <c r="C321" s="26" t="n">
        <v>-7.966672</v>
      </c>
      <c r="D321" s="26" t="n">
        <v>112.633887</v>
      </c>
      <c r="E321" s="21" t="n">
        <v>100000</v>
      </c>
      <c r="F321" s="27" t="n">
        <v>0</v>
      </c>
      <c r="G321" s="28" t="n">
        <v>0</v>
      </c>
      <c r="H321" s="14" t="inlineStr">
        <is>
          <t>N/A</t>
        </is>
      </c>
      <c r="I321" s="29">
        <f>6371 * 2 * ASIN(SQRT(SIN(RADIANS((C321) - INDEX('Dataset_Wisata'!$C$12:$C$622, MATCH('Dashboard'!$C$9, 'Dataset_Wisata'!$A$12:$A$622, 0)))/2)^2 + COS(RADIANS(INDEX('Dataset_Wisata'!$C$12:$C$622, MATCH('Dashboard'!$C$9, 'Dataset_Wisata'!$A$12:$A$622, 0)))) * COS(RADIANS(C321)) * SIN(RADIANS((D321) - INDEX('Dataset_Wisata'!$D$12:$D$622, MATCH('Dashboard'!$C$9, 'Dataset_Wisata'!$A$12:$A$622, 0)))/2)^2)) * 1.3</f>
        <v/>
      </c>
      <c r="J321" s="21">
        <f>ROUND(I321 * IF('Dashboard'!$C$6&lt;=1, 2250, IF('Dashboard'!$C$6&lt;=4, 5150, 6000)), 0)</f>
        <v/>
      </c>
      <c r="K321" s="30" t="n">
        <v>0.9672305756379272</v>
      </c>
      <c r="L321" s="30" t="n">
        <v>0.02690286027756393</v>
      </c>
      <c r="M321" s="30" t="n">
        <v>0.005866564084508831</v>
      </c>
      <c r="N321" s="31">
        <f>ABS(E321-$F$6)</f>
        <v/>
      </c>
      <c r="O321" s="31">
        <f>ABS(E321-$F$7)</f>
        <v/>
      </c>
      <c r="P321" s="31">
        <f>ABS(E321-$F$8)</f>
        <v/>
      </c>
      <c r="Q321" s="14">
        <f>IF(K321&gt;=MAX(L321,M321), "Hemat", IF(L321&gt;=M321, "Balanced", "Premium"))</f>
        <v/>
      </c>
      <c r="R321" s="30" t="n">
        <v>0.9672303035537276</v>
      </c>
      <c r="S321" s="30" t="n">
        <v>0.02690308452718115</v>
      </c>
      <c r="T321" s="30" t="n">
        <v>0.0058666119190913</v>
      </c>
      <c r="U321" s="31">
        <f>ABS(E321-$G$6)</f>
        <v/>
      </c>
      <c r="V321" s="31">
        <f>ABS(E321-$G$7)</f>
        <v/>
      </c>
      <c r="W321" s="31">
        <f>ABS(E321-$G$8)</f>
        <v/>
      </c>
      <c r="X321" s="14">
        <f>IF(R321&gt;=MAX(S321,T321), "Hemat", IF(S321&gt;=T321, "Balanced", "Premium"))</f>
        <v/>
      </c>
    </row>
    <row r="322">
      <c r="A322" s="14" t="n">
        <v>311</v>
      </c>
      <c r="B322" s="7" t="inlineStr">
        <is>
          <t>OYO 90383 Avisha Guest House Syariah</t>
        </is>
      </c>
      <c r="C322" s="26" t="n">
        <v>-7.9670985</v>
      </c>
      <c r="D322" s="26" t="n">
        <v>112.6428725</v>
      </c>
      <c r="E322" s="21" t="n">
        <v>136416</v>
      </c>
      <c r="F322" s="27" t="n">
        <v>0</v>
      </c>
      <c r="G322" s="28" t="n">
        <v>0</v>
      </c>
      <c r="H322" s="14" t="inlineStr">
        <is>
          <t>N/A</t>
        </is>
      </c>
      <c r="I322" s="29">
        <f>6371 * 2 * ASIN(SQRT(SIN(RADIANS((C322) - INDEX('Dataset_Wisata'!$C$12:$C$622, MATCH('Dashboard'!$C$9, 'Dataset_Wisata'!$A$12:$A$622, 0)))/2)^2 + COS(RADIANS(INDEX('Dataset_Wisata'!$C$12:$C$622, MATCH('Dashboard'!$C$9, 'Dataset_Wisata'!$A$12:$A$622, 0)))) * COS(RADIANS(C322)) * SIN(RADIANS((D322) - INDEX('Dataset_Wisata'!$D$12:$D$622, MATCH('Dashboard'!$C$9, 'Dataset_Wisata'!$A$12:$A$622, 0)))/2)^2)) * 1.3</f>
        <v/>
      </c>
      <c r="J322" s="21">
        <f>ROUND(I322 * IF('Dashboard'!$C$6&lt;=1, 2250, IF('Dashboard'!$C$6&lt;=4, 5150, 6000)), 0)</f>
        <v/>
      </c>
      <c r="K322" s="30" t="n">
        <v>0.9857637205603724</v>
      </c>
      <c r="L322" s="30" t="n">
        <v>0.01230340386877023</v>
      </c>
      <c r="M322" s="30" t="n">
        <v>0.001932875570857239</v>
      </c>
      <c r="N322" s="31">
        <f>ABS(E322-$F$6)</f>
        <v/>
      </c>
      <c r="O322" s="31">
        <f>ABS(E322-$F$7)</f>
        <v/>
      </c>
      <c r="P322" s="31">
        <f>ABS(E322-$F$8)</f>
        <v/>
      </c>
      <c r="Q322" s="14">
        <f>IF(K322&gt;=MAX(L322,M322), "Hemat", IF(L322&gt;=M322, "Balanced", "Premium"))</f>
        <v/>
      </c>
      <c r="R322" s="30" t="n">
        <v>0.9857644543312152</v>
      </c>
      <c r="S322" s="30" t="n">
        <v>0.01230276648092244</v>
      </c>
      <c r="T322" s="30" t="n">
        <v>0.001932779187862404</v>
      </c>
      <c r="U322" s="31">
        <f>ABS(E322-$G$6)</f>
        <v/>
      </c>
      <c r="V322" s="31">
        <f>ABS(E322-$G$7)</f>
        <v/>
      </c>
      <c r="W322" s="31">
        <f>ABS(E322-$G$8)</f>
        <v/>
      </c>
      <c r="X322" s="14">
        <f>IF(R322&gt;=MAX(S322,T322), "Hemat", IF(S322&gt;=T322, "Balanced", "Premium"))</f>
        <v/>
      </c>
    </row>
    <row r="323">
      <c r="A323" s="14" t="n">
        <v>312</v>
      </c>
      <c r="B323" s="7" t="inlineStr">
        <is>
          <t>Ratu Boarding House &amp; Homestay</t>
        </is>
      </c>
      <c r="C323" s="26" t="n">
        <v>-7.958125</v>
      </c>
      <c r="D323" s="26" t="n">
        <v>112.623491</v>
      </c>
      <c r="E323" s="21" t="n">
        <v>220000</v>
      </c>
      <c r="F323" s="27" t="n">
        <v>0</v>
      </c>
      <c r="G323" s="28" t="n">
        <v>0</v>
      </c>
      <c r="H323" s="14" t="inlineStr">
        <is>
          <t>N/A</t>
        </is>
      </c>
      <c r="I323" s="29">
        <f>6371 * 2 * ASIN(SQRT(SIN(RADIANS((C323) - INDEX('Dataset_Wisata'!$C$12:$C$622, MATCH('Dashboard'!$C$9, 'Dataset_Wisata'!$A$12:$A$622, 0)))/2)^2 + COS(RADIANS(INDEX('Dataset_Wisata'!$C$12:$C$622, MATCH('Dashboard'!$C$9, 'Dataset_Wisata'!$A$12:$A$622, 0)))) * COS(RADIANS(C323)) * SIN(RADIANS((D323) - INDEX('Dataset_Wisata'!$D$12:$D$622, MATCH('Dashboard'!$C$9, 'Dataset_Wisata'!$A$12:$A$622, 0)))/2)^2)) * 1.3</f>
        <v/>
      </c>
      <c r="J323" s="21">
        <f>ROUND(I323 * IF('Dashboard'!$C$6&lt;=1, 2250, IF('Dashboard'!$C$6&lt;=4, 5150, 6000)), 0)</f>
        <v/>
      </c>
      <c r="K323" s="30" t="n">
        <v>0.06452274105716235</v>
      </c>
      <c r="L323" s="30" t="n">
        <v>0.9193105418902358</v>
      </c>
      <c r="M323" s="30" t="n">
        <v>0.01616671705260184</v>
      </c>
      <c r="N323" s="31">
        <f>ABS(E323-$F$6)</f>
        <v/>
      </c>
      <c r="O323" s="31">
        <f>ABS(E323-$F$7)</f>
        <v/>
      </c>
      <c r="P323" s="31">
        <f>ABS(E323-$F$8)</f>
        <v/>
      </c>
      <c r="Q323" s="14">
        <f>IF(K323&gt;=MAX(L323,M323), "Hemat", IF(L323&gt;=M323, "Balanced", "Premium"))</f>
        <v/>
      </c>
      <c r="R323" s="30" t="n">
        <v>0.06452667026745663</v>
      </c>
      <c r="S323" s="30" t="n">
        <v>0.9193059917155963</v>
      </c>
      <c r="T323" s="30" t="n">
        <v>0.01616733801694707</v>
      </c>
      <c r="U323" s="31">
        <f>ABS(E323-$G$6)</f>
        <v/>
      </c>
      <c r="V323" s="31">
        <f>ABS(E323-$G$7)</f>
        <v/>
      </c>
      <c r="W323" s="31">
        <f>ABS(E323-$G$8)</f>
        <v/>
      </c>
      <c r="X323" s="14">
        <f>IF(R323&gt;=MAX(S323,T323), "Hemat", IF(S323&gt;=T323, "Balanced", "Premium"))</f>
        <v/>
      </c>
    </row>
    <row r="324">
      <c r="A324" s="14" t="n">
        <v>313</v>
      </c>
      <c r="B324" s="7" t="inlineStr">
        <is>
          <t>RedDoorz Plus near Malang Town Square</t>
        </is>
      </c>
      <c r="C324" s="26" t="n">
        <v>-7.9543768</v>
      </c>
      <c r="D324" s="26" t="n">
        <v>112.6204369</v>
      </c>
      <c r="E324" s="21" t="n">
        <v>154010</v>
      </c>
      <c r="F324" s="27" t="n">
        <v>0</v>
      </c>
      <c r="G324" s="28" t="n">
        <v>0</v>
      </c>
      <c r="H324" s="14" t="inlineStr">
        <is>
          <t>N/A</t>
        </is>
      </c>
      <c r="I324" s="29">
        <f>6371 * 2 * ASIN(SQRT(SIN(RADIANS((C324) - INDEX('Dataset_Wisata'!$C$12:$C$622, MATCH('Dashboard'!$C$9, 'Dataset_Wisata'!$A$12:$A$622, 0)))/2)^2 + COS(RADIANS(INDEX('Dataset_Wisata'!$C$12:$C$622, MATCH('Dashboard'!$C$9, 'Dataset_Wisata'!$A$12:$A$622, 0)))) * COS(RADIANS(C324)) * SIN(RADIANS((D324) - INDEX('Dataset_Wisata'!$D$12:$D$622, MATCH('Dashboard'!$C$9, 'Dataset_Wisata'!$A$12:$A$622, 0)))/2)^2)) * 1.3</f>
        <v/>
      </c>
      <c r="J324" s="21">
        <f>ROUND(I324 * IF('Dashboard'!$C$6&lt;=1, 2250, IF('Dashboard'!$C$6&lt;=4, 5150, 6000)), 0)</f>
        <v/>
      </c>
      <c r="K324" s="30" t="n">
        <v>0.8932234531252943</v>
      </c>
      <c r="L324" s="30" t="n">
        <v>0.09482123592896236</v>
      </c>
      <c r="M324" s="30" t="n">
        <v>0.01195531094574349</v>
      </c>
      <c r="N324" s="31">
        <f>ABS(E324-$F$6)</f>
        <v/>
      </c>
      <c r="O324" s="31">
        <f>ABS(E324-$F$7)</f>
        <v/>
      </c>
      <c r="P324" s="31">
        <f>ABS(E324-$F$8)</f>
        <v/>
      </c>
      <c r="Q324" s="14">
        <f>IF(K324&gt;=MAX(L324,M324), "Hemat", IF(L324&gt;=M324, "Balanced", "Premium"))</f>
        <v/>
      </c>
      <c r="R324" s="30" t="n">
        <v>0.8932265227139162</v>
      </c>
      <c r="S324" s="30" t="n">
        <v>0.09481846929700555</v>
      </c>
      <c r="T324" s="30" t="n">
        <v>0.01195500798907825</v>
      </c>
      <c r="U324" s="31">
        <f>ABS(E324-$G$6)</f>
        <v/>
      </c>
      <c r="V324" s="31">
        <f>ABS(E324-$G$7)</f>
        <v/>
      </c>
      <c r="W324" s="31">
        <f>ABS(E324-$G$8)</f>
        <v/>
      </c>
      <c r="X324" s="14">
        <f>IF(R324&gt;=MAX(S324,T324), "Hemat", IF(S324&gt;=T324, "Balanced", "Premium"))</f>
        <v/>
      </c>
    </row>
    <row r="325">
      <c r="A325" s="14" t="n">
        <v>314</v>
      </c>
      <c r="B325" s="7" t="inlineStr">
        <is>
          <t>OYO 90319 Angler Guest House Malang</t>
        </is>
      </c>
      <c r="C325" s="26" t="n">
        <v>-7.9642849</v>
      </c>
      <c r="D325" s="26" t="n">
        <v>112.6221525</v>
      </c>
      <c r="E325" s="21" t="n">
        <v>172000</v>
      </c>
      <c r="F325" s="27" t="n">
        <v>0</v>
      </c>
      <c r="G325" s="28" t="n">
        <v>0</v>
      </c>
      <c r="H325" s="14" t="inlineStr">
        <is>
          <t>N/A</t>
        </is>
      </c>
      <c r="I325" s="29">
        <f>6371 * 2 * ASIN(SQRT(SIN(RADIANS((C325) - INDEX('Dataset_Wisata'!$C$12:$C$622, MATCH('Dashboard'!$C$9, 'Dataset_Wisata'!$A$12:$A$622, 0)))/2)^2 + COS(RADIANS(INDEX('Dataset_Wisata'!$C$12:$C$622, MATCH('Dashboard'!$C$9, 'Dataset_Wisata'!$A$12:$A$622, 0)))) * COS(RADIANS(C325)) * SIN(RADIANS((D325) - INDEX('Dataset_Wisata'!$D$12:$D$622, MATCH('Dashboard'!$C$9, 'Dataset_Wisata'!$A$12:$A$622, 0)))/2)^2)) * 1.3</f>
        <v/>
      </c>
      <c r="J325" s="21">
        <f>ROUND(I325 * IF('Dashboard'!$C$6&lt;=1, 2250, IF('Dashboard'!$C$6&lt;=4, 5150, 6000)), 0)</f>
        <v/>
      </c>
      <c r="K325" s="30" t="n">
        <v>0.6832896440449974</v>
      </c>
      <c r="L325" s="30" t="n">
        <v>0.2894970618457217</v>
      </c>
      <c r="M325" s="30" t="n">
        <v>0.02721329410928099</v>
      </c>
      <c r="N325" s="31">
        <f>ABS(E325-$F$6)</f>
        <v/>
      </c>
      <c r="O325" s="31">
        <f>ABS(E325-$F$7)</f>
        <v/>
      </c>
      <c r="P325" s="31">
        <f>ABS(E325-$F$8)</f>
        <v/>
      </c>
      <c r="Q325" s="14">
        <f>IF(K325&gt;=MAX(L325,M325), "Hemat", IF(L325&gt;=M325, "Balanced", "Premium"))</f>
        <v/>
      </c>
      <c r="R325" s="30" t="n">
        <v>0.6832961914069424</v>
      </c>
      <c r="S325" s="30" t="n">
        <v>0.289490902853849</v>
      </c>
      <c r="T325" s="30" t="n">
        <v>0.02721290573920864</v>
      </c>
      <c r="U325" s="31">
        <f>ABS(E325-$G$6)</f>
        <v/>
      </c>
      <c r="V325" s="31">
        <f>ABS(E325-$G$7)</f>
        <v/>
      </c>
      <c r="W325" s="31">
        <f>ABS(E325-$G$8)</f>
        <v/>
      </c>
      <c r="X325" s="14">
        <f>IF(R325&gt;=MAX(S325,T325), "Hemat", IF(S325&gt;=T325, "Balanced", "Premium"))</f>
        <v/>
      </c>
    </row>
    <row r="326">
      <c r="A326" s="14" t="n">
        <v>315</v>
      </c>
      <c r="B326" s="7" t="inlineStr">
        <is>
          <t>pandanwangi homestay syariah (hotel murah malang)</t>
        </is>
      </c>
      <c r="C326" s="26" t="n">
        <v>-7.9543055</v>
      </c>
      <c r="D326" s="26" t="n">
        <v>112.6594198</v>
      </c>
      <c r="E326" s="21" t="n">
        <v>83840</v>
      </c>
      <c r="F326" s="27" t="n">
        <v>0</v>
      </c>
      <c r="G326" s="28" t="n">
        <v>0</v>
      </c>
      <c r="H326" s="14" t="inlineStr">
        <is>
          <t>N/A</t>
        </is>
      </c>
      <c r="I326" s="29">
        <f>6371 * 2 * ASIN(SQRT(SIN(RADIANS((C326) - INDEX('Dataset_Wisata'!$C$12:$C$622, MATCH('Dashboard'!$C$9, 'Dataset_Wisata'!$A$12:$A$622, 0)))/2)^2 + COS(RADIANS(INDEX('Dataset_Wisata'!$C$12:$C$622, MATCH('Dashboard'!$C$9, 'Dataset_Wisata'!$A$12:$A$622, 0)))) * COS(RADIANS(C326)) * SIN(RADIANS((D326) - INDEX('Dataset_Wisata'!$D$12:$D$622, MATCH('Dashboard'!$C$9, 'Dataset_Wisata'!$A$12:$A$622, 0)))/2)^2)) * 1.3</f>
        <v/>
      </c>
      <c r="J326" s="21">
        <f>ROUND(I326 * IF('Dashboard'!$C$6&lt;=1, 2250, IF('Dashboard'!$C$6&lt;=4, 5150, 6000)), 0)</f>
        <v/>
      </c>
      <c r="K326" s="30" t="n">
        <v>0.9278227465424213</v>
      </c>
      <c r="L326" s="30" t="n">
        <v>0.05805185241407208</v>
      </c>
      <c r="M326" s="30" t="n">
        <v>0.01412540104350663</v>
      </c>
      <c r="N326" s="31">
        <f>ABS(E326-$F$6)</f>
        <v/>
      </c>
      <c r="O326" s="31">
        <f>ABS(E326-$F$7)</f>
        <v/>
      </c>
      <c r="P326" s="31">
        <f>ABS(E326-$F$8)</f>
        <v/>
      </c>
      <c r="Q326" s="14">
        <f>IF(K326&gt;=MAX(L326,M326), "Hemat", IF(L326&gt;=M326, "Balanced", "Premium"))</f>
        <v/>
      </c>
      <c r="R326" s="30" t="n">
        <v>0.9278226233211487</v>
      </c>
      <c r="S326" s="30" t="n">
        <v>0.05805195961143823</v>
      </c>
      <c r="T326" s="30" t="n">
        <v>0.014125417067413</v>
      </c>
      <c r="U326" s="31">
        <f>ABS(E326-$G$6)</f>
        <v/>
      </c>
      <c r="V326" s="31">
        <f>ABS(E326-$G$7)</f>
        <v/>
      </c>
      <c r="W326" s="31">
        <f>ABS(E326-$G$8)</f>
        <v/>
      </c>
      <c r="X326" s="14">
        <f>IF(R326&gt;=MAX(S326,T326), "Hemat", IF(S326&gt;=T326, "Balanced", "Premium"))</f>
        <v/>
      </c>
    </row>
    <row r="327">
      <c r="A327" s="14" t="n">
        <v>316</v>
      </c>
      <c r="B327" s="7" t="inlineStr">
        <is>
          <t>Hotel Kartika Graha</t>
        </is>
      </c>
      <c r="C327" s="26" t="n">
        <v>-7.9733305</v>
      </c>
      <c r="D327" s="26" t="n">
        <v>112.6301706</v>
      </c>
      <c r="E327" s="21" t="n">
        <v>350000</v>
      </c>
      <c r="F327" s="27" t="n">
        <v>0</v>
      </c>
      <c r="G327" s="28" t="n">
        <v>0</v>
      </c>
      <c r="H327" s="14" t="inlineStr">
        <is>
          <t>N/A</t>
        </is>
      </c>
      <c r="I327" s="29">
        <f>6371 * 2 * ASIN(SQRT(SIN(RADIANS((C327) - INDEX('Dataset_Wisata'!$C$12:$C$622, MATCH('Dashboard'!$C$9, 'Dataset_Wisata'!$A$12:$A$622, 0)))/2)^2 + COS(RADIANS(INDEX('Dataset_Wisata'!$C$12:$C$622, MATCH('Dashboard'!$C$9, 'Dataset_Wisata'!$A$12:$A$622, 0)))) * COS(RADIANS(C327)) * SIN(RADIANS((D327) - INDEX('Dataset_Wisata'!$D$12:$D$622, MATCH('Dashboard'!$C$9, 'Dataset_Wisata'!$A$12:$A$622, 0)))/2)^2)) * 1.3</f>
        <v/>
      </c>
      <c r="J327" s="21">
        <f>ROUND(I327 * IF('Dashboard'!$C$6&lt;=1, 2250, IF('Dashboard'!$C$6&lt;=4, 5150, 6000)), 0)</f>
        <v/>
      </c>
      <c r="K327" s="30" t="n">
        <v>0.05203164853242712</v>
      </c>
      <c r="L327" s="30" t="n">
        <v>0.2422254106892271</v>
      </c>
      <c r="M327" s="30" t="n">
        <v>0.7057429407783458</v>
      </c>
      <c r="N327" s="31">
        <f>ABS(E327-$F$6)</f>
        <v/>
      </c>
      <c r="O327" s="31">
        <f>ABS(E327-$F$7)</f>
        <v/>
      </c>
      <c r="P327" s="31">
        <f>ABS(E327-$F$8)</f>
        <v/>
      </c>
      <c r="Q327" s="14">
        <f>IF(K327&gt;=MAX(L327,M327), "Hemat", IF(L327&gt;=M327, "Balanced", "Premium"))</f>
        <v/>
      </c>
      <c r="R327" s="30" t="n">
        <v>0.05203358226609343</v>
      </c>
      <c r="S327" s="30" t="n">
        <v>0.2422374927674265</v>
      </c>
      <c r="T327" s="30" t="n">
        <v>0.7057289249664801</v>
      </c>
      <c r="U327" s="31">
        <f>ABS(E327-$G$6)</f>
        <v/>
      </c>
      <c r="V327" s="31">
        <f>ABS(E327-$G$7)</f>
        <v/>
      </c>
      <c r="W327" s="31">
        <f>ABS(E327-$G$8)</f>
        <v/>
      </c>
      <c r="X327" s="14">
        <f>IF(R327&gt;=MAX(S327,T327), "Hemat", IF(S327&gt;=T327, "Balanced", "Premium"))</f>
        <v/>
      </c>
    </row>
    <row r="328">
      <c r="A328" s="14" t="n">
        <v>317</v>
      </c>
      <c r="B328" s="7" t="inlineStr">
        <is>
          <t>RedDoorz near Balai Kota Malang</t>
        </is>
      </c>
      <c r="C328" s="26" t="n">
        <v>-7.9776647</v>
      </c>
      <c r="D328" s="26" t="n">
        <v>112.6331623</v>
      </c>
      <c r="E328" s="21" t="n">
        <v>301053</v>
      </c>
      <c r="F328" s="27" t="n">
        <v>0</v>
      </c>
      <c r="G328" s="28" t="n">
        <v>0</v>
      </c>
      <c r="H328" s="14" t="inlineStr">
        <is>
          <t>N/A</t>
        </is>
      </c>
      <c r="I328" s="29">
        <f>6371 * 2 * ASIN(SQRT(SIN(RADIANS((C328) - INDEX('Dataset_Wisata'!$C$12:$C$622, MATCH('Dashboard'!$C$9, 'Dataset_Wisata'!$A$12:$A$622, 0)))/2)^2 + COS(RADIANS(INDEX('Dataset_Wisata'!$C$12:$C$622, MATCH('Dashboard'!$C$9, 'Dataset_Wisata'!$A$12:$A$622, 0)))) * COS(RADIANS(C328)) * SIN(RADIANS((D328) - INDEX('Dataset_Wisata'!$D$12:$D$622, MATCH('Dashboard'!$C$9, 'Dataset_Wisata'!$A$12:$A$622, 0)))/2)^2)) * 1.3</f>
        <v/>
      </c>
      <c r="J328" s="21">
        <f>ROUND(I328 * IF('Dashboard'!$C$6&lt;=1, 2250, IF('Dashboard'!$C$6&lt;=4, 5150, 6000)), 0)</f>
        <v/>
      </c>
      <c r="K328" s="30" t="n">
        <v>0.07323929873669691</v>
      </c>
      <c r="L328" s="30" t="n">
        <v>0.7383822378254075</v>
      </c>
      <c r="M328" s="30" t="n">
        <v>0.1883784634378956</v>
      </c>
      <c r="N328" s="31">
        <f>ABS(E328-$F$6)</f>
        <v/>
      </c>
      <c r="O328" s="31">
        <f>ABS(E328-$F$7)</f>
        <v/>
      </c>
      <c r="P328" s="31">
        <f>ABS(E328-$F$8)</f>
        <v/>
      </c>
      <c r="Q328" s="14">
        <f>IF(K328&gt;=MAX(L328,M328), "Hemat", IF(L328&gt;=M328, "Balanced", "Premium"))</f>
        <v/>
      </c>
      <c r="R328" s="30" t="n">
        <v>0.07323839743063369</v>
      </c>
      <c r="S328" s="30" t="n">
        <v>0.7383917108058199</v>
      </c>
      <c r="T328" s="30" t="n">
        <v>0.1883698917635463</v>
      </c>
      <c r="U328" s="31">
        <f>ABS(E328-$G$6)</f>
        <v/>
      </c>
      <c r="V328" s="31">
        <f>ABS(E328-$G$7)</f>
        <v/>
      </c>
      <c r="W328" s="31">
        <f>ABS(E328-$G$8)</f>
        <v/>
      </c>
      <c r="X328" s="14">
        <f>IF(R328&gt;=MAX(S328,T328), "Hemat", IF(S328&gt;=T328, "Balanced", "Premium"))</f>
        <v/>
      </c>
    </row>
    <row r="329">
      <c r="A329" s="14" t="n">
        <v>318</v>
      </c>
      <c r="B329" s="7" t="inlineStr">
        <is>
          <t>RedDoorz @ Jalan Kedawung</t>
        </is>
      </c>
      <c r="C329" s="26" t="n">
        <v>-7.9533803</v>
      </c>
      <c r="D329" s="26" t="n">
        <v>112.6370464</v>
      </c>
      <c r="E329" s="21" t="n">
        <v>112087</v>
      </c>
      <c r="F329" s="27" t="n">
        <v>0</v>
      </c>
      <c r="G329" s="28" t="n">
        <v>0</v>
      </c>
      <c r="H329" s="14" t="inlineStr">
        <is>
          <t>N/A</t>
        </is>
      </c>
      <c r="I329" s="29">
        <f>6371 * 2 * ASIN(SQRT(SIN(RADIANS((C329) - INDEX('Dataset_Wisata'!$C$12:$C$622, MATCH('Dashboard'!$C$9, 'Dataset_Wisata'!$A$12:$A$622, 0)))/2)^2 + COS(RADIANS(INDEX('Dataset_Wisata'!$C$12:$C$622, MATCH('Dashboard'!$C$9, 'Dataset_Wisata'!$A$12:$A$622, 0)))) * COS(RADIANS(C329)) * SIN(RADIANS((D329) - INDEX('Dataset_Wisata'!$D$12:$D$622, MATCH('Dashboard'!$C$9, 'Dataset_Wisata'!$A$12:$A$622, 0)))/2)^2)) * 1.3</f>
        <v/>
      </c>
      <c r="J329" s="21">
        <f>ROUND(I329 * IF('Dashboard'!$C$6&lt;=1, 2250, IF('Dashboard'!$C$6&lt;=4, 5150, 6000)), 0)</f>
        <v/>
      </c>
      <c r="K329" s="30" t="n">
        <v>0.9901278272822087</v>
      </c>
      <c r="L329" s="30" t="n">
        <v>0.008237668064316358</v>
      </c>
      <c r="M329" s="30" t="n">
        <v>0.001634504653474864</v>
      </c>
      <c r="N329" s="31">
        <f>ABS(E329-$F$6)</f>
        <v/>
      </c>
      <c r="O329" s="31">
        <f>ABS(E329-$F$7)</f>
        <v/>
      </c>
      <c r="P329" s="31">
        <f>ABS(E329-$F$8)</f>
        <v/>
      </c>
      <c r="Q329" s="14">
        <f>IF(K329&gt;=MAX(L329,M329), "Hemat", IF(L329&gt;=M329, "Balanced", "Premium"))</f>
        <v/>
      </c>
      <c r="R329" s="30" t="n">
        <v>0.9901275647811418</v>
      </c>
      <c r="S329" s="30" t="n">
        <v>0.008237886632007982</v>
      </c>
      <c r="T329" s="30" t="n">
        <v>0.001634548586850191</v>
      </c>
      <c r="U329" s="31">
        <f>ABS(E329-$G$6)</f>
        <v/>
      </c>
      <c r="V329" s="31">
        <f>ABS(E329-$G$7)</f>
        <v/>
      </c>
      <c r="W329" s="31">
        <f>ABS(E329-$G$8)</f>
        <v/>
      </c>
      <c r="X329" s="14">
        <f>IF(R329&gt;=MAX(S329,T329), "Hemat", IF(S329&gt;=T329, "Balanced", "Premium"))</f>
        <v/>
      </c>
    </row>
    <row r="330">
      <c r="A330" s="14" t="n">
        <v>319</v>
      </c>
      <c r="B330" s="7" t="inlineStr">
        <is>
          <t>Butik Capsule Hostel WA 0813-1569-6413</t>
        </is>
      </c>
      <c r="C330" s="26" t="n">
        <v>-7.9648036</v>
      </c>
      <c r="D330" s="26" t="n">
        <v>112.6357732</v>
      </c>
      <c r="E330" s="21" t="n">
        <v>115853</v>
      </c>
      <c r="F330" s="27" t="n">
        <v>0</v>
      </c>
      <c r="G330" s="28" t="n">
        <v>0</v>
      </c>
      <c r="H330" s="14" t="inlineStr">
        <is>
          <t>N/A</t>
        </is>
      </c>
      <c r="I330" s="29">
        <f>6371 * 2 * ASIN(SQRT(SIN(RADIANS((C330) - INDEX('Dataset_Wisata'!$C$12:$C$622, MATCH('Dashboard'!$C$9, 'Dataset_Wisata'!$A$12:$A$622, 0)))/2)^2 + COS(RADIANS(INDEX('Dataset_Wisata'!$C$12:$C$622, MATCH('Dashboard'!$C$9, 'Dataset_Wisata'!$A$12:$A$622, 0)))) * COS(RADIANS(C330)) * SIN(RADIANS((D330) - INDEX('Dataset_Wisata'!$D$12:$D$622, MATCH('Dashboard'!$C$9, 'Dataset_Wisata'!$A$12:$A$622, 0)))/2)^2)) * 1.3</f>
        <v/>
      </c>
      <c r="J330" s="21">
        <f>ROUND(I330 * IF('Dashboard'!$C$6&lt;=1, 2250, IF('Dashboard'!$C$6&lt;=4, 5150, 6000)), 0)</f>
        <v/>
      </c>
      <c r="K330" s="30" t="n">
        <v>0.9950208642139783</v>
      </c>
      <c r="L330" s="30" t="n">
        <v>0.004176528903497121</v>
      </c>
      <c r="M330" s="30" t="n">
        <v>0.0008026068825245897</v>
      </c>
      <c r="N330" s="31">
        <f>ABS(E330-$F$6)</f>
        <v/>
      </c>
      <c r="O330" s="31">
        <f>ABS(E330-$F$7)</f>
        <v/>
      </c>
      <c r="P330" s="31">
        <f>ABS(E330-$F$8)</f>
        <v/>
      </c>
      <c r="Q330" s="14">
        <f>IF(K330&gt;=MAX(L330,M330), "Hemat", IF(L330&gt;=M330, "Balanced", "Premium"))</f>
        <v/>
      </c>
      <c r="R330" s="30" t="n">
        <v>0.9950206472965774</v>
      </c>
      <c r="S330" s="30" t="n">
        <v>0.004176710491611503</v>
      </c>
      <c r="T330" s="30" t="n">
        <v>0.0008026422118112629</v>
      </c>
      <c r="U330" s="31">
        <f>ABS(E330-$G$6)</f>
        <v/>
      </c>
      <c r="V330" s="31">
        <f>ABS(E330-$G$7)</f>
        <v/>
      </c>
      <c r="W330" s="31">
        <f>ABS(E330-$G$8)</f>
        <v/>
      </c>
      <c r="X330" s="14">
        <f>IF(R330&gt;=MAX(S330,T330), "Hemat", IF(S330&gt;=T330, "Balanced", "Premium"))</f>
        <v/>
      </c>
    </row>
    <row r="331">
      <c r="A331" s="14" t="n">
        <v>320</v>
      </c>
      <c r="B331" s="7" t="inlineStr">
        <is>
          <t>The Safa Baiti Guest House Syari'ah</t>
        </is>
      </c>
      <c r="C331" s="26" t="n">
        <v>-7.9553285</v>
      </c>
      <c r="D331" s="26" t="n">
        <v>112.64056</v>
      </c>
      <c r="E331" s="21" t="n">
        <v>150000</v>
      </c>
      <c r="F331" s="27" t="n">
        <v>0</v>
      </c>
      <c r="G331" s="28" t="n">
        <v>0</v>
      </c>
      <c r="H331" s="14" t="inlineStr">
        <is>
          <t>N/A</t>
        </is>
      </c>
      <c r="I331" s="29">
        <f>6371 * 2 * ASIN(SQRT(SIN(RADIANS((C331) - INDEX('Dataset_Wisata'!$C$12:$C$622, MATCH('Dashboard'!$C$9, 'Dataset_Wisata'!$A$12:$A$622, 0)))/2)^2 + COS(RADIANS(INDEX('Dataset_Wisata'!$C$12:$C$622, MATCH('Dashboard'!$C$9, 'Dataset_Wisata'!$A$12:$A$622, 0)))) * COS(RADIANS(C331)) * SIN(RADIANS((D331) - INDEX('Dataset_Wisata'!$D$12:$D$622, MATCH('Dashboard'!$C$9, 'Dataset_Wisata'!$A$12:$A$622, 0)))/2)^2)) * 1.3</f>
        <v/>
      </c>
      <c r="J331" s="21">
        <f>ROUND(I331 * IF('Dashboard'!$C$6&lt;=1, 2250, IF('Dashboard'!$C$6&lt;=4, 5150, 6000)), 0)</f>
        <v/>
      </c>
      <c r="K331" s="30" t="n">
        <v>0.9236568385235482</v>
      </c>
      <c r="L331" s="30" t="n">
        <v>0.06736899151285153</v>
      </c>
      <c r="M331" s="30" t="n">
        <v>0.008974169963600275</v>
      </c>
      <c r="N331" s="31">
        <f>ABS(E331-$F$6)</f>
        <v/>
      </c>
      <c r="O331" s="31">
        <f>ABS(E331-$F$7)</f>
        <v/>
      </c>
      <c r="P331" s="31">
        <f>ABS(E331-$F$8)</f>
        <v/>
      </c>
      <c r="Q331" s="14">
        <f>IF(K331&gt;=MAX(L331,M331), "Hemat", IF(L331&gt;=M331, "Balanced", "Premium"))</f>
        <v/>
      </c>
      <c r="R331" s="30" t="n">
        <v>0.9236592327110943</v>
      </c>
      <c r="S331" s="30" t="n">
        <v>0.0673668524262508</v>
      </c>
      <c r="T331" s="30" t="n">
        <v>0.008973914862654904</v>
      </c>
      <c r="U331" s="31">
        <f>ABS(E331-$G$6)</f>
        <v/>
      </c>
      <c r="V331" s="31">
        <f>ABS(E331-$G$7)</f>
        <v/>
      </c>
      <c r="W331" s="31">
        <f>ABS(E331-$G$8)</f>
        <v/>
      </c>
      <c r="X331" s="14">
        <f>IF(R331&gt;=MAX(S331,T331), "Hemat", IF(S331&gt;=T331, "Balanced", "Premium"))</f>
        <v/>
      </c>
    </row>
    <row r="332">
      <c r="A332" s="14" t="n">
        <v>321</v>
      </c>
      <c r="B332" s="7" t="inlineStr">
        <is>
          <t>Shelter Hostel Malang</t>
        </is>
      </c>
      <c r="C332" s="26" t="n">
        <v>-7.9734603</v>
      </c>
      <c r="D332" s="26" t="n">
        <v>112.634562</v>
      </c>
      <c r="E332" s="21" t="n">
        <v>80000</v>
      </c>
      <c r="F332" s="27" t="n">
        <v>0</v>
      </c>
      <c r="G332" s="28" t="n">
        <v>0</v>
      </c>
      <c r="H332" s="14" t="inlineStr">
        <is>
          <t>N/A</t>
        </is>
      </c>
      <c r="I332" s="29">
        <f>6371 * 2 * ASIN(SQRT(SIN(RADIANS((C332) - INDEX('Dataset_Wisata'!$C$12:$C$622, MATCH('Dashboard'!$C$9, 'Dataset_Wisata'!$A$12:$A$622, 0)))/2)^2 + COS(RADIANS(INDEX('Dataset_Wisata'!$C$12:$C$622, MATCH('Dashboard'!$C$9, 'Dataset_Wisata'!$A$12:$A$622, 0)))) * COS(RADIANS(C332)) * SIN(RADIANS((D332) - INDEX('Dataset_Wisata'!$D$12:$D$622, MATCH('Dashboard'!$C$9, 'Dataset_Wisata'!$A$12:$A$622, 0)))/2)^2)) * 1.3</f>
        <v/>
      </c>
      <c r="J332" s="21">
        <f>ROUND(I332 * IF('Dashboard'!$C$6&lt;=1, 2250, IF('Dashboard'!$C$6&lt;=4, 5150, 6000)), 0)</f>
        <v/>
      </c>
      <c r="K332" s="30" t="n">
        <v>0.917922276308166</v>
      </c>
      <c r="L332" s="30" t="n">
        <v>0.0657067181163683</v>
      </c>
      <c r="M332" s="30" t="n">
        <v>0.01637100557546559</v>
      </c>
      <c r="N332" s="31">
        <f>ABS(E332-$F$6)</f>
        <v/>
      </c>
      <c r="O332" s="31">
        <f>ABS(E332-$F$7)</f>
        <v/>
      </c>
      <c r="P332" s="31">
        <f>ABS(E332-$F$8)</f>
        <v/>
      </c>
      <c r="Q332" s="14">
        <f>IF(K332&gt;=MAX(L332,M332), "Hemat", IF(L332&gt;=M332, "Balanced", "Premium"))</f>
        <v/>
      </c>
      <c r="R332" s="30" t="n">
        <v>0.9179221982347204</v>
      </c>
      <c r="S332" s="30" t="n">
        <v>0.06570679130234151</v>
      </c>
      <c r="T332" s="30" t="n">
        <v>0.01637101046293786</v>
      </c>
      <c r="U332" s="31">
        <f>ABS(E332-$G$6)</f>
        <v/>
      </c>
      <c r="V332" s="31">
        <f>ABS(E332-$G$7)</f>
        <v/>
      </c>
      <c r="W332" s="31">
        <f>ABS(E332-$G$8)</f>
        <v/>
      </c>
      <c r="X332" s="14">
        <f>IF(R332&gt;=MAX(S332,T332), "Hemat", IF(S332&gt;=T332, "Balanced", "Premium"))</f>
        <v/>
      </c>
    </row>
    <row r="333">
      <c r="A333" s="14" t="n">
        <v>322</v>
      </c>
      <c r="B333" s="7" t="inlineStr">
        <is>
          <t>PENGINAPAN "DeWe"</t>
        </is>
      </c>
      <c r="C333" s="26" t="n">
        <v>-7.9703402</v>
      </c>
      <c r="D333" s="26" t="n">
        <v>112.6577171</v>
      </c>
      <c r="E333" s="21" t="n">
        <v>150000</v>
      </c>
      <c r="F333" s="27" t="n">
        <v>0</v>
      </c>
      <c r="G333" s="28" t="n">
        <v>0</v>
      </c>
      <c r="H333" s="14" t="inlineStr">
        <is>
          <t>N/A</t>
        </is>
      </c>
      <c r="I333" s="29">
        <f>6371 * 2 * ASIN(SQRT(SIN(RADIANS((C333) - INDEX('Dataset_Wisata'!$C$12:$C$622, MATCH('Dashboard'!$C$9, 'Dataset_Wisata'!$A$12:$A$622, 0)))/2)^2 + COS(RADIANS(INDEX('Dataset_Wisata'!$C$12:$C$622, MATCH('Dashboard'!$C$9, 'Dataset_Wisata'!$A$12:$A$622, 0)))) * COS(RADIANS(C333)) * SIN(RADIANS((D333) - INDEX('Dataset_Wisata'!$D$12:$D$622, MATCH('Dashboard'!$C$9, 'Dataset_Wisata'!$A$12:$A$622, 0)))/2)^2)) * 1.3</f>
        <v/>
      </c>
      <c r="J333" s="21">
        <f>ROUND(I333 * IF('Dashboard'!$C$6&lt;=1, 2250, IF('Dashboard'!$C$6&lt;=4, 5150, 6000)), 0)</f>
        <v/>
      </c>
      <c r="K333" s="30" t="n">
        <v>0.9236568385235482</v>
      </c>
      <c r="L333" s="30" t="n">
        <v>0.06736899151285153</v>
      </c>
      <c r="M333" s="30" t="n">
        <v>0.008974169963600275</v>
      </c>
      <c r="N333" s="31">
        <f>ABS(E333-$F$6)</f>
        <v/>
      </c>
      <c r="O333" s="31">
        <f>ABS(E333-$F$7)</f>
        <v/>
      </c>
      <c r="P333" s="31">
        <f>ABS(E333-$F$8)</f>
        <v/>
      </c>
      <c r="Q333" s="14">
        <f>IF(K333&gt;=MAX(L333,M333), "Hemat", IF(L333&gt;=M333, "Balanced", "Premium"))</f>
        <v/>
      </c>
      <c r="R333" s="30" t="n">
        <v>0.9236592327110943</v>
      </c>
      <c r="S333" s="30" t="n">
        <v>0.0673668524262508</v>
      </c>
      <c r="T333" s="30" t="n">
        <v>0.008973914862654904</v>
      </c>
      <c r="U333" s="31">
        <f>ABS(E333-$G$6)</f>
        <v/>
      </c>
      <c r="V333" s="31">
        <f>ABS(E333-$G$7)</f>
        <v/>
      </c>
      <c r="W333" s="31">
        <f>ABS(E333-$G$8)</f>
        <v/>
      </c>
      <c r="X333" s="14">
        <f>IF(R333&gt;=MAX(S333,T333), "Hemat", IF(S333&gt;=T333, "Balanced", "Premium"))</f>
        <v/>
      </c>
    </row>
    <row r="334">
      <c r="A334" s="14" t="n">
        <v>323</v>
      </c>
      <c r="B334" s="7" t="inlineStr">
        <is>
          <t>RedDoorz near Sanan Malang</t>
        </is>
      </c>
      <c r="C334" s="26" t="n">
        <v>-7.9587634</v>
      </c>
      <c r="D334" s="26" t="n">
        <v>112.6431786</v>
      </c>
      <c r="E334" s="21" t="n">
        <v>143346</v>
      </c>
      <c r="F334" s="27" t="n">
        <v>0</v>
      </c>
      <c r="G334" s="28" t="n">
        <v>0</v>
      </c>
      <c r="H334" s="14" t="inlineStr">
        <is>
          <t>N/A</t>
        </is>
      </c>
      <c r="I334" s="29">
        <f>6371 * 2 * ASIN(SQRT(SIN(RADIANS((C334) - INDEX('Dataset_Wisata'!$C$12:$C$622, MATCH('Dashboard'!$C$9, 'Dataset_Wisata'!$A$12:$A$622, 0)))/2)^2 + COS(RADIANS(INDEX('Dataset_Wisata'!$C$12:$C$622, MATCH('Dashboard'!$C$9, 'Dataset_Wisata'!$A$12:$A$622, 0)))) * COS(RADIANS(C334)) * SIN(RADIANS((D334) - INDEX('Dataset_Wisata'!$D$12:$D$622, MATCH('Dashboard'!$C$9, 'Dataset_Wisata'!$A$12:$A$622, 0)))/2)^2)) * 1.3</f>
        <v/>
      </c>
      <c r="J334" s="21">
        <f>ROUND(I334 * IF('Dashboard'!$C$6&lt;=1, 2250, IF('Dashboard'!$C$6&lt;=4, 5150, 6000)), 0)</f>
        <v/>
      </c>
      <c r="K334" s="30" t="n">
        <v>0.9614103547810772</v>
      </c>
      <c r="L334" s="30" t="n">
        <v>0.03370366486403489</v>
      </c>
      <c r="M334" s="30" t="n">
        <v>0.004885980354888044</v>
      </c>
      <c r="N334" s="31">
        <f>ABS(E334-$F$6)</f>
        <v/>
      </c>
      <c r="O334" s="31">
        <f>ABS(E334-$F$7)</f>
        <v/>
      </c>
      <c r="P334" s="31">
        <f>ABS(E334-$F$8)</f>
        <v/>
      </c>
      <c r="Q334" s="14">
        <f>IF(K334&gt;=MAX(L334,M334), "Hemat", IF(L334&gt;=M334, "Balanced", "Premium"))</f>
        <v/>
      </c>
      <c r="R334" s="30" t="n">
        <v>0.9614118118048876</v>
      </c>
      <c r="S334" s="30" t="n">
        <v>0.033702381275323</v>
      </c>
      <c r="T334" s="30" t="n">
        <v>0.004885806919789481</v>
      </c>
      <c r="U334" s="31">
        <f>ABS(E334-$G$6)</f>
        <v/>
      </c>
      <c r="V334" s="31">
        <f>ABS(E334-$G$7)</f>
        <v/>
      </c>
      <c r="W334" s="31">
        <f>ABS(E334-$G$8)</f>
        <v/>
      </c>
      <c r="X334" s="14">
        <f>IF(R334&gt;=MAX(S334,T334), "Hemat", IF(S334&gt;=T334, "Balanced", "Premium"))</f>
        <v/>
      </c>
    </row>
    <row r="335">
      <c r="A335" s="14" t="n">
        <v>324</v>
      </c>
      <c r="B335" s="7" t="inlineStr">
        <is>
          <t>Merbabu Guest House</t>
        </is>
      </c>
      <c r="C335" s="26" t="n">
        <v>-7.9669282</v>
      </c>
      <c r="D335" s="26" t="n">
        <v>112.6261686</v>
      </c>
      <c r="E335" s="21" t="n">
        <v>307698</v>
      </c>
      <c r="F335" s="27" t="n">
        <v>0</v>
      </c>
      <c r="G335" s="28" t="n">
        <v>0</v>
      </c>
      <c r="H335" s="14" t="inlineStr">
        <is>
          <t>N/A</t>
        </is>
      </c>
      <c r="I335" s="29">
        <f>6371 * 2 * ASIN(SQRT(SIN(RADIANS((C335) - INDEX('Dataset_Wisata'!$C$12:$C$622, MATCH('Dashboard'!$C$9, 'Dataset_Wisata'!$A$12:$A$622, 0)))/2)^2 + COS(RADIANS(INDEX('Dataset_Wisata'!$C$12:$C$622, MATCH('Dashboard'!$C$9, 'Dataset_Wisata'!$A$12:$A$622, 0)))) * COS(RADIANS(C335)) * SIN(RADIANS((D335) - INDEX('Dataset_Wisata'!$D$12:$D$622, MATCH('Dashboard'!$C$9, 'Dataset_Wisata'!$A$12:$A$622, 0)))/2)^2)) * 1.3</f>
        <v/>
      </c>
      <c r="J335" s="21">
        <f>ROUND(I335 * IF('Dashboard'!$C$6&lt;=1, 2250, IF('Dashboard'!$C$6&lt;=4, 5150, 6000)), 0)</f>
        <v/>
      </c>
      <c r="K335" s="30" t="n">
        <v>0.07813357902347103</v>
      </c>
      <c r="L335" s="30" t="n">
        <v>0.6768650796104997</v>
      </c>
      <c r="M335" s="30" t="n">
        <v>0.2450013413660293</v>
      </c>
      <c r="N335" s="31">
        <f>ABS(E335-$F$6)</f>
        <v/>
      </c>
      <c r="O335" s="31">
        <f>ABS(E335-$F$7)</f>
        <v/>
      </c>
      <c r="P335" s="31">
        <f>ABS(E335-$F$8)</f>
        <v/>
      </c>
      <c r="Q335" s="14">
        <f>IF(K335&gt;=MAX(L335,M335), "Hemat", IF(L335&gt;=M335, "Balanced", "Premium"))</f>
        <v/>
      </c>
      <c r="R335" s="30" t="n">
        <v>0.07813307240181709</v>
      </c>
      <c r="S335" s="30" t="n">
        <v>0.676875764694375</v>
      </c>
      <c r="T335" s="30" t="n">
        <v>0.2449911629038079</v>
      </c>
      <c r="U335" s="31">
        <f>ABS(E335-$G$6)</f>
        <v/>
      </c>
      <c r="V335" s="31">
        <f>ABS(E335-$G$7)</f>
        <v/>
      </c>
      <c r="W335" s="31">
        <f>ABS(E335-$G$8)</f>
        <v/>
      </c>
      <c r="X335" s="14">
        <f>IF(R335&gt;=MAX(S335,T335), "Hemat", IF(S335&gt;=T335, "Balanced", "Premium"))</f>
        <v/>
      </c>
    </row>
    <row r="336">
      <c r="A336" s="14" t="n">
        <v>325</v>
      </c>
      <c r="B336" s="7" t="inlineStr">
        <is>
          <t>RAGGEA homestay</t>
        </is>
      </c>
      <c r="C336" s="26" t="n">
        <v>-7.9384188</v>
      </c>
      <c r="D336" s="26" t="n">
        <v>112.634617</v>
      </c>
      <c r="E336" s="21" t="n">
        <v>164000</v>
      </c>
      <c r="F336" s="27" t="n">
        <v>0</v>
      </c>
      <c r="G336" s="28" t="n">
        <v>0</v>
      </c>
      <c r="H336" s="14" t="inlineStr">
        <is>
          <t>N/A</t>
        </is>
      </c>
      <c r="I336" s="29">
        <f>6371 * 2 * ASIN(SQRT(SIN(RADIANS((C336) - INDEX('Dataset_Wisata'!$C$12:$C$622, MATCH('Dashboard'!$C$9, 'Dataset_Wisata'!$A$12:$A$622, 0)))/2)^2 + COS(RADIANS(INDEX('Dataset_Wisata'!$C$12:$C$622, MATCH('Dashboard'!$C$9, 'Dataset_Wisata'!$A$12:$A$622, 0)))) * COS(RADIANS(C336)) * SIN(RADIANS((D336) - INDEX('Dataset_Wisata'!$D$12:$D$622, MATCH('Dashboard'!$C$9, 'Dataset_Wisata'!$A$12:$A$622, 0)))/2)^2)) * 1.3</f>
        <v/>
      </c>
      <c r="J336" s="21">
        <f>ROUND(I336 * IF('Dashboard'!$C$6&lt;=1, 2250, IF('Dashboard'!$C$6&lt;=4, 5150, 6000)), 0)</f>
        <v/>
      </c>
      <c r="K336" s="30" t="n">
        <v>0.7907840439473622</v>
      </c>
      <c r="L336" s="30" t="n">
        <v>0.1887787882822586</v>
      </c>
      <c r="M336" s="30" t="n">
        <v>0.02043716777037922</v>
      </c>
      <c r="N336" s="31">
        <f>ABS(E336-$F$6)</f>
        <v/>
      </c>
      <c r="O336" s="31">
        <f>ABS(E336-$F$7)</f>
        <v/>
      </c>
      <c r="P336" s="31">
        <f>ABS(E336-$F$8)</f>
        <v/>
      </c>
      <c r="Q336" s="14">
        <f>IF(K336&gt;=MAX(L336,M336), "Hemat", IF(L336&gt;=M336, "Balanced", "Premium"))</f>
        <v/>
      </c>
      <c r="R336" s="30" t="n">
        <v>0.790789044546131</v>
      </c>
      <c r="S336" s="30" t="n">
        <v>0.1887741768387573</v>
      </c>
      <c r="T336" s="30" t="n">
        <v>0.02043677861511177</v>
      </c>
      <c r="U336" s="31">
        <f>ABS(E336-$G$6)</f>
        <v/>
      </c>
      <c r="V336" s="31">
        <f>ABS(E336-$G$7)</f>
        <v/>
      </c>
      <c r="W336" s="31">
        <f>ABS(E336-$G$8)</f>
        <v/>
      </c>
      <c r="X336" s="14">
        <f>IF(R336&gt;=MAX(S336,T336), "Hemat", IF(S336&gt;=T336, "Balanced", "Premium"))</f>
        <v/>
      </c>
    </row>
    <row r="337">
      <c r="A337" s="14" t="n">
        <v>326</v>
      </c>
      <c r="B337" s="7" t="inlineStr">
        <is>
          <t>Hasanah Guesthouse Suhat</t>
        </is>
      </c>
      <c r="C337" s="26" t="n">
        <v>-7.938192</v>
      </c>
      <c r="D337" s="26" t="n">
        <v>112.6273513</v>
      </c>
      <c r="E337" s="21" t="n">
        <v>224225</v>
      </c>
      <c r="F337" s="27" t="n">
        <v>0</v>
      </c>
      <c r="G337" s="28" t="n">
        <v>0</v>
      </c>
      <c r="H337" s="14" t="inlineStr">
        <is>
          <t>N/A</t>
        </is>
      </c>
      <c r="I337" s="29">
        <f>6371 * 2 * ASIN(SQRT(SIN(RADIANS((C337) - INDEX('Dataset_Wisata'!$C$12:$C$622, MATCH('Dashboard'!$C$9, 'Dataset_Wisata'!$A$12:$A$622, 0)))/2)^2 + COS(RADIANS(INDEX('Dataset_Wisata'!$C$12:$C$622, MATCH('Dashboard'!$C$9, 'Dataset_Wisata'!$A$12:$A$622, 0)))) * COS(RADIANS(C337)) * SIN(RADIANS((D337) - INDEX('Dataset_Wisata'!$D$12:$D$622, MATCH('Dashboard'!$C$9, 'Dataset_Wisata'!$A$12:$A$622, 0)))/2)^2)) * 1.3</f>
        <v/>
      </c>
      <c r="J337" s="21">
        <f>ROUND(I337 * IF('Dashboard'!$C$6&lt;=1, 2250, IF('Dashboard'!$C$6&lt;=4, 5150, 6000)), 0)</f>
        <v/>
      </c>
      <c r="K337" s="30" t="n">
        <v>0.04228946831385353</v>
      </c>
      <c r="L337" s="30" t="n">
        <v>0.9456312031785499</v>
      </c>
      <c r="M337" s="30" t="n">
        <v>0.01207932850759669</v>
      </c>
      <c r="N337" s="31">
        <f>ABS(E337-$F$6)</f>
        <v/>
      </c>
      <c r="O337" s="31">
        <f>ABS(E337-$F$7)</f>
        <v/>
      </c>
      <c r="P337" s="31">
        <f>ABS(E337-$F$8)</f>
        <v/>
      </c>
      <c r="Q337" s="14">
        <f>IF(K337&gt;=MAX(L337,M337), "Hemat", IF(L337&gt;=M337, "Balanced", "Premium"))</f>
        <v/>
      </c>
      <c r="R337" s="30" t="n">
        <v>0.0422925920945192</v>
      </c>
      <c r="S337" s="30" t="n">
        <v>0.9456274610790636</v>
      </c>
      <c r="T337" s="30" t="n">
        <v>0.01207994682641725</v>
      </c>
      <c r="U337" s="31">
        <f>ABS(E337-$G$6)</f>
        <v/>
      </c>
      <c r="V337" s="31">
        <f>ABS(E337-$G$7)</f>
        <v/>
      </c>
      <c r="W337" s="31">
        <f>ABS(E337-$G$8)</f>
        <v/>
      </c>
      <c r="X337" s="14">
        <f>IF(R337&gt;=MAX(S337,T337), "Hemat", IF(S337&gt;=T337, "Balanced", "Premium"))</f>
        <v/>
      </c>
    </row>
    <row r="338">
      <c r="A338" s="14" t="n">
        <v>327</v>
      </c>
      <c r="B338" s="7" t="inlineStr">
        <is>
          <t>RedDoorz Premium @ Jalan Cengkeh Malang</t>
        </is>
      </c>
      <c r="C338" s="26" t="n">
        <v>-7.9461178</v>
      </c>
      <c r="D338" s="26" t="n">
        <v>112.621726</v>
      </c>
      <c r="E338" s="21" t="n">
        <v>415488</v>
      </c>
      <c r="F338" s="27" t="n">
        <v>0</v>
      </c>
      <c r="G338" s="28" t="n">
        <v>0</v>
      </c>
      <c r="H338" s="14" t="inlineStr">
        <is>
          <t>N/A</t>
        </is>
      </c>
      <c r="I338" s="29">
        <f>6371 * 2 * ASIN(SQRT(SIN(RADIANS((C338) - INDEX('Dataset_Wisata'!$C$12:$C$622, MATCH('Dashboard'!$C$9, 'Dataset_Wisata'!$A$12:$A$622, 0)))/2)^2 + COS(RADIANS(INDEX('Dataset_Wisata'!$C$12:$C$622, MATCH('Dashboard'!$C$9, 'Dataset_Wisata'!$A$12:$A$622, 0)))) * COS(RADIANS(C338)) * SIN(RADIANS((D338) - INDEX('Dataset_Wisata'!$D$12:$D$622, MATCH('Dashboard'!$C$9, 'Dataset_Wisata'!$A$12:$A$622, 0)))/2)^2)) * 1.3</f>
        <v/>
      </c>
      <c r="J338" s="21">
        <f>ROUND(I338 * IF('Dashboard'!$C$6&lt;=1, 2250, IF('Dashboard'!$C$6&lt;=4, 5150, 6000)), 0)</f>
        <v/>
      </c>
      <c r="K338" s="30" t="n">
        <v>0.0002067554054725805</v>
      </c>
      <c r="L338" s="30" t="n">
        <v>0.0006059847408832915</v>
      </c>
      <c r="M338" s="30" t="n">
        <v>0.9991872598536441</v>
      </c>
      <c r="N338" s="31">
        <f>ABS(E338-$F$6)</f>
        <v/>
      </c>
      <c r="O338" s="31">
        <f>ABS(E338-$F$7)</f>
        <v/>
      </c>
      <c r="P338" s="31">
        <f>ABS(E338-$F$8)</f>
        <v/>
      </c>
      <c r="Q338" s="14">
        <f>IF(K338&gt;=MAX(L338,M338), "Hemat", IF(L338&gt;=M338, "Balanced", "Premium"))</f>
        <v/>
      </c>
      <c r="R338" s="30" t="n">
        <v>0.0002065896530072862</v>
      </c>
      <c r="S338" s="30" t="n">
        <v>0.0006055034672219462</v>
      </c>
      <c r="T338" s="30" t="n">
        <v>0.9991879068797708</v>
      </c>
      <c r="U338" s="31">
        <f>ABS(E338-$G$6)</f>
        <v/>
      </c>
      <c r="V338" s="31">
        <f>ABS(E338-$G$7)</f>
        <v/>
      </c>
      <c r="W338" s="31">
        <f>ABS(E338-$G$8)</f>
        <v/>
      </c>
      <c r="X338" s="14">
        <f>IF(R338&gt;=MAX(S338,T338), "Hemat", IF(S338&gt;=T338, "Balanced", "Premium"))</f>
        <v/>
      </c>
    </row>
    <row r="339">
      <c r="A339" s="14" t="n">
        <v>328</v>
      </c>
      <c r="B339" s="7" t="inlineStr">
        <is>
          <t>Reddoorz Near Universitas Widyagama Malang</t>
        </is>
      </c>
      <c r="C339" s="26" t="n">
        <v>-7.9366331</v>
      </c>
      <c r="D339" s="26" t="n">
        <v>112.6358111</v>
      </c>
      <c r="E339" s="21" t="n">
        <v>149000</v>
      </c>
      <c r="F339" s="27" t="n">
        <v>0</v>
      </c>
      <c r="G339" s="28" t="n">
        <v>0</v>
      </c>
      <c r="H339" s="14" t="inlineStr">
        <is>
          <t>N/A</t>
        </is>
      </c>
      <c r="I339" s="29">
        <f>6371 * 2 * ASIN(SQRT(SIN(RADIANS((C339) - INDEX('Dataset_Wisata'!$C$12:$C$622, MATCH('Dashboard'!$C$9, 'Dataset_Wisata'!$A$12:$A$622, 0)))/2)^2 + COS(RADIANS(INDEX('Dataset_Wisata'!$C$12:$C$622, MATCH('Dashboard'!$C$9, 'Dataset_Wisata'!$A$12:$A$622, 0)))) * COS(RADIANS(C339)) * SIN(RADIANS((D339) - INDEX('Dataset_Wisata'!$D$12:$D$622, MATCH('Dashboard'!$C$9, 'Dataset_Wisata'!$A$12:$A$622, 0)))/2)^2)) * 1.3</f>
        <v/>
      </c>
      <c r="J339" s="21">
        <f>ROUND(I339 * IF('Dashboard'!$C$6&lt;=1, 2250, IF('Dashboard'!$C$6&lt;=4, 5150, 6000)), 0)</f>
        <v/>
      </c>
      <c r="K339" s="30" t="n">
        <v>0.9303190263604979</v>
      </c>
      <c r="L339" s="30" t="n">
        <v>0.0613938865272128</v>
      </c>
      <c r="M339" s="30" t="n">
        <v>0.008287087112289282</v>
      </c>
      <c r="N339" s="31">
        <f>ABS(E339-$F$6)</f>
        <v/>
      </c>
      <c r="O339" s="31">
        <f>ABS(E339-$F$7)</f>
        <v/>
      </c>
      <c r="P339" s="31">
        <f>ABS(E339-$F$8)</f>
        <v/>
      </c>
      <c r="Q339" s="14">
        <f>IF(K339&gt;=MAX(L339,M339), "Hemat", IF(L339&gt;=M339, "Balanced", "Premium"))</f>
        <v/>
      </c>
      <c r="R339" s="30" t="n">
        <v>0.9303212645534198</v>
      </c>
      <c r="S339" s="30" t="n">
        <v>0.06139189110780698</v>
      </c>
      <c r="T339" s="30" t="n">
        <v>0.008286844338773268</v>
      </c>
      <c r="U339" s="31">
        <f>ABS(E339-$G$6)</f>
        <v/>
      </c>
      <c r="V339" s="31">
        <f>ABS(E339-$G$7)</f>
        <v/>
      </c>
      <c r="W339" s="31">
        <f>ABS(E339-$G$8)</f>
        <v/>
      </c>
      <c r="X339" s="14">
        <f>IF(R339&gt;=MAX(S339,T339), "Hemat", IF(S339&gt;=T339, "Balanced", "Premium"))</f>
        <v/>
      </c>
    </row>
    <row r="340">
      <c r="A340" s="14" t="n">
        <v>329</v>
      </c>
      <c r="B340" s="7" t="inlineStr">
        <is>
          <t>Noura Guest House Syariah Cabang Soekarno Hatta</t>
        </is>
      </c>
      <c r="C340" s="26" t="n">
        <v>-7.9431647</v>
      </c>
      <c r="D340" s="26" t="n">
        <v>112.6216881</v>
      </c>
      <c r="E340" s="21" t="n">
        <v>200000</v>
      </c>
      <c r="F340" s="27" t="n">
        <v>0</v>
      </c>
      <c r="G340" s="28" t="n">
        <v>0</v>
      </c>
      <c r="H340" s="14" t="inlineStr">
        <is>
          <t>N/A</t>
        </is>
      </c>
      <c r="I340" s="29">
        <f>6371 * 2 * ASIN(SQRT(SIN(RADIANS((C340) - INDEX('Dataset_Wisata'!$C$12:$C$622, MATCH('Dashboard'!$C$9, 'Dataset_Wisata'!$A$12:$A$622, 0)))/2)^2 + COS(RADIANS(INDEX('Dataset_Wisata'!$C$12:$C$622, MATCH('Dashboard'!$C$9, 'Dataset_Wisata'!$A$12:$A$622, 0)))) * COS(RADIANS(C340)) * SIN(RADIANS((D340) - INDEX('Dataset_Wisata'!$D$12:$D$622, MATCH('Dashboard'!$C$9, 'Dataset_Wisata'!$A$12:$A$622, 0)))/2)^2)) * 1.3</f>
        <v/>
      </c>
      <c r="J340" s="21">
        <f>ROUND(I340 * IF('Dashboard'!$C$6&lt;=1, 2250, IF('Dashboard'!$C$6&lt;=4, 5150, 6000)), 0)</f>
        <v/>
      </c>
      <c r="K340" s="30" t="n">
        <v>0.2553120674410002</v>
      </c>
      <c r="L340" s="30" t="n">
        <v>0.7118698806466551</v>
      </c>
      <c r="M340" s="30" t="n">
        <v>0.03281805191234464</v>
      </c>
      <c r="N340" s="31">
        <f>ABS(E340-$F$6)</f>
        <v/>
      </c>
      <c r="O340" s="31">
        <f>ABS(E340-$F$7)</f>
        <v/>
      </c>
      <c r="P340" s="31">
        <f>ABS(E340-$F$8)</f>
        <v/>
      </c>
      <c r="Q340" s="14">
        <f>IF(K340&gt;=MAX(L340,M340), "Hemat", IF(L340&gt;=M340, "Balanced", "Premium"))</f>
        <v/>
      </c>
      <c r="R340" s="30" t="n">
        <v>0.2553195689263855</v>
      </c>
      <c r="S340" s="30" t="n">
        <v>0.7118621403928133</v>
      </c>
      <c r="T340" s="30" t="n">
        <v>0.03281829068080127</v>
      </c>
      <c r="U340" s="31">
        <f>ABS(E340-$G$6)</f>
        <v/>
      </c>
      <c r="V340" s="31">
        <f>ABS(E340-$G$7)</f>
        <v/>
      </c>
      <c r="W340" s="31">
        <f>ABS(E340-$G$8)</f>
        <v/>
      </c>
      <c r="X340" s="14">
        <f>IF(R340&gt;=MAX(S340,T340), "Hemat", IF(S340&gt;=T340, "Balanced", "Premium"))</f>
        <v/>
      </c>
    </row>
    <row r="341">
      <c r="A341" s="14" t="n">
        <v>330</v>
      </c>
      <c r="B341" s="7" t="inlineStr">
        <is>
          <t>Taman Indah Homestay Syariah</t>
        </is>
      </c>
      <c r="C341" s="26" t="n">
        <v>-7.935149</v>
      </c>
      <c r="D341" s="26" t="n">
        <v>112.6174343</v>
      </c>
      <c r="E341" s="21" t="n">
        <v>131749</v>
      </c>
      <c r="F341" s="27" t="n">
        <v>0</v>
      </c>
      <c r="G341" s="28" t="n">
        <v>0</v>
      </c>
      <c r="H341" s="14" t="inlineStr">
        <is>
          <t>N/A</t>
        </is>
      </c>
      <c r="I341" s="29">
        <f>6371 * 2 * ASIN(SQRT(SIN(RADIANS((C341) - INDEX('Dataset_Wisata'!$C$12:$C$622, MATCH('Dashboard'!$C$9, 'Dataset_Wisata'!$A$12:$A$622, 0)))/2)^2 + COS(RADIANS(INDEX('Dataset_Wisata'!$C$12:$C$622, MATCH('Dashboard'!$C$9, 'Dataset_Wisata'!$A$12:$A$622, 0)))) * COS(RADIANS(C341)) * SIN(RADIANS((D341) - INDEX('Dataset_Wisata'!$D$12:$D$622, MATCH('Dashboard'!$C$9, 'Dataset_Wisata'!$A$12:$A$622, 0)))/2)^2)) * 1.3</f>
        <v/>
      </c>
      <c r="J341" s="21">
        <f>ROUND(I341 * IF('Dashboard'!$C$6&lt;=1, 2250, IF('Dashboard'!$C$6&lt;=4, 5150, 6000)), 0)</f>
        <v/>
      </c>
      <c r="K341" s="30" t="n">
        <v>0.9949418202741585</v>
      </c>
      <c r="L341" s="30" t="n">
        <v>0.004341072904130334</v>
      </c>
      <c r="M341" s="30" t="n">
        <v>0.0007171068217111912</v>
      </c>
      <c r="N341" s="31">
        <f>ABS(E341-$F$6)</f>
        <v/>
      </c>
      <c r="O341" s="31">
        <f>ABS(E341-$F$7)</f>
        <v/>
      </c>
      <c r="P341" s="31">
        <f>ABS(E341-$F$8)</f>
        <v/>
      </c>
      <c r="Q341" s="14">
        <f>IF(K341&gt;=MAX(L341,M341), "Hemat", IF(L341&gt;=M341, "Balanced", "Premium"))</f>
        <v/>
      </c>
      <c r="R341" s="30" t="n">
        <v>0.9949422007173775</v>
      </c>
      <c r="S341" s="30" t="n">
        <v>0.004340745435556307</v>
      </c>
      <c r="T341" s="30" t="n">
        <v>0.0007170538470662587</v>
      </c>
      <c r="U341" s="31">
        <f>ABS(E341-$G$6)</f>
        <v/>
      </c>
      <c r="V341" s="31">
        <f>ABS(E341-$G$7)</f>
        <v/>
      </c>
      <c r="W341" s="31">
        <f>ABS(E341-$G$8)</f>
        <v/>
      </c>
      <c r="X341" s="14">
        <f>IF(R341&gt;=MAX(S341,T341), "Hemat", IF(S341&gt;=T341, "Balanced", "Premium"))</f>
        <v/>
      </c>
    </row>
    <row r="342">
      <c r="A342" s="14" t="n">
        <v>331</v>
      </c>
      <c r="B342" s="7" t="inlineStr">
        <is>
          <t>SIMPANG HOMESTAY &amp; KOZZ</t>
        </is>
      </c>
      <c r="C342" s="26" t="n">
        <v>-7.9370428</v>
      </c>
      <c r="D342" s="26" t="n">
        <v>112.6375024</v>
      </c>
      <c r="E342" s="21" t="n">
        <v>200000</v>
      </c>
      <c r="F342" s="27" t="n">
        <v>0</v>
      </c>
      <c r="G342" s="28" t="n">
        <v>0</v>
      </c>
      <c r="H342" s="14" t="inlineStr">
        <is>
          <t>N/A</t>
        </is>
      </c>
      <c r="I342" s="29">
        <f>6371 * 2 * ASIN(SQRT(SIN(RADIANS((C342) - INDEX('Dataset_Wisata'!$C$12:$C$622, MATCH('Dashboard'!$C$9, 'Dataset_Wisata'!$A$12:$A$622, 0)))/2)^2 + COS(RADIANS(INDEX('Dataset_Wisata'!$C$12:$C$622, MATCH('Dashboard'!$C$9, 'Dataset_Wisata'!$A$12:$A$622, 0)))) * COS(RADIANS(C342)) * SIN(RADIANS((D342) - INDEX('Dataset_Wisata'!$D$12:$D$622, MATCH('Dashboard'!$C$9, 'Dataset_Wisata'!$A$12:$A$622, 0)))/2)^2)) * 1.3</f>
        <v/>
      </c>
      <c r="J342" s="21">
        <f>ROUND(I342 * IF('Dashboard'!$C$6&lt;=1, 2250, IF('Dashboard'!$C$6&lt;=4, 5150, 6000)), 0)</f>
        <v/>
      </c>
      <c r="K342" s="30" t="n">
        <v>0.2553120674410002</v>
      </c>
      <c r="L342" s="30" t="n">
        <v>0.7118698806466551</v>
      </c>
      <c r="M342" s="30" t="n">
        <v>0.03281805191234464</v>
      </c>
      <c r="N342" s="31">
        <f>ABS(E342-$F$6)</f>
        <v/>
      </c>
      <c r="O342" s="31">
        <f>ABS(E342-$F$7)</f>
        <v/>
      </c>
      <c r="P342" s="31">
        <f>ABS(E342-$F$8)</f>
        <v/>
      </c>
      <c r="Q342" s="14">
        <f>IF(K342&gt;=MAX(L342,M342), "Hemat", IF(L342&gt;=M342, "Balanced", "Premium"))</f>
        <v/>
      </c>
      <c r="R342" s="30" t="n">
        <v>0.2553195689263855</v>
      </c>
      <c r="S342" s="30" t="n">
        <v>0.7118621403928133</v>
      </c>
      <c r="T342" s="30" t="n">
        <v>0.03281829068080127</v>
      </c>
      <c r="U342" s="31">
        <f>ABS(E342-$G$6)</f>
        <v/>
      </c>
      <c r="V342" s="31">
        <f>ABS(E342-$G$7)</f>
        <v/>
      </c>
      <c r="W342" s="31">
        <f>ABS(E342-$G$8)</f>
        <v/>
      </c>
      <c r="X342" s="14">
        <f>IF(R342&gt;=MAX(S342,T342), "Hemat", IF(S342&gt;=T342, "Balanced", "Premium"))</f>
        <v/>
      </c>
    </row>
    <row r="343">
      <c r="A343" s="14" t="n">
        <v>332</v>
      </c>
      <c r="B343" s="7" t="inlineStr">
        <is>
          <t>RedDoorz Syariah near Universitas Negeri Malang 2</t>
        </is>
      </c>
      <c r="C343" s="26" t="n">
        <v>-7.9644382</v>
      </c>
      <c r="D343" s="26" t="n">
        <v>112.6191322</v>
      </c>
      <c r="E343" s="21" t="n">
        <v>222458</v>
      </c>
      <c r="F343" s="27" t="n">
        <v>0</v>
      </c>
      <c r="G343" s="28" t="n">
        <v>0</v>
      </c>
      <c r="H343" s="14" t="inlineStr">
        <is>
          <t>N/A</t>
        </is>
      </c>
      <c r="I343" s="29">
        <f>6371 * 2 * ASIN(SQRT(SIN(RADIANS((C343) - INDEX('Dataset_Wisata'!$C$12:$C$622, MATCH('Dashboard'!$C$9, 'Dataset_Wisata'!$A$12:$A$622, 0)))/2)^2 + COS(RADIANS(INDEX('Dataset_Wisata'!$C$12:$C$622, MATCH('Dashboard'!$C$9, 'Dataset_Wisata'!$A$12:$A$622, 0)))) * COS(RADIANS(C343)) * SIN(RADIANS((D343) - INDEX('Dataset_Wisata'!$D$12:$D$622, MATCH('Dashboard'!$C$9, 'Dataset_Wisata'!$A$12:$A$622, 0)))/2)^2)) * 1.3</f>
        <v/>
      </c>
      <c r="J343" s="21">
        <f>ROUND(I343 * IF('Dashboard'!$C$6&lt;=1, 2250, IF('Dashboard'!$C$6&lt;=4, 5150, 6000)), 0)</f>
        <v/>
      </c>
      <c r="K343" s="30" t="n">
        <v>0.05089589450017181</v>
      </c>
      <c r="L343" s="30" t="n">
        <v>0.935337101843739</v>
      </c>
      <c r="M343" s="30" t="n">
        <v>0.01376700365608907</v>
      </c>
      <c r="N343" s="31">
        <f>ABS(E343-$F$6)</f>
        <v/>
      </c>
      <c r="O343" s="31">
        <f>ABS(E343-$F$7)</f>
        <v/>
      </c>
      <c r="P343" s="31">
        <f>ABS(E343-$F$8)</f>
        <v/>
      </c>
      <c r="Q343" s="14">
        <f>IF(K343&gt;=MAX(L343,M343), "Hemat", IF(L343&gt;=M343, "Balanced", "Premium"))</f>
        <v/>
      </c>
      <c r="R343" s="30" t="n">
        <v>0.05089935052228398</v>
      </c>
      <c r="S343" s="30" t="n">
        <v>0.9353330220397739</v>
      </c>
      <c r="T343" s="30" t="n">
        <v>0.01376762743794213</v>
      </c>
      <c r="U343" s="31">
        <f>ABS(E343-$G$6)</f>
        <v/>
      </c>
      <c r="V343" s="31">
        <f>ABS(E343-$G$7)</f>
        <v/>
      </c>
      <c r="W343" s="31">
        <f>ABS(E343-$G$8)</f>
        <v/>
      </c>
      <c r="X343" s="14">
        <f>IF(R343&gt;=MAX(S343,T343), "Hemat", IF(S343&gt;=T343, "Balanced", "Premium"))</f>
        <v/>
      </c>
    </row>
    <row r="344">
      <c r="A344" s="14" t="n">
        <v>333</v>
      </c>
      <c r="B344" s="7" t="inlineStr">
        <is>
          <t>Tripletree Novon Family Hotel</t>
        </is>
      </c>
      <c r="C344" s="26" t="n">
        <v>-7.9308117</v>
      </c>
      <c r="D344" s="26" t="n">
        <v>112.6524642</v>
      </c>
      <c r="E344" s="21" t="n">
        <v>248378</v>
      </c>
      <c r="F344" s="27" t="n">
        <v>0</v>
      </c>
      <c r="G344" s="28" t="n">
        <v>0</v>
      </c>
      <c r="H344" s="14" t="inlineStr">
        <is>
          <t>N/A</t>
        </is>
      </c>
      <c r="I344" s="29">
        <f>6371 * 2 * ASIN(SQRT(SIN(RADIANS((C344) - INDEX('Dataset_Wisata'!$C$12:$C$622, MATCH('Dashboard'!$C$9, 'Dataset_Wisata'!$A$12:$A$622, 0)))/2)^2 + COS(RADIANS(INDEX('Dataset_Wisata'!$C$12:$C$622, MATCH('Dashboard'!$C$9, 'Dataset_Wisata'!$A$12:$A$622, 0)))) * COS(RADIANS(C344)) * SIN(RADIANS((D344) - INDEX('Dataset_Wisata'!$D$12:$D$622, MATCH('Dashboard'!$C$9, 'Dataset_Wisata'!$A$12:$A$622, 0)))/2)^2)) * 1.3</f>
        <v/>
      </c>
      <c r="J344" s="21">
        <f>ROUND(I344 * IF('Dashboard'!$C$6&lt;=1, 2250, IF('Dashboard'!$C$6&lt;=4, 5150, 6000)), 0)</f>
        <v/>
      </c>
      <c r="K344" s="30" t="n">
        <v>0.0005873019183314628</v>
      </c>
      <c r="L344" s="30" t="n">
        <v>0.9990717473902506</v>
      </c>
      <c r="M344" s="30" t="n">
        <v>0.0003409506914179716</v>
      </c>
      <c r="N344" s="31">
        <f>ABS(E344-$F$6)</f>
        <v/>
      </c>
      <c r="O344" s="31">
        <f>ABS(E344-$F$7)</f>
        <v/>
      </c>
      <c r="P344" s="31">
        <f>ABS(E344-$F$8)</f>
        <v/>
      </c>
      <c r="Q344" s="14">
        <f>IF(K344&gt;=MAX(L344,M344), "Hemat", IF(L344&gt;=M344, "Balanced", "Premium"))</f>
        <v/>
      </c>
      <c r="R344" s="30" t="n">
        <v>0.0005870026309139175</v>
      </c>
      <c r="S344" s="30" t="n">
        <v>0.9990722287530263</v>
      </c>
      <c r="T344" s="30" t="n">
        <v>0.0003407686160598668</v>
      </c>
      <c r="U344" s="31">
        <f>ABS(E344-$G$6)</f>
        <v/>
      </c>
      <c r="V344" s="31">
        <f>ABS(E344-$G$7)</f>
        <v/>
      </c>
      <c r="W344" s="31">
        <f>ABS(E344-$G$8)</f>
        <v/>
      </c>
      <c r="X344" s="14">
        <f>IF(R344&gt;=MAX(S344,T344), "Hemat", IF(S344&gt;=T344, "Balanced", "Premium"))</f>
        <v/>
      </c>
    </row>
    <row r="345">
      <c r="A345" s="14" t="n">
        <v>334</v>
      </c>
      <c r="B345" s="7" t="inlineStr">
        <is>
          <t>RedDoorz Plus near Politeknik Negeri Malang</t>
        </is>
      </c>
      <c r="C345" s="26" t="n">
        <v>-7.9430879</v>
      </c>
      <c r="D345" s="26" t="n">
        <v>112.619081</v>
      </c>
      <c r="E345" s="21" t="n">
        <v>382551</v>
      </c>
      <c r="F345" s="27" t="n">
        <v>0</v>
      </c>
      <c r="G345" s="28" t="n">
        <v>0</v>
      </c>
      <c r="H345" s="14" t="inlineStr">
        <is>
          <t>N/A</t>
        </is>
      </c>
      <c r="I345" s="29">
        <f>6371 * 2 * ASIN(SQRT(SIN(RADIANS((C345) - INDEX('Dataset_Wisata'!$C$12:$C$622, MATCH('Dashboard'!$C$9, 'Dataset_Wisata'!$A$12:$A$622, 0)))/2)^2 + COS(RADIANS(INDEX('Dataset_Wisata'!$C$12:$C$622, MATCH('Dashboard'!$C$9, 'Dataset_Wisata'!$A$12:$A$622, 0)))) * COS(RADIANS(C345)) * SIN(RADIANS((D345) - INDEX('Dataset_Wisata'!$D$12:$D$622, MATCH('Dashboard'!$C$9, 'Dataset_Wisata'!$A$12:$A$622, 0)))/2)^2)) * 1.3</f>
        <v/>
      </c>
      <c r="J345" s="21">
        <f>ROUND(I345 * IF('Dashboard'!$C$6&lt;=1, 2250, IF('Dashboard'!$C$6&lt;=4, 5150, 6000)), 0)</f>
        <v/>
      </c>
      <c r="K345" s="30" t="n">
        <v>0.01172574981931046</v>
      </c>
      <c r="L345" s="30" t="n">
        <v>0.04157328548990787</v>
      </c>
      <c r="M345" s="30" t="n">
        <v>0.9467009646907817</v>
      </c>
      <c r="N345" s="31">
        <f>ABS(E345-$F$6)</f>
        <v/>
      </c>
      <c r="O345" s="31">
        <f>ABS(E345-$F$7)</f>
        <v/>
      </c>
      <c r="P345" s="31">
        <f>ABS(E345-$F$8)</f>
        <v/>
      </c>
      <c r="Q345" s="14">
        <f>IF(K345&gt;=MAX(L345,M345), "Hemat", IF(L345&gt;=M345, "Balanced", "Premium"))</f>
        <v/>
      </c>
      <c r="R345" s="30" t="n">
        <v>0.01172706613374129</v>
      </c>
      <c r="S345" s="30" t="n">
        <v>0.04157834607786745</v>
      </c>
      <c r="T345" s="30" t="n">
        <v>0.9466945877883913</v>
      </c>
      <c r="U345" s="31">
        <f>ABS(E345-$G$6)</f>
        <v/>
      </c>
      <c r="V345" s="31">
        <f>ABS(E345-$G$7)</f>
        <v/>
      </c>
      <c r="W345" s="31">
        <f>ABS(E345-$G$8)</f>
        <v/>
      </c>
      <c r="X345" s="14">
        <f>IF(R345&gt;=MAX(S345,T345), "Hemat", IF(S345&gt;=T345, "Balanced", "Premium"))</f>
        <v/>
      </c>
    </row>
    <row r="346">
      <c r="A346" s="14" t="n">
        <v>335</v>
      </c>
      <c r="B346" s="7" t="inlineStr">
        <is>
          <t>OYO 2771 D'soetta</t>
        </is>
      </c>
      <c r="C346" s="26" t="n">
        <v>-7.9392536</v>
      </c>
      <c r="D346" s="26" t="n">
        <v>112.6252384</v>
      </c>
      <c r="E346" s="21" t="n">
        <v>170000</v>
      </c>
      <c r="F346" s="27" t="n">
        <v>0</v>
      </c>
      <c r="G346" s="28" t="n">
        <v>0</v>
      </c>
      <c r="H346" s="14" t="inlineStr">
        <is>
          <t>N/A</t>
        </is>
      </c>
      <c r="I346" s="29">
        <f>6371 * 2 * ASIN(SQRT(SIN(RADIANS((C346) - INDEX('Dataset_Wisata'!$C$12:$C$622, MATCH('Dashboard'!$C$9, 'Dataset_Wisata'!$A$12:$A$622, 0)))/2)^2 + COS(RADIANS(INDEX('Dataset_Wisata'!$C$12:$C$622, MATCH('Dashboard'!$C$9, 'Dataset_Wisata'!$A$12:$A$622, 0)))) * COS(RADIANS(C346)) * SIN(RADIANS((D346) - INDEX('Dataset_Wisata'!$D$12:$D$622, MATCH('Dashboard'!$C$9, 'Dataset_Wisata'!$A$12:$A$622, 0)))/2)^2)) * 1.3</f>
        <v/>
      </c>
      <c r="J346" s="21">
        <f>ROUND(I346 * IF('Dashboard'!$C$6&lt;=1, 2250, IF('Dashboard'!$C$6&lt;=4, 5150, 6000)), 0)</f>
        <v/>
      </c>
      <c r="K346" s="30" t="n">
        <v>0.7119837183050363</v>
      </c>
      <c r="L346" s="30" t="n">
        <v>0.2624152611455975</v>
      </c>
      <c r="M346" s="30" t="n">
        <v>0.02560102054936619</v>
      </c>
      <c r="N346" s="31">
        <f>ABS(E346-$F$6)</f>
        <v/>
      </c>
      <c r="O346" s="31">
        <f>ABS(E346-$F$7)</f>
        <v/>
      </c>
      <c r="P346" s="31">
        <f>ABS(E346-$F$8)</f>
        <v/>
      </c>
      <c r="Q346" s="14">
        <f>IF(K346&gt;=MAX(L346,M346), "Hemat", IF(L346&gt;=M346, "Balanced", "Premium"))</f>
        <v/>
      </c>
      <c r="R346" s="30" t="n">
        <v>0.7119898992332693</v>
      </c>
      <c r="S346" s="30" t="n">
        <v>0.2624094765922805</v>
      </c>
      <c r="T346" s="30" t="n">
        <v>0.02560062417445023</v>
      </c>
      <c r="U346" s="31">
        <f>ABS(E346-$G$6)</f>
        <v/>
      </c>
      <c r="V346" s="31">
        <f>ABS(E346-$G$7)</f>
        <v/>
      </c>
      <c r="W346" s="31">
        <f>ABS(E346-$G$8)</f>
        <v/>
      </c>
      <c r="X346" s="14">
        <f>IF(R346&gt;=MAX(S346,T346), "Hemat", IF(S346&gt;=T346, "Balanced", "Premium"))</f>
        <v/>
      </c>
    </row>
    <row r="347">
      <c r="A347" s="14" t="n">
        <v>336</v>
      </c>
      <c r="B347" s="7" t="inlineStr">
        <is>
          <t>RedDoorz Syariah @ Soekarno Hatta Indah 2</t>
        </is>
      </c>
      <c r="C347" s="26" t="n">
        <v>-7.9379706</v>
      </c>
      <c r="D347" s="26" t="n">
        <v>112.6272506</v>
      </c>
      <c r="E347" s="21" t="n">
        <v>180000</v>
      </c>
      <c r="F347" s="27" t="n">
        <v>0</v>
      </c>
      <c r="G347" s="28" t="n">
        <v>0</v>
      </c>
      <c r="H347" s="14" t="inlineStr">
        <is>
          <t>N/A</t>
        </is>
      </c>
      <c r="I347" s="29">
        <f>6371 * 2 * ASIN(SQRT(SIN(RADIANS((C347) - INDEX('Dataset_Wisata'!$C$12:$C$622, MATCH('Dashboard'!$C$9, 'Dataset_Wisata'!$A$12:$A$622, 0)))/2)^2 + COS(RADIANS(INDEX('Dataset_Wisata'!$C$12:$C$622, MATCH('Dashboard'!$C$9, 'Dataset_Wisata'!$A$12:$A$622, 0)))) * COS(RADIANS(C347)) * SIN(RADIANS((D347) - INDEX('Dataset_Wisata'!$D$12:$D$622, MATCH('Dashboard'!$C$9, 'Dataset_Wisata'!$A$12:$A$622, 0)))/2)^2)) * 1.3</f>
        <v/>
      </c>
      <c r="J347" s="21">
        <f>ROUND(I347 * IF('Dashboard'!$C$6&lt;=1, 2250, IF('Dashboard'!$C$6&lt;=4, 5150, 6000)), 0)</f>
        <v/>
      </c>
      <c r="K347" s="30" t="n">
        <v>0.5600247732706607</v>
      </c>
      <c r="L347" s="30" t="n">
        <v>0.4074331610594847</v>
      </c>
      <c r="M347" s="30" t="n">
        <v>0.03254206566985453</v>
      </c>
      <c r="N347" s="31">
        <f>ABS(E347-$F$6)</f>
        <v/>
      </c>
      <c r="O347" s="31">
        <f>ABS(E347-$F$7)</f>
        <v/>
      </c>
      <c r="P347" s="31">
        <f>ABS(E347-$F$8)</f>
        <v/>
      </c>
      <c r="Q347" s="14">
        <f>IF(K347&gt;=MAX(L347,M347), "Hemat", IF(L347&gt;=M347, "Balanced", "Premium"))</f>
        <v/>
      </c>
      <c r="R347" s="30" t="n">
        <v>0.5600325006527688</v>
      </c>
      <c r="S347" s="30" t="n">
        <v>0.4074257310956769</v>
      </c>
      <c r="T347" s="30" t="n">
        <v>0.03254176825155451</v>
      </c>
      <c r="U347" s="31">
        <f>ABS(E347-$G$6)</f>
        <v/>
      </c>
      <c r="V347" s="31">
        <f>ABS(E347-$G$7)</f>
        <v/>
      </c>
      <c r="W347" s="31">
        <f>ABS(E347-$G$8)</f>
        <v/>
      </c>
      <c r="X347" s="14">
        <f>IF(R347&gt;=MAX(S347,T347), "Hemat", IF(S347&gt;=T347, "Balanced", "Premium"))</f>
        <v/>
      </c>
    </row>
    <row r="348">
      <c r="A348" s="14" t="n">
        <v>337</v>
      </c>
      <c r="B348" s="7" t="inlineStr">
        <is>
          <t>OYO 3350 Cozy Residence</t>
        </is>
      </c>
      <c r="C348" s="26" t="n">
        <v>-7.9454091</v>
      </c>
      <c r="D348" s="26" t="n">
        <v>112.6348957</v>
      </c>
      <c r="E348" s="21" t="n">
        <v>55673</v>
      </c>
      <c r="F348" s="27" t="n">
        <v>0</v>
      </c>
      <c r="G348" s="28" t="n">
        <v>0</v>
      </c>
      <c r="H348" s="14" t="inlineStr">
        <is>
          <t>N/A</t>
        </is>
      </c>
      <c r="I348" s="29">
        <f>6371 * 2 * ASIN(SQRT(SIN(RADIANS((C348) - INDEX('Dataset_Wisata'!$C$12:$C$622, MATCH('Dashboard'!$C$9, 'Dataset_Wisata'!$A$12:$A$622, 0)))/2)^2 + COS(RADIANS(INDEX('Dataset_Wisata'!$C$12:$C$622, MATCH('Dashboard'!$C$9, 'Dataset_Wisata'!$A$12:$A$622, 0)))) * COS(RADIANS(C348)) * SIN(RADIANS((D348) - INDEX('Dataset_Wisata'!$D$12:$D$622, MATCH('Dashboard'!$C$9, 'Dataset_Wisata'!$A$12:$A$622, 0)))/2)^2)) * 1.3</f>
        <v/>
      </c>
      <c r="J348" s="21">
        <f>ROUND(I348 * IF('Dashboard'!$C$6&lt;=1, 2250, IF('Dashboard'!$C$6&lt;=4, 5150, 6000)), 0)</f>
        <v/>
      </c>
      <c r="K348" s="30" t="n">
        <v>0.8562770909022781</v>
      </c>
      <c r="L348" s="30" t="n">
        <v>0.1118875865138117</v>
      </c>
      <c r="M348" s="30" t="n">
        <v>0.03183532258391013</v>
      </c>
      <c r="N348" s="31">
        <f>ABS(E348-$F$6)</f>
        <v/>
      </c>
      <c r="O348" s="31">
        <f>ABS(E348-$F$7)</f>
        <v/>
      </c>
      <c r="P348" s="31">
        <f>ABS(E348-$F$8)</f>
        <v/>
      </c>
      <c r="Q348" s="14">
        <f>IF(K348&gt;=MAX(L348,M348), "Hemat", IF(L348&gt;=M348, "Balanced", "Premium"))</f>
        <v/>
      </c>
      <c r="R348" s="30" t="n">
        <v>0.856277292407648</v>
      </c>
      <c r="S348" s="30" t="n">
        <v>0.1118874623364272</v>
      </c>
      <c r="T348" s="30" t="n">
        <v>0.03183524525592466</v>
      </c>
      <c r="U348" s="31">
        <f>ABS(E348-$G$6)</f>
        <v/>
      </c>
      <c r="V348" s="31">
        <f>ABS(E348-$G$7)</f>
        <v/>
      </c>
      <c r="W348" s="31">
        <f>ABS(E348-$G$8)</f>
        <v/>
      </c>
      <c r="X348" s="14">
        <f>IF(R348&gt;=MAX(S348,T348), "Hemat", IF(S348&gt;=T348, "Balanced", "Premium"))</f>
        <v/>
      </c>
    </row>
    <row r="349">
      <c r="A349" s="14" t="n">
        <v>338</v>
      </c>
      <c r="B349" s="7" t="inlineStr">
        <is>
          <t>Griya Shanta Guest House</t>
        </is>
      </c>
      <c r="C349" s="26" t="n">
        <v>-7.9396161</v>
      </c>
      <c r="D349" s="26" t="n">
        <v>112.6233305</v>
      </c>
      <c r="E349" s="21" t="n">
        <v>120184</v>
      </c>
      <c r="F349" s="27" t="n">
        <v>0</v>
      </c>
      <c r="G349" s="28" t="n">
        <v>0</v>
      </c>
      <c r="H349" s="14" t="inlineStr">
        <is>
          <t>N/A</t>
        </is>
      </c>
      <c r="I349" s="29">
        <f>6371 * 2 * ASIN(SQRT(SIN(RADIANS((C349) - INDEX('Dataset_Wisata'!$C$12:$C$622, MATCH('Dashboard'!$C$9, 'Dataset_Wisata'!$A$12:$A$622, 0)))/2)^2 + COS(RADIANS(INDEX('Dataset_Wisata'!$C$12:$C$622, MATCH('Dashboard'!$C$9, 'Dataset_Wisata'!$A$12:$A$622, 0)))) * COS(RADIANS(C349)) * SIN(RADIANS((D349) - INDEX('Dataset_Wisata'!$D$12:$D$622, MATCH('Dashboard'!$C$9, 'Dataset_Wisata'!$A$12:$A$622, 0)))/2)^2)) * 1.3</f>
        <v/>
      </c>
      <c r="J349" s="21">
        <f>ROUND(I349 * IF('Dashboard'!$C$6&lt;=1, 2250, IF('Dashboard'!$C$6&lt;=4, 5150, 6000)), 0)</f>
        <v/>
      </c>
      <c r="K349" s="30" t="n">
        <v>0.9987552146315806</v>
      </c>
      <c r="L349" s="30" t="n">
        <v>0.001050527176298003</v>
      </c>
      <c r="M349" s="30" t="n">
        <v>0.0001942581921215</v>
      </c>
      <c r="N349" s="31">
        <f>ABS(E349-$F$6)</f>
        <v/>
      </c>
      <c r="O349" s="31">
        <f>ABS(E349-$F$7)</f>
        <v/>
      </c>
      <c r="P349" s="31">
        <f>ABS(E349-$F$8)</f>
        <v/>
      </c>
      <c r="Q349" s="14">
        <f>IF(K349&gt;=MAX(L349,M349), "Hemat", IF(L349&gt;=M349, "Balanced", "Premium"))</f>
        <v/>
      </c>
      <c r="R349" s="30" t="n">
        <v>0.998755086877389</v>
      </c>
      <c r="S349" s="30" t="n">
        <v>0.001050634865027601</v>
      </c>
      <c r="T349" s="30" t="n">
        <v>0.0001942782575834505</v>
      </c>
      <c r="U349" s="31">
        <f>ABS(E349-$G$6)</f>
        <v/>
      </c>
      <c r="V349" s="31">
        <f>ABS(E349-$G$7)</f>
        <v/>
      </c>
      <c r="W349" s="31">
        <f>ABS(E349-$G$8)</f>
        <v/>
      </c>
      <c r="X349" s="14">
        <f>IF(R349&gt;=MAX(S349,T349), "Hemat", IF(S349&gt;=T349, "Balanced", "Premium"))</f>
        <v/>
      </c>
    </row>
    <row r="350">
      <c r="A350" s="14" t="n">
        <v>339</v>
      </c>
      <c r="B350" s="7" t="inlineStr">
        <is>
          <t>RedDoorz @ Soekarno Hatta Indah</t>
        </is>
      </c>
      <c r="C350" s="26" t="n">
        <v>-7.9393799</v>
      </c>
      <c r="D350" s="26" t="n">
        <v>112.6296212</v>
      </c>
      <c r="E350" s="21" t="n">
        <v>144608</v>
      </c>
      <c r="F350" s="27" t="n">
        <v>0</v>
      </c>
      <c r="G350" s="28" t="n">
        <v>0</v>
      </c>
      <c r="H350" s="14" t="inlineStr">
        <is>
          <t>N/A</t>
        </is>
      </c>
      <c r="I350" s="29">
        <f>6371 * 2 * ASIN(SQRT(SIN(RADIANS((C350) - INDEX('Dataset_Wisata'!$C$12:$C$622, MATCH('Dashboard'!$C$9, 'Dataset_Wisata'!$A$12:$A$622, 0)))/2)^2 + COS(RADIANS(INDEX('Dataset_Wisata'!$C$12:$C$622, MATCH('Dashboard'!$C$9, 'Dataset_Wisata'!$A$12:$A$622, 0)))) * COS(RADIANS(C350)) * SIN(RADIANS((D350) - INDEX('Dataset_Wisata'!$D$12:$D$622, MATCH('Dashboard'!$C$9, 'Dataset_Wisata'!$A$12:$A$622, 0)))/2)^2)) * 1.3</f>
        <v/>
      </c>
      <c r="J350" s="21">
        <f>ROUND(I350 * IF('Dashboard'!$C$6&lt;=1, 2250, IF('Dashboard'!$C$6&lt;=4, 5150, 6000)), 0)</f>
        <v/>
      </c>
      <c r="K350" s="30" t="n">
        <v>0.9554050859565021</v>
      </c>
      <c r="L350" s="30" t="n">
        <v>0.03902434647115281</v>
      </c>
      <c r="M350" s="30" t="n">
        <v>0.00557056757234516</v>
      </c>
      <c r="N350" s="31">
        <f>ABS(E350-$F$6)</f>
        <v/>
      </c>
      <c r="O350" s="31">
        <f>ABS(E350-$F$7)</f>
        <v/>
      </c>
      <c r="P350" s="31">
        <f>ABS(E350-$F$8)</f>
        <v/>
      </c>
      <c r="Q350" s="14">
        <f>IF(K350&gt;=MAX(L350,M350), "Hemat", IF(L350&gt;=M350, "Balanced", "Premium"))</f>
        <v/>
      </c>
      <c r="R350" s="30" t="n">
        <v>0.9554067022560949</v>
      </c>
      <c r="S350" s="30" t="n">
        <v>0.03902291881971071</v>
      </c>
      <c r="T350" s="30" t="n">
        <v>0.005570378924194405</v>
      </c>
      <c r="U350" s="31">
        <f>ABS(E350-$G$6)</f>
        <v/>
      </c>
      <c r="V350" s="31">
        <f>ABS(E350-$G$7)</f>
        <v/>
      </c>
      <c r="W350" s="31">
        <f>ABS(E350-$G$8)</f>
        <v/>
      </c>
      <c r="X350" s="14">
        <f>IF(R350&gt;=MAX(S350,T350), "Hemat", IF(S350&gt;=T350, "Balanced", "Premium"))</f>
        <v/>
      </c>
    </row>
    <row r="351">
      <c r="A351" s="14" t="n">
        <v>340</v>
      </c>
      <c r="B351" s="7" t="inlineStr">
        <is>
          <t>RedDoorz Plus @ Kalpataru</t>
        </is>
      </c>
      <c r="C351" s="26" t="n">
        <v>-7.9511644</v>
      </c>
      <c r="D351" s="26" t="n">
        <v>112.6331157</v>
      </c>
      <c r="E351" s="21" t="n">
        <v>153470</v>
      </c>
      <c r="F351" s="27" t="n">
        <v>0</v>
      </c>
      <c r="G351" s="28" t="n">
        <v>0</v>
      </c>
      <c r="H351" s="14" t="inlineStr">
        <is>
          <t>N/A</t>
        </is>
      </c>
      <c r="I351" s="29">
        <f>6371 * 2 * ASIN(SQRT(SIN(RADIANS((C351) - INDEX('Dataset_Wisata'!$C$12:$C$622, MATCH('Dashboard'!$C$9, 'Dataset_Wisata'!$A$12:$A$622, 0)))/2)^2 + COS(RADIANS(INDEX('Dataset_Wisata'!$C$12:$C$622, MATCH('Dashboard'!$C$9, 'Dataset_Wisata'!$A$12:$A$622, 0)))) * COS(RADIANS(C351)) * SIN(RADIANS((D351) - INDEX('Dataset_Wisata'!$D$12:$D$622, MATCH('Dashboard'!$C$9, 'Dataset_Wisata'!$A$12:$A$622, 0)))/2)^2)) * 1.3</f>
        <v/>
      </c>
      <c r="J351" s="21">
        <f>ROUND(I351 * IF('Dashboard'!$C$6&lt;=1, 2250, IF('Dashboard'!$C$6&lt;=4, 5150, 6000)), 0)</f>
        <v/>
      </c>
      <c r="K351" s="30" t="n">
        <v>0.8976744705574453</v>
      </c>
      <c r="L351" s="30" t="n">
        <v>0.09079109369304465</v>
      </c>
      <c r="M351" s="30" t="n">
        <v>0.01153443574951017</v>
      </c>
      <c r="N351" s="31">
        <f>ABS(E351-$F$6)</f>
        <v/>
      </c>
      <c r="O351" s="31">
        <f>ABS(E351-$F$7)</f>
        <v/>
      </c>
      <c r="P351" s="31">
        <f>ABS(E351-$F$8)</f>
        <v/>
      </c>
      <c r="Q351" s="14">
        <f>IF(K351&gt;=MAX(L351,M351), "Hemat", IF(L351&gt;=M351, "Balanced", "Premium"))</f>
        <v/>
      </c>
      <c r="R351" s="30" t="n">
        <v>0.8976774448074021</v>
      </c>
      <c r="S351" s="30" t="n">
        <v>0.09078841618224134</v>
      </c>
      <c r="T351" s="30" t="n">
        <v>0.01153413901035651</v>
      </c>
      <c r="U351" s="31">
        <f>ABS(E351-$G$6)</f>
        <v/>
      </c>
      <c r="V351" s="31">
        <f>ABS(E351-$G$7)</f>
        <v/>
      </c>
      <c r="W351" s="31">
        <f>ABS(E351-$G$8)</f>
        <v/>
      </c>
      <c r="X351" s="14">
        <f>IF(R351&gt;=MAX(S351,T351), "Hemat", IF(S351&gt;=T351, "Balanced", "Premium"))</f>
        <v/>
      </c>
    </row>
    <row r="352">
      <c r="A352" s="14" t="n">
        <v>341</v>
      </c>
      <c r="B352" s="7" t="inlineStr">
        <is>
          <t>RedDoorz Syariah near RRI Malang</t>
        </is>
      </c>
      <c r="C352" s="26" t="n">
        <v>-7.9352717</v>
      </c>
      <c r="D352" s="26" t="n">
        <v>112.6175183</v>
      </c>
      <c r="E352" s="21" t="n">
        <v>137037</v>
      </c>
      <c r="F352" s="27" t="n">
        <v>0</v>
      </c>
      <c r="G352" s="28" t="n">
        <v>0</v>
      </c>
      <c r="H352" s="14" t="inlineStr">
        <is>
          <t>N/A</t>
        </is>
      </c>
      <c r="I352" s="29">
        <f>6371 * 2 * ASIN(SQRT(SIN(RADIANS((C352) - INDEX('Dataset_Wisata'!$C$12:$C$622, MATCH('Dashboard'!$C$9, 'Dataset_Wisata'!$A$12:$A$622, 0)))/2)^2 + COS(RADIANS(INDEX('Dataset_Wisata'!$C$12:$C$622, MATCH('Dashboard'!$C$9, 'Dataset_Wisata'!$A$12:$A$622, 0)))) * COS(RADIANS(C352)) * SIN(RADIANS((D352) - INDEX('Dataset_Wisata'!$D$12:$D$622, MATCH('Dashboard'!$C$9, 'Dataset_Wisata'!$A$12:$A$622, 0)))/2)^2)) * 1.3</f>
        <v/>
      </c>
      <c r="J352" s="21">
        <f>ROUND(I352 * IF('Dashboard'!$C$6&lt;=1, 2250, IF('Dashboard'!$C$6&lt;=4, 5150, 6000)), 0)</f>
        <v/>
      </c>
      <c r="K352" s="30" t="n">
        <v>0.9841343578372072</v>
      </c>
      <c r="L352" s="30" t="n">
        <v>0.01372437529743151</v>
      </c>
      <c r="M352" s="30" t="n">
        <v>0.002141266865361404</v>
      </c>
      <c r="N352" s="31">
        <f>ABS(E352-$F$6)</f>
        <v/>
      </c>
      <c r="O352" s="31">
        <f>ABS(E352-$F$7)</f>
        <v/>
      </c>
      <c r="P352" s="31">
        <f>ABS(E352-$F$8)</f>
        <v/>
      </c>
      <c r="Q352" s="14">
        <f>IF(K352&gt;=MAX(L352,M352), "Hemat", IF(L352&gt;=M352, "Balanced", "Premium"))</f>
        <v/>
      </c>
      <c r="R352" s="30" t="n">
        <v>0.9841351463499529</v>
      </c>
      <c r="S352" s="30" t="n">
        <v>0.01372368951023278</v>
      </c>
      <c r="T352" s="30" t="n">
        <v>0.002141164139814297</v>
      </c>
      <c r="U352" s="31">
        <f>ABS(E352-$G$6)</f>
        <v/>
      </c>
      <c r="V352" s="31">
        <f>ABS(E352-$G$7)</f>
        <v/>
      </c>
      <c r="W352" s="31">
        <f>ABS(E352-$G$8)</f>
        <v/>
      </c>
      <c r="X352" s="14">
        <f>IF(R352&gt;=MAX(S352,T352), "Hemat", IF(S352&gt;=T352, "Balanced", "Premium"))</f>
        <v/>
      </c>
    </row>
    <row r="353">
      <c r="A353" s="14" t="n">
        <v>342</v>
      </c>
      <c r="B353" s="7" t="inlineStr">
        <is>
          <t>Behomy Inn Malang</t>
        </is>
      </c>
      <c r="C353" s="26" t="n">
        <v>-7.9429327</v>
      </c>
      <c r="D353" s="26" t="n">
        <v>112.6487057</v>
      </c>
      <c r="E353" s="21" t="n">
        <v>234433</v>
      </c>
      <c r="F353" s="27" t="n">
        <v>0</v>
      </c>
      <c r="G353" s="28" t="n">
        <v>0</v>
      </c>
      <c r="H353" s="14" t="inlineStr">
        <is>
          <t>N/A</t>
        </is>
      </c>
      <c r="I353" s="29">
        <f>6371 * 2 * ASIN(SQRT(SIN(RADIANS((C353) - INDEX('Dataset_Wisata'!$C$12:$C$622, MATCH('Dashboard'!$C$9, 'Dataset_Wisata'!$A$12:$A$622, 0)))/2)^2 + COS(RADIANS(INDEX('Dataset_Wisata'!$C$12:$C$622, MATCH('Dashboard'!$C$9, 'Dataset_Wisata'!$A$12:$A$622, 0)))) * COS(RADIANS(C353)) * SIN(RADIANS((D353) - INDEX('Dataset_Wisata'!$D$12:$D$622, MATCH('Dashboard'!$C$9, 'Dataset_Wisata'!$A$12:$A$622, 0)))/2)^2)) * 1.3</f>
        <v/>
      </c>
      <c r="J353" s="21">
        <f>ROUND(I353 * IF('Dashboard'!$C$6&lt;=1, 2250, IF('Dashboard'!$C$6&lt;=4, 5150, 6000)), 0)</f>
        <v/>
      </c>
      <c r="K353" s="30" t="n">
        <v>0.009716000120949505</v>
      </c>
      <c r="L353" s="30" t="n">
        <v>0.9865128144689165</v>
      </c>
      <c r="M353" s="30" t="n">
        <v>0.003771185410133839</v>
      </c>
      <c r="N353" s="31">
        <f>ABS(E353-$F$6)</f>
        <v/>
      </c>
      <c r="O353" s="31">
        <f>ABS(E353-$F$7)</f>
        <v/>
      </c>
      <c r="P353" s="31">
        <f>ABS(E353-$F$8)</f>
        <v/>
      </c>
      <c r="Q353" s="14">
        <f>IF(K353&gt;=MAX(L353,M353), "Hemat", IF(L353&gt;=M353, "Balanced", "Premium"))</f>
        <v/>
      </c>
      <c r="R353" s="30" t="n">
        <v>0.009717397338840753</v>
      </c>
      <c r="S353" s="30" t="n">
        <v>0.9865109627514458</v>
      </c>
      <c r="T353" s="30" t="n">
        <v>0.00377163990971344</v>
      </c>
      <c r="U353" s="31">
        <f>ABS(E353-$G$6)</f>
        <v/>
      </c>
      <c r="V353" s="31">
        <f>ABS(E353-$G$7)</f>
        <v/>
      </c>
      <c r="W353" s="31">
        <f>ABS(E353-$G$8)</f>
        <v/>
      </c>
      <c r="X353" s="14">
        <f>IF(R353&gt;=MAX(S353,T353), "Hemat", IF(S353&gt;=T353, "Balanced", "Premium"))</f>
        <v/>
      </c>
    </row>
    <row r="354">
      <c r="A354" s="14" t="n">
        <v>343</v>
      </c>
      <c r="B354" s="7" t="inlineStr">
        <is>
          <t>RedDoorz near Taman Krida Budaya Malang</t>
        </is>
      </c>
      <c r="C354" s="26" t="n">
        <v>-7.9447396</v>
      </c>
      <c r="D354" s="26" t="n">
        <v>112.6203666</v>
      </c>
      <c r="E354" s="21" t="n">
        <v>159287</v>
      </c>
      <c r="F354" s="27" t="n">
        <v>0</v>
      </c>
      <c r="G354" s="28" t="n">
        <v>0</v>
      </c>
      <c r="H354" s="14" t="inlineStr">
        <is>
          <t>N/A</t>
        </is>
      </c>
      <c r="I354" s="29">
        <f>6371 * 2 * ASIN(SQRT(SIN(RADIANS((C354) - INDEX('Dataset_Wisata'!$C$12:$C$622, MATCH('Dashboard'!$C$9, 'Dataset_Wisata'!$A$12:$A$622, 0)))/2)^2 + COS(RADIANS(INDEX('Dataset_Wisata'!$C$12:$C$622, MATCH('Dashboard'!$C$9, 'Dataset_Wisata'!$A$12:$A$622, 0)))) * COS(RADIANS(C354)) * SIN(RADIANS((D354) - INDEX('Dataset_Wisata'!$D$12:$D$622, MATCH('Dashboard'!$C$9, 'Dataset_Wisata'!$A$12:$A$622, 0)))/2)^2)) * 1.3</f>
        <v/>
      </c>
      <c r="J354" s="21">
        <f>ROUND(I354 * IF('Dashboard'!$C$6&lt;=1, 2250, IF('Dashboard'!$C$6&lt;=4, 5150, 6000)), 0)</f>
        <v/>
      </c>
      <c r="K354" s="30" t="n">
        <v>0.8438392704678735</v>
      </c>
      <c r="L354" s="30" t="n">
        <v>0.1398444160567726</v>
      </c>
      <c r="M354" s="30" t="n">
        <v>0.01631631347535382</v>
      </c>
      <c r="N354" s="31">
        <f>ABS(E354-$F$6)</f>
        <v/>
      </c>
      <c r="O354" s="31">
        <f>ABS(E354-$F$7)</f>
        <v/>
      </c>
      <c r="P354" s="31">
        <f>ABS(E354-$F$8)</f>
        <v/>
      </c>
      <c r="Q354" s="14">
        <f>IF(K354&gt;=MAX(L354,M354), "Hemat", IF(L354&gt;=M354, "Balanced", "Premium"))</f>
        <v/>
      </c>
      <c r="R354" s="30" t="n">
        <v>0.8438433303478181</v>
      </c>
      <c r="S354" s="30" t="n">
        <v>0.1398407131530086</v>
      </c>
      <c r="T354" s="30" t="n">
        <v>0.01631595649917304</v>
      </c>
      <c r="U354" s="31">
        <f>ABS(E354-$G$6)</f>
        <v/>
      </c>
      <c r="V354" s="31">
        <f>ABS(E354-$G$7)</f>
        <v/>
      </c>
      <c r="W354" s="31">
        <f>ABS(E354-$G$8)</f>
        <v/>
      </c>
      <c r="X354" s="14">
        <f>IF(R354&gt;=MAX(S354,T354), "Hemat", IF(S354&gt;=T354, "Balanced", "Premium"))</f>
        <v/>
      </c>
    </row>
    <row r="355">
      <c r="A355" s="14" t="n">
        <v>344</v>
      </c>
      <c r="B355" s="7" t="inlineStr">
        <is>
          <t>Liberta Hub Singosari Malang</t>
        </is>
      </c>
      <c r="C355" s="26" t="n">
        <v>-7.91108</v>
      </c>
      <c r="D355" s="26" t="n">
        <v>112.6358841</v>
      </c>
      <c r="E355" s="21" t="n">
        <v>190000</v>
      </c>
      <c r="F355" s="27" t="n">
        <v>0</v>
      </c>
      <c r="G355" s="28" t="n">
        <v>0</v>
      </c>
      <c r="H355" s="14" t="inlineStr">
        <is>
          <t>N/A</t>
        </is>
      </c>
      <c r="I355" s="29">
        <f>6371 * 2 * ASIN(SQRT(SIN(RADIANS((C355) - INDEX('Dataset_Wisata'!$C$12:$C$622, MATCH('Dashboard'!$C$9, 'Dataset_Wisata'!$A$12:$A$622, 0)))/2)^2 + COS(RADIANS(INDEX('Dataset_Wisata'!$C$12:$C$622, MATCH('Dashboard'!$C$9, 'Dataset_Wisata'!$A$12:$A$622, 0)))) * COS(RADIANS(C355)) * SIN(RADIANS((D355) - INDEX('Dataset_Wisata'!$D$12:$D$622, MATCH('Dashboard'!$C$9, 'Dataset_Wisata'!$A$12:$A$622, 0)))/2)^2)) * 1.3</f>
        <v/>
      </c>
      <c r="J355" s="21">
        <f>ROUND(I355 * IF('Dashboard'!$C$6&lt;=1, 2250, IF('Dashboard'!$C$6&lt;=4, 5150, 6000)), 0)</f>
        <v/>
      </c>
      <c r="K355" s="30" t="n">
        <v>0.4002063251583005</v>
      </c>
      <c r="L355" s="30" t="n">
        <v>0.564459249895505</v>
      </c>
      <c r="M355" s="30" t="n">
        <v>0.0353344249461946</v>
      </c>
      <c r="N355" s="31">
        <f>ABS(E355-$F$6)</f>
        <v/>
      </c>
      <c r="O355" s="31">
        <f>ABS(E355-$F$7)</f>
        <v/>
      </c>
      <c r="P355" s="31">
        <f>ABS(E355-$F$8)</f>
        <v/>
      </c>
      <c r="Q355" s="14">
        <f>IF(K355&gt;=MAX(L355,M355), "Hemat", IF(L355&gt;=M355, "Balanced", "Premium"))</f>
        <v/>
      </c>
      <c r="R355" s="30" t="n">
        <v>0.4002145551203617</v>
      </c>
      <c r="S355" s="30" t="n">
        <v>0.564451082065315</v>
      </c>
      <c r="T355" s="30" t="n">
        <v>0.03533436281432327</v>
      </c>
      <c r="U355" s="31">
        <f>ABS(E355-$G$6)</f>
        <v/>
      </c>
      <c r="V355" s="31">
        <f>ABS(E355-$G$7)</f>
        <v/>
      </c>
      <c r="W355" s="31">
        <f>ABS(E355-$G$8)</f>
        <v/>
      </c>
      <c r="X355" s="14">
        <f>IF(R355&gt;=MAX(S355,T355), "Hemat", IF(S355&gt;=T355, "Balanced", "Premium"))</f>
        <v/>
      </c>
    </row>
    <row r="356">
      <c r="A356" s="14" t="n">
        <v>345</v>
      </c>
      <c r="B356" s="7" t="inlineStr">
        <is>
          <t>Aventree Syariah Homestay</t>
        </is>
      </c>
      <c r="C356" s="26" t="n">
        <v>-7.9442169</v>
      </c>
      <c r="D356" s="26" t="n">
        <v>112.6200165</v>
      </c>
      <c r="E356" s="21" t="n">
        <v>247934</v>
      </c>
      <c r="F356" s="27" t="n">
        <v>0</v>
      </c>
      <c r="G356" s="28" t="n">
        <v>0</v>
      </c>
      <c r="H356" s="14" t="inlineStr">
        <is>
          <t>N/A</t>
        </is>
      </c>
      <c r="I356" s="29">
        <f>6371 * 2 * ASIN(SQRT(SIN(RADIANS((C356) - INDEX('Dataset_Wisata'!$C$12:$C$622, MATCH('Dashboard'!$C$9, 'Dataset_Wisata'!$A$12:$A$622, 0)))/2)^2 + COS(RADIANS(INDEX('Dataset_Wisata'!$C$12:$C$622, MATCH('Dashboard'!$C$9, 'Dataset_Wisata'!$A$12:$A$622, 0)))) * COS(RADIANS(C356)) * SIN(RADIANS((D356) - INDEX('Dataset_Wisata'!$D$12:$D$622, MATCH('Dashboard'!$C$9, 'Dataset_Wisata'!$A$12:$A$622, 0)))/2)^2)) * 1.3</f>
        <v/>
      </c>
      <c r="J356" s="21">
        <f>ROUND(I356 * IF('Dashboard'!$C$6&lt;=1, 2250, IF('Dashboard'!$C$6&lt;=4, 5150, 6000)), 0)</f>
        <v/>
      </c>
      <c r="K356" s="30" t="n">
        <v>0.0004299802415875779</v>
      </c>
      <c r="L356" s="30" t="n">
        <v>0.9993235279859201</v>
      </c>
      <c r="M356" s="30" t="n">
        <v>0.000246491772492404</v>
      </c>
      <c r="N356" s="31">
        <f>ABS(E356-$F$6)</f>
        <v/>
      </c>
      <c r="O356" s="31">
        <f>ABS(E356-$F$7)</f>
        <v/>
      </c>
      <c r="P356" s="31">
        <f>ABS(E356-$F$8)</f>
        <v/>
      </c>
      <c r="Q356" s="14">
        <f>IF(K356&gt;=MAX(L356,M356), "Hemat", IF(L356&gt;=M356, "Balanced", "Premium"))</f>
        <v/>
      </c>
      <c r="R356" s="30" t="n">
        <v>0.0004297228717472525</v>
      </c>
      <c r="S356" s="30" t="n">
        <v>0.9993239389059653</v>
      </c>
      <c r="T356" s="30" t="n">
        <v>0.000246338222287546</v>
      </c>
      <c r="U356" s="31">
        <f>ABS(E356-$G$6)</f>
        <v/>
      </c>
      <c r="V356" s="31">
        <f>ABS(E356-$G$7)</f>
        <v/>
      </c>
      <c r="W356" s="31">
        <f>ABS(E356-$G$8)</f>
        <v/>
      </c>
      <c r="X356" s="14">
        <f>IF(R356&gt;=MAX(S356,T356), "Hemat", IF(S356&gt;=T356, "Balanced", "Premium"))</f>
        <v/>
      </c>
    </row>
    <row r="357">
      <c r="A357" s="14" t="n">
        <v>346</v>
      </c>
      <c r="B357" s="7" t="inlineStr">
        <is>
          <t>DE LAIA INN MALANG</t>
        </is>
      </c>
      <c r="C357" s="26" t="n">
        <v>-7.9437376</v>
      </c>
      <c r="D357" s="26" t="n">
        <v>112.6181877</v>
      </c>
      <c r="E357" s="21" t="n">
        <v>238935</v>
      </c>
      <c r="F357" s="27" t="n">
        <v>0</v>
      </c>
      <c r="G357" s="28" t="n">
        <v>0</v>
      </c>
      <c r="H357" s="14" t="inlineStr">
        <is>
          <t>N/A</t>
        </is>
      </c>
      <c r="I357" s="29">
        <f>6371 * 2 * ASIN(SQRT(SIN(RADIANS((C357) - INDEX('Dataset_Wisata'!$C$12:$C$622, MATCH('Dashboard'!$C$9, 'Dataset_Wisata'!$A$12:$A$622, 0)))/2)^2 + COS(RADIANS(INDEX('Dataset_Wisata'!$C$12:$C$622, MATCH('Dashboard'!$C$9, 'Dataset_Wisata'!$A$12:$A$622, 0)))) * COS(RADIANS(C357)) * SIN(RADIANS((D357) - INDEX('Dataset_Wisata'!$D$12:$D$622, MATCH('Dashboard'!$C$9, 'Dataset_Wisata'!$A$12:$A$622, 0)))/2)^2)) * 1.3</f>
        <v/>
      </c>
      <c r="J357" s="21">
        <f>ROUND(I357 * IF('Dashboard'!$C$6&lt;=1, 2250, IF('Dashboard'!$C$6&lt;=4, 5150, 6000)), 0)</f>
        <v/>
      </c>
      <c r="K357" s="30" t="n">
        <v>0.003132144630706657</v>
      </c>
      <c r="L357" s="30" t="n">
        <v>0.9954810675627257</v>
      </c>
      <c r="M357" s="30" t="n">
        <v>0.001386787806567668</v>
      </c>
      <c r="N357" s="31">
        <f>ABS(E357-$F$6)</f>
        <v/>
      </c>
      <c r="O357" s="31">
        <f>ABS(E357-$F$7)</f>
        <v/>
      </c>
      <c r="P357" s="31">
        <f>ABS(E357-$F$8)</f>
        <v/>
      </c>
      <c r="Q357" s="14">
        <f>IF(K357&gt;=MAX(L357,M357), "Hemat", IF(L357&gt;=M357, "Balanced", "Premium"))</f>
        <v/>
      </c>
      <c r="R357" s="30" t="n">
        <v>0.003132907101050725</v>
      </c>
      <c r="S357" s="30" t="n">
        <v>0.9954800002576548</v>
      </c>
      <c r="T357" s="30" t="n">
        <v>0.001387092641294449</v>
      </c>
      <c r="U357" s="31">
        <f>ABS(E357-$G$6)</f>
        <v/>
      </c>
      <c r="V357" s="31">
        <f>ABS(E357-$G$7)</f>
        <v/>
      </c>
      <c r="W357" s="31">
        <f>ABS(E357-$G$8)</f>
        <v/>
      </c>
      <c r="X357" s="14">
        <f>IF(R357&gt;=MAX(S357,T357), "Hemat", IF(S357&gt;=T357, "Balanced", "Premium"))</f>
        <v/>
      </c>
    </row>
    <row r="358">
      <c r="A358" s="14" t="n">
        <v>347</v>
      </c>
      <c r="B358" s="7" t="inlineStr">
        <is>
          <t>Al Thalib 8 Syariah</t>
        </is>
      </c>
      <c r="C358" s="26" t="n">
        <v>-7.9506329</v>
      </c>
      <c r="D358" s="26" t="n">
        <v>112.6266714</v>
      </c>
      <c r="E358" s="21" t="n">
        <v>139897</v>
      </c>
      <c r="F358" s="27" t="n">
        <v>0</v>
      </c>
      <c r="G358" s="28" t="n">
        <v>0</v>
      </c>
      <c r="H358" s="14" t="inlineStr">
        <is>
          <t>N/A</t>
        </is>
      </c>
      <c r="I358" s="29">
        <f>6371 * 2 * ASIN(SQRT(SIN(RADIANS((C358) - INDEX('Dataset_Wisata'!$C$12:$C$622, MATCH('Dashboard'!$C$9, 'Dataset_Wisata'!$A$12:$A$622, 0)))/2)^2 + COS(RADIANS(INDEX('Dataset_Wisata'!$C$12:$C$622, MATCH('Dashboard'!$C$9, 'Dataset_Wisata'!$A$12:$A$622, 0)))) * COS(RADIANS(C358)) * SIN(RADIANS((D358) - INDEX('Dataset_Wisata'!$D$12:$D$622, MATCH('Dashboard'!$C$9, 'Dataset_Wisata'!$A$12:$A$622, 0)))/2)^2)) * 1.3</f>
        <v/>
      </c>
      <c r="J358" s="21">
        <f>ROUND(I358 * IF('Dashboard'!$C$6&lt;=1, 2250, IF('Dashboard'!$C$6&lt;=4, 5150, 6000)), 0)</f>
        <v/>
      </c>
      <c r="K358" s="30" t="n">
        <v>0.9752748577448507</v>
      </c>
      <c r="L358" s="30" t="n">
        <v>0.02148100836172022</v>
      </c>
      <c r="M358" s="30" t="n">
        <v>0.003244133893429105</v>
      </c>
      <c r="N358" s="31">
        <f>ABS(E358-$F$6)</f>
        <v/>
      </c>
      <c r="O358" s="31">
        <f>ABS(E358-$F$7)</f>
        <v/>
      </c>
      <c r="P358" s="31">
        <f>ABS(E358-$F$8)</f>
        <v/>
      </c>
      <c r="Q358" s="14">
        <f>IF(K358&gt;=MAX(L358,M358), "Hemat", IF(L358&gt;=M358, "Balanced", "Premium"))</f>
        <v/>
      </c>
      <c r="R358" s="30" t="n">
        <v>0.9752759234272289</v>
      </c>
      <c r="S358" s="30" t="n">
        <v>0.02148007615784732</v>
      </c>
      <c r="T358" s="30" t="n">
        <v>0.003244000414923753</v>
      </c>
      <c r="U358" s="31">
        <f>ABS(E358-$G$6)</f>
        <v/>
      </c>
      <c r="V358" s="31">
        <f>ABS(E358-$G$7)</f>
        <v/>
      </c>
      <c r="W358" s="31">
        <f>ABS(E358-$G$8)</f>
        <v/>
      </c>
      <c r="X358" s="14">
        <f>IF(R358&gt;=MAX(S358,T358), "Hemat", IF(S358&gt;=T358, "Balanced", "Premium"))</f>
        <v/>
      </c>
    </row>
    <row r="359">
      <c r="A359" s="14" t="n">
        <v>348</v>
      </c>
      <c r="B359" s="7" t="inlineStr">
        <is>
          <t>YUTAKA INN Araya Malang Nugraha</t>
        </is>
      </c>
      <c r="C359" s="26" t="n">
        <v>-7.9359533</v>
      </c>
      <c r="D359" s="26" t="n">
        <v>112.6495324</v>
      </c>
      <c r="E359" s="21" t="n">
        <v>170000</v>
      </c>
      <c r="F359" s="27" t="n">
        <v>0</v>
      </c>
      <c r="G359" s="28" t="n">
        <v>0</v>
      </c>
      <c r="H359" s="14" t="inlineStr">
        <is>
          <t>N/A</t>
        </is>
      </c>
      <c r="I359" s="29">
        <f>6371 * 2 * ASIN(SQRT(SIN(RADIANS((C359) - INDEX('Dataset_Wisata'!$C$12:$C$622, MATCH('Dashboard'!$C$9, 'Dataset_Wisata'!$A$12:$A$622, 0)))/2)^2 + COS(RADIANS(INDEX('Dataset_Wisata'!$C$12:$C$622, MATCH('Dashboard'!$C$9, 'Dataset_Wisata'!$A$12:$A$622, 0)))) * COS(RADIANS(C359)) * SIN(RADIANS((D359) - INDEX('Dataset_Wisata'!$D$12:$D$622, MATCH('Dashboard'!$C$9, 'Dataset_Wisata'!$A$12:$A$622, 0)))/2)^2)) * 1.3</f>
        <v/>
      </c>
      <c r="J359" s="21">
        <f>ROUND(I359 * IF('Dashboard'!$C$6&lt;=1, 2250, IF('Dashboard'!$C$6&lt;=4, 5150, 6000)), 0)</f>
        <v/>
      </c>
      <c r="K359" s="30" t="n">
        <v>0.7119837183050363</v>
      </c>
      <c r="L359" s="30" t="n">
        <v>0.2624152611455975</v>
      </c>
      <c r="M359" s="30" t="n">
        <v>0.02560102054936619</v>
      </c>
      <c r="N359" s="31">
        <f>ABS(E359-$F$6)</f>
        <v/>
      </c>
      <c r="O359" s="31">
        <f>ABS(E359-$F$7)</f>
        <v/>
      </c>
      <c r="P359" s="31">
        <f>ABS(E359-$F$8)</f>
        <v/>
      </c>
      <c r="Q359" s="14">
        <f>IF(K359&gt;=MAX(L359,M359), "Hemat", IF(L359&gt;=M359, "Balanced", "Premium"))</f>
        <v/>
      </c>
      <c r="R359" s="30" t="n">
        <v>0.7119898992332693</v>
      </c>
      <c r="S359" s="30" t="n">
        <v>0.2624094765922805</v>
      </c>
      <c r="T359" s="30" t="n">
        <v>0.02560062417445023</v>
      </c>
      <c r="U359" s="31">
        <f>ABS(E359-$G$6)</f>
        <v/>
      </c>
      <c r="V359" s="31">
        <f>ABS(E359-$G$7)</f>
        <v/>
      </c>
      <c r="W359" s="31">
        <f>ABS(E359-$G$8)</f>
        <v/>
      </c>
      <c r="X359" s="14">
        <f>IF(R359&gt;=MAX(S359,T359), "Hemat", IF(S359&gt;=T359, "Balanced", "Premium"))</f>
        <v/>
      </c>
    </row>
    <row r="360">
      <c r="A360" s="14" t="n">
        <v>349</v>
      </c>
      <c r="B360" s="7" t="inlineStr">
        <is>
          <t>Grand Kadaka Syariah</t>
        </is>
      </c>
      <c r="C360" s="26" t="n">
        <v>-7.9456395</v>
      </c>
      <c r="D360" s="26" t="n">
        <v>112.6197856</v>
      </c>
      <c r="E360" s="21" t="n">
        <v>132678</v>
      </c>
      <c r="F360" s="27" t="n">
        <v>0</v>
      </c>
      <c r="G360" s="28" t="n">
        <v>0</v>
      </c>
      <c r="H360" s="14" t="inlineStr">
        <is>
          <t>N/A</t>
        </is>
      </c>
      <c r="I360" s="29">
        <f>6371 * 2 * ASIN(SQRT(SIN(RADIANS((C360) - INDEX('Dataset_Wisata'!$C$12:$C$622, MATCH('Dashboard'!$C$9, 'Dataset_Wisata'!$A$12:$A$622, 0)))/2)^2 + COS(RADIANS(INDEX('Dataset_Wisata'!$C$12:$C$622, MATCH('Dashboard'!$C$9, 'Dataset_Wisata'!$A$12:$A$622, 0)))) * COS(RADIANS(C360)) * SIN(RADIANS((D360) - INDEX('Dataset_Wisata'!$D$12:$D$622, MATCH('Dashboard'!$C$9, 'Dataset_Wisata'!$A$12:$A$622, 0)))/2)^2)) * 1.3</f>
        <v/>
      </c>
      <c r="J360" s="21">
        <f>ROUND(I360 * IF('Dashboard'!$C$6&lt;=1, 2250, IF('Dashboard'!$C$6&lt;=4, 5150, 6000)), 0)</f>
        <v/>
      </c>
      <c r="K360" s="30" t="n">
        <v>0.9935245004360046</v>
      </c>
      <c r="L360" s="30" t="n">
        <v>0.005565121865882379</v>
      </c>
      <c r="M360" s="30" t="n">
        <v>0.0009103776981129346</v>
      </c>
      <c r="N360" s="31">
        <f>ABS(E360-$F$6)</f>
        <v/>
      </c>
      <c r="O360" s="31">
        <f>ABS(E360-$F$7)</f>
        <v/>
      </c>
      <c r="P360" s="31">
        <f>ABS(E360-$F$8)</f>
        <v/>
      </c>
      <c r="Q360" s="14">
        <f>IF(K360&gt;=MAX(L360,M360), "Hemat", IF(L360&gt;=M360, "Balanced", "Premium"))</f>
        <v/>
      </c>
      <c r="R360" s="30" t="n">
        <v>0.9935249433749329</v>
      </c>
      <c r="S360" s="30" t="n">
        <v>0.005564739920244031</v>
      </c>
      <c r="T360" s="30" t="n">
        <v>0.0009103167048230197</v>
      </c>
      <c r="U360" s="31">
        <f>ABS(E360-$G$6)</f>
        <v/>
      </c>
      <c r="V360" s="31">
        <f>ABS(E360-$G$7)</f>
        <v/>
      </c>
      <c r="W360" s="31">
        <f>ABS(E360-$G$8)</f>
        <v/>
      </c>
      <c r="X360" s="14">
        <f>IF(R360&gt;=MAX(S360,T360), "Hemat", IF(S360&gt;=T360, "Balanced", "Premium"))</f>
        <v/>
      </c>
    </row>
    <row r="361">
      <c r="A361" s="14" t="n">
        <v>350</v>
      </c>
      <c r="B361" s="7" t="inlineStr">
        <is>
          <t>RedDoorz Plus @ Riverside Malang</t>
        </is>
      </c>
      <c r="C361" s="26" t="n">
        <v>-7.9212752</v>
      </c>
      <c r="D361" s="26" t="n">
        <v>112.6432118</v>
      </c>
      <c r="E361" s="21" t="n">
        <v>189000</v>
      </c>
      <c r="F361" s="27" t="n">
        <v>0</v>
      </c>
      <c r="G361" s="28" t="n">
        <v>0</v>
      </c>
      <c r="H361" s="14" t="inlineStr">
        <is>
          <t>N/A</t>
        </is>
      </c>
      <c r="I361" s="29">
        <f>6371 * 2 * ASIN(SQRT(SIN(RADIANS((C361) - INDEX('Dataset_Wisata'!$C$12:$C$622, MATCH('Dashboard'!$C$9, 'Dataset_Wisata'!$A$12:$A$622, 0)))/2)^2 + COS(RADIANS(INDEX('Dataset_Wisata'!$C$12:$C$622, MATCH('Dashboard'!$C$9, 'Dataset_Wisata'!$A$12:$A$622, 0)))) * COS(RADIANS(C361)) * SIN(RADIANS((D361) - INDEX('Dataset_Wisata'!$D$12:$D$622, MATCH('Dashboard'!$C$9, 'Dataset_Wisata'!$A$12:$A$622, 0)))/2)^2)) * 1.3</f>
        <v/>
      </c>
      <c r="J361" s="21">
        <f>ROUND(I361 * IF('Dashboard'!$C$6&lt;=1, 2250, IF('Dashboard'!$C$6&lt;=4, 5150, 6000)), 0)</f>
        <v/>
      </c>
      <c r="K361" s="30" t="n">
        <v>0.4158690510210217</v>
      </c>
      <c r="L361" s="30" t="n">
        <v>0.5488415862325811</v>
      </c>
      <c r="M361" s="30" t="n">
        <v>0.03528936274639715</v>
      </c>
      <c r="N361" s="31">
        <f>ABS(E361-$F$6)</f>
        <v/>
      </c>
      <c r="O361" s="31">
        <f>ABS(E361-$F$7)</f>
        <v/>
      </c>
      <c r="P361" s="31">
        <f>ABS(E361-$F$8)</f>
        <v/>
      </c>
      <c r="Q361" s="14">
        <f>IF(K361&gt;=MAX(L361,M361), "Hemat", IF(L361&gt;=M361, "Balanced", "Premium"))</f>
        <v/>
      </c>
      <c r="R361" s="30" t="n">
        <v>0.4158772876248992</v>
      </c>
      <c r="S361" s="30" t="n">
        <v>0.5488334399015544</v>
      </c>
      <c r="T361" s="30" t="n">
        <v>0.03528927247354632</v>
      </c>
      <c r="U361" s="31">
        <f>ABS(E361-$G$6)</f>
        <v/>
      </c>
      <c r="V361" s="31">
        <f>ABS(E361-$G$7)</f>
        <v/>
      </c>
      <c r="W361" s="31">
        <f>ABS(E361-$G$8)</f>
        <v/>
      </c>
      <c r="X361" s="14">
        <f>IF(R361&gt;=MAX(S361,T361), "Hemat", IF(S361&gt;=T361, "Balanced", "Premium"))</f>
        <v/>
      </c>
    </row>
    <row r="362">
      <c r="A362" s="14" t="n">
        <v>351</v>
      </c>
      <c r="B362" s="7" t="inlineStr">
        <is>
          <t>D'Fresh Guest House and Resto</t>
        </is>
      </c>
      <c r="C362" s="26" t="n">
        <v>-7.9396721</v>
      </c>
      <c r="D362" s="26" t="n">
        <v>112.633534</v>
      </c>
      <c r="E362" s="21" t="n">
        <v>327600</v>
      </c>
      <c r="F362" s="27" t="n">
        <v>0</v>
      </c>
      <c r="G362" s="28" t="n">
        <v>0</v>
      </c>
      <c r="H362" s="14" t="inlineStr">
        <is>
          <t>N/A</t>
        </is>
      </c>
      <c r="I362" s="29">
        <f>6371 * 2 * ASIN(SQRT(SIN(RADIANS((C362) - INDEX('Dataset_Wisata'!$C$12:$C$622, MATCH('Dashboard'!$C$9, 'Dataset_Wisata'!$A$12:$A$622, 0)))/2)^2 + COS(RADIANS(INDEX('Dataset_Wisata'!$C$12:$C$622, MATCH('Dashboard'!$C$9, 'Dataset_Wisata'!$A$12:$A$622, 0)))) * COS(RADIANS(C362)) * SIN(RADIANS((D362) - INDEX('Dataset_Wisata'!$D$12:$D$622, MATCH('Dashboard'!$C$9, 'Dataset_Wisata'!$A$12:$A$622, 0)))/2)^2)) * 1.3</f>
        <v/>
      </c>
      <c r="J362" s="21">
        <f>ROUND(I362 * IF('Dashboard'!$C$6&lt;=1, 2250, IF('Dashboard'!$C$6&lt;=4, 5150, 6000)), 0)</f>
        <v/>
      </c>
      <c r="K362" s="30" t="n">
        <v>0.07681299536831114</v>
      </c>
      <c r="L362" s="30" t="n">
        <v>0.4697537207048858</v>
      </c>
      <c r="M362" s="30" t="n">
        <v>0.4534332839268032</v>
      </c>
      <c r="N362" s="31">
        <f>ABS(E362-$F$6)</f>
        <v/>
      </c>
      <c r="O362" s="31">
        <f>ABS(E362-$F$7)</f>
        <v/>
      </c>
      <c r="P362" s="31">
        <f>ABS(E362-$F$8)</f>
        <v/>
      </c>
      <c r="Q362" s="14">
        <f>IF(K362&gt;=MAX(L362,M362), "Hemat", IF(L362&gt;=M362, "Balanced", "Premium"))</f>
        <v/>
      </c>
      <c r="R362" s="30" t="n">
        <v>0.07681388127859816</v>
      </c>
      <c r="S362" s="30" t="n">
        <v>0.4697668958788186</v>
      </c>
      <c r="T362" s="30" t="n">
        <v>0.4534192228425833</v>
      </c>
      <c r="U362" s="31">
        <f>ABS(E362-$G$6)</f>
        <v/>
      </c>
      <c r="V362" s="31">
        <f>ABS(E362-$G$7)</f>
        <v/>
      </c>
      <c r="W362" s="31">
        <f>ABS(E362-$G$8)</f>
        <v/>
      </c>
      <c r="X362" s="14">
        <f>IF(R362&gt;=MAX(S362,T362), "Hemat", IF(S362&gt;=T362, "Balanced", "Premium"))</f>
        <v/>
      </c>
    </row>
    <row r="363">
      <c r="A363" s="14" t="n">
        <v>352</v>
      </c>
      <c r="B363" s="7" t="inlineStr">
        <is>
          <t>Griya Harmoni Syariah</t>
        </is>
      </c>
      <c r="C363" s="26" t="n">
        <v>-7.8923725</v>
      </c>
      <c r="D363" s="26" t="n">
        <v>112.5821299</v>
      </c>
      <c r="E363" s="21" t="n">
        <v>70000</v>
      </c>
      <c r="F363" s="27" t="n">
        <v>0</v>
      </c>
      <c r="G363" s="28" t="n">
        <v>0</v>
      </c>
      <c r="H363" s="14" t="inlineStr">
        <is>
          <t>N/A</t>
        </is>
      </c>
      <c r="I363" s="29">
        <f>6371 * 2 * ASIN(SQRT(SIN(RADIANS((C363) - INDEX('Dataset_Wisata'!$C$12:$C$622, MATCH('Dashboard'!$C$9, 'Dataset_Wisata'!$A$12:$A$622, 0)))/2)^2 + COS(RADIANS(INDEX('Dataset_Wisata'!$C$12:$C$622, MATCH('Dashboard'!$C$9, 'Dataset_Wisata'!$A$12:$A$622, 0)))) * COS(RADIANS(C363)) * SIN(RADIANS((D363) - INDEX('Dataset_Wisata'!$D$12:$D$622, MATCH('Dashboard'!$C$9, 'Dataset_Wisata'!$A$12:$A$622, 0)))/2)^2)) * 1.3</f>
        <v/>
      </c>
      <c r="J363" s="21">
        <f>ROUND(I363 * IF('Dashboard'!$C$6&lt;=1, 2250, IF('Dashboard'!$C$6&lt;=4, 5150, 6000)), 0)</f>
        <v/>
      </c>
      <c r="K363" s="30" t="n">
        <v>0.8921119122661371</v>
      </c>
      <c r="L363" s="30" t="n">
        <v>0.08535328907191304</v>
      </c>
      <c r="M363" s="30" t="n">
        <v>0.02253479866194994</v>
      </c>
      <c r="N363" s="31">
        <f>ABS(E363-$F$6)</f>
        <v/>
      </c>
      <c r="O363" s="31">
        <f>ABS(E363-$F$7)</f>
        <v/>
      </c>
      <c r="P363" s="31">
        <f>ABS(E363-$F$8)</f>
        <v/>
      </c>
      <c r="Q363" s="14">
        <f>IF(K363&gt;=MAX(L363,M363), "Hemat", IF(L363&gt;=M363, "Balanced", "Premium"))</f>
        <v/>
      </c>
      <c r="R363" s="30" t="n">
        <v>0.8921119538939932</v>
      </c>
      <c r="S363" s="30" t="n">
        <v>0.08535327487051378</v>
      </c>
      <c r="T363" s="30" t="n">
        <v>0.02253477123549305</v>
      </c>
      <c r="U363" s="31">
        <f>ABS(E363-$G$6)</f>
        <v/>
      </c>
      <c r="V363" s="31">
        <f>ABS(E363-$G$7)</f>
        <v/>
      </c>
      <c r="W363" s="31">
        <f>ABS(E363-$G$8)</f>
        <v/>
      </c>
      <c r="X363" s="14">
        <f>IF(R363&gt;=MAX(S363,T363), "Hemat", IF(S363&gt;=T363, "Balanced", "Premium"))</f>
        <v/>
      </c>
    </row>
    <row r="364">
      <c r="A364" s="14" t="n">
        <v>353</v>
      </c>
      <c r="B364" s="7" t="inlineStr">
        <is>
          <t>Homestay K10 Malang</t>
        </is>
      </c>
      <c r="C364" s="26" t="n">
        <v>-7.9451403</v>
      </c>
      <c r="D364" s="26" t="n">
        <v>112.6210608</v>
      </c>
      <c r="E364" s="21" t="n">
        <v>85000</v>
      </c>
      <c r="F364" s="27" t="n">
        <v>0</v>
      </c>
      <c r="G364" s="28" t="n">
        <v>0</v>
      </c>
      <c r="H364" s="14" t="inlineStr">
        <is>
          <t>N/A</t>
        </is>
      </c>
      <c r="I364" s="29">
        <f>6371 * 2 * ASIN(SQRT(SIN(RADIANS((C364) - INDEX('Dataset_Wisata'!$C$12:$C$622, MATCH('Dashboard'!$C$9, 'Dataset_Wisata'!$A$12:$A$622, 0)))/2)^2 + COS(RADIANS(INDEX('Dataset_Wisata'!$C$12:$C$622, MATCH('Dashboard'!$C$9, 'Dataset_Wisata'!$A$12:$A$622, 0)))) * COS(RADIANS(C364)) * SIN(RADIANS((D364) - INDEX('Dataset_Wisata'!$D$12:$D$622, MATCH('Dashboard'!$C$9, 'Dataset_Wisata'!$A$12:$A$622, 0)))/2)^2)) * 1.3</f>
        <v/>
      </c>
      <c r="J364" s="21">
        <f>ROUND(I364 * IF('Dashboard'!$C$6&lt;=1, 2250, IF('Dashboard'!$C$6&lt;=4, 5150, 6000)), 0)</f>
        <v/>
      </c>
      <c r="K364" s="30" t="n">
        <v>0.9307965111363624</v>
      </c>
      <c r="L364" s="30" t="n">
        <v>0.05573959446036283</v>
      </c>
      <c r="M364" s="30" t="n">
        <v>0.01346389440327482</v>
      </c>
      <c r="N364" s="31">
        <f>ABS(E364-$F$6)</f>
        <v/>
      </c>
      <c r="O364" s="31">
        <f>ABS(E364-$F$7)</f>
        <v/>
      </c>
      <c r="P364" s="31">
        <f>ABS(E364-$F$8)</f>
        <v/>
      </c>
      <c r="Q364" s="14">
        <f>IF(K364&gt;=MAX(L364,M364), "Hemat", IF(L364&gt;=M364, "Balanced", "Premium"))</f>
        <v/>
      </c>
      <c r="R364" s="30" t="n">
        <v>0.9307963746120681</v>
      </c>
      <c r="S364" s="30" t="n">
        <v>0.05573971179179612</v>
      </c>
      <c r="T364" s="30" t="n">
        <v>0.01346391359613581</v>
      </c>
      <c r="U364" s="31">
        <f>ABS(E364-$G$6)</f>
        <v/>
      </c>
      <c r="V364" s="31">
        <f>ABS(E364-$G$7)</f>
        <v/>
      </c>
      <c r="W364" s="31">
        <f>ABS(E364-$G$8)</f>
        <v/>
      </c>
      <c r="X364" s="14">
        <f>IF(R364&gt;=MAX(S364,T364), "Hemat", IF(S364&gt;=T364, "Balanced", "Premium"))</f>
        <v/>
      </c>
    </row>
    <row r="365">
      <c r="A365" s="14" t="n">
        <v>354</v>
      </c>
      <c r="B365" s="7" t="inlineStr">
        <is>
          <t>D' soetta guest house</t>
        </is>
      </c>
      <c r="C365" s="26" t="n">
        <v>-7.9392584</v>
      </c>
      <c r="D365" s="26" t="n">
        <v>112.625338</v>
      </c>
      <c r="E365" s="21" t="n">
        <v>150000</v>
      </c>
      <c r="F365" s="27" t="n">
        <v>0</v>
      </c>
      <c r="G365" s="28" t="n">
        <v>0</v>
      </c>
      <c r="H365" s="14" t="inlineStr">
        <is>
          <t>N/A</t>
        </is>
      </c>
      <c r="I365" s="29">
        <f>6371 * 2 * ASIN(SQRT(SIN(RADIANS((C365) - INDEX('Dataset_Wisata'!$C$12:$C$622, MATCH('Dashboard'!$C$9, 'Dataset_Wisata'!$A$12:$A$622, 0)))/2)^2 + COS(RADIANS(INDEX('Dataset_Wisata'!$C$12:$C$622, MATCH('Dashboard'!$C$9, 'Dataset_Wisata'!$A$12:$A$622, 0)))) * COS(RADIANS(C365)) * SIN(RADIANS((D365) - INDEX('Dataset_Wisata'!$D$12:$D$622, MATCH('Dashboard'!$C$9, 'Dataset_Wisata'!$A$12:$A$622, 0)))/2)^2)) * 1.3</f>
        <v/>
      </c>
      <c r="J365" s="21">
        <f>ROUND(I365 * IF('Dashboard'!$C$6&lt;=1, 2250, IF('Dashboard'!$C$6&lt;=4, 5150, 6000)), 0)</f>
        <v/>
      </c>
      <c r="K365" s="30" t="n">
        <v>0.9236568385235482</v>
      </c>
      <c r="L365" s="30" t="n">
        <v>0.06736899151285153</v>
      </c>
      <c r="M365" s="30" t="n">
        <v>0.008974169963600275</v>
      </c>
      <c r="N365" s="31">
        <f>ABS(E365-$F$6)</f>
        <v/>
      </c>
      <c r="O365" s="31">
        <f>ABS(E365-$F$7)</f>
        <v/>
      </c>
      <c r="P365" s="31">
        <f>ABS(E365-$F$8)</f>
        <v/>
      </c>
      <c r="Q365" s="14">
        <f>IF(K365&gt;=MAX(L365,M365), "Hemat", IF(L365&gt;=M365, "Balanced", "Premium"))</f>
        <v/>
      </c>
      <c r="R365" s="30" t="n">
        <v>0.9236592327110943</v>
      </c>
      <c r="S365" s="30" t="n">
        <v>0.0673668524262508</v>
      </c>
      <c r="T365" s="30" t="n">
        <v>0.008973914862654904</v>
      </c>
      <c r="U365" s="31">
        <f>ABS(E365-$G$6)</f>
        <v/>
      </c>
      <c r="V365" s="31">
        <f>ABS(E365-$G$7)</f>
        <v/>
      </c>
      <c r="W365" s="31">
        <f>ABS(E365-$G$8)</f>
        <v/>
      </c>
      <c r="X365" s="14">
        <f>IF(R365&gt;=MAX(S365,T365), "Hemat", IF(S365&gt;=T365, "Balanced", "Premium"))</f>
        <v/>
      </c>
    </row>
    <row r="366">
      <c r="A366" s="14" t="n">
        <v>355</v>
      </c>
      <c r="B366" s="7" t="inlineStr">
        <is>
          <t>Everyday Smart Hotel Malang</t>
        </is>
      </c>
      <c r="C366" s="26" t="n">
        <v>-7.9492297</v>
      </c>
      <c r="D366" s="26" t="n">
        <v>112.6165786</v>
      </c>
      <c r="E366" s="21" t="n">
        <v>309517</v>
      </c>
      <c r="F366" s="27" t="n">
        <v>0</v>
      </c>
      <c r="G366" s="28" t="n">
        <v>0</v>
      </c>
      <c r="H366" s="14" t="inlineStr">
        <is>
          <t>N/A</t>
        </is>
      </c>
      <c r="I366" s="29">
        <f>6371 * 2 * ASIN(SQRT(SIN(RADIANS((C366) - INDEX('Dataset_Wisata'!$C$12:$C$622, MATCH('Dashboard'!$C$9, 'Dataset_Wisata'!$A$12:$A$622, 0)))/2)^2 + COS(RADIANS(INDEX('Dataset_Wisata'!$C$12:$C$622, MATCH('Dashboard'!$C$9, 'Dataset_Wisata'!$A$12:$A$622, 0)))) * COS(RADIANS(C366)) * SIN(RADIANS((D366) - INDEX('Dataset_Wisata'!$D$12:$D$622, MATCH('Dashboard'!$C$9, 'Dataset_Wisata'!$A$12:$A$622, 0)))/2)^2)) * 1.3</f>
        <v/>
      </c>
      <c r="J366" s="21">
        <f>ROUND(I366 * IF('Dashboard'!$C$6&lt;=1, 2250, IF('Dashboard'!$C$6&lt;=4, 5150, 6000)), 0)</f>
        <v/>
      </c>
      <c r="K366" s="30" t="n">
        <v>0.07901962768355021</v>
      </c>
      <c r="L366" s="30" t="n">
        <v>0.6591490329555318</v>
      </c>
      <c r="M366" s="30" t="n">
        <v>0.261831339360918</v>
      </c>
      <c r="N366" s="31">
        <f>ABS(E366-$F$6)</f>
        <v/>
      </c>
      <c r="O366" s="31">
        <f>ABS(E366-$F$7)</f>
        <v/>
      </c>
      <c r="P366" s="31">
        <f>ABS(E366-$F$8)</f>
        <v/>
      </c>
      <c r="Q366" s="14">
        <f>IF(K366&gt;=MAX(L366,M366), "Hemat", IF(L366&gt;=M366, "Balanced", "Premium"))</f>
        <v/>
      </c>
      <c r="R366" s="30" t="n">
        <v>0.07901923997477796</v>
      </c>
      <c r="S366" s="30" t="n">
        <v>0.6591600308879545</v>
      </c>
      <c r="T366" s="30" t="n">
        <v>0.2618207291372675</v>
      </c>
      <c r="U366" s="31">
        <f>ABS(E366-$G$6)</f>
        <v/>
      </c>
      <c r="V366" s="31">
        <f>ABS(E366-$G$7)</f>
        <v/>
      </c>
      <c r="W366" s="31">
        <f>ABS(E366-$G$8)</f>
        <v/>
      </c>
      <c r="X366" s="14">
        <f>IF(R366&gt;=MAX(S366,T366), "Hemat", IF(S366&gt;=T366, "Balanced", "Premium"))</f>
        <v/>
      </c>
    </row>
    <row r="367">
      <c r="A367" s="14" t="n">
        <v>356</v>
      </c>
      <c r="B367" s="7" t="inlineStr">
        <is>
          <t>RedDoorz @ Karangploso 2</t>
        </is>
      </c>
      <c r="C367" s="26" t="n">
        <v>-7.8720035</v>
      </c>
      <c r="D367" s="26" t="n">
        <v>112.5779994</v>
      </c>
      <c r="E367" s="21" t="n">
        <v>147533</v>
      </c>
      <c r="F367" s="27" t="n">
        <v>0</v>
      </c>
      <c r="G367" s="28" t="n">
        <v>0</v>
      </c>
      <c r="H367" s="14" t="inlineStr">
        <is>
          <t>N/A</t>
        </is>
      </c>
      <c r="I367" s="29">
        <f>6371 * 2 * ASIN(SQRT(SIN(RADIANS((C367) - INDEX('Dataset_Wisata'!$C$12:$C$622, MATCH('Dashboard'!$C$9, 'Dataset_Wisata'!$A$12:$A$622, 0)))/2)^2 + COS(RADIANS(INDEX('Dataset_Wisata'!$C$12:$C$622, MATCH('Dashboard'!$C$9, 'Dataset_Wisata'!$A$12:$A$622, 0)))) * COS(RADIANS(C367)) * SIN(RADIANS((D367) - INDEX('Dataset_Wisata'!$D$12:$D$622, MATCH('Dashboard'!$C$9, 'Dataset_Wisata'!$A$12:$A$622, 0)))/2)^2)) * 1.3</f>
        <v/>
      </c>
      <c r="J367" s="21">
        <f>ROUND(I367 * IF('Dashboard'!$C$6&lt;=1, 2250, IF('Dashboard'!$C$6&lt;=4, 5150, 6000)), 0)</f>
        <v/>
      </c>
      <c r="K367" s="30" t="n">
        <v>0.9394430983601565</v>
      </c>
      <c r="L367" s="30" t="n">
        <v>0.05323309463551585</v>
      </c>
      <c r="M367" s="30" t="n">
        <v>0.007323807004327787</v>
      </c>
      <c r="N367" s="31">
        <f>ABS(E367-$F$6)</f>
        <v/>
      </c>
      <c r="O367" s="31">
        <f>ABS(E367-$F$7)</f>
        <v/>
      </c>
      <c r="P367" s="31">
        <f>ABS(E367-$F$8)</f>
        <v/>
      </c>
      <c r="Q367" s="14">
        <f>IF(K367&gt;=MAX(L367,M367), "Hemat", IF(L367&gt;=M367, "Balanced", "Premium"))</f>
        <v/>
      </c>
      <c r="R367" s="30" t="n">
        <v>0.9394451172440168</v>
      </c>
      <c r="S367" s="30" t="n">
        <v>0.0532313003630088</v>
      </c>
      <c r="T367" s="30" t="n">
        <v>0.00732358239297459</v>
      </c>
      <c r="U367" s="31">
        <f>ABS(E367-$G$6)</f>
        <v/>
      </c>
      <c r="V367" s="31">
        <f>ABS(E367-$G$7)</f>
        <v/>
      </c>
      <c r="W367" s="31">
        <f>ABS(E367-$G$8)</f>
        <v/>
      </c>
      <c r="X367" s="14">
        <f>IF(R367&gt;=MAX(S367,T367), "Hemat", IF(S367&gt;=T367, "Balanced", "Premium"))</f>
        <v/>
      </c>
    </row>
    <row r="368">
      <c r="A368" s="14" t="n">
        <v>357</v>
      </c>
      <c r="B368" s="7" t="inlineStr">
        <is>
          <t>Gatsu Resort RedPartner @ Karangploso</t>
        </is>
      </c>
      <c r="C368" s="26" t="n">
        <v>-7.8988904</v>
      </c>
      <c r="D368" s="26" t="n">
        <v>112.5873998</v>
      </c>
      <c r="E368" s="21" t="n">
        <v>406787</v>
      </c>
      <c r="F368" s="27" t="n">
        <v>0</v>
      </c>
      <c r="G368" s="28" t="n">
        <v>0</v>
      </c>
      <c r="H368" s="14" t="inlineStr">
        <is>
          <t>N/A</t>
        </is>
      </c>
      <c r="I368" s="29">
        <f>6371 * 2 * ASIN(SQRT(SIN(RADIANS((C368) - INDEX('Dataset_Wisata'!$C$12:$C$622, MATCH('Dashboard'!$C$9, 'Dataset_Wisata'!$A$12:$A$622, 0)))/2)^2 + COS(RADIANS(INDEX('Dataset_Wisata'!$C$12:$C$622, MATCH('Dashboard'!$C$9, 'Dataset_Wisata'!$A$12:$A$622, 0)))) * COS(RADIANS(C368)) * SIN(RADIANS((D368) - INDEX('Dataset_Wisata'!$D$12:$D$622, MATCH('Dashboard'!$C$9, 'Dataset_Wisata'!$A$12:$A$622, 0)))/2)^2)) * 1.3</f>
        <v/>
      </c>
      <c r="J368" s="21">
        <f>ROUND(I368 * IF('Dashboard'!$C$6&lt;=1, 2250, IF('Dashboard'!$C$6&lt;=4, 5150, 6000)), 0)</f>
        <v/>
      </c>
      <c r="K368" s="30" t="n">
        <v>0.0002546967261338064</v>
      </c>
      <c r="L368" s="30" t="n">
        <v>0.0007803417367158243</v>
      </c>
      <c r="M368" s="30" t="n">
        <v>0.9989649615371503</v>
      </c>
      <c r="N368" s="31">
        <f>ABS(E368-$F$6)</f>
        <v/>
      </c>
      <c r="O368" s="31">
        <f>ABS(E368-$F$7)</f>
        <v/>
      </c>
      <c r="P368" s="31">
        <f>ABS(E368-$F$8)</f>
        <v/>
      </c>
      <c r="Q368" s="14">
        <f>IF(K368&gt;=MAX(L368,M368), "Hemat", IF(L368&gt;=M368, "Balanced", "Premium"))</f>
        <v/>
      </c>
      <c r="R368" s="30" t="n">
        <v>0.0002548871665223092</v>
      </c>
      <c r="S368" s="30" t="n">
        <v>0.0007809314018256141</v>
      </c>
      <c r="T368" s="30" t="n">
        <v>0.998964181431652</v>
      </c>
      <c r="U368" s="31">
        <f>ABS(E368-$G$6)</f>
        <v/>
      </c>
      <c r="V368" s="31">
        <f>ABS(E368-$G$7)</f>
        <v/>
      </c>
      <c r="W368" s="31">
        <f>ABS(E368-$G$8)</f>
        <v/>
      </c>
      <c r="X368" s="14">
        <f>IF(R368&gt;=MAX(S368,T368), "Hemat", IF(S368&gt;=T368, "Balanced", "Premium"))</f>
        <v/>
      </c>
    </row>
    <row r="369">
      <c r="A369" s="14" t="n">
        <v>358</v>
      </c>
      <c r="B369" s="7" t="inlineStr">
        <is>
          <t>De Sapphire Hasanah Guesthouse</t>
        </is>
      </c>
      <c r="C369" s="26" t="n">
        <v>-7.9262625</v>
      </c>
      <c r="D369" s="26" t="n">
        <v>112.6251431</v>
      </c>
      <c r="E369" s="21" t="n">
        <v>150000</v>
      </c>
      <c r="F369" s="27" t="n">
        <v>0</v>
      </c>
      <c r="G369" s="28" t="n">
        <v>0</v>
      </c>
      <c r="H369" s="14" t="inlineStr">
        <is>
          <t>N/A</t>
        </is>
      </c>
      <c r="I369" s="29">
        <f>6371 * 2 * ASIN(SQRT(SIN(RADIANS((C369) - INDEX('Dataset_Wisata'!$C$12:$C$622, MATCH('Dashboard'!$C$9, 'Dataset_Wisata'!$A$12:$A$622, 0)))/2)^2 + COS(RADIANS(INDEX('Dataset_Wisata'!$C$12:$C$622, MATCH('Dashboard'!$C$9, 'Dataset_Wisata'!$A$12:$A$622, 0)))) * COS(RADIANS(C369)) * SIN(RADIANS((D369) - INDEX('Dataset_Wisata'!$D$12:$D$622, MATCH('Dashboard'!$C$9, 'Dataset_Wisata'!$A$12:$A$622, 0)))/2)^2)) * 1.3</f>
        <v/>
      </c>
      <c r="J369" s="21">
        <f>ROUND(I369 * IF('Dashboard'!$C$6&lt;=1, 2250, IF('Dashboard'!$C$6&lt;=4, 5150, 6000)), 0)</f>
        <v/>
      </c>
      <c r="K369" s="30" t="n">
        <v>0.9236568385235482</v>
      </c>
      <c r="L369" s="30" t="n">
        <v>0.06736899151285153</v>
      </c>
      <c r="M369" s="30" t="n">
        <v>0.008974169963600275</v>
      </c>
      <c r="N369" s="31">
        <f>ABS(E369-$F$6)</f>
        <v/>
      </c>
      <c r="O369" s="31">
        <f>ABS(E369-$F$7)</f>
        <v/>
      </c>
      <c r="P369" s="31">
        <f>ABS(E369-$F$8)</f>
        <v/>
      </c>
      <c r="Q369" s="14">
        <f>IF(K369&gt;=MAX(L369,M369), "Hemat", IF(L369&gt;=M369, "Balanced", "Premium"))</f>
        <v/>
      </c>
      <c r="R369" s="30" t="n">
        <v>0.9236592327110943</v>
      </c>
      <c r="S369" s="30" t="n">
        <v>0.0673668524262508</v>
      </c>
      <c r="T369" s="30" t="n">
        <v>0.008973914862654904</v>
      </c>
      <c r="U369" s="31">
        <f>ABS(E369-$G$6)</f>
        <v/>
      </c>
      <c r="V369" s="31">
        <f>ABS(E369-$G$7)</f>
        <v/>
      </c>
      <c r="W369" s="31">
        <f>ABS(E369-$G$8)</f>
        <v/>
      </c>
      <c r="X369" s="14">
        <f>IF(R369&gt;=MAX(S369,T369), "Hemat", IF(S369&gt;=T369, "Balanced", "Premium"))</f>
        <v/>
      </c>
    </row>
    <row r="370">
      <c r="A370" s="14" t="n">
        <v>359</v>
      </c>
      <c r="B370" s="7" t="inlineStr">
        <is>
          <t>N Sungkar Guest House Syariah</t>
        </is>
      </c>
      <c r="C370" s="26" t="n">
        <v>-7.9125894</v>
      </c>
      <c r="D370" s="26" t="n">
        <v>112.6427248</v>
      </c>
      <c r="E370" s="21" t="n">
        <v>133794</v>
      </c>
      <c r="F370" s="27" t="n">
        <v>0</v>
      </c>
      <c r="G370" s="28" t="n">
        <v>0</v>
      </c>
      <c r="H370" s="14" t="inlineStr">
        <is>
          <t>N/A</t>
        </is>
      </c>
      <c r="I370" s="29">
        <f>6371 * 2 * ASIN(SQRT(SIN(RADIANS((C370) - INDEX('Dataset_Wisata'!$C$12:$C$622, MATCH('Dashboard'!$C$9, 'Dataset_Wisata'!$A$12:$A$622, 0)))/2)^2 + COS(RADIANS(INDEX('Dataset_Wisata'!$C$12:$C$622, MATCH('Dashboard'!$C$9, 'Dataset_Wisata'!$A$12:$A$622, 0)))) * COS(RADIANS(C370)) * SIN(RADIANS((D370) - INDEX('Dataset_Wisata'!$D$12:$D$622, MATCH('Dashboard'!$C$9, 'Dataset_Wisata'!$A$12:$A$622, 0)))/2)^2)) * 1.3</f>
        <v/>
      </c>
      <c r="J370" s="21">
        <f>ROUND(I370 * IF('Dashboard'!$C$6&lt;=1, 2250, IF('Dashboard'!$C$6&lt;=4, 5150, 6000)), 0)</f>
        <v/>
      </c>
      <c r="K370" s="30" t="n">
        <v>0.9915612766636782</v>
      </c>
      <c r="L370" s="30" t="n">
        <v>0.007264399219055421</v>
      </c>
      <c r="M370" s="30" t="n">
        <v>0.001174324117266382</v>
      </c>
      <c r="N370" s="31">
        <f>ABS(E370-$F$6)</f>
        <v/>
      </c>
      <c r="O370" s="31">
        <f>ABS(E370-$F$7)</f>
        <v/>
      </c>
      <c r="P370" s="31">
        <f>ABS(E370-$F$8)</f>
        <v/>
      </c>
      <c r="Q370" s="14">
        <f>IF(K370&gt;=MAX(L370,M370), "Hemat", IF(L370&gt;=M370, "Balanced", "Premium"))</f>
        <v/>
      </c>
      <c r="R370" s="30" t="n">
        <v>0.991561799691874</v>
      </c>
      <c r="S370" s="30" t="n">
        <v>0.007263947233224871</v>
      </c>
      <c r="T370" s="30" t="n">
        <v>0.001174253074901127</v>
      </c>
      <c r="U370" s="31">
        <f>ABS(E370-$G$6)</f>
        <v/>
      </c>
      <c r="V370" s="31">
        <f>ABS(E370-$G$7)</f>
        <v/>
      </c>
      <c r="W370" s="31">
        <f>ABS(E370-$G$8)</f>
        <v/>
      </c>
      <c r="X370" s="14">
        <f>IF(R370&gt;=MAX(S370,T370), "Hemat", IF(S370&gt;=T370, "Balanced", "Premium"))</f>
        <v/>
      </c>
    </row>
    <row r="371">
      <c r="A371" s="14" t="n">
        <v>360</v>
      </c>
      <c r="B371" s="7" t="inlineStr">
        <is>
          <t>TOS Hotel Malang</t>
        </is>
      </c>
      <c r="C371" s="26" t="n">
        <v>-7.911999</v>
      </c>
      <c r="D371" s="26" t="n">
        <v>112.6405206</v>
      </c>
      <c r="E371" s="21" t="n">
        <v>258108</v>
      </c>
      <c r="F371" s="27" t="n">
        <v>0</v>
      </c>
      <c r="G371" s="28" t="n">
        <v>0</v>
      </c>
      <c r="H371" s="14" t="inlineStr">
        <is>
          <t>N/A</t>
        </is>
      </c>
      <c r="I371" s="29">
        <f>6371 * 2 * ASIN(SQRT(SIN(RADIANS((C371) - INDEX('Dataset_Wisata'!$C$12:$C$622, MATCH('Dashboard'!$C$9, 'Dataset_Wisata'!$A$12:$A$622, 0)))/2)^2 + COS(RADIANS(INDEX('Dataset_Wisata'!$C$12:$C$622, MATCH('Dashboard'!$C$9, 'Dataset_Wisata'!$A$12:$A$622, 0)))) * COS(RADIANS(C371)) * SIN(RADIANS((D371) - INDEX('Dataset_Wisata'!$D$12:$D$622, MATCH('Dashboard'!$C$9, 'Dataset_Wisata'!$A$12:$A$622, 0)))/2)^2)) * 1.3</f>
        <v/>
      </c>
      <c r="J371" s="21">
        <f>ROUND(I371 * IF('Dashboard'!$C$6&lt;=1, 2250, IF('Dashboard'!$C$6&lt;=4, 5150, 6000)), 0)</f>
        <v/>
      </c>
      <c r="K371" s="30" t="n">
        <v>0.008914735275841084</v>
      </c>
      <c r="L371" s="30" t="n">
        <v>0.9842780022836699</v>
      </c>
      <c r="M371" s="30" t="n">
        <v>0.006807262440488953</v>
      </c>
      <c r="N371" s="31">
        <f>ABS(E371-$F$6)</f>
        <v/>
      </c>
      <c r="O371" s="31">
        <f>ABS(E371-$F$7)</f>
        <v/>
      </c>
      <c r="P371" s="31">
        <f>ABS(E371-$F$8)</f>
        <v/>
      </c>
      <c r="Q371" s="14">
        <f>IF(K371&gt;=MAX(L371,M371), "Hemat", IF(L371&gt;=M371, "Balanced", "Premium"))</f>
        <v/>
      </c>
      <c r="R371" s="30" t="n">
        <v>0.008913702149962763</v>
      </c>
      <c r="S371" s="30" t="n">
        <v>0.9842799977145009</v>
      </c>
      <c r="T371" s="30" t="n">
        <v>0.006806300135536222</v>
      </c>
      <c r="U371" s="31">
        <f>ABS(E371-$G$6)</f>
        <v/>
      </c>
      <c r="V371" s="31">
        <f>ABS(E371-$G$7)</f>
        <v/>
      </c>
      <c r="W371" s="31">
        <f>ABS(E371-$G$8)</f>
        <v/>
      </c>
      <c r="X371" s="14">
        <f>IF(R371&gt;=MAX(S371,T371), "Hemat", IF(S371&gt;=T371, "Balanced", "Premium"))</f>
        <v/>
      </c>
    </row>
    <row r="372">
      <c r="A372" s="14" t="n">
        <v>361</v>
      </c>
      <c r="B372" s="7" t="inlineStr">
        <is>
          <t>CITARUM HOMESTAY MALANG</t>
        </is>
      </c>
      <c r="C372" s="26" t="n">
        <v>-7.9145788</v>
      </c>
      <c r="D372" s="26" t="n">
        <v>112.6341648</v>
      </c>
      <c r="E372" s="21" t="n">
        <v>150000</v>
      </c>
      <c r="F372" s="27" t="n">
        <v>0</v>
      </c>
      <c r="G372" s="28" t="n">
        <v>0</v>
      </c>
      <c r="H372" s="14" t="inlineStr">
        <is>
          <t>N/A</t>
        </is>
      </c>
      <c r="I372" s="29">
        <f>6371 * 2 * ASIN(SQRT(SIN(RADIANS((C372) - INDEX('Dataset_Wisata'!$C$12:$C$622, MATCH('Dashboard'!$C$9, 'Dataset_Wisata'!$A$12:$A$622, 0)))/2)^2 + COS(RADIANS(INDEX('Dataset_Wisata'!$C$12:$C$622, MATCH('Dashboard'!$C$9, 'Dataset_Wisata'!$A$12:$A$622, 0)))) * COS(RADIANS(C372)) * SIN(RADIANS((D372) - INDEX('Dataset_Wisata'!$D$12:$D$622, MATCH('Dashboard'!$C$9, 'Dataset_Wisata'!$A$12:$A$622, 0)))/2)^2)) * 1.3</f>
        <v/>
      </c>
      <c r="J372" s="21">
        <f>ROUND(I372 * IF('Dashboard'!$C$6&lt;=1, 2250, IF('Dashboard'!$C$6&lt;=4, 5150, 6000)), 0)</f>
        <v/>
      </c>
      <c r="K372" s="30" t="n">
        <v>0.9236568385235482</v>
      </c>
      <c r="L372" s="30" t="n">
        <v>0.06736899151285153</v>
      </c>
      <c r="M372" s="30" t="n">
        <v>0.008974169963600275</v>
      </c>
      <c r="N372" s="31">
        <f>ABS(E372-$F$6)</f>
        <v/>
      </c>
      <c r="O372" s="31">
        <f>ABS(E372-$F$7)</f>
        <v/>
      </c>
      <c r="P372" s="31">
        <f>ABS(E372-$F$8)</f>
        <v/>
      </c>
      <c r="Q372" s="14">
        <f>IF(K372&gt;=MAX(L372,M372), "Hemat", IF(L372&gt;=M372, "Balanced", "Premium"))</f>
        <v/>
      </c>
      <c r="R372" s="30" t="n">
        <v>0.9236592327110943</v>
      </c>
      <c r="S372" s="30" t="n">
        <v>0.0673668524262508</v>
      </c>
      <c r="T372" s="30" t="n">
        <v>0.008973914862654904</v>
      </c>
      <c r="U372" s="31">
        <f>ABS(E372-$G$6)</f>
        <v/>
      </c>
      <c r="V372" s="31">
        <f>ABS(E372-$G$7)</f>
        <v/>
      </c>
      <c r="W372" s="31">
        <f>ABS(E372-$G$8)</f>
        <v/>
      </c>
      <c r="X372" s="14">
        <f>IF(R372&gt;=MAX(S372,T372), "Hemat", IF(S372&gt;=T372, "Balanced", "Premium"))</f>
        <v/>
      </c>
    </row>
    <row r="373">
      <c r="A373" s="14" t="n">
        <v>362</v>
      </c>
      <c r="B373" s="7" t="inlineStr">
        <is>
          <t>éL Hotel Malang</t>
        </is>
      </c>
      <c r="C373" s="26" t="n">
        <v>-7.9022006</v>
      </c>
      <c r="D373" s="26" t="n">
        <v>112.6056572</v>
      </c>
      <c r="E373" s="21" t="n">
        <v>358143</v>
      </c>
      <c r="F373" s="27" t="n">
        <v>0</v>
      </c>
      <c r="G373" s="28" t="n">
        <v>0</v>
      </c>
      <c r="H373" s="14" t="inlineStr">
        <is>
          <t>N/A</t>
        </is>
      </c>
      <c r="I373" s="29">
        <f>6371 * 2 * ASIN(SQRT(SIN(RADIANS((C373) - INDEX('Dataset_Wisata'!$C$12:$C$622, MATCH('Dashboard'!$C$9, 'Dataset_Wisata'!$A$12:$A$622, 0)))/2)^2 + COS(RADIANS(INDEX('Dataset_Wisata'!$C$12:$C$622, MATCH('Dashboard'!$C$9, 'Dataset_Wisata'!$A$12:$A$622, 0)))) * COS(RADIANS(C373)) * SIN(RADIANS((D373) - INDEX('Dataset_Wisata'!$D$12:$D$622, MATCH('Dashboard'!$C$9, 'Dataset_Wisata'!$A$12:$A$622, 0)))/2)^2)) * 1.3</f>
        <v/>
      </c>
      <c r="J373" s="21">
        <f>ROUND(I373 * IF('Dashboard'!$C$6&lt;=1, 2250, IF('Dashboard'!$C$6&lt;=4, 5150, 6000)), 0)</f>
        <v/>
      </c>
      <c r="K373" s="30" t="n">
        <v>0.04054478245703354</v>
      </c>
      <c r="L373" s="30" t="n">
        <v>0.1744088088540774</v>
      </c>
      <c r="M373" s="30" t="n">
        <v>0.785046408688889</v>
      </c>
      <c r="N373" s="31">
        <f>ABS(E373-$F$6)</f>
        <v/>
      </c>
      <c r="O373" s="31">
        <f>ABS(E373-$F$7)</f>
        <v/>
      </c>
      <c r="P373" s="31">
        <f>ABS(E373-$F$8)</f>
        <v/>
      </c>
      <c r="Q373" s="14">
        <f>IF(K373&gt;=MAX(L373,M373), "Hemat", IF(L373&gt;=M373, "Balanced", "Premium"))</f>
        <v/>
      </c>
      <c r="R373" s="30" t="n">
        <v>0.04054678032673004</v>
      </c>
      <c r="S373" s="30" t="n">
        <v>0.1744194469643113</v>
      </c>
      <c r="T373" s="30" t="n">
        <v>0.7850337727089587</v>
      </c>
      <c r="U373" s="31">
        <f>ABS(E373-$G$6)</f>
        <v/>
      </c>
      <c r="V373" s="31">
        <f>ABS(E373-$G$7)</f>
        <v/>
      </c>
      <c r="W373" s="31">
        <f>ABS(E373-$G$8)</f>
        <v/>
      </c>
      <c r="X373" s="14">
        <f>IF(R373&gt;=MAX(S373,T373), "Hemat", IF(S373&gt;=T373, "Balanced", "Premium"))</f>
        <v/>
      </c>
    </row>
    <row r="374">
      <c r="A374" s="14" t="n">
        <v>363</v>
      </c>
      <c r="B374" s="7" t="inlineStr">
        <is>
          <t>Shanaya Resort Malang</t>
        </is>
      </c>
      <c r="C374" s="26" t="n">
        <v>-7.9005066</v>
      </c>
      <c r="D374" s="26" t="n">
        <v>112.610613</v>
      </c>
      <c r="E374" s="21" t="n">
        <v>536529</v>
      </c>
      <c r="F374" s="27" t="n">
        <v>0</v>
      </c>
      <c r="G374" s="28" t="n">
        <v>0</v>
      </c>
      <c r="H374" s="14" t="inlineStr">
        <is>
          <t>N/A</t>
        </is>
      </c>
      <c r="I374" s="29">
        <f>6371 * 2 * ASIN(SQRT(SIN(RADIANS((C374) - INDEX('Dataset_Wisata'!$C$12:$C$622, MATCH('Dashboard'!$C$9, 'Dataset_Wisata'!$A$12:$A$622, 0)))/2)^2 + COS(RADIANS(INDEX('Dataset_Wisata'!$C$12:$C$622, MATCH('Dashboard'!$C$9, 'Dataset_Wisata'!$A$12:$A$622, 0)))) * COS(RADIANS(C374)) * SIN(RADIANS((D374) - INDEX('Dataset_Wisata'!$D$12:$D$622, MATCH('Dashboard'!$C$9, 'Dataset_Wisata'!$A$12:$A$622, 0)))/2)^2)) * 1.3</f>
        <v/>
      </c>
      <c r="J374" s="21">
        <f>ROUND(I374 * IF('Dashboard'!$C$6&lt;=1, 2250, IF('Dashboard'!$C$6&lt;=4, 5150, 6000)), 0)</f>
        <v/>
      </c>
      <c r="K374" s="30" t="n">
        <v>0.05883081853556894</v>
      </c>
      <c r="L374" s="30" t="n">
        <v>0.1179599258189339</v>
      </c>
      <c r="M374" s="30" t="n">
        <v>0.6376462109679075</v>
      </c>
      <c r="N374" s="31">
        <f>ABS(E374-$F$6)</f>
        <v/>
      </c>
      <c r="O374" s="31">
        <f>ABS(E374-$F$7)</f>
        <v/>
      </c>
      <c r="P374" s="31">
        <f>ABS(E374-$F$8)</f>
        <v/>
      </c>
      <c r="Q374" s="14">
        <f>IF(K374&gt;=MAX(L374,M374), "Hemat", IF(L374&gt;=M374, "Balanced", "Premium"))</f>
        <v/>
      </c>
      <c r="R374" s="30" t="n">
        <v>0.0588308851538893</v>
      </c>
      <c r="S374" s="30" t="n">
        <v>0.1179605524450428</v>
      </c>
      <c r="T374" s="30" t="n">
        <v>0.6376633642557441</v>
      </c>
      <c r="U374" s="31">
        <f>ABS(E374-$G$6)</f>
        <v/>
      </c>
      <c r="V374" s="31">
        <f>ABS(E374-$G$7)</f>
        <v/>
      </c>
      <c r="W374" s="31">
        <f>ABS(E374-$G$8)</f>
        <v/>
      </c>
      <c r="X374" s="14">
        <f>IF(R374&gt;=MAX(S374,T374), "Hemat", IF(S374&gt;=T374, "Balanced", "Premium"))</f>
        <v/>
      </c>
    </row>
    <row r="375">
      <c r="A375" s="14" t="n">
        <v>364</v>
      </c>
      <c r="B375" s="7" t="inlineStr">
        <is>
          <t>Hotel Grage Malang</t>
        </is>
      </c>
      <c r="C375" s="26" t="n">
        <v>-7.9119162</v>
      </c>
      <c r="D375" s="26" t="n">
        <v>112.6404563</v>
      </c>
      <c r="E375" s="21" t="n">
        <v>315315</v>
      </c>
      <c r="F375" s="27" t="n">
        <v>0</v>
      </c>
      <c r="G375" s="28" t="n">
        <v>0</v>
      </c>
      <c r="H375" s="14" t="inlineStr">
        <is>
          <t>N/A</t>
        </is>
      </c>
      <c r="I375" s="29">
        <f>6371 * 2 * ASIN(SQRT(SIN(RADIANS((C375) - INDEX('Dataset_Wisata'!$C$12:$C$622, MATCH('Dashboard'!$C$9, 'Dataset_Wisata'!$A$12:$A$622, 0)))/2)^2 + COS(RADIANS(INDEX('Dataset_Wisata'!$C$12:$C$622, MATCH('Dashboard'!$C$9, 'Dataset_Wisata'!$A$12:$A$622, 0)))) * COS(RADIANS(C375)) * SIN(RADIANS((D375) - INDEX('Dataset_Wisata'!$D$12:$D$622, MATCH('Dashboard'!$C$9, 'Dataset_Wisata'!$A$12:$A$622, 0)))/2)^2)) * 1.3</f>
        <v/>
      </c>
      <c r="J375" s="21">
        <f>ROUND(I375 * IF('Dashboard'!$C$6&lt;=1, 2250, IF('Dashboard'!$C$6&lt;=4, 5150, 6000)), 0)</f>
        <v/>
      </c>
      <c r="K375" s="30" t="n">
        <v>0.08048453643978144</v>
      </c>
      <c r="L375" s="30" t="n">
        <v>0.6005755247789987</v>
      </c>
      <c r="M375" s="30" t="n">
        <v>0.3189399387812199</v>
      </c>
      <c r="N375" s="31">
        <f>ABS(E375-$F$6)</f>
        <v/>
      </c>
      <c r="O375" s="31">
        <f>ABS(E375-$F$7)</f>
        <v/>
      </c>
      <c r="P375" s="31">
        <f>ABS(E375-$F$8)</f>
        <v/>
      </c>
      <c r="Q375" s="14">
        <f>IF(K375&gt;=MAX(L375,M375), "Hemat", IF(L375&gt;=M375, "Balanced", "Premium"))</f>
        <v/>
      </c>
      <c r="R375" s="30" t="n">
        <v>0.08048454930815731</v>
      </c>
      <c r="S375" s="30" t="n">
        <v>0.6005874337833015</v>
      </c>
      <c r="T375" s="30" t="n">
        <v>0.3189280169085413</v>
      </c>
      <c r="U375" s="31">
        <f>ABS(E375-$G$6)</f>
        <v/>
      </c>
      <c r="V375" s="31">
        <f>ABS(E375-$G$7)</f>
        <v/>
      </c>
      <c r="W375" s="31">
        <f>ABS(E375-$G$8)</f>
        <v/>
      </c>
      <c r="X375" s="14">
        <f>IF(R375&gt;=MAX(S375,T375), "Hemat", IF(S375&gt;=T375, "Balanced", "Premium"))</f>
        <v/>
      </c>
    </row>
    <row r="376">
      <c r="A376" s="14" t="n">
        <v>365</v>
      </c>
      <c r="B376" s="7" t="inlineStr">
        <is>
          <t>Airy Singosari Raya Mondoroko 1 Malang</t>
        </is>
      </c>
      <c r="C376" s="26" t="n">
        <v>-7.9054231</v>
      </c>
      <c r="D376" s="26" t="n">
        <v>112.6597216</v>
      </c>
      <c r="E376" s="21" t="n">
        <v>50000</v>
      </c>
      <c r="F376" s="27" t="n">
        <v>0</v>
      </c>
      <c r="G376" s="28" t="n">
        <v>0</v>
      </c>
      <c r="H376" s="14" t="inlineStr">
        <is>
          <t>N/A</t>
        </is>
      </c>
      <c r="I376" s="29">
        <f>6371 * 2 * ASIN(SQRT(SIN(RADIANS((C376) - INDEX('Dataset_Wisata'!$C$12:$C$622, MATCH('Dashboard'!$C$9, 'Dataset_Wisata'!$A$12:$A$622, 0)))/2)^2 + COS(RADIANS(INDEX('Dataset_Wisata'!$C$12:$C$622, MATCH('Dashboard'!$C$9, 'Dataset_Wisata'!$A$12:$A$622, 0)))) * COS(RADIANS(C376)) * SIN(RADIANS((D376) - INDEX('Dataset_Wisata'!$D$12:$D$622, MATCH('Dashboard'!$C$9, 'Dataset_Wisata'!$A$12:$A$622, 0)))/2)^2)) * 1.3</f>
        <v/>
      </c>
      <c r="J376" s="21">
        <f>ROUND(I376 * IF('Dashboard'!$C$6&lt;=1, 2250, IF('Dashboard'!$C$6&lt;=4, 5150, 6000)), 0)</f>
        <v/>
      </c>
      <c r="K376" s="30" t="n">
        <v>0.8427136775647432</v>
      </c>
      <c r="L376" s="30" t="n">
        <v>0.1217010560603878</v>
      </c>
      <c r="M376" s="30" t="n">
        <v>0.03558526637486881</v>
      </c>
      <c r="N376" s="31">
        <f>ABS(E376-$F$6)</f>
        <v/>
      </c>
      <c r="O376" s="31">
        <f>ABS(E376-$F$7)</f>
        <v/>
      </c>
      <c r="P376" s="31">
        <f>ABS(E376-$F$8)</f>
        <v/>
      </c>
      <c r="Q376" s="14">
        <f>IF(K376&gt;=MAX(L376,M376), "Hemat", IF(L376&gt;=M376, "Balanced", "Premium"))</f>
        <v/>
      </c>
      <c r="R376" s="30" t="n">
        <v>0.8427139356353498</v>
      </c>
      <c r="S376" s="30" t="n">
        <v>0.121700895122662</v>
      </c>
      <c r="T376" s="30" t="n">
        <v>0.03558516924198825</v>
      </c>
      <c r="U376" s="31">
        <f>ABS(E376-$G$6)</f>
        <v/>
      </c>
      <c r="V376" s="31">
        <f>ABS(E376-$G$7)</f>
        <v/>
      </c>
      <c r="W376" s="31">
        <f>ABS(E376-$G$8)</f>
        <v/>
      </c>
      <c r="X376" s="14">
        <f>IF(R376&gt;=MAX(S376,T376), "Hemat", IF(S376&gt;=T376, "Balanced", "Premium"))</f>
        <v/>
      </c>
    </row>
    <row r="377">
      <c r="A377" s="14" t="n">
        <v>366</v>
      </c>
      <c r="B377" s="7" t="inlineStr">
        <is>
          <t>Good Village Project - Malang Voluntourism</t>
        </is>
      </c>
      <c r="C377" s="26" t="n">
        <v>-7.9007691</v>
      </c>
      <c r="D377" s="26" t="n">
        <v>112.6038208</v>
      </c>
      <c r="E377" s="21" t="n">
        <v>150000</v>
      </c>
      <c r="F377" s="27" t="n">
        <v>0</v>
      </c>
      <c r="G377" s="28" t="n">
        <v>0</v>
      </c>
      <c r="H377" s="14" t="inlineStr">
        <is>
          <t>N/A</t>
        </is>
      </c>
      <c r="I377" s="29">
        <f>6371 * 2 * ASIN(SQRT(SIN(RADIANS((C377) - INDEX('Dataset_Wisata'!$C$12:$C$622, MATCH('Dashboard'!$C$9, 'Dataset_Wisata'!$A$12:$A$622, 0)))/2)^2 + COS(RADIANS(INDEX('Dataset_Wisata'!$C$12:$C$622, MATCH('Dashboard'!$C$9, 'Dataset_Wisata'!$A$12:$A$622, 0)))) * COS(RADIANS(C377)) * SIN(RADIANS((D377) - INDEX('Dataset_Wisata'!$D$12:$D$622, MATCH('Dashboard'!$C$9, 'Dataset_Wisata'!$A$12:$A$622, 0)))/2)^2)) * 1.3</f>
        <v/>
      </c>
      <c r="J377" s="21">
        <f>ROUND(I377 * IF('Dashboard'!$C$6&lt;=1, 2250, IF('Dashboard'!$C$6&lt;=4, 5150, 6000)), 0)</f>
        <v/>
      </c>
      <c r="K377" s="30" t="n">
        <v>0.9236568385235482</v>
      </c>
      <c r="L377" s="30" t="n">
        <v>0.06736899151285153</v>
      </c>
      <c r="M377" s="30" t="n">
        <v>0.008974169963600275</v>
      </c>
      <c r="N377" s="31">
        <f>ABS(E377-$F$6)</f>
        <v/>
      </c>
      <c r="O377" s="31">
        <f>ABS(E377-$F$7)</f>
        <v/>
      </c>
      <c r="P377" s="31">
        <f>ABS(E377-$F$8)</f>
        <v/>
      </c>
      <c r="Q377" s="14">
        <f>IF(K377&gt;=MAX(L377,M377), "Hemat", IF(L377&gt;=M377, "Balanced", "Premium"))</f>
        <v/>
      </c>
      <c r="R377" s="30" t="n">
        <v>0.9236592327110943</v>
      </c>
      <c r="S377" s="30" t="n">
        <v>0.0673668524262508</v>
      </c>
      <c r="T377" s="30" t="n">
        <v>0.008973914862654904</v>
      </c>
      <c r="U377" s="31">
        <f>ABS(E377-$G$6)</f>
        <v/>
      </c>
      <c r="V377" s="31">
        <f>ABS(E377-$G$7)</f>
        <v/>
      </c>
      <c r="W377" s="31">
        <f>ABS(E377-$G$8)</f>
        <v/>
      </c>
      <c r="X377" s="14">
        <f>IF(R377&gt;=MAX(S377,T377), "Hemat", IF(S377&gt;=T377, "Balanced", "Premium"))</f>
        <v/>
      </c>
    </row>
    <row r="378">
      <c r="A378" s="14" t="n">
        <v>367</v>
      </c>
      <c r="B378" s="7" t="inlineStr">
        <is>
          <t>Lembah Mbalong Resort Mitra RedDoorz Near Exit Tol Singosari</t>
        </is>
      </c>
      <c r="C378" s="26" t="n">
        <v>-7.9061883</v>
      </c>
      <c r="D378" s="26" t="n">
        <v>112.6471068</v>
      </c>
      <c r="E378" s="21" t="n">
        <v>234720</v>
      </c>
      <c r="F378" s="27" t="n">
        <v>0</v>
      </c>
      <c r="G378" s="28" t="n">
        <v>0</v>
      </c>
      <c r="H378" s="14" t="inlineStr">
        <is>
          <t>N/A</t>
        </is>
      </c>
      <c r="I378" s="29">
        <f>6371 * 2 * ASIN(SQRT(SIN(RADIANS((C378) - INDEX('Dataset_Wisata'!$C$12:$C$622, MATCH('Dashboard'!$C$9, 'Dataset_Wisata'!$A$12:$A$622, 0)))/2)^2 + COS(RADIANS(INDEX('Dataset_Wisata'!$C$12:$C$622, MATCH('Dashboard'!$C$9, 'Dataset_Wisata'!$A$12:$A$622, 0)))) * COS(RADIANS(C378)) * SIN(RADIANS((D378) - INDEX('Dataset_Wisata'!$D$12:$D$622, MATCH('Dashboard'!$C$9, 'Dataset_Wisata'!$A$12:$A$622, 0)))/2)^2)) * 1.3</f>
        <v/>
      </c>
      <c r="J378" s="21">
        <f>ROUND(I378 * IF('Dashboard'!$C$6&lt;=1, 2250, IF('Dashboard'!$C$6&lt;=4, 5150, 6000)), 0)</f>
        <v/>
      </c>
      <c r="K378" s="30" t="n">
        <v>0.009171629775751771</v>
      </c>
      <c r="L378" s="30" t="n">
        <v>0.987238267347285</v>
      </c>
      <c r="M378" s="30" t="n">
        <v>0.003590102876963236</v>
      </c>
      <c r="N378" s="31">
        <f>ABS(E378-$F$6)</f>
        <v/>
      </c>
      <c r="O378" s="31">
        <f>ABS(E378-$F$7)</f>
        <v/>
      </c>
      <c r="P378" s="31">
        <f>ABS(E378-$F$8)</f>
        <v/>
      </c>
      <c r="Q378" s="14">
        <f>IF(K378&gt;=MAX(L378,M378), "Hemat", IF(L378&gt;=M378, "Balanced", "Premium"))</f>
        <v/>
      </c>
      <c r="R378" s="30" t="n">
        <v>0.009172984062142543</v>
      </c>
      <c r="S378" s="30" t="n">
        <v>0.9872364666190674</v>
      </c>
      <c r="T378" s="30" t="n">
        <v>0.00359054931878993</v>
      </c>
      <c r="U378" s="31">
        <f>ABS(E378-$G$6)</f>
        <v/>
      </c>
      <c r="V378" s="31">
        <f>ABS(E378-$G$7)</f>
        <v/>
      </c>
      <c r="W378" s="31">
        <f>ABS(E378-$G$8)</f>
        <v/>
      </c>
      <c r="X378" s="14">
        <f>IF(R378&gt;=MAX(S378,T378), "Hemat", IF(S378&gt;=T378, "Balanced", "Premium"))</f>
        <v/>
      </c>
    </row>
    <row r="379">
      <c r="A379" s="14" t="n">
        <v>368</v>
      </c>
      <c r="B379" s="7" t="inlineStr">
        <is>
          <t>SPOT ON 2689 Safira Family Residence</t>
        </is>
      </c>
      <c r="C379" s="26" t="n">
        <v>-7.8721185</v>
      </c>
      <c r="D379" s="26" t="n">
        <v>112.6790929</v>
      </c>
      <c r="E379" s="21" t="n">
        <v>71000</v>
      </c>
      <c r="F379" s="27" t="n">
        <v>0</v>
      </c>
      <c r="G379" s="28" t="n">
        <v>0</v>
      </c>
      <c r="H379" s="14" t="inlineStr">
        <is>
          <t>N/A</t>
        </is>
      </c>
      <c r="I379" s="29">
        <f>6371 * 2 * ASIN(SQRT(SIN(RADIANS((C379) - INDEX('Dataset_Wisata'!$C$12:$C$622, MATCH('Dashboard'!$C$9, 'Dataset_Wisata'!$A$12:$A$622, 0)))/2)^2 + COS(RADIANS(INDEX('Dataset_Wisata'!$C$12:$C$622, MATCH('Dashboard'!$C$9, 'Dataset_Wisata'!$A$12:$A$622, 0)))) * COS(RADIANS(C379)) * SIN(RADIANS((D379) - INDEX('Dataset_Wisata'!$D$12:$D$622, MATCH('Dashboard'!$C$9, 'Dataset_Wisata'!$A$12:$A$622, 0)))/2)^2)) * 1.3</f>
        <v/>
      </c>
      <c r="J379" s="21">
        <f>ROUND(I379 * IF('Dashboard'!$C$6&lt;=1, 2250, IF('Dashboard'!$C$6&lt;=4, 5150, 6000)), 0)</f>
        <v/>
      </c>
      <c r="K379" s="30" t="n">
        <v>0.8946773851468344</v>
      </c>
      <c r="L379" s="30" t="n">
        <v>0.08342043089942576</v>
      </c>
      <c r="M379" s="30" t="n">
        <v>0.02190218395373988</v>
      </c>
      <c r="N379" s="31">
        <f>ABS(E379-$F$6)</f>
        <v/>
      </c>
      <c r="O379" s="31">
        <f>ABS(E379-$F$7)</f>
        <v/>
      </c>
      <c r="P379" s="31">
        <f>ABS(E379-$F$8)</f>
        <v/>
      </c>
      <c r="Q379" s="14">
        <f>IF(K379&gt;=MAX(L379,M379), "Hemat", IF(L379&gt;=M379, "Balanced", "Premium"))</f>
        <v/>
      </c>
      <c r="R379" s="30" t="n">
        <v>0.8946774149223906</v>
      </c>
      <c r="S379" s="30" t="n">
        <v>0.08342042516836914</v>
      </c>
      <c r="T379" s="30" t="n">
        <v>0.02190215990924021</v>
      </c>
      <c r="U379" s="31">
        <f>ABS(E379-$G$6)</f>
        <v/>
      </c>
      <c r="V379" s="31">
        <f>ABS(E379-$G$7)</f>
        <v/>
      </c>
      <c r="W379" s="31">
        <f>ABS(E379-$G$8)</f>
        <v/>
      </c>
      <c r="X379" s="14">
        <f>IF(R379&gt;=MAX(S379,T379), "Hemat", IF(S379&gt;=T379, "Balanced", "Premium"))</f>
        <v/>
      </c>
    </row>
    <row r="380">
      <c r="A380" s="14" t="n">
        <v>369</v>
      </c>
      <c r="B380" s="7" t="inlineStr">
        <is>
          <t>RedDoorz near Wisata Paribendo Lawang</t>
        </is>
      </c>
      <c r="C380" s="26" t="n">
        <v>-7.8359722</v>
      </c>
      <c r="D380" s="26" t="n">
        <v>112.6848278</v>
      </c>
      <c r="E380" s="21" t="n">
        <v>275139</v>
      </c>
      <c r="F380" s="27" t="n">
        <v>0</v>
      </c>
      <c r="G380" s="28" t="n">
        <v>0</v>
      </c>
      <c r="H380" s="14" t="inlineStr">
        <is>
          <t>N/A</t>
        </is>
      </c>
      <c r="I380" s="29">
        <f>6371 * 2 * ASIN(SQRT(SIN(RADIANS((C380) - INDEX('Dataset_Wisata'!$C$12:$C$622, MATCH('Dashboard'!$C$9, 'Dataset_Wisata'!$A$12:$A$622, 0)))/2)^2 + COS(RADIANS(INDEX('Dataset_Wisata'!$C$12:$C$622, MATCH('Dashboard'!$C$9, 'Dataset_Wisata'!$A$12:$A$622, 0)))) * COS(RADIANS(C380)) * SIN(RADIANS((D380) - INDEX('Dataset_Wisata'!$D$12:$D$622, MATCH('Dashboard'!$C$9, 'Dataset_Wisata'!$A$12:$A$622, 0)))/2)^2)) * 1.3</f>
        <v/>
      </c>
      <c r="J380" s="21">
        <f>ROUND(I380 * IF('Dashboard'!$C$6&lt;=1, 2250, IF('Dashboard'!$C$6&lt;=4, 5150, 6000)), 0)</f>
        <v/>
      </c>
      <c r="K380" s="30" t="n">
        <v>0.03581840524316553</v>
      </c>
      <c r="L380" s="30" t="n">
        <v>0.9201909682145687</v>
      </c>
      <c r="M380" s="30" t="n">
        <v>0.04399062654226572</v>
      </c>
      <c r="N380" s="31">
        <f>ABS(E380-$F$6)</f>
        <v/>
      </c>
      <c r="O380" s="31">
        <f>ABS(E380-$F$7)</f>
        <v/>
      </c>
      <c r="P380" s="31">
        <f>ABS(E380-$F$8)</f>
        <v/>
      </c>
      <c r="Q380" s="14">
        <f>IF(K380&gt;=MAX(L380,M380), "Hemat", IF(L380&gt;=M380, "Balanced", "Premium"))</f>
        <v/>
      </c>
      <c r="R380" s="30" t="n">
        <v>0.03581683870365546</v>
      </c>
      <c r="S380" s="30" t="n">
        <v>0.9201956831189394</v>
      </c>
      <c r="T380" s="30" t="n">
        <v>0.04398747817740508</v>
      </c>
      <c r="U380" s="31">
        <f>ABS(E380-$G$6)</f>
        <v/>
      </c>
      <c r="V380" s="31">
        <f>ABS(E380-$G$7)</f>
        <v/>
      </c>
      <c r="W380" s="31">
        <f>ABS(E380-$G$8)</f>
        <v/>
      </c>
      <c r="X380" s="14">
        <f>IF(R380&gt;=MAX(S380,T380), "Hemat", IF(S380&gt;=T380, "Balanced", "Premium"))</f>
        <v/>
      </c>
    </row>
    <row r="381">
      <c r="A381" s="14" t="n">
        <v>370</v>
      </c>
      <c r="B381" s="7" t="inlineStr">
        <is>
          <t>Rollaas Hotel and Resort</t>
        </is>
      </c>
      <c r="C381" s="26" t="n">
        <v>-7.82278</v>
      </c>
      <c r="D381" s="26" t="n">
        <v>112.64252</v>
      </c>
      <c r="E381" s="21" t="n">
        <v>567433</v>
      </c>
      <c r="F381" s="27" t="n">
        <v>0</v>
      </c>
      <c r="G381" s="28" t="n">
        <v>0</v>
      </c>
      <c r="H381" s="14" t="inlineStr">
        <is>
          <t>N/A</t>
        </is>
      </c>
      <c r="I381" s="29">
        <f>6371 * 2 * ASIN(SQRT(SIN(RADIANS((C381) - INDEX('Dataset_Wisata'!$C$12:$C$622, MATCH('Dashboard'!$C$9, 'Dataset_Wisata'!$A$12:$A$622, 0)))/2)^2 + COS(RADIANS(INDEX('Dataset_Wisata'!$C$12:$C$622, MATCH('Dashboard'!$C$9, 'Dataset_Wisata'!$A$12:$A$622, 0)))) * COS(RADIANS(C381)) * SIN(RADIANS((D381) - INDEX('Dataset_Wisata'!$D$12:$D$622, MATCH('Dashboard'!$C$9, 'Dataset_Wisata'!$A$12:$A$622, 0)))/2)^2)) * 1.3</f>
        <v/>
      </c>
      <c r="J381" s="21">
        <f>ROUND(I381 * IF('Dashboard'!$C$6&lt;=1, 2250, IF('Dashboard'!$C$6&lt;=4, 5150, 6000)), 0)</f>
        <v/>
      </c>
      <c r="K381" s="30" t="n">
        <v>0.0509122179535523</v>
      </c>
      <c r="L381" s="30" t="n">
        <v>0.09640814962869639</v>
      </c>
      <c r="M381" s="30" t="n">
        <v>0.410206234201017</v>
      </c>
      <c r="N381" s="31">
        <f>ABS(E381-$F$6)</f>
        <v/>
      </c>
      <c r="O381" s="31">
        <f>ABS(E381-$F$7)</f>
        <v/>
      </c>
      <c r="P381" s="31">
        <f>ABS(E381-$F$8)</f>
        <v/>
      </c>
      <c r="Q381" s="14">
        <f>IF(K381&gt;=MAX(L381,M381), "Hemat", IF(L381&gt;=M381, "Balanced", "Premium"))</f>
        <v/>
      </c>
      <c r="R381" s="30" t="n">
        <v>0.05091227158497802</v>
      </c>
      <c r="S381" s="30" t="n">
        <v>0.0964086126246604</v>
      </c>
      <c r="T381" s="30" t="n">
        <v>0.4102150849362766</v>
      </c>
      <c r="U381" s="31">
        <f>ABS(E381-$G$6)</f>
        <v/>
      </c>
      <c r="V381" s="31">
        <f>ABS(E381-$G$7)</f>
        <v/>
      </c>
      <c r="W381" s="31">
        <f>ABS(E381-$G$8)</f>
        <v/>
      </c>
      <c r="X381" s="14">
        <f>IF(R381&gt;=MAX(S381,T381), "Hemat", IF(S381&gt;=T381, "Balanced", "Premium"))</f>
        <v/>
      </c>
    </row>
    <row r="382">
      <c r="A382" s="14" t="n">
        <v>371</v>
      </c>
      <c r="B382" s="7" t="inlineStr">
        <is>
          <t>Kos Putra Bulanan</t>
        </is>
      </c>
      <c r="C382" s="26" t="n">
        <v>-7.8827277</v>
      </c>
      <c r="D382" s="26" t="n">
        <v>112.6368376</v>
      </c>
      <c r="E382" s="21" t="n">
        <v>600000</v>
      </c>
      <c r="F382" s="27" t="n">
        <v>0</v>
      </c>
      <c r="G382" s="28" t="n">
        <v>0</v>
      </c>
      <c r="H382" s="14" t="inlineStr">
        <is>
          <t>N/A</t>
        </is>
      </c>
      <c r="I382" s="29">
        <f>6371 * 2 * ASIN(SQRT(SIN(RADIANS((C382) - INDEX('Dataset_Wisata'!$C$12:$C$622, MATCH('Dashboard'!$C$9, 'Dataset_Wisata'!$A$12:$A$622, 0)))/2)^2 + COS(RADIANS(INDEX('Dataset_Wisata'!$C$12:$C$622, MATCH('Dashboard'!$C$9, 'Dataset_Wisata'!$A$12:$A$622, 0)))) * COS(RADIANS(C382)) * SIN(RADIANS((D382) - INDEX('Dataset_Wisata'!$D$12:$D$622, MATCH('Dashboard'!$C$9, 'Dataset_Wisata'!$A$12:$A$622, 0)))/2)^2)) * 1.3</f>
        <v/>
      </c>
      <c r="J382" s="21">
        <f>ROUND(I382 * IF('Dashboard'!$C$6&lt;=1, 2250, IF('Dashboard'!$C$6&lt;=4, 5150, 6000)), 0)</f>
        <v/>
      </c>
      <c r="K382" s="30" t="n">
        <v>0.04418058038771073</v>
      </c>
      <c r="L382" s="30" t="n">
        <v>0.07951423636953152</v>
      </c>
      <c r="M382" s="30" t="n">
        <v>0.2808337527717566</v>
      </c>
      <c r="N382" s="31">
        <f>ABS(E382-$F$6)</f>
        <v/>
      </c>
      <c r="O382" s="31">
        <f>ABS(E382-$F$7)</f>
        <v/>
      </c>
      <c r="P382" s="31">
        <f>ABS(E382-$F$8)</f>
        <v/>
      </c>
      <c r="Q382" s="14">
        <f>IF(K382&gt;=MAX(L382,M382), "Hemat", IF(L382&gt;=M382, "Balanced", "Premium"))</f>
        <v/>
      </c>
      <c r="R382" s="30" t="n">
        <v>0.04418062374213448</v>
      </c>
      <c r="S382" s="30" t="n">
        <v>0.07951458316529153</v>
      </c>
      <c r="T382" s="30" t="n">
        <v>0.2808387663605185</v>
      </c>
      <c r="U382" s="31">
        <f>ABS(E382-$G$6)</f>
        <v/>
      </c>
      <c r="V382" s="31">
        <f>ABS(E382-$G$7)</f>
        <v/>
      </c>
      <c r="W382" s="31">
        <f>ABS(E382-$G$8)</f>
        <v/>
      </c>
      <c r="X382" s="14">
        <f>IF(R382&gt;=MAX(S382,T382), "Hemat", IF(S382&gt;=T382, "Balanced", "Premium"))</f>
        <v/>
      </c>
    </row>
    <row r="383">
      <c r="A383" s="14" t="n">
        <v>372</v>
      </c>
      <c r="B383" s="7" t="inlineStr">
        <is>
          <t>Arjuna View Villa Lawang</t>
        </is>
      </c>
      <c r="C383" s="26" t="n">
        <v>-7.8094608</v>
      </c>
      <c r="D383" s="26" t="n">
        <v>112.6531202</v>
      </c>
      <c r="E383" s="21" t="n">
        <v>15000</v>
      </c>
      <c r="F383" s="27" t="n">
        <v>0</v>
      </c>
      <c r="G383" s="28" t="n">
        <v>0</v>
      </c>
      <c r="H383" s="14" t="inlineStr">
        <is>
          <t>N/A</t>
        </is>
      </c>
      <c r="I383" s="29">
        <f>6371 * 2 * ASIN(SQRT(SIN(RADIANS((C383) - INDEX('Dataset_Wisata'!$C$12:$C$622, MATCH('Dashboard'!$C$9, 'Dataset_Wisata'!$A$12:$A$622, 0)))/2)^2 + COS(RADIANS(INDEX('Dataset_Wisata'!$C$12:$C$622, MATCH('Dashboard'!$C$9, 'Dataset_Wisata'!$A$12:$A$622, 0)))) * COS(RADIANS(C383)) * SIN(RADIANS((D383) - INDEX('Dataset_Wisata'!$D$12:$D$622, MATCH('Dashboard'!$C$9, 'Dataset_Wisata'!$A$12:$A$622, 0)))/2)^2)) * 1.3</f>
        <v/>
      </c>
      <c r="J383" s="21">
        <f>ROUND(I383 * IF('Dashboard'!$C$6&lt;=1, 2250, IF('Dashboard'!$C$6&lt;=4, 5150, 6000)), 0)</f>
        <v/>
      </c>
      <c r="K383" s="30" t="n">
        <v>0.768717346396626</v>
      </c>
      <c r="L383" s="30" t="n">
        <v>0.1728686659085692</v>
      </c>
      <c r="M383" s="30" t="n">
        <v>0.05841398769480469</v>
      </c>
      <c r="N383" s="31">
        <f>ABS(E383-$F$6)</f>
        <v/>
      </c>
      <c r="O383" s="31">
        <f>ABS(E383-$F$7)</f>
        <v/>
      </c>
      <c r="P383" s="31">
        <f>ABS(E383-$F$8)</f>
        <v/>
      </c>
      <c r="Q383" s="14">
        <f>IF(K383&gt;=MAX(L383,M383), "Hemat", IF(L383&gt;=M383, "Balanced", "Premium"))</f>
        <v/>
      </c>
      <c r="R383" s="30" t="n">
        <v>0.7687178605097676</v>
      </c>
      <c r="S383" s="30" t="n">
        <v>0.1728683596429136</v>
      </c>
      <c r="T383" s="30" t="n">
        <v>0.05841377984731876</v>
      </c>
      <c r="U383" s="31">
        <f>ABS(E383-$G$6)</f>
        <v/>
      </c>
      <c r="V383" s="31">
        <f>ABS(E383-$G$7)</f>
        <v/>
      </c>
      <c r="W383" s="31">
        <f>ABS(E383-$G$8)</f>
        <v/>
      </c>
      <c r="X383" s="14">
        <f>IF(R383&gt;=MAX(S383,T383), "Hemat", IF(S383&gt;=T383, "Balanced", "Premium"))</f>
        <v/>
      </c>
    </row>
    <row r="384">
      <c r="A384" s="14" t="n">
        <v>373</v>
      </c>
      <c r="B384" s="7" t="inlineStr">
        <is>
          <t>Hotel Arjuna</t>
        </is>
      </c>
      <c r="C384" s="26" t="n">
        <v>-7.8454858</v>
      </c>
      <c r="D384" s="26" t="n">
        <v>112.6975945</v>
      </c>
      <c r="E384" s="21" t="n">
        <v>379770</v>
      </c>
      <c r="F384" s="27" t="n">
        <v>0</v>
      </c>
      <c r="G384" s="28" t="n">
        <v>0</v>
      </c>
      <c r="H384" s="14" t="inlineStr">
        <is>
          <t>N/A</t>
        </is>
      </c>
      <c r="I384" s="29">
        <f>6371 * 2 * ASIN(SQRT(SIN(RADIANS((C384) - INDEX('Dataset_Wisata'!$C$12:$C$622, MATCH('Dashboard'!$C$9, 'Dataset_Wisata'!$A$12:$A$622, 0)))/2)^2 + COS(RADIANS(INDEX('Dataset_Wisata'!$C$12:$C$622, MATCH('Dashboard'!$C$9, 'Dataset_Wisata'!$A$12:$A$622, 0)))) * COS(RADIANS(C384)) * SIN(RADIANS((D384) - INDEX('Dataset_Wisata'!$D$12:$D$622, MATCH('Dashboard'!$C$9, 'Dataset_Wisata'!$A$12:$A$622, 0)))/2)^2)) * 1.3</f>
        <v/>
      </c>
      <c r="J384" s="21">
        <f>ROUND(I384 * IF('Dashboard'!$C$6&lt;=1, 2250, IF('Dashboard'!$C$6&lt;=4, 5150, 6000)), 0)</f>
        <v/>
      </c>
      <c r="K384" s="30" t="n">
        <v>0.01422491117628782</v>
      </c>
      <c r="L384" s="30" t="n">
        <v>0.05141742207143026</v>
      </c>
      <c r="M384" s="30" t="n">
        <v>0.9343576667522818</v>
      </c>
      <c r="N384" s="31">
        <f>ABS(E384-$F$6)</f>
        <v/>
      </c>
      <c r="O384" s="31">
        <f>ABS(E384-$F$7)</f>
        <v/>
      </c>
      <c r="P384" s="31">
        <f>ABS(E384-$F$8)</f>
        <v/>
      </c>
      <c r="Q384" s="14">
        <f>IF(K384&gt;=MAX(L384,M384), "Hemat", IF(L384&gt;=M384, "Balanced", "Premium"))</f>
        <v/>
      </c>
      <c r="R384" s="30" t="n">
        <v>0.01422634853866314</v>
      </c>
      <c r="S384" s="30" t="n">
        <v>0.05142311539166792</v>
      </c>
      <c r="T384" s="30" t="n">
        <v>0.934350536069669</v>
      </c>
      <c r="U384" s="31">
        <f>ABS(E384-$G$6)</f>
        <v/>
      </c>
      <c r="V384" s="31">
        <f>ABS(E384-$G$7)</f>
        <v/>
      </c>
      <c r="W384" s="31">
        <f>ABS(E384-$G$8)</f>
        <v/>
      </c>
      <c r="X384" s="14">
        <f>IF(R384&gt;=MAX(S384,T384), "Hemat", IF(S384&gt;=T384, "Balanced", "Premium"))</f>
        <v/>
      </c>
    </row>
    <row r="385">
      <c r="A385" s="14" t="n">
        <v>374</v>
      </c>
      <c r="B385" s="7" t="inlineStr">
        <is>
          <t>OAK Lawang</t>
        </is>
      </c>
      <c r="C385" s="26" t="n">
        <v>-7.8291557</v>
      </c>
      <c r="D385" s="26" t="n">
        <v>112.6735929</v>
      </c>
      <c r="E385" s="21" t="n">
        <v>579109</v>
      </c>
      <c r="F385" s="27" t="n">
        <v>0</v>
      </c>
      <c r="G385" s="28" t="n">
        <v>0</v>
      </c>
      <c r="H385" s="14" t="inlineStr">
        <is>
          <t>N/A</t>
        </is>
      </c>
      <c r="I385" s="29">
        <f>6371 * 2 * ASIN(SQRT(SIN(RADIANS((C385) - INDEX('Dataset_Wisata'!$C$12:$C$622, MATCH('Dashboard'!$C$9, 'Dataset_Wisata'!$A$12:$A$622, 0)))/2)^2 + COS(RADIANS(INDEX('Dataset_Wisata'!$C$12:$C$622, MATCH('Dashboard'!$C$9, 'Dataset_Wisata'!$A$12:$A$622, 0)))) * COS(RADIANS(C385)) * SIN(RADIANS((D385) - INDEX('Dataset_Wisata'!$D$12:$D$622, MATCH('Dashboard'!$C$9, 'Dataset_Wisata'!$A$12:$A$622, 0)))/2)^2)) * 1.3</f>
        <v/>
      </c>
      <c r="J385" s="21">
        <f>ROUND(I385 * IF('Dashboard'!$C$6&lt;=1, 2250, IF('Dashboard'!$C$6&lt;=4, 5150, 6000)), 0)</f>
        <v/>
      </c>
      <c r="K385" s="30" t="n">
        <v>0.04833201721546526</v>
      </c>
      <c r="L385" s="30" t="n">
        <v>0.08978042467251612</v>
      </c>
      <c r="M385" s="30" t="n">
        <v>0.3551090549285252</v>
      </c>
      <c r="N385" s="31">
        <f>ABS(E385-$F$6)</f>
        <v/>
      </c>
      <c r="O385" s="31">
        <f>ABS(E385-$F$7)</f>
        <v/>
      </c>
      <c r="P385" s="31">
        <f>ABS(E385-$F$8)</f>
        <v/>
      </c>
      <c r="Q385" s="14">
        <f>IF(K385&gt;=MAX(L385,M385), "Hemat", IF(L385&gt;=M385, "Balanced", "Premium"))</f>
        <v/>
      </c>
      <c r="R385" s="30" t="n">
        <v>0.04833206682197709</v>
      </c>
      <c r="S385" s="30" t="n">
        <v>0.08978084075459658</v>
      </c>
      <c r="T385" s="30" t="n">
        <v>0.3551161837558728</v>
      </c>
      <c r="U385" s="31">
        <f>ABS(E385-$G$6)</f>
        <v/>
      </c>
      <c r="V385" s="31">
        <f>ABS(E385-$G$7)</f>
        <v/>
      </c>
      <c r="W385" s="31">
        <f>ABS(E385-$G$8)</f>
        <v/>
      </c>
      <c r="X385" s="14">
        <f>IF(R385&gt;=MAX(S385,T385), "Hemat", IF(S385&gt;=T385, "Balanced", "Premium"))</f>
        <v/>
      </c>
    </row>
    <row r="386">
      <c r="A386" s="14" t="n">
        <v>375</v>
      </c>
      <c r="B386" s="7" t="inlineStr">
        <is>
          <t>Hotel Buah Naga</t>
        </is>
      </c>
      <c r="C386" s="26" t="n">
        <v>-7.8291789</v>
      </c>
      <c r="D386" s="26" t="n">
        <v>112.673769</v>
      </c>
      <c r="E386" s="21" t="n">
        <v>200000</v>
      </c>
      <c r="F386" s="27" t="n">
        <v>0</v>
      </c>
      <c r="G386" s="28" t="n">
        <v>0</v>
      </c>
      <c r="H386" s="14" t="inlineStr">
        <is>
          <t>N/A</t>
        </is>
      </c>
      <c r="I386" s="29">
        <f>6371 * 2 * ASIN(SQRT(SIN(RADIANS((C386) - INDEX('Dataset_Wisata'!$C$12:$C$622, MATCH('Dashboard'!$C$9, 'Dataset_Wisata'!$A$12:$A$622, 0)))/2)^2 + COS(RADIANS(INDEX('Dataset_Wisata'!$C$12:$C$622, MATCH('Dashboard'!$C$9, 'Dataset_Wisata'!$A$12:$A$622, 0)))) * COS(RADIANS(C386)) * SIN(RADIANS((D386) - INDEX('Dataset_Wisata'!$D$12:$D$622, MATCH('Dashboard'!$C$9, 'Dataset_Wisata'!$A$12:$A$622, 0)))/2)^2)) * 1.3</f>
        <v/>
      </c>
      <c r="J386" s="21">
        <f>ROUND(I386 * IF('Dashboard'!$C$6&lt;=1, 2250, IF('Dashboard'!$C$6&lt;=4, 5150, 6000)), 0)</f>
        <v/>
      </c>
      <c r="K386" s="30" t="n">
        <v>0.2553120674410002</v>
      </c>
      <c r="L386" s="30" t="n">
        <v>0.7118698806466551</v>
      </c>
      <c r="M386" s="30" t="n">
        <v>0.03281805191234464</v>
      </c>
      <c r="N386" s="31">
        <f>ABS(E386-$F$6)</f>
        <v/>
      </c>
      <c r="O386" s="31">
        <f>ABS(E386-$F$7)</f>
        <v/>
      </c>
      <c r="P386" s="31">
        <f>ABS(E386-$F$8)</f>
        <v/>
      </c>
      <c r="Q386" s="14">
        <f>IF(K386&gt;=MAX(L386,M386), "Hemat", IF(L386&gt;=M386, "Balanced", "Premium"))</f>
        <v/>
      </c>
      <c r="R386" s="30" t="n">
        <v>0.2553195689263855</v>
      </c>
      <c r="S386" s="30" t="n">
        <v>0.7118621403928133</v>
      </c>
      <c r="T386" s="30" t="n">
        <v>0.03281829068080127</v>
      </c>
      <c r="U386" s="31">
        <f>ABS(E386-$G$6)</f>
        <v/>
      </c>
      <c r="V386" s="31">
        <f>ABS(E386-$G$7)</f>
        <v/>
      </c>
      <c r="W386" s="31">
        <f>ABS(E386-$G$8)</f>
        <v/>
      </c>
      <c r="X386" s="14">
        <f>IF(R386&gt;=MAX(S386,T386), "Hemat", IF(S386&gt;=T386, "Balanced", "Premium"))</f>
        <v/>
      </c>
    </row>
    <row r="387">
      <c r="A387" s="14" t="n">
        <v>376</v>
      </c>
      <c r="B387" s="7" t="inlineStr">
        <is>
          <t>OYO 90684 Happy Homestay Syariah</t>
        </is>
      </c>
      <c r="C387" s="26" t="n">
        <v>-7.9351406</v>
      </c>
      <c r="D387" s="26" t="n">
        <v>112.7005862</v>
      </c>
      <c r="E387" s="21" t="n">
        <v>109497</v>
      </c>
      <c r="F387" s="27" t="n">
        <v>0</v>
      </c>
      <c r="G387" s="28" t="n">
        <v>0</v>
      </c>
      <c r="H387" s="14" t="inlineStr">
        <is>
          <t>N/A</t>
        </is>
      </c>
      <c r="I387" s="29">
        <f>6371 * 2 * ASIN(SQRT(SIN(RADIANS((C387) - INDEX('Dataset_Wisata'!$C$12:$C$622, MATCH('Dashboard'!$C$9, 'Dataset_Wisata'!$A$12:$A$622, 0)))/2)^2 + COS(RADIANS(INDEX('Dataset_Wisata'!$C$12:$C$622, MATCH('Dashboard'!$C$9, 'Dataset_Wisata'!$A$12:$A$622, 0)))) * COS(RADIANS(C387)) * SIN(RADIANS((D387) - INDEX('Dataset_Wisata'!$D$12:$D$622, MATCH('Dashboard'!$C$9, 'Dataset_Wisata'!$A$12:$A$622, 0)))/2)^2)) * 1.3</f>
        <v/>
      </c>
      <c r="J387" s="21">
        <f>ROUND(I387 * IF('Dashboard'!$C$6&lt;=1, 2250, IF('Dashboard'!$C$6&lt;=4, 5150, 6000)), 0)</f>
        <v/>
      </c>
      <c r="K387" s="30" t="n">
        <v>0.9860301624373211</v>
      </c>
      <c r="L387" s="30" t="n">
        <v>0.0116155818241759</v>
      </c>
      <c r="M387" s="30" t="n">
        <v>0.002354255738502819</v>
      </c>
      <c r="N387" s="31">
        <f>ABS(E387-$F$6)</f>
        <v/>
      </c>
      <c r="O387" s="31">
        <f>ABS(E387-$F$7)</f>
        <v/>
      </c>
      <c r="P387" s="31">
        <f>ABS(E387-$F$8)</f>
        <v/>
      </c>
      <c r="Q387" s="14">
        <f>IF(K387&gt;=MAX(L387,M387), "Hemat", IF(L387&gt;=M387, "Balanced", "Premium"))</f>
        <v/>
      </c>
      <c r="R387" s="30" t="n">
        <v>0.9860298826500024</v>
      </c>
      <c r="S387" s="30" t="n">
        <v>0.01161581402716808</v>
      </c>
      <c r="T387" s="30" t="n">
        <v>0.002354303322829573</v>
      </c>
      <c r="U387" s="31">
        <f>ABS(E387-$G$6)</f>
        <v/>
      </c>
      <c r="V387" s="31">
        <f>ABS(E387-$G$7)</f>
        <v/>
      </c>
      <c r="W387" s="31">
        <f>ABS(E387-$G$8)</f>
        <v/>
      </c>
      <c r="X387" s="14">
        <f>IF(R387&gt;=MAX(S387,T387), "Hemat", IF(S387&gt;=T387, "Balanced", "Premium"))</f>
        <v/>
      </c>
    </row>
    <row r="388">
      <c r="A388" s="14" t="n">
        <v>377</v>
      </c>
      <c r="B388" s="7" t="inlineStr">
        <is>
          <t>Hotel Niagara</t>
        </is>
      </c>
      <c r="C388" s="26" t="n">
        <v>-7.8280267</v>
      </c>
      <c r="D388" s="26" t="n">
        <v>112.6986384</v>
      </c>
      <c r="E388" s="21" t="n">
        <v>143027</v>
      </c>
      <c r="F388" s="27" t="n">
        <v>0</v>
      </c>
      <c r="G388" s="28" t="n">
        <v>0</v>
      </c>
      <c r="H388" s="14" t="inlineStr">
        <is>
          <t>N/A</t>
        </is>
      </c>
      <c r="I388" s="29">
        <f>6371 * 2 * ASIN(SQRT(SIN(RADIANS((C388) - INDEX('Dataset_Wisata'!$C$12:$C$622, MATCH('Dashboard'!$C$9, 'Dataset_Wisata'!$A$12:$A$622, 0)))/2)^2 + COS(RADIANS(INDEX('Dataset_Wisata'!$C$12:$C$622, MATCH('Dashboard'!$C$9, 'Dataset_Wisata'!$A$12:$A$622, 0)))) * COS(RADIANS(C388)) * SIN(RADIANS((D388) - INDEX('Dataset_Wisata'!$D$12:$D$622, MATCH('Dashboard'!$C$9, 'Dataset_Wisata'!$A$12:$A$622, 0)))/2)^2)) * 1.3</f>
        <v/>
      </c>
      <c r="J388" s="21">
        <f>ROUND(I388 * IF('Dashboard'!$C$6&lt;=1, 2250, IF('Dashboard'!$C$6&lt;=4, 5150, 6000)), 0)</f>
        <v/>
      </c>
      <c r="K388" s="30" t="n">
        <v>0.9628470957774018</v>
      </c>
      <c r="L388" s="30" t="n">
        <v>0.03243293629166524</v>
      </c>
      <c r="M388" s="30" t="n">
        <v>0.004719967930933069</v>
      </c>
      <c r="N388" s="31">
        <f>ABS(E388-$F$6)</f>
        <v/>
      </c>
      <c r="O388" s="31">
        <f>ABS(E388-$F$7)</f>
        <v/>
      </c>
      <c r="P388" s="31">
        <f>ABS(E388-$F$8)</f>
        <v/>
      </c>
      <c r="Q388" s="14">
        <f>IF(K388&gt;=MAX(L388,M388), "Hemat", IF(L388&gt;=M388, "Balanced", "Premium"))</f>
        <v/>
      </c>
      <c r="R388" s="30" t="n">
        <v>0.9628485139155784</v>
      </c>
      <c r="S388" s="30" t="n">
        <v>0.03243168778557894</v>
      </c>
      <c r="T388" s="30" t="n">
        <v>0.004719798298842726</v>
      </c>
      <c r="U388" s="31">
        <f>ABS(E388-$G$6)</f>
        <v/>
      </c>
      <c r="V388" s="31">
        <f>ABS(E388-$G$7)</f>
        <v/>
      </c>
      <c r="W388" s="31">
        <f>ABS(E388-$G$8)</f>
        <v/>
      </c>
      <c r="X388" s="14">
        <f>IF(R388&gt;=MAX(S388,T388), "Hemat", IF(S388&gt;=T388, "Balanced", "Premium"))</f>
        <v/>
      </c>
    </row>
    <row r="389">
      <c r="A389" s="14" t="n">
        <v>378</v>
      </c>
      <c r="B389" s="7" t="inlineStr">
        <is>
          <t>Sri maha resort in teluk asmara</t>
        </is>
      </c>
      <c r="C389" s="26" t="n">
        <v>-8.443339099999999</v>
      </c>
      <c r="D389" s="26" t="n">
        <v>112.6622612</v>
      </c>
      <c r="E389" s="21" t="n">
        <v>850000</v>
      </c>
      <c r="F389" s="27" t="n">
        <v>0</v>
      </c>
      <c r="G389" s="28" t="n">
        <v>0</v>
      </c>
      <c r="H389" s="14" t="inlineStr">
        <is>
          <t>N/A</t>
        </is>
      </c>
      <c r="I389" s="29">
        <f>6371 * 2 * ASIN(SQRT(SIN(RADIANS((C389) - INDEX('Dataset_Wisata'!$C$12:$C$622, MATCH('Dashboard'!$C$9, 'Dataset_Wisata'!$A$12:$A$622, 0)))/2)^2 + COS(RADIANS(INDEX('Dataset_Wisata'!$C$12:$C$622, MATCH('Dashboard'!$C$9, 'Dataset_Wisata'!$A$12:$A$622, 0)))) * COS(RADIANS(C389)) * SIN(RADIANS((D389) - INDEX('Dataset_Wisata'!$D$12:$D$622, MATCH('Dashboard'!$C$9, 'Dataset_Wisata'!$A$12:$A$622, 0)))/2)^2)) * 1.3</f>
        <v/>
      </c>
      <c r="J389" s="21">
        <f>ROUND(I389 * IF('Dashboard'!$C$6&lt;=1, 2250, IF('Dashboard'!$C$6&lt;=4, 5150, 6000)), 0)</f>
        <v/>
      </c>
      <c r="K389" s="30" t="n">
        <v>0.01898535434033861</v>
      </c>
      <c r="L389" s="30" t="n">
        <v>0.02735383194587947</v>
      </c>
      <c r="M389" s="30" t="n">
        <v>0.0519591173446041</v>
      </c>
      <c r="N389" s="31">
        <f>ABS(E389-$F$6)</f>
        <v/>
      </c>
      <c r="O389" s="31">
        <f>ABS(E389-$F$7)</f>
        <v/>
      </c>
      <c r="P389" s="31">
        <f>ABS(E389-$F$8)</f>
        <v/>
      </c>
      <c r="Q389" s="14">
        <f>IF(K389&gt;=MAX(L389,M389), "Hemat", IF(L389&gt;=M389, "Balanced", "Premium"))</f>
        <v/>
      </c>
      <c r="R389" s="30" t="n">
        <v>0.01898536655311045</v>
      </c>
      <c r="S389" s="30" t="n">
        <v>0.02735390191930167</v>
      </c>
      <c r="T389" s="30" t="n">
        <v>0.05195951633651105</v>
      </c>
      <c r="U389" s="31">
        <f>ABS(E389-$G$6)</f>
        <v/>
      </c>
      <c r="V389" s="31">
        <f>ABS(E389-$G$7)</f>
        <v/>
      </c>
      <c r="W389" s="31">
        <f>ABS(E389-$G$8)</f>
        <v/>
      </c>
      <c r="X389" s="14">
        <f>IF(R389&gt;=MAX(S389,T389), "Hemat", IF(S389&gt;=T389, "Balanced", "Premium"))</f>
        <v/>
      </c>
    </row>
    <row r="390">
      <c r="A390" s="14" t="n">
        <v>379</v>
      </c>
      <c r="B390" s="7" t="inlineStr">
        <is>
          <t>Penginapan Pondok Wisata Berkah Alam</t>
        </is>
      </c>
      <c r="C390" s="26" t="n">
        <v>-8.429298599999999</v>
      </c>
      <c r="D390" s="26" t="n">
        <v>112.678224</v>
      </c>
      <c r="E390" s="21" t="n">
        <v>200000</v>
      </c>
      <c r="F390" s="27" t="n">
        <v>0</v>
      </c>
      <c r="G390" s="28" t="n">
        <v>0</v>
      </c>
      <c r="H390" s="14" t="inlineStr">
        <is>
          <t>N/A</t>
        </is>
      </c>
      <c r="I390" s="29">
        <f>6371 * 2 * ASIN(SQRT(SIN(RADIANS((C390) - INDEX('Dataset_Wisata'!$C$12:$C$622, MATCH('Dashboard'!$C$9, 'Dataset_Wisata'!$A$12:$A$622, 0)))/2)^2 + COS(RADIANS(INDEX('Dataset_Wisata'!$C$12:$C$622, MATCH('Dashboard'!$C$9, 'Dataset_Wisata'!$A$12:$A$622, 0)))) * COS(RADIANS(C390)) * SIN(RADIANS((D390) - INDEX('Dataset_Wisata'!$D$12:$D$622, MATCH('Dashboard'!$C$9, 'Dataset_Wisata'!$A$12:$A$622, 0)))/2)^2)) * 1.3</f>
        <v/>
      </c>
      <c r="J390" s="21">
        <f>ROUND(I390 * IF('Dashboard'!$C$6&lt;=1, 2250, IF('Dashboard'!$C$6&lt;=4, 5150, 6000)), 0)</f>
        <v/>
      </c>
      <c r="K390" s="30" t="n">
        <v>0.2553120674410002</v>
      </c>
      <c r="L390" s="30" t="n">
        <v>0.7118698806466551</v>
      </c>
      <c r="M390" s="30" t="n">
        <v>0.03281805191234464</v>
      </c>
      <c r="N390" s="31">
        <f>ABS(E390-$F$6)</f>
        <v/>
      </c>
      <c r="O390" s="31">
        <f>ABS(E390-$F$7)</f>
        <v/>
      </c>
      <c r="P390" s="31">
        <f>ABS(E390-$F$8)</f>
        <v/>
      </c>
      <c r="Q390" s="14">
        <f>IF(K390&gt;=MAX(L390,M390), "Hemat", IF(L390&gt;=M390, "Balanced", "Premium"))</f>
        <v/>
      </c>
      <c r="R390" s="30" t="n">
        <v>0.2553195689263855</v>
      </c>
      <c r="S390" s="30" t="n">
        <v>0.7118621403928133</v>
      </c>
      <c r="T390" s="30" t="n">
        <v>0.03281829068080127</v>
      </c>
      <c r="U390" s="31">
        <f>ABS(E390-$G$6)</f>
        <v/>
      </c>
      <c r="V390" s="31">
        <f>ABS(E390-$G$7)</f>
        <v/>
      </c>
      <c r="W390" s="31">
        <f>ABS(E390-$G$8)</f>
        <v/>
      </c>
      <c r="X390" s="14">
        <f>IF(R390&gt;=MAX(S390,T390), "Hemat", IF(S390&gt;=T390, "Balanced", "Premium"))</f>
        <v/>
      </c>
    </row>
    <row r="391">
      <c r="A391" s="14" t="n">
        <v>380</v>
      </c>
      <c r="B391" s="7" t="inlineStr">
        <is>
          <t>Guest House Madidihang Pondokdadap - Sendang Biru</t>
        </is>
      </c>
      <c r="C391" s="26" t="n">
        <v>-8.4322137</v>
      </c>
      <c r="D391" s="26" t="n">
        <v>112.6817686</v>
      </c>
      <c r="E391" s="21" t="n">
        <v>250000</v>
      </c>
      <c r="F391" s="27" t="n">
        <v>0</v>
      </c>
      <c r="G391" s="28" t="n">
        <v>0</v>
      </c>
      <c r="H391" s="14" t="inlineStr">
        <is>
          <t>N/A</t>
        </is>
      </c>
      <c r="I391" s="29">
        <f>6371 * 2 * ASIN(SQRT(SIN(RADIANS((C391) - INDEX('Dataset_Wisata'!$C$12:$C$622, MATCH('Dashboard'!$C$9, 'Dataset_Wisata'!$A$12:$A$622, 0)))/2)^2 + COS(RADIANS(INDEX('Dataset_Wisata'!$C$12:$C$622, MATCH('Dashboard'!$C$9, 'Dataset_Wisata'!$A$12:$A$622, 0)))) * COS(RADIANS(C391)) * SIN(RADIANS((D391) - INDEX('Dataset_Wisata'!$D$12:$D$622, MATCH('Dashboard'!$C$9, 'Dataset_Wisata'!$A$12:$A$622, 0)))/2)^2)) * 1.3</f>
        <v/>
      </c>
      <c r="J391" s="21">
        <f>ROUND(I391 * IF('Dashboard'!$C$6&lt;=1, 2250, IF('Dashboard'!$C$6&lt;=4, 5150, 6000)), 0)</f>
        <v/>
      </c>
      <c r="K391" s="30" t="n">
        <v>0.001353558595276529</v>
      </c>
      <c r="L391" s="30" t="n">
        <v>0.9978236799136749</v>
      </c>
      <c r="M391" s="30" t="n">
        <v>0.0008227614910485521</v>
      </c>
      <c r="N391" s="31">
        <f>ABS(E391-$F$6)</f>
        <v/>
      </c>
      <c r="O391" s="31">
        <f>ABS(E391-$F$7)</f>
        <v/>
      </c>
      <c r="P391" s="31">
        <f>ABS(E391-$F$8)</f>
        <v/>
      </c>
      <c r="Q391" s="14">
        <f>IF(K391&gt;=MAX(L391,M391), "Hemat", IF(L391&gt;=M391, "Balanced", "Premium"))</f>
        <v/>
      </c>
      <c r="R391" s="30" t="n">
        <v>0.001353112652701395</v>
      </c>
      <c r="S391" s="30" t="n">
        <v>0.9978244171537111</v>
      </c>
      <c r="T391" s="30" t="n">
        <v>0.0008224701935875775</v>
      </c>
      <c r="U391" s="31">
        <f>ABS(E391-$G$6)</f>
        <v/>
      </c>
      <c r="V391" s="31">
        <f>ABS(E391-$G$7)</f>
        <v/>
      </c>
      <c r="W391" s="31">
        <f>ABS(E391-$G$8)</f>
        <v/>
      </c>
      <c r="X391" s="14">
        <f>IF(R391&gt;=MAX(S391,T391), "Hemat", IF(S391&gt;=T391, "Balanced", "Premium"))</f>
        <v/>
      </c>
    </row>
    <row r="392">
      <c r="A392" s="14" t="n">
        <v>381</v>
      </c>
      <c r="B392" s="7" t="inlineStr">
        <is>
          <t>Villa Asmara Hills</t>
        </is>
      </c>
      <c r="C392" s="26" t="n">
        <v>-8.440856399999999</v>
      </c>
      <c r="D392" s="26" t="n">
        <v>112.6643857</v>
      </c>
      <c r="E392" s="21" t="n">
        <v>650000</v>
      </c>
      <c r="F392" s="27" t="n">
        <v>0</v>
      </c>
      <c r="G392" s="28" t="n">
        <v>0</v>
      </c>
      <c r="H392" s="14" t="inlineStr">
        <is>
          <t>N/A</t>
        </is>
      </c>
      <c r="I392" s="29">
        <f>6371 * 2 * ASIN(SQRT(SIN(RADIANS((C392) - INDEX('Dataset_Wisata'!$C$12:$C$622, MATCH('Dashboard'!$C$9, 'Dataset_Wisata'!$A$12:$A$622, 0)))/2)^2 + COS(RADIANS(INDEX('Dataset_Wisata'!$C$12:$C$622, MATCH('Dashboard'!$C$9, 'Dataset_Wisata'!$A$12:$A$622, 0)))) * COS(RADIANS(C392)) * SIN(RADIANS((D392) - INDEX('Dataset_Wisata'!$D$12:$D$622, MATCH('Dashboard'!$C$9, 'Dataset_Wisata'!$A$12:$A$622, 0)))/2)^2)) * 1.3</f>
        <v/>
      </c>
      <c r="J392" s="21">
        <f>ROUND(I392 * IF('Dashboard'!$C$6&lt;=1, 2250, IF('Dashboard'!$C$6&lt;=4, 5150, 6000)), 0)</f>
        <v/>
      </c>
      <c r="K392" s="30" t="n">
        <v>0.03617691196794688</v>
      </c>
      <c r="L392" s="30" t="n">
        <v>0.06107735101803245</v>
      </c>
      <c r="M392" s="30" t="n">
        <v>0.1755050875401816</v>
      </c>
      <c r="N392" s="31">
        <f>ABS(E392-$F$6)</f>
        <v/>
      </c>
      <c r="O392" s="31">
        <f>ABS(E392-$F$7)</f>
        <v/>
      </c>
      <c r="P392" s="31">
        <f>ABS(E392-$F$8)</f>
        <v/>
      </c>
      <c r="Q392" s="14">
        <f>IF(K392&gt;=MAX(L392,M392), "Hemat", IF(L392&gt;=M392, "Balanced", "Premium"))</f>
        <v/>
      </c>
      <c r="R392" s="30" t="n">
        <v>0.03617694409223424</v>
      </c>
      <c r="S392" s="30" t="n">
        <v>0.06107758448559778</v>
      </c>
      <c r="T392" s="30" t="n">
        <v>0.175507564438056</v>
      </c>
      <c r="U392" s="31">
        <f>ABS(E392-$G$6)</f>
        <v/>
      </c>
      <c r="V392" s="31">
        <f>ABS(E392-$G$7)</f>
        <v/>
      </c>
      <c r="W392" s="31">
        <f>ABS(E392-$G$8)</f>
        <v/>
      </c>
      <c r="X392" s="14">
        <f>IF(R392&gt;=MAX(S392,T392), "Hemat", IF(S392&gt;=T392, "Balanced", "Premium"))</f>
        <v/>
      </c>
    </row>
    <row r="393">
      <c r="A393" s="14" t="n">
        <v>382</v>
      </c>
      <c r="B393" s="7" t="inlineStr">
        <is>
          <t>Maltan’s Room</t>
        </is>
      </c>
      <c r="C393" s="26" t="n">
        <v>-8.381903299999999</v>
      </c>
      <c r="D393" s="26" t="n">
        <v>112.6816825</v>
      </c>
      <c r="E393" s="21" t="n">
        <v>100000</v>
      </c>
      <c r="F393" s="27" t="n">
        <v>0</v>
      </c>
      <c r="G393" s="28" t="n">
        <v>0</v>
      </c>
      <c r="H393" s="14" t="inlineStr">
        <is>
          <t>N/A</t>
        </is>
      </c>
      <c r="I393" s="29">
        <f>6371 * 2 * ASIN(SQRT(SIN(RADIANS((C393) - INDEX('Dataset_Wisata'!$C$12:$C$622, MATCH('Dashboard'!$C$9, 'Dataset_Wisata'!$A$12:$A$622, 0)))/2)^2 + COS(RADIANS(INDEX('Dataset_Wisata'!$C$12:$C$622, MATCH('Dashboard'!$C$9, 'Dataset_Wisata'!$A$12:$A$622, 0)))) * COS(RADIANS(C393)) * SIN(RADIANS((D393) - INDEX('Dataset_Wisata'!$D$12:$D$622, MATCH('Dashboard'!$C$9, 'Dataset_Wisata'!$A$12:$A$622, 0)))/2)^2)) * 1.3</f>
        <v/>
      </c>
      <c r="J393" s="21">
        <f>ROUND(I393 * IF('Dashboard'!$C$6&lt;=1, 2250, IF('Dashboard'!$C$6&lt;=4, 5150, 6000)), 0)</f>
        <v/>
      </c>
      <c r="K393" s="30" t="n">
        <v>0.9672305756379272</v>
      </c>
      <c r="L393" s="30" t="n">
        <v>0.02690286027756393</v>
      </c>
      <c r="M393" s="30" t="n">
        <v>0.005866564084508831</v>
      </c>
      <c r="N393" s="31">
        <f>ABS(E393-$F$6)</f>
        <v/>
      </c>
      <c r="O393" s="31">
        <f>ABS(E393-$F$7)</f>
        <v/>
      </c>
      <c r="P393" s="31">
        <f>ABS(E393-$F$8)</f>
        <v/>
      </c>
      <c r="Q393" s="14">
        <f>IF(K393&gt;=MAX(L393,M393), "Hemat", IF(L393&gt;=M393, "Balanced", "Premium"))</f>
        <v/>
      </c>
      <c r="R393" s="30" t="n">
        <v>0.9672303035537276</v>
      </c>
      <c r="S393" s="30" t="n">
        <v>0.02690308452718115</v>
      </c>
      <c r="T393" s="30" t="n">
        <v>0.0058666119190913</v>
      </c>
      <c r="U393" s="31">
        <f>ABS(E393-$G$6)</f>
        <v/>
      </c>
      <c r="V393" s="31">
        <f>ABS(E393-$G$7)</f>
        <v/>
      </c>
      <c r="W393" s="31">
        <f>ABS(E393-$G$8)</f>
        <v/>
      </c>
      <c r="X393" s="14">
        <f>IF(R393&gt;=MAX(S393,T393), "Hemat", IF(S393&gt;=T393, "Balanced", "Premium"))</f>
        <v/>
      </c>
    </row>
    <row r="394">
      <c r="A394" s="14" t="n">
        <v>383</v>
      </c>
      <c r="B394" s="7" t="inlineStr">
        <is>
          <t>Homestay Pondok Bamboe Sendang Biru</t>
        </is>
      </c>
      <c r="C394" s="26" t="n">
        <v>-8.4152</v>
      </c>
      <c r="D394" s="26" t="n">
        <v>112.6948752</v>
      </c>
      <c r="E394" s="21" t="n">
        <v>150000</v>
      </c>
      <c r="F394" s="27" t="n">
        <v>0</v>
      </c>
      <c r="G394" s="28" t="n">
        <v>0</v>
      </c>
      <c r="H394" s="14" t="inlineStr">
        <is>
          <t>N/A</t>
        </is>
      </c>
      <c r="I394" s="29">
        <f>6371 * 2 * ASIN(SQRT(SIN(RADIANS((C394) - INDEX('Dataset_Wisata'!$C$12:$C$622, MATCH('Dashboard'!$C$9, 'Dataset_Wisata'!$A$12:$A$622, 0)))/2)^2 + COS(RADIANS(INDEX('Dataset_Wisata'!$C$12:$C$622, MATCH('Dashboard'!$C$9, 'Dataset_Wisata'!$A$12:$A$622, 0)))) * COS(RADIANS(C394)) * SIN(RADIANS((D394) - INDEX('Dataset_Wisata'!$D$12:$D$622, MATCH('Dashboard'!$C$9, 'Dataset_Wisata'!$A$12:$A$622, 0)))/2)^2)) * 1.3</f>
        <v/>
      </c>
      <c r="J394" s="21">
        <f>ROUND(I394 * IF('Dashboard'!$C$6&lt;=1, 2250, IF('Dashboard'!$C$6&lt;=4, 5150, 6000)), 0)</f>
        <v/>
      </c>
      <c r="K394" s="30" t="n">
        <v>0.9236568385235482</v>
      </c>
      <c r="L394" s="30" t="n">
        <v>0.06736899151285153</v>
      </c>
      <c r="M394" s="30" t="n">
        <v>0.008974169963600275</v>
      </c>
      <c r="N394" s="31">
        <f>ABS(E394-$F$6)</f>
        <v/>
      </c>
      <c r="O394" s="31">
        <f>ABS(E394-$F$7)</f>
        <v/>
      </c>
      <c r="P394" s="31">
        <f>ABS(E394-$F$8)</f>
        <v/>
      </c>
      <c r="Q394" s="14">
        <f>IF(K394&gt;=MAX(L394,M394), "Hemat", IF(L394&gt;=M394, "Balanced", "Premium"))</f>
        <v/>
      </c>
      <c r="R394" s="30" t="n">
        <v>0.9236592327110943</v>
      </c>
      <c r="S394" s="30" t="n">
        <v>0.0673668524262508</v>
      </c>
      <c r="T394" s="30" t="n">
        <v>0.008973914862654904</v>
      </c>
      <c r="U394" s="31">
        <f>ABS(E394-$G$6)</f>
        <v/>
      </c>
      <c r="V394" s="31">
        <f>ABS(E394-$G$7)</f>
        <v/>
      </c>
      <c r="W394" s="31">
        <f>ABS(E394-$G$8)</f>
        <v/>
      </c>
      <c r="X394" s="14">
        <f>IF(R394&gt;=MAX(S394,T394), "Hemat", IF(S394&gt;=T394, "Balanced", "Premium"))</f>
        <v/>
      </c>
    </row>
    <row r="395">
      <c r="A395" s="14" t="n">
        <v>384</v>
      </c>
      <c r="B395" s="7" t="inlineStr">
        <is>
          <t>Safa Guest House</t>
        </is>
      </c>
      <c r="C395" s="26" t="n">
        <v>-7.972352</v>
      </c>
      <c r="D395" s="26" t="n">
        <v>112.662764</v>
      </c>
      <c r="E395" s="21" t="n">
        <v>84602</v>
      </c>
      <c r="F395" s="27" t="n">
        <v>0</v>
      </c>
      <c r="G395" s="28" t="n">
        <v>0</v>
      </c>
      <c r="H395" s="14" t="inlineStr">
        <is>
          <t>N/A</t>
        </is>
      </c>
      <c r="I395" s="29">
        <f>6371 * 2 * ASIN(SQRT(SIN(RADIANS((C395) - INDEX('Dataset_Wisata'!$C$12:$C$622, MATCH('Dashboard'!$C$9, 'Dataset_Wisata'!$A$12:$A$622, 0)))/2)^2 + COS(RADIANS(INDEX('Dataset_Wisata'!$C$12:$C$622, MATCH('Dashboard'!$C$9, 'Dataset_Wisata'!$A$12:$A$622, 0)))) * COS(RADIANS(C395)) * SIN(RADIANS((D395) - INDEX('Dataset_Wisata'!$D$12:$D$622, MATCH('Dashboard'!$C$9, 'Dataset_Wisata'!$A$12:$A$622, 0)))/2)^2)) * 1.3</f>
        <v/>
      </c>
      <c r="J395" s="21">
        <f>ROUND(I395 * IF('Dashboard'!$C$6&lt;=1, 2250, IF('Dashboard'!$C$6&lt;=4, 5150, 6000)), 0)</f>
        <v/>
      </c>
      <c r="K395" s="30" t="n">
        <v>0.9297773971913347</v>
      </c>
      <c r="L395" s="30" t="n">
        <v>0.05653268911878166</v>
      </c>
      <c r="M395" s="30" t="n">
        <v>0.01368991368988373</v>
      </c>
      <c r="N395" s="31">
        <f>ABS(E395-$F$6)</f>
        <v/>
      </c>
      <c r="O395" s="31">
        <f>ABS(E395-$F$7)</f>
        <v/>
      </c>
      <c r="P395" s="31">
        <f>ABS(E395-$F$8)</f>
        <v/>
      </c>
      <c r="Q395" s="14">
        <f>IF(K395&gt;=MAX(L395,M395), "Hemat", IF(L395&gt;=M395, "Balanced", "Premium"))</f>
        <v/>
      </c>
      <c r="R395" s="30" t="n">
        <v>0.9297772652088369</v>
      </c>
      <c r="S395" s="30" t="n">
        <v>0.0565328029844524</v>
      </c>
      <c r="T395" s="30" t="n">
        <v>0.01368993180671063</v>
      </c>
      <c r="U395" s="31">
        <f>ABS(E395-$G$6)</f>
        <v/>
      </c>
      <c r="V395" s="31">
        <f>ABS(E395-$G$7)</f>
        <v/>
      </c>
      <c r="W395" s="31">
        <f>ABS(E395-$G$8)</f>
        <v/>
      </c>
      <c r="X395" s="14">
        <f>IF(R395&gt;=MAX(S395,T395), "Hemat", IF(S395&gt;=T395, "Balanced", "Premium"))</f>
        <v/>
      </c>
    </row>
    <row r="396">
      <c r="A396" s="14" t="n">
        <v>385</v>
      </c>
      <c r="B396" s="7" t="inlineStr">
        <is>
          <t>RedDoorz Syariah near Exit Tol Malang</t>
        </is>
      </c>
      <c r="C396" s="26" t="n">
        <v>-7.9815329</v>
      </c>
      <c r="D396" s="26" t="n">
        <v>112.6830877</v>
      </c>
      <c r="E396" s="21" t="n">
        <v>92000</v>
      </c>
      <c r="F396" s="27" t="n">
        <v>0</v>
      </c>
      <c r="G396" s="28" t="n">
        <v>0</v>
      </c>
      <c r="H396" s="14" t="inlineStr">
        <is>
          <t>N/A</t>
        </is>
      </c>
      <c r="I396" s="29">
        <f>6371 * 2 * ASIN(SQRT(SIN(RADIANS((C396) - INDEX('Dataset_Wisata'!$C$12:$C$622, MATCH('Dashboard'!$C$9, 'Dataset_Wisata'!$A$12:$A$622, 0)))/2)^2 + COS(RADIANS(INDEX('Dataset_Wisata'!$C$12:$C$622, MATCH('Dashboard'!$C$9, 'Dataset_Wisata'!$A$12:$A$622, 0)))) * COS(RADIANS(C396)) * SIN(RADIANS((D396) - INDEX('Dataset_Wisata'!$D$12:$D$622, MATCH('Dashboard'!$C$9, 'Dataset_Wisata'!$A$12:$A$622, 0)))/2)^2)) * 1.3</f>
        <v/>
      </c>
      <c r="J396" s="21">
        <f>ROUND(I396 * IF('Dashboard'!$C$6&lt;=1, 2250, IF('Dashboard'!$C$6&lt;=4, 5150, 6000)), 0)</f>
        <v/>
      </c>
      <c r="K396" s="30" t="n">
        <v>0.9484083671269724</v>
      </c>
      <c r="L396" s="30" t="n">
        <v>0.0419200195801938</v>
      </c>
      <c r="M396" s="30" t="n">
        <v>0.009671613292833871</v>
      </c>
      <c r="N396" s="31">
        <f>ABS(E396-$F$6)</f>
        <v/>
      </c>
      <c r="O396" s="31">
        <f>ABS(E396-$F$7)</f>
        <v/>
      </c>
      <c r="P396" s="31">
        <f>ABS(E396-$F$8)</f>
        <v/>
      </c>
      <c r="Q396" s="14">
        <f>IF(K396&gt;=MAX(L396,M396), "Hemat", IF(L396&gt;=M396, "Balanced", "Premium"))</f>
        <v/>
      </c>
      <c r="R396" s="30" t="n">
        <v>0.9484081563954151</v>
      </c>
      <c r="S396" s="30" t="n">
        <v>0.04192019446614478</v>
      </c>
      <c r="T396" s="30" t="n">
        <v>0.009671649138440068</v>
      </c>
      <c r="U396" s="31">
        <f>ABS(E396-$G$6)</f>
        <v/>
      </c>
      <c r="V396" s="31">
        <f>ABS(E396-$G$7)</f>
        <v/>
      </c>
      <c r="W396" s="31">
        <f>ABS(E396-$G$8)</f>
        <v/>
      </c>
      <c r="X396" s="14">
        <f>IF(R396&gt;=MAX(S396,T396), "Hemat", IF(S396&gt;=T396, "Balanced", "Premium"))</f>
        <v/>
      </c>
    </row>
    <row r="397">
      <c r="A397" s="14" t="n">
        <v>386</v>
      </c>
      <c r="B397" s="7" t="inlineStr">
        <is>
          <t>Javana Homestay</t>
        </is>
      </c>
      <c r="C397" s="26" t="n">
        <v>-7.9934632</v>
      </c>
      <c r="D397" s="26" t="n">
        <v>112.6801826</v>
      </c>
      <c r="E397" s="21" t="n">
        <v>100000</v>
      </c>
      <c r="F397" s="27" t="n">
        <v>0</v>
      </c>
      <c r="G397" s="28" t="n">
        <v>0</v>
      </c>
      <c r="H397" s="14" t="inlineStr">
        <is>
          <t>N/A</t>
        </is>
      </c>
      <c r="I397" s="29">
        <f>6371 * 2 * ASIN(SQRT(SIN(RADIANS((C397) - INDEX('Dataset_Wisata'!$C$12:$C$622, MATCH('Dashboard'!$C$9, 'Dataset_Wisata'!$A$12:$A$622, 0)))/2)^2 + COS(RADIANS(INDEX('Dataset_Wisata'!$C$12:$C$622, MATCH('Dashboard'!$C$9, 'Dataset_Wisata'!$A$12:$A$622, 0)))) * COS(RADIANS(C397)) * SIN(RADIANS((D397) - INDEX('Dataset_Wisata'!$D$12:$D$622, MATCH('Dashboard'!$C$9, 'Dataset_Wisata'!$A$12:$A$622, 0)))/2)^2)) * 1.3</f>
        <v/>
      </c>
      <c r="J397" s="21">
        <f>ROUND(I397 * IF('Dashboard'!$C$6&lt;=1, 2250, IF('Dashboard'!$C$6&lt;=4, 5150, 6000)), 0)</f>
        <v/>
      </c>
      <c r="K397" s="30" t="n">
        <v>0.9672305756379272</v>
      </c>
      <c r="L397" s="30" t="n">
        <v>0.02690286027756393</v>
      </c>
      <c r="M397" s="30" t="n">
        <v>0.005866564084508831</v>
      </c>
      <c r="N397" s="31">
        <f>ABS(E397-$F$6)</f>
        <v/>
      </c>
      <c r="O397" s="31">
        <f>ABS(E397-$F$7)</f>
        <v/>
      </c>
      <c r="P397" s="31">
        <f>ABS(E397-$F$8)</f>
        <v/>
      </c>
      <c r="Q397" s="14">
        <f>IF(K397&gt;=MAX(L397,M397), "Hemat", IF(L397&gt;=M397, "Balanced", "Premium"))</f>
        <v/>
      </c>
      <c r="R397" s="30" t="n">
        <v>0.9672303035537276</v>
      </c>
      <c r="S397" s="30" t="n">
        <v>0.02690308452718115</v>
      </c>
      <c r="T397" s="30" t="n">
        <v>0.0058666119190913</v>
      </c>
      <c r="U397" s="31">
        <f>ABS(E397-$G$6)</f>
        <v/>
      </c>
      <c r="V397" s="31">
        <f>ABS(E397-$G$7)</f>
        <v/>
      </c>
      <c r="W397" s="31">
        <f>ABS(E397-$G$8)</f>
        <v/>
      </c>
      <c r="X397" s="14">
        <f>IF(R397&gt;=MAX(S397,T397), "Hemat", IF(S397&gt;=T397, "Balanced", "Premium"))</f>
        <v/>
      </c>
    </row>
    <row r="398">
      <c r="A398" s="14" t="n">
        <v>387</v>
      </c>
      <c r="B398" s="7" t="inlineStr">
        <is>
          <t>Sawojajar Inn</t>
        </is>
      </c>
      <c r="C398" s="26" t="n">
        <v>-7.9800163</v>
      </c>
      <c r="D398" s="26" t="n">
        <v>112.6538768</v>
      </c>
      <c r="E398" s="21" t="n">
        <v>174600</v>
      </c>
      <c r="F398" s="27" t="n">
        <v>0</v>
      </c>
      <c r="G398" s="28" t="n">
        <v>0</v>
      </c>
      <c r="H398" s="14" t="inlineStr">
        <is>
          <t>N/A</t>
        </is>
      </c>
      <c r="I398" s="29">
        <f>6371 * 2 * ASIN(SQRT(SIN(RADIANS((C398) - INDEX('Dataset_Wisata'!$C$12:$C$622, MATCH('Dashboard'!$C$9, 'Dataset_Wisata'!$A$12:$A$622, 0)))/2)^2 + COS(RADIANS(INDEX('Dataset_Wisata'!$C$12:$C$622, MATCH('Dashboard'!$C$9, 'Dataset_Wisata'!$A$12:$A$622, 0)))) * COS(RADIANS(C398)) * SIN(RADIANS((D398) - INDEX('Dataset_Wisata'!$D$12:$D$622, MATCH('Dashboard'!$C$9, 'Dataset_Wisata'!$A$12:$A$622, 0)))/2)^2)) * 1.3</f>
        <v/>
      </c>
      <c r="J398" s="21">
        <f>ROUND(I398 * IF('Dashboard'!$C$6&lt;=1, 2250, IF('Dashboard'!$C$6&lt;=4, 5150, 6000)), 0)</f>
        <v/>
      </c>
      <c r="K398" s="30" t="n">
        <v>0.6445043500316606</v>
      </c>
      <c r="L398" s="30" t="n">
        <v>0.3263255702851424</v>
      </c>
      <c r="M398" s="30" t="n">
        <v>0.02917007968319698</v>
      </c>
      <c r="N398" s="31">
        <f>ABS(E398-$F$6)</f>
        <v/>
      </c>
      <c r="O398" s="31">
        <f>ABS(E398-$F$7)</f>
        <v/>
      </c>
      <c r="P398" s="31">
        <f>ABS(E398-$F$8)</f>
        <v/>
      </c>
      <c r="Q398" s="14">
        <f>IF(K398&gt;=MAX(L398,M398), "Hemat", IF(L398&gt;=M398, "Balanced", "Premium"))</f>
        <v/>
      </c>
      <c r="R398" s="30" t="n">
        <v>0.6445113384143918</v>
      </c>
      <c r="S398" s="30" t="n">
        <v>0.3263189512052947</v>
      </c>
      <c r="T398" s="30" t="n">
        <v>0.02916971038031347</v>
      </c>
      <c r="U398" s="31">
        <f>ABS(E398-$G$6)</f>
        <v/>
      </c>
      <c r="V398" s="31">
        <f>ABS(E398-$G$7)</f>
        <v/>
      </c>
      <c r="W398" s="31">
        <f>ABS(E398-$G$8)</f>
        <v/>
      </c>
      <c r="X398" s="14">
        <f>IF(R398&gt;=MAX(S398,T398), "Hemat", IF(S398&gt;=T398, "Balanced", "Premium"))</f>
        <v/>
      </c>
    </row>
    <row r="399">
      <c r="A399" s="14" t="n">
        <v>388</v>
      </c>
      <c r="B399" s="7" t="inlineStr">
        <is>
          <t>K15 Exclusive</t>
        </is>
      </c>
      <c r="C399" s="26" t="n">
        <v>-7.971495</v>
      </c>
      <c r="D399" s="26" t="n">
        <v>112.609142</v>
      </c>
      <c r="E399" s="21" t="n">
        <v>184521</v>
      </c>
      <c r="F399" s="27" t="n">
        <v>0</v>
      </c>
      <c r="G399" s="28" t="n">
        <v>0</v>
      </c>
      <c r="H399" s="14" t="inlineStr">
        <is>
          <t>N/A</t>
        </is>
      </c>
      <c r="I399" s="29">
        <f>6371 * 2 * ASIN(SQRT(SIN(RADIANS((C399) - INDEX('Dataset_Wisata'!$C$12:$C$622, MATCH('Dashboard'!$C$9, 'Dataset_Wisata'!$A$12:$A$622, 0)))/2)^2 + COS(RADIANS(INDEX('Dataset_Wisata'!$C$12:$C$622, MATCH('Dashboard'!$C$9, 'Dataset_Wisata'!$A$12:$A$622, 0)))) * COS(RADIANS(C399)) * SIN(RADIANS((D399) - INDEX('Dataset_Wisata'!$D$12:$D$622, MATCH('Dashboard'!$C$9, 'Dataset_Wisata'!$A$12:$A$622, 0)))/2)^2)) * 1.3</f>
        <v/>
      </c>
      <c r="J399" s="21">
        <f>ROUND(I399 * IF('Dashboard'!$C$6&lt;=1, 2250, IF('Dashboard'!$C$6&lt;=4, 5150, 6000)), 0)</f>
        <v/>
      </c>
      <c r="K399" s="30" t="n">
        <v>0.4873313850063042</v>
      </c>
      <c r="L399" s="30" t="n">
        <v>0.4782393316358677</v>
      </c>
      <c r="M399" s="30" t="n">
        <v>0.03442928335782804</v>
      </c>
      <c r="N399" s="31">
        <f>ABS(E399-$F$6)</f>
        <v/>
      </c>
      <c r="O399" s="31">
        <f>ABS(E399-$F$7)</f>
        <v/>
      </c>
      <c r="P399" s="31">
        <f>ABS(E399-$F$8)</f>
        <v/>
      </c>
      <c r="Q399" s="14">
        <f>IF(K399&gt;=MAX(L399,M399), "Hemat", IF(L399&gt;=M399, "Balanced", "Premium"))</f>
        <v/>
      </c>
      <c r="R399" s="30" t="n">
        <v>0.4873394935299629</v>
      </c>
      <c r="S399" s="30" t="n">
        <v>0.4782314283643949</v>
      </c>
      <c r="T399" s="30" t="n">
        <v>0.03442907810564223</v>
      </c>
      <c r="U399" s="31">
        <f>ABS(E399-$G$6)</f>
        <v/>
      </c>
      <c r="V399" s="31">
        <f>ABS(E399-$G$7)</f>
        <v/>
      </c>
      <c r="W399" s="31">
        <f>ABS(E399-$G$8)</f>
        <v/>
      </c>
      <c r="X399" s="14">
        <f>IF(R399&gt;=MAX(S399,T399), "Hemat", IF(S399&gt;=T399, "Balanced", "Premium"))</f>
        <v/>
      </c>
    </row>
    <row r="400">
      <c r="A400" s="14" t="n">
        <v>389</v>
      </c>
      <c r="B400" s="7" t="inlineStr">
        <is>
          <t>RedDoorz Plus near Malang Airport</t>
        </is>
      </c>
      <c r="C400" s="26" t="n">
        <v>-7.9628788</v>
      </c>
      <c r="D400" s="26" t="n">
        <v>112.6821606</v>
      </c>
      <c r="E400" s="21" t="n">
        <v>176632</v>
      </c>
      <c r="F400" s="27" t="n">
        <v>0</v>
      </c>
      <c r="G400" s="28" t="n">
        <v>0</v>
      </c>
      <c r="H400" s="14" t="inlineStr">
        <is>
          <t>N/A</t>
        </is>
      </c>
      <c r="I400" s="29">
        <f>6371 * 2 * ASIN(SQRT(SIN(RADIANS((C400) - INDEX('Dataset_Wisata'!$C$12:$C$622, MATCH('Dashboard'!$C$9, 'Dataset_Wisata'!$A$12:$A$622, 0)))/2)^2 + COS(RADIANS(INDEX('Dataset_Wisata'!$C$12:$C$622, MATCH('Dashboard'!$C$9, 'Dataset_Wisata'!$A$12:$A$622, 0)))) * COS(RADIANS(C400)) * SIN(RADIANS((D400) - INDEX('Dataset_Wisata'!$D$12:$D$622, MATCH('Dashboard'!$C$9, 'Dataset_Wisata'!$A$12:$A$622, 0)))/2)^2)) * 1.3</f>
        <v/>
      </c>
      <c r="J400" s="21">
        <f>ROUND(I400 * IF('Dashboard'!$C$6&lt;=1, 2250, IF('Dashboard'!$C$6&lt;=4, 5150, 6000)), 0)</f>
        <v/>
      </c>
      <c r="K400" s="30" t="n">
        <v>0.6132241322509009</v>
      </c>
      <c r="L400" s="30" t="n">
        <v>0.3562139224232688</v>
      </c>
      <c r="M400" s="30" t="n">
        <v>0.0305619453258305</v>
      </c>
      <c r="N400" s="31">
        <f>ABS(E400-$F$6)</f>
        <v/>
      </c>
      <c r="O400" s="31">
        <f>ABS(E400-$F$7)</f>
        <v/>
      </c>
      <c r="P400" s="31">
        <f>ABS(E400-$F$8)</f>
        <v/>
      </c>
      <c r="Q400" s="14">
        <f>IF(K400&gt;=MAX(L400,M400), "Hemat", IF(L400&gt;=M400, "Balanced", "Premium"))</f>
        <v/>
      </c>
      <c r="R400" s="30" t="n">
        <v>0.6132314301777418</v>
      </c>
      <c r="S400" s="30" t="n">
        <v>0.356206971866897</v>
      </c>
      <c r="T400" s="30" t="n">
        <v>0.03056159795536121</v>
      </c>
      <c r="U400" s="31">
        <f>ABS(E400-$G$6)</f>
        <v/>
      </c>
      <c r="V400" s="31">
        <f>ABS(E400-$G$7)</f>
        <v/>
      </c>
      <c r="W400" s="31">
        <f>ABS(E400-$G$8)</f>
        <v/>
      </c>
      <c r="X400" s="14">
        <f>IF(R400&gt;=MAX(S400,T400), "Hemat", IF(S400&gt;=T400, "Balanced", "Premium"))</f>
        <v/>
      </c>
    </row>
    <row r="401">
      <c r="A401" s="14" t="n">
        <v>390</v>
      </c>
      <c r="B401" s="7" t="inlineStr">
        <is>
          <t>Jacatra Homestay</t>
        </is>
      </c>
      <c r="C401" s="26" t="n">
        <v>-7.9655413</v>
      </c>
      <c r="D401" s="26" t="n">
        <v>112.6198718</v>
      </c>
      <c r="E401" s="21" t="n">
        <v>246614</v>
      </c>
      <c r="F401" s="27" t="n">
        <v>0</v>
      </c>
      <c r="G401" s="28" t="n">
        <v>0</v>
      </c>
      <c r="H401" s="14" t="inlineStr">
        <is>
          <t>N/A</t>
        </is>
      </c>
      <c r="I401" s="29">
        <f>6371 * 2 * ASIN(SQRT(SIN(RADIANS((C401) - INDEX('Dataset_Wisata'!$C$12:$C$622, MATCH('Dashboard'!$C$9, 'Dataset_Wisata'!$A$12:$A$622, 0)))/2)^2 + COS(RADIANS(INDEX('Dataset_Wisata'!$C$12:$C$622, MATCH('Dashboard'!$C$9, 'Dataset_Wisata'!$A$12:$A$622, 0)))) * COS(RADIANS(C401)) * SIN(RADIANS((D401) - INDEX('Dataset_Wisata'!$D$12:$D$622, MATCH('Dashboard'!$C$9, 'Dataset_Wisata'!$A$12:$A$622, 0)))/2)^2)) * 1.3</f>
        <v/>
      </c>
      <c r="J401" s="21">
        <f>ROUND(I401 * IF('Dashboard'!$C$6&lt;=1, 2250, IF('Dashboard'!$C$6&lt;=4, 5150, 6000)), 0)</f>
        <v/>
      </c>
      <c r="K401" s="30" t="n">
        <v>0.0001036112530599604</v>
      </c>
      <c r="L401" s="30" t="n">
        <v>0.9998391814376316</v>
      </c>
      <c r="M401" s="30" t="n">
        <v>5.720730930850755e-05</v>
      </c>
      <c r="N401" s="31">
        <f>ABS(E401-$F$6)</f>
        <v/>
      </c>
      <c r="O401" s="31">
        <f>ABS(E401-$F$7)</f>
        <v/>
      </c>
      <c r="P401" s="31">
        <f>ABS(E401-$F$8)</f>
        <v/>
      </c>
      <c r="Q401" s="14">
        <f>IF(K401&gt;=MAX(L401,M401), "Hemat", IF(L401&gt;=M401, "Balanced", "Premium"))</f>
        <v/>
      </c>
      <c r="R401" s="30" t="n">
        <v>0.0001034830618674649</v>
      </c>
      <c r="S401" s="30" t="n">
        <v>0.9998393817942911</v>
      </c>
      <c r="T401" s="30" t="n">
        <v>5.713514384142698e-05</v>
      </c>
      <c r="U401" s="31">
        <f>ABS(E401-$G$6)</f>
        <v/>
      </c>
      <c r="V401" s="31">
        <f>ABS(E401-$G$7)</f>
        <v/>
      </c>
      <c r="W401" s="31">
        <f>ABS(E401-$G$8)</f>
        <v/>
      </c>
      <c r="X401" s="14">
        <f>IF(R401&gt;=MAX(S401,T401), "Hemat", IF(S401&gt;=T401, "Balanced", "Premium"))</f>
        <v/>
      </c>
    </row>
    <row r="402">
      <c r="A402" s="14" t="n">
        <v>391</v>
      </c>
      <c r="B402" s="7" t="inlineStr">
        <is>
          <t>Morse Hotel</t>
        </is>
      </c>
      <c r="C402" s="26" t="n">
        <v>-7.9789025</v>
      </c>
      <c r="D402" s="26" t="n">
        <v>112.6367121</v>
      </c>
      <c r="E402" s="21" t="n">
        <v>169935</v>
      </c>
      <c r="F402" s="27" t="n">
        <v>0</v>
      </c>
      <c r="G402" s="28" t="n">
        <v>0</v>
      </c>
      <c r="H402" s="14" t="inlineStr">
        <is>
          <t>N/A</t>
        </is>
      </c>
      <c r="I402" s="29">
        <f>6371 * 2 * ASIN(SQRT(SIN(RADIANS((C402) - INDEX('Dataset_Wisata'!$C$12:$C$622, MATCH('Dashboard'!$C$9, 'Dataset_Wisata'!$A$12:$A$622, 0)))/2)^2 + COS(RADIANS(INDEX('Dataset_Wisata'!$C$12:$C$622, MATCH('Dashboard'!$C$9, 'Dataset_Wisata'!$A$12:$A$622, 0)))) * COS(RADIANS(C402)) * SIN(RADIANS((D402) - INDEX('Dataset_Wisata'!$D$12:$D$622, MATCH('Dashboard'!$C$9, 'Dataset_Wisata'!$A$12:$A$622, 0)))/2)^2)) * 1.3</f>
        <v/>
      </c>
      <c r="J402" s="21">
        <f>ROUND(I402 * IF('Dashboard'!$C$6&lt;=1, 2250, IF('Dashboard'!$C$6&lt;=4, 5150, 6000)), 0)</f>
        <v/>
      </c>
      <c r="K402" s="30" t="n">
        <v>0.7128978158614416</v>
      </c>
      <c r="L402" s="30" t="n">
        <v>0.2615548387840725</v>
      </c>
      <c r="M402" s="30" t="n">
        <v>0.02554734535448585</v>
      </c>
      <c r="N402" s="31">
        <f>ABS(E402-$F$6)</f>
        <v/>
      </c>
      <c r="O402" s="31">
        <f>ABS(E402-$F$7)</f>
        <v/>
      </c>
      <c r="P402" s="31">
        <f>ABS(E402-$F$8)</f>
        <v/>
      </c>
      <c r="Q402" s="14">
        <f>IF(K402&gt;=MAX(L402,M402), "Hemat", IF(L402&gt;=M402, "Balanced", "Premium"))</f>
        <v/>
      </c>
      <c r="R402" s="30" t="n">
        <v>0.7129039845591943</v>
      </c>
      <c r="S402" s="30" t="n">
        <v>0.2615490666276146</v>
      </c>
      <c r="T402" s="30" t="n">
        <v>0.02554694881319112</v>
      </c>
      <c r="U402" s="31">
        <f>ABS(E402-$G$6)</f>
        <v/>
      </c>
      <c r="V402" s="31">
        <f>ABS(E402-$G$7)</f>
        <v/>
      </c>
      <c r="W402" s="31">
        <f>ABS(E402-$G$8)</f>
        <v/>
      </c>
      <c r="X402" s="14">
        <f>IF(R402&gt;=MAX(S402,T402), "Hemat", IF(S402&gt;=T402, "Balanced", "Premium"))</f>
        <v/>
      </c>
    </row>
    <row r="403">
      <c r="A403" s="14" t="n">
        <v>392</v>
      </c>
      <c r="B403" s="7" t="inlineStr">
        <is>
          <t>SOWAN Boutique Guest House Syariah</t>
        </is>
      </c>
      <c r="C403" s="26" t="n">
        <v>-7.9697672</v>
      </c>
      <c r="D403" s="26" t="n">
        <v>112.6654621</v>
      </c>
      <c r="E403" s="21" t="n">
        <v>234433</v>
      </c>
      <c r="F403" s="27" t="n">
        <v>0</v>
      </c>
      <c r="G403" s="28" t="n">
        <v>0</v>
      </c>
      <c r="H403" s="14" t="inlineStr">
        <is>
          <t>N/A</t>
        </is>
      </c>
      <c r="I403" s="29">
        <f>6371 * 2 * ASIN(SQRT(SIN(RADIANS((C403) - INDEX('Dataset_Wisata'!$C$12:$C$622, MATCH('Dashboard'!$C$9, 'Dataset_Wisata'!$A$12:$A$622, 0)))/2)^2 + COS(RADIANS(INDEX('Dataset_Wisata'!$C$12:$C$622, MATCH('Dashboard'!$C$9, 'Dataset_Wisata'!$A$12:$A$622, 0)))) * COS(RADIANS(C403)) * SIN(RADIANS((D403) - INDEX('Dataset_Wisata'!$D$12:$D$622, MATCH('Dashboard'!$C$9, 'Dataset_Wisata'!$A$12:$A$622, 0)))/2)^2)) * 1.3</f>
        <v/>
      </c>
      <c r="J403" s="21">
        <f>ROUND(I403 * IF('Dashboard'!$C$6&lt;=1, 2250, IF('Dashboard'!$C$6&lt;=4, 5150, 6000)), 0)</f>
        <v/>
      </c>
      <c r="K403" s="30" t="n">
        <v>0.009716000120949505</v>
      </c>
      <c r="L403" s="30" t="n">
        <v>0.9865128144689165</v>
      </c>
      <c r="M403" s="30" t="n">
        <v>0.003771185410133839</v>
      </c>
      <c r="N403" s="31">
        <f>ABS(E403-$F$6)</f>
        <v/>
      </c>
      <c r="O403" s="31">
        <f>ABS(E403-$F$7)</f>
        <v/>
      </c>
      <c r="P403" s="31">
        <f>ABS(E403-$F$8)</f>
        <v/>
      </c>
      <c r="Q403" s="14">
        <f>IF(K403&gt;=MAX(L403,M403), "Hemat", IF(L403&gt;=M403, "Balanced", "Premium"))</f>
        <v/>
      </c>
      <c r="R403" s="30" t="n">
        <v>0.009717397338840753</v>
      </c>
      <c r="S403" s="30" t="n">
        <v>0.9865109627514458</v>
      </c>
      <c r="T403" s="30" t="n">
        <v>0.00377163990971344</v>
      </c>
      <c r="U403" s="31">
        <f>ABS(E403-$G$6)</f>
        <v/>
      </c>
      <c r="V403" s="31">
        <f>ABS(E403-$G$7)</f>
        <v/>
      </c>
      <c r="W403" s="31">
        <f>ABS(E403-$G$8)</f>
        <v/>
      </c>
      <c r="X403" s="14">
        <f>IF(R403&gt;=MAX(S403,T403), "Hemat", IF(S403&gt;=T403, "Balanced", "Premium"))</f>
        <v/>
      </c>
    </row>
    <row r="404">
      <c r="A404" s="14" t="n">
        <v>393</v>
      </c>
      <c r="B404" s="7" t="inlineStr">
        <is>
          <t>Hotel Wilis Indah Malang</t>
        </is>
      </c>
      <c r="C404" s="26" t="n">
        <v>-7.9686891</v>
      </c>
      <c r="D404" s="26" t="n">
        <v>112.6364406</v>
      </c>
      <c r="E404" s="21" t="n">
        <v>248134</v>
      </c>
      <c r="F404" s="27" t="n">
        <v>0</v>
      </c>
      <c r="G404" s="28" t="n">
        <v>0</v>
      </c>
      <c r="H404" s="14" t="inlineStr">
        <is>
          <t>N/A</t>
        </is>
      </c>
      <c r="I404" s="29">
        <f>6371 * 2 * ASIN(SQRT(SIN(RADIANS((C404) - INDEX('Dataset_Wisata'!$C$12:$C$622, MATCH('Dashboard'!$C$9, 'Dataset_Wisata'!$A$12:$A$622, 0)))/2)^2 + COS(RADIANS(INDEX('Dataset_Wisata'!$C$12:$C$622, MATCH('Dashboard'!$C$9, 'Dataset_Wisata'!$A$12:$A$622, 0)))) * COS(RADIANS(C404)) * SIN(RADIANS((D404) - INDEX('Dataset_Wisata'!$D$12:$D$622, MATCH('Dashboard'!$C$9, 'Dataset_Wisata'!$A$12:$A$622, 0)))/2)^2)) * 1.3</f>
        <v/>
      </c>
      <c r="J404" s="21">
        <f>ROUND(I404 * IF('Dashboard'!$C$6&lt;=1, 2250, IF('Dashboard'!$C$6&lt;=4, 5150, 6000)), 0)</f>
        <v/>
      </c>
      <c r="K404" s="30" t="n">
        <v>0.0004979622000952089</v>
      </c>
      <c r="L404" s="30" t="n">
        <v>0.999214948068505</v>
      </c>
      <c r="M404" s="30" t="n">
        <v>0.0002870897313998438</v>
      </c>
      <c r="N404" s="31">
        <f>ABS(E404-$F$6)</f>
        <v/>
      </c>
      <c r="O404" s="31">
        <f>ABS(E404-$F$7)</f>
        <v/>
      </c>
      <c r="P404" s="31">
        <f>ABS(E404-$F$8)</f>
        <v/>
      </c>
      <c r="Q404" s="14">
        <f>IF(K404&gt;=MAX(L404,M404), "Hemat", IF(L404&gt;=M404, "Balanced", "Premium"))</f>
        <v/>
      </c>
      <c r="R404" s="30" t="n">
        <v>0.0004976858534605435</v>
      </c>
      <c r="S404" s="30" t="n">
        <v>0.9992153907422345</v>
      </c>
      <c r="T404" s="30" t="n">
        <v>0.0002869234043048196</v>
      </c>
      <c r="U404" s="31">
        <f>ABS(E404-$G$6)</f>
        <v/>
      </c>
      <c r="V404" s="31">
        <f>ABS(E404-$G$7)</f>
        <v/>
      </c>
      <c r="W404" s="31">
        <f>ABS(E404-$G$8)</f>
        <v/>
      </c>
      <c r="X404" s="14">
        <f>IF(R404&gt;=MAX(S404,T404), "Hemat", IF(S404&gt;=T404, "Balanced", "Premium"))</f>
        <v/>
      </c>
    </row>
    <row r="405">
      <c r="A405" s="14" t="n">
        <v>394</v>
      </c>
      <c r="B405" s="7" t="inlineStr">
        <is>
          <t>RedDoorz near Araya Family Club House</t>
        </is>
      </c>
      <c r="C405" s="26" t="n">
        <v>-7.9413584</v>
      </c>
      <c r="D405" s="26" t="n">
        <v>112.6668099</v>
      </c>
      <c r="E405" s="21" t="n">
        <v>146013</v>
      </c>
      <c r="F405" s="27" t="n">
        <v>0</v>
      </c>
      <c r="G405" s="28" t="n">
        <v>0</v>
      </c>
      <c r="H405" s="14" t="inlineStr">
        <is>
          <t>N/A</t>
        </is>
      </c>
      <c r="I405" s="29">
        <f>6371 * 2 * ASIN(SQRT(SIN(RADIANS((C405) - INDEX('Dataset_Wisata'!$C$12:$C$622, MATCH('Dashboard'!$C$9, 'Dataset_Wisata'!$A$12:$A$622, 0)))/2)^2 + COS(RADIANS(INDEX('Dataset_Wisata'!$C$12:$C$622, MATCH('Dashboard'!$C$9, 'Dataset_Wisata'!$A$12:$A$622, 0)))) * COS(RADIANS(C405)) * SIN(RADIANS((D405) - INDEX('Dataset_Wisata'!$D$12:$D$622, MATCH('Dashboard'!$C$9, 'Dataset_Wisata'!$A$12:$A$622, 0)))/2)^2)) * 1.3</f>
        <v/>
      </c>
      <c r="J405" s="21">
        <f>ROUND(I405 * IF('Dashboard'!$C$6&lt;=1, 2250, IF('Dashboard'!$C$6&lt;=4, 5150, 6000)), 0)</f>
        <v/>
      </c>
      <c r="K405" s="30" t="n">
        <v>0.9481012539417237</v>
      </c>
      <c r="L405" s="30" t="n">
        <v>0.04551456179490319</v>
      </c>
      <c r="M405" s="30" t="n">
        <v>0.006384184263373022</v>
      </c>
      <c r="N405" s="31">
        <f>ABS(E405-$F$6)</f>
        <v/>
      </c>
      <c r="O405" s="31">
        <f>ABS(E405-$F$7)</f>
        <v/>
      </c>
      <c r="P405" s="31">
        <f>ABS(E405-$F$8)</f>
        <v/>
      </c>
      <c r="Q405" s="14">
        <f>IF(K405&gt;=MAX(L405,M405), "Hemat", IF(L405&gt;=M405, "Balanced", "Premium"))</f>
        <v/>
      </c>
      <c r="R405" s="30" t="n">
        <v>0.9481030578032813</v>
      </c>
      <c r="S405" s="30" t="n">
        <v>0.0455129637695337</v>
      </c>
      <c r="T405" s="30" t="n">
        <v>0.006383978427185065</v>
      </c>
      <c r="U405" s="31">
        <f>ABS(E405-$G$6)</f>
        <v/>
      </c>
      <c r="V405" s="31">
        <f>ABS(E405-$G$7)</f>
        <v/>
      </c>
      <c r="W405" s="31">
        <f>ABS(E405-$G$8)</f>
        <v/>
      </c>
      <c r="X405" s="14">
        <f>IF(R405&gt;=MAX(S405,T405), "Hemat", IF(S405&gt;=T405, "Balanced", "Premium"))</f>
        <v/>
      </c>
    </row>
    <row r="406">
      <c r="A406" s="14" t="n">
        <v>395</v>
      </c>
      <c r="B406" s="7" t="inlineStr">
        <is>
          <t>Se.nandung Living &amp; Space</t>
        </is>
      </c>
      <c r="C406" s="26" t="n">
        <v>-7.9300625</v>
      </c>
      <c r="D406" s="26" t="n">
        <v>112.6886014</v>
      </c>
      <c r="E406" s="21" t="n">
        <v>320000</v>
      </c>
      <c r="F406" s="27" t="n">
        <v>0</v>
      </c>
      <c r="G406" s="28" t="n">
        <v>0</v>
      </c>
      <c r="H406" s="14" t="inlineStr">
        <is>
          <t>N/A</t>
        </is>
      </c>
      <c r="I406" s="29">
        <f>6371 * 2 * ASIN(SQRT(SIN(RADIANS((C406) - INDEX('Dataset_Wisata'!$C$12:$C$622, MATCH('Dashboard'!$C$9, 'Dataset_Wisata'!$A$12:$A$622, 0)))/2)^2 + COS(RADIANS(INDEX('Dataset_Wisata'!$C$12:$C$622, MATCH('Dashboard'!$C$9, 'Dataset_Wisata'!$A$12:$A$622, 0)))) * COS(RADIANS(C406)) * SIN(RADIANS((D406) - INDEX('Dataset_Wisata'!$D$12:$D$622, MATCH('Dashboard'!$C$9, 'Dataset_Wisata'!$A$12:$A$622, 0)))/2)^2)) * 1.3</f>
        <v/>
      </c>
      <c r="J406" s="21">
        <f>ROUND(I406 * IF('Dashboard'!$C$6&lt;=1, 2250, IF('Dashboard'!$C$6&lt;=4, 5150, 6000)), 0)</f>
        <v/>
      </c>
      <c r="K406" s="30" t="n">
        <v>0.08014603140060512</v>
      </c>
      <c r="L406" s="30" t="n">
        <v>0.5513985310625307</v>
      </c>
      <c r="M406" s="30" t="n">
        <v>0.3684554375368642</v>
      </c>
      <c r="N406" s="31">
        <f>ABS(E406-$F$6)</f>
        <v/>
      </c>
      <c r="O406" s="31">
        <f>ABS(E406-$F$7)</f>
        <v/>
      </c>
      <c r="P406" s="31">
        <f>ABS(E406-$F$8)</f>
        <v/>
      </c>
      <c r="Q406" s="14">
        <f>IF(K406&gt;=MAX(L406,M406), "Hemat", IF(L406&gt;=M406, "Balanced", "Premium"))</f>
        <v/>
      </c>
      <c r="R406" s="30" t="n">
        <v>0.08014638093117275</v>
      </c>
      <c r="S406" s="30" t="n">
        <v>0.5514110483651601</v>
      </c>
      <c r="T406" s="30" t="n">
        <v>0.3684425707036672</v>
      </c>
      <c r="U406" s="31">
        <f>ABS(E406-$G$6)</f>
        <v/>
      </c>
      <c r="V406" s="31">
        <f>ABS(E406-$G$7)</f>
        <v/>
      </c>
      <c r="W406" s="31">
        <f>ABS(E406-$G$8)</f>
        <v/>
      </c>
      <c r="X406" s="14">
        <f>IF(R406&gt;=MAX(S406,T406), "Hemat", IF(S406&gt;=T406, "Balanced", "Premium"))</f>
        <v/>
      </c>
    </row>
    <row r="407">
      <c r="A407" s="14" t="n">
        <v>396</v>
      </c>
      <c r="B407" s="7" t="inlineStr">
        <is>
          <t>Nova Guest House</t>
        </is>
      </c>
      <c r="C407" s="26" t="n">
        <v>-7.952787</v>
      </c>
      <c r="D407" s="26" t="n">
        <v>112.637582</v>
      </c>
      <c r="E407" s="21" t="n">
        <v>144095</v>
      </c>
      <c r="F407" s="27" t="n">
        <v>0</v>
      </c>
      <c r="G407" s="28" t="n">
        <v>0</v>
      </c>
      <c r="H407" s="14" t="inlineStr">
        <is>
          <t>N/A</t>
        </is>
      </c>
      <c r="I407" s="29">
        <f>6371 * 2 * ASIN(SQRT(SIN(RADIANS((C407) - INDEX('Dataset_Wisata'!$C$12:$C$622, MATCH('Dashboard'!$C$9, 'Dataset_Wisata'!$A$12:$A$622, 0)))/2)^2 + COS(RADIANS(INDEX('Dataset_Wisata'!$C$12:$C$622, MATCH('Dashboard'!$C$9, 'Dataset_Wisata'!$A$12:$A$622, 0)))) * COS(RADIANS(C407)) * SIN(RADIANS((D407) - INDEX('Dataset_Wisata'!$D$12:$D$622, MATCH('Dashboard'!$C$9, 'Dataset_Wisata'!$A$12:$A$622, 0)))/2)^2)) * 1.3</f>
        <v/>
      </c>
      <c r="J407" s="21">
        <f>ROUND(I407 * IF('Dashboard'!$C$6&lt;=1, 2250, IF('Dashboard'!$C$6&lt;=4, 5150, 6000)), 0)</f>
        <v/>
      </c>
      <c r="K407" s="30" t="n">
        <v>0.9579086436886736</v>
      </c>
      <c r="L407" s="30" t="n">
        <v>0.03680440368013736</v>
      </c>
      <c r="M407" s="30" t="n">
        <v>0.005286952631189004</v>
      </c>
      <c r="N407" s="31">
        <f>ABS(E407-$F$6)</f>
        <v/>
      </c>
      <c r="O407" s="31">
        <f>ABS(E407-$F$7)</f>
        <v/>
      </c>
      <c r="P407" s="31">
        <f>ABS(E407-$F$8)</f>
        <v/>
      </c>
      <c r="Q407" s="14">
        <f>IF(K407&gt;=MAX(L407,M407), "Hemat", IF(L407&gt;=M407, "Balanced", "Premium"))</f>
        <v/>
      </c>
      <c r="R407" s="30" t="n">
        <v>0.9579101941939658</v>
      </c>
      <c r="S407" s="30" t="n">
        <v>0.0368030356088418</v>
      </c>
      <c r="T407" s="30" t="n">
        <v>0.005286770197192417</v>
      </c>
      <c r="U407" s="31">
        <f>ABS(E407-$G$6)</f>
        <v/>
      </c>
      <c r="V407" s="31">
        <f>ABS(E407-$G$7)</f>
        <v/>
      </c>
      <c r="W407" s="31">
        <f>ABS(E407-$G$8)</f>
        <v/>
      </c>
      <c r="X407" s="14">
        <f>IF(R407&gt;=MAX(S407,T407), "Hemat", IF(S407&gt;=T407, "Balanced", "Premium"))</f>
        <v/>
      </c>
    </row>
    <row r="408">
      <c r="A408" s="14" t="n">
        <v>397</v>
      </c>
      <c r="B408" s="7" t="inlineStr">
        <is>
          <t>Guest House Araya</t>
        </is>
      </c>
      <c r="C408" s="26" t="n">
        <v>-7.9408605</v>
      </c>
      <c r="D408" s="26" t="n">
        <v>112.6613891</v>
      </c>
      <c r="E408" s="21" t="n">
        <v>140000</v>
      </c>
      <c r="F408" s="27" t="n">
        <v>0</v>
      </c>
      <c r="G408" s="28" t="n">
        <v>0</v>
      </c>
      <c r="H408" s="14" t="inlineStr">
        <is>
          <t>N/A</t>
        </is>
      </c>
      <c r="I408" s="29">
        <f>6371 * 2 * ASIN(SQRT(SIN(RADIANS((C408) - INDEX('Dataset_Wisata'!$C$12:$C$622, MATCH('Dashboard'!$C$9, 'Dataset_Wisata'!$A$12:$A$622, 0)))/2)^2 + COS(RADIANS(INDEX('Dataset_Wisata'!$C$12:$C$622, MATCH('Dashboard'!$C$9, 'Dataset_Wisata'!$A$12:$A$622, 0)))) * COS(RADIANS(C408)) * SIN(RADIANS((D408) - INDEX('Dataset_Wisata'!$D$12:$D$622, MATCH('Dashboard'!$C$9, 'Dataset_Wisata'!$A$12:$A$622, 0)))/2)^2)) * 1.3</f>
        <v/>
      </c>
      <c r="J408" s="21">
        <f>ROUND(I408 * IF('Dashboard'!$C$6&lt;=1, 2250, IF('Dashboard'!$C$6&lt;=4, 5150, 6000)), 0)</f>
        <v/>
      </c>
      <c r="K408" s="30" t="n">
        <v>0.9749126471398158</v>
      </c>
      <c r="L408" s="30" t="n">
        <v>0.02179910977739439</v>
      </c>
      <c r="M408" s="30" t="n">
        <v>0.003288243082789615</v>
      </c>
      <c r="N408" s="31">
        <f>ABS(E408-$F$6)</f>
        <v/>
      </c>
      <c r="O408" s="31">
        <f>ABS(E408-$F$7)</f>
        <v/>
      </c>
      <c r="P408" s="31">
        <f>ABS(E408-$F$8)</f>
        <v/>
      </c>
      <c r="Q408" s="14">
        <f>IF(K408&gt;=MAX(L408,M408), "Hemat", IF(L408&gt;=M408, "Balanced", "Premium"))</f>
        <v/>
      </c>
      <c r="R408" s="30" t="n">
        <v>0.9749137235910045</v>
      </c>
      <c r="S408" s="30" t="n">
        <v>0.02179816795629721</v>
      </c>
      <c r="T408" s="30" t="n">
        <v>0.003288108452698463</v>
      </c>
      <c r="U408" s="31">
        <f>ABS(E408-$G$6)</f>
        <v/>
      </c>
      <c r="V408" s="31">
        <f>ABS(E408-$G$7)</f>
        <v/>
      </c>
      <c r="W408" s="31">
        <f>ABS(E408-$G$8)</f>
        <v/>
      </c>
      <c r="X408" s="14">
        <f>IF(R408&gt;=MAX(S408,T408), "Hemat", IF(S408&gt;=T408, "Balanced", "Premium"))</f>
        <v/>
      </c>
    </row>
    <row r="409">
      <c r="A409" s="14" t="n">
        <v>398</v>
      </c>
      <c r="B409" s="7" t="inlineStr">
        <is>
          <t>Se.juk Residence/Premiere</t>
        </is>
      </c>
      <c r="C409" s="26" t="n">
        <v>-7.9449504</v>
      </c>
      <c r="D409" s="26" t="n">
        <v>112.6715339</v>
      </c>
      <c r="E409" s="21" t="n">
        <v>200000</v>
      </c>
      <c r="F409" s="27" t="n">
        <v>0</v>
      </c>
      <c r="G409" s="28" t="n">
        <v>0</v>
      </c>
      <c r="H409" s="14" t="inlineStr">
        <is>
          <t>N/A</t>
        </is>
      </c>
      <c r="I409" s="29">
        <f>6371 * 2 * ASIN(SQRT(SIN(RADIANS((C409) - INDEX('Dataset_Wisata'!$C$12:$C$622, MATCH('Dashboard'!$C$9, 'Dataset_Wisata'!$A$12:$A$622, 0)))/2)^2 + COS(RADIANS(INDEX('Dataset_Wisata'!$C$12:$C$622, MATCH('Dashboard'!$C$9, 'Dataset_Wisata'!$A$12:$A$622, 0)))) * COS(RADIANS(C409)) * SIN(RADIANS((D409) - INDEX('Dataset_Wisata'!$D$12:$D$622, MATCH('Dashboard'!$C$9, 'Dataset_Wisata'!$A$12:$A$622, 0)))/2)^2)) * 1.3</f>
        <v/>
      </c>
      <c r="J409" s="21">
        <f>ROUND(I409 * IF('Dashboard'!$C$6&lt;=1, 2250, IF('Dashboard'!$C$6&lt;=4, 5150, 6000)), 0)</f>
        <v/>
      </c>
      <c r="K409" s="30" t="n">
        <v>0.2553120674410002</v>
      </c>
      <c r="L409" s="30" t="n">
        <v>0.7118698806466551</v>
      </c>
      <c r="M409" s="30" t="n">
        <v>0.03281805191234464</v>
      </c>
      <c r="N409" s="31">
        <f>ABS(E409-$F$6)</f>
        <v/>
      </c>
      <c r="O409" s="31">
        <f>ABS(E409-$F$7)</f>
        <v/>
      </c>
      <c r="P409" s="31">
        <f>ABS(E409-$F$8)</f>
        <v/>
      </c>
      <c r="Q409" s="14">
        <f>IF(K409&gt;=MAX(L409,M409), "Hemat", IF(L409&gt;=M409, "Balanced", "Premium"))</f>
        <v/>
      </c>
      <c r="R409" s="30" t="n">
        <v>0.2553195689263855</v>
      </c>
      <c r="S409" s="30" t="n">
        <v>0.7118621403928133</v>
      </c>
      <c r="T409" s="30" t="n">
        <v>0.03281829068080127</v>
      </c>
      <c r="U409" s="31">
        <f>ABS(E409-$G$6)</f>
        <v/>
      </c>
      <c r="V409" s="31">
        <f>ABS(E409-$G$7)</f>
        <v/>
      </c>
      <c r="W409" s="31">
        <f>ABS(E409-$G$8)</f>
        <v/>
      </c>
      <c r="X409" s="14">
        <f>IF(R409&gt;=MAX(S409,T409), "Hemat", IF(S409&gt;=T409, "Balanced", "Premium"))</f>
        <v/>
      </c>
    </row>
    <row r="410">
      <c r="A410" s="14" t="n">
        <v>399</v>
      </c>
      <c r="B410" s="7" t="inlineStr">
        <is>
          <t>Victoria Boutique Residence</t>
        </is>
      </c>
      <c r="C410" s="26" t="n">
        <v>-7.9546864</v>
      </c>
      <c r="D410" s="26" t="n">
        <v>112.640538</v>
      </c>
      <c r="E410" s="21" t="n">
        <v>234380</v>
      </c>
      <c r="F410" s="27" t="n">
        <v>0</v>
      </c>
      <c r="G410" s="28" t="n">
        <v>0</v>
      </c>
      <c r="H410" s="14" t="inlineStr">
        <is>
          <t>N/A</t>
        </is>
      </c>
      <c r="I410" s="29">
        <f>6371 * 2 * ASIN(SQRT(SIN(RADIANS((C410) - INDEX('Dataset_Wisata'!$C$12:$C$622, MATCH('Dashboard'!$C$9, 'Dataset_Wisata'!$A$12:$A$622, 0)))/2)^2 + COS(RADIANS(INDEX('Dataset_Wisata'!$C$12:$C$622, MATCH('Dashboard'!$C$9, 'Dataset_Wisata'!$A$12:$A$622, 0)))) * COS(RADIANS(C410)) * SIN(RADIANS((D410) - INDEX('Dataset_Wisata'!$D$12:$D$622, MATCH('Dashboard'!$C$9, 'Dataset_Wisata'!$A$12:$A$622, 0)))/2)^2)) * 1.3</f>
        <v/>
      </c>
      <c r="J410" s="21">
        <f>ROUND(I410 * IF('Dashboard'!$C$6&lt;=1, 2250, IF('Dashboard'!$C$6&lt;=4, 5150, 6000)), 0)</f>
        <v/>
      </c>
      <c r="K410" s="30" t="n">
        <v>0.009818496404007802</v>
      </c>
      <c r="L410" s="30" t="n">
        <v>0.9863764810929996</v>
      </c>
      <c r="M410" s="30" t="n">
        <v>0.003805022502992773</v>
      </c>
      <c r="N410" s="31">
        <f>ABS(E410-$F$6)</f>
        <v/>
      </c>
      <c r="O410" s="31">
        <f>ABS(E410-$F$7)</f>
        <v/>
      </c>
      <c r="P410" s="31">
        <f>ABS(E410-$F$8)</f>
        <v/>
      </c>
      <c r="Q410" s="14">
        <f>IF(K410&gt;=MAX(L410,M410), "Hemat", IF(L410&gt;=M410, "Balanced", "Premium"))</f>
        <v/>
      </c>
      <c r="R410" s="30" t="n">
        <v>0.009819901586263101</v>
      </c>
      <c r="S410" s="30" t="n">
        <v>0.9863746199447719</v>
      </c>
      <c r="T410" s="30" t="n">
        <v>0.003805478468965137</v>
      </c>
      <c r="U410" s="31">
        <f>ABS(E410-$G$6)</f>
        <v/>
      </c>
      <c r="V410" s="31">
        <f>ABS(E410-$G$7)</f>
        <v/>
      </c>
      <c r="W410" s="31">
        <f>ABS(E410-$G$8)</f>
        <v/>
      </c>
      <c r="X410" s="14">
        <f>IF(R410&gt;=MAX(S410,T410), "Hemat", IF(S410&gt;=T410, "Balanced", "Premium"))</f>
        <v/>
      </c>
    </row>
    <row r="411">
      <c r="A411" s="14" t="n">
        <v>400</v>
      </c>
      <c r="B411" s="7" t="inlineStr">
        <is>
          <t>Edelweiss Homestay Malang</t>
        </is>
      </c>
      <c r="C411" s="26" t="n">
        <v>-7.954831</v>
      </c>
      <c r="D411" s="26" t="n">
        <v>112.6383185</v>
      </c>
      <c r="E411" s="21" t="n">
        <v>212686</v>
      </c>
      <c r="F411" s="27" t="n">
        <v>0</v>
      </c>
      <c r="G411" s="28" t="n">
        <v>0</v>
      </c>
      <c r="H411" s="14" t="inlineStr">
        <is>
          <t>N/A</t>
        </is>
      </c>
      <c r="I411" s="29">
        <f>6371 * 2 * ASIN(SQRT(SIN(RADIANS((C411) - INDEX('Dataset_Wisata'!$C$12:$C$622, MATCH('Dashboard'!$C$9, 'Dataset_Wisata'!$A$12:$A$622, 0)))/2)^2 + COS(RADIANS(INDEX('Dataset_Wisata'!$C$12:$C$622, MATCH('Dashboard'!$C$9, 'Dataset_Wisata'!$A$12:$A$622, 0)))) * COS(RADIANS(C411)) * SIN(RADIANS((D411) - INDEX('Dataset_Wisata'!$D$12:$D$622, MATCH('Dashboard'!$C$9, 'Dataset_Wisata'!$A$12:$A$622, 0)))/2)^2)) * 1.3</f>
        <v/>
      </c>
      <c r="J411" s="21">
        <f>ROUND(I411 * IF('Dashboard'!$C$6&lt;=1, 2250, IF('Dashboard'!$C$6&lt;=4, 5150, 6000)), 0)</f>
        <v/>
      </c>
      <c r="K411" s="30" t="n">
        <v>0.1173523978297511</v>
      </c>
      <c r="L411" s="30" t="n">
        <v>0.8593776172256099</v>
      </c>
      <c r="M411" s="30" t="n">
        <v>0.02326998494463904</v>
      </c>
      <c r="N411" s="31">
        <f>ABS(E411-$F$6)</f>
        <v/>
      </c>
      <c r="O411" s="31">
        <f>ABS(E411-$F$7)</f>
        <v/>
      </c>
      <c r="P411" s="31">
        <f>ABS(E411-$F$8)</f>
        <v/>
      </c>
      <c r="Q411" s="14">
        <f>IF(K411&gt;=MAX(L411,M411), "Hemat", IF(L411&gt;=M411, "Balanced", "Premium"))</f>
        <v/>
      </c>
      <c r="R411" s="30" t="n">
        <v>0.117357763716463</v>
      </c>
      <c r="S411" s="30" t="n">
        <v>0.85937170487297</v>
      </c>
      <c r="T411" s="30" t="n">
        <v>0.02327053141056711</v>
      </c>
      <c r="U411" s="31">
        <f>ABS(E411-$G$6)</f>
        <v/>
      </c>
      <c r="V411" s="31">
        <f>ABS(E411-$G$7)</f>
        <v/>
      </c>
      <c r="W411" s="31">
        <f>ABS(E411-$G$8)</f>
        <v/>
      </c>
      <c r="X411" s="14">
        <f>IF(R411&gt;=MAX(S411,T411), "Hemat", IF(S411&gt;=T411, "Balanced", "Premium"))</f>
        <v/>
      </c>
    </row>
    <row r="412">
      <c r="A412" s="14" t="n">
        <v>401</v>
      </c>
      <c r="B412" s="7" t="inlineStr">
        <is>
          <t>Hotel Montana Dua Malang</t>
        </is>
      </c>
      <c r="C412" s="26" t="n">
        <v>-7.9387796</v>
      </c>
      <c r="D412" s="26" t="n">
        <v>112.6241621</v>
      </c>
      <c r="E412" s="21" t="n">
        <v>365758</v>
      </c>
      <c r="F412" s="27" t="n">
        <v>0</v>
      </c>
      <c r="G412" s="28" t="n">
        <v>0</v>
      </c>
      <c r="H412" s="14" t="inlineStr">
        <is>
          <t>N/A</t>
        </is>
      </c>
      <c r="I412" s="29">
        <f>6371 * 2 * ASIN(SQRT(SIN(RADIANS((C412) - INDEX('Dataset_Wisata'!$C$12:$C$622, MATCH('Dashboard'!$C$9, 'Dataset_Wisata'!$A$12:$A$622, 0)))/2)^2 + COS(RADIANS(INDEX('Dataset_Wisata'!$C$12:$C$622, MATCH('Dashboard'!$C$9, 'Dataset_Wisata'!$A$12:$A$622, 0)))) * COS(RADIANS(C412)) * SIN(RADIANS((D412) - INDEX('Dataset_Wisata'!$D$12:$D$622, MATCH('Dashboard'!$C$9, 'Dataset_Wisata'!$A$12:$A$622, 0)))/2)^2)) * 1.3</f>
        <v/>
      </c>
      <c r="J412" s="21">
        <f>ROUND(I412 * IF('Dashboard'!$C$6&lt;=1, 2250, IF('Dashboard'!$C$6&lt;=4, 5150, 6000)), 0)</f>
        <v/>
      </c>
      <c r="K412" s="30" t="n">
        <v>0.03016662144145962</v>
      </c>
      <c r="L412" s="30" t="n">
        <v>0.1214039174223797</v>
      </c>
      <c r="M412" s="30" t="n">
        <v>0.8484294611361606</v>
      </c>
      <c r="N412" s="31">
        <f>ABS(E412-$F$6)</f>
        <v/>
      </c>
      <c r="O412" s="31">
        <f>ABS(E412-$F$7)</f>
        <v/>
      </c>
      <c r="P412" s="31">
        <f>ABS(E412-$F$8)</f>
        <v/>
      </c>
      <c r="Q412" s="14">
        <f>IF(K412&gt;=MAX(L412,M412), "Hemat", IF(L412&gt;=M412, "Balanced", "Premium"))</f>
        <v/>
      </c>
      <c r="R412" s="30" t="n">
        <v>0.03016852422955577</v>
      </c>
      <c r="S412" s="30" t="n">
        <v>0.1214129002308098</v>
      </c>
      <c r="T412" s="30" t="n">
        <v>0.8484185755396344</v>
      </c>
      <c r="U412" s="31">
        <f>ABS(E412-$G$6)</f>
        <v/>
      </c>
      <c r="V412" s="31">
        <f>ABS(E412-$G$7)</f>
        <v/>
      </c>
      <c r="W412" s="31">
        <f>ABS(E412-$G$8)</f>
        <v/>
      </c>
      <c r="X412" s="14">
        <f>IF(R412&gt;=MAX(S412,T412), "Hemat", IF(S412&gt;=T412, "Balanced", "Premium"))</f>
        <v/>
      </c>
    </row>
    <row r="413">
      <c r="A413" s="14" t="n">
        <v>402</v>
      </c>
      <c r="B413" s="7" t="inlineStr">
        <is>
          <t>Swiss-Belinn Malang</t>
        </is>
      </c>
      <c r="C413" s="26" t="n">
        <v>-7.9554679</v>
      </c>
      <c r="D413" s="26" t="n">
        <v>112.6187277</v>
      </c>
      <c r="E413" s="21" t="n">
        <v>689337</v>
      </c>
      <c r="F413" s="27" t="n">
        <v>0</v>
      </c>
      <c r="G413" s="28" t="n">
        <v>0</v>
      </c>
      <c r="H413" s="14" t="inlineStr">
        <is>
          <t>N/A</t>
        </is>
      </c>
      <c r="I413" s="29">
        <f>6371 * 2 * ASIN(SQRT(SIN(RADIANS((C413) - INDEX('Dataset_Wisata'!$C$12:$C$622, MATCH('Dashboard'!$C$9, 'Dataset_Wisata'!$A$12:$A$622, 0)))/2)^2 + COS(RADIANS(INDEX('Dataset_Wisata'!$C$12:$C$622, MATCH('Dashboard'!$C$9, 'Dataset_Wisata'!$A$12:$A$622, 0)))) * COS(RADIANS(C413)) * SIN(RADIANS((D413) - INDEX('Dataset_Wisata'!$D$12:$D$622, MATCH('Dashboard'!$C$9, 'Dataset_Wisata'!$A$12:$A$622, 0)))/2)^2)) * 1.3</f>
        <v/>
      </c>
      <c r="J413" s="21">
        <f>ROUND(I413 * IF('Dashboard'!$C$6&lt;=1, 2250, IF('Dashboard'!$C$6&lt;=4, 5150, 6000)), 0)</f>
        <v/>
      </c>
      <c r="K413" s="30" t="n">
        <v>0.0313155551681361</v>
      </c>
      <c r="L413" s="30" t="n">
        <v>0.0507335548320489</v>
      </c>
      <c r="M413" s="30" t="n">
        <v>0.1293570586485244</v>
      </c>
      <c r="N413" s="31">
        <f>ABS(E413-$F$6)</f>
        <v/>
      </c>
      <c r="O413" s="31">
        <f>ABS(E413-$F$7)</f>
        <v/>
      </c>
      <c r="P413" s="31">
        <f>ABS(E413-$F$8)</f>
        <v/>
      </c>
      <c r="Q413" s="14">
        <f>IF(K413&gt;=MAX(L413,M413), "Hemat", IF(L413&gt;=M413, "Balanced", "Premium"))</f>
        <v/>
      </c>
      <c r="R413" s="30" t="n">
        <v>0.03131558103992241</v>
      </c>
      <c r="S413" s="30" t="n">
        <v>0.05073373157784595</v>
      </c>
      <c r="T413" s="30" t="n">
        <v>0.1293586259699932</v>
      </c>
      <c r="U413" s="31">
        <f>ABS(E413-$G$6)</f>
        <v/>
      </c>
      <c r="V413" s="31">
        <f>ABS(E413-$G$7)</f>
        <v/>
      </c>
      <c r="W413" s="31">
        <f>ABS(E413-$G$8)</f>
        <v/>
      </c>
      <c r="X413" s="14">
        <f>IF(R413&gt;=MAX(S413,T413), "Hemat", IF(S413&gt;=T413, "Balanced", "Premium"))</f>
        <v/>
      </c>
    </row>
    <row r="414">
      <c r="A414" s="14" t="n">
        <v>403</v>
      </c>
      <c r="B414" s="7" t="inlineStr">
        <is>
          <t>nDalem Kilen Homestay</t>
        </is>
      </c>
      <c r="C414" s="26" t="n">
        <v>-7.9543372</v>
      </c>
      <c r="D414" s="26" t="n">
        <v>112.620001</v>
      </c>
      <c r="E414" s="21" t="n">
        <v>144770</v>
      </c>
      <c r="F414" s="27" t="n">
        <v>0</v>
      </c>
      <c r="G414" s="28" t="n">
        <v>0</v>
      </c>
      <c r="H414" s="14" t="inlineStr">
        <is>
          <t>N/A</t>
        </is>
      </c>
      <c r="I414" s="29">
        <f>6371 * 2 * ASIN(SQRT(SIN(RADIANS((C414) - INDEX('Dataset_Wisata'!$C$12:$C$622, MATCH('Dashboard'!$C$9, 'Dataset_Wisata'!$A$12:$A$622, 0)))/2)^2 + COS(RADIANS(INDEX('Dataset_Wisata'!$C$12:$C$622, MATCH('Dashboard'!$C$9, 'Dataset_Wisata'!$A$12:$A$622, 0)))) * COS(RADIANS(C414)) * SIN(RADIANS((D414) - INDEX('Dataset_Wisata'!$D$12:$D$622, MATCH('Dashboard'!$C$9, 'Dataset_Wisata'!$A$12:$A$622, 0)))/2)^2)) * 1.3</f>
        <v/>
      </c>
      <c r="J414" s="21">
        <f>ROUND(I414 * IF('Dashboard'!$C$6&lt;=1, 2250, IF('Dashboard'!$C$6&lt;=4, 5150, 6000)), 0)</f>
        <v/>
      </c>
      <c r="K414" s="30" t="n">
        <v>0.9545965186396775</v>
      </c>
      <c r="L414" s="30" t="n">
        <v>0.03974184474993515</v>
      </c>
      <c r="M414" s="30" t="n">
        <v>0.005661636610387321</v>
      </c>
      <c r="N414" s="31">
        <f>ABS(E414-$F$6)</f>
        <v/>
      </c>
      <c r="O414" s="31">
        <f>ABS(E414-$F$7)</f>
        <v/>
      </c>
      <c r="P414" s="31">
        <f>ABS(E414-$F$8)</f>
        <v/>
      </c>
      <c r="Q414" s="14">
        <f>IF(K414&gt;=MAX(L414,M414), "Hemat", IF(L414&gt;=M414, "Balanced", "Premium"))</f>
        <v/>
      </c>
      <c r="R414" s="30" t="n">
        <v>0.9545981560153085</v>
      </c>
      <c r="S414" s="30" t="n">
        <v>0.03974039799249129</v>
      </c>
      <c r="T414" s="30" t="n">
        <v>0.005661445992200198</v>
      </c>
      <c r="U414" s="31">
        <f>ABS(E414-$G$6)</f>
        <v/>
      </c>
      <c r="V414" s="31">
        <f>ABS(E414-$G$7)</f>
        <v/>
      </c>
      <c r="W414" s="31">
        <f>ABS(E414-$G$8)</f>
        <v/>
      </c>
      <c r="X414" s="14">
        <f>IF(R414&gt;=MAX(S414,T414), "Hemat", IF(S414&gt;=T414, "Balanced", "Premium"))</f>
        <v/>
      </c>
    </row>
    <row r="415">
      <c r="A415" s="14" t="n">
        <v>404</v>
      </c>
      <c r="B415" s="7" t="inlineStr">
        <is>
          <t>D'Paragon Songgolangit Malang</t>
        </is>
      </c>
      <c r="C415" s="26" t="n">
        <v>-7.946236</v>
      </c>
      <c r="D415" s="26" t="n">
        <v>112.623901</v>
      </c>
      <c r="E415" s="21" t="n">
        <v>232849</v>
      </c>
      <c r="F415" s="27" t="n">
        <v>0</v>
      </c>
      <c r="G415" s="28" t="n">
        <v>0</v>
      </c>
      <c r="H415" s="14" t="inlineStr">
        <is>
          <t>N/A</t>
        </is>
      </c>
      <c r="I415" s="29">
        <f>6371 * 2 * ASIN(SQRT(SIN(RADIANS((C415) - INDEX('Dataset_Wisata'!$C$12:$C$622, MATCH('Dashboard'!$C$9, 'Dataset_Wisata'!$A$12:$A$622, 0)))/2)^2 + COS(RADIANS(INDEX('Dataset_Wisata'!$C$12:$C$622, MATCH('Dashboard'!$C$9, 'Dataset_Wisata'!$A$12:$A$622, 0)))) * COS(RADIANS(C415)) * SIN(RADIANS((D415) - INDEX('Dataset_Wisata'!$D$12:$D$622, MATCH('Dashboard'!$C$9, 'Dataset_Wisata'!$A$12:$A$622, 0)))/2)^2)) * 1.3</f>
        <v/>
      </c>
      <c r="J415" s="21">
        <f>ROUND(I415 * IF('Dashboard'!$C$6&lt;=1, 2250, IF('Dashboard'!$C$6&lt;=4, 5150, 6000)), 0)</f>
        <v/>
      </c>
      <c r="K415" s="30" t="n">
        <v>0.01305037530950221</v>
      </c>
      <c r="L415" s="30" t="n">
        <v>0.9821157864269111</v>
      </c>
      <c r="M415" s="30" t="n">
        <v>0.00483383826358664</v>
      </c>
      <c r="N415" s="31">
        <f>ABS(E415-$F$6)</f>
        <v/>
      </c>
      <c r="O415" s="31">
        <f>ABS(E415-$F$7)</f>
        <v/>
      </c>
      <c r="P415" s="31">
        <f>ABS(E415-$F$8)</f>
        <v/>
      </c>
      <c r="Q415" s="14">
        <f>IF(K415&gt;=MAX(L415,M415), "Hemat", IF(L415&gt;=M415, "Balanced", "Premium"))</f>
        <v/>
      </c>
      <c r="R415" s="30" t="n">
        <v>0.01305201539326346</v>
      </c>
      <c r="S415" s="30" t="n">
        <v>0.982113650902973</v>
      </c>
      <c r="T415" s="30" t="n">
        <v>0.004834333703763588</v>
      </c>
      <c r="U415" s="31">
        <f>ABS(E415-$G$6)</f>
        <v/>
      </c>
      <c r="V415" s="31">
        <f>ABS(E415-$G$7)</f>
        <v/>
      </c>
      <c r="W415" s="31">
        <f>ABS(E415-$G$8)</f>
        <v/>
      </c>
      <c r="X415" s="14">
        <f>IF(R415&gt;=MAX(S415,T415), "Hemat", IF(S415&gt;=T415, "Balanced", "Premium"))</f>
        <v/>
      </c>
    </row>
    <row r="416">
      <c r="A416" s="14" t="n">
        <v>405</v>
      </c>
      <c r="B416" s="7" t="inlineStr">
        <is>
          <t>Fariz Hotel Malang</t>
        </is>
      </c>
      <c r="C416" s="26" t="n">
        <v>-7.9110727</v>
      </c>
      <c r="D416" s="26" t="n">
        <v>112.6358414</v>
      </c>
      <c r="E416" s="21" t="n">
        <v>157096</v>
      </c>
      <c r="F416" s="27" t="n">
        <v>0</v>
      </c>
      <c r="G416" s="28" t="n">
        <v>0</v>
      </c>
      <c r="H416" s="14" t="inlineStr">
        <is>
          <t>N/A</t>
        </is>
      </c>
      <c r="I416" s="29">
        <f>6371 * 2 * ASIN(SQRT(SIN(RADIANS((C416) - INDEX('Dataset_Wisata'!$C$12:$C$622, MATCH('Dashboard'!$C$9, 'Dataset_Wisata'!$A$12:$A$622, 0)))/2)^2 + COS(RADIANS(INDEX('Dataset_Wisata'!$C$12:$C$622, MATCH('Dashboard'!$C$9, 'Dataset_Wisata'!$A$12:$A$622, 0)))) * COS(RADIANS(C416)) * SIN(RADIANS((D416) - INDEX('Dataset_Wisata'!$D$12:$D$622, MATCH('Dashboard'!$C$9, 'Dataset_Wisata'!$A$12:$A$622, 0)))/2)^2)) * 1.3</f>
        <v/>
      </c>
      <c r="J416" s="21">
        <f>ROUND(I416 * IF('Dashboard'!$C$6&lt;=1, 2250, IF('Dashboard'!$C$6&lt;=4, 5150, 6000)), 0)</f>
        <v/>
      </c>
      <c r="K416" s="30" t="n">
        <v>0.8656434975589912</v>
      </c>
      <c r="L416" s="30" t="n">
        <v>0.1198986574007391</v>
      </c>
      <c r="M416" s="30" t="n">
        <v>0.01445784504026968</v>
      </c>
      <c r="N416" s="31">
        <f>ABS(E416-$F$6)</f>
        <v/>
      </c>
      <c r="O416" s="31">
        <f>ABS(E416-$F$7)</f>
        <v/>
      </c>
      <c r="P416" s="31">
        <f>ABS(E416-$F$8)</f>
        <v/>
      </c>
      <c r="Q416" s="14">
        <f>IF(K416&gt;=MAX(L416,M416), "Hemat", IF(L416&gt;=M416, "Balanced", "Premium"))</f>
        <v/>
      </c>
      <c r="R416" s="30" t="n">
        <v>0.8656471347625755</v>
      </c>
      <c r="S416" s="30" t="n">
        <v>0.1198953565042931</v>
      </c>
      <c r="T416" s="30" t="n">
        <v>0.01445750873313128</v>
      </c>
      <c r="U416" s="31">
        <f>ABS(E416-$G$6)</f>
        <v/>
      </c>
      <c r="V416" s="31">
        <f>ABS(E416-$G$7)</f>
        <v/>
      </c>
      <c r="W416" s="31">
        <f>ABS(E416-$G$8)</f>
        <v/>
      </c>
      <c r="X416" s="14">
        <f>IF(R416&gt;=MAX(S416,T416), "Hemat", IF(S416&gt;=T416, "Balanced", "Premium"))</f>
        <v/>
      </c>
    </row>
    <row r="417">
      <c r="A417" s="14" t="n">
        <v>406</v>
      </c>
      <c r="B417" s="7" t="inlineStr">
        <is>
          <t>Karolin Homestay</t>
        </is>
      </c>
      <c r="C417" s="26" t="n">
        <v>-7.9164648</v>
      </c>
      <c r="D417" s="26" t="n">
        <v>112.6459884</v>
      </c>
      <c r="E417" s="21" t="n">
        <v>100000</v>
      </c>
      <c r="F417" s="27" t="n">
        <v>0</v>
      </c>
      <c r="G417" s="28" t="n">
        <v>0</v>
      </c>
      <c r="H417" s="14" t="inlineStr">
        <is>
          <t>N/A</t>
        </is>
      </c>
      <c r="I417" s="29">
        <f>6371 * 2 * ASIN(SQRT(SIN(RADIANS((C417) - INDEX('Dataset_Wisata'!$C$12:$C$622, MATCH('Dashboard'!$C$9, 'Dataset_Wisata'!$A$12:$A$622, 0)))/2)^2 + COS(RADIANS(INDEX('Dataset_Wisata'!$C$12:$C$622, MATCH('Dashboard'!$C$9, 'Dataset_Wisata'!$A$12:$A$622, 0)))) * COS(RADIANS(C417)) * SIN(RADIANS((D417) - INDEX('Dataset_Wisata'!$D$12:$D$622, MATCH('Dashboard'!$C$9, 'Dataset_Wisata'!$A$12:$A$622, 0)))/2)^2)) * 1.3</f>
        <v/>
      </c>
      <c r="J417" s="21">
        <f>ROUND(I417 * IF('Dashboard'!$C$6&lt;=1, 2250, IF('Dashboard'!$C$6&lt;=4, 5150, 6000)), 0)</f>
        <v/>
      </c>
      <c r="K417" s="30" t="n">
        <v>0.9672305756379272</v>
      </c>
      <c r="L417" s="30" t="n">
        <v>0.02690286027756393</v>
      </c>
      <c r="M417" s="30" t="n">
        <v>0.005866564084508831</v>
      </c>
      <c r="N417" s="31">
        <f>ABS(E417-$F$6)</f>
        <v/>
      </c>
      <c r="O417" s="31">
        <f>ABS(E417-$F$7)</f>
        <v/>
      </c>
      <c r="P417" s="31">
        <f>ABS(E417-$F$8)</f>
        <v/>
      </c>
      <c r="Q417" s="14">
        <f>IF(K417&gt;=MAX(L417,M417), "Hemat", IF(L417&gt;=M417, "Balanced", "Premium"))</f>
        <v/>
      </c>
      <c r="R417" s="30" t="n">
        <v>0.9672303035537276</v>
      </c>
      <c r="S417" s="30" t="n">
        <v>0.02690308452718115</v>
      </c>
      <c r="T417" s="30" t="n">
        <v>0.0058666119190913</v>
      </c>
      <c r="U417" s="31">
        <f>ABS(E417-$G$6)</f>
        <v/>
      </c>
      <c r="V417" s="31">
        <f>ABS(E417-$G$7)</f>
        <v/>
      </c>
      <c r="W417" s="31">
        <f>ABS(E417-$G$8)</f>
        <v/>
      </c>
      <c r="X417" s="14">
        <f>IF(R417&gt;=MAX(S417,T417), "Hemat", IF(S417&gt;=T417, "Balanced", "Premium"))</f>
        <v/>
      </c>
    </row>
    <row r="418">
      <c r="A418" s="14" t="n">
        <v>407</v>
      </c>
      <c r="B418" s="7" t="inlineStr">
        <is>
          <t>Solaris Hotel Malang</t>
        </is>
      </c>
      <c r="C418" s="26" t="n">
        <v>-7.913566</v>
      </c>
      <c r="D418" s="26" t="n">
        <v>112.655618</v>
      </c>
      <c r="E418" s="21" t="n">
        <v>350000</v>
      </c>
      <c r="F418" s="27" t="n">
        <v>0</v>
      </c>
      <c r="G418" s="28" t="n">
        <v>0</v>
      </c>
      <c r="H418" s="14" t="inlineStr">
        <is>
          <t>N/A</t>
        </is>
      </c>
      <c r="I418" s="29">
        <f>6371 * 2 * ASIN(SQRT(SIN(RADIANS((C418) - INDEX('Dataset_Wisata'!$C$12:$C$622, MATCH('Dashboard'!$C$9, 'Dataset_Wisata'!$A$12:$A$622, 0)))/2)^2 + COS(RADIANS(INDEX('Dataset_Wisata'!$C$12:$C$622, MATCH('Dashboard'!$C$9, 'Dataset_Wisata'!$A$12:$A$622, 0)))) * COS(RADIANS(C418)) * SIN(RADIANS((D418) - INDEX('Dataset_Wisata'!$D$12:$D$622, MATCH('Dashboard'!$C$9, 'Dataset_Wisata'!$A$12:$A$622, 0)))/2)^2)) * 1.3</f>
        <v/>
      </c>
      <c r="J418" s="21">
        <f>ROUND(I418 * IF('Dashboard'!$C$6&lt;=1, 2250, IF('Dashboard'!$C$6&lt;=4, 5150, 6000)), 0)</f>
        <v/>
      </c>
      <c r="K418" s="30" t="n">
        <v>0.05203164853242712</v>
      </c>
      <c r="L418" s="30" t="n">
        <v>0.2422254106892271</v>
      </c>
      <c r="M418" s="30" t="n">
        <v>0.7057429407783458</v>
      </c>
      <c r="N418" s="31">
        <f>ABS(E418-$F$6)</f>
        <v/>
      </c>
      <c r="O418" s="31">
        <f>ABS(E418-$F$7)</f>
        <v/>
      </c>
      <c r="P418" s="31">
        <f>ABS(E418-$F$8)</f>
        <v/>
      </c>
      <c r="Q418" s="14">
        <f>IF(K418&gt;=MAX(L418,M418), "Hemat", IF(L418&gt;=M418, "Balanced", "Premium"))</f>
        <v/>
      </c>
      <c r="R418" s="30" t="n">
        <v>0.05203358226609343</v>
      </c>
      <c r="S418" s="30" t="n">
        <v>0.2422374927674265</v>
      </c>
      <c r="T418" s="30" t="n">
        <v>0.7057289249664801</v>
      </c>
      <c r="U418" s="31">
        <f>ABS(E418-$G$6)</f>
        <v/>
      </c>
      <c r="V418" s="31">
        <f>ABS(E418-$G$7)</f>
        <v/>
      </c>
      <c r="W418" s="31">
        <f>ABS(E418-$G$8)</f>
        <v/>
      </c>
      <c r="X418" s="14">
        <f>IF(R418&gt;=MAX(S418,T418), "Hemat", IF(S418&gt;=T418, "Balanced", "Premium"))</f>
        <v/>
      </c>
    </row>
    <row r="419">
      <c r="A419" s="14" t="n">
        <v>408</v>
      </c>
      <c r="B419" s="7" t="inlineStr">
        <is>
          <t>Padi Homestay Malang</t>
        </is>
      </c>
      <c r="C419" s="26" t="n">
        <v>-7.9125495</v>
      </c>
      <c r="D419" s="26" t="n">
        <v>112.6041301</v>
      </c>
      <c r="E419" s="21" t="n">
        <v>353587</v>
      </c>
      <c r="F419" s="27" t="n">
        <v>0</v>
      </c>
      <c r="G419" s="28" t="n">
        <v>0</v>
      </c>
      <c r="H419" s="14" t="inlineStr">
        <is>
          <t>N/A</t>
        </is>
      </c>
      <c r="I419" s="29">
        <f>6371 * 2 * ASIN(SQRT(SIN(RADIANS((C419) - INDEX('Dataset_Wisata'!$C$12:$C$622, MATCH('Dashboard'!$C$9, 'Dataset_Wisata'!$A$12:$A$622, 0)))/2)^2 + COS(RADIANS(INDEX('Dataset_Wisata'!$C$12:$C$622, MATCH('Dashboard'!$C$9, 'Dataset_Wisata'!$A$12:$A$622, 0)))) * COS(RADIANS(C419)) * SIN(RADIANS((D419) - INDEX('Dataset_Wisata'!$D$12:$D$622, MATCH('Dashboard'!$C$9, 'Dataset_Wisata'!$A$12:$A$622, 0)))/2)^2)) * 1.3</f>
        <v/>
      </c>
      <c r="J419" s="21">
        <f>ROUND(I419 * IF('Dashboard'!$C$6&lt;=1, 2250, IF('Dashboard'!$C$6&lt;=4, 5150, 6000)), 0)</f>
        <v/>
      </c>
      <c r="K419" s="30" t="n">
        <v>0.0469845880693323</v>
      </c>
      <c r="L419" s="30" t="n">
        <v>0.2110191408591828</v>
      </c>
      <c r="M419" s="30" t="n">
        <v>0.7419962710714849</v>
      </c>
      <c r="N419" s="31">
        <f>ABS(E419-$F$6)</f>
        <v/>
      </c>
      <c r="O419" s="31">
        <f>ABS(E419-$F$7)</f>
        <v/>
      </c>
      <c r="P419" s="31">
        <f>ABS(E419-$F$8)</f>
        <v/>
      </c>
      <c r="Q419" s="14">
        <f>IF(K419&gt;=MAX(L419,M419), "Hemat", IF(L419&gt;=M419, "Balanced", "Premium"))</f>
        <v/>
      </c>
      <c r="R419" s="30" t="n">
        <v>0.04698657250184311</v>
      </c>
      <c r="S419" s="30" t="n">
        <v>0.2110306399553017</v>
      </c>
      <c r="T419" s="30" t="n">
        <v>0.7419827875428552</v>
      </c>
      <c r="U419" s="31">
        <f>ABS(E419-$G$6)</f>
        <v/>
      </c>
      <c r="V419" s="31">
        <f>ABS(E419-$G$7)</f>
        <v/>
      </c>
      <c r="W419" s="31">
        <f>ABS(E419-$G$8)</f>
        <v/>
      </c>
      <c r="X419" s="14">
        <f>IF(R419&gt;=MAX(S419,T419), "Hemat", IF(S419&gt;=T419, "Balanced", "Premium"))</f>
        <v/>
      </c>
    </row>
    <row r="420">
      <c r="A420" s="14" t="n">
        <v>409</v>
      </c>
      <c r="B420" s="7" t="inlineStr">
        <is>
          <t>Villa Syariah Nusantara</t>
        </is>
      </c>
      <c r="C420" s="26" t="n">
        <v>-7.8351999</v>
      </c>
      <c r="D420" s="26" t="n">
        <v>112.6890742</v>
      </c>
      <c r="E420" s="21" t="n">
        <v>170000</v>
      </c>
      <c r="F420" s="27" t="n">
        <v>0</v>
      </c>
      <c r="G420" s="28" t="n">
        <v>0</v>
      </c>
      <c r="H420" s="14" t="inlineStr">
        <is>
          <t>N/A</t>
        </is>
      </c>
      <c r="I420" s="29">
        <f>6371 * 2 * ASIN(SQRT(SIN(RADIANS((C420) - INDEX('Dataset_Wisata'!$C$12:$C$622, MATCH('Dashboard'!$C$9, 'Dataset_Wisata'!$A$12:$A$622, 0)))/2)^2 + COS(RADIANS(INDEX('Dataset_Wisata'!$C$12:$C$622, MATCH('Dashboard'!$C$9, 'Dataset_Wisata'!$A$12:$A$622, 0)))) * COS(RADIANS(C420)) * SIN(RADIANS((D420) - INDEX('Dataset_Wisata'!$D$12:$D$622, MATCH('Dashboard'!$C$9, 'Dataset_Wisata'!$A$12:$A$622, 0)))/2)^2)) * 1.3</f>
        <v/>
      </c>
      <c r="J420" s="21">
        <f>ROUND(I420 * IF('Dashboard'!$C$6&lt;=1, 2250, IF('Dashboard'!$C$6&lt;=4, 5150, 6000)), 0)</f>
        <v/>
      </c>
      <c r="K420" s="30" t="n">
        <v>0.7119837183050363</v>
      </c>
      <c r="L420" s="30" t="n">
        <v>0.2624152611455975</v>
      </c>
      <c r="M420" s="30" t="n">
        <v>0.02560102054936619</v>
      </c>
      <c r="N420" s="31">
        <f>ABS(E420-$F$6)</f>
        <v/>
      </c>
      <c r="O420" s="31">
        <f>ABS(E420-$F$7)</f>
        <v/>
      </c>
      <c r="P420" s="31">
        <f>ABS(E420-$F$8)</f>
        <v/>
      </c>
      <c r="Q420" s="14">
        <f>IF(K420&gt;=MAX(L420,M420), "Hemat", IF(L420&gt;=M420, "Balanced", "Premium"))</f>
        <v/>
      </c>
      <c r="R420" s="30" t="n">
        <v>0.7119898992332693</v>
      </c>
      <c r="S420" s="30" t="n">
        <v>0.2624094765922805</v>
      </c>
      <c r="T420" s="30" t="n">
        <v>0.02560062417445023</v>
      </c>
      <c r="U420" s="31">
        <f>ABS(E420-$G$6)</f>
        <v/>
      </c>
      <c r="V420" s="31">
        <f>ABS(E420-$G$7)</f>
        <v/>
      </c>
      <c r="W420" s="31">
        <f>ABS(E420-$G$8)</f>
        <v/>
      </c>
      <c r="X420" s="14">
        <f>IF(R420&gt;=MAX(S420,T420), "Hemat", IF(S420&gt;=T420, "Balanced", "Premium"))</f>
        <v/>
      </c>
    </row>
    <row r="421">
      <c r="A421" s="14" t="n">
        <v>410</v>
      </c>
      <c r="B421" s="7" t="inlineStr">
        <is>
          <t>Hotel Seruni Lawang</t>
        </is>
      </c>
      <c r="C421" s="26" t="n">
        <v>-7.846031</v>
      </c>
      <c r="D421" s="26" t="n">
        <v>112.702611</v>
      </c>
      <c r="E421" s="21" t="n">
        <v>175890</v>
      </c>
      <c r="F421" s="27" t="n">
        <v>0</v>
      </c>
      <c r="G421" s="28" t="n">
        <v>0</v>
      </c>
      <c r="H421" s="14" t="inlineStr">
        <is>
          <t>N/A</t>
        </is>
      </c>
      <c r="I421" s="29">
        <f>6371 * 2 * ASIN(SQRT(SIN(RADIANS((C421) - INDEX('Dataset_Wisata'!$C$12:$C$622, MATCH('Dashboard'!$C$9, 'Dataset_Wisata'!$A$12:$A$622, 0)))/2)^2 + COS(RADIANS(INDEX('Dataset_Wisata'!$C$12:$C$622, MATCH('Dashboard'!$C$9, 'Dataset_Wisata'!$A$12:$A$622, 0)))) * COS(RADIANS(C421)) * SIN(RADIANS((D421) - INDEX('Dataset_Wisata'!$D$12:$D$622, MATCH('Dashboard'!$C$9, 'Dataset_Wisata'!$A$12:$A$622, 0)))/2)^2)) * 1.3</f>
        <v/>
      </c>
      <c r="J421" s="21">
        <f>ROUND(I421 * IF('Dashboard'!$C$6&lt;=1, 2250, IF('Dashboard'!$C$6&lt;=4, 5150, 6000)), 0)</f>
        <v/>
      </c>
      <c r="K421" s="30" t="n">
        <v>0.62473203822076</v>
      </c>
      <c r="L421" s="30" t="n">
        <v>0.3451986702169104</v>
      </c>
      <c r="M421" s="30" t="n">
        <v>0.03006929156232975</v>
      </c>
      <c r="N421" s="31">
        <f>ABS(E421-$F$6)</f>
        <v/>
      </c>
      <c r="O421" s="31">
        <f>ABS(E421-$F$7)</f>
        <v/>
      </c>
      <c r="P421" s="31">
        <f>ABS(E421-$F$8)</f>
        <v/>
      </c>
      <c r="Q421" s="14">
        <f>IF(K421&gt;=MAX(L421,M421), "Hemat", IF(L421&gt;=M421, "Balanced", "Premium"))</f>
        <v/>
      </c>
      <c r="R421" s="30" t="n">
        <v>0.624739227108434</v>
      </c>
      <c r="S421" s="30" t="n">
        <v>0.3451918374291969</v>
      </c>
      <c r="T421" s="30" t="n">
        <v>0.03006893546236908</v>
      </c>
      <c r="U421" s="31">
        <f>ABS(E421-$G$6)</f>
        <v/>
      </c>
      <c r="V421" s="31">
        <f>ABS(E421-$G$7)</f>
        <v/>
      </c>
      <c r="W421" s="31">
        <f>ABS(E421-$G$8)</f>
        <v/>
      </c>
      <c r="X421" s="14">
        <f>IF(R421&gt;=MAX(S421,T421), "Hemat", IF(S421&gt;=T421, "Balanced", "Premium"))</f>
        <v/>
      </c>
    </row>
    <row r="422">
      <c r="A422" s="14" t="n">
        <v>411</v>
      </c>
      <c r="B422" s="7" t="inlineStr">
        <is>
          <t>Villa Tawangsari, HOSTEL &amp; RESORT</t>
        </is>
      </c>
      <c r="C422" s="26" t="n">
        <v>-7.825634</v>
      </c>
      <c r="D422" s="26" t="n">
        <v>112.7035019</v>
      </c>
      <c r="E422" s="21" t="n">
        <v>65291</v>
      </c>
      <c r="F422" s="27" t="n">
        <v>0</v>
      </c>
      <c r="G422" s="28" t="n">
        <v>0</v>
      </c>
      <c r="H422" s="14" t="inlineStr">
        <is>
          <t>N/A</t>
        </is>
      </c>
      <c r="I422" s="29">
        <f>6371 * 2 * ASIN(SQRT(SIN(RADIANS((C422) - INDEX('Dataset_Wisata'!$C$12:$C$622, MATCH('Dashboard'!$C$9, 'Dataset_Wisata'!$A$12:$A$622, 0)))/2)^2 + COS(RADIANS(INDEX('Dataset_Wisata'!$C$12:$C$622, MATCH('Dashboard'!$C$9, 'Dataset_Wisata'!$A$12:$A$622, 0)))) * COS(RADIANS(C422)) * SIN(RADIANS((D422) - INDEX('Dataset_Wisata'!$D$12:$D$622, MATCH('Dashboard'!$C$9, 'Dataset_Wisata'!$A$12:$A$622, 0)))/2)^2)) * 1.3</f>
        <v/>
      </c>
      <c r="J422" s="21">
        <f>ROUND(I422 * IF('Dashboard'!$C$6&lt;=1, 2250, IF('Dashboard'!$C$6&lt;=4, 5150, 6000)), 0)</f>
        <v/>
      </c>
      <c r="K422" s="30" t="n">
        <v>0.8801231831705832</v>
      </c>
      <c r="L422" s="30" t="n">
        <v>0.0943272248334709</v>
      </c>
      <c r="M422" s="30" t="n">
        <v>0.02554959199594578</v>
      </c>
      <c r="N422" s="31">
        <f>ABS(E422-$F$6)</f>
        <v/>
      </c>
      <c r="O422" s="31">
        <f>ABS(E422-$F$7)</f>
        <v/>
      </c>
      <c r="P422" s="31">
        <f>ABS(E422-$F$8)</f>
        <v/>
      </c>
      <c r="Q422" s="14">
        <f>IF(K422&gt;=MAX(L422,M422), "Hemat", IF(L422&gt;=M422, "Balanced", "Premium"))</f>
        <v/>
      </c>
      <c r="R422" s="30" t="n">
        <v>0.8801232796398667</v>
      </c>
      <c r="S422" s="30" t="n">
        <v>0.09432717198413584</v>
      </c>
      <c r="T422" s="30" t="n">
        <v>0.02554954837599754</v>
      </c>
      <c r="U422" s="31">
        <f>ABS(E422-$G$6)</f>
        <v/>
      </c>
      <c r="V422" s="31">
        <f>ABS(E422-$G$7)</f>
        <v/>
      </c>
      <c r="W422" s="31">
        <f>ABS(E422-$G$8)</f>
        <v/>
      </c>
      <c r="X422" s="14">
        <f>IF(R422&gt;=MAX(S422,T422), "Hemat", IF(S422&gt;=T422, "Balanced", "Premium"))</f>
        <v/>
      </c>
    </row>
    <row r="423">
      <c r="A423" s="14" t="n">
        <v>412</v>
      </c>
      <c r="B423" s="7" t="inlineStr">
        <is>
          <t>MADOR Malang Dorm Hostel</t>
        </is>
      </c>
      <c r="C423" s="26" t="n">
        <v>-7.988174</v>
      </c>
      <c r="D423" s="26" t="n">
        <v>112.635184</v>
      </c>
      <c r="E423" s="21" t="n">
        <v>156810</v>
      </c>
      <c r="F423" s="27" t="n">
        <v>0</v>
      </c>
      <c r="G423" s="28" t="n">
        <v>0</v>
      </c>
      <c r="H423" s="14" t="inlineStr">
        <is>
          <t>N/A</t>
        </is>
      </c>
      <c r="I423" s="29">
        <f>6371 * 2 * ASIN(SQRT(SIN(RADIANS((C423) - INDEX('Dataset_Wisata'!$C$12:$C$622, MATCH('Dashboard'!$C$9, 'Dataset_Wisata'!$A$12:$A$622, 0)))/2)^2 + COS(RADIANS(INDEX('Dataset_Wisata'!$C$12:$C$622, MATCH('Dashboard'!$C$9, 'Dataset_Wisata'!$A$12:$A$622, 0)))) * COS(RADIANS(C423)) * SIN(RADIANS((D423) - INDEX('Dataset_Wisata'!$D$12:$D$622, MATCH('Dashboard'!$C$9, 'Dataset_Wisata'!$A$12:$A$622, 0)))/2)^2)) * 1.3</f>
        <v/>
      </c>
      <c r="J423" s="21">
        <f>ROUND(I423 * IF('Dashboard'!$C$6&lt;=1, 2250, IF('Dashboard'!$C$6&lt;=4, 5150, 6000)), 0)</f>
        <v/>
      </c>
      <c r="K423" s="30" t="n">
        <v>0.8683534918887341</v>
      </c>
      <c r="L423" s="30" t="n">
        <v>0.1174268362760991</v>
      </c>
      <c r="M423" s="30" t="n">
        <v>0.01421967183516686</v>
      </c>
      <c r="N423" s="31">
        <f>ABS(E423-$F$6)</f>
        <v/>
      </c>
      <c r="O423" s="31">
        <f>ABS(E423-$F$7)</f>
        <v/>
      </c>
      <c r="P423" s="31">
        <f>ABS(E423-$F$8)</f>
        <v/>
      </c>
      <c r="Q423" s="14">
        <f>IF(K423&gt;=MAX(L423,M423), "Hemat", IF(L423&gt;=M423, "Balanced", "Premium"))</f>
        <v/>
      </c>
      <c r="R423" s="30" t="n">
        <v>0.8683570750007865</v>
      </c>
      <c r="S423" s="30" t="n">
        <v>0.1174235865660506</v>
      </c>
      <c r="T423" s="30" t="n">
        <v>0.0142193384331628</v>
      </c>
      <c r="U423" s="31">
        <f>ABS(E423-$G$6)</f>
        <v/>
      </c>
      <c r="V423" s="31">
        <f>ABS(E423-$G$7)</f>
        <v/>
      </c>
      <c r="W423" s="31">
        <f>ABS(E423-$G$8)</f>
        <v/>
      </c>
      <c r="X423" s="14">
        <f>IF(R423&gt;=MAX(S423,T423), "Hemat", IF(S423&gt;=T423, "Balanced", "Premium"))</f>
        <v/>
      </c>
    </row>
    <row r="424">
      <c r="A424" s="14" t="n">
        <v>413</v>
      </c>
      <c r="B424" s="7" t="inlineStr">
        <is>
          <t>RedDoorz near Kampung Warna Warni</t>
        </is>
      </c>
      <c r="C424" s="26" t="n">
        <v>-7.9852033</v>
      </c>
      <c r="D424" s="26" t="n">
        <v>112.6356438</v>
      </c>
      <c r="E424" s="21" t="n">
        <v>70000</v>
      </c>
      <c r="F424" s="27" t="n">
        <v>0</v>
      </c>
      <c r="G424" s="28" t="n">
        <v>0</v>
      </c>
      <c r="H424" s="14" t="inlineStr">
        <is>
          <t>N/A</t>
        </is>
      </c>
      <c r="I424" s="29">
        <f>6371 * 2 * ASIN(SQRT(SIN(RADIANS((C424) - INDEX('Dataset_Wisata'!$C$12:$C$622, MATCH('Dashboard'!$C$9, 'Dataset_Wisata'!$A$12:$A$622, 0)))/2)^2 + COS(RADIANS(INDEX('Dataset_Wisata'!$C$12:$C$622, MATCH('Dashboard'!$C$9, 'Dataset_Wisata'!$A$12:$A$622, 0)))) * COS(RADIANS(C424)) * SIN(RADIANS((D424) - INDEX('Dataset_Wisata'!$D$12:$D$622, MATCH('Dashboard'!$C$9, 'Dataset_Wisata'!$A$12:$A$622, 0)))/2)^2)) * 1.3</f>
        <v/>
      </c>
      <c r="J424" s="21">
        <f>ROUND(I424 * IF('Dashboard'!$C$6&lt;=1, 2250, IF('Dashboard'!$C$6&lt;=4, 5150, 6000)), 0)</f>
        <v/>
      </c>
      <c r="K424" s="30" t="n">
        <v>0.8921119122661371</v>
      </c>
      <c r="L424" s="30" t="n">
        <v>0.08535328907191304</v>
      </c>
      <c r="M424" s="30" t="n">
        <v>0.02253479866194994</v>
      </c>
      <c r="N424" s="31">
        <f>ABS(E424-$F$6)</f>
        <v/>
      </c>
      <c r="O424" s="31">
        <f>ABS(E424-$F$7)</f>
        <v/>
      </c>
      <c r="P424" s="31">
        <f>ABS(E424-$F$8)</f>
        <v/>
      </c>
      <c r="Q424" s="14">
        <f>IF(K424&gt;=MAX(L424,M424), "Hemat", IF(L424&gt;=M424, "Balanced", "Premium"))</f>
        <v/>
      </c>
      <c r="R424" s="30" t="n">
        <v>0.8921119538939932</v>
      </c>
      <c r="S424" s="30" t="n">
        <v>0.08535327487051378</v>
      </c>
      <c r="T424" s="30" t="n">
        <v>0.02253477123549305</v>
      </c>
      <c r="U424" s="31">
        <f>ABS(E424-$G$6)</f>
        <v/>
      </c>
      <c r="V424" s="31">
        <f>ABS(E424-$G$7)</f>
        <v/>
      </c>
      <c r="W424" s="31">
        <f>ABS(E424-$G$8)</f>
        <v/>
      </c>
      <c r="X424" s="14">
        <f>IF(R424&gt;=MAX(S424,T424), "Hemat", IF(S424&gt;=T424, "Balanced", "Premium"))</f>
        <v/>
      </c>
    </row>
    <row r="425">
      <c r="A425" s="14" t="n">
        <v>414</v>
      </c>
      <c r="B425" s="7" t="inlineStr">
        <is>
          <t>Urbanview Hotel de Kopen Malang by RedDoorz</t>
        </is>
      </c>
      <c r="C425" s="26" t="n">
        <v>-7.9661099</v>
      </c>
      <c r="D425" s="26" t="n">
        <v>112.6392394</v>
      </c>
      <c r="E425" s="21" t="n">
        <v>340358</v>
      </c>
      <c r="F425" s="27" t="n">
        <v>0</v>
      </c>
      <c r="G425" s="28" t="n">
        <v>0</v>
      </c>
      <c r="H425" s="14" t="inlineStr">
        <is>
          <t>N/A</t>
        </is>
      </c>
      <c r="I425" s="29">
        <f>6371 * 2 * ASIN(SQRT(SIN(RADIANS((C425) - INDEX('Dataset_Wisata'!$C$12:$C$622, MATCH('Dashboard'!$C$9, 'Dataset_Wisata'!$A$12:$A$622, 0)))/2)^2 + COS(RADIANS(INDEX('Dataset_Wisata'!$C$12:$C$622, MATCH('Dashboard'!$C$9, 'Dataset_Wisata'!$A$12:$A$622, 0)))) * COS(RADIANS(C425)) * SIN(RADIANS((D425) - INDEX('Dataset_Wisata'!$D$12:$D$622, MATCH('Dashboard'!$C$9, 'Dataset_Wisata'!$A$12:$A$622, 0)))/2)^2)) * 1.3</f>
        <v/>
      </c>
      <c r="J425" s="21">
        <f>ROUND(I425 * IF('Dashboard'!$C$6&lt;=1, 2250, IF('Dashboard'!$C$6&lt;=4, 5150, 6000)), 0)</f>
        <v/>
      </c>
      <c r="K425" s="30" t="n">
        <v>0.06469623695096953</v>
      </c>
      <c r="L425" s="30" t="n">
        <v>0.3348820505579269</v>
      </c>
      <c r="M425" s="30" t="n">
        <v>0.6004217124911035</v>
      </c>
      <c r="N425" s="31">
        <f>ABS(E425-$F$6)</f>
        <v/>
      </c>
      <c r="O425" s="31">
        <f>ABS(E425-$F$7)</f>
        <v/>
      </c>
      <c r="P425" s="31">
        <f>ABS(E425-$F$8)</f>
        <v/>
      </c>
      <c r="Q425" s="14">
        <f>IF(K425&gt;=MAX(L425,M425), "Hemat", IF(L425&gt;=M425, "Balanced", "Premium"))</f>
        <v/>
      </c>
      <c r="R425" s="30" t="n">
        <v>0.06469785949337087</v>
      </c>
      <c r="S425" s="30" t="n">
        <v>0.3348951787533515</v>
      </c>
      <c r="T425" s="30" t="n">
        <v>0.6004069617532777</v>
      </c>
      <c r="U425" s="31">
        <f>ABS(E425-$G$6)</f>
        <v/>
      </c>
      <c r="V425" s="31">
        <f>ABS(E425-$G$7)</f>
        <v/>
      </c>
      <c r="W425" s="31">
        <f>ABS(E425-$G$8)</f>
        <v/>
      </c>
      <c r="X425" s="14">
        <f>IF(R425&gt;=MAX(S425,T425), "Hemat", IF(S425&gt;=T425, "Balanced", "Premium"))</f>
        <v/>
      </c>
    </row>
    <row r="426">
      <c r="A426" s="14" t="n">
        <v>415</v>
      </c>
      <c r="B426" s="7" t="inlineStr">
        <is>
          <t>Hotel Dewarna Sutoyo Malang</t>
        </is>
      </c>
      <c r="C426" s="26" t="n">
        <v>-7.963377</v>
      </c>
      <c r="D426" s="26" t="n">
        <v>112.636253</v>
      </c>
      <c r="E426" s="21" t="n">
        <v>234152</v>
      </c>
      <c r="F426" s="27" t="n">
        <v>0</v>
      </c>
      <c r="G426" s="28" t="n">
        <v>0</v>
      </c>
      <c r="H426" s="14" t="inlineStr">
        <is>
          <t>N/A</t>
        </is>
      </c>
      <c r="I426" s="29">
        <f>6371 * 2 * ASIN(SQRT(SIN(RADIANS((C426) - INDEX('Dataset_Wisata'!$C$12:$C$622, MATCH('Dashboard'!$C$9, 'Dataset_Wisata'!$A$12:$A$622, 0)))/2)^2 + COS(RADIANS(INDEX('Dataset_Wisata'!$C$12:$C$622, MATCH('Dashboard'!$C$9, 'Dataset_Wisata'!$A$12:$A$622, 0)))) * COS(RADIANS(C426)) * SIN(RADIANS((D426) - INDEX('Dataset_Wisata'!$D$12:$D$622, MATCH('Dashboard'!$C$9, 'Dataset_Wisata'!$A$12:$A$622, 0)))/2)^2)) * 1.3</f>
        <v/>
      </c>
      <c r="J426" s="21">
        <f>ROUND(I426 * IF('Dashboard'!$C$6&lt;=1, 2250, IF('Dashboard'!$C$6&lt;=4, 5150, 6000)), 0)</f>
        <v/>
      </c>
      <c r="K426" s="30" t="n">
        <v>0.01026647060280204</v>
      </c>
      <c r="L426" s="30" t="n">
        <v>0.9857815491193398</v>
      </c>
      <c r="M426" s="30" t="n">
        <v>0.003951980277858224</v>
      </c>
      <c r="N426" s="31">
        <f>ABS(E426-$F$6)</f>
        <v/>
      </c>
      <c r="O426" s="31">
        <f>ABS(E426-$F$7)</f>
        <v/>
      </c>
      <c r="P426" s="31">
        <f>ABS(E426-$F$8)</f>
        <v/>
      </c>
      <c r="Q426" s="14">
        <f>IF(K426&gt;=MAX(L426,M426), "Hemat", IF(L426&gt;=M426, "Balanced", "Premium"))</f>
        <v/>
      </c>
      <c r="R426" s="30" t="n">
        <v>0.01026791017541564</v>
      </c>
      <c r="S426" s="30" t="n">
        <v>0.9857796473491788</v>
      </c>
      <c r="T426" s="30" t="n">
        <v>0.003952442475405542</v>
      </c>
      <c r="U426" s="31">
        <f>ABS(E426-$G$6)</f>
        <v/>
      </c>
      <c r="V426" s="31">
        <f>ABS(E426-$G$7)</f>
        <v/>
      </c>
      <c r="W426" s="31">
        <f>ABS(E426-$G$8)</f>
        <v/>
      </c>
      <c r="X426" s="14">
        <f>IF(R426&gt;=MAX(S426,T426), "Hemat", IF(S426&gt;=T426, "Balanced", "Premium"))</f>
        <v/>
      </c>
    </row>
    <row r="427">
      <c r="A427" s="14" t="n">
        <v>416</v>
      </c>
      <c r="B427" s="7" t="inlineStr">
        <is>
          <t>GRESS Homestay</t>
        </is>
      </c>
      <c r="C427" s="26" t="n">
        <v>-7.9644335</v>
      </c>
      <c r="D427" s="26" t="n">
        <v>112.6376759</v>
      </c>
      <c r="E427" s="21" t="n">
        <v>168591</v>
      </c>
      <c r="F427" s="27" t="n">
        <v>0</v>
      </c>
      <c r="G427" s="28" t="n">
        <v>0</v>
      </c>
      <c r="H427" s="14" t="inlineStr">
        <is>
          <t>N/A</t>
        </is>
      </c>
      <c r="I427" s="29">
        <f>6371 * 2 * ASIN(SQRT(SIN(RADIANS((C427) - INDEX('Dataset_Wisata'!$C$12:$C$622, MATCH('Dashboard'!$C$9, 'Dataset_Wisata'!$A$12:$A$622, 0)))/2)^2 + COS(RADIANS(INDEX('Dataset_Wisata'!$C$12:$C$622, MATCH('Dashboard'!$C$9, 'Dataset_Wisata'!$A$12:$A$622, 0)))) * COS(RADIANS(C427)) * SIN(RADIANS((D427) - INDEX('Dataset_Wisata'!$D$12:$D$622, MATCH('Dashboard'!$C$9, 'Dataset_Wisata'!$A$12:$A$622, 0)))/2)^2)) * 1.3</f>
        <v/>
      </c>
      <c r="J427" s="21">
        <f>ROUND(I427 * IF('Dashboard'!$C$6&lt;=1, 2250, IF('Dashboard'!$C$6&lt;=4, 5150, 6000)), 0)</f>
        <v/>
      </c>
      <c r="K427" s="30" t="n">
        <v>0.7315211936041293</v>
      </c>
      <c r="L427" s="30" t="n">
        <v>0.2440563478944383</v>
      </c>
      <c r="M427" s="30" t="n">
        <v>0.02442245850143237</v>
      </c>
      <c r="N427" s="31">
        <f>ABS(E427-$F$6)</f>
        <v/>
      </c>
      <c r="O427" s="31">
        <f>ABS(E427-$F$7)</f>
        <v/>
      </c>
      <c r="P427" s="31">
        <f>ABS(E427-$F$8)</f>
        <v/>
      </c>
      <c r="Q427" s="14">
        <f>IF(K427&gt;=MAX(L427,M427), "Hemat", IF(L427&gt;=M427, "Balanced", "Premium"))</f>
        <v/>
      </c>
      <c r="R427" s="30" t="n">
        <v>0.7315271056580328</v>
      </c>
      <c r="S427" s="30" t="n">
        <v>0.2440508345446695</v>
      </c>
      <c r="T427" s="30" t="n">
        <v>0.0244220597972977</v>
      </c>
      <c r="U427" s="31">
        <f>ABS(E427-$G$6)</f>
        <v/>
      </c>
      <c r="V427" s="31">
        <f>ABS(E427-$G$7)</f>
        <v/>
      </c>
      <c r="W427" s="31">
        <f>ABS(E427-$G$8)</f>
        <v/>
      </c>
      <c r="X427" s="14">
        <f>IF(R427&gt;=MAX(S427,T427), "Hemat", IF(S427&gt;=T427, "Balanced", "Premium"))</f>
        <v/>
      </c>
    </row>
    <row r="428">
      <c r="A428" s="14" t="n">
        <v>417</v>
      </c>
      <c r="B428" s="7" t="inlineStr">
        <is>
          <t>Hotel Gajahmada Graha</t>
        </is>
      </c>
      <c r="C428" s="26" t="n">
        <v>-7.9687027</v>
      </c>
      <c r="D428" s="26" t="n">
        <v>112.6358411</v>
      </c>
      <c r="E428" s="21" t="n">
        <v>298209</v>
      </c>
      <c r="F428" s="27" t="n">
        <v>0</v>
      </c>
      <c r="G428" s="28" t="n">
        <v>0</v>
      </c>
      <c r="H428" s="14" t="inlineStr">
        <is>
          <t>N/A</t>
        </is>
      </c>
      <c r="I428" s="29">
        <f>6371 * 2 * ASIN(SQRT(SIN(RADIANS((C428) - INDEX('Dataset_Wisata'!$C$12:$C$622, MATCH('Dashboard'!$C$9, 'Dataset_Wisata'!$A$12:$A$622, 0)))/2)^2 + COS(RADIANS(INDEX('Dataset_Wisata'!$C$12:$C$622, MATCH('Dashboard'!$C$9, 'Dataset_Wisata'!$A$12:$A$622, 0)))) * COS(RADIANS(C428)) * SIN(RADIANS((D428) - INDEX('Dataset_Wisata'!$D$12:$D$622, MATCH('Dashboard'!$C$9, 'Dataset_Wisata'!$A$12:$A$622, 0)))/2)^2)) * 1.3</f>
        <v/>
      </c>
      <c r="J428" s="21">
        <f>ROUND(I428 * IF('Dashboard'!$C$6&lt;=1, 2250, IF('Dashboard'!$C$6&lt;=4, 5150, 6000)), 0)</f>
        <v/>
      </c>
      <c r="K428" s="30" t="n">
        <v>0.07039631147009753</v>
      </c>
      <c r="L428" s="30" t="n">
        <v>0.7630212631142339</v>
      </c>
      <c r="M428" s="30" t="n">
        <v>0.1665824254156687</v>
      </c>
      <c r="N428" s="31">
        <f>ABS(E428-$F$6)</f>
        <v/>
      </c>
      <c r="O428" s="31">
        <f>ABS(E428-$F$7)</f>
        <v/>
      </c>
      <c r="P428" s="31">
        <f>ABS(E428-$F$8)</f>
        <v/>
      </c>
      <c r="Q428" s="14">
        <f>IF(K428&gt;=MAX(L428,M428), "Hemat", IF(L428&gt;=M428, "Balanced", "Premium"))</f>
        <v/>
      </c>
      <c r="R428" s="30" t="n">
        <v>0.07039526413240525</v>
      </c>
      <c r="S428" s="30" t="n">
        <v>0.7630301978811256</v>
      </c>
      <c r="T428" s="30" t="n">
        <v>0.1665745379864693</v>
      </c>
      <c r="U428" s="31">
        <f>ABS(E428-$G$6)</f>
        <v/>
      </c>
      <c r="V428" s="31">
        <f>ABS(E428-$G$7)</f>
        <v/>
      </c>
      <c r="W428" s="31">
        <f>ABS(E428-$G$8)</f>
        <v/>
      </c>
      <c r="X428" s="14">
        <f>IF(R428&gt;=MAX(S428,T428), "Hemat", IF(S428&gt;=T428, "Balanced", "Premium"))</f>
        <v/>
      </c>
    </row>
    <row r="429">
      <c r="A429" s="14" t="n">
        <v>418</v>
      </c>
      <c r="B429" s="7" t="inlineStr">
        <is>
          <t>Sunrise Hotel</t>
        </is>
      </c>
      <c r="C429" s="26" t="n">
        <v>-7.9677773</v>
      </c>
      <c r="D429" s="26" t="n">
        <v>112.6349817</v>
      </c>
      <c r="E429" s="21" t="n">
        <v>278611</v>
      </c>
      <c r="F429" s="27" t="n">
        <v>0</v>
      </c>
      <c r="G429" s="28" t="n">
        <v>0</v>
      </c>
      <c r="H429" s="14" t="inlineStr">
        <is>
          <t>N/A</t>
        </is>
      </c>
      <c r="I429" s="29">
        <f>6371 * 2 * ASIN(SQRT(SIN(RADIANS((C429) - INDEX('Dataset_Wisata'!$C$12:$C$622, MATCH('Dashboard'!$C$9, 'Dataset_Wisata'!$A$12:$A$622, 0)))/2)^2 + COS(RADIANS(INDEX('Dataset_Wisata'!$C$12:$C$622, MATCH('Dashboard'!$C$9, 'Dataset_Wisata'!$A$12:$A$622, 0)))) * COS(RADIANS(C429)) * SIN(RADIANS((D429) - INDEX('Dataset_Wisata'!$D$12:$D$622, MATCH('Dashboard'!$C$9, 'Dataset_Wisata'!$A$12:$A$622, 0)))/2)^2)) * 1.3</f>
        <v/>
      </c>
      <c r="J429" s="21">
        <f>ROUND(I429 * IF('Dashboard'!$C$6&lt;=1, 2250, IF('Dashboard'!$C$6&lt;=4, 5150, 6000)), 0)</f>
        <v/>
      </c>
      <c r="K429" s="30" t="n">
        <v>0.04181155691960241</v>
      </c>
      <c r="L429" s="30" t="n">
        <v>0.9015977072750405</v>
      </c>
      <c r="M429" s="30" t="n">
        <v>0.05659073580535702</v>
      </c>
      <c r="N429" s="31">
        <f>ABS(E429-$F$6)</f>
        <v/>
      </c>
      <c r="O429" s="31">
        <f>ABS(E429-$F$7)</f>
        <v/>
      </c>
      <c r="P429" s="31">
        <f>ABS(E429-$F$8)</f>
        <v/>
      </c>
      <c r="Q429" s="14">
        <f>IF(K429&gt;=MAX(L429,M429), "Hemat", IF(L429&gt;=M429, "Balanced", "Premium"))</f>
        <v/>
      </c>
      <c r="R429" s="30" t="n">
        <v>0.04180998420737916</v>
      </c>
      <c r="S429" s="30" t="n">
        <v>0.9016030164256323</v>
      </c>
      <c r="T429" s="30" t="n">
        <v>0.05658699936698863</v>
      </c>
      <c r="U429" s="31">
        <f>ABS(E429-$G$6)</f>
        <v/>
      </c>
      <c r="V429" s="31">
        <f>ABS(E429-$G$7)</f>
        <v/>
      </c>
      <c r="W429" s="31">
        <f>ABS(E429-$G$8)</f>
        <v/>
      </c>
      <c r="X429" s="14">
        <f>IF(R429&gt;=MAX(S429,T429), "Hemat", IF(S429&gt;=T429, "Balanced", "Premium"))</f>
        <v/>
      </c>
    </row>
    <row r="430">
      <c r="A430" s="14" t="n">
        <v>419</v>
      </c>
      <c r="B430" s="7" t="inlineStr">
        <is>
          <t>Asri Home Stay</t>
        </is>
      </c>
      <c r="C430" s="26" t="n">
        <v>-7.95877</v>
      </c>
      <c r="D430" s="26" t="n">
        <v>112.6431377</v>
      </c>
      <c r="E430" s="21" t="n">
        <v>261450</v>
      </c>
      <c r="F430" s="27" t="n">
        <v>0</v>
      </c>
      <c r="G430" s="28" t="n">
        <v>0</v>
      </c>
      <c r="H430" s="14" t="inlineStr">
        <is>
          <t>N/A</t>
        </is>
      </c>
      <c r="I430" s="29">
        <f>6371 * 2 * ASIN(SQRT(SIN(RADIANS((C430) - INDEX('Dataset_Wisata'!$C$12:$C$622, MATCH('Dashboard'!$C$9, 'Dataset_Wisata'!$A$12:$A$622, 0)))/2)^2 + COS(RADIANS(INDEX('Dataset_Wisata'!$C$12:$C$622, MATCH('Dashboard'!$C$9, 'Dataset_Wisata'!$A$12:$A$622, 0)))) * COS(RADIANS(C430)) * SIN(RADIANS((D430) - INDEX('Dataset_Wisata'!$D$12:$D$622, MATCH('Dashboard'!$C$9, 'Dataset_Wisata'!$A$12:$A$622, 0)))/2)^2)) * 1.3</f>
        <v/>
      </c>
      <c r="J430" s="21">
        <f>ROUND(I430 * IF('Dashboard'!$C$6&lt;=1, 2250, IF('Dashboard'!$C$6&lt;=4, 5150, 6000)), 0)</f>
        <v/>
      </c>
      <c r="K430" s="30" t="n">
        <v>0.0133994057561414</v>
      </c>
      <c r="L430" s="30" t="n">
        <v>0.9753667847067349</v>
      </c>
      <c r="M430" s="30" t="n">
        <v>0.01123380953712377</v>
      </c>
      <c r="N430" s="31">
        <f>ABS(E430-$F$6)</f>
        <v/>
      </c>
      <c r="O430" s="31">
        <f>ABS(E430-$F$7)</f>
        <v/>
      </c>
      <c r="P430" s="31">
        <f>ABS(E430-$F$8)</f>
        <v/>
      </c>
      <c r="Q430" s="14">
        <f>IF(K430&gt;=MAX(L430,M430), "Hemat", IF(L430&gt;=M430, "Balanced", "Premium"))</f>
        <v/>
      </c>
      <c r="R430" s="30" t="n">
        <v>0.01339819716995628</v>
      </c>
      <c r="S430" s="30" t="n">
        <v>0.9753692972895778</v>
      </c>
      <c r="T430" s="30" t="n">
        <v>0.01123250554046606</v>
      </c>
      <c r="U430" s="31">
        <f>ABS(E430-$G$6)</f>
        <v/>
      </c>
      <c r="V430" s="31">
        <f>ABS(E430-$G$7)</f>
        <v/>
      </c>
      <c r="W430" s="31">
        <f>ABS(E430-$G$8)</f>
        <v/>
      </c>
      <c r="X430" s="14">
        <f>IF(R430&gt;=MAX(S430,T430), "Hemat", IF(S430&gt;=T430, "Balanced", "Premium"))</f>
        <v/>
      </c>
    </row>
    <row r="431">
      <c r="A431" s="14" t="n">
        <v>420</v>
      </c>
      <c r="B431" s="7" t="inlineStr">
        <is>
          <t>The Aliante Hotel &amp; Convention Center</t>
        </is>
      </c>
      <c r="C431" s="26" t="n">
        <v>-7.9813617</v>
      </c>
      <c r="D431" s="26" t="n">
        <v>112.6348243</v>
      </c>
      <c r="E431" s="21" t="n">
        <v>388082</v>
      </c>
      <c r="F431" s="27" t="n">
        <v>0</v>
      </c>
      <c r="G431" s="28" t="n">
        <v>0</v>
      </c>
      <c r="H431" s="14" t="inlineStr">
        <is>
          <t>N/A</t>
        </is>
      </c>
      <c r="I431" s="29">
        <f>6371 * 2 * ASIN(SQRT(SIN(RADIANS((C431) - INDEX('Dataset_Wisata'!$C$12:$C$622, MATCH('Dashboard'!$C$9, 'Dataset_Wisata'!$A$12:$A$622, 0)))/2)^2 + COS(RADIANS(INDEX('Dataset_Wisata'!$C$12:$C$622, MATCH('Dashboard'!$C$9, 'Dataset_Wisata'!$A$12:$A$622, 0)))) * COS(RADIANS(C431)) * SIN(RADIANS((D431) - INDEX('Dataset_Wisata'!$D$12:$D$622, MATCH('Dashboard'!$C$9, 'Dataset_Wisata'!$A$12:$A$622, 0)))/2)^2)) * 1.3</f>
        <v/>
      </c>
      <c r="J431" s="21">
        <f>ROUND(I431 * IF('Dashboard'!$C$6&lt;=1, 2250, IF('Dashboard'!$C$6&lt;=4, 5150, 6000)), 0)</f>
        <v/>
      </c>
      <c r="K431" s="30" t="n">
        <v>0.00748705617222978</v>
      </c>
      <c r="L431" s="30" t="n">
        <v>0.02558907081767035</v>
      </c>
      <c r="M431" s="30" t="n">
        <v>0.9669238730100999</v>
      </c>
      <c r="N431" s="31">
        <f>ABS(E431-$F$6)</f>
        <v/>
      </c>
      <c r="O431" s="31">
        <f>ABS(E431-$F$7)</f>
        <v/>
      </c>
      <c r="P431" s="31">
        <f>ABS(E431-$F$8)</f>
        <v/>
      </c>
      <c r="Q431" s="14">
        <f>IF(K431&gt;=MAX(L431,M431), "Hemat", IF(L431&gt;=M431, "Balanced", "Premium"))</f>
        <v/>
      </c>
      <c r="R431" s="30" t="n">
        <v>0.007488117729614097</v>
      </c>
      <c r="S431" s="30" t="n">
        <v>0.02559293106471813</v>
      </c>
      <c r="T431" s="30" t="n">
        <v>0.9669189512056677</v>
      </c>
      <c r="U431" s="31">
        <f>ABS(E431-$G$6)</f>
        <v/>
      </c>
      <c r="V431" s="31">
        <f>ABS(E431-$G$7)</f>
        <v/>
      </c>
      <c r="W431" s="31">
        <f>ABS(E431-$G$8)</f>
        <v/>
      </c>
      <c r="X431" s="14">
        <f>IF(R431&gt;=MAX(S431,T431), "Hemat", IF(S431&gt;=T431, "Balanced", "Premium"))</f>
        <v/>
      </c>
    </row>
    <row r="432">
      <c r="A432" s="14" t="n">
        <v>421</v>
      </c>
      <c r="B432" s="7" t="inlineStr">
        <is>
          <t>THE 1O1 Malang OJ</t>
        </is>
      </c>
      <c r="C432" s="26" t="n">
        <v>-7.9680455</v>
      </c>
      <c r="D432" s="26" t="n">
        <v>112.6354553</v>
      </c>
      <c r="E432" s="21" t="n">
        <v>591601</v>
      </c>
      <c r="F432" s="27" t="n">
        <v>0</v>
      </c>
      <c r="G432" s="28" t="n">
        <v>0</v>
      </c>
      <c r="H432" s="14" t="inlineStr">
        <is>
          <t>N/A</t>
        </is>
      </c>
      <c r="I432" s="29">
        <f>6371 * 2 * ASIN(SQRT(SIN(RADIANS((C432) - INDEX('Dataset_Wisata'!$C$12:$C$622, MATCH('Dashboard'!$C$9, 'Dataset_Wisata'!$A$12:$A$622, 0)))/2)^2 + COS(RADIANS(INDEX('Dataset_Wisata'!$C$12:$C$622, MATCH('Dashboard'!$C$9, 'Dataset_Wisata'!$A$12:$A$622, 0)))) * COS(RADIANS(C432)) * SIN(RADIANS((D432) - INDEX('Dataset_Wisata'!$D$12:$D$622, MATCH('Dashboard'!$C$9, 'Dataset_Wisata'!$A$12:$A$622, 0)))/2)^2)) * 1.3</f>
        <v/>
      </c>
      <c r="J432" s="21">
        <f>ROUND(I432 * IF('Dashboard'!$C$6&lt;=1, 2250, IF('Dashboard'!$C$6&lt;=4, 5150, 6000)), 0)</f>
        <v/>
      </c>
      <c r="K432" s="30" t="n">
        <v>0.04578281167312284</v>
      </c>
      <c r="L432" s="30" t="n">
        <v>0.08341878026636526</v>
      </c>
      <c r="M432" s="30" t="n">
        <v>0.3076072106949421</v>
      </c>
      <c r="N432" s="31">
        <f>ABS(E432-$F$6)</f>
        <v/>
      </c>
      <c r="O432" s="31">
        <f>ABS(E432-$F$7)</f>
        <v/>
      </c>
      <c r="P432" s="31">
        <f>ABS(E432-$F$8)</f>
        <v/>
      </c>
      <c r="Q432" s="14">
        <f>IF(K432&gt;=MAX(L432,M432), "Hemat", IF(L432&gt;=M432, "Balanced", "Premium"))</f>
        <v/>
      </c>
      <c r="R432" s="30" t="n">
        <v>0.04578285740720733</v>
      </c>
      <c r="S432" s="30" t="n">
        <v>0.08341915291731113</v>
      </c>
      <c r="T432" s="30" t="n">
        <v>0.3076129580733408</v>
      </c>
      <c r="U432" s="31">
        <f>ABS(E432-$G$6)</f>
        <v/>
      </c>
      <c r="V432" s="31">
        <f>ABS(E432-$G$7)</f>
        <v/>
      </c>
      <c r="W432" s="31">
        <f>ABS(E432-$G$8)</f>
        <v/>
      </c>
      <c r="X432" s="14">
        <f>IF(R432&gt;=MAX(S432,T432), "Hemat", IF(S432&gt;=T432, "Balanced", "Premium"))</f>
        <v/>
      </c>
    </row>
    <row r="433">
      <c r="A433" s="14" t="n">
        <v>422</v>
      </c>
      <c r="B433" s="7" t="inlineStr">
        <is>
          <t>Lily Guest House Syariah RedPartner</t>
        </is>
      </c>
      <c r="C433" s="26" t="n">
        <v>-7.9877561</v>
      </c>
      <c r="D433" s="26" t="n">
        <v>112.6346953</v>
      </c>
      <c r="E433" s="21" t="n">
        <v>221966</v>
      </c>
      <c r="F433" s="27" t="n">
        <v>0</v>
      </c>
      <c r="G433" s="28" t="n">
        <v>0</v>
      </c>
      <c r="H433" s="14" t="inlineStr">
        <is>
          <t>N/A</t>
        </is>
      </c>
      <c r="I433" s="29">
        <f>6371 * 2 * ASIN(SQRT(SIN(RADIANS((C433) - INDEX('Dataset_Wisata'!$C$12:$C$622, MATCH('Dashboard'!$C$9, 'Dataset_Wisata'!$A$12:$A$622, 0)))/2)^2 + COS(RADIANS(INDEX('Dataset_Wisata'!$C$12:$C$622, MATCH('Dashboard'!$C$9, 'Dataset_Wisata'!$A$12:$A$622, 0)))) * COS(RADIANS(C433)) * SIN(RADIANS((D433) - INDEX('Dataset_Wisata'!$D$12:$D$622, MATCH('Dashboard'!$C$9, 'Dataset_Wisata'!$A$12:$A$622, 0)))/2)^2)) * 1.3</f>
        <v/>
      </c>
      <c r="J433" s="21">
        <f>ROUND(I433 * IF('Dashboard'!$C$6&lt;=1, 2250, IF('Dashboard'!$C$6&lt;=4, 5150, 6000)), 0)</f>
        <v/>
      </c>
      <c r="K433" s="30" t="n">
        <v>0.05346667253692472</v>
      </c>
      <c r="L433" s="30" t="n">
        <v>0.9322897961815302</v>
      </c>
      <c r="M433" s="30" t="n">
        <v>0.01424353128154522</v>
      </c>
      <c r="N433" s="31">
        <f>ABS(E433-$F$6)</f>
        <v/>
      </c>
      <c r="O433" s="31">
        <f>ABS(E433-$F$7)</f>
        <v/>
      </c>
      <c r="P433" s="31">
        <f>ABS(E433-$F$8)</f>
        <v/>
      </c>
      <c r="Q433" s="14">
        <f>IF(K433&gt;=MAX(L433,M433), "Hemat", IF(L433&gt;=M433, "Balanced", "Premium"))</f>
        <v/>
      </c>
      <c r="R433" s="30" t="n">
        <v>0.05347022235098119</v>
      </c>
      <c r="S433" s="30" t="n">
        <v>0.9322856221923757</v>
      </c>
      <c r="T433" s="30" t="n">
        <v>0.01424415545664297</v>
      </c>
      <c r="U433" s="31">
        <f>ABS(E433-$G$6)</f>
        <v/>
      </c>
      <c r="V433" s="31">
        <f>ABS(E433-$G$7)</f>
        <v/>
      </c>
      <c r="W433" s="31">
        <f>ABS(E433-$G$8)</f>
        <v/>
      </c>
      <c r="X433" s="14">
        <f>IF(R433&gt;=MAX(S433,T433), "Hemat", IF(S433&gt;=T433, "Balanced", "Premium"))</f>
        <v/>
      </c>
    </row>
    <row r="434">
      <c r="A434" s="14" t="n">
        <v>423</v>
      </c>
      <c r="B434" s="7" t="inlineStr">
        <is>
          <t>Esma Guest House</t>
        </is>
      </c>
      <c r="C434" s="26" t="n">
        <v>-7.9608927</v>
      </c>
      <c r="D434" s="26" t="n">
        <v>112.6353624</v>
      </c>
      <c r="E434" s="21" t="n">
        <v>373710</v>
      </c>
      <c r="F434" s="27" t="n">
        <v>0</v>
      </c>
      <c r="G434" s="28" t="n">
        <v>0</v>
      </c>
      <c r="H434" s="14" t="inlineStr">
        <is>
          <t>N/A</t>
        </is>
      </c>
      <c r="I434" s="29">
        <f>6371 * 2 * ASIN(SQRT(SIN(RADIANS((C434) - INDEX('Dataset_Wisata'!$C$12:$C$622, MATCH('Dashboard'!$C$9, 'Dataset_Wisata'!$A$12:$A$622, 0)))/2)^2 + COS(RADIANS(INDEX('Dataset_Wisata'!$C$12:$C$622, MATCH('Dashboard'!$C$9, 'Dataset_Wisata'!$A$12:$A$622, 0)))) * COS(RADIANS(C434)) * SIN(RADIANS((D434) - INDEX('Dataset_Wisata'!$D$12:$D$622, MATCH('Dashboard'!$C$9, 'Dataset_Wisata'!$A$12:$A$622, 0)))/2)^2)) * 1.3</f>
        <v/>
      </c>
      <c r="J434" s="21">
        <f>ROUND(I434 * IF('Dashboard'!$C$6&lt;=1, 2250, IF('Dashboard'!$C$6&lt;=4, 5150, 6000)), 0)</f>
        <v/>
      </c>
      <c r="K434" s="30" t="n">
        <v>0.02048137059382726</v>
      </c>
      <c r="L434" s="30" t="n">
        <v>0.07738311989254132</v>
      </c>
      <c r="M434" s="30" t="n">
        <v>0.9021355095136314</v>
      </c>
      <c r="N434" s="31">
        <f>ABS(E434-$F$6)</f>
        <v/>
      </c>
      <c r="O434" s="31">
        <f>ABS(E434-$F$7)</f>
        <v/>
      </c>
      <c r="P434" s="31">
        <f>ABS(E434-$F$8)</f>
        <v/>
      </c>
      <c r="Q434" s="14">
        <f>IF(K434&gt;=MAX(L434,M434), "Hemat", IF(L434&gt;=M434, "Balanced", "Premium"))</f>
        <v/>
      </c>
      <c r="R434" s="30" t="n">
        <v>0.02048304500069969</v>
      </c>
      <c r="S434" s="30" t="n">
        <v>0.07739023399782402</v>
      </c>
      <c r="T434" s="30" t="n">
        <v>0.9021267210014763</v>
      </c>
      <c r="U434" s="31">
        <f>ABS(E434-$G$6)</f>
        <v/>
      </c>
      <c r="V434" s="31">
        <f>ABS(E434-$G$7)</f>
        <v/>
      </c>
      <c r="W434" s="31">
        <f>ABS(E434-$G$8)</f>
        <v/>
      </c>
      <c r="X434" s="14">
        <f>IF(R434&gt;=MAX(S434,T434), "Hemat", IF(S434&gt;=T434, "Balanced", "Premium"))</f>
        <v/>
      </c>
    </row>
    <row r="435">
      <c r="A435" s="14" t="n">
        <v>424</v>
      </c>
      <c r="B435" s="7" t="inlineStr">
        <is>
          <t>Sans Hotel La Vida Malang</t>
        </is>
      </c>
      <c r="C435" s="26" t="n">
        <v>-7.9745474</v>
      </c>
      <c r="D435" s="26" t="n">
        <v>112.6556206</v>
      </c>
      <c r="E435" s="21" t="n">
        <v>205989</v>
      </c>
      <c r="F435" s="27" t="n">
        <v>0</v>
      </c>
      <c r="G435" s="28" t="n">
        <v>0</v>
      </c>
      <c r="H435" s="14" t="inlineStr">
        <is>
          <t>N/A</t>
        </is>
      </c>
      <c r="I435" s="29">
        <f>6371 * 2 * ASIN(SQRT(SIN(RADIANS((C435) - INDEX('Dataset_Wisata'!$C$12:$C$622, MATCH('Dashboard'!$C$9, 'Dataset_Wisata'!$A$12:$A$622, 0)))/2)^2 + COS(RADIANS(INDEX('Dataset_Wisata'!$C$12:$C$622, MATCH('Dashboard'!$C$9, 'Dataset_Wisata'!$A$12:$A$622, 0)))) * COS(RADIANS(C435)) * SIN(RADIANS((D435) - INDEX('Dataset_Wisata'!$D$12:$D$622, MATCH('Dashboard'!$C$9, 'Dataset_Wisata'!$A$12:$A$622, 0)))/2)^2)) * 1.3</f>
        <v/>
      </c>
      <c r="J435" s="21">
        <f>ROUND(I435 * IF('Dashboard'!$C$6&lt;=1, 2250, IF('Dashboard'!$C$6&lt;=4, 5150, 6000)), 0)</f>
        <v/>
      </c>
      <c r="K435" s="30" t="n">
        <v>0.1828946712020595</v>
      </c>
      <c r="L435" s="30" t="n">
        <v>0.7881115010813897</v>
      </c>
      <c r="M435" s="30" t="n">
        <v>0.02899382771655076</v>
      </c>
      <c r="N435" s="31">
        <f>ABS(E435-$F$6)</f>
        <v/>
      </c>
      <c r="O435" s="31">
        <f>ABS(E435-$F$7)</f>
        <v/>
      </c>
      <c r="P435" s="31">
        <f>ABS(E435-$F$8)</f>
        <v/>
      </c>
      <c r="Q435" s="14">
        <f>IF(K435&gt;=MAX(L435,M435), "Hemat", IF(L435&gt;=M435, "Balanced", "Premium"))</f>
        <v/>
      </c>
      <c r="R435" s="30" t="n">
        <v>0.1829012731732268</v>
      </c>
      <c r="S435" s="30" t="n">
        <v>0.7881044938547352</v>
      </c>
      <c r="T435" s="30" t="n">
        <v>0.02899423297203805</v>
      </c>
      <c r="U435" s="31">
        <f>ABS(E435-$G$6)</f>
        <v/>
      </c>
      <c r="V435" s="31">
        <f>ABS(E435-$G$7)</f>
        <v/>
      </c>
      <c r="W435" s="31">
        <f>ABS(E435-$G$8)</f>
        <v/>
      </c>
      <c r="X435" s="14">
        <f>IF(R435&gt;=MAX(S435,T435), "Hemat", IF(S435&gt;=T435, "Balanced", "Premium"))</f>
        <v/>
      </c>
    </row>
    <row r="436">
      <c r="A436" s="14" t="n">
        <v>425</v>
      </c>
      <c r="B436" s="7" t="inlineStr">
        <is>
          <t>Plum Dreamscape Inan Malang</t>
        </is>
      </c>
      <c r="C436" s="26" t="n">
        <v>-7.9703265</v>
      </c>
      <c r="D436" s="26" t="n">
        <v>112.6352386</v>
      </c>
      <c r="E436" s="21" t="n">
        <v>272938</v>
      </c>
      <c r="F436" s="27" t="n">
        <v>0</v>
      </c>
      <c r="G436" s="28" t="n">
        <v>0</v>
      </c>
      <c r="H436" s="14" t="inlineStr">
        <is>
          <t>N/A</t>
        </is>
      </c>
      <c r="I436" s="29">
        <f>6371 * 2 * ASIN(SQRT(SIN(RADIANS((C436) - INDEX('Dataset_Wisata'!$C$12:$C$622, MATCH('Dashboard'!$C$9, 'Dataset_Wisata'!$A$12:$A$622, 0)))/2)^2 + COS(RADIANS(INDEX('Dataset_Wisata'!$C$12:$C$622, MATCH('Dashboard'!$C$9, 'Dataset_Wisata'!$A$12:$A$622, 0)))) * COS(RADIANS(C436)) * SIN(RADIANS((D436) - INDEX('Dataset_Wisata'!$D$12:$D$622, MATCH('Dashboard'!$C$9, 'Dataset_Wisata'!$A$12:$A$622, 0)))/2)^2)) * 1.3</f>
        <v/>
      </c>
      <c r="J436" s="21">
        <f>ROUND(I436 * IF('Dashboard'!$C$6&lt;=1, 2250, IF('Dashboard'!$C$6&lt;=4, 5150, 6000)), 0)</f>
        <v/>
      </c>
      <c r="K436" s="30" t="n">
        <v>0.03200660014366074</v>
      </c>
      <c r="L436" s="30" t="n">
        <v>0.9310274143837703</v>
      </c>
      <c r="M436" s="30" t="n">
        <v>0.03696598547256893</v>
      </c>
      <c r="N436" s="31">
        <f>ABS(E436-$F$6)</f>
        <v/>
      </c>
      <c r="O436" s="31">
        <f>ABS(E436-$F$7)</f>
        <v/>
      </c>
      <c r="P436" s="31">
        <f>ABS(E436-$F$8)</f>
        <v/>
      </c>
      <c r="Q436" s="14">
        <f>IF(K436&gt;=MAX(L436,M436), "Hemat", IF(L436&gt;=M436, "Balanced", "Premium"))</f>
        <v/>
      </c>
      <c r="R436" s="30" t="n">
        <v>0.03200505447117159</v>
      </c>
      <c r="S436" s="30" t="n">
        <v>0.9310317612581127</v>
      </c>
      <c r="T436" s="30" t="n">
        <v>0.03696318427071561</v>
      </c>
      <c r="U436" s="31">
        <f>ABS(E436-$G$6)</f>
        <v/>
      </c>
      <c r="V436" s="31">
        <f>ABS(E436-$G$7)</f>
        <v/>
      </c>
      <c r="W436" s="31">
        <f>ABS(E436-$G$8)</f>
        <v/>
      </c>
      <c r="X436" s="14">
        <f>IF(R436&gt;=MAX(S436,T436), "Hemat", IF(S436&gt;=T436, "Balanced", "Premium"))</f>
        <v/>
      </c>
    </row>
    <row r="437">
      <c r="A437" s="14" t="n">
        <v>426</v>
      </c>
      <c r="B437" s="7" t="inlineStr">
        <is>
          <t>Splendid Inn Hotel</t>
        </is>
      </c>
      <c r="C437" s="26" t="n">
        <v>-7.9776301</v>
      </c>
      <c r="D437" s="26" t="n">
        <v>112.6332811</v>
      </c>
      <c r="E437" s="21" t="n">
        <v>200000</v>
      </c>
      <c r="F437" s="27" t="n">
        <v>0</v>
      </c>
      <c r="G437" s="28" t="n">
        <v>0</v>
      </c>
      <c r="H437" s="14" t="inlineStr">
        <is>
          <t>N/A</t>
        </is>
      </c>
      <c r="I437" s="29">
        <f>6371 * 2 * ASIN(SQRT(SIN(RADIANS((C437) - INDEX('Dataset_Wisata'!$C$12:$C$622, MATCH('Dashboard'!$C$9, 'Dataset_Wisata'!$A$12:$A$622, 0)))/2)^2 + COS(RADIANS(INDEX('Dataset_Wisata'!$C$12:$C$622, MATCH('Dashboard'!$C$9, 'Dataset_Wisata'!$A$12:$A$622, 0)))) * COS(RADIANS(C437)) * SIN(RADIANS((D437) - INDEX('Dataset_Wisata'!$D$12:$D$622, MATCH('Dashboard'!$C$9, 'Dataset_Wisata'!$A$12:$A$622, 0)))/2)^2)) * 1.3</f>
        <v/>
      </c>
      <c r="J437" s="21">
        <f>ROUND(I437 * IF('Dashboard'!$C$6&lt;=1, 2250, IF('Dashboard'!$C$6&lt;=4, 5150, 6000)), 0)</f>
        <v/>
      </c>
      <c r="K437" s="30" t="n">
        <v>0.2553120674410002</v>
      </c>
      <c r="L437" s="30" t="n">
        <v>0.7118698806466551</v>
      </c>
      <c r="M437" s="30" t="n">
        <v>0.03281805191234464</v>
      </c>
      <c r="N437" s="31">
        <f>ABS(E437-$F$6)</f>
        <v/>
      </c>
      <c r="O437" s="31">
        <f>ABS(E437-$F$7)</f>
        <v/>
      </c>
      <c r="P437" s="31">
        <f>ABS(E437-$F$8)</f>
        <v/>
      </c>
      <c r="Q437" s="14">
        <f>IF(K437&gt;=MAX(L437,M437), "Hemat", IF(L437&gt;=M437, "Balanced", "Premium"))</f>
        <v/>
      </c>
      <c r="R437" s="30" t="n">
        <v>0.2553195689263855</v>
      </c>
      <c r="S437" s="30" t="n">
        <v>0.7118621403928133</v>
      </c>
      <c r="T437" s="30" t="n">
        <v>0.03281829068080127</v>
      </c>
      <c r="U437" s="31">
        <f>ABS(E437-$G$6)</f>
        <v/>
      </c>
      <c r="V437" s="31">
        <f>ABS(E437-$G$7)</f>
        <v/>
      </c>
      <c r="W437" s="31">
        <f>ABS(E437-$G$8)</f>
        <v/>
      </c>
      <c r="X437" s="14">
        <f>IF(R437&gt;=MAX(S437,T437), "Hemat", IF(S437&gt;=T437, "Balanced", "Premium"))</f>
        <v/>
      </c>
    </row>
    <row r="438">
      <c r="A438" s="14" t="n">
        <v>427</v>
      </c>
      <c r="B438" s="7" t="inlineStr">
        <is>
          <t>Amaris Hotel Malang</t>
        </is>
      </c>
      <c r="C438" s="26" t="n">
        <v>-7.960622</v>
      </c>
      <c r="D438" s="26" t="n">
        <v>112.6362872</v>
      </c>
      <c r="E438" s="21" t="n">
        <v>342752</v>
      </c>
      <c r="F438" s="27" t="n">
        <v>0</v>
      </c>
      <c r="G438" s="28" t="n">
        <v>0</v>
      </c>
      <c r="H438" s="14" t="inlineStr">
        <is>
          <t>N/A</t>
        </is>
      </c>
      <c r="I438" s="29">
        <f>6371 * 2 * ASIN(SQRT(SIN(RADIANS((C438) - INDEX('Dataset_Wisata'!$C$12:$C$622, MATCH('Dashboard'!$C$9, 'Dataset_Wisata'!$A$12:$A$622, 0)))/2)^2 + COS(RADIANS(INDEX('Dataset_Wisata'!$C$12:$C$622, MATCH('Dashboard'!$C$9, 'Dataset_Wisata'!$A$12:$A$622, 0)))) * COS(RADIANS(C438)) * SIN(RADIANS((D438) - INDEX('Dataset_Wisata'!$D$12:$D$622, MATCH('Dashboard'!$C$9, 'Dataset_Wisata'!$A$12:$A$622, 0)))/2)^2)) * 1.3</f>
        <v/>
      </c>
      <c r="J438" s="21">
        <f>ROUND(I438 * IF('Dashboard'!$C$6&lt;=1, 2250, IF('Dashboard'!$C$6&lt;=4, 5150, 6000)), 0)</f>
        <v/>
      </c>
      <c r="K438" s="30" t="n">
        <v>0.0617428146918495</v>
      </c>
      <c r="L438" s="30" t="n">
        <v>0.3108484048704152</v>
      </c>
      <c r="M438" s="30" t="n">
        <v>0.6274087804377353</v>
      </c>
      <c r="N438" s="31">
        <f>ABS(E438-$F$6)</f>
        <v/>
      </c>
      <c r="O438" s="31">
        <f>ABS(E438-$F$7)</f>
        <v/>
      </c>
      <c r="P438" s="31">
        <f>ABS(E438-$F$8)</f>
        <v/>
      </c>
      <c r="Q438" s="14">
        <f>IF(K438&gt;=MAX(L438,M438), "Hemat", IF(L438&gt;=M438, "Balanced", "Premium"))</f>
        <v/>
      </c>
      <c r="R438" s="30" t="n">
        <v>0.06174453740573471</v>
      </c>
      <c r="S438" s="30" t="n">
        <v>0.3108613510554799</v>
      </c>
      <c r="T438" s="30" t="n">
        <v>0.6273941115387854</v>
      </c>
      <c r="U438" s="31">
        <f>ABS(E438-$G$6)</f>
        <v/>
      </c>
      <c r="V438" s="31">
        <f>ABS(E438-$G$7)</f>
        <v/>
      </c>
      <c r="W438" s="31">
        <f>ABS(E438-$G$8)</f>
        <v/>
      </c>
      <c r="X438" s="14">
        <f>IF(R438&gt;=MAX(S438,T438), "Hemat", IF(S438&gt;=T438, "Balanced", "Premium"))</f>
        <v/>
      </c>
    </row>
    <row r="439">
      <c r="A439" s="14" t="n">
        <v>428</v>
      </c>
      <c r="B439" s="7" t="inlineStr">
        <is>
          <t>Junggo Tentrem</t>
        </is>
      </c>
      <c r="C439" s="26" t="n">
        <v>-7.9610014</v>
      </c>
      <c r="D439" s="26" t="n">
        <v>112.6342137</v>
      </c>
      <c r="E439" s="21" t="n">
        <v>176216</v>
      </c>
      <c r="F439" s="27" t="n">
        <v>0</v>
      </c>
      <c r="G439" s="28" t="n">
        <v>0</v>
      </c>
      <c r="H439" s="14" t="inlineStr">
        <is>
          <t>N/A</t>
        </is>
      </c>
      <c r="I439" s="29">
        <f>6371 * 2 * ASIN(SQRT(SIN(RADIANS((C439) - INDEX('Dataset_Wisata'!$C$12:$C$622, MATCH('Dashboard'!$C$9, 'Dataset_Wisata'!$A$12:$A$622, 0)))/2)^2 + COS(RADIANS(INDEX('Dataset_Wisata'!$C$12:$C$622, MATCH('Dashboard'!$C$9, 'Dataset_Wisata'!$A$12:$A$622, 0)))) * COS(RADIANS(C439)) * SIN(RADIANS((D439) - INDEX('Dataset_Wisata'!$D$12:$D$622, MATCH('Dashboard'!$C$9, 'Dataset_Wisata'!$A$12:$A$622, 0)))/2)^2)) * 1.3</f>
        <v/>
      </c>
      <c r="J439" s="21">
        <f>ROUND(I439 * IF('Dashboard'!$C$6&lt;=1, 2250, IF('Dashboard'!$C$6&lt;=4, 5150, 6000)), 0)</f>
        <v/>
      </c>
      <c r="K439" s="30" t="n">
        <v>0.619687363473628</v>
      </c>
      <c r="L439" s="30" t="n">
        <v>0.350024593574804</v>
      </c>
      <c r="M439" s="30" t="n">
        <v>0.03028804295156796</v>
      </c>
      <c r="N439" s="31">
        <f>ABS(E439-$F$6)</f>
        <v/>
      </c>
      <c r="O439" s="31">
        <f>ABS(E439-$F$7)</f>
        <v/>
      </c>
      <c r="P439" s="31">
        <f>ABS(E439-$F$8)</f>
        <v/>
      </c>
      <c r="Q439" s="14">
        <f>IF(K439&gt;=MAX(L439,M439), "Hemat", IF(L439&gt;=M439, "Balanced", "Premium"))</f>
        <v/>
      </c>
      <c r="R439" s="30" t="n">
        <v>0.6196946008575804</v>
      </c>
      <c r="S439" s="30" t="n">
        <v>0.3500177085576152</v>
      </c>
      <c r="T439" s="30" t="n">
        <v>0.03028769058480419</v>
      </c>
      <c r="U439" s="31">
        <f>ABS(E439-$G$6)</f>
        <v/>
      </c>
      <c r="V439" s="31">
        <f>ABS(E439-$G$7)</f>
        <v/>
      </c>
      <c r="W439" s="31">
        <f>ABS(E439-$G$8)</f>
        <v/>
      </c>
      <c r="X439" s="14">
        <f>IF(R439&gt;=MAX(S439,T439), "Hemat", IF(S439&gt;=T439, "Balanced", "Premium"))</f>
        <v/>
      </c>
    </row>
    <row r="440">
      <c r="A440" s="14" t="n">
        <v>429</v>
      </c>
      <c r="B440" s="7" t="inlineStr">
        <is>
          <t>BeSS Resort and Waterpark</t>
        </is>
      </c>
      <c r="C440" s="26" t="n">
        <v>-7.826765</v>
      </c>
      <c r="D440" s="26" t="n">
        <v>112.727482</v>
      </c>
      <c r="E440" s="21" t="n">
        <v>932942</v>
      </c>
      <c r="F440" s="27" t="n">
        <v>0</v>
      </c>
      <c r="G440" s="28" t="n">
        <v>0</v>
      </c>
      <c r="H440" s="14" t="inlineStr">
        <is>
          <t>N/A</t>
        </is>
      </c>
      <c r="I440" s="29">
        <f>6371 * 2 * ASIN(SQRT(SIN(RADIANS((C440) - INDEX('Dataset_Wisata'!$C$12:$C$622, MATCH('Dashboard'!$C$9, 'Dataset_Wisata'!$A$12:$A$622, 0)))/2)^2 + COS(RADIANS(INDEX('Dataset_Wisata'!$C$12:$C$622, MATCH('Dashboard'!$C$9, 'Dataset_Wisata'!$A$12:$A$622, 0)))) * COS(RADIANS(C440)) * SIN(RADIANS((D440) - INDEX('Dataset_Wisata'!$D$12:$D$622, MATCH('Dashboard'!$C$9, 'Dataset_Wisata'!$A$12:$A$622, 0)))/2)^2)) * 1.3</f>
        <v/>
      </c>
      <c r="J440" s="21">
        <f>ROUND(I440 * IF('Dashboard'!$C$6&lt;=1, 2250, IF('Dashboard'!$C$6&lt;=4, 5150, 6000)), 0)</f>
        <v/>
      </c>
      <c r="K440" s="30" t="n">
        <v>0.01529069555164651</v>
      </c>
      <c r="L440" s="30" t="n">
        <v>0.02115248946525117</v>
      </c>
      <c r="M440" s="30" t="n">
        <v>0.03674958191434052</v>
      </c>
      <c r="N440" s="31">
        <f>ABS(E440-$F$6)</f>
        <v/>
      </c>
      <c r="O440" s="31">
        <f>ABS(E440-$F$7)</f>
        <v/>
      </c>
      <c r="P440" s="31">
        <f>ABS(E440-$F$8)</f>
        <v/>
      </c>
      <c r="Q440" s="14">
        <f>IF(K440&gt;=MAX(L440,M440), "Hemat", IF(L440&gt;=M440, "Balanced", "Premium"))</f>
        <v/>
      </c>
      <c r="R440" s="30" t="n">
        <v>0.01529070437892896</v>
      </c>
      <c r="S440" s="30" t="n">
        <v>0.02115253704783086</v>
      </c>
      <c r="T440" s="30" t="n">
        <v>0.03674981924270457</v>
      </c>
      <c r="U440" s="31">
        <f>ABS(E440-$G$6)</f>
        <v/>
      </c>
      <c r="V440" s="31">
        <f>ABS(E440-$G$7)</f>
        <v/>
      </c>
      <c r="W440" s="31">
        <f>ABS(E440-$G$8)</f>
        <v/>
      </c>
      <c r="X440" s="14">
        <f>IF(R440&gt;=MAX(S440,T440), "Hemat", IF(S440&gt;=T440, "Balanced", "Premium"))</f>
        <v/>
      </c>
    </row>
    <row r="441">
      <c r="A441" s="14" t="n">
        <v>430</v>
      </c>
      <c r="B441" s="7" t="inlineStr">
        <is>
          <t>Zzz Hostel Malang</t>
        </is>
      </c>
      <c r="C441" s="26" t="n">
        <v>-7.9666688</v>
      </c>
      <c r="D441" s="26" t="n">
        <v>112.6472578</v>
      </c>
      <c r="E441" s="21" t="n">
        <v>90000</v>
      </c>
      <c r="F441" s="27" t="n">
        <v>0</v>
      </c>
      <c r="G441" s="28" t="n">
        <v>0</v>
      </c>
      <c r="H441" s="14" t="inlineStr">
        <is>
          <t>N/A</t>
        </is>
      </c>
      <c r="I441" s="29">
        <f>6371 * 2 * ASIN(SQRT(SIN(RADIANS((C441) - INDEX('Dataset_Wisata'!$C$12:$C$622, MATCH('Dashboard'!$C$9, 'Dataset_Wisata'!$A$12:$A$622, 0)))/2)^2 + COS(RADIANS(INDEX('Dataset_Wisata'!$C$12:$C$622, MATCH('Dashboard'!$C$9, 'Dataset_Wisata'!$A$12:$A$622, 0)))) * COS(RADIANS(C441)) * SIN(RADIANS((D441) - INDEX('Dataset_Wisata'!$D$12:$D$622, MATCH('Dashboard'!$C$9, 'Dataset_Wisata'!$A$12:$A$622, 0)))/2)^2)) * 1.3</f>
        <v/>
      </c>
      <c r="J441" s="21">
        <f>ROUND(I441 * IF('Dashboard'!$C$6&lt;=1, 2250, IF('Dashboard'!$C$6&lt;=4, 5150, 6000)), 0)</f>
        <v/>
      </c>
      <c r="K441" s="30" t="n">
        <v>0.9434516423125573</v>
      </c>
      <c r="L441" s="30" t="n">
        <v>0.0458314192959216</v>
      </c>
      <c r="M441" s="30" t="n">
        <v>0.0107169383915211</v>
      </c>
      <c r="N441" s="31">
        <f>ABS(E441-$F$6)</f>
        <v/>
      </c>
      <c r="O441" s="31">
        <f>ABS(E441-$F$7)</f>
        <v/>
      </c>
      <c r="P441" s="31">
        <f>ABS(E441-$F$8)</f>
        <v/>
      </c>
      <c r="Q441" s="14">
        <f>IF(K441&gt;=MAX(L441,M441), "Hemat", IF(L441&gt;=M441, "Balanced", "Premium"))</f>
        <v/>
      </c>
      <c r="R441" s="30" t="n">
        <v>0.9434514514305987</v>
      </c>
      <c r="S441" s="30" t="n">
        <v>0.04583157860381438</v>
      </c>
      <c r="T441" s="30" t="n">
        <v>0.01071696996558682</v>
      </c>
      <c r="U441" s="31">
        <f>ABS(E441-$G$6)</f>
        <v/>
      </c>
      <c r="V441" s="31">
        <f>ABS(E441-$G$7)</f>
        <v/>
      </c>
      <c r="W441" s="31">
        <f>ABS(E441-$G$8)</f>
        <v/>
      </c>
      <c r="X441" s="14">
        <f>IF(R441&gt;=MAX(S441,T441), "Hemat", IF(S441&gt;=T441, "Balanced", "Premium"))</f>
        <v/>
      </c>
    </row>
    <row r="442">
      <c r="A442" s="14" t="n">
        <v>431</v>
      </c>
      <c r="B442" s="7" t="inlineStr">
        <is>
          <t>Neomi Homestay Malang (CV.Neomi perdana sukse)</t>
        </is>
      </c>
      <c r="C442" s="26" t="n">
        <v>-7.9419521</v>
      </c>
      <c r="D442" s="26" t="n">
        <v>112.6588887</v>
      </c>
      <c r="E442" s="21" t="n">
        <v>165927</v>
      </c>
      <c r="F442" s="27" t="n">
        <v>0</v>
      </c>
      <c r="G442" s="28" t="n">
        <v>0</v>
      </c>
      <c r="H442" s="14" t="inlineStr">
        <is>
          <t>N/A</t>
        </is>
      </c>
      <c r="I442" s="29">
        <f>6371 * 2 * ASIN(SQRT(SIN(RADIANS((C442) - INDEX('Dataset_Wisata'!$C$12:$C$622, MATCH('Dashboard'!$C$9, 'Dataset_Wisata'!$A$12:$A$622, 0)))/2)^2 + COS(RADIANS(INDEX('Dataset_Wisata'!$C$12:$C$622, MATCH('Dashboard'!$C$9, 'Dataset_Wisata'!$A$12:$A$622, 0)))) * COS(RADIANS(C442)) * SIN(RADIANS((D442) - INDEX('Dataset_Wisata'!$D$12:$D$622, MATCH('Dashboard'!$C$9, 'Dataset_Wisata'!$A$12:$A$622, 0)))/2)^2)) * 1.3</f>
        <v/>
      </c>
      <c r="J442" s="21">
        <f>ROUND(I442 * IF('Dashboard'!$C$6&lt;=1, 2250, IF('Dashboard'!$C$6&lt;=4, 5150, 6000)), 0)</f>
        <v/>
      </c>
      <c r="K442" s="30" t="n">
        <v>0.7667708625628432</v>
      </c>
      <c r="L442" s="30" t="n">
        <v>0.2111014669445773</v>
      </c>
      <c r="M442" s="30" t="n">
        <v>0.02212767049257954</v>
      </c>
      <c r="N442" s="31">
        <f>ABS(E442-$F$6)</f>
        <v/>
      </c>
      <c r="O442" s="31">
        <f>ABS(E442-$F$7)</f>
        <v/>
      </c>
      <c r="P442" s="31">
        <f>ABS(E442-$F$8)</f>
        <v/>
      </c>
      <c r="Q442" s="14">
        <f>IF(K442&gt;=MAX(L442,M442), "Hemat", IF(L442&gt;=M442, "Balanced", "Premium"))</f>
        <v/>
      </c>
      <c r="R442" s="30" t="n">
        <v>0.7667762499104667</v>
      </c>
      <c r="S442" s="30" t="n">
        <v>0.2110964757539886</v>
      </c>
      <c r="T442" s="30" t="n">
        <v>0.0221272743355448</v>
      </c>
      <c r="U442" s="31">
        <f>ABS(E442-$G$6)</f>
        <v/>
      </c>
      <c r="V442" s="31">
        <f>ABS(E442-$G$7)</f>
        <v/>
      </c>
      <c r="W442" s="31">
        <f>ABS(E442-$G$8)</f>
        <v/>
      </c>
      <c r="X442" s="14">
        <f>IF(R442&gt;=MAX(S442,T442), "Hemat", IF(S442&gt;=T442, "Balanced", "Premium"))</f>
        <v/>
      </c>
    </row>
    <row r="443">
      <c r="A443" s="14" t="n">
        <v>432</v>
      </c>
      <c r="B443" s="7" t="inlineStr">
        <is>
          <t>RedDoorz near Malang Creative Center</t>
        </is>
      </c>
      <c r="C443" s="26" t="n">
        <v>-7.9352241</v>
      </c>
      <c r="D443" s="26" t="n">
        <v>112.6375664</v>
      </c>
      <c r="E443" s="21" t="n">
        <v>138050</v>
      </c>
      <c r="F443" s="27" t="n">
        <v>0</v>
      </c>
      <c r="G443" s="28" t="n">
        <v>0</v>
      </c>
      <c r="H443" s="14" t="inlineStr">
        <is>
          <t>N/A</t>
        </is>
      </c>
      <c r="I443" s="29">
        <f>6371 * 2 * ASIN(SQRT(SIN(RADIANS((C443) - INDEX('Dataset_Wisata'!$C$12:$C$622, MATCH('Dashboard'!$C$9, 'Dataset_Wisata'!$A$12:$A$622, 0)))/2)^2 + COS(RADIANS(INDEX('Dataset_Wisata'!$C$12:$C$622, MATCH('Dashboard'!$C$9, 'Dataset_Wisata'!$A$12:$A$622, 0)))) * COS(RADIANS(C443)) * SIN(RADIANS((D443) - INDEX('Dataset_Wisata'!$D$12:$D$622, MATCH('Dashboard'!$C$9, 'Dataset_Wisata'!$A$12:$A$622, 0)))/2)^2)) * 1.3</f>
        <v/>
      </c>
      <c r="J443" s="21">
        <f>ROUND(I443 * IF('Dashboard'!$C$6&lt;=1, 2250, IF('Dashboard'!$C$6&lt;=4, 5150, 6000)), 0)</f>
        <v/>
      </c>
      <c r="K443" s="30" t="n">
        <v>0.9812555672164485</v>
      </c>
      <c r="L443" s="30" t="n">
        <v>0.0162394571840289</v>
      </c>
      <c r="M443" s="30" t="n">
        <v>0.002504975599522518</v>
      </c>
      <c r="N443" s="31">
        <f>ABS(E443-$F$6)</f>
        <v/>
      </c>
      <c r="O443" s="31">
        <f>ABS(E443-$F$7)</f>
        <v/>
      </c>
      <c r="P443" s="31">
        <f>ABS(E443-$F$8)</f>
        <v/>
      </c>
      <c r="Q443" s="14">
        <f>IF(K443&gt;=MAX(L443,M443), "Hemat", IF(L443&gt;=M443, "Balanced", "Premium"))</f>
        <v/>
      </c>
      <c r="R443" s="30" t="n">
        <v>0.9812564491375333</v>
      </c>
      <c r="S443" s="30" t="n">
        <v>0.0162386885995982</v>
      </c>
      <c r="T443" s="30" t="n">
        <v>0.002504862262868568</v>
      </c>
      <c r="U443" s="31">
        <f>ABS(E443-$G$6)</f>
        <v/>
      </c>
      <c r="V443" s="31">
        <f>ABS(E443-$G$7)</f>
        <v/>
      </c>
      <c r="W443" s="31">
        <f>ABS(E443-$G$8)</f>
        <v/>
      </c>
      <c r="X443" s="14">
        <f>IF(R443&gt;=MAX(S443,T443), "Hemat", IF(S443&gt;=T443, "Balanced", "Premium"))</f>
        <v/>
      </c>
    </row>
    <row r="444">
      <c r="A444" s="14" t="n">
        <v>433</v>
      </c>
      <c r="B444" s="7" t="inlineStr">
        <is>
          <t>Djoglo Luxury Bungalow</t>
        </is>
      </c>
      <c r="C444" s="26" t="n">
        <v>-7.9319402</v>
      </c>
      <c r="D444" s="26" t="n">
        <v>112.6641896</v>
      </c>
      <c r="E444" s="21" t="n">
        <v>1792415</v>
      </c>
      <c r="F444" s="27" t="n">
        <v>0</v>
      </c>
      <c r="G444" s="28" t="n">
        <v>0</v>
      </c>
      <c r="H444" s="14" t="inlineStr">
        <is>
          <t>N/A</t>
        </is>
      </c>
      <c r="I444" s="29">
        <f>6371 * 2 * ASIN(SQRT(SIN(RADIANS((C444) - INDEX('Dataset_Wisata'!$C$12:$C$622, MATCH('Dashboard'!$C$9, 'Dataset_Wisata'!$A$12:$A$622, 0)))/2)^2 + COS(RADIANS(INDEX('Dataset_Wisata'!$C$12:$C$622, MATCH('Dashboard'!$C$9, 'Dataset_Wisata'!$A$12:$A$622, 0)))) * COS(RADIANS(C444)) * SIN(RADIANS((D444) - INDEX('Dataset_Wisata'!$D$12:$D$622, MATCH('Dashboard'!$C$9, 'Dataset_Wisata'!$A$12:$A$622, 0)))/2)^2)) * 1.3</f>
        <v/>
      </c>
      <c r="J444" s="21">
        <f>ROUND(I444 * IF('Dashboard'!$C$6&lt;=1, 2250, IF('Dashboard'!$C$6&lt;=4, 5150, 6000)), 0)</f>
        <v/>
      </c>
      <c r="K444" s="30" t="n">
        <v>0.003593509985396158</v>
      </c>
      <c r="L444" s="30" t="n">
        <v>0.004178237788663572</v>
      </c>
      <c r="M444" s="30" t="n">
        <v>0.005242511280558477</v>
      </c>
      <c r="N444" s="31">
        <f>ABS(E444-$F$6)</f>
        <v/>
      </c>
      <c r="O444" s="31">
        <f>ABS(E444-$F$7)</f>
        <v/>
      </c>
      <c r="P444" s="31">
        <f>ABS(E444-$F$8)</f>
        <v/>
      </c>
      <c r="Q444" s="14">
        <f>IF(K444&gt;=MAX(L444,M444), "Hemat", IF(L444&gt;=M444, "Balanced", "Premium"))</f>
        <v/>
      </c>
      <c r="R444" s="30" t="n">
        <v>0.003593510991086661</v>
      </c>
      <c r="S444" s="30" t="n">
        <v>0.00417824196595788</v>
      </c>
      <c r="T444" s="30" t="n">
        <v>0.005242524067856676</v>
      </c>
      <c r="U444" s="31">
        <f>ABS(E444-$G$6)</f>
        <v/>
      </c>
      <c r="V444" s="31">
        <f>ABS(E444-$G$7)</f>
        <v/>
      </c>
      <c r="W444" s="31">
        <f>ABS(E444-$G$8)</f>
        <v/>
      </c>
      <c r="X444" s="14">
        <f>IF(R444&gt;=MAX(S444,T444), "Hemat", IF(S444&gt;=T444, "Balanced", "Premium"))</f>
        <v/>
      </c>
    </row>
    <row r="445">
      <c r="A445" s="14" t="n">
        <v>434</v>
      </c>
      <c r="B445" s="7" t="inlineStr">
        <is>
          <t>Hotel Grand Cakra</t>
        </is>
      </c>
      <c r="C445" s="26" t="n">
        <v>-7.9358583</v>
      </c>
      <c r="D445" s="26" t="n">
        <v>112.6512298</v>
      </c>
      <c r="E445" s="21" t="n">
        <v>533836</v>
      </c>
      <c r="F445" s="27" t="n">
        <v>0</v>
      </c>
      <c r="G445" s="28" t="n">
        <v>0</v>
      </c>
      <c r="H445" s="14" t="inlineStr">
        <is>
          <t>N/A</t>
        </is>
      </c>
      <c r="I445" s="29">
        <f>6371 * 2 * ASIN(SQRT(SIN(RADIANS((C445) - INDEX('Dataset_Wisata'!$C$12:$C$622, MATCH('Dashboard'!$C$9, 'Dataset_Wisata'!$A$12:$A$622, 0)))/2)^2 + COS(RADIANS(INDEX('Dataset_Wisata'!$C$12:$C$622, MATCH('Dashboard'!$C$9, 'Dataset_Wisata'!$A$12:$A$622, 0)))) * COS(RADIANS(C445)) * SIN(RADIANS((D445) - INDEX('Dataset_Wisata'!$D$12:$D$622, MATCH('Dashboard'!$C$9, 'Dataset_Wisata'!$A$12:$A$622, 0)))/2)^2)) * 1.3</f>
        <v/>
      </c>
      <c r="J445" s="21">
        <f>ROUND(I445 * IF('Dashboard'!$C$6&lt;=1, 2250, IF('Dashboard'!$C$6&lt;=4, 5150, 6000)), 0)</f>
        <v/>
      </c>
      <c r="K445" s="30" t="n">
        <v>0.0596069675669038</v>
      </c>
      <c r="L445" s="30" t="n">
        <v>0.1201726440651838</v>
      </c>
      <c r="M445" s="30" t="n">
        <v>0.6659812181541358</v>
      </c>
      <c r="N445" s="31">
        <f>ABS(E445-$F$6)</f>
        <v/>
      </c>
      <c r="O445" s="31">
        <f>ABS(E445-$F$7)</f>
        <v/>
      </c>
      <c r="P445" s="31">
        <f>ABS(E445-$F$8)</f>
        <v/>
      </c>
      <c r="Q445" s="14">
        <f>IF(K445&gt;=MAX(L445,M445), "Hemat", IF(L445&gt;=M445, "Balanced", "Premium"))</f>
        <v/>
      </c>
      <c r="R445" s="30" t="n">
        <v>0.05960703550789631</v>
      </c>
      <c r="S445" s="30" t="n">
        <v>0.1201732884053299</v>
      </c>
      <c r="T445" s="30" t="n">
        <v>0.6659995274172169</v>
      </c>
      <c r="U445" s="31">
        <f>ABS(E445-$G$6)</f>
        <v/>
      </c>
      <c r="V445" s="31">
        <f>ABS(E445-$G$7)</f>
        <v/>
      </c>
      <c r="W445" s="31">
        <f>ABS(E445-$G$8)</f>
        <v/>
      </c>
      <c r="X445" s="14">
        <f>IF(R445&gt;=MAX(S445,T445), "Hemat", IF(S445&gt;=T445, "Balanced", "Premium"))</f>
        <v/>
      </c>
    </row>
    <row r="446">
      <c r="A446" s="14" t="n">
        <v>435</v>
      </c>
      <c r="B446" s="7" t="inlineStr">
        <is>
          <t>Jardin Smart Residence</t>
        </is>
      </c>
      <c r="C446" s="26" t="n">
        <v>-7.9374241</v>
      </c>
      <c r="D446" s="26" t="n">
        <v>112.6404008</v>
      </c>
      <c r="E446" s="21" t="n">
        <v>200000</v>
      </c>
      <c r="F446" s="27" t="n">
        <v>0</v>
      </c>
      <c r="G446" s="28" t="n">
        <v>0</v>
      </c>
      <c r="H446" s="14" t="inlineStr">
        <is>
          <t>N/A</t>
        </is>
      </c>
      <c r="I446" s="29">
        <f>6371 * 2 * ASIN(SQRT(SIN(RADIANS((C446) - INDEX('Dataset_Wisata'!$C$12:$C$622, MATCH('Dashboard'!$C$9, 'Dataset_Wisata'!$A$12:$A$622, 0)))/2)^2 + COS(RADIANS(INDEX('Dataset_Wisata'!$C$12:$C$622, MATCH('Dashboard'!$C$9, 'Dataset_Wisata'!$A$12:$A$622, 0)))) * COS(RADIANS(C446)) * SIN(RADIANS((D446) - INDEX('Dataset_Wisata'!$D$12:$D$622, MATCH('Dashboard'!$C$9, 'Dataset_Wisata'!$A$12:$A$622, 0)))/2)^2)) * 1.3</f>
        <v/>
      </c>
      <c r="J446" s="21">
        <f>ROUND(I446 * IF('Dashboard'!$C$6&lt;=1, 2250, IF('Dashboard'!$C$6&lt;=4, 5150, 6000)), 0)</f>
        <v/>
      </c>
      <c r="K446" s="30" t="n">
        <v>0.2553120674410002</v>
      </c>
      <c r="L446" s="30" t="n">
        <v>0.7118698806466551</v>
      </c>
      <c r="M446" s="30" t="n">
        <v>0.03281805191234464</v>
      </c>
      <c r="N446" s="31">
        <f>ABS(E446-$F$6)</f>
        <v/>
      </c>
      <c r="O446" s="31">
        <f>ABS(E446-$F$7)</f>
        <v/>
      </c>
      <c r="P446" s="31">
        <f>ABS(E446-$F$8)</f>
        <v/>
      </c>
      <c r="Q446" s="14">
        <f>IF(K446&gt;=MAX(L446,M446), "Hemat", IF(L446&gt;=M446, "Balanced", "Premium"))</f>
        <v/>
      </c>
      <c r="R446" s="30" t="n">
        <v>0.2553195689263855</v>
      </c>
      <c r="S446" s="30" t="n">
        <v>0.7118621403928133</v>
      </c>
      <c r="T446" s="30" t="n">
        <v>0.03281829068080127</v>
      </c>
      <c r="U446" s="31">
        <f>ABS(E446-$G$6)</f>
        <v/>
      </c>
      <c r="V446" s="31">
        <f>ABS(E446-$G$7)</f>
        <v/>
      </c>
      <c r="W446" s="31">
        <f>ABS(E446-$G$8)</f>
        <v/>
      </c>
      <c r="X446" s="14">
        <f>IF(R446&gt;=MAX(S446,T446), "Hemat", IF(S446&gt;=T446, "Balanced", "Premium"))</f>
        <v/>
      </c>
    </row>
    <row r="447">
      <c r="A447" s="14" t="n">
        <v>436</v>
      </c>
      <c r="B447" s="7" t="inlineStr">
        <is>
          <t>Rumah Kita 2 ( Penginapan Harian dan Sales)</t>
        </is>
      </c>
      <c r="C447" s="26" t="n">
        <v>-7.936376</v>
      </c>
      <c r="D447" s="26" t="n">
        <v>112.6408462</v>
      </c>
      <c r="E447" s="21" t="n">
        <v>100000</v>
      </c>
      <c r="F447" s="27" t="n">
        <v>0</v>
      </c>
      <c r="G447" s="28" t="n">
        <v>0</v>
      </c>
      <c r="H447" s="14" t="inlineStr">
        <is>
          <t>N/A</t>
        </is>
      </c>
      <c r="I447" s="29">
        <f>6371 * 2 * ASIN(SQRT(SIN(RADIANS((C447) - INDEX('Dataset_Wisata'!$C$12:$C$622, MATCH('Dashboard'!$C$9, 'Dataset_Wisata'!$A$12:$A$622, 0)))/2)^2 + COS(RADIANS(INDEX('Dataset_Wisata'!$C$12:$C$622, MATCH('Dashboard'!$C$9, 'Dataset_Wisata'!$A$12:$A$622, 0)))) * COS(RADIANS(C447)) * SIN(RADIANS((D447) - INDEX('Dataset_Wisata'!$D$12:$D$622, MATCH('Dashboard'!$C$9, 'Dataset_Wisata'!$A$12:$A$622, 0)))/2)^2)) * 1.3</f>
        <v/>
      </c>
      <c r="J447" s="21">
        <f>ROUND(I447 * IF('Dashboard'!$C$6&lt;=1, 2250, IF('Dashboard'!$C$6&lt;=4, 5150, 6000)), 0)</f>
        <v/>
      </c>
      <c r="K447" s="30" t="n">
        <v>0.9672305756379272</v>
      </c>
      <c r="L447" s="30" t="n">
        <v>0.02690286027756393</v>
      </c>
      <c r="M447" s="30" t="n">
        <v>0.005866564084508831</v>
      </c>
      <c r="N447" s="31">
        <f>ABS(E447-$F$6)</f>
        <v/>
      </c>
      <c r="O447" s="31">
        <f>ABS(E447-$F$7)</f>
        <v/>
      </c>
      <c r="P447" s="31">
        <f>ABS(E447-$F$8)</f>
        <v/>
      </c>
      <c r="Q447" s="14">
        <f>IF(K447&gt;=MAX(L447,M447), "Hemat", IF(L447&gt;=M447, "Balanced", "Premium"))</f>
        <v/>
      </c>
      <c r="R447" s="30" t="n">
        <v>0.9672303035537276</v>
      </c>
      <c r="S447" s="30" t="n">
        <v>0.02690308452718115</v>
      </c>
      <c r="T447" s="30" t="n">
        <v>0.0058666119190913</v>
      </c>
      <c r="U447" s="31">
        <f>ABS(E447-$G$6)</f>
        <v/>
      </c>
      <c r="V447" s="31">
        <f>ABS(E447-$G$7)</f>
        <v/>
      </c>
      <c r="W447" s="31">
        <f>ABS(E447-$G$8)</f>
        <v/>
      </c>
      <c r="X447" s="14">
        <f>IF(R447&gt;=MAX(S447,T447), "Hemat", IF(S447&gt;=T447, "Balanced", "Premium"))</f>
        <v/>
      </c>
    </row>
    <row r="448">
      <c r="A448" s="14" t="n">
        <v>437</v>
      </c>
      <c r="B448" s="7" t="inlineStr">
        <is>
          <t>OYO 1289 Cbr Residence</t>
        </is>
      </c>
      <c r="C448" s="26" t="n">
        <v>-7.944632</v>
      </c>
      <c r="D448" s="26" t="n">
        <v>112.639119</v>
      </c>
      <c r="E448" s="21" t="n">
        <v>100000</v>
      </c>
      <c r="F448" s="27" t="n">
        <v>0</v>
      </c>
      <c r="G448" s="28" t="n">
        <v>0</v>
      </c>
      <c r="H448" s="14" t="inlineStr">
        <is>
          <t>N/A</t>
        </is>
      </c>
      <c r="I448" s="29">
        <f>6371 * 2 * ASIN(SQRT(SIN(RADIANS((C448) - INDEX('Dataset_Wisata'!$C$12:$C$622, MATCH('Dashboard'!$C$9, 'Dataset_Wisata'!$A$12:$A$622, 0)))/2)^2 + COS(RADIANS(INDEX('Dataset_Wisata'!$C$12:$C$622, MATCH('Dashboard'!$C$9, 'Dataset_Wisata'!$A$12:$A$622, 0)))) * COS(RADIANS(C448)) * SIN(RADIANS((D448) - INDEX('Dataset_Wisata'!$D$12:$D$622, MATCH('Dashboard'!$C$9, 'Dataset_Wisata'!$A$12:$A$622, 0)))/2)^2)) * 1.3</f>
        <v/>
      </c>
      <c r="J448" s="21">
        <f>ROUND(I448 * IF('Dashboard'!$C$6&lt;=1, 2250, IF('Dashboard'!$C$6&lt;=4, 5150, 6000)), 0)</f>
        <v/>
      </c>
      <c r="K448" s="30" t="n">
        <v>0.9672305756379272</v>
      </c>
      <c r="L448" s="30" t="n">
        <v>0.02690286027756393</v>
      </c>
      <c r="M448" s="30" t="n">
        <v>0.005866564084508831</v>
      </c>
      <c r="N448" s="31">
        <f>ABS(E448-$F$6)</f>
        <v/>
      </c>
      <c r="O448" s="31">
        <f>ABS(E448-$F$7)</f>
        <v/>
      </c>
      <c r="P448" s="31">
        <f>ABS(E448-$F$8)</f>
        <v/>
      </c>
      <c r="Q448" s="14">
        <f>IF(K448&gt;=MAX(L448,M448), "Hemat", IF(L448&gt;=M448, "Balanced", "Premium"))</f>
        <v/>
      </c>
      <c r="R448" s="30" t="n">
        <v>0.9672303035537276</v>
      </c>
      <c r="S448" s="30" t="n">
        <v>0.02690308452718115</v>
      </c>
      <c r="T448" s="30" t="n">
        <v>0.0058666119190913</v>
      </c>
      <c r="U448" s="31">
        <f>ABS(E448-$G$6)</f>
        <v/>
      </c>
      <c r="V448" s="31">
        <f>ABS(E448-$G$7)</f>
        <v/>
      </c>
      <c r="W448" s="31">
        <f>ABS(E448-$G$8)</f>
        <v/>
      </c>
      <c r="X448" s="14">
        <f>IF(R448&gt;=MAX(S448,T448), "Hemat", IF(S448&gt;=T448, "Balanced", "Premium"))</f>
        <v/>
      </c>
    </row>
    <row r="449">
      <c r="A449" s="14" t="n">
        <v>438</v>
      </c>
      <c r="B449" s="7" t="inlineStr">
        <is>
          <t>OYO 3803 Hotel Wonojati Syariah Malang</t>
        </is>
      </c>
      <c r="C449" s="26" t="n">
        <v>-7.9050592</v>
      </c>
      <c r="D449" s="26" t="n">
        <v>112.6601479</v>
      </c>
      <c r="E449" s="21" t="n">
        <v>100000</v>
      </c>
      <c r="F449" s="27" t="n">
        <v>0</v>
      </c>
      <c r="G449" s="28" t="n">
        <v>0</v>
      </c>
      <c r="H449" s="14" t="inlineStr">
        <is>
          <t>N/A</t>
        </is>
      </c>
      <c r="I449" s="29">
        <f>6371 * 2 * ASIN(SQRT(SIN(RADIANS((C449) - INDEX('Dataset_Wisata'!$C$12:$C$622, MATCH('Dashboard'!$C$9, 'Dataset_Wisata'!$A$12:$A$622, 0)))/2)^2 + COS(RADIANS(INDEX('Dataset_Wisata'!$C$12:$C$622, MATCH('Dashboard'!$C$9, 'Dataset_Wisata'!$A$12:$A$622, 0)))) * COS(RADIANS(C449)) * SIN(RADIANS((D449) - INDEX('Dataset_Wisata'!$D$12:$D$622, MATCH('Dashboard'!$C$9, 'Dataset_Wisata'!$A$12:$A$622, 0)))/2)^2)) * 1.3</f>
        <v/>
      </c>
      <c r="J449" s="21">
        <f>ROUND(I449 * IF('Dashboard'!$C$6&lt;=1, 2250, IF('Dashboard'!$C$6&lt;=4, 5150, 6000)), 0)</f>
        <v/>
      </c>
      <c r="K449" s="30" t="n">
        <v>0.9672305756379272</v>
      </c>
      <c r="L449" s="30" t="n">
        <v>0.02690286027756393</v>
      </c>
      <c r="M449" s="30" t="n">
        <v>0.005866564084508831</v>
      </c>
      <c r="N449" s="31">
        <f>ABS(E449-$F$6)</f>
        <v/>
      </c>
      <c r="O449" s="31">
        <f>ABS(E449-$F$7)</f>
        <v/>
      </c>
      <c r="P449" s="31">
        <f>ABS(E449-$F$8)</f>
        <v/>
      </c>
      <c r="Q449" s="14">
        <f>IF(K449&gt;=MAX(L449,M449), "Hemat", IF(L449&gt;=M449, "Balanced", "Premium"))</f>
        <v/>
      </c>
      <c r="R449" s="30" t="n">
        <v>0.9672303035537276</v>
      </c>
      <c r="S449" s="30" t="n">
        <v>0.02690308452718115</v>
      </c>
      <c r="T449" s="30" t="n">
        <v>0.0058666119190913</v>
      </c>
      <c r="U449" s="31">
        <f>ABS(E449-$G$6)</f>
        <v/>
      </c>
      <c r="V449" s="31">
        <f>ABS(E449-$G$7)</f>
        <v/>
      </c>
      <c r="W449" s="31">
        <f>ABS(E449-$G$8)</f>
        <v/>
      </c>
      <c r="X449" s="14">
        <f>IF(R449&gt;=MAX(S449,T449), "Hemat", IF(S449&gt;=T449, "Balanced", "Premium"))</f>
        <v/>
      </c>
    </row>
    <row r="450">
      <c r="A450" s="14" t="n">
        <v>439</v>
      </c>
      <c r="B450" s="7" t="inlineStr">
        <is>
          <t>Wisma Air Mancur Malang Syariah Mitra RedDoorz</t>
        </is>
      </c>
      <c r="C450" s="26" t="n">
        <v>-8.0075875</v>
      </c>
      <c r="D450" s="26" t="n">
        <v>112.7596732</v>
      </c>
      <c r="E450" s="21" t="n">
        <v>90000</v>
      </c>
      <c r="F450" s="27" t="n">
        <v>0</v>
      </c>
      <c r="G450" s="28" t="n">
        <v>0</v>
      </c>
      <c r="H450" s="14" t="inlineStr">
        <is>
          <t>N/A</t>
        </is>
      </c>
      <c r="I450" s="29">
        <f>6371 * 2 * ASIN(SQRT(SIN(RADIANS((C450) - INDEX('Dataset_Wisata'!$C$12:$C$622, MATCH('Dashboard'!$C$9, 'Dataset_Wisata'!$A$12:$A$622, 0)))/2)^2 + COS(RADIANS(INDEX('Dataset_Wisata'!$C$12:$C$622, MATCH('Dashboard'!$C$9, 'Dataset_Wisata'!$A$12:$A$622, 0)))) * COS(RADIANS(C450)) * SIN(RADIANS((D450) - INDEX('Dataset_Wisata'!$D$12:$D$622, MATCH('Dashboard'!$C$9, 'Dataset_Wisata'!$A$12:$A$622, 0)))/2)^2)) * 1.3</f>
        <v/>
      </c>
      <c r="J450" s="21">
        <f>ROUND(I450 * IF('Dashboard'!$C$6&lt;=1, 2250, IF('Dashboard'!$C$6&lt;=4, 5150, 6000)), 0)</f>
        <v/>
      </c>
      <c r="K450" s="30" t="n">
        <v>0.9434516423125573</v>
      </c>
      <c r="L450" s="30" t="n">
        <v>0.0458314192959216</v>
      </c>
      <c r="M450" s="30" t="n">
        <v>0.0107169383915211</v>
      </c>
      <c r="N450" s="31">
        <f>ABS(E450-$F$6)</f>
        <v/>
      </c>
      <c r="O450" s="31">
        <f>ABS(E450-$F$7)</f>
        <v/>
      </c>
      <c r="P450" s="31">
        <f>ABS(E450-$F$8)</f>
        <v/>
      </c>
      <c r="Q450" s="14">
        <f>IF(K450&gt;=MAX(L450,M450), "Hemat", IF(L450&gt;=M450, "Balanced", "Premium"))</f>
        <v/>
      </c>
      <c r="R450" s="30" t="n">
        <v>0.9434514514305987</v>
      </c>
      <c r="S450" s="30" t="n">
        <v>0.04583157860381438</v>
      </c>
      <c r="T450" s="30" t="n">
        <v>0.01071696996558682</v>
      </c>
      <c r="U450" s="31">
        <f>ABS(E450-$G$6)</f>
        <v/>
      </c>
      <c r="V450" s="31">
        <f>ABS(E450-$G$7)</f>
        <v/>
      </c>
      <c r="W450" s="31">
        <f>ABS(E450-$G$8)</f>
        <v/>
      </c>
      <c r="X450" s="14">
        <f>IF(R450&gt;=MAX(S450,T450), "Hemat", IF(S450&gt;=T450, "Balanced", "Premium"))</f>
        <v/>
      </c>
    </row>
    <row r="451">
      <c r="A451" s="14" t="n">
        <v>440</v>
      </c>
      <c r="B451" s="7" t="inlineStr">
        <is>
          <t>Pondok Tubing Poncokusumo Syariah RedPartner</t>
        </is>
      </c>
      <c r="C451" s="26" t="n">
        <v>-8.0150845</v>
      </c>
      <c r="D451" s="26" t="n">
        <v>112.8502653</v>
      </c>
      <c r="E451" s="21" t="n">
        <v>150000</v>
      </c>
      <c r="F451" s="27" t="n">
        <v>0</v>
      </c>
      <c r="G451" s="28" t="n">
        <v>0</v>
      </c>
      <c r="H451" s="14" t="inlineStr">
        <is>
          <t>N/A</t>
        </is>
      </c>
      <c r="I451" s="29">
        <f>6371 * 2 * ASIN(SQRT(SIN(RADIANS((C451) - INDEX('Dataset_Wisata'!$C$12:$C$622, MATCH('Dashboard'!$C$9, 'Dataset_Wisata'!$A$12:$A$622, 0)))/2)^2 + COS(RADIANS(INDEX('Dataset_Wisata'!$C$12:$C$622, MATCH('Dashboard'!$C$9, 'Dataset_Wisata'!$A$12:$A$622, 0)))) * COS(RADIANS(C451)) * SIN(RADIANS((D451) - INDEX('Dataset_Wisata'!$D$12:$D$622, MATCH('Dashboard'!$C$9, 'Dataset_Wisata'!$A$12:$A$622, 0)))/2)^2)) * 1.3</f>
        <v/>
      </c>
      <c r="J451" s="21">
        <f>ROUND(I451 * IF('Dashboard'!$C$6&lt;=1, 2250, IF('Dashboard'!$C$6&lt;=4, 5150, 6000)), 0)</f>
        <v/>
      </c>
      <c r="K451" s="30" t="n">
        <v>0.9236568385235482</v>
      </c>
      <c r="L451" s="30" t="n">
        <v>0.06736899151285153</v>
      </c>
      <c r="M451" s="30" t="n">
        <v>0.008974169963600275</v>
      </c>
      <c r="N451" s="31">
        <f>ABS(E451-$F$6)</f>
        <v/>
      </c>
      <c r="O451" s="31">
        <f>ABS(E451-$F$7)</f>
        <v/>
      </c>
      <c r="P451" s="31">
        <f>ABS(E451-$F$8)</f>
        <v/>
      </c>
      <c r="Q451" s="14">
        <f>IF(K451&gt;=MAX(L451,M451), "Hemat", IF(L451&gt;=M451, "Balanced", "Premium"))</f>
        <v/>
      </c>
      <c r="R451" s="30" t="n">
        <v>0.9236592327110943</v>
      </c>
      <c r="S451" s="30" t="n">
        <v>0.0673668524262508</v>
      </c>
      <c r="T451" s="30" t="n">
        <v>0.008973914862654904</v>
      </c>
      <c r="U451" s="31">
        <f>ABS(E451-$G$6)</f>
        <v/>
      </c>
      <c r="V451" s="31">
        <f>ABS(E451-$G$7)</f>
        <v/>
      </c>
      <c r="W451" s="31">
        <f>ABS(E451-$G$8)</f>
        <v/>
      </c>
      <c r="X451" s="14">
        <f>IF(R451&gt;=MAX(S451,T451), "Hemat", IF(S451&gt;=T451, "Balanced", "Premium"))</f>
        <v/>
      </c>
    </row>
    <row r="452">
      <c r="A452" s="14" t="n">
        <v>441</v>
      </c>
      <c r="B452" s="7" t="inlineStr">
        <is>
          <t>Intayu Homestay RedPartner</t>
        </is>
      </c>
      <c r="C452" s="26" t="n">
        <v>-8.0151307</v>
      </c>
      <c r="D452" s="26" t="n">
        <v>112.849029</v>
      </c>
      <c r="E452" s="21" t="n">
        <v>319507</v>
      </c>
      <c r="F452" s="27" t="n">
        <v>0</v>
      </c>
      <c r="G452" s="28" t="n">
        <v>0</v>
      </c>
      <c r="H452" s="14" t="inlineStr">
        <is>
          <t>N/A</t>
        </is>
      </c>
      <c r="I452" s="29">
        <f>6371 * 2 * ASIN(SQRT(SIN(RADIANS((C452) - INDEX('Dataset_Wisata'!$C$12:$C$622, MATCH('Dashboard'!$C$9, 'Dataset_Wisata'!$A$12:$A$622, 0)))/2)^2 + COS(RADIANS(INDEX('Dataset_Wisata'!$C$12:$C$622, MATCH('Dashboard'!$C$9, 'Dataset_Wisata'!$A$12:$A$622, 0)))) * COS(RADIANS(C452)) * SIN(RADIANS((D452) - INDEX('Dataset_Wisata'!$D$12:$D$622, MATCH('Dashboard'!$C$9, 'Dataset_Wisata'!$A$12:$A$622, 0)))/2)^2)) * 1.3</f>
        <v/>
      </c>
      <c r="J452" s="21">
        <f>ROUND(I452 * IF('Dashboard'!$C$6&lt;=1, 2250, IF('Dashboard'!$C$6&lt;=4, 5150, 6000)), 0)</f>
        <v/>
      </c>
      <c r="K452" s="30" t="n">
        <v>0.08024506105437426</v>
      </c>
      <c r="L452" s="30" t="n">
        <v>0.5566322704243643</v>
      </c>
      <c r="M452" s="30" t="n">
        <v>0.3631226685212613</v>
      </c>
      <c r="N452" s="31">
        <f>ABS(E452-$F$6)</f>
        <v/>
      </c>
      <c r="O452" s="31">
        <f>ABS(E452-$F$7)</f>
        <v/>
      </c>
      <c r="P452" s="31">
        <f>ABS(E452-$F$8)</f>
        <v/>
      </c>
      <c r="Q452" s="14">
        <f>IF(K452&gt;=MAX(L452,M452), "Hemat", IF(L452&gt;=M452, "Balanced", "Premium"))</f>
        <v/>
      </c>
      <c r="R452" s="30" t="n">
        <v>0.08024537501865876</v>
      </c>
      <c r="S452" s="30" t="n">
        <v>0.5566447301874448</v>
      </c>
      <c r="T452" s="30" t="n">
        <v>0.3631098947938965</v>
      </c>
      <c r="U452" s="31">
        <f>ABS(E452-$G$6)</f>
        <v/>
      </c>
      <c r="V452" s="31">
        <f>ABS(E452-$G$7)</f>
        <v/>
      </c>
      <c r="W452" s="31">
        <f>ABS(E452-$G$8)</f>
        <v/>
      </c>
      <c r="X452" s="14">
        <f>IF(R452&gt;=MAX(S452,T452), "Hemat", IF(S452&gt;=T452, "Balanced", "Premium"))</f>
        <v/>
      </c>
    </row>
    <row r="453">
      <c r="A453" s="14" t="n">
        <v>442</v>
      </c>
      <c r="B453" s="7" t="inlineStr">
        <is>
          <t>Semeru Hostel Malang</t>
        </is>
      </c>
      <c r="C453" s="26" t="n">
        <v>-7.973043</v>
      </c>
      <c r="D453" s="26" t="n">
        <v>112.624192</v>
      </c>
      <c r="E453" s="21" t="n">
        <v>307162</v>
      </c>
      <c r="F453" s="27" t="n">
        <v>0</v>
      </c>
      <c r="G453" s="28" t="n">
        <v>0</v>
      </c>
      <c r="H453" s="14" t="inlineStr">
        <is>
          <t>N/A</t>
        </is>
      </c>
      <c r="I453" s="29">
        <f>6371 * 2 * ASIN(SQRT(SIN(RADIANS((C453) - INDEX('Dataset_Wisata'!$C$12:$C$622, MATCH('Dashboard'!$C$9, 'Dataset_Wisata'!$A$12:$A$622, 0)))/2)^2 + COS(RADIANS(INDEX('Dataset_Wisata'!$C$12:$C$622, MATCH('Dashboard'!$C$9, 'Dataset_Wisata'!$A$12:$A$622, 0)))) * COS(RADIANS(C453)) * SIN(RADIANS((D453) - INDEX('Dataset_Wisata'!$D$12:$D$622, MATCH('Dashboard'!$C$9, 'Dataset_Wisata'!$A$12:$A$622, 0)))/2)^2)) * 1.3</f>
        <v/>
      </c>
      <c r="J453" s="21">
        <f>ROUND(I453 * IF('Dashboard'!$C$6&lt;=1, 2250, IF('Dashboard'!$C$6&lt;=4, 5150, 6000)), 0)</f>
        <v/>
      </c>
      <c r="K453" s="30" t="n">
        <v>0.07783434539843789</v>
      </c>
      <c r="L453" s="30" t="n">
        <v>0.6820180341828131</v>
      </c>
      <c r="M453" s="30" t="n">
        <v>0.2401476204187488</v>
      </c>
      <c r="N453" s="31">
        <f>ABS(E453-$F$6)</f>
        <v/>
      </c>
      <c r="O453" s="31">
        <f>ABS(E453-$F$7)</f>
        <v/>
      </c>
      <c r="P453" s="31">
        <f>ABS(E453-$F$8)</f>
        <v/>
      </c>
      <c r="Q453" s="14">
        <f>IF(K453&gt;=MAX(L453,M453), "Hemat", IF(L453&gt;=M453, "Balanced", "Premium"))</f>
        <v/>
      </c>
      <c r="R453" s="30" t="n">
        <v>0.0778338045204959</v>
      </c>
      <c r="S453" s="30" t="n">
        <v>0.6820286251535627</v>
      </c>
      <c r="T453" s="30" t="n">
        <v>0.2401375703259413</v>
      </c>
      <c r="U453" s="31">
        <f>ABS(E453-$G$6)</f>
        <v/>
      </c>
      <c r="V453" s="31">
        <f>ABS(E453-$G$7)</f>
        <v/>
      </c>
      <c r="W453" s="31">
        <f>ABS(E453-$G$8)</f>
        <v/>
      </c>
      <c r="X453" s="14">
        <f>IF(R453&gt;=MAX(S453,T453), "Hemat", IF(S453&gt;=T453, "Balanced", "Premium"))</f>
        <v/>
      </c>
    </row>
    <row r="454">
      <c r="A454" s="14" t="n">
        <v>443</v>
      </c>
      <c r="B454" s="7" t="inlineStr">
        <is>
          <t>Rani Homestay</t>
        </is>
      </c>
      <c r="C454" s="26" t="n">
        <v>-8.0180308</v>
      </c>
      <c r="D454" s="26" t="n">
        <v>112.7611499</v>
      </c>
      <c r="E454" s="21" t="n">
        <v>250000</v>
      </c>
      <c r="F454" s="27" t="n">
        <v>0</v>
      </c>
      <c r="G454" s="28" t="n">
        <v>0</v>
      </c>
      <c r="H454" s="14" t="inlineStr">
        <is>
          <t>N/A</t>
        </is>
      </c>
      <c r="I454" s="29">
        <f>6371 * 2 * ASIN(SQRT(SIN(RADIANS((C454) - INDEX('Dataset_Wisata'!$C$12:$C$622, MATCH('Dashboard'!$C$9, 'Dataset_Wisata'!$A$12:$A$622, 0)))/2)^2 + COS(RADIANS(INDEX('Dataset_Wisata'!$C$12:$C$622, MATCH('Dashboard'!$C$9, 'Dataset_Wisata'!$A$12:$A$622, 0)))) * COS(RADIANS(C454)) * SIN(RADIANS((D454) - INDEX('Dataset_Wisata'!$D$12:$D$622, MATCH('Dashboard'!$C$9, 'Dataset_Wisata'!$A$12:$A$622, 0)))/2)^2)) * 1.3</f>
        <v/>
      </c>
      <c r="J454" s="21">
        <f>ROUND(I454 * IF('Dashboard'!$C$6&lt;=1, 2250, IF('Dashboard'!$C$6&lt;=4, 5150, 6000)), 0)</f>
        <v/>
      </c>
      <c r="K454" s="30" t="n">
        <v>0.001353558595276529</v>
      </c>
      <c r="L454" s="30" t="n">
        <v>0.9978236799136749</v>
      </c>
      <c r="M454" s="30" t="n">
        <v>0.0008227614910485521</v>
      </c>
      <c r="N454" s="31">
        <f>ABS(E454-$F$6)</f>
        <v/>
      </c>
      <c r="O454" s="31">
        <f>ABS(E454-$F$7)</f>
        <v/>
      </c>
      <c r="P454" s="31">
        <f>ABS(E454-$F$8)</f>
        <v/>
      </c>
      <c r="Q454" s="14">
        <f>IF(K454&gt;=MAX(L454,M454), "Hemat", IF(L454&gt;=M454, "Balanced", "Premium"))</f>
        <v/>
      </c>
      <c r="R454" s="30" t="n">
        <v>0.001353112652701395</v>
      </c>
      <c r="S454" s="30" t="n">
        <v>0.9978244171537111</v>
      </c>
      <c r="T454" s="30" t="n">
        <v>0.0008224701935875775</v>
      </c>
      <c r="U454" s="31">
        <f>ABS(E454-$G$6)</f>
        <v/>
      </c>
      <c r="V454" s="31">
        <f>ABS(E454-$G$7)</f>
        <v/>
      </c>
      <c r="W454" s="31">
        <f>ABS(E454-$G$8)</f>
        <v/>
      </c>
      <c r="X454" s="14">
        <f>IF(R454&gt;=MAX(S454,T454), "Hemat", IF(S454&gt;=T454, "Balanced", "Premium"))</f>
        <v/>
      </c>
    </row>
    <row r="455">
      <c r="A455" s="14" t="n">
        <v>444</v>
      </c>
      <c r="B455" s="7" t="inlineStr">
        <is>
          <t>Lembah Tumpang Resort</t>
        </is>
      </c>
      <c r="C455" s="26" t="n">
        <v>-7.9942415</v>
      </c>
      <c r="D455" s="26" t="n">
        <v>112.737865</v>
      </c>
      <c r="E455" s="21" t="n">
        <v>400000</v>
      </c>
      <c r="F455" s="27" t="n">
        <v>0</v>
      </c>
      <c r="G455" s="28" t="n">
        <v>0</v>
      </c>
      <c r="H455" s="14" t="inlineStr">
        <is>
          <t>N/A</t>
        </is>
      </c>
      <c r="I455" s="29">
        <f>6371 * 2 * ASIN(SQRT(SIN(RADIANS((C455) - INDEX('Dataset_Wisata'!$C$12:$C$622, MATCH('Dashboard'!$C$9, 'Dataset_Wisata'!$A$12:$A$622, 0)))/2)^2 + COS(RADIANS(INDEX('Dataset_Wisata'!$C$12:$C$622, MATCH('Dashboard'!$C$9, 'Dataset_Wisata'!$A$12:$A$622, 0)))) * COS(RADIANS(C455)) * SIN(RADIANS((D455) - INDEX('Dataset_Wisata'!$D$12:$D$622, MATCH('Dashboard'!$C$9, 'Dataset_Wisata'!$A$12:$A$622, 0)))/2)^2)) * 1.3</f>
        <v/>
      </c>
      <c r="J455" s="21">
        <f>ROUND(I455 * IF('Dashboard'!$C$6&lt;=1, 2250, IF('Dashboard'!$C$6&lt;=4, 5150, 6000)), 0)</f>
        <v/>
      </c>
      <c r="K455" s="30" t="n">
        <v>0.001667073170799579</v>
      </c>
      <c r="L455" s="30" t="n">
        <v>0.005301607890448092</v>
      </c>
      <c r="M455" s="30" t="n">
        <v>0.9930313189387524</v>
      </c>
      <c r="N455" s="31">
        <f>ABS(E455-$F$6)</f>
        <v/>
      </c>
      <c r="O455" s="31">
        <f>ABS(E455-$F$7)</f>
        <v/>
      </c>
      <c r="P455" s="31">
        <f>ABS(E455-$F$8)</f>
        <v/>
      </c>
      <c r="Q455" s="14">
        <f>IF(K455&gt;=MAX(L455,M455), "Hemat", IF(L455&gt;=M455, "Balanced", "Premium"))</f>
        <v/>
      </c>
      <c r="R455" s="30" t="n">
        <v>0.001667569525865401</v>
      </c>
      <c r="S455" s="30" t="n">
        <v>0.005303230460210759</v>
      </c>
      <c r="T455" s="30" t="n">
        <v>0.9930292000139238</v>
      </c>
      <c r="U455" s="31">
        <f>ABS(E455-$G$6)</f>
        <v/>
      </c>
      <c r="V455" s="31">
        <f>ABS(E455-$G$7)</f>
        <v/>
      </c>
      <c r="W455" s="31">
        <f>ABS(E455-$G$8)</f>
        <v/>
      </c>
      <c r="X455" s="14">
        <f>IF(R455&gt;=MAX(S455,T455), "Hemat", IF(S455&gt;=T455, "Balanced", "Premium"))</f>
        <v/>
      </c>
    </row>
    <row r="456">
      <c r="A456" s="14" t="n">
        <v>445</v>
      </c>
      <c r="B456" s="7" t="inlineStr">
        <is>
          <t>OMAH JOGLO BUGIS</t>
        </is>
      </c>
      <c r="C456" s="26" t="n">
        <v>-7.9586428</v>
      </c>
      <c r="D456" s="26" t="n">
        <v>112.6837097</v>
      </c>
      <c r="E456" s="21" t="n">
        <v>229649</v>
      </c>
      <c r="F456" s="27" t="n">
        <v>0</v>
      </c>
      <c r="G456" s="28" t="n">
        <v>0</v>
      </c>
      <c r="H456" s="14" t="inlineStr">
        <is>
          <t>N/A</t>
        </is>
      </c>
      <c r="I456" s="29">
        <f>6371 * 2 * ASIN(SQRT(SIN(RADIANS((C456) - INDEX('Dataset_Wisata'!$C$12:$C$622, MATCH('Dashboard'!$C$9, 'Dataset_Wisata'!$A$12:$A$622, 0)))/2)^2 + COS(RADIANS(INDEX('Dataset_Wisata'!$C$12:$C$622, MATCH('Dashboard'!$C$9, 'Dataset_Wisata'!$A$12:$A$622, 0)))) * COS(RADIANS(C456)) * SIN(RADIANS((D456) - INDEX('Dataset_Wisata'!$D$12:$D$622, MATCH('Dashboard'!$C$9, 'Dataset_Wisata'!$A$12:$A$622, 0)))/2)^2)) * 1.3</f>
        <v/>
      </c>
      <c r="J456" s="21">
        <f>ROUND(I456 * IF('Dashboard'!$C$6&lt;=1, 2250, IF('Dashboard'!$C$6&lt;=4, 5150, 6000)), 0)</f>
        <v/>
      </c>
      <c r="K456" s="30" t="n">
        <v>0.02159836509583296</v>
      </c>
      <c r="L456" s="30" t="n">
        <v>0.9711292804329326</v>
      </c>
      <c r="M456" s="30" t="n">
        <v>0.007272354471234461</v>
      </c>
      <c r="N456" s="31">
        <f>ABS(E456-$F$6)</f>
        <v/>
      </c>
      <c r="O456" s="31">
        <f>ABS(E456-$F$7)</f>
        <v/>
      </c>
      <c r="P456" s="31">
        <f>ABS(E456-$F$8)</f>
        <v/>
      </c>
      <c r="Q456" s="14">
        <f>IF(K456&gt;=MAX(L456,M456), "Hemat", IF(L456&gt;=M456, "Balanced", "Premium"))</f>
        <v/>
      </c>
      <c r="R456" s="30" t="n">
        <v>0.02160052547055288</v>
      </c>
      <c r="S456" s="30" t="n">
        <v>0.9711265597346793</v>
      </c>
      <c r="T456" s="30" t="n">
        <v>0.007272914794767804</v>
      </c>
      <c r="U456" s="31">
        <f>ABS(E456-$G$6)</f>
        <v/>
      </c>
      <c r="V456" s="31">
        <f>ABS(E456-$G$7)</f>
        <v/>
      </c>
      <c r="W456" s="31">
        <f>ABS(E456-$G$8)</f>
        <v/>
      </c>
      <c r="X456" s="14">
        <f>IF(R456&gt;=MAX(S456,T456), "Hemat", IF(S456&gt;=T456, "Balanced", "Premium"))</f>
        <v/>
      </c>
    </row>
    <row r="457">
      <c r="A457" s="14" t="n">
        <v>446</v>
      </c>
      <c r="B457" s="7" t="inlineStr">
        <is>
          <t>Fellas Inn</t>
        </is>
      </c>
      <c r="C457" s="26" t="n">
        <v>-7.9628511</v>
      </c>
      <c r="D457" s="26" t="n">
        <v>112.6822165</v>
      </c>
      <c r="E457" s="21" t="n">
        <v>250000</v>
      </c>
      <c r="F457" s="27" t="n">
        <v>0</v>
      </c>
      <c r="G457" s="28" t="n">
        <v>0</v>
      </c>
      <c r="H457" s="14" t="inlineStr">
        <is>
          <t>N/A</t>
        </is>
      </c>
      <c r="I457" s="29">
        <f>6371 * 2 * ASIN(SQRT(SIN(RADIANS((C457) - INDEX('Dataset_Wisata'!$C$12:$C$622, MATCH('Dashboard'!$C$9, 'Dataset_Wisata'!$A$12:$A$622, 0)))/2)^2 + COS(RADIANS(INDEX('Dataset_Wisata'!$C$12:$C$622, MATCH('Dashboard'!$C$9, 'Dataset_Wisata'!$A$12:$A$622, 0)))) * COS(RADIANS(C457)) * SIN(RADIANS((D457) - INDEX('Dataset_Wisata'!$D$12:$D$622, MATCH('Dashboard'!$C$9, 'Dataset_Wisata'!$A$12:$A$622, 0)))/2)^2)) * 1.3</f>
        <v/>
      </c>
      <c r="J457" s="21">
        <f>ROUND(I457 * IF('Dashboard'!$C$6&lt;=1, 2250, IF('Dashboard'!$C$6&lt;=4, 5150, 6000)), 0)</f>
        <v/>
      </c>
      <c r="K457" s="30" t="n">
        <v>0.001353558595276529</v>
      </c>
      <c r="L457" s="30" t="n">
        <v>0.9978236799136749</v>
      </c>
      <c r="M457" s="30" t="n">
        <v>0.0008227614910485521</v>
      </c>
      <c r="N457" s="31">
        <f>ABS(E457-$F$6)</f>
        <v/>
      </c>
      <c r="O457" s="31">
        <f>ABS(E457-$F$7)</f>
        <v/>
      </c>
      <c r="P457" s="31">
        <f>ABS(E457-$F$8)</f>
        <v/>
      </c>
      <c r="Q457" s="14">
        <f>IF(K457&gt;=MAX(L457,M457), "Hemat", IF(L457&gt;=M457, "Balanced", "Premium"))</f>
        <v/>
      </c>
      <c r="R457" s="30" t="n">
        <v>0.001353112652701395</v>
      </c>
      <c r="S457" s="30" t="n">
        <v>0.9978244171537111</v>
      </c>
      <c r="T457" s="30" t="n">
        <v>0.0008224701935875775</v>
      </c>
      <c r="U457" s="31">
        <f>ABS(E457-$G$6)</f>
        <v/>
      </c>
      <c r="V457" s="31">
        <f>ABS(E457-$G$7)</f>
        <v/>
      </c>
      <c r="W457" s="31">
        <f>ABS(E457-$G$8)</f>
        <v/>
      </c>
      <c r="X457" s="14">
        <f>IF(R457&gt;=MAX(S457,T457), "Hemat", IF(S457&gt;=T457, "Balanced", "Premium"))</f>
        <v/>
      </c>
    </row>
    <row r="458">
      <c r="A458" s="14" t="n">
        <v>447</v>
      </c>
      <c r="B458" s="7" t="inlineStr">
        <is>
          <t>RedDoorz Syariah @ Danau Kerinci Sawojajar</t>
        </is>
      </c>
      <c r="C458" s="26" t="n">
        <v>-7.9714902</v>
      </c>
      <c r="D458" s="26" t="n">
        <v>112.6641251</v>
      </c>
      <c r="E458" s="21" t="n">
        <v>147586</v>
      </c>
      <c r="F458" s="27" t="n">
        <v>0</v>
      </c>
      <c r="G458" s="28" t="n">
        <v>0</v>
      </c>
      <c r="H458" s="14" t="inlineStr">
        <is>
          <t>N/A</t>
        </is>
      </c>
      <c r="I458" s="29">
        <f>6371 * 2 * ASIN(SQRT(SIN(RADIANS((C458) - INDEX('Dataset_Wisata'!$C$12:$C$622, MATCH('Dashboard'!$C$9, 'Dataset_Wisata'!$A$12:$A$622, 0)))/2)^2 + COS(RADIANS(INDEX('Dataset_Wisata'!$C$12:$C$622, MATCH('Dashboard'!$C$9, 'Dataset_Wisata'!$A$12:$A$622, 0)))) * COS(RADIANS(C458)) * SIN(RADIANS((D458) - INDEX('Dataset_Wisata'!$D$12:$D$622, MATCH('Dashboard'!$C$9, 'Dataset_Wisata'!$A$12:$A$622, 0)))/2)^2)) * 1.3</f>
        <v/>
      </c>
      <c r="J458" s="21">
        <f>ROUND(I458 * IF('Dashboard'!$C$6&lt;=1, 2250, IF('Dashboard'!$C$6&lt;=4, 5150, 6000)), 0)</f>
        <v/>
      </c>
      <c r="K458" s="30" t="n">
        <v>0.9391267239557839</v>
      </c>
      <c r="L458" s="30" t="n">
        <v>0.053515617915053</v>
      </c>
      <c r="M458" s="30" t="n">
        <v>0.0073576581291631</v>
      </c>
      <c r="N458" s="31">
        <f>ABS(E458-$F$6)</f>
        <v/>
      </c>
      <c r="O458" s="31">
        <f>ABS(E458-$F$7)</f>
        <v/>
      </c>
      <c r="P458" s="31">
        <f>ABS(E458-$F$8)</f>
        <v/>
      </c>
      <c r="Q458" s="14">
        <f>IF(K458&gt;=MAX(L458,M458), "Hemat", IF(L458&gt;=M458, "Balanced", "Premium"))</f>
        <v/>
      </c>
      <c r="R458" s="30" t="n">
        <v>0.9391287505626248</v>
      </c>
      <c r="S458" s="30" t="n">
        <v>0.0535138165758979</v>
      </c>
      <c r="T458" s="30" t="n">
        <v>0.007357432861477451</v>
      </c>
      <c r="U458" s="31">
        <f>ABS(E458-$G$6)</f>
        <v/>
      </c>
      <c r="V458" s="31">
        <f>ABS(E458-$G$7)</f>
        <v/>
      </c>
      <c r="W458" s="31">
        <f>ABS(E458-$G$8)</f>
        <v/>
      </c>
      <c r="X458" s="14">
        <f>IF(R458&gt;=MAX(S458,T458), "Hemat", IF(S458&gt;=T458, "Balanced", "Premium"))</f>
        <v/>
      </c>
    </row>
    <row r="459">
      <c r="A459" s="14" t="n">
        <v>448</v>
      </c>
      <c r="B459" s="7" t="inlineStr">
        <is>
          <t>Velodrome Family House</t>
        </is>
      </c>
      <c r="C459" s="26" t="n">
        <v>-7.9723858</v>
      </c>
      <c r="D459" s="26" t="n">
        <v>112.6709966</v>
      </c>
      <c r="E459" s="21" t="n">
        <v>100000</v>
      </c>
      <c r="F459" s="27" t="n">
        <v>0</v>
      </c>
      <c r="G459" s="28" t="n">
        <v>0</v>
      </c>
      <c r="H459" s="14" t="inlineStr">
        <is>
          <t>N/A</t>
        </is>
      </c>
      <c r="I459" s="29">
        <f>6371 * 2 * ASIN(SQRT(SIN(RADIANS((C459) - INDEX('Dataset_Wisata'!$C$12:$C$622, MATCH('Dashboard'!$C$9, 'Dataset_Wisata'!$A$12:$A$622, 0)))/2)^2 + COS(RADIANS(INDEX('Dataset_Wisata'!$C$12:$C$622, MATCH('Dashboard'!$C$9, 'Dataset_Wisata'!$A$12:$A$622, 0)))) * COS(RADIANS(C459)) * SIN(RADIANS((D459) - INDEX('Dataset_Wisata'!$D$12:$D$622, MATCH('Dashboard'!$C$9, 'Dataset_Wisata'!$A$12:$A$622, 0)))/2)^2)) * 1.3</f>
        <v/>
      </c>
      <c r="J459" s="21">
        <f>ROUND(I459 * IF('Dashboard'!$C$6&lt;=1, 2250, IF('Dashboard'!$C$6&lt;=4, 5150, 6000)), 0)</f>
        <v/>
      </c>
      <c r="K459" s="30" t="n">
        <v>0.9672305756379272</v>
      </c>
      <c r="L459" s="30" t="n">
        <v>0.02690286027756393</v>
      </c>
      <c r="M459" s="30" t="n">
        <v>0.005866564084508831</v>
      </c>
      <c r="N459" s="31">
        <f>ABS(E459-$F$6)</f>
        <v/>
      </c>
      <c r="O459" s="31">
        <f>ABS(E459-$F$7)</f>
        <v/>
      </c>
      <c r="P459" s="31">
        <f>ABS(E459-$F$8)</f>
        <v/>
      </c>
      <c r="Q459" s="14">
        <f>IF(K459&gt;=MAX(L459,M459), "Hemat", IF(L459&gt;=M459, "Balanced", "Premium"))</f>
        <v/>
      </c>
      <c r="R459" s="30" t="n">
        <v>0.9672303035537276</v>
      </c>
      <c r="S459" s="30" t="n">
        <v>0.02690308452718115</v>
      </c>
      <c r="T459" s="30" t="n">
        <v>0.0058666119190913</v>
      </c>
      <c r="U459" s="31">
        <f>ABS(E459-$G$6)</f>
        <v/>
      </c>
      <c r="V459" s="31">
        <f>ABS(E459-$G$7)</f>
        <v/>
      </c>
      <c r="W459" s="31">
        <f>ABS(E459-$G$8)</f>
        <v/>
      </c>
      <c r="X459" s="14">
        <f>IF(R459&gt;=MAX(S459,T459), "Hemat", IF(S459&gt;=T459, "Balanced", "Premium"))</f>
        <v/>
      </c>
    </row>
    <row r="460">
      <c r="A460" s="14" t="n">
        <v>449</v>
      </c>
      <c r="B460" s="7" t="inlineStr">
        <is>
          <t>Bima Guest House</t>
        </is>
      </c>
      <c r="C460" s="26" t="n">
        <v>-7.9751945</v>
      </c>
      <c r="D460" s="26" t="n">
        <v>112.6654718</v>
      </c>
      <c r="E460" s="21" t="n">
        <v>205540</v>
      </c>
      <c r="F460" s="27" t="n">
        <v>0</v>
      </c>
      <c r="G460" s="28" t="n">
        <v>0</v>
      </c>
      <c r="H460" s="14" t="inlineStr">
        <is>
          <t>N/A</t>
        </is>
      </c>
      <c r="I460" s="29">
        <f>6371 * 2 * ASIN(SQRT(SIN(RADIANS((C460) - INDEX('Dataset_Wisata'!$C$12:$C$622, MATCH('Dashboard'!$C$9, 'Dataset_Wisata'!$A$12:$A$622, 0)))/2)^2 + COS(RADIANS(INDEX('Dataset_Wisata'!$C$12:$C$622, MATCH('Dashboard'!$C$9, 'Dataset_Wisata'!$A$12:$A$622, 0)))) * COS(RADIANS(C460)) * SIN(RADIANS((D460) - INDEX('Dataset_Wisata'!$D$12:$D$622, MATCH('Dashboard'!$C$9, 'Dataset_Wisata'!$A$12:$A$622, 0)))/2)^2)) * 1.3</f>
        <v/>
      </c>
      <c r="J460" s="21">
        <f>ROUND(I460 * IF('Dashboard'!$C$6&lt;=1, 2250, IF('Dashboard'!$C$6&lt;=4, 5150, 6000)), 0)</f>
        <v/>
      </c>
      <c r="K460" s="30" t="n">
        <v>0.1878833930506161</v>
      </c>
      <c r="L460" s="30" t="n">
        <v>0.7827866532955091</v>
      </c>
      <c r="M460" s="30" t="n">
        <v>0.02932995365387482</v>
      </c>
      <c r="N460" s="31">
        <f>ABS(E460-$F$6)</f>
        <v/>
      </c>
      <c r="O460" s="31">
        <f>ABS(E460-$F$7)</f>
        <v/>
      </c>
      <c r="P460" s="31">
        <f>ABS(E460-$F$8)</f>
        <v/>
      </c>
      <c r="Q460" s="14">
        <f>IF(K460&gt;=MAX(L460,M460), "Hemat", IF(L460&gt;=M460, "Balanced", "Premium"))</f>
        <v/>
      </c>
      <c r="R460" s="30" t="n">
        <v>0.187890070981024</v>
      </c>
      <c r="S460" s="30" t="n">
        <v>0.7827795815398794</v>
      </c>
      <c r="T460" s="30" t="n">
        <v>0.02933034747909663</v>
      </c>
      <c r="U460" s="31">
        <f>ABS(E460-$G$6)</f>
        <v/>
      </c>
      <c r="V460" s="31">
        <f>ABS(E460-$G$7)</f>
        <v/>
      </c>
      <c r="W460" s="31">
        <f>ABS(E460-$G$8)</f>
        <v/>
      </c>
      <c r="X460" s="14">
        <f>IF(R460&gt;=MAX(S460,T460), "Hemat", IF(S460&gt;=T460, "Balanced", "Premium"))</f>
        <v/>
      </c>
    </row>
    <row r="461">
      <c r="A461" s="14" t="n">
        <v>450</v>
      </c>
      <c r="B461" s="7" t="inlineStr">
        <is>
          <t>Millennial House</t>
        </is>
      </c>
      <c r="C461" s="26" t="n">
        <v>-7.9717643</v>
      </c>
      <c r="D461" s="26" t="n">
        <v>112.6639782</v>
      </c>
      <c r="E461" s="21" t="n">
        <v>150000</v>
      </c>
      <c r="F461" s="27" t="n">
        <v>0</v>
      </c>
      <c r="G461" s="28" t="n">
        <v>0</v>
      </c>
      <c r="H461" s="14" t="inlineStr">
        <is>
          <t>N/A</t>
        </is>
      </c>
      <c r="I461" s="29">
        <f>6371 * 2 * ASIN(SQRT(SIN(RADIANS((C461) - INDEX('Dataset_Wisata'!$C$12:$C$622, MATCH('Dashboard'!$C$9, 'Dataset_Wisata'!$A$12:$A$622, 0)))/2)^2 + COS(RADIANS(INDEX('Dataset_Wisata'!$C$12:$C$622, MATCH('Dashboard'!$C$9, 'Dataset_Wisata'!$A$12:$A$622, 0)))) * COS(RADIANS(C461)) * SIN(RADIANS((D461) - INDEX('Dataset_Wisata'!$D$12:$D$622, MATCH('Dashboard'!$C$9, 'Dataset_Wisata'!$A$12:$A$622, 0)))/2)^2)) * 1.3</f>
        <v/>
      </c>
      <c r="J461" s="21">
        <f>ROUND(I461 * IF('Dashboard'!$C$6&lt;=1, 2250, IF('Dashboard'!$C$6&lt;=4, 5150, 6000)), 0)</f>
        <v/>
      </c>
      <c r="K461" s="30" t="n">
        <v>0.9236568385235482</v>
      </c>
      <c r="L461" s="30" t="n">
        <v>0.06736899151285153</v>
      </c>
      <c r="M461" s="30" t="n">
        <v>0.008974169963600275</v>
      </c>
      <c r="N461" s="31">
        <f>ABS(E461-$F$6)</f>
        <v/>
      </c>
      <c r="O461" s="31">
        <f>ABS(E461-$F$7)</f>
        <v/>
      </c>
      <c r="P461" s="31">
        <f>ABS(E461-$F$8)</f>
        <v/>
      </c>
      <c r="Q461" s="14">
        <f>IF(K461&gt;=MAX(L461,M461), "Hemat", IF(L461&gt;=M461, "Balanced", "Premium"))</f>
        <v/>
      </c>
      <c r="R461" s="30" t="n">
        <v>0.9236592327110943</v>
      </c>
      <c r="S461" s="30" t="n">
        <v>0.0673668524262508</v>
      </c>
      <c r="T461" s="30" t="n">
        <v>0.008973914862654904</v>
      </c>
      <c r="U461" s="31">
        <f>ABS(E461-$G$6)</f>
        <v/>
      </c>
      <c r="V461" s="31">
        <f>ABS(E461-$G$7)</f>
        <v/>
      </c>
      <c r="W461" s="31">
        <f>ABS(E461-$G$8)</f>
        <v/>
      </c>
      <c r="X461" s="14">
        <f>IF(R461&gt;=MAX(S461,T461), "Hemat", IF(S461&gt;=T461, "Balanced", "Premium"))</f>
        <v/>
      </c>
    </row>
    <row r="462">
      <c r="A462" s="14" t="n">
        <v>451</v>
      </c>
      <c r="B462" s="7" t="inlineStr">
        <is>
          <t>OYO 886 Omahku Asri Syariah</t>
        </is>
      </c>
      <c r="C462" s="26" t="n">
        <v>-7.973605</v>
      </c>
      <c r="D462" s="26" t="n">
        <v>112.661728</v>
      </c>
      <c r="E462" s="21" t="n">
        <v>150000</v>
      </c>
      <c r="F462" s="27" t="n">
        <v>0</v>
      </c>
      <c r="G462" s="28" t="n">
        <v>0</v>
      </c>
      <c r="H462" s="14" t="inlineStr">
        <is>
          <t>N/A</t>
        </is>
      </c>
      <c r="I462" s="29">
        <f>6371 * 2 * ASIN(SQRT(SIN(RADIANS((C462) - INDEX('Dataset_Wisata'!$C$12:$C$622, MATCH('Dashboard'!$C$9, 'Dataset_Wisata'!$A$12:$A$622, 0)))/2)^2 + COS(RADIANS(INDEX('Dataset_Wisata'!$C$12:$C$622, MATCH('Dashboard'!$C$9, 'Dataset_Wisata'!$A$12:$A$622, 0)))) * COS(RADIANS(C462)) * SIN(RADIANS((D462) - INDEX('Dataset_Wisata'!$D$12:$D$622, MATCH('Dashboard'!$C$9, 'Dataset_Wisata'!$A$12:$A$622, 0)))/2)^2)) * 1.3</f>
        <v/>
      </c>
      <c r="J462" s="21">
        <f>ROUND(I462 * IF('Dashboard'!$C$6&lt;=1, 2250, IF('Dashboard'!$C$6&lt;=4, 5150, 6000)), 0)</f>
        <v/>
      </c>
      <c r="K462" s="30" t="n">
        <v>0.9236568385235482</v>
      </c>
      <c r="L462" s="30" t="n">
        <v>0.06736899151285153</v>
      </c>
      <c r="M462" s="30" t="n">
        <v>0.008974169963600275</v>
      </c>
      <c r="N462" s="31">
        <f>ABS(E462-$F$6)</f>
        <v/>
      </c>
      <c r="O462" s="31">
        <f>ABS(E462-$F$7)</f>
        <v/>
      </c>
      <c r="P462" s="31">
        <f>ABS(E462-$F$8)</f>
        <v/>
      </c>
      <c r="Q462" s="14">
        <f>IF(K462&gt;=MAX(L462,M462), "Hemat", IF(L462&gt;=M462, "Balanced", "Premium"))</f>
        <v/>
      </c>
      <c r="R462" s="30" t="n">
        <v>0.9236592327110943</v>
      </c>
      <c r="S462" s="30" t="n">
        <v>0.0673668524262508</v>
      </c>
      <c r="T462" s="30" t="n">
        <v>0.008973914862654904</v>
      </c>
      <c r="U462" s="31">
        <f>ABS(E462-$G$6)</f>
        <v/>
      </c>
      <c r="V462" s="31">
        <f>ABS(E462-$G$7)</f>
        <v/>
      </c>
      <c r="W462" s="31">
        <f>ABS(E462-$G$8)</f>
        <v/>
      </c>
      <c r="X462" s="14">
        <f>IF(R462&gt;=MAX(S462,T462), "Hemat", IF(S462&gt;=T462, "Balanced", "Premium"))</f>
        <v/>
      </c>
    </row>
    <row r="463">
      <c r="A463" s="14" t="n">
        <v>452</v>
      </c>
      <c r="B463" s="7" t="inlineStr">
        <is>
          <t>Gita Homestay Malang</t>
        </is>
      </c>
      <c r="C463" s="26" t="n">
        <v>-7.9751359</v>
      </c>
      <c r="D463" s="26" t="n">
        <v>112.6652211</v>
      </c>
      <c r="E463" s="21" t="n">
        <v>150000</v>
      </c>
      <c r="F463" s="27" t="n">
        <v>0</v>
      </c>
      <c r="G463" s="28" t="n">
        <v>0</v>
      </c>
      <c r="H463" s="14" t="inlineStr">
        <is>
          <t>N/A</t>
        </is>
      </c>
      <c r="I463" s="29">
        <f>6371 * 2 * ASIN(SQRT(SIN(RADIANS((C463) - INDEX('Dataset_Wisata'!$C$12:$C$622, MATCH('Dashboard'!$C$9, 'Dataset_Wisata'!$A$12:$A$622, 0)))/2)^2 + COS(RADIANS(INDEX('Dataset_Wisata'!$C$12:$C$622, MATCH('Dashboard'!$C$9, 'Dataset_Wisata'!$A$12:$A$622, 0)))) * COS(RADIANS(C463)) * SIN(RADIANS((D463) - INDEX('Dataset_Wisata'!$D$12:$D$622, MATCH('Dashboard'!$C$9, 'Dataset_Wisata'!$A$12:$A$622, 0)))/2)^2)) * 1.3</f>
        <v/>
      </c>
      <c r="J463" s="21">
        <f>ROUND(I463 * IF('Dashboard'!$C$6&lt;=1, 2250, IF('Dashboard'!$C$6&lt;=4, 5150, 6000)), 0)</f>
        <v/>
      </c>
      <c r="K463" s="30" t="n">
        <v>0.9236568385235482</v>
      </c>
      <c r="L463" s="30" t="n">
        <v>0.06736899151285153</v>
      </c>
      <c r="M463" s="30" t="n">
        <v>0.008974169963600275</v>
      </c>
      <c r="N463" s="31">
        <f>ABS(E463-$F$6)</f>
        <v/>
      </c>
      <c r="O463" s="31">
        <f>ABS(E463-$F$7)</f>
        <v/>
      </c>
      <c r="P463" s="31">
        <f>ABS(E463-$F$8)</f>
        <v/>
      </c>
      <c r="Q463" s="14">
        <f>IF(K463&gt;=MAX(L463,M463), "Hemat", IF(L463&gt;=M463, "Balanced", "Premium"))</f>
        <v/>
      </c>
      <c r="R463" s="30" t="n">
        <v>0.9236592327110943</v>
      </c>
      <c r="S463" s="30" t="n">
        <v>0.0673668524262508</v>
      </c>
      <c r="T463" s="30" t="n">
        <v>0.008973914862654904</v>
      </c>
      <c r="U463" s="31">
        <f>ABS(E463-$G$6)</f>
        <v/>
      </c>
      <c r="V463" s="31">
        <f>ABS(E463-$G$7)</f>
        <v/>
      </c>
      <c r="W463" s="31">
        <f>ABS(E463-$G$8)</f>
        <v/>
      </c>
      <c r="X463" s="14">
        <f>IF(R463&gt;=MAX(S463,T463), "Hemat", IF(S463&gt;=T463, "Balanced", "Premium"))</f>
        <v/>
      </c>
    </row>
    <row r="464">
      <c r="A464" s="14" t="n">
        <v>453</v>
      </c>
      <c r="B464" s="7" t="inlineStr">
        <is>
          <t>OYO 2295 Daffi Family Residence</t>
        </is>
      </c>
      <c r="C464" s="26" t="n">
        <v>-7.9413569</v>
      </c>
      <c r="D464" s="26" t="n">
        <v>112.6573925</v>
      </c>
      <c r="E464" s="21" t="n">
        <v>100000</v>
      </c>
      <c r="F464" s="27" t="n">
        <v>0</v>
      </c>
      <c r="G464" s="28" t="n">
        <v>0</v>
      </c>
      <c r="H464" s="14" t="inlineStr">
        <is>
          <t>N/A</t>
        </is>
      </c>
      <c r="I464" s="29">
        <f>6371 * 2 * ASIN(SQRT(SIN(RADIANS((C464) - INDEX('Dataset_Wisata'!$C$12:$C$622, MATCH('Dashboard'!$C$9, 'Dataset_Wisata'!$A$12:$A$622, 0)))/2)^2 + COS(RADIANS(INDEX('Dataset_Wisata'!$C$12:$C$622, MATCH('Dashboard'!$C$9, 'Dataset_Wisata'!$A$12:$A$622, 0)))) * COS(RADIANS(C464)) * SIN(RADIANS((D464) - INDEX('Dataset_Wisata'!$D$12:$D$622, MATCH('Dashboard'!$C$9, 'Dataset_Wisata'!$A$12:$A$622, 0)))/2)^2)) * 1.3</f>
        <v/>
      </c>
      <c r="J464" s="21">
        <f>ROUND(I464 * IF('Dashboard'!$C$6&lt;=1, 2250, IF('Dashboard'!$C$6&lt;=4, 5150, 6000)), 0)</f>
        <v/>
      </c>
      <c r="K464" s="30" t="n">
        <v>0.9672305756379272</v>
      </c>
      <c r="L464" s="30" t="n">
        <v>0.02690286027756393</v>
      </c>
      <c r="M464" s="30" t="n">
        <v>0.005866564084508831</v>
      </c>
      <c r="N464" s="31">
        <f>ABS(E464-$F$6)</f>
        <v/>
      </c>
      <c r="O464" s="31">
        <f>ABS(E464-$F$7)</f>
        <v/>
      </c>
      <c r="P464" s="31">
        <f>ABS(E464-$F$8)</f>
        <v/>
      </c>
      <c r="Q464" s="14">
        <f>IF(K464&gt;=MAX(L464,M464), "Hemat", IF(L464&gt;=M464, "Balanced", "Premium"))</f>
        <v/>
      </c>
      <c r="R464" s="30" t="n">
        <v>0.9672303035537276</v>
      </c>
      <c r="S464" s="30" t="n">
        <v>0.02690308452718115</v>
      </c>
      <c r="T464" s="30" t="n">
        <v>0.0058666119190913</v>
      </c>
      <c r="U464" s="31">
        <f>ABS(E464-$G$6)</f>
        <v/>
      </c>
      <c r="V464" s="31">
        <f>ABS(E464-$G$7)</f>
        <v/>
      </c>
      <c r="W464" s="31">
        <f>ABS(E464-$G$8)</f>
        <v/>
      </c>
      <c r="X464" s="14">
        <f>IF(R464&gt;=MAX(S464,T464), "Hemat", IF(S464&gt;=T464, "Balanced", "Premium"))</f>
        <v/>
      </c>
    </row>
    <row r="465">
      <c r="A465" s="14" t="n">
        <v>454</v>
      </c>
      <c r="B465" s="7" t="inlineStr">
        <is>
          <t>Convention Hall Bess Resort &amp; Waterpark</t>
        </is>
      </c>
      <c r="C465" s="26" t="n">
        <v>-7.8249025</v>
      </c>
      <c r="D465" s="26" t="n">
        <v>112.7296239</v>
      </c>
      <c r="E465" s="21" t="n">
        <v>522500</v>
      </c>
      <c r="F465" s="27" t="n">
        <v>0</v>
      </c>
      <c r="G465" s="28" t="n">
        <v>0</v>
      </c>
      <c r="H465" s="14" t="inlineStr">
        <is>
          <t>N/A</t>
        </is>
      </c>
      <c r="I465" s="29">
        <f>6371 * 2 * ASIN(SQRT(SIN(RADIANS((C465) - INDEX('Dataset_Wisata'!$C$12:$C$622, MATCH('Dashboard'!$C$9, 'Dataset_Wisata'!$A$12:$A$622, 0)))/2)^2 + COS(RADIANS(INDEX('Dataset_Wisata'!$C$12:$C$622, MATCH('Dashboard'!$C$9, 'Dataset_Wisata'!$A$12:$A$622, 0)))) * COS(RADIANS(C465)) * SIN(RADIANS((D465) - INDEX('Dataset_Wisata'!$D$12:$D$622, MATCH('Dashboard'!$C$9, 'Dataset_Wisata'!$A$12:$A$622, 0)))/2)^2)) * 1.3</f>
        <v/>
      </c>
      <c r="J465" s="21">
        <f>ROUND(I465 * IF('Dashboard'!$C$6&lt;=1, 2250, IF('Dashboard'!$C$6&lt;=4, 5150, 6000)), 0)</f>
        <v/>
      </c>
      <c r="K465" s="30" t="n">
        <v>0.06292666998249344</v>
      </c>
      <c r="L465" s="30" t="n">
        <v>0.1299532171399464</v>
      </c>
      <c r="M465" s="30" t="n">
        <v>0.8071201128775601</v>
      </c>
      <c r="N465" s="31">
        <f>ABS(E465-$F$6)</f>
        <v/>
      </c>
      <c r="O465" s="31">
        <f>ABS(E465-$F$7)</f>
        <v/>
      </c>
      <c r="P465" s="31">
        <f>ABS(E465-$F$8)</f>
        <v/>
      </c>
      <c r="Q465" s="14">
        <f>IF(K465&gt;=MAX(L465,M465), "Hemat", IF(L465&gt;=M465, "Balanced", "Premium"))</f>
        <v/>
      </c>
      <c r="R465" s="30" t="n">
        <v>0.06292515485122908</v>
      </c>
      <c r="S465" s="30" t="n">
        <v>0.1299506610915253</v>
      </c>
      <c r="T465" s="30" t="n">
        <v>0.8071241840572456</v>
      </c>
      <c r="U465" s="31">
        <f>ABS(E465-$G$6)</f>
        <v/>
      </c>
      <c r="V465" s="31">
        <f>ABS(E465-$G$7)</f>
        <v/>
      </c>
      <c r="W465" s="31">
        <f>ABS(E465-$G$8)</f>
        <v/>
      </c>
      <c r="X465" s="14">
        <f>IF(R465&gt;=MAX(S465,T465), "Hemat", IF(S465&gt;=T465, "Balanced", "Premium"))</f>
        <v/>
      </c>
    </row>
    <row r="466">
      <c r="A466" s="14" t="n">
        <v>455</v>
      </c>
      <c r="B466" s="7" t="inlineStr">
        <is>
          <t>Villa Girli Lawang</t>
        </is>
      </c>
      <c r="C466" s="26" t="n">
        <v>-7.8223646</v>
      </c>
      <c r="D466" s="26" t="n">
        <v>112.7308804</v>
      </c>
      <c r="E466" s="21" t="n">
        <v>35000</v>
      </c>
      <c r="F466" s="27" t="n">
        <v>0</v>
      </c>
      <c r="G466" s="28" t="n">
        <v>0</v>
      </c>
      <c r="H466" s="14" t="inlineStr">
        <is>
          <t>N/A</t>
        </is>
      </c>
      <c r="I466" s="29">
        <f>6371 * 2 * ASIN(SQRT(SIN(RADIANS((C466) - INDEX('Dataset_Wisata'!$C$12:$C$622, MATCH('Dashboard'!$C$9, 'Dataset_Wisata'!$A$12:$A$622, 0)))/2)^2 + COS(RADIANS(INDEX('Dataset_Wisata'!$C$12:$C$622, MATCH('Dashboard'!$C$9, 'Dataset_Wisata'!$A$12:$A$622, 0)))) * COS(RADIANS(C466)) * SIN(RADIANS((D466) - INDEX('Dataset_Wisata'!$D$12:$D$622, MATCH('Dashboard'!$C$9, 'Dataset_Wisata'!$A$12:$A$622, 0)))/2)^2)) * 1.3</f>
        <v/>
      </c>
      <c r="J466" s="21">
        <f>ROUND(I466 * IF('Dashboard'!$C$6&lt;=1, 2250, IF('Dashboard'!$C$6&lt;=4, 5150, 6000)), 0)</f>
        <v/>
      </c>
      <c r="K466" s="30" t="n">
        <v>0.808920789367456</v>
      </c>
      <c r="L466" s="30" t="n">
        <v>0.1455805212290824</v>
      </c>
      <c r="M466" s="30" t="n">
        <v>0.04549868940346147</v>
      </c>
      <c r="N466" s="31">
        <f>ABS(E466-$F$6)</f>
        <v/>
      </c>
      <c r="O466" s="31">
        <f>ABS(E466-$F$7)</f>
        <v/>
      </c>
      <c r="P466" s="31">
        <f>ABS(E466-$F$8)</f>
        <v/>
      </c>
      <c r="Q466" s="14">
        <f>IF(K466&gt;=MAX(L466,M466), "Hemat", IF(L466&gt;=M466, "Balanced", "Premium"))</f>
        <v/>
      </c>
      <c r="R466" s="30" t="n">
        <v>0.8089211761013946</v>
      </c>
      <c r="S466" s="30" t="n">
        <v>0.1455802820457595</v>
      </c>
      <c r="T466" s="30" t="n">
        <v>0.04549854185284596</v>
      </c>
      <c r="U466" s="31">
        <f>ABS(E466-$G$6)</f>
        <v/>
      </c>
      <c r="V466" s="31">
        <f>ABS(E466-$G$7)</f>
        <v/>
      </c>
      <c r="W466" s="31">
        <f>ABS(E466-$G$8)</f>
        <v/>
      </c>
      <c r="X466" s="14">
        <f>IF(R466&gt;=MAX(S466,T466), "Hemat", IF(S466&gt;=T466, "Balanced", "Premium"))</f>
        <v/>
      </c>
    </row>
    <row r="467">
      <c r="A467" s="14" t="n">
        <v>456</v>
      </c>
      <c r="B467" s="7" t="inlineStr">
        <is>
          <t>Homestay Pantai Lenggoksono - Banyu Anjlok</t>
        </is>
      </c>
      <c r="C467" s="26" t="n">
        <v>-8.36289</v>
      </c>
      <c r="D467" s="26" t="n">
        <v>112.8418253</v>
      </c>
      <c r="E467" s="21" t="n">
        <v>150000</v>
      </c>
      <c r="F467" s="27" t="n">
        <v>0</v>
      </c>
      <c r="G467" s="28" t="n">
        <v>0</v>
      </c>
      <c r="H467" s="14" t="inlineStr">
        <is>
          <t>N/A</t>
        </is>
      </c>
      <c r="I467" s="29">
        <f>6371 * 2 * ASIN(SQRT(SIN(RADIANS((C467) - INDEX('Dataset_Wisata'!$C$12:$C$622, MATCH('Dashboard'!$C$9, 'Dataset_Wisata'!$A$12:$A$622, 0)))/2)^2 + COS(RADIANS(INDEX('Dataset_Wisata'!$C$12:$C$622, MATCH('Dashboard'!$C$9, 'Dataset_Wisata'!$A$12:$A$622, 0)))) * COS(RADIANS(C467)) * SIN(RADIANS((D467) - INDEX('Dataset_Wisata'!$D$12:$D$622, MATCH('Dashboard'!$C$9, 'Dataset_Wisata'!$A$12:$A$622, 0)))/2)^2)) * 1.3</f>
        <v/>
      </c>
      <c r="J467" s="21">
        <f>ROUND(I467 * IF('Dashboard'!$C$6&lt;=1, 2250, IF('Dashboard'!$C$6&lt;=4, 5150, 6000)), 0)</f>
        <v/>
      </c>
      <c r="K467" s="30" t="n">
        <v>0.9236568385235482</v>
      </c>
      <c r="L467" s="30" t="n">
        <v>0.06736899151285153</v>
      </c>
      <c r="M467" s="30" t="n">
        <v>0.008974169963600275</v>
      </c>
      <c r="N467" s="31">
        <f>ABS(E467-$F$6)</f>
        <v/>
      </c>
      <c r="O467" s="31">
        <f>ABS(E467-$F$7)</f>
        <v/>
      </c>
      <c r="P467" s="31">
        <f>ABS(E467-$F$8)</f>
        <v/>
      </c>
      <c r="Q467" s="14">
        <f>IF(K467&gt;=MAX(L467,M467), "Hemat", IF(L467&gt;=M467, "Balanced", "Premium"))</f>
        <v/>
      </c>
      <c r="R467" s="30" t="n">
        <v>0.9236592327110943</v>
      </c>
      <c r="S467" s="30" t="n">
        <v>0.0673668524262508</v>
      </c>
      <c r="T467" s="30" t="n">
        <v>0.008973914862654904</v>
      </c>
      <c r="U467" s="31">
        <f>ABS(E467-$G$6)</f>
        <v/>
      </c>
      <c r="V467" s="31">
        <f>ABS(E467-$G$7)</f>
        <v/>
      </c>
      <c r="W467" s="31">
        <f>ABS(E467-$G$8)</f>
        <v/>
      </c>
      <c r="X467" s="14">
        <f>IF(R467&gt;=MAX(S467,T467), "Hemat", IF(S467&gt;=T467, "Balanced", "Premium"))</f>
        <v/>
      </c>
    </row>
    <row r="468">
      <c r="A468" s="14" t="n">
        <v>457</v>
      </c>
      <c r="B468" s="7" t="inlineStr">
        <is>
          <t>tumpang camp adventures</t>
        </is>
      </c>
      <c r="C468" s="26" t="n">
        <v>-8.007793100000001</v>
      </c>
      <c r="D468" s="26" t="n">
        <v>112.7597592</v>
      </c>
      <c r="E468" s="21" t="n">
        <v>118000</v>
      </c>
      <c r="F468" s="27" t="n">
        <v>0</v>
      </c>
      <c r="G468" s="28" t="n">
        <v>0</v>
      </c>
      <c r="H468" s="14" t="inlineStr">
        <is>
          <t>N/A</t>
        </is>
      </c>
      <c r="I468" s="29">
        <f>6371 * 2 * ASIN(SQRT(SIN(RADIANS((C468) - INDEX('Dataset_Wisata'!$C$12:$C$622, MATCH('Dashboard'!$C$9, 'Dataset_Wisata'!$A$12:$A$622, 0)))/2)^2 + COS(RADIANS(INDEX('Dataset_Wisata'!$C$12:$C$622, MATCH('Dashboard'!$C$9, 'Dataset_Wisata'!$A$12:$A$622, 0)))) * COS(RADIANS(C468)) * SIN(RADIANS((D468) - INDEX('Dataset_Wisata'!$D$12:$D$622, MATCH('Dashboard'!$C$9, 'Dataset_Wisata'!$A$12:$A$622, 0)))/2)^2)) * 1.3</f>
        <v/>
      </c>
      <c r="J468" s="21">
        <f>ROUND(I468 * IF('Dashboard'!$C$6&lt;=1, 2250, IF('Dashboard'!$C$6&lt;=4, 5150, 6000)), 0)</f>
        <v/>
      </c>
      <c r="K468" s="30" t="n">
        <v>0.9971516639728598</v>
      </c>
      <c r="L468" s="30" t="n">
        <v>0.00239641281400452</v>
      </c>
      <c r="M468" s="30" t="n">
        <v>0.0004519232131357129</v>
      </c>
      <c r="N468" s="31">
        <f>ABS(E468-$F$6)</f>
        <v/>
      </c>
      <c r="O468" s="31">
        <f>ABS(E468-$F$7)</f>
        <v/>
      </c>
      <c r="P468" s="31">
        <f>ABS(E468-$F$8)</f>
        <v/>
      </c>
      <c r="Q468" s="14">
        <f>IF(K468&gt;=MAX(L468,M468), "Hemat", IF(L468&gt;=M468, "Balanced", "Premium"))</f>
        <v/>
      </c>
      <c r="R468" s="30" t="n">
        <v>0.9971514858029716</v>
      </c>
      <c r="S468" s="30" t="n">
        <v>0.002396562464964818</v>
      </c>
      <c r="T468" s="30" t="n">
        <v>0.0004519517320636144</v>
      </c>
      <c r="U468" s="31">
        <f>ABS(E468-$G$6)</f>
        <v/>
      </c>
      <c r="V468" s="31">
        <f>ABS(E468-$G$7)</f>
        <v/>
      </c>
      <c r="W468" s="31">
        <f>ABS(E468-$G$8)</f>
        <v/>
      </c>
      <c r="X468" s="14">
        <f>IF(R468&gt;=MAX(S468,T468), "Hemat", IF(S468&gt;=T468, "Balanced", "Premium"))</f>
        <v/>
      </c>
    </row>
    <row r="469">
      <c r="A469" s="14" t="n">
        <v>458</v>
      </c>
      <c r="B469" s="7" t="inlineStr">
        <is>
          <t>Chalet Bromo Restaurant and Lounge</t>
        </is>
      </c>
      <c r="C469" s="26" t="n">
        <v>-7.9776983</v>
      </c>
      <c r="D469" s="26" t="n">
        <v>112.7803503</v>
      </c>
      <c r="E469" s="21" t="n">
        <v>744073</v>
      </c>
      <c r="F469" s="27" t="n">
        <v>0</v>
      </c>
      <c r="G469" s="28" t="n">
        <v>0</v>
      </c>
      <c r="H469" s="14" t="inlineStr">
        <is>
          <t>N/A</t>
        </is>
      </c>
      <c r="I469" s="29">
        <f>6371 * 2 * ASIN(SQRT(SIN(RADIANS((C469) - INDEX('Dataset_Wisata'!$C$12:$C$622, MATCH('Dashboard'!$C$9, 'Dataset_Wisata'!$A$12:$A$622, 0)))/2)^2 + COS(RADIANS(INDEX('Dataset_Wisata'!$C$12:$C$622, MATCH('Dashboard'!$C$9, 'Dataset_Wisata'!$A$12:$A$622, 0)))) * COS(RADIANS(C469)) * SIN(RADIANS((D469) - INDEX('Dataset_Wisata'!$D$12:$D$622, MATCH('Dashboard'!$C$9, 'Dataset_Wisata'!$A$12:$A$622, 0)))/2)^2)) * 1.3</f>
        <v/>
      </c>
      <c r="J469" s="21">
        <f>ROUND(I469 * IF('Dashboard'!$C$6&lt;=1, 2250, IF('Dashboard'!$C$6&lt;=4, 5150, 6000)), 0)</f>
        <v/>
      </c>
      <c r="K469" s="30" t="n">
        <v>0.02602892245746273</v>
      </c>
      <c r="L469" s="30" t="n">
        <v>0.04020805615856511</v>
      </c>
      <c r="M469" s="30" t="n">
        <v>0.09030253155330065</v>
      </c>
      <c r="N469" s="31">
        <f>ABS(E469-$F$6)</f>
        <v/>
      </c>
      <c r="O469" s="31">
        <f>ABS(E469-$F$7)</f>
        <v/>
      </c>
      <c r="P469" s="31">
        <f>ABS(E469-$F$8)</f>
        <v/>
      </c>
      <c r="Q469" s="14">
        <f>IF(K469&gt;=MAX(L469,M469), "Hemat", IF(L469&gt;=M469, "Balanced", "Premium"))</f>
        <v/>
      </c>
      <c r="R469" s="30" t="n">
        <v>0.02602894206262779</v>
      </c>
      <c r="S469" s="30" t="n">
        <v>0.04020818086120481</v>
      </c>
      <c r="T469" s="30" t="n">
        <v>0.09030344571311003</v>
      </c>
      <c r="U469" s="31">
        <f>ABS(E469-$G$6)</f>
        <v/>
      </c>
      <c r="V469" s="31">
        <f>ABS(E469-$G$7)</f>
        <v/>
      </c>
      <c r="W469" s="31">
        <f>ABS(E469-$G$8)</f>
        <v/>
      </c>
      <c r="X469" s="14">
        <f>IF(R469&gt;=MAX(S469,T469), "Hemat", IF(S469&gt;=T469, "Balanced", "Premium"))</f>
        <v/>
      </c>
    </row>
    <row r="470">
      <c r="A470" s="14" t="n">
        <v>459</v>
      </c>
      <c r="B470" s="7" t="inlineStr">
        <is>
          <t>Glamping Malang Dreamland</t>
        </is>
      </c>
      <c r="C470" s="26" t="n">
        <v>-8.083572200000001</v>
      </c>
      <c r="D470" s="26" t="n">
        <v>112.7861337</v>
      </c>
      <c r="E470" s="21" t="n">
        <v>400000</v>
      </c>
      <c r="F470" s="27" t="n">
        <v>0</v>
      </c>
      <c r="G470" s="28" t="n">
        <v>0</v>
      </c>
      <c r="H470" s="14" t="inlineStr">
        <is>
          <t>N/A</t>
        </is>
      </c>
      <c r="I470" s="29">
        <f>6371 * 2 * ASIN(SQRT(SIN(RADIANS((C470) - INDEX('Dataset_Wisata'!$C$12:$C$622, MATCH('Dashboard'!$C$9, 'Dataset_Wisata'!$A$12:$A$622, 0)))/2)^2 + COS(RADIANS(INDEX('Dataset_Wisata'!$C$12:$C$622, MATCH('Dashboard'!$C$9, 'Dataset_Wisata'!$A$12:$A$622, 0)))) * COS(RADIANS(C470)) * SIN(RADIANS((D470) - INDEX('Dataset_Wisata'!$D$12:$D$622, MATCH('Dashboard'!$C$9, 'Dataset_Wisata'!$A$12:$A$622, 0)))/2)^2)) * 1.3</f>
        <v/>
      </c>
      <c r="J470" s="21">
        <f>ROUND(I470 * IF('Dashboard'!$C$6&lt;=1, 2250, IF('Dashboard'!$C$6&lt;=4, 5150, 6000)), 0)</f>
        <v/>
      </c>
      <c r="K470" s="30" t="n">
        <v>0.001667073170799579</v>
      </c>
      <c r="L470" s="30" t="n">
        <v>0.005301607890448092</v>
      </c>
      <c r="M470" s="30" t="n">
        <v>0.9930313189387524</v>
      </c>
      <c r="N470" s="31">
        <f>ABS(E470-$F$6)</f>
        <v/>
      </c>
      <c r="O470" s="31">
        <f>ABS(E470-$F$7)</f>
        <v/>
      </c>
      <c r="P470" s="31">
        <f>ABS(E470-$F$8)</f>
        <v/>
      </c>
      <c r="Q470" s="14">
        <f>IF(K470&gt;=MAX(L470,M470), "Hemat", IF(L470&gt;=M470, "Balanced", "Premium"))</f>
        <v/>
      </c>
      <c r="R470" s="30" t="n">
        <v>0.001667569525865401</v>
      </c>
      <c r="S470" s="30" t="n">
        <v>0.005303230460210759</v>
      </c>
      <c r="T470" s="30" t="n">
        <v>0.9930292000139238</v>
      </c>
      <c r="U470" s="31">
        <f>ABS(E470-$G$6)</f>
        <v/>
      </c>
      <c r="V470" s="31">
        <f>ABS(E470-$G$7)</f>
        <v/>
      </c>
      <c r="W470" s="31">
        <f>ABS(E470-$G$8)</f>
        <v/>
      </c>
      <c r="X470" s="14">
        <f>IF(R470&gt;=MAX(S470,T470), "Hemat", IF(S470&gt;=T470, "Balanced", "Premium"))</f>
        <v/>
      </c>
    </row>
    <row r="471">
      <c r="A471" s="14" t="n">
        <v>460</v>
      </c>
      <c r="B471" s="7" t="inlineStr">
        <is>
          <t>Wisma Djokorio Syariah</t>
        </is>
      </c>
      <c r="C471" s="26" t="n">
        <v>-8.032565699999999</v>
      </c>
      <c r="D471" s="26" t="n">
        <v>112.8127436</v>
      </c>
      <c r="E471" s="21" t="n">
        <v>192000</v>
      </c>
      <c r="F471" s="27" t="n">
        <v>0</v>
      </c>
      <c r="G471" s="28" t="n">
        <v>0</v>
      </c>
      <c r="H471" s="14" t="inlineStr">
        <is>
          <t>N/A</t>
        </is>
      </c>
      <c r="I471" s="29">
        <f>6371 * 2 * ASIN(SQRT(SIN(RADIANS((C471) - INDEX('Dataset_Wisata'!$C$12:$C$622, MATCH('Dashboard'!$C$9, 'Dataset_Wisata'!$A$12:$A$622, 0)))/2)^2 + COS(RADIANS(INDEX('Dataset_Wisata'!$C$12:$C$622, MATCH('Dashboard'!$C$9, 'Dataset_Wisata'!$A$12:$A$622, 0)))) * COS(RADIANS(C471)) * SIN(RADIANS((D471) - INDEX('Dataset_Wisata'!$D$12:$D$622, MATCH('Dashboard'!$C$9, 'Dataset_Wisata'!$A$12:$A$622, 0)))/2)^2)) * 1.3</f>
        <v/>
      </c>
      <c r="J471" s="21">
        <f>ROUND(I471 * IF('Dashboard'!$C$6&lt;=1, 2250, IF('Dashboard'!$C$6&lt;=4, 5150, 6000)), 0)</f>
        <v/>
      </c>
      <c r="K471" s="30" t="n">
        <v>0.3693680158473263</v>
      </c>
      <c r="L471" s="30" t="n">
        <v>0.5953718693699237</v>
      </c>
      <c r="M471" s="30" t="n">
        <v>0.03526011478275007</v>
      </c>
      <c r="N471" s="31">
        <f>ABS(E471-$F$6)</f>
        <v/>
      </c>
      <c r="O471" s="31">
        <f>ABS(E471-$F$7)</f>
        <v/>
      </c>
      <c r="P471" s="31">
        <f>ABS(E471-$F$8)</f>
        <v/>
      </c>
      <c r="Q471" s="14">
        <f>IF(K471&gt;=MAX(L471,M471), "Hemat", IF(L471&gt;=M471, "Balanced", "Premium"))</f>
        <v/>
      </c>
      <c r="R471" s="30" t="n">
        <v>0.3693761942724286</v>
      </c>
      <c r="S471" s="30" t="n">
        <v>0.5953636948345009</v>
      </c>
      <c r="T471" s="30" t="n">
        <v>0.03526011089307048</v>
      </c>
      <c r="U471" s="31">
        <f>ABS(E471-$G$6)</f>
        <v/>
      </c>
      <c r="V471" s="31">
        <f>ABS(E471-$G$7)</f>
        <v/>
      </c>
      <c r="W471" s="31">
        <f>ABS(E471-$G$8)</f>
        <v/>
      </c>
      <c r="X471" s="14">
        <f>IF(R471&gt;=MAX(S471,T471), "Hemat", IF(S471&gt;=T471, "Balanced", "Premium"))</f>
        <v/>
      </c>
    </row>
    <row r="472">
      <c r="A472" s="14" t="n">
        <v>461</v>
      </c>
      <c r="B472" s="7" t="inlineStr">
        <is>
          <t>NAMIRA HOMESTAY</t>
        </is>
      </c>
      <c r="C472" s="26" t="n">
        <v>-8.032603699999999</v>
      </c>
      <c r="D472" s="26" t="n">
        <v>112.8084364</v>
      </c>
      <c r="E472" s="21" t="n">
        <v>150000</v>
      </c>
      <c r="F472" s="27" t="n">
        <v>0</v>
      </c>
      <c r="G472" s="28" t="n">
        <v>0</v>
      </c>
      <c r="H472" s="14" t="inlineStr">
        <is>
          <t>N/A</t>
        </is>
      </c>
      <c r="I472" s="29">
        <f>6371 * 2 * ASIN(SQRT(SIN(RADIANS((C472) - INDEX('Dataset_Wisata'!$C$12:$C$622, MATCH('Dashboard'!$C$9, 'Dataset_Wisata'!$A$12:$A$622, 0)))/2)^2 + COS(RADIANS(INDEX('Dataset_Wisata'!$C$12:$C$622, MATCH('Dashboard'!$C$9, 'Dataset_Wisata'!$A$12:$A$622, 0)))) * COS(RADIANS(C472)) * SIN(RADIANS((D472) - INDEX('Dataset_Wisata'!$D$12:$D$622, MATCH('Dashboard'!$C$9, 'Dataset_Wisata'!$A$12:$A$622, 0)))/2)^2)) * 1.3</f>
        <v/>
      </c>
      <c r="J472" s="21">
        <f>ROUND(I472 * IF('Dashboard'!$C$6&lt;=1, 2250, IF('Dashboard'!$C$6&lt;=4, 5150, 6000)), 0)</f>
        <v/>
      </c>
      <c r="K472" s="30" t="n">
        <v>0.9236568385235482</v>
      </c>
      <c r="L472" s="30" t="n">
        <v>0.06736899151285153</v>
      </c>
      <c r="M472" s="30" t="n">
        <v>0.008974169963600275</v>
      </c>
      <c r="N472" s="31">
        <f>ABS(E472-$F$6)</f>
        <v/>
      </c>
      <c r="O472" s="31">
        <f>ABS(E472-$F$7)</f>
        <v/>
      </c>
      <c r="P472" s="31">
        <f>ABS(E472-$F$8)</f>
        <v/>
      </c>
      <c r="Q472" s="14">
        <f>IF(K472&gt;=MAX(L472,M472), "Hemat", IF(L472&gt;=M472, "Balanced", "Premium"))</f>
        <v/>
      </c>
      <c r="R472" s="30" t="n">
        <v>0.9236592327110943</v>
      </c>
      <c r="S472" s="30" t="n">
        <v>0.0673668524262508</v>
      </c>
      <c r="T472" s="30" t="n">
        <v>0.008973914862654904</v>
      </c>
      <c r="U472" s="31">
        <f>ABS(E472-$G$6)</f>
        <v/>
      </c>
      <c r="V472" s="31">
        <f>ABS(E472-$G$7)</f>
        <v/>
      </c>
      <c r="W472" s="31">
        <f>ABS(E472-$G$8)</f>
        <v/>
      </c>
      <c r="X472" s="14">
        <f>IF(R472&gt;=MAX(S472,T472), "Hemat", IF(S472&gt;=T472, "Balanced", "Premium"))</f>
        <v/>
      </c>
    </row>
    <row r="473">
      <c r="A473" s="14" t="n">
        <v>462</v>
      </c>
      <c r="B473" s="7" t="inlineStr">
        <is>
          <t>Homestay Bu Pit</t>
        </is>
      </c>
      <c r="C473" s="26" t="n">
        <v>-8.032883500000001</v>
      </c>
      <c r="D473" s="26" t="n">
        <v>112.8088256</v>
      </c>
      <c r="E473" s="21" t="n">
        <v>200000</v>
      </c>
      <c r="F473" s="27" t="n">
        <v>0</v>
      </c>
      <c r="G473" s="28" t="n">
        <v>0</v>
      </c>
      <c r="H473" s="14" t="inlineStr">
        <is>
          <t>N/A</t>
        </is>
      </c>
      <c r="I473" s="29">
        <f>6371 * 2 * ASIN(SQRT(SIN(RADIANS((C473) - INDEX('Dataset_Wisata'!$C$12:$C$622, MATCH('Dashboard'!$C$9, 'Dataset_Wisata'!$A$12:$A$622, 0)))/2)^2 + COS(RADIANS(INDEX('Dataset_Wisata'!$C$12:$C$622, MATCH('Dashboard'!$C$9, 'Dataset_Wisata'!$A$12:$A$622, 0)))) * COS(RADIANS(C473)) * SIN(RADIANS((D473) - INDEX('Dataset_Wisata'!$D$12:$D$622, MATCH('Dashboard'!$C$9, 'Dataset_Wisata'!$A$12:$A$622, 0)))/2)^2)) * 1.3</f>
        <v/>
      </c>
      <c r="J473" s="21">
        <f>ROUND(I473 * IF('Dashboard'!$C$6&lt;=1, 2250, IF('Dashboard'!$C$6&lt;=4, 5150, 6000)), 0)</f>
        <v/>
      </c>
      <c r="K473" s="30" t="n">
        <v>0.2553120674410002</v>
      </c>
      <c r="L473" s="30" t="n">
        <v>0.7118698806466551</v>
      </c>
      <c r="M473" s="30" t="n">
        <v>0.03281805191234464</v>
      </c>
      <c r="N473" s="31">
        <f>ABS(E473-$F$6)</f>
        <v/>
      </c>
      <c r="O473" s="31">
        <f>ABS(E473-$F$7)</f>
        <v/>
      </c>
      <c r="P473" s="31">
        <f>ABS(E473-$F$8)</f>
        <v/>
      </c>
      <c r="Q473" s="14">
        <f>IF(K473&gt;=MAX(L473,M473), "Hemat", IF(L473&gt;=M473, "Balanced", "Premium"))</f>
        <v/>
      </c>
      <c r="R473" s="30" t="n">
        <v>0.2553195689263855</v>
      </c>
      <c r="S473" s="30" t="n">
        <v>0.7118621403928133</v>
      </c>
      <c r="T473" s="30" t="n">
        <v>0.03281829068080127</v>
      </c>
      <c r="U473" s="31">
        <f>ABS(E473-$G$6)</f>
        <v/>
      </c>
      <c r="V473" s="31">
        <f>ABS(E473-$G$7)</f>
        <v/>
      </c>
      <c r="W473" s="31">
        <f>ABS(E473-$G$8)</f>
        <v/>
      </c>
      <c r="X473" s="14">
        <f>IF(R473&gt;=MAX(S473,T473), "Hemat", IF(S473&gt;=T473, "Balanced", "Premium"))</f>
        <v/>
      </c>
    </row>
    <row r="474">
      <c r="A474" s="14" t="n">
        <v>463</v>
      </c>
      <c r="B474" s="7" t="inlineStr">
        <is>
          <t>De'forest Rest Area</t>
        </is>
      </c>
      <c r="C474" s="26" t="n">
        <v>-8.00559</v>
      </c>
      <c r="D474" s="26" t="n">
        <v>112.7623694</v>
      </c>
      <c r="E474" s="21" t="n">
        <v>57212</v>
      </c>
      <c r="F474" s="27" t="n">
        <v>0</v>
      </c>
      <c r="G474" s="28" t="n">
        <v>0</v>
      </c>
      <c r="H474" s="14" t="inlineStr">
        <is>
          <t>N/A</t>
        </is>
      </c>
      <c r="I474" s="29">
        <f>6371 * 2 * ASIN(SQRT(SIN(RADIANS((C474) - INDEX('Dataset_Wisata'!$C$12:$C$622, MATCH('Dashboard'!$C$9, 'Dataset_Wisata'!$A$12:$A$622, 0)))/2)^2 + COS(RADIANS(INDEX('Dataset_Wisata'!$C$12:$C$622, MATCH('Dashboard'!$C$9, 'Dataset_Wisata'!$A$12:$A$622, 0)))) * COS(RADIANS(C474)) * SIN(RADIANS((D474) - INDEX('Dataset_Wisata'!$D$12:$D$622, MATCH('Dashboard'!$C$9, 'Dataset_Wisata'!$A$12:$A$622, 0)))/2)^2)) * 1.3</f>
        <v/>
      </c>
      <c r="J474" s="21">
        <f>ROUND(I474 * IF('Dashboard'!$C$6&lt;=1, 2250, IF('Dashboard'!$C$6&lt;=4, 5150, 6000)), 0)</f>
        <v/>
      </c>
      <c r="K474" s="30" t="n">
        <v>0.8600248399119151</v>
      </c>
      <c r="L474" s="30" t="n">
        <v>0.1091534764213973</v>
      </c>
      <c r="M474" s="30" t="n">
        <v>0.03082168366668737</v>
      </c>
      <c r="N474" s="31">
        <f>ABS(E474-$F$6)</f>
        <v/>
      </c>
      <c r="O474" s="31">
        <f>ABS(E474-$F$7)</f>
        <v/>
      </c>
      <c r="P474" s="31">
        <f>ABS(E474-$F$8)</f>
        <v/>
      </c>
      <c r="Q474" s="14">
        <f>IF(K474&gt;=MAX(L474,M474), "Hemat", IF(L474&gt;=M474, "Balanced", "Premium"))</f>
        <v/>
      </c>
      <c r="R474" s="30" t="n">
        <v>0.8600250253479975</v>
      </c>
      <c r="S474" s="30" t="n">
        <v>0.1091533629097819</v>
      </c>
      <c r="T474" s="30" t="n">
        <v>0.03082161174222067</v>
      </c>
      <c r="U474" s="31">
        <f>ABS(E474-$G$6)</f>
        <v/>
      </c>
      <c r="V474" s="31">
        <f>ABS(E474-$G$7)</f>
        <v/>
      </c>
      <c r="W474" s="31">
        <f>ABS(E474-$G$8)</f>
        <v/>
      </c>
      <c r="X474" s="14">
        <f>IF(R474&gt;=MAX(S474,T474), "Hemat", IF(S474&gt;=T474, "Balanced", "Premium"))</f>
        <v/>
      </c>
    </row>
    <row r="475">
      <c r="A475" s="14" t="n">
        <v>464</v>
      </c>
      <c r="B475" s="7" t="inlineStr">
        <is>
          <t>Puspa Homestay Gubugklakah</t>
        </is>
      </c>
      <c r="C475" s="26" t="n">
        <v>-8.0217279</v>
      </c>
      <c r="D475" s="26" t="n">
        <v>112.8359058</v>
      </c>
      <c r="E475" s="21" t="n">
        <v>150000</v>
      </c>
      <c r="F475" s="27" t="n">
        <v>0</v>
      </c>
      <c r="G475" s="28" t="n">
        <v>0</v>
      </c>
      <c r="H475" s="14" t="inlineStr">
        <is>
          <t>N/A</t>
        </is>
      </c>
      <c r="I475" s="29">
        <f>6371 * 2 * ASIN(SQRT(SIN(RADIANS((C475) - INDEX('Dataset_Wisata'!$C$12:$C$622, MATCH('Dashboard'!$C$9, 'Dataset_Wisata'!$A$12:$A$622, 0)))/2)^2 + COS(RADIANS(INDEX('Dataset_Wisata'!$C$12:$C$622, MATCH('Dashboard'!$C$9, 'Dataset_Wisata'!$A$12:$A$622, 0)))) * COS(RADIANS(C475)) * SIN(RADIANS((D475) - INDEX('Dataset_Wisata'!$D$12:$D$622, MATCH('Dashboard'!$C$9, 'Dataset_Wisata'!$A$12:$A$622, 0)))/2)^2)) * 1.3</f>
        <v/>
      </c>
      <c r="J475" s="21">
        <f>ROUND(I475 * IF('Dashboard'!$C$6&lt;=1, 2250, IF('Dashboard'!$C$6&lt;=4, 5150, 6000)), 0)</f>
        <v/>
      </c>
      <c r="K475" s="30" t="n">
        <v>0.9236568385235482</v>
      </c>
      <c r="L475" s="30" t="n">
        <v>0.06736899151285153</v>
      </c>
      <c r="M475" s="30" t="n">
        <v>0.008974169963600275</v>
      </c>
      <c r="N475" s="31">
        <f>ABS(E475-$F$6)</f>
        <v/>
      </c>
      <c r="O475" s="31">
        <f>ABS(E475-$F$7)</f>
        <v/>
      </c>
      <c r="P475" s="31">
        <f>ABS(E475-$F$8)</f>
        <v/>
      </c>
      <c r="Q475" s="14">
        <f>IF(K475&gt;=MAX(L475,M475), "Hemat", IF(L475&gt;=M475, "Balanced", "Premium"))</f>
        <v/>
      </c>
      <c r="R475" s="30" t="n">
        <v>0.9236592327110943</v>
      </c>
      <c r="S475" s="30" t="n">
        <v>0.0673668524262508</v>
      </c>
      <c r="T475" s="30" t="n">
        <v>0.008973914862654904</v>
      </c>
      <c r="U475" s="31">
        <f>ABS(E475-$G$6)</f>
        <v/>
      </c>
      <c r="V475" s="31">
        <f>ABS(E475-$G$7)</f>
        <v/>
      </c>
      <c r="W475" s="31">
        <f>ABS(E475-$G$8)</f>
        <v/>
      </c>
      <c r="X475" s="14">
        <f>IF(R475&gt;=MAX(S475,T475), "Hemat", IF(S475&gt;=T475, "Balanced", "Premium"))</f>
        <v/>
      </c>
    </row>
    <row r="476">
      <c r="A476" s="14" t="n">
        <v>465</v>
      </c>
      <c r="B476" s="7" t="inlineStr">
        <is>
          <t>Panglipuran Homestay</t>
        </is>
      </c>
      <c r="C476" s="26" t="n">
        <v>-8.0184091</v>
      </c>
      <c r="D476" s="26" t="n">
        <v>112.8411638</v>
      </c>
      <c r="E476" s="21" t="n">
        <v>124392</v>
      </c>
      <c r="F476" s="27" t="n">
        <v>0</v>
      </c>
      <c r="G476" s="28" t="n">
        <v>0</v>
      </c>
      <c r="H476" s="14" t="inlineStr">
        <is>
          <t>N/A</t>
        </is>
      </c>
      <c r="I476" s="29">
        <f>6371 * 2 * ASIN(SQRT(SIN(RADIANS((C476) - INDEX('Dataset_Wisata'!$C$12:$C$622, MATCH('Dashboard'!$C$9, 'Dataset_Wisata'!$A$12:$A$622, 0)))/2)^2 + COS(RADIANS(INDEX('Dataset_Wisata'!$C$12:$C$622, MATCH('Dashboard'!$C$9, 'Dataset_Wisata'!$A$12:$A$622, 0)))) * COS(RADIANS(C476)) * SIN(RADIANS((D476) - INDEX('Dataset_Wisata'!$D$12:$D$622, MATCH('Dashboard'!$C$9, 'Dataset_Wisata'!$A$12:$A$622, 0)))/2)^2)) * 1.3</f>
        <v/>
      </c>
      <c r="J476" s="21">
        <f>ROUND(I476 * IF('Dashboard'!$C$6&lt;=1, 2250, IF('Dashboard'!$C$6&lt;=4, 5150, 6000)), 0)</f>
        <v/>
      </c>
      <c r="K476" s="30" t="n">
        <v>0.9999982367885912</v>
      </c>
      <c r="L476" s="30" t="n">
        <v>1.497044257898853e-06</v>
      </c>
      <c r="M476" s="30" t="n">
        <v>2.661671508352545e-07</v>
      </c>
      <c r="N476" s="31">
        <f>ABS(E476-$F$6)</f>
        <v/>
      </c>
      <c r="O476" s="31">
        <f>ABS(E476-$F$7)</f>
        <v/>
      </c>
      <c r="P476" s="31">
        <f>ABS(E476-$F$8)</f>
        <v/>
      </c>
      <c r="Q476" s="14">
        <f>IF(K476&gt;=MAX(L476,M476), "Hemat", IF(L476&gt;=M476, "Balanced", "Premium"))</f>
        <v/>
      </c>
      <c r="R476" s="30" t="n">
        <v>0.9999982423676403</v>
      </c>
      <c r="S476" s="30" t="n">
        <v>1.492307164087679e-06</v>
      </c>
      <c r="T476" s="30" t="n">
        <v>2.65325195573192e-07</v>
      </c>
      <c r="U476" s="31">
        <f>ABS(E476-$G$6)</f>
        <v/>
      </c>
      <c r="V476" s="31">
        <f>ABS(E476-$G$7)</f>
        <v/>
      </c>
      <c r="W476" s="31">
        <f>ABS(E476-$G$8)</f>
        <v/>
      </c>
      <c r="X476" s="14">
        <f>IF(R476&gt;=MAX(S476,T476), "Hemat", IF(S476&gt;=T476, "Balanced", "Premium"))</f>
        <v/>
      </c>
    </row>
    <row r="477">
      <c r="A477" s="14" t="n">
        <v>466</v>
      </c>
      <c r="B477" s="7" t="inlineStr">
        <is>
          <t>Gubug bromo</t>
        </is>
      </c>
      <c r="C477" s="26" t="n">
        <v>-8.015302699999999</v>
      </c>
      <c r="D477" s="26" t="n">
        <v>112.8466309</v>
      </c>
      <c r="E477" s="21" t="n">
        <v>401093</v>
      </c>
      <c r="F477" s="27" t="n">
        <v>0</v>
      </c>
      <c r="G477" s="28" t="n">
        <v>0</v>
      </c>
      <c r="H477" s="14" t="inlineStr">
        <is>
          <t>N/A</t>
        </is>
      </c>
      <c r="I477" s="29">
        <f>6371 * 2 * ASIN(SQRT(SIN(RADIANS((C477) - INDEX('Dataset_Wisata'!$C$12:$C$622, MATCH('Dashboard'!$C$9, 'Dataset_Wisata'!$A$12:$A$622, 0)))/2)^2 + COS(RADIANS(INDEX('Dataset_Wisata'!$C$12:$C$622, MATCH('Dashboard'!$C$9, 'Dataset_Wisata'!$A$12:$A$622, 0)))) * COS(RADIANS(C477)) * SIN(RADIANS((D477) - INDEX('Dataset_Wisata'!$D$12:$D$622, MATCH('Dashboard'!$C$9, 'Dataset_Wisata'!$A$12:$A$622, 0)))/2)^2)) * 1.3</f>
        <v/>
      </c>
      <c r="J477" s="21">
        <f>ROUND(I477 * IF('Dashboard'!$C$6&lt;=1, 2250, IF('Dashboard'!$C$6&lt;=4, 5150, 6000)), 0)</f>
        <v/>
      </c>
      <c r="K477" s="30" t="n">
        <v>0.001351245477645238</v>
      </c>
      <c r="L477" s="30" t="n">
        <v>0.004270760594811579</v>
      </c>
      <c r="M477" s="30" t="n">
        <v>0.9943779939275432</v>
      </c>
      <c r="N477" s="31">
        <f>ABS(E477-$F$6)</f>
        <v/>
      </c>
      <c r="O477" s="31">
        <f>ABS(E477-$F$7)</f>
        <v/>
      </c>
      <c r="P477" s="31">
        <f>ABS(E477-$F$8)</f>
        <v/>
      </c>
      <c r="Q477" s="14">
        <f>IF(K477&gt;=MAX(L477,M477), "Hemat", IF(L477&gt;=M477, "Balanced", "Premium"))</f>
        <v/>
      </c>
      <c r="R477" s="30" t="n">
        <v>0.001351691259660665</v>
      </c>
      <c r="S477" s="30" t="n">
        <v>0.004272204766310427</v>
      </c>
      <c r="T477" s="30" t="n">
        <v>0.9943761039740289</v>
      </c>
      <c r="U477" s="31">
        <f>ABS(E477-$G$6)</f>
        <v/>
      </c>
      <c r="V477" s="31">
        <f>ABS(E477-$G$7)</f>
        <v/>
      </c>
      <c r="W477" s="31">
        <f>ABS(E477-$G$8)</f>
        <v/>
      </c>
      <c r="X477" s="14">
        <f>IF(R477&gt;=MAX(S477,T477), "Hemat", IF(S477&gt;=T477, "Balanced", "Premium"))</f>
        <v/>
      </c>
    </row>
    <row r="478">
      <c r="A478" s="14" t="n">
        <v>467</v>
      </c>
      <c r="B478" s="7" t="inlineStr">
        <is>
          <t>Homestay Maria</t>
        </is>
      </c>
      <c r="C478" s="26" t="n">
        <v>-7.9837794</v>
      </c>
      <c r="D478" s="26" t="n">
        <v>112.9063229</v>
      </c>
      <c r="E478" s="21" t="n">
        <v>148129</v>
      </c>
      <c r="F478" s="27" t="n">
        <v>0</v>
      </c>
      <c r="G478" s="28" t="n">
        <v>0</v>
      </c>
      <c r="H478" s="14" t="inlineStr">
        <is>
          <t>N/A</t>
        </is>
      </c>
      <c r="I478" s="29">
        <f>6371 * 2 * ASIN(SQRT(SIN(RADIANS((C478) - INDEX('Dataset_Wisata'!$C$12:$C$622, MATCH('Dashboard'!$C$9, 'Dataset_Wisata'!$A$12:$A$622, 0)))/2)^2 + COS(RADIANS(INDEX('Dataset_Wisata'!$C$12:$C$622, MATCH('Dashboard'!$C$9, 'Dataset_Wisata'!$A$12:$A$622, 0)))) * COS(RADIANS(C478)) * SIN(RADIANS((D478) - INDEX('Dataset_Wisata'!$D$12:$D$622, MATCH('Dashboard'!$C$9, 'Dataset_Wisata'!$A$12:$A$622, 0)))/2)^2)) * 1.3</f>
        <v/>
      </c>
      <c r="J478" s="21">
        <f>ROUND(I478 * IF('Dashboard'!$C$6&lt;=1, 2250, IF('Dashboard'!$C$6&lt;=4, 5150, 6000)), 0)</f>
        <v/>
      </c>
      <c r="K478" s="30" t="n">
        <v>0.93582840996487</v>
      </c>
      <c r="L478" s="30" t="n">
        <v>0.05646297606766679</v>
      </c>
      <c r="M478" s="30" t="n">
        <v>0.007708613967463158</v>
      </c>
      <c r="N478" s="31">
        <f>ABS(E478-$F$6)</f>
        <v/>
      </c>
      <c r="O478" s="31">
        <f>ABS(E478-$F$7)</f>
        <v/>
      </c>
      <c r="P478" s="31">
        <f>ABS(E478-$F$8)</f>
        <v/>
      </c>
      <c r="Q478" s="14">
        <f>IF(K478&gt;=MAX(L478,M478), "Hemat", IF(L478&gt;=M478, "Balanced", "Premium"))</f>
        <v/>
      </c>
      <c r="R478" s="30" t="n">
        <v>0.9358305165643402</v>
      </c>
      <c r="S478" s="30" t="n">
        <v>0.05646110146165428</v>
      </c>
      <c r="T478" s="30" t="n">
        <v>0.007708381974005507</v>
      </c>
      <c r="U478" s="31">
        <f>ABS(E478-$G$6)</f>
        <v/>
      </c>
      <c r="V478" s="31">
        <f>ABS(E478-$G$7)</f>
        <v/>
      </c>
      <c r="W478" s="31">
        <f>ABS(E478-$G$8)</f>
        <v/>
      </c>
      <c r="X478" s="14">
        <f>IF(R478&gt;=MAX(S478,T478), "Hemat", IF(S478&gt;=T478, "Balanced", "Premium"))</f>
        <v/>
      </c>
    </row>
  </sheetData>
  <mergeCells count="32">
    <mergeCell ref="P10:P11"/>
    <mergeCell ref="C10:C11"/>
    <mergeCell ref="E10:E11"/>
    <mergeCell ref="V10:V11"/>
    <mergeCell ref="A6:B6"/>
    <mergeCell ref="G10:G11"/>
    <mergeCell ref="M10:M11"/>
    <mergeCell ref="Q10:Q11"/>
    <mergeCell ref="S10:S11"/>
    <mergeCell ref="A7:B7"/>
    <mergeCell ref="B10:B11"/>
    <mergeCell ref="A1:X2"/>
    <mergeCell ref="A4:C4"/>
    <mergeCell ref="L10:L11"/>
    <mergeCell ref="X10:X11"/>
    <mergeCell ref="N10:N11"/>
    <mergeCell ref="E4:H4"/>
    <mergeCell ref="A5:B5"/>
    <mergeCell ref="A10:A11"/>
    <mergeCell ref="A8:B8"/>
    <mergeCell ref="I10:I11"/>
    <mergeCell ref="U10:U11"/>
    <mergeCell ref="K10:K11"/>
    <mergeCell ref="W10:W11"/>
    <mergeCell ref="O10:O11"/>
    <mergeCell ref="D10:D11"/>
    <mergeCell ref="R10:R11"/>
    <mergeCell ref="A9:B9"/>
    <mergeCell ref="F10:F11"/>
    <mergeCell ref="H10:H11"/>
    <mergeCell ref="T10:T11"/>
    <mergeCell ref="J10:J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5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5" customWidth="1" min="3" max="3"/>
    <col width="14" customWidth="1" min="4" max="4"/>
    <col width="20" customWidth="1" min="5" max="5"/>
    <col width="30" customWidth="1" min="6" max="6"/>
    <col width="28" customWidth="1" min="7" max="7"/>
    <col width="43" customWidth="1" min="8" max="8"/>
    <col width="15" customWidth="1" min="9" max="9"/>
    <col width="15" customWidth="1" min="10" max="10"/>
    <col width="25" customWidth="1" min="11" max="11"/>
    <col width="25" customWidth="1" min="12" max="12"/>
    <col width="2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5" customWidth="1" min="18" max="18"/>
    <col width="25" customWidth="1" min="19" max="19"/>
    <col width="2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PRE-PROCESSING &amp; CLUSTERING FUZZY C-MEANS - KULINER</t>
        </is>
      </c>
    </row>
    <row r="2"/>
    <row r="3"/>
    <row r="4">
      <c r="A4" s="2" t="inlineStr">
        <is>
          <t>METADATA &amp; PARAMETER ALGORITMA</t>
        </is>
      </c>
      <c r="E4" s="2" t="inlineStr">
        <is>
          <t>PUSAT KLASTER (CENTROID FINAL) - PERSAMAAN [2.2]</t>
        </is>
      </c>
    </row>
    <row r="5">
      <c r="A5" s="11" t="inlineStr">
        <is>
          <t>Banyak Sampel (n)</t>
        </is>
      </c>
      <c r="B5" s="4" t="n"/>
      <c r="C5" s="19">
        <f>COUNTA(B12:B651)</f>
        <v/>
      </c>
      <c r="E5" s="10" t="inlineStr">
        <is>
          <t>Kelas Klaster</t>
        </is>
      </c>
      <c r="F5" s="10" t="inlineStr">
        <is>
          <t>Standard Centroid (Formula)</t>
        </is>
      </c>
      <c r="G5" s="10" t="inlineStr">
        <is>
          <t>Budget Centroid (Formula)</t>
        </is>
      </c>
      <c r="H5" s="10" t="inlineStr">
        <is>
          <t>Target Anchor (Rp)</t>
        </is>
      </c>
    </row>
    <row r="6">
      <c r="A6" s="11" t="inlineStr">
        <is>
          <t>Fuzzifier (m)</t>
        </is>
      </c>
      <c r="B6" s="4" t="n"/>
      <c r="C6" s="19" t="n">
        <v>2</v>
      </c>
      <c r="E6" s="20" t="inlineStr">
        <is>
          <t>MURAH / HEMAT</t>
        </is>
      </c>
      <c r="F6" s="13">
        <f>IF(SUMSQ(K12:K651)=0, 0, SUMPRODUCT(K12:K651, K12:K651, E12:E651) / SUMSQ(K12:K651))</f>
        <v/>
      </c>
      <c r="G6" s="13">
        <f>IF(SUMSQ(R12:R651)=0, 0, SUMPRODUCT(R12:R651, R12:R651, E12:E651) / SUMSQ(R12:R651))</f>
        <v/>
      </c>
      <c r="H6" s="21">
        <f>'Dashboard'!$E$18 * 0.6</f>
        <v/>
      </c>
    </row>
    <row r="7">
      <c r="A7" s="11" t="inlineStr">
        <is>
          <t>Epsilon Toleransi (e)</t>
        </is>
      </c>
      <c r="B7" s="4" t="n"/>
      <c r="C7" s="19" t="n">
        <v>1e-05</v>
      </c>
      <c r="E7" s="22" t="inlineStr">
        <is>
          <t>SEDANG / BALANCED</t>
        </is>
      </c>
      <c r="F7" s="13">
        <f>IF(SUMSQ(L12:L651)=0, 0, SUMPRODUCT(L12:L651, L12:L651, E12:E651) / SUMSQ(L12:L651))</f>
        <v/>
      </c>
      <c r="G7" s="13">
        <f>IF(SUMSQ(S12:S651)=0, 0, SUMPRODUCT(S12:S651, S12:S651, E12:E651) / SUMSQ(S12:S651))</f>
        <v/>
      </c>
      <c r="H7" s="21">
        <f>'Dashboard'!$E$18 * 1.0</f>
        <v/>
      </c>
    </row>
    <row r="8">
      <c r="A8" s="11" t="inlineStr">
        <is>
          <t>Jumlah Iterasi Std (t)</t>
        </is>
      </c>
      <c r="B8" s="4" t="n"/>
      <c r="C8" s="19" t="n">
        <v>69</v>
      </c>
      <c r="E8" s="23" t="inlineStr">
        <is>
          <t>MAHAL / PREMIUM</t>
        </is>
      </c>
      <c r="F8" s="13">
        <f>IF(SUMSQ(M12:M651)=0, 0, SUMPRODUCT(M12:M651, M12:M651, E12:E651) / SUMSQ(M12:M651))</f>
        <v/>
      </c>
      <c r="G8" s="13">
        <f>IF(SUMSQ(T12:T651)=0, 0, SUMPRODUCT(T12:T651, T12:T651, E12:E651) / SUMSQ(T12:T651))</f>
        <v/>
      </c>
      <c r="H8" s="21">
        <f>'Dashboard'!$E$18 * 1.4</f>
        <v/>
      </c>
    </row>
    <row r="9">
      <c r="A9" s="11" t="inlineStr">
        <is>
          <t>Jumlah Iterasi Bgt (t)</t>
        </is>
      </c>
      <c r="B9" s="4" t="n"/>
      <c r="C9" s="19" t="n">
        <v>60</v>
      </c>
    </row>
    <row r="10">
      <c r="A10" s="24" t="inlineStr">
        <is>
          <t>ID Tempat</t>
        </is>
      </c>
      <c r="B10" s="24" t="inlineStr">
        <is>
          <t>Nama Tempat</t>
        </is>
      </c>
      <c r="C10" s="24" t="inlineStr">
        <is>
          <t>Latitude</t>
        </is>
      </c>
      <c r="D10" s="24" t="inlineStr">
        <is>
          <t>Longitude</t>
        </is>
      </c>
      <c r="E10" s="24" t="inlineStr">
        <is>
          <t>Harga (Rp)</t>
        </is>
      </c>
      <c r="F10" s="24" t="inlineStr">
        <is>
          <t>Rating</t>
        </is>
      </c>
      <c r="G10" s="24" t="inlineStr">
        <is>
          <t>Jumlah Ulasan</t>
        </is>
      </c>
      <c r="H10" s="24" t="inlineStr">
        <is>
          <t>Kategori</t>
        </is>
      </c>
      <c r="I10" s="24" t="inlineStr">
        <is>
          <t>Jarak Target (km)</t>
        </is>
      </c>
      <c r="J10" s="24" t="inlineStr">
        <is>
          <t>Estimasi Ongkir (Rp)</t>
        </is>
      </c>
      <c r="K10" s="24" t="inlineStr">
        <is>
          <t>U_Hemat (Std)</t>
        </is>
      </c>
      <c r="L10" s="24" t="inlineStr">
        <is>
          <t>U_Balanced (Std)</t>
        </is>
      </c>
      <c r="M10" s="24" t="inlineStr">
        <is>
          <t>U_Premium (Std)</t>
        </is>
      </c>
      <c r="N10" s="24" t="inlineStr">
        <is>
          <t>Dist_Hemat (Std)</t>
        </is>
      </c>
      <c r="O10" s="24" t="inlineStr">
        <is>
          <t>Dist_Balanced (Std)</t>
        </is>
      </c>
      <c r="P10" s="24" t="inlineStr">
        <is>
          <t>Dist_Premium (Std)</t>
        </is>
      </c>
      <c r="Q10" s="24" t="inlineStr">
        <is>
          <t>Cluster (Std)</t>
        </is>
      </c>
      <c r="R10" s="24" t="inlineStr">
        <is>
          <t>U_Hemat (Bgt)</t>
        </is>
      </c>
      <c r="S10" s="24" t="inlineStr">
        <is>
          <t>U_Balanced (Bgt)</t>
        </is>
      </c>
      <c r="T10" s="24" t="inlineStr">
        <is>
          <t>U_Premium (Bgt)</t>
        </is>
      </c>
      <c r="U10" s="24" t="inlineStr">
        <is>
          <t>Dist_Hemat (Bgt)</t>
        </is>
      </c>
      <c r="V10" s="24" t="inlineStr">
        <is>
          <t>Dist_Balanced (Bgt)</t>
        </is>
      </c>
      <c r="W10" s="24" t="inlineStr">
        <is>
          <t>Dist_Premium (Bgt)</t>
        </is>
      </c>
      <c r="X10" s="24" t="inlineStr">
        <is>
          <t>Cluster (Bgt)</t>
        </is>
      </c>
    </row>
    <row r="11">
      <c r="A11" s="25" t="n"/>
    </row>
    <row r="12">
      <c r="A12" s="14" t="n">
        <v>1</v>
      </c>
      <c r="B12" s="7" t="inlineStr">
        <is>
          <t>Depot 2 Legenda</t>
        </is>
      </c>
      <c r="C12" s="26" t="n">
        <v>-7.9399474</v>
      </c>
      <c r="D12" s="26" t="n">
        <v>112.6356553</v>
      </c>
      <c r="E12" s="21" t="n">
        <v>35385</v>
      </c>
      <c r="F12" s="27" t="n">
        <v>4.5</v>
      </c>
      <c r="G12" s="28" t="n">
        <v>917</v>
      </c>
      <c r="H12" s="14" t="inlineStr">
        <is>
          <t>Wisata Umum</t>
        </is>
      </c>
      <c r="I12" s="29">
        <f>6371 * 2 * ASIN(SQRT(SIN(RADIANS((C12) - INDEX('Dataset_Wisata'!$C$12:$C$622, MATCH('Dashboard'!$C$9, 'Dataset_Wisata'!$A$12:$A$622, 0)))/2)^2 + COS(RADIANS(INDEX('Dataset_Wisata'!$C$12:$C$622, MATCH('Dashboard'!$C$9, 'Dataset_Wisata'!$A$12:$A$622, 0)))) * COS(RADIANS(C12)) * SIN(RADIANS((D12) - INDEX('Dataset_Wisata'!$D$12:$D$622, MATCH('Dashboard'!$C$9, 'Dataset_Wisata'!$A$12:$A$622, 0)))/2)^2)) * 1.3</f>
        <v/>
      </c>
      <c r="J12" s="21">
        <f>ROUND(I12 * IF('Dashboard'!$C$6&lt;=1, 2250, IF('Dashboard'!$C$6&lt;=4, 5150, 6000)), 0)</f>
        <v/>
      </c>
      <c r="K12" s="30" t="n">
        <v>0.1179498799070529</v>
      </c>
      <c r="L12" s="30" t="n">
        <v>0.5771388688608372</v>
      </c>
      <c r="M12" s="30" t="n">
        <v>0.30491125123211</v>
      </c>
      <c r="N12" s="31">
        <f>ABS(E12-$F$6)</f>
        <v/>
      </c>
      <c r="O12" s="31">
        <f>ABS(E12-$F$7)</f>
        <v/>
      </c>
      <c r="P12" s="31">
        <f>ABS(E12-$F$8)</f>
        <v/>
      </c>
      <c r="Q12" s="14">
        <f>IF(K12&gt;=MAX(L12,M12), "Hemat", IF(L12&gt;=M12, "Balanced", "Premium"))</f>
        <v/>
      </c>
      <c r="R12" s="30" t="n">
        <v>0.1179498873799956</v>
      </c>
      <c r="S12" s="30" t="n">
        <v>0.5771386298391314</v>
      </c>
      <c r="T12" s="30" t="n">
        <v>0.304911482780873</v>
      </c>
      <c r="U12" s="31">
        <f>ABS(E12-$G$6)</f>
        <v/>
      </c>
      <c r="V12" s="31">
        <f>ABS(E12-$G$7)</f>
        <v/>
      </c>
      <c r="W12" s="31">
        <f>ABS(E12-$G$8)</f>
        <v/>
      </c>
      <c r="X12" s="14">
        <f>IF(R12&gt;=MAX(S12,T12), "Hemat", IF(S12&gt;=T12, "Balanced", "Premium"))</f>
        <v/>
      </c>
    </row>
    <row r="13">
      <c r="A13" s="14" t="n">
        <v>2</v>
      </c>
      <c r="B13" s="7" t="inlineStr">
        <is>
          <t>Depot Semangkok</t>
        </is>
      </c>
      <c r="C13" s="26" t="n">
        <v>-7.9385565</v>
      </c>
      <c r="D13" s="26" t="n">
        <v>112.6372841</v>
      </c>
      <c r="E13" s="21" t="n">
        <v>25000</v>
      </c>
      <c r="F13" s="27" t="n">
        <v>4.3</v>
      </c>
      <c r="G13" s="28" t="n">
        <v>478</v>
      </c>
      <c r="H13" s="14" t="inlineStr">
        <is>
          <t>Wisata Umum</t>
        </is>
      </c>
      <c r="I13" s="29">
        <f>6371 * 2 * ASIN(SQRT(SIN(RADIANS((C13) - INDEX('Dataset_Wisata'!$C$12:$C$622, MATCH('Dashboard'!$C$9, 'Dataset_Wisata'!$A$12:$A$622, 0)))/2)^2 + COS(RADIANS(INDEX('Dataset_Wisata'!$C$12:$C$622, MATCH('Dashboard'!$C$9, 'Dataset_Wisata'!$A$12:$A$622, 0)))) * COS(RADIANS(C13)) * SIN(RADIANS((D13) - INDEX('Dataset_Wisata'!$D$12:$D$622, MATCH('Dashboard'!$C$9, 'Dataset_Wisata'!$A$12:$A$622, 0)))/2)^2)) * 1.3</f>
        <v/>
      </c>
      <c r="J13" s="21">
        <f>ROUND(I13 * IF('Dashboard'!$C$6&lt;=1, 2250, IF('Dashboard'!$C$6&lt;=4, 5150, 6000)), 0)</f>
        <v/>
      </c>
      <c r="K13" s="30" t="n">
        <v>0.0009460509590550509</v>
      </c>
      <c r="L13" s="30" t="n">
        <v>0.9988291129147837</v>
      </c>
      <c r="M13" s="30" t="n">
        <v>0.0002248361261612175</v>
      </c>
      <c r="N13" s="31">
        <f>ABS(E13-$F$6)</f>
        <v/>
      </c>
      <c r="O13" s="31">
        <f>ABS(E13-$F$7)</f>
        <v/>
      </c>
      <c r="P13" s="31">
        <f>ABS(E13-$F$8)</f>
        <v/>
      </c>
      <c r="Q13" s="14">
        <f>IF(K13&gt;=MAX(L13,M13), "Hemat", IF(L13&gt;=M13, "Balanced", "Premium"))</f>
        <v/>
      </c>
      <c r="R13" s="30" t="n">
        <v>0.0009460368639408893</v>
      </c>
      <c r="S13" s="30" t="n">
        <v>0.998829130253259</v>
      </c>
      <c r="T13" s="30" t="n">
        <v>0.0002248328828000856</v>
      </c>
      <c r="U13" s="31">
        <f>ABS(E13-$G$6)</f>
        <v/>
      </c>
      <c r="V13" s="31">
        <f>ABS(E13-$G$7)</f>
        <v/>
      </c>
      <c r="W13" s="31">
        <f>ABS(E13-$G$8)</f>
        <v/>
      </c>
      <c r="X13" s="14">
        <f>IF(R13&gt;=MAX(S13,T13), "Hemat", IF(S13&gt;=T13, "Balanced", "Premium"))</f>
        <v/>
      </c>
    </row>
    <row r="14">
      <c r="A14" s="14" t="n">
        <v>3</v>
      </c>
      <c r="B14" s="7" t="inlineStr">
        <is>
          <t>Rumah Makan Hok Lay</t>
        </is>
      </c>
      <c r="C14" s="26" t="n">
        <v>-7.9845499</v>
      </c>
      <c r="D14" s="26" t="n">
        <v>112.6342841</v>
      </c>
      <c r="E14" s="21" t="n">
        <v>43750</v>
      </c>
      <c r="F14" s="27" t="n">
        <v>4.4</v>
      </c>
      <c r="G14" s="28" t="n">
        <v>4519</v>
      </c>
      <c r="H14" s="14" t="inlineStr">
        <is>
          <t>Wisata Umum</t>
        </is>
      </c>
      <c r="I14" s="29">
        <f>6371 * 2 * ASIN(SQRT(SIN(RADIANS((C14) - INDEX('Dataset_Wisata'!$C$12:$C$622, MATCH('Dashboard'!$C$9, 'Dataset_Wisata'!$A$12:$A$622, 0)))/2)^2 + COS(RADIANS(INDEX('Dataset_Wisata'!$C$12:$C$622, MATCH('Dashboard'!$C$9, 'Dataset_Wisata'!$A$12:$A$622, 0)))) * COS(RADIANS(C14)) * SIN(RADIANS((D14) - INDEX('Dataset_Wisata'!$D$12:$D$622, MATCH('Dashboard'!$C$9, 'Dataset_Wisata'!$A$12:$A$622, 0)))/2)^2)) * 1.3</f>
        <v/>
      </c>
      <c r="J14" s="21">
        <f>ROUND(I14 * IF('Dashboard'!$C$6&lt;=1, 2250, IF('Dashboard'!$C$6&lt;=4, 5150, 6000)), 0)</f>
        <v/>
      </c>
      <c r="K14" s="30" t="n">
        <v>0.02820576440217609</v>
      </c>
      <c r="L14" s="30" t="n">
        <v>0.07778359981310978</v>
      </c>
      <c r="M14" s="30" t="n">
        <v>0.8940106357847141</v>
      </c>
      <c r="N14" s="31">
        <f>ABS(E14-$F$6)</f>
        <v/>
      </c>
      <c r="O14" s="31">
        <f>ABS(E14-$F$7)</f>
        <v/>
      </c>
      <c r="P14" s="31">
        <f>ABS(E14-$F$8)</f>
        <v/>
      </c>
      <c r="Q14" s="14">
        <f>IF(K14&gt;=MAX(L14,M14), "Hemat", IF(L14&gt;=M14, "Balanced", "Premium"))</f>
        <v/>
      </c>
      <c r="R14" s="30" t="n">
        <v>0.02820572299908899</v>
      </c>
      <c r="S14" s="30" t="n">
        <v>0.077783466210934</v>
      </c>
      <c r="T14" s="30" t="n">
        <v>0.894010810789977</v>
      </c>
      <c r="U14" s="31">
        <f>ABS(E14-$G$6)</f>
        <v/>
      </c>
      <c r="V14" s="31">
        <f>ABS(E14-$G$7)</f>
        <v/>
      </c>
      <c r="W14" s="31">
        <f>ABS(E14-$G$8)</f>
        <v/>
      </c>
      <c r="X14" s="14">
        <f>IF(R14&gt;=MAX(S14,T14), "Hemat", IF(S14&gt;=T14, "Balanced", "Premium"))</f>
        <v/>
      </c>
    </row>
    <row r="15">
      <c r="A15" s="14" t="n">
        <v>4</v>
      </c>
      <c r="B15" s="7" t="inlineStr">
        <is>
          <t>Depot Gang Djangkrik</t>
        </is>
      </c>
      <c r="C15" s="26" t="n">
        <v>-7.9568232</v>
      </c>
      <c r="D15" s="26" t="n">
        <v>112.6384586</v>
      </c>
      <c r="E15" s="21" t="n">
        <v>65714</v>
      </c>
      <c r="F15" s="27" t="n">
        <v>4.5</v>
      </c>
      <c r="G15" s="28" t="n">
        <v>4159</v>
      </c>
      <c r="H15" s="14" t="inlineStr">
        <is>
          <t>Wisata Umum</t>
        </is>
      </c>
      <c r="I15" s="29">
        <f>6371 * 2 * ASIN(SQRT(SIN(RADIANS((C15) - INDEX('Dataset_Wisata'!$C$12:$C$622, MATCH('Dashboard'!$C$9, 'Dataset_Wisata'!$A$12:$A$622, 0)))/2)^2 + COS(RADIANS(INDEX('Dataset_Wisata'!$C$12:$C$622, MATCH('Dashboard'!$C$9, 'Dataset_Wisata'!$A$12:$A$622, 0)))) * COS(RADIANS(C15)) * SIN(RADIANS((D15) - INDEX('Dataset_Wisata'!$D$12:$D$622, MATCH('Dashboard'!$C$9, 'Dataset_Wisata'!$A$12:$A$622, 0)))/2)^2)) * 1.3</f>
        <v/>
      </c>
      <c r="J15" s="21">
        <f>ROUND(I15 * IF('Dashboard'!$C$6&lt;=1, 2250, IF('Dashboard'!$C$6&lt;=4, 5150, 6000)), 0)</f>
        <v/>
      </c>
      <c r="K15" s="30" t="n">
        <v>0.07832802775025982</v>
      </c>
      <c r="L15" s="30" t="n">
        <v>0.1325862856351366</v>
      </c>
      <c r="M15" s="30" t="n">
        <v>0.7890856866146035</v>
      </c>
      <c r="N15" s="31">
        <f>ABS(E15-$F$6)</f>
        <v/>
      </c>
      <c r="O15" s="31">
        <f>ABS(E15-$F$7)</f>
        <v/>
      </c>
      <c r="P15" s="31">
        <f>ABS(E15-$F$8)</f>
        <v/>
      </c>
      <c r="Q15" s="14">
        <f>IF(K15&gt;=MAX(L15,M15), "Hemat", IF(L15&gt;=M15, "Balanced", "Premium"))</f>
        <v/>
      </c>
      <c r="R15" s="30" t="n">
        <v>0.0783280602136299</v>
      </c>
      <c r="S15" s="30" t="n">
        <v>0.1325863262057252</v>
      </c>
      <c r="T15" s="30" t="n">
        <v>0.7890856135806449</v>
      </c>
      <c r="U15" s="31">
        <f>ABS(E15-$G$6)</f>
        <v/>
      </c>
      <c r="V15" s="31">
        <f>ABS(E15-$G$7)</f>
        <v/>
      </c>
      <c r="W15" s="31">
        <f>ABS(E15-$G$8)</f>
        <v/>
      </c>
      <c r="X15" s="14">
        <f>IF(R15&gt;=MAX(S15,T15), "Hemat", IF(S15&gt;=T15, "Balanced", "Premium"))</f>
        <v/>
      </c>
    </row>
    <row r="16">
      <c r="A16" s="14" t="n">
        <v>5</v>
      </c>
      <c r="B16" s="7" t="inlineStr">
        <is>
          <t>Melati Restaurant</t>
        </is>
      </c>
      <c r="C16" s="26" t="n">
        <v>-7.9770541</v>
      </c>
      <c r="D16" s="26" t="n">
        <v>112.6328693</v>
      </c>
      <c r="E16" s="21" t="n">
        <v>36000</v>
      </c>
      <c r="F16" s="27" t="n">
        <v>4.7</v>
      </c>
      <c r="G16" s="28" t="n">
        <v>1255</v>
      </c>
      <c r="H16" s="14" t="inlineStr">
        <is>
          <t>Wisata Umum</t>
        </is>
      </c>
      <c r="I16" s="29">
        <f>6371 * 2 * ASIN(SQRT(SIN(RADIANS((C16) - INDEX('Dataset_Wisata'!$C$12:$C$622, MATCH('Dashboard'!$C$9, 'Dataset_Wisata'!$A$12:$A$622, 0)))/2)^2 + COS(RADIANS(INDEX('Dataset_Wisata'!$C$12:$C$622, MATCH('Dashboard'!$C$9, 'Dataset_Wisata'!$A$12:$A$622, 0)))) * COS(RADIANS(C16)) * SIN(RADIANS((D16) - INDEX('Dataset_Wisata'!$D$12:$D$622, MATCH('Dashboard'!$C$9, 'Dataset_Wisata'!$A$12:$A$622, 0)))/2)^2)) * 1.3</f>
        <v/>
      </c>
      <c r="J16" s="21">
        <f>ROUND(I16 * IF('Dashboard'!$C$6&lt;=1, 2250, IF('Dashboard'!$C$6&lt;=4, 5150, 6000)), 0)</f>
        <v/>
      </c>
      <c r="K16" s="30" t="n">
        <v>0.1165585081374635</v>
      </c>
      <c r="L16" s="30" t="n">
        <v>0.5347685694452513</v>
      </c>
      <c r="M16" s="30" t="n">
        <v>0.3486729224172853</v>
      </c>
      <c r="N16" s="31">
        <f>ABS(E16-$F$6)</f>
        <v/>
      </c>
      <c r="O16" s="31">
        <f>ABS(E16-$F$7)</f>
        <v/>
      </c>
      <c r="P16" s="31">
        <f>ABS(E16-$F$8)</f>
        <v/>
      </c>
      <c r="Q16" s="14">
        <f>IF(K16&gt;=MAX(L16,M16), "Hemat", IF(L16&gt;=M16, "Balanced", "Premium"))</f>
        <v/>
      </c>
      <c r="R16" s="30" t="n">
        <v>0.1165585066348486</v>
      </c>
      <c r="S16" s="30" t="n">
        <v>0.5347683229205527</v>
      </c>
      <c r="T16" s="30" t="n">
        <v>0.3486731704445987</v>
      </c>
      <c r="U16" s="31">
        <f>ABS(E16-$G$6)</f>
        <v/>
      </c>
      <c r="V16" s="31">
        <f>ABS(E16-$G$7)</f>
        <v/>
      </c>
      <c r="W16" s="31">
        <f>ABS(E16-$G$8)</f>
        <v/>
      </c>
      <c r="X16" s="14">
        <f>IF(R16&gt;=MAX(S16,T16), "Hemat", IF(S16&gt;=T16, "Balanced", "Premium"))</f>
        <v/>
      </c>
    </row>
    <row r="17">
      <c r="A17" s="14" t="n">
        <v>6</v>
      </c>
      <c r="B17" s="7" t="inlineStr">
        <is>
          <t>Depot Santai</t>
        </is>
      </c>
      <c r="C17" s="26" t="n">
        <v>-7.9667822</v>
      </c>
      <c r="D17" s="26" t="n">
        <v>112.6289912</v>
      </c>
      <c r="E17" s="21" t="n">
        <v>50000</v>
      </c>
      <c r="F17" s="27" t="n">
        <v>4.4</v>
      </c>
      <c r="G17" s="28" t="n">
        <v>610</v>
      </c>
      <c r="H17" s="14" t="inlineStr">
        <is>
          <t>Wisata Umum</t>
        </is>
      </c>
      <c r="I17" s="29">
        <f>6371 * 2 * ASIN(SQRT(SIN(RADIANS((C17) - INDEX('Dataset_Wisata'!$C$12:$C$622, MATCH('Dashboard'!$C$9, 'Dataset_Wisata'!$A$12:$A$622, 0)))/2)^2 + COS(RADIANS(INDEX('Dataset_Wisata'!$C$12:$C$622, MATCH('Dashboard'!$C$9, 'Dataset_Wisata'!$A$12:$A$622, 0)))) * COS(RADIANS(C17)) * SIN(RADIANS((D17) - INDEX('Dataset_Wisata'!$D$12:$D$622, MATCH('Dashboard'!$C$9, 'Dataset_Wisata'!$A$12:$A$622, 0)))/2)^2)) * 1.3</f>
        <v/>
      </c>
      <c r="J17" s="21">
        <f>ROUND(I17 * IF('Dashboard'!$C$6&lt;=1, 2250, IF('Dashboard'!$C$6&lt;=4, 5150, 6000)), 0)</f>
        <v/>
      </c>
      <c r="K17" s="30" t="n">
        <v>0.0005038433926922162</v>
      </c>
      <c r="L17" s="30" t="n">
        <v>0.001123163088172388</v>
      </c>
      <c r="M17" s="30" t="n">
        <v>0.9983729935191353</v>
      </c>
      <c r="N17" s="31">
        <f>ABS(E17-$F$6)</f>
        <v/>
      </c>
      <c r="O17" s="31">
        <f>ABS(E17-$F$7)</f>
        <v/>
      </c>
      <c r="P17" s="31">
        <f>ABS(E17-$F$8)</f>
        <v/>
      </c>
      <c r="Q17" s="14">
        <f>IF(K17&gt;=MAX(L17,M17), "Hemat", IF(L17&gt;=M17, "Balanced", "Premium"))</f>
        <v/>
      </c>
      <c r="R17" s="30" t="n">
        <v>0.0005038487278861332</v>
      </c>
      <c r="S17" s="30" t="n">
        <v>0.001123174775994635</v>
      </c>
      <c r="T17" s="30" t="n">
        <v>0.9983729764961192</v>
      </c>
      <c r="U17" s="31">
        <f>ABS(E17-$G$6)</f>
        <v/>
      </c>
      <c r="V17" s="31">
        <f>ABS(E17-$G$7)</f>
        <v/>
      </c>
      <c r="W17" s="31">
        <f>ABS(E17-$G$8)</f>
        <v/>
      </c>
      <c r="X17" s="14">
        <f>IF(R17&gt;=MAX(S17,T17), "Hemat", IF(S17&gt;=T17, "Balanced", "Premium"))</f>
        <v/>
      </c>
    </row>
    <row r="18">
      <c r="A18" s="14" t="n">
        <v>7</v>
      </c>
      <c r="B18" s="7" t="inlineStr">
        <is>
          <t>Depot Asem Djawa</t>
        </is>
      </c>
      <c r="C18" s="26" t="n">
        <v>-7.9373203</v>
      </c>
      <c r="D18" s="26" t="n">
        <v>112.5795874</v>
      </c>
      <c r="E18" s="21" t="n">
        <v>25000</v>
      </c>
      <c r="F18" s="27" t="n">
        <v>4.8</v>
      </c>
      <c r="G18" s="28" t="n">
        <v>57</v>
      </c>
      <c r="H18" s="14" t="inlineStr">
        <is>
          <t>Wisata Umum</t>
        </is>
      </c>
      <c r="I18" s="29">
        <f>6371 * 2 * ASIN(SQRT(SIN(RADIANS((C18) - INDEX('Dataset_Wisata'!$C$12:$C$622, MATCH('Dashboard'!$C$9, 'Dataset_Wisata'!$A$12:$A$622, 0)))/2)^2 + COS(RADIANS(INDEX('Dataset_Wisata'!$C$12:$C$622, MATCH('Dashboard'!$C$9, 'Dataset_Wisata'!$A$12:$A$622, 0)))) * COS(RADIANS(C18)) * SIN(RADIANS((D18) - INDEX('Dataset_Wisata'!$D$12:$D$622, MATCH('Dashboard'!$C$9, 'Dataset_Wisata'!$A$12:$A$622, 0)))/2)^2)) * 1.3</f>
        <v/>
      </c>
      <c r="J18" s="21">
        <f>ROUND(I18 * IF('Dashboard'!$C$6&lt;=1, 2250, IF('Dashboard'!$C$6&lt;=4, 5150, 6000)), 0)</f>
        <v/>
      </c>
      <c r="K18" s="30" t="n">
        <v>0.0009460509590550509</v>
      </c>
      <c r="L18" s="30" t="n">
        <v>0.9988291129147837</v>
      </c>
      <c r="M18" s="30" t="n">
        <v>0.0002248361261612175</v>
      </c>
      <c r="N18" s="31">
        <f>ABS(E18-$F$6)</f>
        <v/>
      </c>
      <c r="O18" s="31">
        <f>ABS(E18-$F$7)</f>
        <v/>
      </c>
      <c r="P18" s="31">
        <f>ABS(E18-$F$8)</f>
        <v/>
      </c>
      <c r="Q18" s="14">
        <f>IF(K18&gt;=MAX(L18,M18), "Hemat", IF(L18&gt;=M18, "Balanced", "Premium"))</f>
        <v/>
      </c>
      <c r="R18" s="30" t="n">
        <v>0.0009460368639408893</v>
      </c>
      <c r="S18" s="30" t="n">
        <v>0.998829130253259</v>
      </c>
      <c r="T18" s="30" t="n">
        <v>0.0002248328828000856</v>
      </c>
      <c r="U18" s="31">
        <f>ABS(E18-$G$6)</f>
        <v/>
      </c>
      <c r="V18" s="31">
        <f>ABS(E18-$G$7)</f>
        <v/>
      </c>
      <c r="W18" s="31">
        <f>ABS(E18-$G$8)</f>
        <v/>
      </c>
      <c r="X18" s="14">
        <f>IF(R18&gt;=MAX(S18,T18), "Hemat", IF(S18&gt;=T18, "Balanced", "Premium"))</f>
        <v/>
      </c>
    </row>
    <row r="19">
      <c r="A19" s="14" t="n">
        <v>8</v>
      </c>
      <c r="B19" s="7" t="inlineStr">
        <is>
          <t>Depot Dua Satu</t>
        </is>
      </c>
      <c r="C19" s="26" t="n">
        <v>-7.9675082</v>
      </c>
      <c r="D19" s="26" t="n">
        <v>112.628995</v>
      </c>
      <c r="E19" s="21" t="n">
        <v>46000</v>
      </c>
      <c r="F19" s="27" t="n">
        <v>4.5</v>
      </c>
      <c r="G19" s="28" t="n">
        <v>703</v>
      </c>
      <c r="H19" s="14" t="inlineStr">
        <is>
          <t>Wisata Umum</t>
        </is>
      </c>
      <c r="I19" s="29">
        <f>6371 * 2 * ASIN(SQRT(SIN(RADIANS((C19) - INDEX('Dataset_Wisata'!$C$12:$C$622, MATCH('Dashboard'!$C$9, 'Dataset_Wisata'!$A$12:$A$622, 0)))/2)^2 + COS(RADIANS(INDEX('Dataset_Wisata'!$C$12:$C$622, MATCH('Dashboard'!$C$9, 'Dataset_Wisata'!$A$12:$A$622, 0)))) * COS(RADIANS(C19)) * SIN(RADIANS((D19) - INDEX('Dataset_Wisata'!$D$12:$D$622, MATCH('Dashboard'!$C$9, 'Dataset_Wisata'!$A$12:$A$622, 0)))/2)^2)) * 1.3</f>
        <v/>
      </c>
      <c r="J19" s="21">
        <f>ROUND(I19 * IF('Dashboard'!$C$6&lt;=1, 2250, IF('Dashboard'!$C$6&lt;=4, 5150, 6000)), 0)</f>
        <v/>
      </c>
      <c r="K19" s="30" t="n">
        <v>0.009071211782422544</v>
      </c>
      <c r="L19" s="30" t="n">
        <v>0.02289290286490446</v>
      </c>
      <c r="M19" s="30" t="n">
        <v>0.9680358853526729</v>
      </c>
      <c r="N19" s="31">
        <f>ABS(E19-$F$6)</f>
        <v/>
      </c>
      <c r="O19" s="31">
        <f>ABS(E19-$F$7)</f>
        <v/>
      </c>
      <c r="P19" s="31">
        <f>ABS(E19-$F$8)</f>
        <v/>
      </c>
      <c r="Q19" s="14">
        <f>IF(K19&gt;=MAX(L19,M19), "Hemat", IF(L19&gt;=M19, "Balanced", "Premium"))</f>
        <v/>
      </c>
      <c r="R19" s="30" t="n">
        <v>0.009071187151241755</v>
      </c>
      <c r="S19" s="30" t="n">
        <v>0.02289283564914445</v>
      </c>
      <c r="T19" s="30" t="n">
        <v>0.9680359771996138</v>
      </c>
      <c r="U19" s="31">
        <f>ABS(E19-$G$6)</f>
        <v/>
      </c>
      <c r="V19" s="31">
        <f>ABS(E19-$G$7)</f>
        <v/>
      </c>
      <c r="W19" s="31">
        <f>ABS(E19-$G$8)</f>
        <v/>
      </c>
      <c r="X19" s="14">
        <f>IF(R19&gt;=MAX(S19,T19), "Hemat", IF(S19&gt;=T19, "Balanced", "Premium"))</f>
        <v/>
      </c>
    </row>
    <row r="20">
      <c r="A20" s="14" t="n">
        <v>9</v>
      </c>
      <c r="B20" s="7" t="inlineStr">
        <is>
          <t>Warung Wareg</t>
        </is>
      </c>
      <c r="C20" s="26" t="n">
        <v>-7.9111853</v>
      </c>
      <c r="D20" s="26" t="n">
        <v>112.6221773</v>
      </c>
      <c r="E20" s="21" t="n">
        <v>40084</v>
      </c>
      <c r="F20" s="27" t="n">
        <v>4.4</v>
      </c>
      <c r="G20" s="28" t="n">
        <v>6404</v>
      </c>
      <c r="H20" s="14" t="inlineStr">
        <is>
          <t>Warung Wareg</t>
        </is>
      </c>
      <c r="I20" s="29">
        <f>6371 * 2 * ASIN(SQRT(SIN(RADIANS((C20) - INDEX('Dataset_Wisata'!$C$12:$C$622, MATCH('Dashboard'!$C$9, 'Dataset_Wisata'!$A$12:$A$622, 0)))/2)^2 + COS(RADIANS(INDEX('Dataset_Wisata'!$C$12:$C$622, MATCH('Dashboard'!$C$9, 'Dataset_Wisata'!$A$12:$A$622, 0)))) * COS(RADIANS(C20)) * SIN(RADIANS((D20) - INDEX('Dataset_Wisata'!$D$12:$D$622, MATCH('Dashboard'!$C$9, 'Dataset_Wisata'!$A$12:$A$622, 0)))/2)^2)) * 1.3</f>
        <v/>
      </c>
      <c r="J20" s="21">
        <f>ROUND(I20 * IF('Dashboard'!$C$6&lt;=1, 2250, IF('Dashboard'!$C$6&lt;=4, 5150, 6000)), 0)</f>
        <v/>
      </c>
      <c r="K20" s="30" t="n">
        <v>0.07651734508127779</v>
      </c>
      <c r="L20" s="30" t="n">
        <v>0.2548938758263566</v>
      </c>
      <c r="M20" s="30" t="n">
        <v>0.6685887790923656</v>
      </c>
      <c r="N20" s="31">
        <f>ABS(E20-$F$6)</f>
        <v/>
      </c>
      <c r="O20" s="31">
        <f>ABS(E20-$F$7)</f>
        <v/>
      </c>
      <c r="P20" s="31">
        <f>ABS(E20-$F$8)</f>
        <v/>
      </c>
      <c r="Q20" s="14">
        <f>IF(K20&gt;=MAX(L20,M20), "Hemat", IF(L20&gt;=M20, "Balanced", "Premium"))</f>
        <v/>
      </c>
      <c r="R20" s="30" t="n">
        <v>0.07651729930479644</v>
      </c>
      <c r="S20" s="30" t="n">
        <v>0.2548936426182399</v>
      </c>
      <c r="T20" s="30" t="n">
        <v>0.6685890580769636</v>
      </c>
      <c r="U20" s="31">
        <f>ABS(E20-$G$6)</f>
        <v/>
      </c>
      <c r="V20" s="31">
        <f>ABS(E20-$G$7)</f>
        <v/>
      </c>
      <c r="W20" s="31">
        <f>ABS(E20-$G$8)</f>
        <v/>
      </c>
      <c r="X20" s="14">
        <f>IF(R20&gt;=MAX(S20,T20), "Hemat", IF(S20&gt;=T20, "Balanced", "Premium"))</f>
        <v/>
      </c>
    </row>
    <row r="21">
      <c r="A21" s="14" t="n">
        <v>10</v>
      </c>
      <c r="B21" s="7" t="inlineStr">
        <is>
          <t>Rawon Nguling</t>
        </is>
      </c>
      <c r="C21" s="26" t="n">
        <v>-7.983913</v>
      </c>
      <c r="D21" s="26" t="n">
        <v>112.6339805</v>
      </c>
      <c r="E21" s="21" t="n">
        <v>34400</v>
      </c>
      <c r="F21" s="27" t="n">
        <v>4.5</v>
      </c>
      <c r="G21" s="28" t="n">
        <v>8062</v>
      </c>
      <c r="H21" s="14" t="inlineStr">
        <is>
          <t>Wisata Umum</t>
        </is>
      </c>
      <c r="I21" s="29">
        <f>6371 * 2 * ASIN(SQRT(SIN(RADIANS((C21) - INDEX('Dataset_Wisata'!$C$12:$C$622, MATCH('Dashboard'!$C$9, 'Dataset_Wisata'!$A$12:$A$622, 0)))/2)^2 + COS(RADIANS(INDEX('Dataset_Wisata'!$C$12:$C$622, MATCH('Dashboard'!$C$9, 'Dataset_Wisata'!$A$12:$A$622, 0)))) * COS(RADIANS(C21)) * SIN(RADIANS((D21) - INDEX('Dataset_Wisata'!$D$12:$D$622, MATCH('Dashboard'!$C$9, 'Dataset_Wisata'!$A$12:$A$622, 0)))/2)^2)) * 1.3</f>
        <v/>
      </c>
      <c r="J21" s="21">
        <f>ROUND(I21 * IF('Dashboard'!$C$6&lt;=1, 2250, IF('Dashboard'!$C$6&lt;=4, 5150, 6000)), 0)</f>
        <v/>
      </c>
      <c r="K21" s="30" t="n">
        <v>0.1169428886929942</v>
      </c>
      <c r="L21" s="30" t="n">
        <v>0.6425972542166195</v>
      </c>
      <c r="M21" s="30" t="n">
        <v>0.2404598570903863</v>
      </c>
      <c r="N21" s="31">
        <f>ABS(E21-$F$6)</f>
        <v/>
      </c>
      <c r="O21" s="31">
        <f>ABS(E21-$F$7)</f>
        <v/>
      </c>
      <c r="P21" s="31">
        <f>ABS(E21-$F$8)</f>
        <v/>
      </c>
      <c r="Q21" s="14">
        <f>IF(K21&gt;=MAX(L21,M21), "Hemat", IF(L21&gt;=M21, "Balanced", "Premium"))</f>
        <v/>
      </c>
      <c r="R21" s="30" t="n">
        <v>0.1169429103078114</v>
      </c>
      <c r="S21" s="30" t="n">
        <v>0.6425970303595069</v>
      </c>
      <c r="T21" s="30" t="n">
        <v>0.2404600593326817</v>
      </c>
      <c r="U21" s="31">
        <f>ABS(E21-$G$6)</f>
        <v/>
      </c>
      <c r="V21" s="31">
        <f>ABS(E21-$G$7)</f>
        <v/>
      </c>
      <c r="W21" s="31">
        <f>ABS(E21-$G$8)</f>
        <v/>
      </c>
      <c r="X21" s="14">
        <f>IF(R21&gt;=MAX(S21,T21), "Hemat", IF(S21&gt;=T21, "Balanced", "Premium"))</f>
        <v/>
      </c>
    </row>
    <row r="22">
      <c r="A22" s="14" t="n">
        <v>11</v>
      </c>
      <c r="B22" s="7" t="inlineStr">
        <is>
          <t>Warung Bu Kus</t>
        </is>
      </c>
      <c r="C22" s="26" t="n">
        <v>-7.7953348</v>
      </c>
      <c r="D22" s="26" t="n">
        <v>112.3492021</v>
      </c>
      <c r="E22" s="21" t="n">
        <v>15000</v>
      </c>
      <c r="F22" s="27" t="n">
        <v>4.4</v>
      </c>
      <c r="G22" s="28" t="n">
        <v>52</v>
      </c>
      <c r="H22" s="14" t="inlineStr">
        <is>
          <t>Warung Bu Kus</t>
        </is>
      </c>
      <c r="I22" s="29">
        <f>6371 * 2 * ASIN(SQRT(SIN(RADIANS((C22) - INDEX('Dataset_Wisata'!$C$12:$C$622, MATCH('Dashboard'!$C$9, 'Dataset_Wisata'!$A$12:$A$622, 0)))/2)^2 + COS(RADIANS(INDEX('Dataset_Wisata'!$C$12:$C$622, MATCH('Dashboard'!$C$9, 'Dataset_Wisata'!$A$12:$A$622, 0)))) * COS(RADIANS(C22)) * SIN(RADIANS((D22) - INDEX('Dataset_Wisata'!$D$12:$D$622, MATCH('Dashboard'!$C$9, 'Dataset_Wisata'!$A$12:$A$622, 0)))/2)^2)) * 1.3</f>
        <v/>
      </c>
      <c r="J22" s="21">
        <f>ROUND(I22 * IF('Dashboard'!$C$6&lt;=1, 2250, IF('Dashboard'!$C$6&lt;=4, 5150, 6000)), 0)</f>
        <v/>
      </c>
      <c r="K22" s="30" t="n">
        <v>0.9686283169848018</v>
      </c>
      <c r="L22" s="30" t="n">
        <v>0.02872990537067274</v>
      </c>
      <c r="M22" s="30" t="n">
        <v>0.002641777644525457</v>
      </c>
      <c r="N22" s="31">
        <f>ABS(E22-$F$6)</f>
        <v/>
      </c>
      <c r="O22" s="31">
        <f>ABS(E22-$F$7)</f>
        <v/>
      </c>
      <c r="P22" s="31">
        <f>ABS(E22-$F$8)</f>
        <v/>
      </c>
      <c r="Q22" s="14">
        <f>IF(K22&gt;=MAX(L22,M22), "Hemat", IF(L22&gt;=M22, "Balanced", "Premium"))</f>
        <v/>
      </c>
      <c r="R22" s="30" t="n">
        <v>0.9686282798936615</v>
      </c>
      <c r="S22" s="30" t="n">
        <v>0.02872993996961344</v>
      </c>
      <c r="T22" s="30" t="n">
        <v>0.002641780136725144</v>
      </c>
      <c r="U22" s="31">
        <f>ABS(E22-$G$6)</f>
        <v/>
      </c>
      <c r="V22" s="31">
        <f>ABS(E22-$G$7)</f>
        <v/>
      </c>
      <c r="W22" s="31">
        <f>ABS(E22-$G$8)</f>
        <v/>
      </c>
      <c r="X22" s="14">
        <f>IF(R22&gt;=MAX(S22,T22), "Hemat", IF(S22&gt;=T22, "Balanced", "Premium"))</f>
        <v/>
      </c>
    </row>
    <row r="23">
      <c r="A23" s="14" t="n">
        <v>12</v>
      </c>
      <c r="B23" s="7" t="inlineStr">
        <is>
          <t>Warung Bu Kati</t>
        </is>
      </c>
      <c r="C23" s="26" t="n">
        <v>-7.7952242</v>
      </c>
      <c r="D23" s="26" t="n">
        <v>112.3133244</v>
      </c>
      <c r="E23" s="21" t="n">
        <v>17000</v>
      </c>
      <c r="F23" s="27" t="n">
        <v>4.5</v>
      </c>
      <c r="G23" s="28" t="n">
        <v>30</v>
      </c>
      <c r="H23" s="14" t="inlineStr">
        <is>
          <t>Warung Bu Kati</t>
        </is>
      </c>
      <c r="I23" s="29">
        <f>6371 * 2 * ASIN(SQRT(SIN(RADIANS((C23) - INDEX('Dataset_Wisata'!$C$12:$C$622, MATCH('Dashboard'!$C$9, 'Dataset_Wisata'!$A$12:$A$622, 0)))/2)^2 + COS(RADIANS(INDEX('Dataset_Wisata'!$C$12:$C$622, MATCH('Dashboard'!$C$9, 'Dataset_Wisata'!$A$12:$A$622, 0)))) * COS(RADIANS(C23)) * SIN(RADIANS((D23) - INDEX('Dataset_Wisata'!$D$12:$D$622, MATCH('Dashboard'!$C$9, 'Dataset_Wisata'!$A$12:$A$622, 0)))/2)^2)) * 1.3</f>
        <v/>
      </c>
      <c r="J23" s="21">
        <f>ROUND(I23 * IF('Dashboard'!$C$6&lt;=1, 2250, IF('Dashboard'!$C$6&lt;=4, 5150, 6000)), 0)</f>
        <v/>
      </c>
      <c r="K23" s="30" t="n">
        <v>0.8205766965551228</v>
      </c>
      <c r="L23" s="30" t="n">
        <v>0.1680685555538888</v>
      </c>
      <c r="M23" s="30" t="n">
        <v>0.01135474789098826</v>
      </c>
      <c r="N23" s="31">
        <f>ABS(E23-$F$6)</f>
        <v/>
      </c>
      <c r="O23" s="31">
        <f>ABS(E23-$F$7)</f>
        <v/>
      </c>
      <c r="P23" s="31">
        <f>ABS(E23-$F$8)</f>
        <v/>
      </c>
      <c r="Q23" s="14">
        <f>IF(K23&gt;=MAX(L23,M23), "Hemat", IF(L23&gt;=M23, "Balanced", "Premium"))</f>
        <v/>
      </c>
      <c r="R23" s="30" t="n">
        <v>0.8205765551569555</v>
      </c>
      <c r="S23" s="30" t="n">
        <v>0.1680686919268015</v>
      </c>
      <c r="T23" s="30" t="n">
        <v>0.01135475291624307</v>
      </c>
      <c r="U23" s="31">
        <f>ABS(E23-$G$6)</f>
        <v/>
      </c>
      <c r="V23" s="31">
        <f>ABS(E23-$G$7)</f>
        <v/>
      </c>
      <c r="W23" s="31">
        <f>ABS(E23-$G$8)</f>
        <v/>
      </c>
      <c r="X23" s="14">
        <f>IF(R23&gt;=MAX(S23,T23), "Hemat", IF(S23&gt;=T23, "Balanced", "Premium"))</f>
        <v/>
      </c>
    </row>
    <row r="24">
      <c r="A24" s="14" t="n">
        <v>13</v>
      </c>
      <c r="B24" s="7" t="inlineStr">
        <is>
          <t>Nasi Pecel Tumpang</t>
        </is>
      </c>
      <c r="C24" s="26" t="n">
        <v>-7.8015831</v>
      </c>
      <c r="D24" s="26" t="n">
        <v>112.3519752</v>
      </c>
      <c r="E24" s="21" t="n">
        <v>17500</v>
      </c>
      <c r="F24" s="27" t="n">
        <v>4.3</v>
      </c>
      <c r="G24" s="28" t="n">
        <v>166</v>
      </c>
      <c r="H24" s="14" t="inlineStr">
        <is>
          <t>Wisata Umum</t>
        </is>
      </c>
      <c r="I24" s="29">
        <f>6371 * 2 * ASIN(SQRT(SIN(RADIANS((C24) - INDEX('Dataset_Wisata'!$C$12:$C$622, MATCH('Dashboard'!$C$9, 'Dataset_Wisata'!$A$12:$A$622, 0)))/2)^2 + COS(RADIANS(INDEX('Dataset_Wisata'!$C$12:$C$622, MATCH('Dashboard'!$C$9, 'Dataset_Wisata'!$A$12:$A$622, 0)))) * COS(RADIANS(C24)) * SIN(RADIANS((D24) - INDEX('Dataset_Wisata'!$D$12:$D$622, MATCH('Dashboard'!$C$9, 'Dataset_Wisata'!$A$12:$A$622, 0)))/2)^2)) * 1.3</f>
        <v/>
      </c>
      <c r="J24" s="21">
        <f>ROUND(I24 * IF('Dashboard'!$C$6&lt;=1, 2250, IF('Dashboard'!$C$6&lt;=4, 5150, 6000)), 0)</f>
        <v/>
      </c>
      <c r="K24" s="30" t="n">
        <v>0.7603071924879298</v>
      </c>
      <c r="L24" s="30" t="n">
        <v>0.2257795038870261</v>
      </c>
      <c r="M24" s="30" t="n">
        <v>0.0139133036250441</v>
      </c>
      <c r="N24" s="31">
        <f>ABS(E24-$F$6)</f>
        <v/>
      </c>
      <c r="O24" s="31">
        <f>ABS(E24-$F$7)</f>
        <v/>
      </c>
      <c r="P24" s="31">
        <f>ABS(E24-$F$8)</f>
        <v/>
      </c>
      <c r="Q24" s="14">
        <f>IF(K24&gt;=MAX(L24,M24), "Hemat", IF(L24&gt;=M24, "Balanced", "Premium"))</f>
        <v/>
      </c>
      <c r="R24" s="30" t="n">
        <v>0.7603070173234607</v>
      </c>
      <c r="S24" s="30" t="n">
        <v>0.2257796741964144</v>
      </c>
      <c r="T24" s="30" t="n">
        <v>0.01391330848012476</v>
      </c>
      <c r="U24" s="31">
        <f>ABS(E24-$G$6)</f>
        <v/>
      </c>
      <c r="V24" s="31">
        <f>ABS(E24-$G$7)</f>
        <v/>
      </c>
      <c r="W24" s="31">
        <f>ABS(E24-$G$8)</f>
        <v/>
      </c>
      <c r="X24" s="14">
        <f>IF(R24&gt;=MAX(S24,T24), "Hemat", IF(S24&gt;=T24, "Balanced", "Premium"))</f>
        <v/>
      </c>
    </row>
    <row r="25">
      <c r="A25" s="14" t="n">
        <v>14</v>
      </c>
      <c r="B25" s="7" t="inlineStr">
        <is>
          <t>Depot Kayutangan</t>
        </is>
      </c>
      <c r="C25" s="26" t="n">
        <v>-7.9763697</v>
      </c>
      <c r="D25" s="26" t="n">
        <v>112.630331</v>
      </c>
      <c r="E25" s="21" t="n">
        <v>25500</v>
      </c>
      <c r="F25" s="27" t="n">
        <v>4.7</v>
      </c>
      <c r="G25" s="28" t="n">
        <v>1946</v>
      </c>
      <c r="H25" s="14" t="inlineStr">
        <is>
          <t>Wisata Umum</t>
        </is>
      </c>
      <c r="I25" s="29">
        <f>6371 * 2 * ASIN(SQRT(SIN(RADIANS((C25) - INDEX('Dataset_Wisata'!$C$12:$C$622, MATCH('Dashboard'!$C$9, 'Dataset_Wisata'!$A$12:$A$622, 0)))/2)^2 + COS(RADIANS(INDEX('Dataset_Wisata'!$C$12:$C$622, MATCH('Dashboard'!$C$9, 'Dataset_Wisata'!$A$12:$A$622, 0)))) * COS(RADIANS(C25)) * SIN(RADIANS((D25) - INDEX('Dataset_Wisata'!$D$12:$D$622, MATCH('Dashboard'!$C$9, 'Dataset_Wisata'!$A$12:$A$622, 0)))/2)^2)) * 1.3</f>
        <v/>
      </c>
      <c r="J25" s="21">
        <f>ROUND(I25 * IF('Dashboard'!$C$6&lt;=1, 2250, IF('Dashboard'!$C$6&lt;=4, 5150, 6000)), 0)</f>
        <v/>
      </c>
      <c r="K25" s="30" t="n">
        <v>0.0001249221915467446</v>
      </c>
      <c r="L25" s="30" t="n">
        <v>0.9998414392573534</v>
      </c>
      <c r="M25" s="30" t="n">
        <v>3.363855109996827e-05</v>
      </c>
      <c r="N25" s="31">
        <f>ABS(E25-$F$6)</f>
        <v/>
      </c>
      <c r="O25" s="31">
        <f>ABS(E25-$F$7)</f>
        <v/>
      </c>
      <c r="P25" s="31">
        <f>ABS(E25-$F$8)</f>
        <v/>
      </c>
      <c r="Q25" s="14">
        <f>IF(K25&gt;=MAX(L25,M25), "Hemat", IF(L25&gt;=M25, "Balanced", "Premium"))</f>
        <v/>
      </c>
      <c r="R25" s="30" t="n">
        <v>0.0001249270631475939</v>
      </c>
      <c r="S25" s="30" t="n">
        <v>0.9998414330579118</v>
      </c>
      <c r="T25" s="30" t="n">
        <v>3.363987894057681e-05</v>
      </c>
      <c r="U25" s="31">
        <f>ABS(E25-$G$6)</f>
        <v/>
      </c>
      <c r="V25" s="31">
        <f>ABS(E25-$G$7)</f>
        <v/>
      </c>
      <c r="W25" s="31">
        <f>ABS(E25-$G$8)</f>
        <v/>
      </c>
      <c r="X25" s="14">
        <f>IF(R25&gt;=MAX(S25,T25), "Hemat", IF(S25&gt;=T25, "Balanced", "Premium"))</f>
        <v/>
      </c>
    </row>
    <row r="26">
      <c r="A26" s="14" t="n">
        <v>15</v>
      </c>
      <c r="B26" s="7" t="inlineStr">
        <is>
          <t>Warung Krajan</t>
        </is>
      </c>
      <c r="C26" s="26" t="n">
        <v>-7.7830224</v>
      </c>
      <c r="D26" s="26" t="n">
        <v>112.3164901</v>
      </c>
      <c r="E26" s="21" t="n">
        <v>10000</v>
      </c>
      <c r="F26" s="27" t="n">
        <v>4.2</v>
      </c>
      <c r="G26" s="28" t="n">
        <v>23</v>
      </c>
      <c r="H26" s="14" t="inlineStr">
        <is>
          <t>Warung Krajan</t>
        </is>
      </c>
      <c r="I26" s="29">
        <f>6371 * 2 * ASIN(SQRT(SIN(RADIANS((C26) - INDEX('Dataset_Wisata'!$C$12:$C$622, MATCH('Dashboard'!$C$9, 'Dataset_Wisata'!$A$12:$A$622, 0)))/2)^2 + COS(RADIANS(INDEX('Dataset_Wisata'!$C$12:$C$622, MATCH('Dashboard'!$C$9, 'Dataset_Wisata'!$A$12:$A$622, 0)))) * COS(RADIANS(C26)) * SIN(RADIANS((D26) - INDEX('Dataset_Wisata'!$D$12:$D$622, MATCH('Dashboard'!$C$9, 'Dataset_Wisata'!$A$12:$A$622, 0)))/2)^2)) * 1.3</f>
        <v/>
      </c>
      <c r="J26" s="21">
        <f>ROUND(I26 * IF('Dashboard'!$C$6&lt;=1, 2250, IF('Dashboard'!$C$6&lt;=4, 5150, 6000)), 0)</f>
        <v/>
      </c>
      <c r="K26" s="30" t="n">
        <v>0.9518906050943107</v>
      </c>
      <c r="L26" s="30" t="n">
        <v>0.04169660451397377</v>
      </c>
      <c r="M26" s="30" t="n">
        <v>0.006412790391715545</v>
      </c>
      <c r="N26" s="31">
        <f>ABS(E26-$F$6)</f>
        <v/>
      </c>
      <c r="O26" s="31">
        <f>ABS(E26-$F$7)</f>
        <v/>
      </c>
      <c r="P26" s="31">
        <f>ABS(E26-$F$8)</f>
        <v/>
      </c>
      <c r="Q26" s="14">
        <f>IF(K26&gt;=MAX(L26,M26), "Hemat", IF(L26&gt;=M26, "Balanced", "Premium"))</f>
        <v/>
      </c>
      <c r="R26" s="30" t="n">
        <v>0.9518906082621517</v>
      </c>
      <c r="S26" s="30" t="n">
        <v>0.04169660246361195</v>
      </c>
      <c r="T26" s="30" t="n">
        <v>0.006412789274236485</v>
      </c>
      <c r="U26" s="31">
        <f>ABS(E26-$G$6)</f>
        <v/>
      </c>
      <c r="V26" s="31">
        <f>ABS(E26-$G$7)</f>
        <v/>
      </c>
      <c r="W26" s="31">
        <f>ABS(E26-$G$8)</f>
        <v/>
      </c>
      <c r="X26" s="14">
        <f>IF(R26&gt;=MAX(S26,T26), "Hemat", IF(S26&gt;=T26, "Balanced", "Premium"))</f>
        <v/>
      </c>
    </row>
    <row r="27">
      <c r="A27" s="14" t="n">
        <v>16</v>
      </c>
      <c r="B27" s="7" t="inlineStr">
        <is>
          <t>Warung Lesehan Sumber Rejeki 1</t>
        </is>
      </c>
      <c r="C27" s="26" t="n">
        <v>-7.8850279</v>
      </c>
      <c r="D27" s="26" t="n">
        <v>112.3686948</v>
      </c>
      <c r="E27" s="21" t="n">
        <v>8500</v>
      </c>
      <c r="F27" s="27" t="n">
        <v>4.4</v>
      </c>
      <c r="G27" s="28" t="n">
        <v>484</v>
      </c>
      <c r="H27" s="14" t="inlineStr">
        <is>
          <t>Warung Lesehan Sumber Rejeki 1</t>
        </is>
      </c>
      <c r="I27" s="29">
        <f>6371 * 2 * ASIN(SQRT(SIN(RADIANS((C27) - INDEX('Dataset_Wisata'!$C$12:$C$622, MATCH('Dashboard'!$C$9, 'Dataset_Wisata'!$A$12:$A$622, 0)))/2)^2 + COS(RADIANS(INDEX('Dataset_Wisata'!$C$12:$C$622, MATCH('Dashboard'!$C$9, 'Dataset_Wisata'!$A$12:$A$622, 0)))) * COS(RADIANS(C27)) * SIN(RADIANS((D27) - INDEX('Dataset_Wisata'!$D$12:$D$622, MATCH('Dashboard'!$C$9, 'Dataset_Wisata'!$A$12:$A$622, 0)))/2)^2)) * 1.3</f>
        <v/>
      </c>
      <c r="J27" s="21">
        <f>ROUND(I27 * IF('Dashboard'!$C$6&lt;=1, 2250, IF('Dashboard'!$C$6&lt;=4, 5150, 6000)), 0)</f>
        <v/>
      </c>
      <c r="K27" s="30" t="n">
        <v>0.9160587721709752</v>
      </c>
      <c r="L27" s="30" t="n">
        <v>0.07162949400807068</v>
      </c>
      <c r="M27" s="30" t="n">
        <v>0.01231173382095428</v>
      </c>
      <c r="N27" s="31">
        <f>ABS(E27-$F$6)</f>
        <v/>
      </c>
      <c r="O27" s="31">
        <f>ABS(E27-$F$7)</f>
        <v/>
      </c>
      <c r="P27" s="31">
        <f>ABS(E27-$F$8)</f>
        <v/>
      </c>
      <c r="Q27" s="14">
        <f>IF(K27&gt;=MAX(L27,M27), "Hemat", IF(L27&gt;=M27, "Balanced", "Premium"))</f>
        <v/>
      </c>
      <c r="R27" s="30" t="n">
        <v>0.9160587699176295</v>
      </c>
      <c r="S27" s="30" t="n">
        <v>0.0716294970053437</v>
      </c>
      <c r="T27" s="30" t="n">
        <v>0.01231173307702687</v>
      </c>
      <c r="U27" s="31">
        <f>ABS(E27-$G$6)</f>
        <v/>
      </c>
      <c r="V27" s="31">
        <f>ABS(E27-$G$7)</f>
        <v/>
      </c>
      <c r="W27" s="31">
        <f>ABS(E27-$G$8)</f>
        <v/>
      </c>
      <c r="X27" s="14">
        <f>IF(R27&gt;=MAX(S27,T27), "Hemat", IF(S27&gt;=T27, "Balanced", "Premium"))</f>
        <v/>
      </c>
    </row>
    <row r="28">
      <c r="A28" s="14" t="n">
        <v>17</v>
      </c>
      <c r="B28" s="7" t="inlineStr">
        <is>
          <t>Bakso Jumbo Pak Dodok Wardono</t>
        </is>
      </c>
      <c r="C28" s="26" t="n">
        <v>-7.9025038</v>
      </c>
      <c r="D28" s="26" t="n">
        <v>112.3730695</v>
      </c>
      <c r="E28" s="21" t="n">
        <v>27500</v>
      </c>
      <c r="F28" s="27" t="n">
        <v>4.3</v>
      </c>
      <c r="G28" s="28" t="n">
        <v>52</v>
      </c>
      <c r="H28" s="14" t="inlineStr">
        <is>
          <t>Wisata Umum</t>
        </is>
      </c>
      <c r="I28" s="29">
        <f>6371 * 2 * ASIN(SQRT(SIN(RADIANS((C28) - INDEX('Dataset_Wisata'!$C$12:$C$622, MATCH('Dashboard'!$C$9, 'Dataset_Wisata'!$A$12:$A$622, 0)))/2)^2 + COS(RADIANS(INDEX('Dataset_Wisata'!$C$12:$C$622, MATCH('Dashboard'!$C$9, 'Dataset_Wisata'!$A$12:$A$622, 0)))) * COS(RADIANS(C28)) * SIN(RADIANS((D28) - INDEX('Dataset_Wisata'!$D$12:$D$622, MATCH('Dashboard'!$C$9, 'Dataset_Wisata'!$A$12:$A$622, 0)))/2)^2)) * 1.3</f>
        <v/>
      </c>
      <c r="J28" s="21">
        <f>ROUND(I28 * IF('Dashboard'!$C$6&lt;=1, 2250, IF('Dashboard'!$C$6&lt;=4, 5150, 6000)), 0)</f>
        <v/>
      </c>
      <c r="K28" s="30" t="n">
        <v>0.02169048525702663</v>
      </c>
      <c r="L28" s="30" t="n">
        <v>0.9688874380848954</v>
      </c>
      <c r="M28" s="30" t="n">
        <v>0.00942207665807801</v>
      </c>
      <c r="N28" s="31">
        <f>ABS(E28-$F$6)</f>
        <v/>
      </c>
      <c r="O28" s="31">
        <f>ABS(E28-$F$7)</f>
        <v/>
      </c>
      <c r="P28" s="31">
        <f>ABS(E28-$F$8)</f>
        <v/>
      </c>
      <c r="Q28" s="14">
        <f>IF(K28&gt;=MAX(L28,M28), "Hemat", IF(L28&gt;=M28, "Balanced", "Premium"))</f>
        <v/>
      </c>
      <c r="R28" s="30" t="n">
        <v>0.02169053605683701</v>
      </c>
      <c r="S28" s="30" t="n">
        <v>0.9688873605428653</v>
      </c>
      <c r="T28" s="30" t="n">
        <v>0.009422103400297668</v>
      </c>
      <c r="U28" s="31">
        <f>ABS(E28-$G$6)</f>
        <v/>
      </c>
      <c r="V28" s="31">
        <f>ABS(E28-$G$7)</f>
        <v/>
      </c>
      <c r="W28" s="31">
        <f>ABS(E28-$G$8)</f>
        <v/>
      </c>
      <c r="X28" s="14">
        <f>IF(R28&gt;=MAX(S28,T28), "Hemat", IF(S28&gt;=T28, "Balanced", "Premium"))</f>
        <v/>
      </c>
    </row>
    <row r="29">
      <c r="A29" s="14" t="n">
        <v>18</v>
      </c>
      <c r="B29" s="7" t="inlineStr">
        <is>
          <t>WARUNG ENAK ECO BU KUSTIN</t>
        </is>
      </c>
      <c r="C29" s="26" t="n">
        <v>-7.8496246</v>
      </c>
      <c r="D29" s="26" t="n">
        <v>112.3706036</v>
      </c>
      <c r="E29" s="21" t="n">
        <v>19000</v>
      </c>
      <c r="F29" s="27" t="n">
        <v>4.8</v>
      </c>
      <c r="G29" s="28" t="n">
        <v>24</v>
      </c>
      <c r="H29" s="14" t="inlineStr">
        <is>
          <t>WARUNG ENAK ECO BU KUSTIN</t>
        </is>
      </c>
      <c r="I29" s="29">
        <f>6371 * 2 * ASIN(SQRT(SIN(RADIANS((C29) - INDEX('Dataset_Wisata'!$C$12:$C$622, MATCH('Dashboard'!$C$9, 'Dataset_Wisata'!$A$12:$A$622, 0)))/2)^2 + COS(RADIANS(INDEX('Dataset_Wisata'!$C$12:$C$622, MATCH('Dashboard'!$C$9, 'Dataset_Wisata'!$A$12:$A$622, 0)))) * COS(RADIANS(C29)) * SIN(RADIANS((D29) - INDEX('Dataset_Wisata'!$D$12:$D$622, MATCH('Dashboard'!$C$9, 'Dataset_Wisata'!$A$12:$A$622, 0)))/2)^2)) * 1.3</f>
        <v/>
      </c>
      <c r="J29" s="21">
        <f>ROUND(I29 * IF('Dashboard'!$C$6&lt;=1, 2250, IF('Dashboard'!$C$6&lt;=4, 5150, 6000)), 0)</f>
        <v/>
      </c>
      <c r="K29" s="30" t="n">
        <v>0.5366761769981572</v>
      </c>
      <c r="L29" s="30" t="n">
        <v>0.4435988772155322</v>
      </c>
      <c r="M29" s="30" t="n">
        <v>0.01972494578631066</v>
      </c>
      <c r="N29" s="31">
        <f>ABS(E29-$F$6)</f>
        <v/>
      </c>
      <c r="O29" s="31">
        <f>ABS(E29-$F$7)</f>
        <v/>
      </c>
      <c r="P29" s="31">
        <f>ABS(E29-$F$8)</f>
        <v/>
      </c>
      <c r="Q29" s="14">
        <f>IF(K29&gt;=MAX(L29,M29), "Hemat", IF(L29&gt;=M29, "Balanced", "Premium"))</f>
        <v/>
      </c>
      <c r="R29" s="30" t="n">
        <v>0.5366759174130455</v>
      </c>
      <c r="S29" s="30" t="n">
        <v>0.443599136184954</v>
      </c>
      <c r="T29" s="30" t="n">
        <v>0.01972494640200039</v>
      </c>
      <c r="U29" s="31">
        <f>ABS(E29-$G$6)</f>
        <v/>
      </c>
      <c r="V29" s="31">
        <f>ABS(E29-$G$7)</f>
        <v/>
      </c>
      <c r="W29" s="31">
        <f>ABS(E29-$G$8)</f>
        <v/>
      </c>
      <c r="X29" s="14">
        <f>IF(R29&gt;=MAX(S29,T29), "Hemat", IF(S29&gt;=T29, "Balanced", "Premium"))</f>
        <v/>
      </c>
    </row>
    <row r="30">
      <c r="A30" s="14" t="n">
        <v>19</v>
      </c>
      <c r="B30" s="7" t="inlineStr">
        <is>
          <t>Warung "SETIA"</t>
        </is>
      </c>
      <c r="C30" s="26" t="n">
        <v>-7.8675453</v>
      </c>
      <c r="D30" s="26" t="n">
        <v>112.3776832</v>
      </c>
      <c r="E30" s="21" t="n">
        <v>5000</v>
      </c>
      <c r="F30" s="27" t="n">
        <v>4.2</v>
      </c>
      <c r="G30" s="28" t="n">
        <v>148</v>
      </c>
      <c r="H30" s="14" t="inlineStr">
        <is>
          <t>Warung "SETIA"</t>
        </is>
      </c>
      <c r="I30" s="29">
        <f>6371 * 2 * ASIN(SQRT(SIN(RADIANS((C30) - INDEX('Dataset_Wisata'!$C$12:$C$622, MATCH('Dashboard'!$C$9, 'Dataset_Wisata'!$A$12:$A$622, 0)))/2)^2 + COS(RADIANS(INDEX('Dataset_Wisata'!$C$12:$C$622, MATCH('Dashboard'!$C$9, 'Dataset_Wisata'!$A$12:$A$622, 0)))) * COS(RADIANS(C30)) * SIN(RADIANS((D30) - INDEX('Dataset_Wisata'!$D$12:$D$622, MATCH('Dashboard'!$C$9, 'Dataset_Wisata'!$A$12:$A$622, 0)))/2)^2)) * 1.3</f>
        <v/>
      </c>
      <c r="J30" s="21">
        <f>ROUND(I30 * IF('Dashboard'!$C$6&lt;=1, 2250, IF('Dashboard'!$C$6&lt;=4, 5150, 6000)), 0)</f>
        <v/>
      </c>
      <c r="K30" s="30" t="n">
        <v>0.8351711450363791</v>
      </c>
      <c r="L30" s="30" t="n">
        <v>0.1359421607956553</v>
      </c>
      <c r="M30" s="30" t="n">
        <v>0.02888669416796556</v>
      </c>
      <c r="N30" s="31">
        <f>ABS(E30-$F$6)</f>
        <v/>
      </c>
      <c r="O30" s="31">
        <f>ABS(E30-$F$7)</f>
        <v/>
      </c>
      <c r="P30" s="31">
        <f>ABS(E30-$F$8)</f>
        <v/>
      </c>
      <c r="Q30" s="14">
        <f>IF(K30&gt;=MAX(L30,M30), "Hemat", IF(L30&gt;=M30, "Balanced", "Premium"))</f>
        <v/>
      </c>
      <c r="R30" s="30" t="n">
        <v>0.8351711319538849</v>
      </c>
      <c r="S30" s="30" t="n">
        <v>0.1359421731258753</v>
      </c>
      <c r="T30" s="30" t="n">
        <v>0.02888669492023966</v>
      </c>
      <c r="U30" s="31">
        <f>ABS(E30-$G$6)</f>
        <v/>
      </c>
      <c r="V30" s="31">
        <f>ABS(E30-$G$7)</f>
        <v/>
      </c>
      <c r="W30" s="31">
        <f>ABS(E30-$G$8)</f>
        <v/>
      </c>
      <c r="X30" s="14">
        <f>IF(R30&gt;=MAX(S30,T30), "Hemat", IF(S30&gt;=T30, "Balanced", "Premium"))</f>
        <v/>
      </c>
    </row>
    <row r="31">
      <c r="A31" s="14" t="n">
        <v>20</v>
      </c>
      <c r="B31" s="7" t="inlineStr">
        <is>
          <t>Warung 77 Lesehan</t>
        </is>
      </c>
      <c r="C31" s="26" t="n">
        <v>-7.8672778</v>
      </c>
      <c r="D31" s="26" t="n">
        <v>112.3777519</v>
      </c>
      <c r="E31" s="21" t="n">
        <v>15000</v>
      </c>
      <c r="F31" s="27" t="n">
        <v>4.6</v>
      </c>
      <c r="G31" s="28" t="n">
        <v>94</v>
      </c>
      <c r="H31" s="14" t="inlineStr">
        <is>
          <t>Warung 77 Lesehan</t>
        </is>
      </c>
      <c r="I31" s="29">
        <f>6371 * 2 * ASIN(SQRT(SIN(RADIANS((C31) - INDEX('Dataset_Wisata'!$C$12:$C$622, MATCH('Dashboard'!$C$9, 'Dataset_Wisata'!$A$12:$A$622, 0)))/2)^2 + COS(RADIANS(INDEX('Dataset_Wisata'!$C$12:$C$622, MATCH('Dashboard'!$C$9, 'Dataset_Wisata'!$A$12:$A$622, 0)))) * COS(RADIANS(C31)) * SIN(RADIANS((D31) - INDEX('Dataset_Wisata'!$D$12:$D$622, MATCH('Dashboard'!$C$9, 'Dataset_Wisata'!$A$12:$A$622, 0)))/2)^2)) * 1.3</f>
        <v/>
      </c>
      <c r="J31" s="21">
        <f>ROUND(I31 * IF('Dashboard'!$C$6&lt;=1, 2250, IF('Dashboard'!$C$6&lt;=4, 5150, 6000)), 0)</f>
        <v/>
      </c>
      <c r="K31" s="30" t="n">
        <v>0.9686283169848018</v>
      </c>
      <c r="L31" s="30" t="n">
        <v>0.02872990537067274</v>
      </c>
      <c r="M31" s="30" t="n">
        <v>0.002641777644525457</v>
      </c>
      <c r="N31" s="31">
        <f>ABS(E31-$F$6)</f>
        <v/>
      </c>
      <c r="O31" s="31">
        <f>ABS(E31-$F$7)</f>
        <v/>
      </c>
      <c r="P31" s="31">
        <f>ABS(E31-$F$8)</f>
        <v/>
      </c>
      <c r="Q31" s="14">
        <f>IF(K31&gt;=MAX(L31,M31), "Hemat", IF(L31&gt;=M31, "Balanced", "Premium"))</f>
        <v/>
      </c>
      <c r="R31" s="30" t="n">
        <v>0.9686282798936615</v>
      </c>
      <c r="S31" s="30" t="n">
        <v>0.02872993996961344</v>
      </c>
      <c r="T31" s="30" t="n">
        <v>0.002641780136725144</v>
      </c>
      <c r="U31" s="31">
        <f>ABS(E31-$G$6)</f>
        <v/>
      </c>
      <c r="V31" s="31">
        <f>ABS(E31-$G$7)</f>
        <v/>
      </c>
      <c r="W31" s="31">
        <f>ABS(E31-$G$8)</f>
        <v/>
      </c>
      <c r="X31" s="14">
        <f>IF(R31&gt;=MAX(S31,T31), "Hemat", IF(S31&gt;=T31, "Balanced", "Premium"))</f>
        <v/>
      </c>
    </row>
    <row r="32">
      <c r="A32" s="14" t="n">
        <v>21</v>
      </c>
      <c r="B32" s="7" t="inlineStr">
        <is>
          <t>Restoran Melati Selorejo</t>
        </is>
      </c>
      <c r="C32" s="26" t="n">
        <v>-7.8784583</v>
      </c>
      <c r="D32" s="26" t="n">
        <v>112.3637914</v>
      </c>
      <c r="E32" s="21" t="n">
        <v>31000</v>
      </c>
      <c r="F32" s="27" t="n">
        <v>4.9</v>
      </c>
      <c r="G32" s="28" t="n">
        <v>26</v>
      </c>
      <c r="H32" s="14" t="inlineStr">
        <is>
          <t>Restoran Melati Selorejo</t>
        </is>
      </c>
      <c r="I32" s="29">
        <f>6371 * 2 * ASIN(SQRT(SIN(RADIANS((C32) - INDEX('Dataset_Wisata'!$C$12:$C$622, MATCH('Dashboard'!$C$9, 'Dataset_Wisata'!$A$12:$A$622, 0)))/2)^2 + COS(RADIANS(INDEX('Dataset_Wisata'!$C$12:$C$622, MATCH('Dashboard'!$C$9, 'Dataset_Wisata'!$A$12:$A$622, 0)))) * COS(RADIANS(C32)) * SIN(RADIANS((D32) - INDEX('Dataset_Wisata'!$D$12:$D$622, MATCH('Dashboard'!$C$9, 'Dataset_Wisata'!$A$12:$A$622, 0)))/2)^2)) * 1.3</f>
        <v/>
      </c>
      <c r="J32" s="21">
        <f>ROUND(I32 * IF('Dashboard'!$C$6&lt;=1, 2250, IF('Dashboard'!$C$6&lt;=4, 5150, 6000)), 0)</f>
        <v/>
      </c>
      <c r="K32" s="30" t="n">
        <v>0.08395948783203658</v>
      </c>
      <c r="L32" s="30" t="n">
        <v>0.8356364375405326</v>
      </c>
      <c r="M32" s="30" t="n">
        <v>0.08040407462743075</v>
      </c>
      <c r="N32" s="31">
        <f>ABS(E32-$F$6)</f>
        <v/>
      </c>
      <c r="O32" s="31">
        <f>ABS(E32-$F$7)</f>
        <v/>
      </c>
      <c r="P32" s="31">
        <f>ABS(E32-$F$8)</f>
        <v/>
      </c>
      <c r="Q32" s="14">
        <f>IF(K32&gt;=MAX(L32,M32), "Hemat", IF(L32&gt;=M32, "Balanced", "Premium"))</f>
        <v/>
      </c>
      <c r="R32" s="30" t="n">
        <v>0.08395954580957625</v>
      </c>
      <c r="S32" s="30" t="n">
        <v>0.8356362792921741</v>
      </c>
      <c r="T32" s="30" t="n">
        <v>0.08040417489824961</v>
      </c>
      <c r="U32" s="31">
        <f>ABS(E32-$G$6)</f>
        <v/>
      </c>
      <c r="V32" s="31">
        <f>ABS(E32-$G$7)</f>
        <v/>
      </c>
      <c r="W32" s="31">
        <f>ABS(E32-$G$8)</f>
        <v/>
      </c>
      <c r="X32" s="14">
        <f>IF(R32&gt;=MAX(S32,T32), "Hemat", IF(S32&gt;=T32, "Balanced", "Premium"))</f>
        <v/>
      </c>
    </row>
    <row r="33">
      <c r="A33" s="14" t="n">
        <v>22</v>
      </c>
      <c r="B33" s="7" t="inlineStr">
        <is>
          <t>Warung Bu Sri</t>
        </is>
      </c>
      <c r="C33" s="26" t="n">
        <v>-7.8727332</v>
      </c>
      <c r="D33" s="26" t="n">
        <v>112.3767392</v>
      </c>
      <c r="E33" s="21" t="n">
        <v>13750</v>
      </c>
      <c r="F33" s="27" t="n">
        <v>4.3</v>
      </c>
      <c r="G33" s="28" t="n">
        <v>77</v>
      </c>
      <c r="H33" s="14" t="inlineStr">
        <is>
          <t>Warung Bu Sri</t>
        </is>
      </c>
      <c r="I33" s="29">
        <f>6371 * 2 * ASIN(SQRT(SIN(RADIANS((C33) - INDEX('Dataset_Wisata'!$C$12:$C$622, MATCH('Dashboard'!$C$9, 'Dataset_Wisata'!$A$12:$A$622, 0)))/2)^2 + COS(RADIANS(INDEX('Dataset_Wisata'!$C$12:$C$622, MATCH('Dashboard'!$C$9, 'Dataset_Wisata'!$A$12:$A$622, 0)))) * COS(RADIANS(C33)) * SIN(RADIANS((D33) - INDEX('Dataset_Wisata'!$D$12:$D$622, MATCH('Dashboard'!$C$9, 'Dataset_Wisata'!$A$12:$A$622, 0)))/2)^2)) * 1.3</f>
        <v/>
      </c>
      <c r="J33" s="21">
        <f>ROUND(I33 * IF('Dashboard'!$C$6&lt;=1, 2250, IF('Dashboard'!$C$6&lt;=4, 5150, 6000)), 0)</f>
        <v/>
      </c>
      <c r="K33" s="30" t="n">
        <v>0.9976577224486242</v>
      </c>
      <c r="L33" s="30" t="n">
        <v>0.00211498454547459</v>
      </c>
      <c r="M33" s="30" t="n">
        <v>0.0002272930059012017</v>
      </c>
      <c r="N33" s="31">
        <f>ABS(E33-$F$6)</f>
        <v/>
      </c>
      <c r="O33" s="31">
        <f>ABS(E33-$F$7)</f>
        <v/>
      </c>
      <c r="P33" s="31">
        <f>ABS(E33-$F$8)</f>
        <v/>
      </c>
      <c r="Q33" s="14">
        <f>IF(K33&gt;=MAX(L33,M33), "Hemat", IF(L33&gt;=M33, "Balanced", "Premium"))</f>
        <v/>
      </c>
      <c r="R33" s="30" t="n">
        <v>0.9976577157667134</v>
      </c>
      <c r="S33" s="30" t="n">
        <v>0.002114990622939545</v>
      </c>
      <c r="T33" s="30" t="n">
        <v>0.0002272936103471369</v>
      </c>
      <c r="U33" s="31">
        <f>ABS(E33-$G$6)</f>
        <v/>
      </c>
      <c r="V33" s="31">
        <f>ABS(E33-$G$7)</f>
        <v/>
      </c>
      <c r="W33" s="31">
        <f>ABS(E33-$G$8)</f>
        <v/>
      </c>
      <c r="X33" s="14">
        <f>IF(R33&gt;=MAX(S33,T33), "Hemat", IF(S33&gt;=T33, "Balanced", "Premium"))</f>
        <v/>
      </c>
    </row>
    <row r="34">
      <c r="A34" s="14" t="n">
        <v>23</v>
      </c>
      <c r="B34" s="7" t="inlineStr">
        <is>
          <t>warung Mulyorejo</t>
        </is>
      </c>
      <c r="C34" s="26" t="n">
        <v>-7.8738937</v>
      </c>
      <c r="D34" s="26" t="n">
        <v>112.3764554</v>
      </c>
      <c r="E34" s="21" t="n">
        <v>10000</v>
      </c>
      <c r="F34" s="27" t="n">
        <v>4.6</v>
      </c>
      <c r="G34" s="28" t="n">
        <v>84</v>
      </c>
      <c r="H34" s="14" t="inlineStr">
        <is>
          <t>warung Mulyorejo</t>
        </is>
      </c>
      <c r="I34" s="29">
        <f>6371 * 2 * ASIN(SQRT(SIN(RADIANS((C34) - INDEX('Dataset_Wisata'!$C$12:$C$622, MATCH('Dashboard'!$C$9, 'Dataset_Wisata'!$A$12:$A$622, 0)))/2)^2 + COS(RADIANS(INDEX('Dataset_Wisata'!$C$12:$C$622, MATCH('Dashboard'!$C$9, 'Dataset_Wisata'!$A$12:$A$622, 0)))) * COS(RADIANS(C34)) * SIN(RADIANS((D34) - INDEX('Dataset_Wisata'!$D$12:$D$622, MATCH('Dashboard'!$C$9, 'Dataset_Wisata'!$A$12:$A$622, 0)))/2)^2)) * 1.3</f>
        <v/>
      </c>
      <c r="J34" s="21">
        <f>ROUND(I34 * IF('Dashboard'!$C$6&lt;=1, 2250, IF('Dashboard'!$C$6&lt;=4, 5150, 6000)), 0)</f>
        <v/>
      </c>
      <c r="K34" s="30" t="n">
        <v>0.9518906050943107</v>
      </c>
      <c r="L34" s="30" t="n">
        <v>0.04169660451397377</v>
      </c>
      <c r="M34" s="30" t="n">
        <v>0.006412790391715545</v>
      </c>
      <c r="N34" s="31">
        <f>ABS(E34-$F$6)</f>
        <v/>
      </c>
      <c r="O34" s="31">
        <f>ABS(E34-$F$7)</f>
        <v/>
      </c>
      <c r="P34" s="31">
        <f>ABS(E34-$F$8)</f>
        <v/>
      </c>
      <c r="Q34" s="14">
        <f>IF(K34&gt;=MAX(L34,M34), "Hemat", IF(L34&gt;=M34, "Balanced", "Premium"))</f>
        <v/>
      </c>
      <c r="R34" s="30" t="n">
        <v>0.9518906082621517</v>
      </c>
      <c r="S34" s="30" t="n">
        <v>0.04169660246361195</v>
      </c>
      <c r="T34" s="30" t="n">
        <v>0.006412789274236485</v>
      </c>
      <c r="U34" s="31">
        <f>ABS(E34-$G$6)</f>
        <v/>
      </c>
      <c r="V34" s="31">
        <f>ABS(E34-$G$7)</f>
        <v/>
      </c>
      <c r="W34" s="31">
        <f>ABS(E34-$G$8)</f>
        <v/>
      </c>
      <c r="X34" s="14">
        <f>IF(R34&gt;=MAX(S34,T34), "Hemat", IF(S34&gt;=T34, "Balanced", "Premium"))</f>
        <v/>
      </c>
    </row>
    <row r="35">
      <c r="A35" s="14" t="n">
        <v>24</v>
      </c>
      <c r="B35" s="7" t="inlineStr">
        <is>
          <t>Warung Pak Dai</t>
        </is>
      </c>
      <c r="C35" s="26" t="n">
        <v>-7.8836204</v>
      </c>
      <c r="D35" s="26" t="n">
        <v>112.3862486</v>
      </c>
      <c r="E35" s="21" t="n">
        <v>41791</v>
      </c>
      <c r="F35" s="27" t="n">
        <v>4.4</v>
      </c>
      <c r="G35" s="28" t="n">
        <v>62</v>
      </c>
      <c r="H35" s="14" t="inlineStr">
        <is>
          <t>Warung Pak Dai</t>
        </is>
      </c>
      <c r="I35" s="29">
        <f>6371 * 2 * ASIN(SQRT(SIN(RADIANS((C35) - INDEX('Dataset_Wisata'!$C$12:$C$622, MATCH('Dashboard'!$C$9, 'Dataset_Wisata'!$A$12:$A$622, 0)))/2)^2 + COS(RADIANS(INDEX('Dataset_Wisata'!$C$12:$C$622, MATCH('Dashboard'!$C$9, 'Dataset_Wisata'!$A$12:$A$622, 0)))) * COS(RADIANS(C35)) * SIN(RADIANS((D35) - INDEX('Dataset_Wisata'!$D$12:$D$622, MATCH('Dashboard'!$C$9, 'Dataset_Wisata'!$A$12:$A$622, 0)))/2)^2)) * 1.3</f>
        <v/>
      </c>
      <c r="J35" s="21">
        <f>ROUND(I35 * IF('Dashboard'!$C$6&lt;=1, 2250, IF('Dashboard'!$C$6&lt;=4, 5150, 6000)), 0)</f>
        <v/>
      </c>
      <c r="K35" s="30" t="n">
        <v>0.05261063536982084</v>
      </c>
      <c r="L35" s="30" t="n">
        <v>0.1591771430199958</v>
      </c>
      <c r="M35" s="30" t="n">
        <v>0.7882122216101832</v>
      </c>
      <c r="N35" s="31">
        <f>ABS(E35-$F$6)</f>
        <v/>
      </c>
      <c r="O35" s="31">
        <f>ABS(E35-$F$7)</f>
        <v/>
      </c>
      <c r="P35" s="31">
        <f>ABS(E35-$F$8)</f>
        <v/>
      </c>
      <c r="Q35" s="14">
        <f>IF(K35&gt;=MAX(L35,M35), "Hemat", IF(L35&gt;=M35, "Balanced", "Premium"))</f>
        <v/>
      </c>
      <c r="R35" s="30" t="n">
        <v>0.05261058645977767</v>
      </c>
      <c r="S35" s="30" t="n">
        <v>0.1591769502080866</v>
      </c>
      <c r="T35" s="30" t="n">
        <v>0.7882124633321357</v>
      </c>
      <c r="U35" s="31">
        <f>ABS(E35-$G$6)</f>
        <v/>
      </c>
      <c r="V35" s="31">
        <f>ABS(E35-$G$7)</f>
        <v/>
      </c>
      <c r="W35" s="31">
        <f>ABS(E35-$G$8)</f>
        <v/>
      </c>
      <c r="X35" s="14">
        <f>IF(R35&gt;=MAX(S35,T35), "Hemat", IF(S35&gt;=T35, "Balanced", "Premium"))</f>
        <v/>
      </c>
    </row>
    <row r="36">
      <c r="A36" s="14" t="n">
        <v>25</v>
      </c>
      <c r="B36" s="7" t="inlineStr">
        <is>
          <t>Warung Barokah (Penyebrangan perahu Pak Ri)</t>
        </is>
      </c>
      <c r="C36" s="26" t="n">
        <v>-7.8569383</v>
      </c>
      <c r="D36" s="26" t="n">
        <v>112.3656002</v>
      </c>
      <c r="E36" s="21" t="n">
        <v>15000</v>
      </c>
      <c r="F36" s="27" t="n">
        <v>4.7</v>
      </c>
      <c r="G36" s="28" t="n">
        <v>64</v>
      </c>
      <c r="H36" s="14" t="inlineStr">
        <is>
          <t>"Warung langganan pas mancing"</t>
        </is>
      </c>
      <c r="I36" s="29">
        <f>6371 * 2 * ASIN(SQRT(SIN(RADIANS((C36) - INDEX('Dataset_Wisata'!$C$12:$C$622, MATCH('Dashboard'!$C$9, 'Dataset_Wisata'!$A$12:$A$622, 0)))/2)^2 + COS(RADIANS(INDEX('Dataset_Wisata'!$C$12:$C$622, MATCH('Dashboard'!$C$9, 'Dataset_Wisata'!$A$12:$A$622, 0)))) * COS(RADIANS(C36)) * SIN(RADIANS((D36) - INDEX('Dataset_Wisata'!$D$12:$D$622, MATCH('Dashboard'!$C$9, 'Dataset_Wisata'!$A$12:$A$622, 0)))/2)^2)) * 1.3</f>
        <v/>
      </c>
      <c r="J36" s="21">
        <f>ROUND(I36 * IF('Dashboard'!$C$6&lt;=1, 2250, IF('Dashboard'!$C$6&lt;=4, 5150, 6000)), 0)</f>
        <v/>
      </c>
      <c r="K36" s="30" t="n">
        <v>0.9686283169848018</v>
      </c>
      <c r="L36" s="30" t="n">
        <v>0.02872990537067274</v>
      </c>
      <c r="M36" s="30" t="n">
        <v>0.002641777644525457</v>
      </c>
      <c r="N36" s="31">
        <f>ABS(E36-$F$6)</f>
        <v/>
      </c>
      <c r="O36" s="31">
        <f>ABS(E36-$F$7)</f>
        <v/>
      </c>
      <c r="P36" s="31">
        <f>ABS(E36-$F$8)</f>
        <v/>
      </c>
      <c r="Q36" s="14">
        <f>IF(K36&gt;=MAX(L36,M36), "Hemat", IF(L36&gt;=M36, "Balanced", "Premium"))</f>
        <v/>
      </c>
      <c r="R36" s="30" t="n">
        <v>0.9686282798936615</v>
      </c>
      <c r="S36" s="30" t="n">
        <v>0.02872993996961344</v>
      </c>
      <c r="T36" s="30" t="n">
        <v>0.002641780136725144</v>
      </c>
      <c r="U36" s="31">
        <f>ABS(E36-$G$6)</f>
        <v/>
      </c>
      <c r="V36" s="31">
        <f>ABS(E36-$G$7)</f>
        <v/>
      </c>
      <c r="W36" s="31">
        <f>ABS(E36-$G$8)</f>
        <v/>
      </c>
      <c r="X36" s="14">
        <f>IF(R36&gt;=MAX(S36,T36), "Hemat", IF(S36&gt;=T36, "Balanced", "Premium"))</f>
        <v/>
      </c>
    </row>
    <row r="37">
      <c r="A37" s="14" t="n">
        <v>26</v>
      </c>
      <c r="B37" s="7" t="inlineStr">
        <is>
          <t>Warung Lalapan Mbak Denok</t>
        </is>
      </c>
      <c r="C37" s="26" t="n">
        <v>-7.8768035</v>
      </c>
      <c r="D37" s="26" t="n">
        <v>112.3942413</v>
      </c>
      <c r="E37" s="21" t="n">
        <v>19000</v>
      </c>
      <c r="F37" s="27" t="n">
        <v>4.5</v>
      </c>
      <c r="G37" s="28" t="n">
        <v>71</v>
      </c>
      <c r="H37" s="14" t="inlineStr">
        <is>
          <t>Warung Lalapan Mbak Denok</t>
        </is>
      </c>
      <c r="I37" s="29">
        <f>6371 * 2 * ASIN(SQRT(SIN(RADIANS((C37) - INDEX('Dataset_Wisata'!$C$12:$C$622, MATCH('Dashboard'!$C$9, 'Dataset_Wisata'!$A$12:$A$622, 0)))/2)^2 + COS(RADIANS(INDEX('Dataset_Wisata'!$C$12:$C$622, MATCH('Dashboard'!$C$9, 'Dataset_Wisata'!$A$12:$A$622, 0)))) * COS(RADIANS(C37)) * SIN(RADIANS((D37) - INDEX('Dataset_Wisata'!$D$12:$D$622, MATCH('Dashboard'!$C$9, 'Dataset_Wisata'!$A$12:$A$622, 0)))/2)^2)) * 1.3</f>
        <v/>
      </c>
      <c r="J37" s="21">
        <f>ROUND(I37 * IF('Dashboard'!$C$6&lt;=1, 2250, IF('Dashboard'!$C$6&lt;=4, 5150, 6000)), 0)</f>
        <v/>
      </c>
      <c r="K37" s="30" t="n">
        <v>0.5366761769981572</v>
      </c>
      <c r="L37" s="30" t="n">
        <v>0.4435988772155322</v>
      </c>
      <c r="M37" s="30" t="n">
        <v>0.01972494578631066</v>
      </c>
      <c r="N37" s="31">
        <f>ABS(E37-$F$6)</f>
        <v/>
      </c>
      <c r="O37" s="31">
        <f>ABS(E37-$F$7)</f>
        <v/>
      </c>
      <c r="P37" s="31">
        <f>ABS(E37-$F$8)</f>
        <v/>
      </c>
      <c r="Q37" s="14">
        <f>IF(K37&gt;=MAX(L37,M37), "Hemat", IF(L37&gt;=M37, "Balanced", "Premium"))</f>
        <v/>
      </c>
      <c r="R37" s="30" t="n">
        <v>0.5366759174130455</v>
      </c>
      <c r="S37" s="30" t="n">
        <v>0.443599136184954</v>
      </c>
      <c r="T37" s="30" t="n">
        <v>0.01972494640200039</v>
      </c>
      <c r="U37" s="31">
        <f>ABS(E37-$G$6)</f>
        <v/>
      </c>
      <c r="V37" s="31">
        <f>ABS(E37-$G$7)</f>
        <v/>
      </c>
      <c r="W37" s="31">
        <f>ABS(E37-$G$8)</f>
        <v/>
      </c>
      <c r="X37" s="14">
        <f>IF(R37&gt;=MAX(S37,T37), "Hemat", IF(S37&gt;=T37, "Balanced", "Premium"))</f>
        <v/>
      </c>
    </row>
    <row r="38">
      <c r="A38" s="14" t="n">
        <v>27</v>
      </c>
      <c r="B38" s="7" t="inlineStr">
        <is>
          <t>Warung Lesehan Denok</t>
        </is>
      </c>
      <c r="C38" s="26" t="n">
        <v>-7.8661168</v>
      </c>
      <c r="D38" s="26" t="n">
        <v>112.3779513</v>
      </c>
      <c r="E38" s="21" t="n">
        <v>15000</v>
      </c>
      <c r="F38" s="27" t="n">
        <v>3.9</v>
      </c>
      <c r="G38" s="28" t="n">
        <v>53</v>
      </c>
      <c r="H38" s="14" t="inlineStr">
        <is>
          <t>Warung Lesehan Denok</t>
        </is>
      </c>
      <c r="I38" s="29">
        <f>6371 * 2 * ASIN(SQRT(SIN(RADIANS((C38) - INDEX('Dataset_Wisata'!$C$12:$C$622, MATCH('Dashboard'!$C$9, 'Dataset_Wisata'!$A$12:$A$622, 0)))/2)^2 + COS(RADIANS(INDEX('Dataset_Wisata'!$C$12:$C$622, MATCH('Dashboard'!$C$9, 'Dataset_Wisata'!$A$12:$A$622, 0)))) * COS(RADIANS(C38)) * SIN(RADIANS((D38) - INDEX('Dataset_Wisata'!$D$12:$D$622, MATCH('Dashboard'!$C$9, 'Dataset_Wisata'!$A$12:$A$622, 0)))/2)^2)) * 1.3</f>
        <v/>
      </c>
      <c r="J38" s="21">
        <f>ROUND(I38 * IF('Dashboard'!$C$6&lt;=1, 2250, IF('Dashboard'!$C$6&lt;=4, 5150, 6000)), 0)</f>
        <v/>
      </c>
      <c r="K38" s="30" t="n">
        <v>0.9686283169848018</v>
      </c>
      <c r="L38" s="30" t="n">
        <v>0.02872990537067274</v>
      </c>
      <c r="M38" s="30" t="n">
        <v>0.002641777644525457</v>
      </c>
      <c r="N38" s="31">
        <f>ABS(E38-$F$6)</f>
        <v/>
      </c>
      <c r="O38" s="31">
        <f>ABS(E38-$F$7)</f>
        <v/>
      </c>
      <c r="P38" s="31">
        <f>ABS(E38-$F$8)</f>
        <v/>
      </c>
      <c r="Q38" s="14">
        <f>IF(K38&gt;=MAX(L38,M38), "Hemat", IF(L38&gt;=M38, "Balanced", "Premium"))</f>
        <v/>
      </c>
      <c r="R38" s="30" t="n">
        <v>0.9686282798936615</v>
      </c>
      <c r="S38" s="30" t="n">
        <v>0.02872993996961344</v>
      </c>
      <c r="T38" s="30" t="n">
        <v>0.002641780136725144</v>
      </c>
      <c r="U38" s="31">
        <f>ABS(E38-$G$6)</f>
        <v/>
      </c>
      <c r="V38" s="31">
        <f>ABS(E38-$G$7)</f>
        <v/>
      </c>
      <c r="W38" s="31">
        <f>ABS(E38-$G$8)</f>
        <v/>
      </c>
      <c r="X38" s="14">
        <f>IF(R38&gt;=MAX(S38,T38), "Hemat", IF(S38&gt;=T38, "Balanced", "Premium"))</f>
        <v/>
      </c>
    </row>
    <row r="39">
      <c r="A39" s="14" t="n">
        <v>28</v>
      </c>
      <c r="B39" s="7" t="inlineStr">
        <is>
          <t>The Ling Resto And Cafe Spesial Lalapan Ikan Segar</t>
        </is>
      </c>
      <c r="C39" s="26" t="n">
        <v>-7.881422</v>
      </c>
      <c r="D39" s="26" t="n">
        <v>112.3803296</v>
      </c>
      <c r="E39" s="21" t="n">
        <v>10500</v>
      </c>
      <c r="F39" s="27" t="n">
        <v>4</v>
      </c>
      <c r="G39" s="28" t="n">
        <v>25</v>
      </c>
      <c r="H39" s="14" t="inlineStr">
        <is>
          <t>Wisata Umum</t>
        </is>
      </c>
      <c r="I39" s="29">
        <f>6371 * 2 * ASIN(SQRT(SIN(RADIANS((C39) - INDEX('Dataset_Wisata'!$C$12:$C$622, MATCH('Dashboard'!$C$9, 'Dataset_Wisata'!$A$12:$A$622, 0)))/2)^2 + COS(RADIANS(INDEX('Dataset_Wisata'!$C$12:$C$622, MATCH('Dashboard'!$C$9, 'Dataset_Wisata'!$A$12:$A$622, 0)))) * COS(RADIANS(C39)) * SIN(RADIANS((D39) - INDEX('Dataset_Wisata'!$D$12:$D$622, MATCH('Dashboard'!$C$9, 'Dataset_Wisata'!$A$12:$A$622, 0)))/2)^2)) * 1.3</f>
        <v/>
      </c>
      <c r="J39" s="21">
        <f>ROUND(I39 * IF('Dashboard'!$C$6&lt;=1, 2250, IF('Dashboard'!$C$6&lt;=4, 5150, 6000)), 0)</f>
        <v/>
      </c>
      <c r="K39" s="30" t="n">
        <v>0.9631066912928858</v>
      </c>
      <c r="L39" s="30" t="n">
        <v>0.0321455821344861</v>
      </c>
      <c r="M39" s="30" t="n">
        <v>0.004747726572627954</v>
      </c>
      <c r="N39" s="31">
        <f>ABS(E39-$F$6)</f>
        <v/>
      </c>
      <c r="O39" s="31">
        <f>ABS(E39-$F$7)</f>
        <v/>
      </c>
      <c r="P39" s="31">
        <f>ABS(E39-$F$8)</f>
        <v/>
      </c>
      <c r="Q39" s="14">
        <f>IF(K39&gt;=MAX(L39,M39), "Hemat", IF(L39&gt;=M39, "Balanced", "Premium"))</f>
        <v/>
      </c>
      <c r="R39" s="30" t="n">
        <v>0.963106695983622</v>
      </c>
      <c r="S39" s="30" t="n">
        <v>0.03214557860147575</v>
      </c>
      <c r="T39" s="30" t="n">
        <v>0.004747725414902122</v>
      </c>
      <c r="U39" s="31">
        <f>ABS(E39-$G$6)</f>
        <v/>
      </c>
      <c r="V39" s="31">
        <f>ABS(E39-$G$7)</f>
        <v/>
      </c>
      <c r="W39" s="31">
        <f>ABS(E39-$G$8)</f>
        <v/>
      </c>
      <c r="X39" s="14">
        <f>IF(R39&gt;=MAX(S39,T39), "Hemat", IF(S39&gt;=T39, "Balanced", "Premium"))</f>
        <v/>
      </c>
    </row>
    <row r="40">
      <c r="A40" s="14" t="n">
        <v>29</v>
      </c>
      <c r="B40" s="7" t="inlineStr">
        <is>
          <t>Bakso Heri</t>
        </is>
      </c>
      <c r="C40" s="26" t="n">
        <v>-7.7938492</v>
      </c>
      <c r="D40" s="26" t="n">
        <v>112.3501538</v>
      </c>
      <c r="E40" s="21" t="n">
        <v>25000</v>
      </c>
      <c r="F40" s="27" t="n">
        <v>4.3</v>
      </c>
      <c r="G40" s="28" t="n">
        <v>291</v>
      </c>
      <c r="H40" s="14" t="inlineStr">
        <is>
          <t>Wisata Umum</t>
        </is>
      </c>
      <c r="I40" s="29">
        <f>6371 * 2 * ASIN(SQRT(SIN(RADIANS((C40) - INDEX('Dataset_Wisata'!$C$12:$C$622, MATCH('Dashboard'!$C$9, 'Dataset_Wisata'!$A$12:$A$622, 0)))/2)^2 + COS(RADIANS(INDEX('Dataset_Wisata'!$C$12:$C$622, MATCH('Dashboard'!$C$9, 'Dataset_Wisata'!$A$12:$A$622, 0)))) * COS(RADIANS(C40)) * SIN(RADIANS((D40) - INDEX('Dataset_Wisata'!$D$12:$D$622, MATCH('Dashboard'!$C$9, 'Dataset_Wisata'!$A$12:$A$622, 0)))/2)^2)) * 1.3</f>
        <v/>
      </c>
      <c r="J40" s="21">
        <f>ROUND(I40 * IF('Dashboard'!$C$6&lt;=1, 2250, IF('Dashboard'!$C$6&lt;=4, 5150, 6000)), 0)</f>
        <v/>
      </c>
      <c r="K40" s="30" t="n">
        <v>0.0009460509590550509</v>
      </c>
      <c r="L40" s="30" t="n">
        <v>0.9988291129147837</v>
      </c>
      <c r="M40" s="30" t="n">
        <v>0.0002248361261612175</v>
      </c>
      <c r="N40" s="31">
        <f>ABS(E40-$F$6)</f>
        <v/>
      </c>
      <c r="O40" s="31">
        <f>ABS(E40-$F$7)</f>
        <v/>
      </c>
      <c r="P40" s="31">
        <f>ABS(E40-$F$8)</f>
        <v/>
      </c>
      <c r="Q40" s="14">
        <f>IF(K40&gt;=MAX(L40,M40), "Hemat", IF(L40&gt;=M40, "Balanced", "Premium"))</f>
        <v/>
      </c>
      <c r="R40" s="30" t="n">
        <v>0.0009460368639408893</v>
      </c>
      <c r="S40" s="30" t="n">
        <v>0.998829130253259</v>
      </c>
      <c r="T40" s="30" t="n">
        <v>0.0002248328828000856</v>
      </c>
      <c r="U40" s="31">
        <f>ABS(E40-$G$6)</f>
        <v/>
      </c>
      <c r="V40" s="31">
        <f>ABS(E40-$G$7)</f>
        <v/>
      </c>
      <c r="W40" s="31">
        <f>ABS(E40-$G$8)</f>
        <v/>
      </c>
      <c r="X40" s="14">
        <f>IF(R40&gt;=MAX(S40,T40), "Hemat", IF(S40&gt;=T40, "Balanced", "Premium"))</f>
        <v/>
      </c>
    </row>
    <row r="41">
      <c r="A41" s="14" t="n">
        <v>30</v>
      </c>
      <c r="B41" s="7" t="inlineStr">
        <is>
          <t>Bakso Pak Slamet Dua Putri</t>
        </is>
      </c>
      <c r="C41" s="26" t="n">
        <v>-7.788646</v>
      </c>
      <c r="D41" s="26" t="n">
        <v>112.3452768</v>
      </c>
      <c r="E41" s="21" t="n">
        <v>8000</v>
      </c>
      <c r="F41" s="27" t="n">
        <v>4.6</v>
      </c>
      <c r="G41" s="28" t="n">
        <v>33</v>
      </c>
      <c r="H41" s="14" t="inlineStr">
        <is>
          <t>Wisata Umum</t>
        </is>
      </c>
      <c r="I41" s="29">
        <f>6371 * 2 * ASIN(SQRT(SIN(RADIANS((C41) - INDEX('Dataset_Wisata'!$C$12:$C$622, MATCH('Dashboard'!$C$9, 'Dataset_Wisata'!$A$12:$A$622, 0)))/2)^2 + COS(RADIANS(INDEX('Dataset_Wisata'!$C$12:$C$622, MATCH('Dashboard'!$C$9, 'Dataset_Wisata'!$A$12:$A$622, 0)))) * COS(RADIANS(C41)) * SIN(RADIANS((D41) - INDEX('Dataset_Wisata'!$D$12:$D$622, MATCH('Dashboard'!$C$9, 'Dataset_Wisata'!$A$12:$A$622, 0)))/2)^2)) * 1.3</f>
        <v/>
      </c>
      <c r="J41" s="21">
        <f>ROUND(I41 * IF('Dashboard'!$C$6&lt;=1, 2250, IF('Dashboard'!$C$6&lt;=4, 5150, 6000)), 0)</f>
        <v/>
      </c>
      <c r="K41" s="30" t="n">
        <v>0.9039388019808103</v>
      </c>
      <c r="L41" s="30" t="n">
        <v>0.0815580567645619</v>
      </c>
      <c r="M41" s="30" t="n">
        <v>0.01450314125462772</v>
      </c>
      <c r="N41" s="31">
        <f>ABS(E41-$F$6)</f>
        <v/>
      </c>
      <c r="O41" s="31">
        <f>ABS(E41-$F$7)</f>
        <v/>
      </c>
      <c r="P41" s="31">
        <f>ABS(E41-$F$8)</f>
        <v/>
      </c>
      <c r="Q41" s="14">
        <f>IF(K41&gt;=MAX(L41,M41), "Hemat", IF(L41&gt;=M41, "Balanced", "Premium"))</f>
        <v/>
      </c>
      <c r="R41" s="30" t="n">
        <v>0.9039387979026794</v>
      </c>
      <c r="S41" s="30" t="n">
        <v>0.08155806140566645</v>
      </c>
      <c r="T41" s="30" t="n">
        <v>0.01450314069165419</v>
      </c>
      <c r="U41" s="31">
        <f>ABS(E41-$G$6)</f>
        <v/>
      </c>
      <c r="V41" s="31">
        <f>ABS(E41-$G$7)</f>
        <v/>
      </c>
      <c r="W41" s="31">
        <f>ABS(E41-$G$8)</f>
        <v/>
      </c>
      <c r="X41" s="14">
        <f>IF(R41&gt;=MAX(S41,T41), "Hemat", IF(S41&gt;=T41, "Balanced", "Premium"))</f>
        <v/>
      </c>
    </row>
    <row r="42">
      <c r="A42" s="14" t="n">
        <v>31</v>
      </c>
      <c r="B42" s="7" t="inlineStr">
        <is>
          <t>Daun Pule Resto &amp; Cafe</t>
        </is>
      </c>
      <c r="C42" s="26" t="n">
        <v>-8.333182600000001</v>
      </c>
      <c r="D42" s="26" t="n">
        <v>112.4548816</v>
      </c>
      <c r="E42" s="21" t="n">
        <v>48000</v>
      </c>
      <c r="F42" s="27" t="n">
        <v>4.8</v>
      </c>
      <c r="G42" s="28" t="n">
        <v>55</v>
      </c>
      <c r="H42" s="14" t="inlineStr">
        <is>
          <t>Restoran · Kampung Songo RT.61/13</t>
        </is>
      </c>
      <c r="I42" s="29">
        <f>6371 * 2 * ASIN(SQRT(SIN(RADIANS((C42) - INDEX('Dataset_Wisata'!$C$12:$C$622, MATCH('Dashboard'!$C$9, 'Dataset_Wisata'!$A$12:$A$622, 0)))/2)^2 + COS(RADIANS(INDEX('Dataset_Wisata'!$C$12:$C$622, MATCH('Dashboard'!$C$9, 'Dataset_Wisata'!$A$12:$A$622, 0)))) * COS(RADIANS(C42)) * SIN(RADIANS((D42) - INDEX('Dataset_Wisata'!$D$12:$D$622, MATCH('Dashboard'!$C$9, 'Dataset_Wisata'!$A$12:$A$622, 0)))/2)^2)) * 1.3</f>
        <v/>
      </c>
      <c r="J42" s="21">
        <f>ROUND(I42 * IF('Dashboard'!$C$6&lt;=1, 2250, IF('Dashboard'!$C$6&lt;=4, 5150, 6000)), 0)</f>
        <v/>
      </c>
      <c r="K42" s="30" t="n">
        <v>0.001134061024542266</v>
      </c>
      <c r="L42" s="30" t="n">
        <v>0.002677704609373422</v>
      </c>
      <c r="M42" s="30" t="n">
        <v>0.9961882343660844</v>
      </c>
      <c r="N42" s="31">
        <f>ABS(E42-$F$6)</f>
        <v/>
      </c>
      <c r="O42" s="31">
        <f>ABS(E42-$F$7)</f>
        <v/>
      </c>
      <c r="P42" s="31">
        <f>ABS(E42-$F$8)</f>
        <v/>
      </c>
      <c r="Q42" s="14">
        <f>IF(K42&gt;=MAX(L42,M42), "Hemat", IF(L42&gt;=M42, "Balanced", "Premium"))</f>
        <v/>
      </c>
      <c r="R42" s="30" t="n">
        <v>0.00113405251871314</v>
      </c>
      <c r="S42" s="30" t="n">
        <v>0.002677683990012418</v>
      </c>
      <c r="T42" s="30" t="n">
        <v>0.9961882634912744</v>
      </c>
      <c r="U42" s="31">
        <f>ABS(E42-$G$6)</f>
        <v/>
      </c>
      <c r="V42" s="31">
        <f>ABS(E42-$G$7)</f>
        <v/>
      </c>
      <c r="W42" s="31">
        <f>ABS(E42-$G$8)</f>
        <v/>
      </c>
      <c r="X42" s="14">
        <f>IF(R42&gt;=MAX(S42,T42), "Hemat", IF(S42&gt;=T42, "Balanced", "Premium"))</f>
        <v/>
      </c>
    </row>
    <row r="43">
      <c r="A43" s="14" t="n">
        <v>32</v>
      </c>
      <c r="B43" s="7" t="inlineStr">
        <is>
          <t>Warung Warna Warni</t>
        </is>
      </c>
      <c r="C43" s="26" t="n">
        <v>-8.297973900000001</v>
      </c>
      <c r="D43" s="26" t="n">
        <v>112.4305902</v>
      </c>
      <c r="E43" s="21" t="n">
        <v>9000</v>
      </c>
      <c r="F43" s="27" t="n">
        <v>4</v>
      </c>
      <c r="G43" s="28" t="n">
        <v>33</v>
      </c>
      <c r="H43" s="14" t="inlineStr">
        <is>
          <t>Warung Warna Warni</t>
        </is>
      </c>
      <c r="I43" s="29">
        <f>6371 * 2 * ASIN(SQRT(SIN(RADIANS((C43) - INDEX('Dataset_Wisata'!$C$12:$C$622, MATCH('Dashboard'!$C$9, 'Dataset_Wisata'!$A$12:$A$622, 0)))/2)^2 + COS(RADIANS(INDEX('Dataset_Wisata'!$C$12:$C$622, MATCH('Dashboard'!$C$9, 'Dataset_Wisata'!$A$12:$A$622, 0)))) * COS(RADIANS(C43)) * SIN(RADIANS((D43) - INDEX('Dataset_Wisata'!$D$12:$D$622, MATCH('Dashboard'!$C$9, 'Dataset_Wisata'!$A$12:$A$622, 0)))/2)^2)) * 1.3</f>
        <v/>
      </c>
      <c r="J43" s="21">
        <f>ROUND(I43 * IF('Dashboard'!$C$6&lt;=1, 2250, IF('Dashboard'!$C$6&lt;=4, 5150, 6000)), 0)</f>
        <v/>
      </c>
      <c r="K43" s="30" t="n">
        <v>0.928180477824419</v>
      </c>
      <c r="L43" s="30" t="n">
        <v>0.06160046714170742</v>
      </c>
      <c r="M43" s="30" t="n">
        <v>0.01021905503387346</v>
      </c>
      <c r="N43" s="31">
        <f>ABS(E43-$F$6)</f>
        <v/>
      </c>
      <c r="O43" s="31">
        <f>ABS(E43-$F$7)</f>
        <v/>
      </c>
      <c r="P43" s="31">
        <f>ABS(E43-$F$8)</f>
        <v/>
      </c>
      <c r="Q43" s="14">
        <f>IF(K43&gt;=MAX(L43,M43), "Hemat", IF(L43&gt;=M43, "Balanced", "Premium"))</f>
        <v/>
      </c>
      <c r="R43" s="30" t="n">
        <v>0.9281804774269427</v>
      </c>
      <c r="S43" s="30" t="n">
        <v>0.06160046844072192</v>
      </c>
      <c r="T43" s="30" t="n">
        <v>0.01021905413233554</v>
      </c>
      <c r="U43" s="31">
        <f>ABS(E43-$G$6)</f>
        <v/>
      </c>
      <c r="V43" s="31">
        <f>ABS(E43-$G$7)</f>
        <v/>
      </c>
      <c r="W43" s="31">
        <f>ABS(E43-$G$8)</f>
        <v/>
      </c>
      <c r="X43" s="14">
        <f>IF(R43&gt;=MAX(S43,T43), "Hemat", IF(S43&gt;=T43, "Balanced", "Premium"))</f>
        <v/>
      </c>
    </row>
    <row r="44">
      <c r="A44" s="14" t="n">
        <v>33</v>
      </c>
      <c r="B44" s="7" t="inlineStr">
        <is>
          <t>Ayam Geprek Sa'i Donomulyo</t>
        </is>
      </c>
      <c r="C44" s="26" t="n">
        <v>-8.293977</v>
      </c>
      <c r="D44" s="26" t="n">
        <v>112.4256022</v>
      </c>
      <c r="E44" s="21" t="n">
        <v>19424</v>
      </c>
      <c r="F44" s="27" t="n">
        <v>4.6</v>
      </c>
      <c r="G44" s="28" t="n">
        <v>145</v>
      </c>
      <c r="H44" s="14" t="inlineStr">
        <is>
          <t>Restoran · Jalan Raya Dawung</t>
        </is>
      </c>
      <c r="I44" s="29">
        <f>6371 * 2 * ASIN(SQRT(SIN(RADIANS((C44) - INDEX('Dataset_Wisata'!$C$12:$C$622, MATCH('Dashboard'!$C$9, 'Dataset_Wisata'!$A$12:$A$622, 0)))/2)^2 + COS(RADIANS(INDEX('Dataset_Wisata'!$C$12:$C$622, MATCH('Dashboard'!$C$9, 'Dataset_Wisata'!$A$12:$A$622, 0)))) * COS(RADIANS(C44)) * SIN(RADIANS((D44) - INDEX('Dataset_Wisata'!$D$12:$D$622, MATCH('Dashboard'!$C$9, 'Dataset_Wisata'!$A$12:$A$622, 0)))/2)^2)) * 1.3</f>
        <v/>
      </c>
      <c r="J44" s="21">
        <f>ROUND(I44 * IF('Dashboard'!$C$6&lt;=1, 2250, IF('Dashboard'!$C$6&lt;=4, 5150, 6000)), 0)</f>
        <v/>
      </c>
      <c r="K44" s="30" t="n">
        <v>0.4680442989438416</v>
      </c>
      <c r="L44" s="30" t="n">
        <v>0.5115701575687455</v>
      </c>
      <c r="M44" s="30" t="n">
        <v>0.02038554348741282</v>
      </c>
      <c r="N44" s="31">
        <f>ABS(E44-$F$6)</f>
        <v/>
      </c>
      <c r="O44" s="31">
        <f>ABS(E44-$F$7)</f>
        <v/>
      </c>
      <c r="P44" s="31">
        <f>ABS(E44-$F$8)</f>
        <v/>
      </c>
      <c r="Q44" s="14">
        <f>IF(K44&gt;=MAX(L44,M44), "Hemat", IF(L44&gt;=M44, "Balanced", "Premium"))</f>
        <v/>
      </c>
      <c r="R44" s="30" t="n">
        <v>0.4680440277676693</v>
      </c>
      <c r="S44" s="30" t="n">
        <v>0.5115704302857677</v>
      </c>
      <c r="T44" s="30" t="n">
        <v>0.02038554194656296</v>
      </c>
      <c r="U44" s="31">
        <f>ABS(E44-$G$6)</f>
        <v/>
      </c>
      <c r="V44" s="31">
        <f>ABS(E44-$G$7)</f>
        <v/>
      </c>
      <c r="W44" s="31">
        <f>ABS(E44-$G$8)</f>
        <v/>
      </c>
      <c r="X44" s="14">
        <f>IF(R44&gt;=MAX(S44,T44), "Hemat", IF(S44&gt;=T44, "Balanced", "Premium"))</f>
        <v/>
      </c>
    </row>
    <row r="45">
      <c r="A45" s="14" t="n">
        <v>34</v>
      </c>
      <c r="B45" s="7" t="inlineStr">
        <is>
          <t>Warung Mak Karti</t>
        </is>
      </c>
      <c r="C45" s="26" t="n">
        <v>-8.254054500000001</v>
      </c>
      <c r="D45" s="26" t="n">
        <v>112.3872783</v>
      </c>
      <c r="E45" s="21" t="n">
        <v>20950</v>
      </c>
      <c r="F45" s="27" t="n">
        <v>4.1</v>
      </c>
      <c r="G45" s="28" t="n">
        <v>56</v>
      </c>
      <c r="H45" s="14" t="inlineStr">
        <is>
          <t>Warung Mak Karti</t>
        </is>
      </c>
      <c r="I45" s="29">
        <f>6371 * 2 * ASIN(SQRT(SIN(RADIANS((C45) - INDEX('Dataset_Wisata'!$C$12:$C$622, MATCH('Dashboard'!$C$9, 'Dataset_Wisata'!$A$12:$A$622, 0)))/2)^2 + COS(RADIANS(INDEX('Dataset_Wisata'!$C$12:$C$622, MATCH('Dashboard'!$C$9, 'Dataset_Wisata'!$A$12:$A$622, 0)))) * COS(RADIANS(C45)) * SIN(RADIANS((D45) - INDEX('Dataset_Wisata'!$D$12:$D$622, MATCH('Dashboard'!$C$9, 'Dataset_Wisata'!$A$12:$A$622, 0)))/2)^2)) * 1.3</f>
        <v/>
      </c>
      <c r="J45" s="21">
        <f>ROUND(I45 * IF('Dashboard'!$C$6&lt;=1, 2250, IF('Dashboard'!$C$6&lt;=4, 5150, 6000)), 0)</f>
        <v/>
      </c>
      <c r="K45" s="30" t="n">
        <v>0.2411083723592607</v>
      </c>
      <c r="L45" s="30" t="n">
        <v>0.7407836019679142</v>
      </c>
      <c r="M45" s="30" t="n">
        <v>0.01810802567282502</v>
      </c>
      <c r="N45" s="31">
        <f>ABS(E45-$F$6)</f>
        <v/>
      </c>
      <c r="O45" s="31">
        <f>ABS(E45-$F$7)</f>
        <v/>
      </c>
      <c r="P45" s="31">
        <f>ABS(E45-$F$8)</f>
        <v/>
      </c>
      <c r="Q45" s="14">
        <f>IF(K45&gt;=MAX(L45,M45), "Hemat", IF(L45&gt;=M45, "Balanced", "Premium"))</f>
        <v/>
      </c>
      <c r="R45" s="30" t="n">
        <v>0.241108123054043</v>
      </c>
      <c r="S45" s="30" t="n">
        <v>0.7407838613284968</v>
      </c>
      <c r="T45" s="30" t="n">
        <v>0.01810801561746011</v>
      </c>
      <c r="U45" s="31">
        <f>ABS(E45-$G$6)</f>
        <v/>
      </c>
      <c r="V45" s="31">
        <f>ABS(E45-$G$7)</f>
        <v/>
      </c>
      <c r="W45" s="31">
        <f>ABS(E45-$G$8)</f>
        <v/>
      </c>
      <c r="X45" s="14">
        <f>IF(R45&gt;=MAX(S45,T45), "Hemat", IF(S45&gt;=T45, "Balanced", "Premium"))</f>
        <v/>
      </c>
    </row>
    <row r="46">
      <c r="A46" s="14" t="n">
        <v>35</v>
      </c>
      <c r="B46" s="7" t="inlineStr">
        <is>
          <t>Warung Sego Pecel Mbok SIBO (Mak Mi)</t>
        </is>
      </c>
      <c r="C46" s="26" t="n">
        <v>-8.271918700000001</v>
      </c>
      <c r="D46" s="26" t="n">
        <v>112.3845631</v>
      </c>
      <c r="E46" s="21" t="n">
        <v>8000</v>
      </c>
      <c r="F46" s="27" t="n">
        <v>4.7</v>
      </c>
      <c r="G46" s="28" t="n">
        <v>66</v>
      </c>
      <c r="H46" s="14" t="inlineStr">
        <is>
          <t>Wisata Umum</t>
        </is>
      </c>
      <c r="I46" s="29">
        <f>6371 * 2 * ASIN(SQRT(SIN(RADIANS((C46) - INDEX('Dataset_Wisata'!$C$12:$C$622, MATCH('Dashboard'!$C$9, 'Dataset_Wisata'!$A$12:$A$622, 0)))/2)^2 + COS(RADIANS(INDEX('Dataset_Wisata'!$C$12:$C$622, MATCH('Dashboard'!$C$9, 'Dataset_Wisata'!$A$12:$A$622, 0)))) * COS(RADIANS(C46)) * SIN(RADIANS((D46) - INDEX('Dataset_Wisata'!$D$12:$D$622, MATCH('Dashboard'!$C$9, 'Dataset_Wisata'!$A$12:$A$622, 0)))/2)^2)) * 1.3</f>
        <v/>
      </c>
      <c r="J46" s="21">
        <f>ROUND(I46 * IF('Dashboard'!$C$6&lt;=1, 2250, IF('Dashboard'!$C$6&lt;=4, 5150, 6000)), 0)</f>
        <v/>
      </c>
      <c r="K46" s="30" t="n">
        <v>0.9039388019808103</v>
      </c>
      <c r="L46" s="30" t="n">
        <v>0.0815580567645619</v>
      </c>
      <c r="M46" s="30" t="n">
        <v>0.01450314125462772</v>
      </c>
      <c r="N46" s="31">
        <f>ABS(E46-$F$6)</f>
        <v/>
      </c>
      <c r="O46" s="31">
        <f>ABS(E46-$F$7)</f>
        <v/>
      </c>
      <c r="P46" s="31">
        <f>ABS(E46-$F$8)</f>
        <v/>
      </c>
      <c r="Q46" s="14">
        <f>IF(K46&gt;=MAX(L46,M46), "Hemat", IF(L46&gt;=M46, "Balanced", "Premium"))</f>
        <v/>
      </c>
      <c r="R46" s="30" t="n">
        <v>0.9039387979026794</v>
      </c>
      <c r="S46" s="30" t="n">
        <v>0.08155806140566645</v>
      </c>
      <c r="T46" s="30" t="n">
        <v>0.01450314069165419</v>
      </c>
      <c r="U46" s="31">
        <f>ABS(E46-$G$6)</f>
        <v/>
      </c>
      <c r="V46" s="31">
        <f>ABS(E46-$G$7)</f>
        <v/>
      </c>
      <c r="W46" s="31">
        <f>ABS(E46-$G$8)</f>
        <v/>
      </c>
      <c r="X46" s="14">
        <f>IF(R46&gt;=MAX(S46,T46), "Hemat", IF(S46&gt;=T46, "Balanced", "Premium"))</f>
        <v/>
      </c>
    </row>
    <row r="47">
      <c r="A47" s="14" t="n">
        <v>36</v>
      </c>
      <c r="B47" s="7" t="inlineStr">
        <is>
          <t>Warung Barokah</t>
        </is>
      </c>
      <c r="C47" s="26" t="n">
        <v>-8.272202</v>
      </c>
      <c r="D47" s="26" t="n">
        <v>112.4302413</v>
      </c>
      <c r="E47" s="21" t="n">
        <v>15000</v>
      </c>
      <c r="F47" s="27" t="n">
        <v>4</v>
      </c>
      <c r="G47" s="28" t="n">
        <v>57</v>
      </c>
      <c r="H47" s="14" t="inlineStr">
        <is>
          <t>Warung Barokah</t>
        </is>
      </c>
      <c r="I47" s="29">
        <f>6371 * 2 * ASIN(SQRT(SIN(RADIANS((C47) - INDEX('Dataset_Wisata'!$C$12:$C$622, MATCH('Dashboard'!$C$9, 'Dataset_Wisata'!$A$12:$A$622, 0)))/2)^2 + COS(RADIANS(INDEX('Dataset_Wisata'!$C$12:$C$622, MATCH('Dashboard'!$C$9, 'Dataset_Wisata'!$A$12:$A$622, 0)))) * COS(RADIANS(C47)) * SIN(RADIANS((D47) - INDEX('Dataset_Wisata'!$D$12:$D$622, MATCH('Dashboard'!$C$9, 'Dataset_Wisata'!$A$12:$A$622, 0)))/2)^2)) * 1.3</f>
        <v/>
      </c>
      <c r="J47" s="21">
        <f>ROUND(I47 * IF('Dashboard'!$C$6&lt;=1, 2250, IF('Dashboard'!$C$6&lt;=4, 5150, 6000)), 0)</f>
        <v/>
      </c>
      <c r="K47" s="30" t="n">
        <v>0.9686283169848018</v>
      </c>
      <c r="L47" s="30" t="n">
        <v>0.02872990537067274</v>
      </c>
      <c r="M47" s="30" t="n">
        <v>0.002641777644525457</v>
      </c>
      <c r="N47" s="31">
        <f>ABS(E47-$F$6)</f>
        <v/>
      </c>
      <c r="O47" s="31">
        <f>ABS(E47-$F$7)</f>
        <v/>
      </c>
      <c r="P47" s="31">
        <f>ABS(E47-$F$8)</f>
        <v/>
      </c>
      <c r="Q47" s="14">
        <f>IF(K47&gt;=MAX(L47,M47), "Hemat", IF(L47&gt;=M47, "Balanced", "Premium"))</f>
        <v/>
      </c>
      <c r="R47" s="30" t="n">
        <v>0.9686282798936615</v>
      </c>
      <c r="S47" s="30" t="n">
        <v>0.02872993996961344</v>
      </c>
      <c r="T47" s="30" t="n">
        <v>0.002641780136725144</v>
      </c>
      <c r="U47" s="31">
        <f>ABS(E47-$G$6)</f>
        <v/>
      </c>
      <c r="V47" s="31">
        <f>ABS(E47-$G$7)</f>
        <v/>
      </c>
      <c r="W47" s="31">
        <f>ABS(E47-$G$8)</f>
        <v/>
      </c>
      <c r="X47" s="14">
        <f>IF(R47&gt;=MAX(S47,T47), "Hemat", IF(S47&gt;=T47, "Balanced", "Premium"))</f>
        <v/>
      </c>
    </row>
    <row r="48">
      <c r="A48" s="14" t="n">
        <v>37</v>
      </c>
      <c r="B48" s="7" t="inlineStr">
        <is>
          <t>Waroeng Janur Kuning</t>
        </is>
      </c>
      <c r="C48" s="26" t="n">
        <v>-8.2088462</v>
      </c>
      <c r="D48" s="26" t="n">
        <v>112.458862</v>
      </c>
      <c r="E48" s="21" t="n">
        <v>21500</v>
      </c>
      <c r="F48" s="27" t="n">
        <v>4.5</v>
      </c>
      <c r="G48" s="28" t="n">
        <v>122</v>
      </c>
      <c r="H48" s="14" t="inlineStr">
        <is>
          <t>Wisata Umum</t>
        </is>
      </c>
      <c r="I48" s="29">
        <f>6371 * 2 * ASIN(SQRT(SIN(RADIANS((C48) - INDEX('Dataset_Wisata'!$C$12:$C$622, MATCH('Dashboard'!$C$9, 'Dataset_Wisata'!$A$12:$A$622, 0)))/2)^2 + COS(RADIANS(INDEX('Dataset_Wisata'!$C$12:$C$622, MATCH('Dashboard'!$C$9, 'Dataset_Wisata'!$A$12:$A$622, 0)))) * COS(RADIANS(C48)) * SIN(RADIANS((D48) - INDEX('Dataset_Wisata'!$D$12:$D$622, MATCH('Dashboard'!$C$9, 'Dataset_Wisata'!$A$12:$A$622, 0)))/2)^2)) * 1.3</f>
        <v/>
      </c>
      <c r="J48" s="21">
        <f>ROUND(I48 * IF('Dashboard'!$C$6&lt;=1, 2250, IF('Dashboard'!$C$6&lt;=4, 5150, 6000)), 0)</f>
        <v/>
      </c>
      <c r="K48" s="30" t="n">
        <v>0.175753577330791</v>
      </c>
      <c r="L48" s="30" t="n">
        <v>0.80849487551433</v>
      </c>
      <c r="M48" s="30" t="n">
        <v>0.015751547154879</v>
      </c>
      <c r="N48" s="31">
        <f>ABS(E48-$F$6)</f>
        <v/>
      </c>
      <c r="O48" s="31">
        <f>ABS(E48-$F$7)</f>
        <v/>
      </c>
      <c r="P48" s="31">
        <f>ABS(E48-$F$8)</f>
        <v/>
      </c>
      <c r="Q48" s="14">
        <f>IF(K48&gt;=MAX(L48,M48), "Hemat", IF(L48&gt;=M48, "Balanced", "Premium"))</f>
        <v/>
      </c>
      <c r="R48" s="30" t="n">
        <v>0.1757533562963015</v>
      </c>
      <c r="S48" s="30" t="n">
        <v>0.8084951088955854</v>
      </c>
      <c r="T48" s="30" t="n">
        <v>0.01575153480811302</v>
      </c>
      <c r="U48" s="31">
        <f>ABS(E48-$G$6)</f>
        <v/>
      </c>
      <c r="V48" s="31">
        <f>ABS(E48-$G$7)</f>
        <v/>
      </c>
      <c r="W48" s="31">
        <f>ABS(E48-$G$8)</f>
        <v/>
      </c>
      <c r="X48" s="14">
        <f>IF(R48&gt;=MAX(S48,T48), "Hemat", IF(S48&gt;=T48, "Balanced", "Premium"))</f>
        <v/>
      </c>
    </row>
    <row r="49">
      <c r="A49" s="14" t="n">
        <v>38</v>
      </c>
      <c r="B49" s="7" t="inlineStr">
        <is>
          <t>Kedai Bamboe</t>
        </is>
      </c>
      <c r="C49" s="26" t="n">
        <v>-7.903745</v>
      </c>
      <c r="D49" s="26" t="n">
        <v>112.373322</v>
      </c>
      <c r="E49" s="21" t="n">
        <v>9000</v>
      </c>
      <c r="F49" s="27" t="n">
        <v>3.8</v>
      </c>
      <c r="G49" s="28" t="n">
        <v>23</v>
      </c>
      <c r="H49" s="14" t="inlineStr">
        <is>
          <t>Wisata Umum</t>
        </is>
      </c>
      <c r="I49" s="29">
        <f>6371 * 2 * ASIN(SQRT(SIN(RADIANS((C49) - INDEX('Dataset_Wisata'!$C$12:$C$622, MATCH('Dashboard'!$C$9, 'Dataset_Wisata'!$A$12:$A$622, 0)))/2)^2 + COS(RADIANS(INDEX('Dataset_Wisata'!$C$12:$C$622, MATCH('Dashboard'!$C$9, 'Dataset_Wisata'!$A$12:$A$622, 0)))) * COS(RADIANS(C49)) * SIN(RADIANS((D49) - INDEX('Dataset_Wisata'!$D$12:$D$622, MATCH('Dashboard'!$C$9, 'Dataset_Wisata'!$A$12:$A$622, 0)))/2)^2)) * 1.3</f>
        <v/>
      </c>
      <c r="J49" s="21">
        <f>ROUND(I49 * IF('Dashboard'!$C$6&lt;=1, 2250, IF('Dashboard'!$C$6&lt;=4, 5150, 6000)), 0)</f>
        <v/>
      </c>
      <c r="K49" s="30" t="n">
        <v>0.928180477824419</v>
      </c>
      <c r="L49" s="30" t="n">
        <v>0.06160046714170742</v>
      </c>
      <c r="M49" s="30" t="n">
        <v>0.01021905503387346</v>
      </c>
      <c r="N49" s="31">
        <f>ABS(E49-$F$6)</f>
        <v/>
      </c>
      <c r="O49" s="31">
        <f>ABS(E49-$F$7)</f>
        <v/>
      </c>
      <c r="P49" s="31">
        <f>ABS(E49-$F$8)</f>
        <v/>
      </c>
      <c r="Q49" s="14">
        <f>IF(K49&gt;=MAX(L49,M49), "Hemat", IF(L49&gt;=M49, "Balanced", "Premium"))</f>
        <v/>
      </c>
      <c r="R49" s="30" t="n">
        <v>0.9281804774269427</v>
      </c>
      <c r="S49" s="30" t="n">
        <v>0.06160046844072192</v>
      </c>
      <c r="T49" s="30" t="n">
        <v>0.01021905413233554</v>
      </c>
      <c r="U49" s="31">
        <f>ABS(E49-$G$6)</f>
        <v/>
      </c>
      <c r="V49" s="31">
        <f>ABS(E49-$G$7)</f>
        <v/>
      </c>
      <c r="W49" s="31">
        <f>ABS(E49-$G$8)</f>
        <v/>
      </c>
      <c r="X49" s="14">
        <f>IF(R49&gt;=MAX(S49,T49), "Hemat", IF(S49&gt;=T49, "Balanced", "Premium"))</f>
        <v/>
      </c>
    </row>
    <row r="50">
      <c r="A50" s="14" t="n">
        <v>39</v>
      </c>
      <c r="B50" s="7" t="inlineStr">
        <is>
          <t>Warung Bu Yuli</t>
        </is>
      </c>
      <c r="C50" s="26" t="n">
        <v>-7.8614459</v>
      </c>
      <c r="D50" s="26" t="n">
        <v>112.4279147</v>
      </c>
      <c r="E50" s="21" t="n">
        <v>11500</v>
      </c>
      <c r="F50" s="27" t="n">
        <v>4.4</v>
      </c>
      <c r="G50" s="28" t="n">
        <v>134</v>
      </c>
      <c r="H50" s="14" t="inlineStr">
        <is>
          <t>Warung Bu Yuli</t>
        </is>
      </c>
      <c r="I50" s="29">
        <f>6371 * 2 * ASIN(SQRT(SIN(RADIANS((C50) - INDEX('Dataset_Wisata'!$C$12:$C$622, MATCH('Dashboard'!$C$9, 'Dataset_Wisata'!$A$12:$A$622, 0)))/2)^2 + COS(RADIANS(INDEX('Dataset_Wisata'!$C$12:$C$622, MATCH('Dashboard'!$C$9, 'Dataset_Wisata'!$A$12:$A$622, 0)))) * COS(RADIANS(C50)) * SIN(RADIANS((D50) - INDEX('Dataset_Wisata'!$D$12:$D$622, MATCH('Dashboard'!$C$9, 'Dataset_Wisata'!$A$12:$A$622, 0)))/2)^2)) * 1.3</f>
        <v/>
      </c>
      <c r="J50" s="21">
        <f>ROUND(I50 * IF('Dashboard'!$C$6&lt;=1, 2250, IF('Dashboard'!$C$6&lt;=4, 5150, 6000)), 0)</f>
        <v/>
      </c>
      <c r="K50" s="30" t="n">
        <v>0.9829132746411883</v>
      </c>
      <c r="L50" s="30" t="n">
        <v>0.01504907648339002</v>
      </c>
      <c r="M50" s="30" t="n">
        <v>0.00203764887542164</v>
      </c>
      <c r="N50" s="31">
        <f>ABS(E50-$F$6)</f>
        <v/>
      </c>
      <c r="O50" s="31">
        <f>ABS(E50-$F$7)</f>
        <v/>
      </c>
      <c r="P50" s="31">
        <f>ABS(E50-$F$8)</f>
        <v/>
      </c>
      <c r="Q50" s="14">
        <f>IF(K50&gt;=MAX(L50,M50), "Hemat", IF(L50&gt;=M50, "Balanced", "Premium"))</f>
        <v/>
      </c>
      <c r="R50" s="30" t="n">
        <v>0.9829132811009377</v>
      </c>
      <c r="S50" s="30" t="n">
        <v>0.01504907107031075</v>
      </c>
      <c r="T50" s="30" t="n">
        <v>0.002037647828751567</v>
      </c>
      <c r="U50" s="31">
        <f>ABS(E50-$G$6)</f>
        <v/>
      </c>
      <c r="V50" s="31">
        <f>ABS(E50-$G$7)</f>
        <v/>
      </c>
      <c r="W50" s="31">
        <f>ABS(E50-$G$8)</f>
        <v/>
      </c>
      <c r="X50" s="14">
        <f>IF(R50&gt;=MAX(S50,T50), "Hemat", IF(S50&gt;=T50, "Balanced", "Premium"))</f>
        <v/>
      </c>
    </row>
    <row r="51">
      <c r="A51" s="14" t="n">
        <v>40</v>
      </c>
      <c r="B51" s="7" t="inlineStr">
        <is>
          <t>Lumintu Strawberry Cafe &amp; Resto</t>
        </is>
      </c>
      <c r="C51" s="26" t="n">
        <v>-7.8549986</v>
      </c>
      <c r="D51" s="26" t="n">
        <v>112.4549104</v>
      </c>
      <c r="E51" s="21" t="n">
        <v>15500</v>
      </c>
      <c r="F51" s="27" t="n">
        <v>4.3</v>
      </c>
      <c r="G51" s="28" t="n">
        <v>145</v>
      </c>
      <c r="H51" s="14" t="inlineStr">
        <is>
          <t>Restoran · 4FW3+5M5</t>
        </is>
      </c>
      <c r="I51" s="29">
        <f>6371 * 2 * ASIN(SQRT(SIN(RADIANS((C51) - INDEX('Dataset_Wisata'!$C$12:$C$622, MATCH('Dashboard'!$C$9, 'Dataset_Wisata'!$A$12:$A$622, 0)))/2)^2 + COS(RADIANS(INDEX('Dataset_Wisata'!$C$12:$C$622, MATCH('Dashboard'!$C$9, 'Dataset_Wisata'!$A$12:$A$622, 0)))) * COS(RADIANS(C51)) * SIN(RADIANS((D51) - INDEX('Dataset_Wisata'!$D$12:$D$622, MATCH('Dashboard'!$C$9, 'Dataset_Wisata'!$A$12:$A$622, 0)))/2)^2)) * 1.3</f>
        <v/>
      </c>
      <c r="J51" s="21">
        <f>ROUND(I51 * IF('Dashboard'!$C$6&lt;=1, 2250, IF('Dashboard'!$C$6&lt;=4, 5150, 6000)), 0)</f>
        <v/>
      </c>
      <c r="K51" s="30" t="n">
        <v>0.9449432442408515</v>
      </c>
      <c r="L51" s="30" t="n">
        <v>0.05070687831140908</v>
      </c>
      <c r="M51" s="30" t="n">
        <v>0.004349877447739512</v>
      </c>
      <c r="N51" s="31">
        <f>ABS(E51-$F$6)</f>
        <v/>
      </c>
      <c r="O51" s="31">
        <f>ABS(E51-$F$7)</f>
        <v/>
      </c>
      <c r="P51" s="31">
        <f>ABS(E51-$F$8)</f>
        <v/>
      </c>
      <c r="Q51" s="14">
        <f>IF(K51&gt;=MAX(L51,M51), "Hemat", IF(L51&gt;=M51, "Balanced", "Premium"))</f>
        <v/>
      </c>
      <c r="R51" s="30" t="n">
        <v>0.944943187640449</v>
      </c>
      <c r="S51" s="30" t="n">
        <v>0.05070693157515045</v>
      </c>
      <c r="T51" s="30" t="n">
        <v>0.004349880784400502</v>
      </c>
      <c r="U51" s="31">
        <f>ABS(E51-$G$6)</f>
        <v/>
      </c>
      <c r="V51" s="31">
        <f>ABS(E51-$G$7)</f>
        <v/>
      </c>
      <c r="W51" s="31">
        <f>ABS(E51-$G$8)</f>
        <v/>
      </c>
      <c r="X51" s="14">
        <f>IF(R51&gt;=MAX(S51,T51), "Hemat", IF(S51&gt;=T51, "Balanced", "Premium"))</f>
        <v/>
      </c>
    </row>
    <row r="52">
      <c r="A52" s="14" t="n">
        <v>41</v>
      </c>
      <c r="B52" s="7" t="inlineStr">
        <is>
          <t>Cafe Sawah Pujonkidul</t>
        </is>
      </c>
      <c r="C52" s="26" t="n">
        <v>-7.8545719</v>
      </c>
      <c r="D52" s="26" t="n">
        <v>112.4538339</v>
      </c>
      <c r="E52" s="21" t="n">
        <v>17500</v>
      </c>
      <c r="F52" s="27" t="n">
        <v>4.5</v>
      </c>
      <c r="G52" s="28" t="n">
        <v>19046</v>
      </c>
      <c r="H52" s="14" t="inlineStr">
        <is>
          <t>Wisata Umum</t>
        </is>
      </c>
      <c r="I52" s="29">
        <f>6371 * 2 * ASIN(SQRT(SIN(RADIANS((C52) - INDEX('Dataset_Wisata'!$C$12:$C$622, MATCH('Dashboard'!$C$9, 'Dataset_Wisata'!$A$12:$A$622, 0)))/2)^2 + COS(RADIANS(INDEX('Dataset_Wisata'!$C$12:$C$622, MATCH('Dashboard'!$C$9, 'Dataset_Wisata'!$A$12:$A$622, 0)))) * COS(RADIANS(C52)) * SIN(RADIANS((D52) - INDEX('Dataset_Wisata'!$D$12:$D$622, MATCH('Dashboard'!$C$9, 'Dataset_Wisata'!$A$12:$A$622, 0)))/2)^2)) * 1.3</f>
        <v/>
      </c>
      <c r="J52" s="21">
        <f>ROUND(I52 * IF('Dashboard'!$C$6&lt;=1, 2250, IF('Dashboard'!$C$6&lt;=4, 5150, 6000)), 0)</f>
        <v/>
      </c>
      <c r="K52" s="30" t="n">
        <v>0.7603071924879298</v>
      </c>
      <c r="L52" s="30" t="n">
        <v>0.2257795038870261</v>
      </c>
      <c r="M52" s="30" t="n">
        <v>0.0139133036250441</v>
      </c>
      <c r="N52" s="31">
        <f>ABS(E52-$F$6)</f>
        <v/>
      </c>
      <c r="O52" s="31">
        <f>ABS(E52-$F$7)</f>
        <v/>
      </c>
      <c r="P52" s="31">
        <f>ABS(E52-$F$8)</f>
        <v/>
      </c>
      <c r="Q52" s="14">
        <f>IF(K52&gt;=MAX(L52,M52), "Hemat", IF(L52&gt;=M52, "Balanced", "Premium"))</f>
        <v/>
      </c>
      <c r="R52" s="30" t="n">
        <v>0.7603070173234607</v>
      </c>
      <c r="S52" s="30" t="n">
        <v>0.2257796741964144</v>
      </c>
      <c r="T52" s="30" t="n">
        <v>0.01391330848012476</v>
      </c>
      <c r="U52" s="31">
        <f>ABS(E52-$G$6)</f>
        <v/>
      </c>
      <c r="V52" s="31">
        <f>ABS(E52-$G$7)</f>
        <v/>
      </c>
      <c r="W52" s="31">
        <f>ABS(E52-$G$8)</f>
        <v/>
      </c>
      <c r="X52" s="14">
        <f>IF(R52&gt;=MAX(S52,T52), "Hemat", IF(S52&gt;=T52, "Balanced", "Premium"))</f>
        <v/>
      </c>
    </row>
    <row r="53">
      <c r="A53" s="14" t="n">
        <v>42</v>
      </c>
      <c r="B53" s="7" t="inlineStr">
        <is>
          <t>Depot Supo Cafe and Resto</t>
        </is>
      </c>
      <c r="C53" s="26" t="n">
        <v>-7.8623197</v>
      </c>
      <c r="D53" s="26" t="n">
        <v>112.4965046</v>
      </c>
      <c r="E53" s="21" t="n">
        <v>19500</v>
      </c>
      <c r="F53" s="27" t="n">
        <v>4.7</v>
      </c>
      <c r="G53" s="28" t="n">
        <v>80</v>
      </c>
      <c r="H53" s="14" t="inlineStr">
        <is>
          <t>Restoran · Jl. Arumdalu No.54</t>
        </is>
      </c>
      <c r="I53" s="29">
        <f>6371 * 2 * ASIN(SQRT(SIN(RADIANS((C53) - INDEX('Dataset_Wisata'!$C$12:$C$622, MATCH('Dashboard'!$C$9, 'Dataset_Wisata'!$A$12:$A$622, 0)))/2)^2 + COS(RADIANS(INDEX('Dataset_Wisata'!$C$12:$C$622, MATCH('Dashboard'!$C$9, 'Dataset_Wisata'!$A$12:$A$622, 0)))) * COS(RADIANS(C53)) * SIN(RADIANS((D53) - INDEX('Dataset_Wisata'!$D$12:$D$622, MATCH('Dashboard'!$C$9, 'Dataset_Wisata'!$A$12:$A$622, 0)))/2)^2)) * 1.3</f>
        <v/>
      </c>
      <c r="J53" s="21">
        <f>ROUND(I53 * IF('Dashboard'!$C$6&lt;=1, 2250, IF('Dashboard'!$C$6&lt;=4, 5150, 6000)), 0)</f>
        <v/>
      </c>
      <c r="K53" s="30" t="n">
        <v>0.4557889535565174</v>
      </c>
      <c r="L53" s="30" t="n">
        <v>0.5237659720581146</v>
      </c>
      <c r="M53" s="30" t="n">
        <v>0.02044507438536788</v>
      </c>
      <c r="N53" s="31">
        <f>ABS(E53-$F$6)</f>
        <v/>
      </c>
      <c r="O53" s="31">
        <f>ABS(E53-$F$7)</f>
        <v/>
      </c>
      <c r="P53" s="31">
        <f>ABS(E53-$F$8)</f>
        <v/>
      </c>
      <c r="Q53" s="14">
        <f>IF(K53&gt;=MAX(L53,M53), "Hemat", IF(L53&gt;=M53, "Balanced", "Premium"))</f>
        <v/>
      </c>
      <c r="R53" s="30" t="n">
        <v>0.4557886811023241</v>
      </c>
      <c r="S53" s="30" t="n">
        <v>0.523766246469491</v>
      </c>
      <c r="T53" s="30" t="n">
        <v>0.02044507242818502</v>
      </c>
      <c r="U53" s="31">
        <f>ABS(E53-$G$6)</f>
        <v/>
      </c>
      <c r="V53" s="31">
        <f>ABS(E53-$G$7)</f>
        <v/>
      </c>
      <c r="W53" s="31">
        <f>ABS(E53-$G$8)</f>
        <v/>
      </c>
      <c r="X53" s="14">
        <f>IF(R53&gt;=MAX(S53,T53), "Hemat", IF(S53&gt;=T53, "Balanced", "Premium"))</f>
        <v/>
      </c>
    </row>
    <row r="54">
      <c r="A54" s="14" t="n">
        <v>43</v>
      </c>
      <c r="B54" s="7" t="inlineStr">
        <is>
          <t>Warung Bukit Berbunga</t>
        </is>
      </c>
      <c r="C54" s="26" t="n">
        <v>-7.8547795</v>
      </c>
      <c r="D54" s="26" t="n">
        <v>112.4390048</v>
      </c>
      <c r="E54" s="21" t="n">
        <v>10500</v>
      </c>
      <c r="F54" s="27" t="n">
        <v>4.4</v>
      </c>
      <c r="G54" s="28" t="n">
        <v>97</v>
      </c>
      <c r="H54" s="14" t="inlineStr">
        <is>
          <t>Warung Bukit Berbunga</t>
        </is>
      </c>
      <c r="I54" s="29">
        <f>6371 * 2 * ASIN(SQRT(SIN(RADIANS((C54) - INDEX('Dataset_Wisata'!$C$12:$C$622, MATCH('Dashboard'!$C$9, 'Dataset_Wisata'!$A$12:$A$622, 0)))/2)^2 + COS(RADIANS(INDEX('Dataset_Wisata'!$C$12:$C$622, MATCH('Dashboard'!$C$9, 'Dataset_Wisata'!$A$12:$A$622, 0)))) * COS(RADIANS(C54)) * SIN(RADIANS((D54) - INDEX('Dataset_Wisata'!$D$12:$D$622, MATCH('Dashboard'!$C$9, 'Dataset_Wisata'!$A$12:$A$622, 0)))/2)^2)) * 1.3</f>
        <v/>
      </c>
      <c r="J54" s="21">
        <f>ROUND(I54 * IF('Dashboard'!$C$6&lt;=1, 2250, IF('Dashboard'!$C$6&lt;=4, 5150, 6000)), 0)</f>
        <v/>
      </c>
      <c r="K54" s="30" t="n">
        <v>0.9631066912928858</v>
      </c>
      <c r="L54" s="30" t="n">
        <v>0.0321455821344861</v>
      </c>
      <c r="M54" s="30" t="n">
        <v>0.004747726572627954</v>
      </c>
      <c r="N54" s="31">
        <f>ABS(E54-$F$6)</f>
        <v/>
      </c>
      <c r="O54" s="31">
        <f>ABS(E54-$F$7)</f>
        <v/>
      </c>
      <c r="P54" s="31">
        <f>ABS(E54-$F$8)</f>
        <v/>
      </c>
      <c r="Q54" s="14">
        <f>IF(K54&gt;=MAX(L54,M54), "Hemat", IF(L54&gt;=M54, "Balanced", "Premium"))</f>
        <v/>
      </c>
      <c r="R54" s="30" t="n">
        <v>0.963106695983622</v>
      </c>
      <c r="S54" s="30" t="n">
        <v>0.03214557860147575</v>
      </c>
      <c r="T54" s="30" t="n">
        <v>0.004747725414902122</v>
      </c>
      <c r="U54" s="31">
        <f>ABS(E54-$G$6)</f>
        <v/>
      </c>
      <c r="V54" s="31">
        <f>ABS(E54-$G$7)</f>
        <v/>
      </c>
      <c r="W54" s="31">
        <f>ABS(E54-$G$8)</f>
        <v/>
      </c>
      <c r="X54" s="14">
        <f>IF(R54&gt;=MAX(S54,T54), "Hemat", IF(S54&gt;=T54, "Balanced", "Premium"))</f>
        <v/>
      </c>
    </row>
    <row r="55">
      <c r="A55" s="14" t="n">
        <v>44</v>
      </c>
      <c r="B55" s="7" t="inlineStr">
        <is>
          <t>Bakso Utama Dewi Sri</t>
        </is>
      </c>
      <c r="C55" s="26" t="n">
        <v>-7.8399117</v>
      </c>
      <c r="D55" s="26" t="n">
        <v>112.4499581</v>
      </c>
      <c r="E55" s="21" t="n">
        <v>12000</v>
      </c>
      <c r="F55" s="27" t="n">
        <v>4.5</v>
      </c>
      <c r="G55" s="28" t="n">
        <v>112</v>
      </c>
      <c r="H55" s="14" t="inlineStr">
        <is>
          <t>Wisata Umum</t>
        </is>
      </c>
      <c r="I55" s="29">
        <f>6371 * 2 * ASIN(SQRT(SIN(RADIANS((C55) - INDEX('Dataset_Wisata'!$C$12:$C$622, MATCH('Dashboard'!$C$9, 'Dataset_Wisata'!$A$12:$A$622, 0)))/2)^2 + COS(RADIANS(INDEX('Dataset_Wisata'!$C$12:$C$622, MATCH('Dashboard'!$C$9, 'Dataset_Wisata'!$A$12:$A$622, 0)))) * COS(RADIANS(C55)) * SIN(RADIANS((D55) - INDEX('Dataset_Wisata'!$D$12:$D$622, MATCH('Dashboard'!$C$9, 'Dataset_Wisata'!$A$12:$A$622, 0)))/2)^2)) * 1.3</f>
        <v/>
      </c>
      <c r="J55" s="21">
        <f>ROUND(I55 * IF('Dashboard'!$C$6&lt;=1, 2250, IF('Dashboard'!$C$6&lt;=4, 5150, 6000)), 0)</f>
        <v/>
      </c>
      <c r="K55" s="30" t="n">
        <v>0.9907459480940729</v>
      </c>
      <c r="L55" s="30" t="n">
        <v>0.008195110232283047</v>
      </c>
      <c r="M55" s="30" t="n">
        <v>0.001058941673643979</v>
      </c>
      <c r="N55" s="31">
        <f>ABS(E55-$F$6)</f>
        <v/>
      </c>
      <c r="O55" s="31">
        <f>ABS(E55-$F$7)</f>
        <v/>
      </c>
      <c r="P55" s="31">
        <f>ABS(E55-$F$8)</f>
        <v/>
      </c>
      <c r="Q55" s="14">
        <f>IF(K55&gt;=MAX(L55,M55), "Hemat", IF(L55&gt;=M55, "Balanced", "Premium"))</f>
        <v/>
      </c>
      <c r="R55" s="30" t="n">
        <v>0.9907459543354936</v>
      </c>
      <c r="S55" s="30" t="n">
        <v>0.008195104860105683</v>
      </c>
      <c r="T55" s="30" t="n">
        <v>0.0010589408044008</v>
      </c>
      <c r="U55" s="31">
        <f>ABS(E55-$G$6)</f>
        <v/>
      </c>
      <c r="V55" s="31">
        <f>ABS(E55-$G$7)</f>
        <v/>
      </c>
      <c r="W55" s="31">
        <f>ABS(E55-$G$8)</f>
        <v/>
      </c>
      <c r="X55" s="14">
        <f>IF(R55&gt;=MAX(S55,T55), "Hemat", IF(S55&gt;=T55, "Balanced", "Premium"))</f>
        <v/>
      </c>
    </row>
    <row r="56">
      <c r="A56" s="14" t="n">
        <v>45</v>
      </c>
      <c r="B56" s="7" t="inlineStr">
        <is>
          <t>Warung Nico</t>
        </is>
      </c>
      <c r="C56" s="26" t="n">
        <v>-7.8618552</v>
      </c>
      <c r="D56" s="26" t="n">
        <v>112.4886422</v>
      </c>
      <c r="E56" s="21" t="n">
        <v>13000</v>
      </c>
      <c r="F56" s="27" t="n">
        <v>4.6</v>
      </c>
      <c r="G56" s="28" t="n">
        <v>84</v>
      </c>
      <c r="H56" s="14" t="inlineStr">
        <is>
          <t>Warung Nico</t>
        </is>
      </c>
      <c r="I56" s="29">
        <f>6371 * 2 * ASIN(SQRT(SIN(RADIANS((C56) - INDEX('Dataset_Wisata'!$C$12:$C$622, MATCH('Dashboard'!$C$9, 'Dataset_Wisata'!$A$12:$A$622, 0)))/2)^2 + COS(RADIANS(INDEX('Dataset_Wisata'!$C$12:$C$622, MATCH('Dashboard'!$C$9, 'Dataset_Wisata'!$A$12:$A$622, 0)))) * COS(RADIANS(C56)) * SIN(RADIANS((D56) - INDEX('Dataset_Wisata'!$D$12:$D$622, MATCH('Dashboard'!$C$9, 'Dataset_Wisata'!$A$12:$A$622, 0)))/2)^2)) * 1.3</f>
        <v/>
      </c>
      <c r="J56" s="21">
        <f>ROUND(I56 * IF('Dashboard'!$C$6&lt;=1, 2250, IF('Dashboard'!$C$6&lt;=4, 5150, 6000)), 0)</f>
        <v/>
      </c>
      <c r="K56" s="30" t="n">
        <v>0.9996613401455278</v>
      </c>
      <c r="L56" s="30" t="n">
        <v>0.0003032413982241428</v>
      </c>
      <c r="M56" s="30" t="n">
        <v>3.541845624800055e-05</v>
      </c>
      <c r="N56" s="31">
        <f>ABS(E56-$F$6)</f>
        <v/>
      </c>
      <c r="O56" s="31">
        <f>ABS(E56-$F$7)</f>
        <v/>
      </c>
      <c r="P56" s="31">
        <f>ABS(E56-$F$8)</f>
        <v/>
      </c>
      <c r="Q56" s="14">
        <f>IF(K56&gt;=MAX(L56,M56), "Hemat", IF(L56&gt;=M56, "Balanced", "Premium"))</f>
        <v/>
      </c>
      <c r="R56" s="30" t="n">
        <v>0.9996613420378273</v>
      </c>
      <c r="S56" s="30" t="n">
        <v>0.0003032397098959421</v>
      </c>
      <c r="T56" s="30" t="n">
        <v>3.541825227674828e-05</v>
      </c>
      <c r="U56" s="31">
        <f>ABS(E56-$G$6)</f>
        <v/>
      </c>
      <c r="V56" s="31">
        <f>ABS(E56-$G$7)</f>
        <v/>
      </c>
      <c r="W56" s="31">
        <f>ABS(E56-$G$8)</f>
        <v/>
      </c>
      <c r="X56" s="14">
        <f>IF(R56&gt;=MAX(S56,T56), "Hemat", IF(S56&gt;=T56, "Balanced", "Premium"))</f>
        <v/>
      </c>
    </row>
    <row r="57">
      <c r="A57" s="14" t="n">
        <v>46</v>
      </c>
      <c r="B57" s="7" t="inlineStr">
        <is>
          <t>Bakso Jaya Dewi Sri Pujon</t>
        </is>
      </c>
      <c r="C57" s="26" t="n">
        <v>-7.8394849</v>
      </c>
      <c r="D57" s="26" t="n">
        <v>112.4504441</v>
      </c>
      <c r="E57" s="21" t="n">
        <v>17000</v>
      </c>
      <c r="F57" s="27" t="n">
        <v>4.6</v>
      </c>
      <c r="G57" s="28" t="n">
        <v>153</v>
      </c>
      <c r="H57" s="14" t="inlineStr">
        <is>
          <t>Wisata Umum</t>
        </is>
      </c>
      <c r="I57" s="29">
        <f>6371 * 2 * ASIN(SQRT(SIN(RADIANS((C57) - INDEX('Dataset_Wisata'!$C$12:$C$622, MATCH('Dashboard'!$C$9, 'Dataset_Wisata'!$A$12:$A$622, 0)))/2)^2 + COS(RADIANS(INDEX('Dataset_Wisata'!$C$12:$C$622, MATCH('Dashboard'!$C$9, 'Dataset_Wisata'!$A$12:$A$622, 0)))) * COS(RADIANS(C57)) * SIN(RADIANS((D57) - INDEX('Dataset_Wisata'!$D$12:$D$622, MATCH('Dashboard'!$C$9, 'Dataset_Wisata'!$A$12:$A$622, 0)))/2)^2)) * 1.3</f>
        <v/>
      </c>
      <c r="J57" s="21">
        <f>ROUND(I57 * IF('Dashboard'!$C$6&lt;=1, 2250, IF('Dashboard'!$C$6&lt;=4, 5150, 6000)), 0)</f>
        <v/>
      </c>
      <c r="K57" s="30" t="n">
        <v>0.8205766965551228</v>
      </c>
      <c r="L57" s="30" t="n">
        <v>0.1680685555538888</v>
      </c>
      <c r="M57" s="30" t="n">
        <v>0.01135474789098826</v>
      </c>
      <c r="N57" s="31">
        <f>ABS(E57-$F$6)</f>
        <v/>
      </c>
      <c r="O57" s="31">
        <f>ABS(E57-$F$7)</f>
        <v/>
      </c>
      <c r="P57" s="31">
        <f>ABS(E57-$F$8)</f>
        <v/>
      </c>
      <c r="Q57" s="14">
        <f>IF(K57&gt;=MAX(L57,M57), "Hemat", IF(L57&gt;=M57, "Balanced", "Premium"))</f>
        <v/>
      </c>
      <c r="R57" s="30" t="n">
        <v>0.8205765551569555</v>
      </c>
      <c r="S57" s="30" t="n">
        <v>0.1680686919268015</v>
      </c>
      <c r="T57" s="30" t="n">
        <v>0.01135475291624307</v>
      </c>
      <c r="U57" s="31">
        <f>ABS(E57-$G$6)</f>
        <v/>
      </c>
      <c r="V57" s="31">
        <f>ABS(E57-$G$7)</f>
        <v/>
      </c>
      <c r="W57" s="31">
        <f>ABS(E57-$G$8)</f>
        <v/>
      </c>
      <c r="X57" s="14">
        <f>IF(R57&gt;=MAX(S57,T57), "Hemat", IF(S57&gt;=T57, "Balanced", "Premium"))</f>
        <v/>
      </c>
    </row>
    <row r="58">
      <c r="A58" s="14" t="n">
        <v>47</v>
      </c>
      <c r="B58" s="7" t="inlineStr">
        <is>
          <t>Warung De Uwais Ayam dan Bebek Goreng</t>
        </is>
      </c>
      <c r="C58" s="26" t="n">
        <v>-7.8460173</v>
      </c>
      <c r="D58" s="26" t="n">
        <v>112.4740245</v>
      </c>
      <c r="E58" s="21" t="n">
        <v>18200</v>
      </c>
      <c r="F58" s="27" t="n">
        <v>5</v>
      </c>
      <c r="G58" s="28" t="n">
        <v>74</v>
      </c>
      <c r="H58" s="14" t="inlineStr">
        <is>
          <t>Wisata Umum</t>
        </is>
      </c>
      <c r="I58" s="29">
        <f>6371 * 2 * ASIN(SQRT(SIN(RADIANS((C58) - INDEX('Dataset_Wisata'!$C$12:$C$622, MATCH('Dashboard'!$C$9, 'Dataset_Wisata'!$A$12:$A$622, 0)))/2)^2 + COS(RADIANS(INDEX('Dataset_Wisata'!$C$12:$C$622, MATCH('Dashboard'!$C$9, 'Dataset_Wisata'!$A$12:$A$622, 0)))) * COS(RADIANS(C58)) * SIN(RADIANS((D58) - INDEX('Dataset_Wisata'!$D$12:$D$622, MATCH('Dashboard'!$C$9, 'Dataset_Wisata'!$A$12:$A$622, 0)))/2)^2)) * 1.3</f>
        <v/>
      </c>
      <c r="J58" s="21">
        <f>ROUND(I58 * IF('Dashboard'!$C$6&lt;=1, 2250, IF('Dashboard'!$C$6&lt;=4, 5150, 6000)), 0)</f>
        <v/>
      </c>
      <c r="K58" s="30" t="n">
        <v>0.6621599317066048</v>
      </c>
      <c r="L58" s="30" t="n">
        <v>0.3206904977657037</v>
      </c>
      <c r="M58" s="30" t="n">
        <v>0.0171495705276914</v>
      </c>
      <c r="N58" s="31">
        <f>ABS(E58-$F$6)</f>
        <v/>
      </c>
      <c r="O58" s="31">
        <f>ABS(E58-$F$7)</f>
        <v/>
      </c>
      <c r="P58" s="31">
        <f>ABS(E58-$F$8)</f>
        <v/>
      </c>
      <c r="Q58" s="14">
        <f>IF(K58&gt;=MAX(L58,M58), "Hemat", IF(L58&gt;=M58, "Balanced", "Premium"))</f>
        <v/>
      </c>
      <c r="R58" s="30" t="n">
        <v>0.6621597112607669</v>
      </c>
      <c r="S58" s="30" t="n">
        <v>0.3206907146045741</v>
      </c>
      <c r="T58" s="30" t="n">
        <v>0.01714957413465902</v>
      </c>
      <c r="U58" s="31">
        <f>ABS(E58-$G$6)</f>
        <v/>
      </c>
      <c r="V58" s="31">
        <f>ABS(E58-$G$7)</f>
        <v/>
      </c>
      <c r="W58" s="31">
        <f>ABS(E58-$G$8)</f>
        <v/>
      </c>
      <c r="X58" s="14">
        <f>IF(R58&gt;=MAX(S58,T58), "Hemat", IF(S58&gt;=T58, "Balanced", "Premium"))</f>
        <v/>
      </c>
    </row>
    <row r="59">
      <c r="A59" s="14" t="n">
        <v>48</v>
      </c>
      <c r="B59" s="7" t="inlineStr">
        <is>
          <t>Bakso Jaya</t>
        </is>
      </c>
      <c r="C59" s="26" t="n">
        <v>-7.8163956</v>
      </c>
      <c r="D59" s="26" t="n">
        <v>112.3655161</v>
      </c>
      <c r="E59" s="21" t="n">
        <v>17000</v>
      </c>
      <c r="F59" s="27" t="n">
        <v>4.5</v>
      </c>
      <c r="G59" s="28" t="n">
        <v>67</v>
      </c>
      <c r="H59" s="14" t="inlineStr">
        <is>
          <t>Wisata Umum</t>
        </is>
      </c>
      <c r="I59" s="29">
        <f>6371 * 2 * ASIN(SQRT(SIN(RADIANS((C59) - INDEX('Dataset_Wisata'!$C$12:$C$622, MATCH('Dashboard'!$C$9, 'Dataset_Wisata'!$A$12:$A$622, 0)))/2)^2 + COS(RADIANS(INDEX('Dataset_Wisata'!$C$12:$C$622, MATCH('Dashboard'!$C$9, 'Dataset_Wisata'!$A$12:$A$622, 0)))) * COS(RADIANS(C59)) * SIN(RADIANS((D59) - INDEX('Dataset_Wisata'!$D$12:$D$622, MATCH('Dashboard'!$C$9, 'Dataset_Wisata'!$A$12:$A$622, 0)))/2)^2)) * 1.3</f>
        <v/>
      </c>
      <c r="J59" s="21">
        <f>ROUND(I59 * IF('Dashboard'!$C$6&lt;=1, 2250, IF('Dashboard'!$C$6&lt;=4, 5150, 6000)), 0)</f>
        <v/>
      </c>
      <c r="K59" s="30" t="n">
        <v>0.8205766965551228</v>
      </c>
      <c r="L59" s="30" t="n">
        <v>0.1680685555538888</v>
      </c>
      <c r="M59" s="30" t="n">
        <v>0.01135474789098826</v>
      </c>
      <c r="N59" s="31">
        <f>ABS(E59-$F$6)</f>
        <v/>
      </c>
      <c r="O59" s="31">
        <f>ABS(E59-$F$7)</f>
        <v/>
      </c>
      <c r="P59" s="31">
        <f>ABS(E59-$F$8)</f>
        <v/>
      </c>
      <c r="Q59" s="14">
        <f>IF(K59&gt;=MAX(L59,M59), "Hemat", IF(L59&gt;=M59, "Balanced", "Premium"))</f>
        <v/>
      </c>
      <c r="R59" s="30" t="n">
        <v>0.8205765551569555</v>
      </c>
      <c r="S59" s="30" t="n">
        <v>0.1680686919268015</v>
      </c>
      <c r="T59" s="30" t="n">
        <v>0.01135475291624307</v>
      </c>
      <c r="U59" s="31">
        <f>ABS(E59-$G$6)</f>
        <v/>
      </c>
      <c r="V59" s="31">
        <f>ABS(E59-$G$7)</f>
        <v/>
      </c>
      <c r="W59" s="31">
        <f>ABS(E59-$G$8)</f>
        <v/>
      </c>
      <c r="X59" s="14">
        <f>IF(R59&gt;=MAX(S59,T59), "Hemat", IF(S59&gt;=T59, "Balanced", "Premium"))</f>
        <v/>
      </c>
    </row>
    <row r="60">
      <c r="A60" s="14" t="n">
        <v>49</v>
      </c>
      <c r="B60" s="7" t="inlineStr">
        <is>
          <t>Bakso Cinta wonocolo</t>
        </is>
      </c>
      <c r="C60" s="26" t="n">
        <v>-8.336971999999999</v>
      </c>
      <c r="D60" s="26" t="n">
        <v>112.4474771</v>
      </c>
      <c r="E60" s="21" t="n">
        <v>13000</v>
      </c>
      <c r="F60" s="27" t="n">
        <v>4.6</v>
      </c>
      <c r="G60" s="28" t="n">
        <v>23</v>
      </c>
      <c r="H60" s="14" t="inlineStr">
        <is>
          <t>Wisata Umum</t>
        </is>
      </c>
      <c r="I60" s="29">
        <f>6371 * 2 * ASIN(SQRT(SIN(RADIANS((C60) - INDEX('Dataset_Wisata'!$C$12:$C$622, MATCH('Dashboard'!$C$9, 'Dataset_Wisata'!$A$12:$A$622, 0)))/2)^2 + COS(RADIANS(INDEX('Dataset_Wisata'!$C$12:$C$622, MATCH('Dashboard'!$C$9, 'Dataset_Wisata'!$A$12:$A$622, 0)))) * COS(RADIANS(C60)) * SIN(RADIANS((D60) - INDEX('Dataset_Wisata'!$D$12:$D$622, MATCH('Dashboard'!$C$9, 'Dataset_Wisata'!$A$12:$A$622, 0)))/2)^2)) * 1.3</f>
        <v/>
      </c>
      <c r="J60" s="21">
        <f>ROUND(I60 * IF('Dashboard'!$C$6&lt;=1, 2250, IF('Dashboard'!$C$6&lt;=4, 5150, 6000)), 0)</f>
        <v/>
      </c>
      <c r="K60" s="30" t="n">
        <v>0.9996613401455278</v>
      </c>
      <c r="L60" s="30" t="n">
        <v>0.0003032413982241428</v>
      </c>
      <c r="M60" s="30" t="n">
        <v>3.541845624800055e-05</v>
      </c>
      <c r="N60" s="31">
        <f>ABS(E60-$F$6)</f>
        <v/>
      </c>
      <c r="O60" s="31">
        <f>ABS(E60-$F$7)</f>
        <v/>
      </c>
      <c r="P60" s="31">
        <f>ABS(E60-$F$8)</f>
        <v/>
      </c>
      <c r="Q60" s="14">
        <f>IF(K60&gt;=MAX(L60,M60), "Hemat", IF(L60&gt;=M60, "Balanced", "Premium"))</f>
        <v/>
      </c>
      <c r="R60" s="30" t="n">
        <v>0.9996613420378273</v>
      </c>
      <c r="S60" s="30" t="n">
        <v>0.0003032397098959421</v>
      </c>
      <c r="T60" s="30" t="n">
        <v>3.541825227674828e-05</v>
      </c>
      <c r="U60" s="31">
        <f>ABS(E60-$G$6)</f>
        <v/>
      </c>
      <c r="V60" s="31">
        <f>ABS(E60-$G$7)</f>
        <v/>
      </c>
      <c r="W60" s="31">
        <f>ABS(E60-$G$8)</f>
        <v/>
      </c>
      <c r="X60" s="14">
        <f>IF(R60&gt;=MAX(S60,T60), "Hemat", IF(S60&gt;=T60, "Balanced", "Premium"))</f>
        <v/>
      </c>
    </row>
    <row r="61">
      <c r="A61" s="14" t="n">
        <v>50</v>
      </c>
      <c r="B61" s="7" t="inlineStr">
        <is>
          <t>Dapoer Namira</t>
        </is>
      </c>
      <c r="C61" s="26" t="n">
        <v>-8.209685199999999</v>
      </c>
      <c r="D61" s="26" t="n">
        <v>112.4724516</v>
      </c>
      <c r="E61" s="21" t="n">
        <v>15000</v>
      </c>
      <c r="F61" s="27" t="n">
        <v>4.5</v>
      </c>
      <c r="G61" s="28" t="n">
        <v>27</v>
      </c>
      <c r="H61" s="14" t="inlineStr">
        <is>
          <t>Restoran · Jl. Kauman Kalipare</t>
        </is>
      </c>
      <c r="I61" s="29">
        <f>6371 * 2 * ASIN(SQRT(SIN(RADIANS((C61) - INDEX('Dataset_Wisata'!$C$12:$C$622, MATCH('Dashboard'!$C$9, 'Dataset_Wisata'!$A$12:$A$622, 0)))/2)^2 + COS(RADIANS(INDEX('Dataset_Wisata'!$C$12:$C$622, MATCH('Dashboard'!$C$9, 'Dataset_Wisata'!$A$12:$A$622, 0)))) * COS(RADIANS(C61)) * SIN(RADIANS((D61) - INDEX('Dataset_Wisata'!$D$12:$D$622, MATCH('Dashboard'!$C$9, 'Dataset_Wisata'!$A$12:$A$622, 0)))/2)^2)) * 1.3</f>
        <v/>
      </c>
      <c r="J61" s="21">
        <f>ROUND(I61 * IF('Dashboard'!$C$6&lt;=1, 2250, IF('Dashboard'!$C$6&lt;=4, 5150, 6000)), 0)</f>
        <v/>
      </c>
      <c r="K61" s="30" t="n">
        <v>0.9686283169848018</v>
      </c>
      <c r="L61" s="30" t="n">
        <v>0.02872990537067274</v>
      </c>
      <c r="M61" s="30" t="n">
        <v>0.002641777644525457</v>
      </c>
      <c r="N61" s="31">
        <f>ABS(E61-$F$6)</f>
        <v/>
      </c>
      <c r="O61" s="31">
        <f>ABS(E61-$F$7)</f>
        <v/>
      </c>
      <c r="P61" s="31">
        <f>ABS(E61-$F$8)</f>
        <v/>
      </c>
      <c r="Q61" s="14">
        <f>IF(K61&gt;=MAX(L61,M61), "Hemat", IF(L61&gt;=M61, "Balanced", "Premium"))</f>
        <v/>
      </c>
      <c r="R61" s="30" t="n">
        <v>0.9686282798936615</v>
      </c>
      <c r="S61" s="30" t="n">
        <v>0.02872993996961344</v>
      </c>
      <c r="T61" s="30" t="n">
        <v>0.002641780136725144</v>
      </c>
      <c r="U61" s="31">
        <f>ABS(E61-$G$6)</f>
        <v/>
      </c>
      <c r="V61" s="31">
        <f>ABS(E61-$G$7)</f>
        <v/>
      </c>
      <c r="W61" s="31">
        <f>ABS(E61-$G$8)</f>
        <v/>
      </c>
      <c r="X61" s="14">
        <f>IF(R61&gt;=MAX(S61,T61), "Hemat", IF(S61&gt;=T61, "Balanced", "Premium"))</f>
        <v/>
      </c>
    </row>
    <row r="62">
      <c r="A62" s="14" t="n">
        <v>51</v>
      </c>
      <c r="B62" s="7" t="inlineStr">
        <is>
          <t>Cak Mad Sate</t>
        </is>
      </c>
      <c r="C62" s="26" t="n">
        <v>-8.201287799999999</v>
      </c>
      <c r="D62" s="26" t="n">
        <v>112.4663621</v>
      </c>
      <c r="E62" s="21" t="n">
        <v>17000</v>
      </c>
      <c r="F62" s="27" t="n">
        <v>4.2</v>
      </c>
      <c r="G62" s="28" t="n">
        <v>35</v>
      </c>
      <c r="H62" s="14" t="inlineStr">
        <is>
          <t>Wisata Umum</t>
        </is>
      </c>
      <c r="I62" s="29">
        <f>6371 * 2 * ASIN(SQRT(SIN(RADIANS((C62) - INDEX('Dataset_Wisata'!$C$12:$C$622, MATCH('Dashboard'!$C$9, 'Dataset_Wisata'!$A$12:$A$622, 0)))/2)^2 + COS(RADIANS(INDEX('Dataset_Wisata'!$C$12:$C$622, MATCH('Dashboard'!$C$9, 'Dataset_Wisata'!$A$12:$A$622, 0)))) * COS(RADIANS(C62)) * SIN(RADIANS((D62) - INDEX('Dataset_Wisata'!$D$12:$D$622, MATCH('Dashboard'!$C$9, 'Dataset_Wisata'!$A$12:$A$622, 0)))/2)^2)) * 1.3</f>
        <v/>
      </c>
      <c r="J62" s="21">
        <f>ROUND(I62 * IF('Dashboard'!$C$6&lt;=1, 2250, IF('Dashboard'!$C$6&lt;=4, 5150, 6000)), 0)</f>
        <v/>
      </c>
      <c r="K62" s="30" t="n">
        <v>0.8205766965551228</v>
      </c>
      <c r="L62" s="30" t="n">
        <v>0.1680685555538888</v>
      </c>
      <c r="M62" s="30" t="n">
        <v>0.01135474789098826</v>
      </c>
      <c r="N62" s="31">
        <f>ABS(E62-$F$6)</f>
        <v/>
      </c>
      <c r="O62" s="31">
        <f>ABS(E62-$F$7)</f>
        <v/>
      </c>
      <c r="P62" s="31">
        <f>ABS(E62-$F$8)</f>
        <v/>
      </c>
      <c r="Q62" s="14">
        <f>IF(K62&gt;=MAX(L62,M62), "Hemat", IF(L62&gt;=M62, "Balanced", "Premium"))</f>
        <v/>
      </c>
      <c r="R62" s="30" t="n">
        <v>0.8205765551569555</v>
      </c>
      <c r="S62" s="30" t="n">
        <v>0.1680686919268015</v>
      </c>
      <c r="T62" s="30" t="n">
        <v>0.01135475291624307</v>
      </c>
      <c r="U62" s="31">
        <f>ABS(E62-$G$6)</f>
        <v/>
      </c>
      <c r="V62" s="31">
        <f>ABS(E62-$G$7)</f>
        <v/>
      </c>
      <c r="W62" s="31">
        <f>ABS(E62-$G$8)</f>
        <v/>
      </c>
      <c r="X62" s="14">
        <f>IF(R62&gt;=MAX(S62,T62), "Hemat", IF(S62&gt;=T62, "Balanced", "Premium"))</f>
        <v/>
      </c>
    </row>
    <row r="63">
      <c r="A63" s="14" t="n">
        <v>52</v>
      </c>
      <c r="B63" s="7" t="inlineStr">
        <is>
          <t>Waroeng Gaul Oeloeng</t>
        </is>
      </c>
      <c r="C63" s="26" t="n">
        <v>-8.161448</v>
      </c>
      <c r="D63" s="26" t="n">
        <v>112.4777465</v>
      </c>
      <c r="E63" s="21" t="n">
        <v>15400</v>
      </c>
      <c r="F63" s="27" t="n">
        <v>4.3</v>
      </c>
      <c r="G63" s="28" t="n">
        <v>36</v>
      </c>
      <c r="H63" s="14" t="inlineStr">
        <is>
          <t>Wisata Umum</t>
        </is>
      </c>
      <c r="I63" s="29">
        <f>6371 * 2 * ASIN(SQRT(SIN(RADIANS((C63) - INDEX('Dataset_Wisata'!$C$12:$C$622, MATCH('Dashboard'!$C$9, 'Dataset_Wisata'!$A$12:$A$622, 0)))/2)^2 + COS(RADIANS(INDEX('Dataset_Wisata'!$C$12:$C$622, MATCH('Dashboard'!$C$9, 'Dataset_Wisata'!$A$12:$A$622, 0)))) * COS(RADIANS(C63)) * SIN(RADIANS((D63) - INDEX('Dataset_Wisata'!$D$12:$D$622, MATCH('Dashboard'!$C$9, 'Dataset_Wisata'!$A$12:$A$622, 0)))/2)^2)) * 1.3</f>
        <v/>
      </c>
      <c r="J63" s="21">
        <f>ROUND(I63 * IF('Dashboard'!$C$6&lt;=1, 2250, IF('Dashboard'!$C$6&lt;=4, 5150, 6000)), 0)</f>
        <v/>
      </c>
      <c r="K63" s="30" t="n">
        <v>0.9503256888854641</v>
      </c>
      <c r="L63" s="30" t="n">
        <v>0.04569788337949962</v>
      </c>
      <c r="M63" s="30" t="n">
        <v>0.003976427735036343</v>
      </c>
      <c r="N63" s="31">
        <f>ABS(E63-$F$6)</f>
        <v/>
      </c>
      <c r="O63" s="31">
        <f>ABS(E63-$F$7)</f>
        <v/>
      </c>
      <c r="P63" s="31">
        <f>ABS(E63-$F$8)</f>
        <v/>
      </c>
      <c r="Q63" s="14">
        <f>IF(K63&gt;=MAX(L63,M63), "Hemat", IF(L63&gt;=M63, "Balanced", "Premium"))</f>
        <v/>
      </c>
      <c r="R63" s="30" t="n">
        <v>0.9503256365590981</v>
      </c>
      <c r="S63" s="30" t="n">
        <v>0.04569793253651916</v>
      </c>
      <c r="T63" s="30" t="n">
        <v>0.003976430904382826</v>
      </c>
      <c r="U63" s="31">
        <f>ABS(E63-$G$6)</f>
        <v/>
      </c>
      <c r="V63" s="31">
        <f>ABS(E63-$G$7)</f>
        <v/>
      </c>
      <c r="W63" s="31">
        <f>ABS(E63-$G$8)</f>
        <v/>
      </c>
      <c r="X63" s="14">
        <f>IF(R63&gt;=MAX(S63,T63), "Hemat", IF(S63&gt;=T63, "Balanced", "Premium"))</f>
        <v/>
      </c>
    </row>
    <row r="64">
      <c r="A64" s="14" t="n">
        <v>53</v>
      </c>
      <c r="B64" s="7" t="inlineStr">
        <is>
          <t>Warung Rahayu</t>
        </is>
      </c>
      <c r="C64" s="26" t="n">
        <v>-8.156632500000001</v>
      </c>
      <c r="D64" s="26" t="n">
        <v>112.4810643</v>
      </c>
      <c r="E64" s="21" t="n">
        <v>17400</v>
      </c>
      <c r="F64" s="27" t="n">
        <v>4.5</v>
      </c>
      <c r="G64" s="28" t="n">
        <v>322</v>
      </c>
      <c r="H64" s="14" t="inlineStr">
        <is>
          <t>Warung Rahayu</t>
        </is>
      </c>
      <c r="I64" s="29">
        <f>6371 * 2 * ASIN(SQRT(SIN(RADIANS((C64) - INDEX('Dataset_Wisata'!$C$12:$C$622, MATCH('Dashboard'!$C$9, 'Dataset_Wisata'!$A$12:$A$622, 0)))/2)^2 + COS(RADIANS(INDEX('Dataset_Wisata'!$C$12:$C$622, MATCH('Dashboard'!$C$9, 'Dataset_Wisata'!$A$12:$A$622, 0)))) * COS(RADIANS(C64)) * SIN(RADIANS((D64) - INDEX('Dataset_Wisata'!$D$12:$D$622, MATCH('Dashboard'!$C$9, 'Dataset_Wisata'!$A$12:$A$622, 0)))/2)^2)) * 1.3</f>
        <v/>
      </c>
      <c r="J64" s="21">
        <f>ROUND(I64 * IF('Dashboard'!$C$6&lt;=1, 2250, IF('Dashboard'!$C$6&lt;=4, 5150, 6000)), 0)</f>
        <v/>
      </c>
      <c r="K64" s="30" t="n">
        <v>0.7730757420259687</v>
      </c>
      <c r="L64" s="30" t="n">
        <v>0.2135147466212836</v>
      </c>
      <c r="M64" s="30" t="n">
        <v>0.01340951135274763</v>
      </c>
      <c r="N64" s="31">
        <f>ABS(E64-$F$6)</f>
        <v/>
      </c>
      <c r="O64" s="31">
        <f>ABS(E64-$F$7)</f>
        <v/>
      </c>
      <c r="P64" s="31">
        <f>ABS(E64-$F$8)</f>
        <v/>
      </c>
      <c r="Q64" s="14">
        <f>IF(K64&gt;=MAX(L64,M64), "Hemat", IF(L64&gt;=M64, "Balanced", "Premium"))</f>
        <v/>
      </c>
      <c r="R64" s="30" t="n">
        <v>0.7730755736420151</v>
      </c>
      <c r="S64" s="30" t="n">
        <v>0.2135149100723525</v>
      </c>
      <c r="T64" s="30" t="n">
        <v>0.01340951628563232</v>
      </c>
      <c r="U64" s="31">
        <f>ABS(E64-$G$6)</f>
        <v/>
      </c>
      <c r="V64" s="31">
        <f>ABS(E64-$G$7)</f>
        <v/>
      </c>
      <c r="W64" s="31">
        <f>ABS(E64-$G$8)</f>
        <v/>
      </c>
      <c r="X64" s="14">
        <f>IF(R64&gt;=MAX(S64,T64), "Hemat", IF(S64&gt;=T64, "Balanced", "Premium"))</f>
        <v/>
      </c>
    </row>
    <row r="65">
      <c r="A65" s="14" t="n">
        <v>54</v>
      </c>
      <c r="B65" s="7" t="inlineStr">
        <is>
          <t>Warung'e Pak Ayam</t>
        </is>
      </c>
      <c r="C65" s="26" t="n">
        <v>-8.156726900000001</v>
      </c>
      <c r="D65" s="26" t="n">
        <v>112.4758732</v>
      </c>
      <c r="E65" s="21" t="n">
        <v>18000</v>
      </c>
      <c r="F65" s="27" t="n">
        <v>4.5</v>
      </c>
      <c r="G65" s="28" t="n">
        <v>31</v>
      </c>
      <c r="H65" s="14" t="inlineStr">
        <is>
          <t>Warung'e Pak Ayam</t>
        </is>
      </c>
      <c r="I65" s="29">
        <f>6371 * 2 * ASIN(SQRT(SIN(RADIANS((C65) - INDEX('Dataset_Wisata'!$C$12:$C$622, MATCH('Dashboard'!$C$9, 'Dataset_Wisata'!$A$12:$A$622, 0)))/2)^2 + COS(RADIANS(INDEX('Dataset_Wisata'!$C$12:$C$622, MATCH('Dashboard'!$C$9, 'Dataset_Wisata'!$A$12:$A$622, 0)))) * COS(RADIANS(C65)) * SIN(RADIANS((D65) - INDEX('Dataset_Wisata'!$D$12:$D$622, MATCH('Dashboard'!$C$9, 'Dataset_Wisata'!$A$12:$A$622, 0)))/2)^2)) * 1.3</f>
        <v/>
      </c>
      <c r="J65" s="21">
        <f>ROUND(I65 * IF('Dashboard'!$C$6&lt;=1, 2250, IF('Dashboard'!$C$6&lt;=4, 5150, 6000)), 0)</f>
        <v/>
      </c>
      <c r="K65" s="30" t="n">
        <v>0.6916251733659831</v>
      </c>
      <c r="L65" s="30" t="n">
        <v>0.2920817970297536</v>
      </c>
      <c r="M65" s="30" t="n">
        <v>0.01629302960426341</v>
      </c>
      <c r="N65" s="31">
        <f>ABS(E65-$F$6)</f>
        <v/>
      </c>
      <c r="O65" s="31">
        <f>ABS(E65-$F$7)</f>
        <v/>
      </c>
      <c r="P65" s="31">
        <f>ABS(E65-$F$8)</f>
        <v/>
      </c>
      <c r="Q65" s="14">
        <f>IF(K65&gt;=MAX(L65,M65), "Hemat", IF(L65&gt;=M65, "Balanced", "Premium"))</f>
        <v/>
      </c>
      <c r="R65" s="30" t="n">
        <v>0.6916249652211897</v>
      </c>
      <c r="S65" s="30" t="n">
        <v>0.2920820010799081</v>
      </c>
      <c r="T65" s="30" t="n">
        <v>0.01629303369890229</v>
      </c>
      <c r="U65" s="31">
        <f>ABS(E65-$G$6)</f>
        <v/>
      </c>
      <c r="V65" s="31">
        <f>ABS(E65-$G$7)</f>
        <v/>
      </c>
      <c r="W65" s="31">
        <f>ABS(E65-$G$8)</f>
        <v/>
      </c>
      <c r="X65" s="14">
        <f>IF(R65&gt;=MAX(S65,T65), "Hemat", IF(S65&gt;=T65, "Balanced", "Premium"))</f>
        <v/>
      </c>
    </row>
    <row r="66">
      <c r="A66" s="14" t="n">
        <v>55</v>
      </c>
      <c r="B66" s="7" t="inlineStr">
        <is>
          <t>Bakso Pinarak</t>
        </is>
      </c>
      <c r="C66" s="26" t="n">
        <v>-8.1616535</v>
      </c>
      <c r="D66" s="26" t="n">
        <v>112.4736158</v>
      </c>
      <c r="E66" s="21" t="n">
        <v>7500</v>
      </c>
      <c r="F66" s="27" t="n">
        <v>4.6</v>
      </c>
      <c r="G66" s="28" t="n">
        <v>32</v>
      </c>
      <c r="H66" s="14" t="inlineStr">
        <is>
          <t>Wisata Umum</t>
        </is>
      </c>
      <c r="I66" s="29">
        <f>6371 * 2 * ASIN(SQRT(SIN(RADIANS((C66) - INDEX('Dataset_Wisata'!$C$12:$C$622, MATCH('Dashboard'!$C$9, 'Dataset_Wisata'!$A$12:$A$622, 0)))/2)^2 + COS(RADIANS(INDEX('Dataset_Wisata'!$C$12:$C$622, MATCH('Dashboard'!$C$9, 'Dataset_Wisata'!$A$12:$A$622, 0)))) * COS(RADIANS(C66)) * SIN(RADIANS((D66) - INDEX('Dataset_Wisata'!$D$12:$D$622, MATCH('Dashboard'!$C$9, 'Dataset_Wisata'!$A$12:$A$622, 0)))/2)^2)) * 1.3</f>
        <v/>
      </c>
      <c r="J66" s="21">
        <f>ROUND(I66 * IF('Dashboard'!$C$6&lt;=1, 2250, IF('Dashboard'!$C$6&lt;=4, 5150, 6000)), 0)</f>
        <v/>
      </c>
      <c r="K66" s="30" t="n">
        <v>0.8919157632085243</v>
      </c>
      <c r="L66" s="30" t="n">
        <v>0.09130849431734138</v>
      </c>
      <c r="M66" s="30" t="n">
        <v>0.0167757424741345</v>
      </c>
      <c r="N66" s="31">
        <f>ABS(E66-$F$6)</f>
        <v/>
      </c>
      <c r="O66" s="31">
        <f>ABS(E66-$F$7)</f>
        <v/>
      </c>
      <c r="P66" s="31">
        <f>ABS(E66-$F$8)</f>
        <v/>
      </c>
      <c r="Q66" s="14">
        <f>IF(K66&gt;=MAX(L66,M66), "Hemat", IF(L66&gt;=M66, "Balanced", "Premium"))</f>
        <v/>
      </c>
      <c r="R66" s="30" t="n">
        <v>0.8919157573729652</v>
      </c>
      <c r="S66" s="30" t="n">
        <v>0.09130850051736716</v>
      </c>
      <c r="T66" s="30" t="n">
        <v>0.01677574210966746</v>
      </c>
      <c r="U66" s="31">
        <f>ABS(E66-$G$6)</f>
        <v/>
      </c>
      <c r="V66" s="31">
        <f>ABS(E66-$G$7)</f>
        <v/>
      </c>
      <c r="W66" s="31">
        <f>ABS(E66-$G$8)</f>
        <v/>
      </c>
      <c r="X66" s="14">
        <f>IF(R66&gt;=MAX(S66,T66), "Hemat", IF(S66&gt;=T66, "Balanced", "Premium"))</f>
        <v/>
      </c>
    </row>
    <row r="67">
      <c r="A67" s="14" t="n">
        <v>56</v>
      </c>
      <c r="B67" s="7" t="inlineStr">
        <is>
          <t>Rumah Makan Padang SEDERHANA BARU</t>
        </is>
      </c>
      <c r="C67" s="26" t="n">
        <v>-8.1567205</v>
      </c>
      <c r="D67" s="26" t="n">
        <v>112.481493</v>
      </c>
      <c r="E67" s="21" t="n">
        <v>19000</v>
      </c>
      <c r="F67" s="27" t="n">
        <v>4.6</v>
      </c>
      <c r="G67" s="28" t="n">
        <v>79</v>
      </c>
      <c r="H67" s="14" t="inlineStr">
        <is>
          <t>Wisata Umum</t>
        </is>
      </c>
      <c r="I67" s="29">
        <f>6371 * 2 * ASIN(SQRT(SIN(RADIANS((C67) - INDEX('Dataset_Wisata'!$C$12:$C$622, MATCH('Dashboard'!$C$9, 'Dataset_Wisata'!$A$12:$A$622, 0)))/2)^2 + COS(RADIANS(INDEX('Dataset_Wisata'!$C$12:$C$622, MATCH('Dashboard'!$C$9, 'Dataset_Wisata'!$A$12:$A$622, 0)))) * COS(RADIANS(C67)) * SIN(RADIANS((D67) - INDEX('Dataset_Wisata'!$D$12:$D$622, MATCH('Dashboard'!$C$9, 'Dataset_Wisata'!$A$12:$A$622, 0)))/2)^2)) * 1.3</f>
        <v/>
      </c>
      <c r="J67" s="21">
        <f>ROUND(I67 * IF('Dashboard'!$C$6&lt;=1, 2250, IF('Dashboard'!$C$6&lt;=4, 5150, 6000)), 0)</f>
        <v/>
      </c>
      <c r="K67" s="30" t="n">
        <v>0.5366761769981572</v>
      </c>
      <c r="L67" s="30" t="n">
        <v>0.4435988772155322</v>
      </c>
      <c r="M67" s="30" t="n">
        <v>0.01972494578631066</v>
      </c>
      <c r="N67" s="31">
        <f>ABS(E67-$F$6)</f>
        <v/>
      </c>
      <c r="O67" s="31">
        <f>ABS(E67-$F$7)</f>
        <v/>
      </c>
      <c r="P67" s="31">
        <f>ABS(E67-$F$8)</f>
        <v/>
      </c>
      <c r="Q67" s="14">
        <f>IF(K67&gt;=MAX(L67,M67), "Hemat", IF(L67&gt;=M67, "Balanced", "Premium"))</f>
        <v/>
      </c>
      <c r="R67" s="30" t="n">
        <v>0.5366759174130455</v>
      </c>
      <c r="S67" s="30" t="n">
        <v>0.443599136184954</v>
      </c>
      <c r="T67" s="30" t="n">
        <v>0.01972494640200039</v>
      </c>
      <c r="U67" s="31">
        <f>ABS(E67-$G$6)</f>
        <v/>
      </c>
      <c r="V67" s="31">
        <f>ABS(E67-$G$7)</f>
        <v/>
      </c>
      <c r="W67" s="31">
        <f>ABS(E67-$G$8)</f>
        <v/>
      </c>
      <c r="X67" s="14">
        <f>IF(R67&gt;=MAX(S67,T67), "Hemat", IF(S67&gt;=T67, "Balanced", "Premium"))</f>
        <v/>
      </c>
    </row>
    <row r="68">
      <c r="A68" s="14" t="n">
        <v>57</v>
      </c>
      <c r="B68" s="7" t="inlineStr">
        <is>
          <t>Warung Pojok Al Mustofa</t>
        </is>
      </c>
      <c r="C68" s="26" t="n">
        <v>-8.1544747</v>
      </c>
      <c r="D68" s="26" t="n">
        <v>112.4581931</v>
      </c>
      <c r="E68" s="21" t="n">
        <v>15000</v>
      </c>
      <c r="F68" s="27" t="n">
        <v>4.1</v>
      </c>
      <c r="G68" s="28" t="n">
        <v>41</v>
      </c>
      <c r="H68" s="14" t="inlineStr">
        <is>
          <t>Warung Pojok Al Mustofa</t>
        </is>
      </c>
      <c r="I68" s="29">
        <f>6371 * 2 * ASIN(SQRT(SIN(RADIANS((C68) - INDEX('Dataset_Wisata'!$C$12:$C$622, MATCH('Dashboard'!$C$9, 'Dataset_Wisata'!$A$12:$A$622, 0)))/2)^2 + COS(RADIANS(INDEX('Dataset_Wisata'!$C$12:$C$622, MATCH('Dashboard'!$C$9, 'Dataset_Wisata'!$A$12:$A$622, 0)))) * COS(RADIANS(C68)) * SIN(RADIANS((D68) - INDEX('Dataset_Wisata'!$D$12:$D$622, MATCH('Dashboard'!$C$9, 'Dataset_Wisata'!$A$12:$A$622, 0)))/2)^2)) * 1.3</f>
        <v/>
      </c>
      <c r="J68" s="21">
        <f>ROUND(I68 * IF('Dashboard'!$C$6&lt;=1, 2250, IF('Dashboard'!$C$6&lt;=4, 5150, 6000)), 0)</f>
        <v/>
      </c>
      <c r="K68" s="30" t="n">
        <v>0.9686283169848018</v>
      </c>
      <c r="L68" s="30" t="n">
        <v>0.02872990537067274</v>
      </c>
      <c r="M68" s="30" t="n">
        <v>0.002641777644525457</v>
      </c>
      <c r="N68" s="31">
        <f>ABS(E68-$F$6)</f>
        <v/>
      </c>
      <c r="O68" s="31">
        <f>ABS(E68-$F$7)</f>
        <v/>
      </c>
      <c r="P68" s="31">
        <f>ABS(E68-$F$8)</f>
        <v/>
      </c>
      <c r="Q68" s="14">
        <f>IF(K68&gt;=MAX(L68,M68), "Hemat", IF(L68&gt;=M68, "Balanced", "Premium"))</f>
        <v/>
      </c>
      <c r="R68" s="30" t="n">
        <v>0.9686282798936615</v>
      </c>
      <c r="S68" s="30" t="n">
        <v>0.02872993996961344</v>
      </c>
      <c r="T68" s="30" t="n">
        <v>0.002641780136725144</v>
      </c>
      <c r="U68" s="31">
        <f>ABS(E68-$G$6)</f>
        <v/>
      </c>
      <c r="V68" s="31">
        <f>ABS(E68-$G$7)</f>
        <v/>
      </c>
      <c r="W68" s="31">
        <f>ABS(E68-$G$8)</f>
        <v/>
      </c>
      <c r="X68" s="14">
        <f>IF(R68&gt;=MAX(S68,T68), "Hemat", IF(S68&gt;=T68, "Balanced", "Premium"))</f>
        <v/>
      </c>
    </row>
    <row r="69">
      <c r="A69" s="14" t="n">
        <v>58</v>
      </c>
      <c r="B69" s="7" t="inlineStr">
        <is>
          <t>Warung Lilik</t>
        </is>
      </c>
      <c r="C69" s="26" t="n">
        <v>-8.152551000000001</v>
      </c>
      <c r="D69" s="26" t="n">
        <v>112.478297</v>
      </c>
      <c r="E69" s="21" t="n">
        <v>11500</v>
      </c>
      <c r="F69" s="27" t="n">
        <v>4.6</v>
      </c>
      <c r="G69" s="28" t="n">
        <v>30</v>
      </c>
      <c r="H69" s="14" t="inlineStr">
        <is>
          <t>Warung Lilik</t>
        </is>
      </c>
      <c r="I69" s="29">
        <f>6371 * 2 * ASIN(SQRT(SIN(RADIANS((C69) - INDEX('Dataset_Wisata'!$C$12:$C$622, MATCH('Dashboard'!$C$9, 'Dataset_Wisata'!$A$12:$A$622, 0)))/2)^2 + COS(RADIANS(INDEX('Dataset_Wisata'!$C$12:$C$622, MATCH('Dashboard'!$C$9, 'Dataset_Wisata'!$A$12:$A$622, 0)))) * COS(RADIANS(C69)) * SIN(RADIANS((D69) - INDEX('Dataset_Wisata'!$D$12:$D$622, MATCH('Dashboard'!$C$9, 'Dataset_Wisata'!$A$12:$A$622, 0)))/2)^2)) * 1.3</f>
        <v/>
      </c>
      <c r="J69" s="21">
        <f>ROUND(I69 * IF('Dashboard'!$C$6&lt;=1, 2250, IF('Dashboard'!$C$6&lt;=4, 5150, 6000)), 0)</f>
        <v/>
      </c>
      <c r="K69" s="30" t="n">
        <v>0.9829132746411883</v>
      </c>
      <c r="L69" s="30" t="n">
        <v>0.01504907648339002</v>
      </c>
      <c r="M69" s="30" t="n">
        <v>0.00203764887542164</v>
      </c>
      <c r="N69" s="31">
        <f>ABS(E69-$F$6)</f>
        <v/>
      </c>
      <c r="O69" s="31">
        <f>ABS(E69-$F$7)</f>
        <v/>
      </c>
      <c r="P69" s="31">
        <f>ABS(E69-$F$8)</f>
        <v/>
      </c>
      <c r="Q69" s="14">
        <f>IF(K69&gt;=MAX(L69,M69), "Hemat", IF(L69&gt;=M69, "Balanced", "Premium"))</f>
        <v/>
      </c>
      <c r="R69" s="30" t="n">
        <v>0.9829132811009377</v>
      </c>
      <c r="S69" s="30" t="n">
        <v>0.01504907107031075</v>
      </c>
      <c r="T69" s="30" t="n">
        <v>0.002037647828751567</v>
      </c>
      <c r="U69" s="31">
        <f>ABS(E69-$G$6)</f>
        <v/>
      </c>
      <c r="V69" s="31">
        <f>ABS(E69-$G$7)</f>
        <v/>
      </c>
      <c r="W69" s="31">
        <f>ABS(E69-$G$8)</f>
        <v/>
      </c>
      <c r="X69" s="14">
        <f>IF(R69&gt;=MAX(S69,T69), "Hemat", IF(S69&gt;=T69, "Balanced", "Premium"))</f>
        <v/>
      </c>
    </row>
    <row r="70">
      <c r="A70" s="14" t="n">
        <v>59</v>
      </c>
      <c r="B70" s="7" t="inlineStr">
        <is>
          <t>Waroeng Jagoan 2</t>
        </is>
      </c>
      <c r="C70" s="26" t="n">
        <v>-8.1567288</v>
      </c>
      <c r="D70" s="26" t="n">
        <v>112.476012</v>
      </c>
      <c r="E70" s="21" t="n">
        <v>18000</v>
      </c>
      <c r="F70" s="27" t="n">
        <v>4.8</v>
      </c>
      <c r="G70" s="28" t="n">
        <v>85</v>
      </c>
      <c r="H70" s="14" t="inlineStr">
        <is>
          <t>Wisata Umum</t>
        </is>
      </c>
      <c r="I70" s="29">
        <f>6371 * 2 * ASIN(SQRT(SIN(RADIANS((C70) - INDEX('Dataset_Wisata'!$C$12:$C$622, MATCH('Dashboard'!$C$9, 'Dataset_Wisata'!$A$12:$A$622, 0)))/2)^2 + COS(RADIANS(INDEX('Dataset_Wisata'!$C$12:$C$622, MATCH('Dashboard'!$C$9, 'Dataset_Wisata'!$A$12:$A$622, 0)))) * COS(RADIANS(C70)) * SIN(RADIANS((D70) - INDEX('Dataset_Wisata'!$D$12:$D$622, MATCH('Dashboard'!$C$9, 'Dataset_Wisata'!$A$12:$A$622, 0)))/2)^2)) * 1.3</f>
        <v/>
      </c>
      <c r="J70" s="21">
        <f>ROUND(I70 * IF('Dashboard'!$C$6&lt;=1, 2250, IF('Dashboard'!$C$6&lt;=4, 5150, 6000)), 0)</f>
        <v/>
      </c>
      <c r="K70" s="30" t="n">
        <v>0.6916251733659831</v>
      </c>
      <c r="L70" s="30" t="n">
        <v>0.2920817970297536</v>
      </c>
      <c r="M70" s="30" t="n">
        <v>0.01629302960426341</v>
      </c>
      <c r="N70" s="31">
        <f>ABS(E70-$F$6)</f>
        <v/>
      </c>
      <c r="O70" s="31">
        <f>ABS(E70-$F$7)</f>
        <v/>
      </c>
      <c r="P70" s="31">
        <f>ABS(E70-$F$8)</f>
        <v/>
      </c>
      <c r="Q70" s="14">
        <f>IF(K70&gt;=MAX(L70,M70), "Hemat", IF(L70&gt;=M70, "Balanced", "Premium"))</f>
        <v/>
      </c>
      <c r="R70" s="30" t="n">
        <v>0.6916249652211897</v>
      </c>
      <c r="S70" s="30" t="n">
        <v>0.2920820010799081</v>
      </c>
      <c r="T70" s="30" t="n">
        <v>0.01629303369890229</v>
      </c>
      <c r="U70" s="31">
        <f>ABS(E70-$G$6)</f>
        <v/>
      </c>
      <c r="V70" s="31">
        <f>ABS(E70-$G$7)</f>
        <v/>
      </c>
      <c r="W70" s="31">
        <f>ABS(E70-$G$8)</f>
        <v/>
      </c>
      <c r="X70" s="14">
        <f>IF(R70&gt;=MAX(S70,T70), "Hemat", IF(S70&gt;=T70, "Balanced", "Premium"))</f>
        <v/>
      </c>
    </row>
    <row r="71">
      <c r="A71" s="14" t="n">
        <v>60</v>
      </c>
      <c r="B71" s="7" t="inlineStr">
        <is>
          <t>KASUKI</t>
        </is>
      </c>
      <c r="C71" s="26" t="n">
        <v>-8.156318300000001</v>
      </c>
      <c r="D71" s="26" t="n">
        <v>112.4782758</v>
      </c>
      <c r="E71" s="21" t="n">
        <v>25750</v>
      </c>
      <c r="F71" s="27" t="n">
        <v>4.8</v>
      </c>
      <c r="G71" s="28" t="n">
        <v>59</v>
      </c>
      <c r="H71" s="14" t="inlineStr">
        <is>
          <t>Wisata Umum</t>
        </is>
      </c>
      <c r="I71" s="29">
        <f>6371 * 2 * ASIN(SQRT(SIN(RADIANS((C71) - INDEX('Dataset_Wisata'!$C$12:$C$622, MATCH('Dashboard'!$C$9, 'Dataset_Wisata'!$A$12:$A$622, 0)))/2)^2 + COS(RADIANS(INDEX('Dataset_Wisata'!$C$12:$C$622, MATCH('Dashboard'!$C$9, 'Dataset_Wisata'!$A$12:$A$622, 0)))) * COS(RADIANS(C71)) * SIN(RADIANS((D71) - INDEX('Dataset_Wisata'!$D$12:$D$622, MATCH('Dashboard'!$C$9, 'Dataset_Wisata'!$A$12:$A$622, 0)))/2)^2)) * 1.3</f>
        <v/>
      </c>
      <c r="J71" s="21">
        <f>ROUND(I71 * IF('Dashboard'!$C$6&lt;=1, 2250, IF('Dashboard'!$C$6&lt;=4, 5150, 6000)), 0)</f>
        <v/>
      </c>
      <c r="K71" s="30" t="n">
        <v>0.0009536061614782564</v>
      </c>
      <c r="L71" s="30" t="n">
        <v>0.9987733157546173</v>
      </c>
      <c r="M71" s="30" t="n">
        <v>0.0002730780839044709</v>
      </c>
      <c r="N71" s="31">
        <f>ABS(E71-$F$6)</f>
        <v/>
      </c>
      <c r="O71" s="31">
        <f>ABS(E71-$F$7)</f>
        <v/>
      </c>
      <c r="P71" s="31">
        <f>ABS(E71-$F$8)</f>
        <v/>
      </c>
      <c r="Q71" s="14">
        <f>IF(K71&gt;=MAX(L71,M71), "Hemat", IF(L71&gt;=M71, "Balanced", "Premium"))</f>
        <v/>
      </c>
      <c r="R71" s="30" t="n">
        <v>0.0009536192687310455</v>
      </c>
      <c r="S71" s="30" t="n">
        <v>0.9987732987632436</v>
      </c>
      <c r="T71" s="30" t="n">
        <v>0.0002730819680253206</v>
      </c>
      <c r="U71" s="31">
        <f>ABS(E71-$G$6)</f>
        <v/>
      </c>
      <c r="V71" s="31">
        <f>ABS(E71-$G$7)</f>
        <v/>
      </c>
      <c r="W71" s="31">
        <f>ABS(E71-$G$8)</f>
        <v/>
      </c>
      <c r="X71" s="14">
        <f>IF(R71&gt;=MAX(S71,T71), "Hemat", IF(S71&gt;=T71, "Balanced", "Premium"))</f>
        <v/>
      </c>
    </row>
    <row r="72">
      <c r="A72" s="14" t="n">
        <v>61</v>
      </c>
      <c r="B72" s="7" t="inlineStr">
        <is>
          <t>Warung Pojok</t>
        </is>
      </c>
      <c r="C72" s="26" t="n">
        <v>-8.153734999999999</v>
      </c>
      <c r="D72" s="26" t="n">
        <v>112.483445</v>
      </c>
      <c r="E72" s="21" t="n">
        <v>10000</v>
      </c>
      <c r="F72" s="27" t="n">
        <v>4.6</v>
      </c>
      <c r="G72" s="28" t="n">
        <v>79</v>
      </c>
      <c r="H72" s="14" t="inlineStr">
        <is>
          <t>Warung Pojok</t>
        </is>
      </c>
      <c r="I72" s="29">
        <f>6371 * 2 * ASIN(SQRT(SIN(RADIANS((C72) - INDEX('Dataset_Wisata'!$C$12:$C$622, MATCH('Dashboard'!$C$9, 'Dataset_Wisata'!$A$12:$A$622, 0)))/2)^2 + COS(RADIANS(INDEX('Dataset_Wisata'!$C$12:$C$622, MATCH('Dashboard'!$C$9, 'Dataset_Wisata'!$A$12:$A$622, 0)))) * COS(RADIANS(C72)) * SIN(RADIANS((D72) - INDEX('Dataset_Wisata'!$D$12:$D$622, MATCH('Dashboard'!$C$9, 'Dataset_Wisata'!$A$12:$A$622, 0)))/2)^2)) * 1.3</f>
        <v/>
      </c>
      <c r="J72" s="21">
        <f>ROUND(I72 * IF('Dashboard'!$C$6&lt;=1, 2250, IF('Dashboard'!$C$6&lt;=4, 5150, 6000)), 0)</f>
        <v/>
      </c>
      <c r="K72" s="30" t="n">
        <v>0.9518906050943107</v>
      </c>
      <c r="L72" s="30" t="n">
        <v>0.04169660451397377</v>
      </c>
      <c r="M72" s="30" t="n">
        <v>0.006412790391715545</v>
      </c>
      <c r="N72" s="31">
        <f>ABS(E72-$F$6)</f>
        <v/>
      </c>
      <c r="O72" s="31">
        <f>ABS(E72-$F$7)</f>
        <v/>
      </c>
      <c r="P72" s="31">
        <f>ABS(E72-$F$8)</f>
        <v/>
      </c>
      <c r="Q72" s="14">
        <f>IF(K72&gt;=MAX(L72,M72), "Hemat", IF(L72&gt;=M72, "Balanced", "Premium"))</f>
        <v/>
      </c>
      <c r="R72" s="30" t="n">
        <v>0.9518906082621517</v>
      </c>
      <c r="S72" s="30" t="n">
        <v>0.04169660246361195</v>
      </c>
      <c r="T72" s="30" t="n">
        <v>0.006412789274236485</v>
      </c>
      <c r="U72" s="31">
        <f>ABS(E72-$G$6)</f>
        <v/>
      </c>
      <c r="V72" s="31">
        <f>ABS(E72-$G$7)</f>
        <v/>
      </c>
      <c r="W72" s="31">
        <f>ABS(E72-$G$8)</f>
        <v/>
      </c>
      <c r="X72" s="14">
        <f>IF(R72&gt;=MAX(S72,T72), "Hemat", IF(S72&gt;=T72, "Balanced", "Premium"))</f>
        <v/>
      </c>
    </row>
    <row r="73">
      <c r="A73" s="14" t="n">
        <v>62</v>
      </c>
      <c r="B73" s="7" t="inlineStr">
        <is>
          <t>Warung Bu Yayah</t>
        </is>
      </c>
      <c r="C73" s="26" t="n">
        <v>-8.1574171</v>
      </c>
      <c r="D73" s="26" t="n">
        <v>112.4943295</v>
      </c>
      <c r="E73" s="21" t="n">
        <v>15500</v>
      </c>
      <c r="F73" s="27" t="n">
        <v>4.6</v>
      </c>
      <c r="G73" s="28" t="n">
        <v>210</v>
      </c>
      <c r="H73" s="14" t="inlineStr">
        <is>
          <t>Warung Bu Yayah</t>
        </is>
      </c>
      <c r="I73" s="29">
        <f>6371 * 2 * ASIN(SQRT(SIN(RADIANS((C73) - INDEX('Dataset_Wisata'!$C$12:$C$622, MATCH('Dashboard'!$C$9, 'Dataset_Wisata'!$A$12:$A$622, 0)))/2)^2 + COS(RADIANS(INDEX('Dataset_Wisata'!$C$12:$C$622, MATCH('Dashboard'!$C$9, 'Dataset_Wisata'!$A$12:$A$622, 0)))) * COS(RADIANS(C73)) * SIN(RADIANS((D73) - INDEX('Dataset_Wisata'!$D$12:$D$622, MATCH('Dashboard'!$C$9, 'Dataset_Wisata'!$A$12:$A$622, 0)))/2)^2)) * 1.3</f>
        <v/>
      </c>
      <c r="J73" s="21">
        <f>ROUND(I73 * IF('Dashboard'!$C$6&lt;=1, 2250, IF('Dashboard'!$C$6&lt;=4, 5150, 6000)), 0)</f>
        <v/>
      </c>
      <c r="K73" s="30" t="n">
        <v>0.9449432442408515</v>
      </c>
      <c r="L73" s="30" t="n">
        <v>0.05070687831140908</v>
      </c>
      <c r="M73" s="30" t="n">
        <v>0.004349877447739512</v>
      </c>
      <c r="N73" s="31">
        <f>ABS(E73-$F$6)</f>
        <v/>
      </c>
      <c r="O73" s="31">
        <f>ABS(E73-$F$7)</f>
        <v/>
      </c>
      <c r="P73" s="31">
        <f>ABS(E73-$F$8)</f>
        <v/>
      </c>
      <c r="Q73" s="14">
        <f>IF(K73&gt;=MAX(L73,M73), "Hemat", IF(L73&gt;=M73, "Balanced", "Premium"))</f>
        <v/>
      </c>
      <c r="R73" s="30" t="n">
        <v>0.944943187640449</v>
      </c>
      <c r="S73" s="30" t="n">
        <v>0.05070693157515045</v>
      </c>
      <c r="T73" s="30" t="n">
        <v>0.004349880784400502</v>
      </c>
      <c r="U73" s="31">
        <f>ABS(E73-$G$6)</f>
        <v/>
      </c>
      <c r="V73" s="31">
        <f>ABS(E73-$G$7)</f>
        <v/>
      </c>
      <c r="W73" s="31">
        <f>ABS(E73-$G$8)</f>
        <v/>
      </c>
      <c r="X73" s="14">
        <f>IF(R73&gt;=MAX(S73,T73), "Hemat", IF(S73&gt;=T73, "Balanced", "Premium"))</f>
        <v/>
      </c>
    </row>
    <row r="74">
      <c r="A74" s="14" t="n">
        <v>63</v>
      </c>
      <c r="B74" s="7" t="inlineStr">
        <is>
          <t>Ayam Goreng Miroso</t>
        </is>
      </c>
      <c r="C74" s="26" t="n">
        <v>-8.156632999999999</v>
      </c>
      <c r="D74" s="26" t="n">
        <v>112.4811336</v>
      </c>
      <c r="E74" s="21" t="n">
        <v>13000</v>
      </c>
      <c r="F74" s="27" t="n">
        <v>4.1</v>
      </c>
      <c r="G74" s="28" t="n">
        <v>349</v>
      </c>
      <c r="H74" s="14" t="inlineStr">
        <is>
          <t>Wisata Umum</t>
        </is>
      </c>
      <c r="I74" s="29">
        <f>6371 * 2 * ASIN(SQRT(SIN(RADIANS((C74) - INDEX('Dataset_Wisata'!$C$12:$C$622, MATCH('Dashboard'!$C$9, 'Dataset_Wisata'!$A$12:$A$622, 0)))/2)^2 + COS(RADIANS(INDEX('Dataset_Wisata'!$C$12:$C$622, MATCH('Dashboard'!$C$9, 'Dataset_Wisata'!$A$12:$A$622, 0)))) * COS(RADIANS(C74)) * SIN(RADIANS((D74) - INDEX('Dataset_Wisata'!$D$12:$D$622, MATCH('Dashboard'!$C$9, 'Dataset_Wisata'!$A$12:$A$622, 0)))/2)^2)) * 1.3</f>
        <v/>
      </c>
      <c r="J74" s="21">
        <f>ROUND(I74 * IF('Dashboard'!$C$6&lt;=1, 2250, IF('Dashboard'!$C$6&lt;=4, 5150, 6000)), 0)</f>
        <v/>
      </c>
      <c r="K74" s="30" t="n">
        <v>0.9996613401455278</v>
      </c>
      <c r="L74" s="30" t="n">
        <v>0.0003032413982241428</v>
      </c>
      <c r="M74" s="30" t="n">
        <v>3.541845624800055e-05</v>
      </c>
      <c r="N74" s="31">
        <f>ABS(E74-$F$6)</f>
        <v/>
      </c>
      <c r="O74" s="31">
        <f>ABS(E74-$F$7)</f>
        <v/>
      </c>
      <c r="P74" s="31">
        <f>ABS(E74-$F$8)</f>
        <v/>
      </c>
      <c r="Q74" s="14">
        <f>IF(K74&gt;=MAX(L74,M74), "Hemat", IF(L74&gt;=M74, "Balanced", "Premium"))</f>
        <v/>
      </c>
      <c r="R74" s="30" t="n">
        <v>0.9996613420378273</v>
      </c>
      <c r="S74" s="30" t="n">
        <v>0.0003032397098959421</v>
      </c>
      <c r="T74" s="30" t="n">
        <v>3.541825227674828e-05</v>
      </c>
      <c r="U74" s="31">
        <f>ABS(E74-$G$6)</f>
        <v/>
      </c>
      <c r="V74" s="31">
        <f>ABS(E74-$G$7)</f>
        <v/>
      </c>
      <c r="W74" s="31">
        <f>ABS(E74-$G$8)</f>
        <v/>
      </c>
      <c r="X74" s="14">
        <f>IF(R74&gt;=MAX(S74,T74), "Hemat", IF(S74&gt;=T74, "Balanced", "Premium"))</f>
        <v/>
      </c>
    </row>
    <row r="75">
      <c r="A75" s="14" t="n">
        <v>64</v>
      </c>
      <c r="B75" s="7" t="inlineStr">
        <is>
          <t>Rumah Makan Weringin Asri</t>
        </is>
      </c>
      <c r="C75" s="26" t="n">
        <v>-7.8532822</v>
      </c>
      <c r="D75" s="26" t="n">
        <v>112.4870164</v>
      </c>
      <c r="E75" s="21" t="n">
        <v>34000</v>
      </c>
      <c r="F75" s="27" t="n">
        <v>4.4</v>
      </c>
      <c r="G75" s="28" t="n">
        <v>97</v>
      </c>
      <c r="H75" s="14" t="inlineStr">
        <is>
          <t>Wisata Umum</t>
        </is>
      </c>
      <c r="I75" s="29">
        <f>6371 * 2 * ASIN(SQRT(SIN(RADIANS((C75) - INDEX('Dataset_Wisata'!$C$12:$C$622, MATCH('Dashboard'!$C$9, 'Dataset_Wisata'!$A$12:$A$622, 0)))/2)^2 + COS(RADIANS(INDEX('Dataset_Wisata'!$C$12:$C$622, MATCH('Dashboard'!$C$9, 'Dataset_Wisata'!$A$12:$A$622, 0)))) * COS(RADIANS(C75)) * SIN(RADIANS((D75) - INDEX('Dataset_Wisata'!$D$12:$D$622, MATCH('Dashboard'!$C$9, 'Dataset_Wisata'!$A$12:$A$622, 0)))/2)^2)) * 1.3</f>
        <v/>
      </c>
      <c r="J75" s="21">
        <f>ROUND(I75 * IF('Dashboard'!$C$6&lt;=1, 2250, IF('Dashboard'!$C$6&lt;=4, 5150, 6000)), 0)</f>
        <v/>
      </c>
      <c r="K75" s="30" t="n">
        <v>0.1153802236211902</v>
      </c>
      <c r="L75" s="30" t="n">
        <v>0.6681294534818699</v>
      </c>
      <c r="M75" s="30" t="n">
        <v>0.2164903228969398</v>
      </c>
      <c r="N75" s="31">
        <f>ABS(E75-$F$6)</f>
        <v/>
      </c>
      <c r="O75" s="31">
        <f>ABS(E75-$F$7)</f>
        <v/>
      </c>
      <c r="P75" s="31">
        <f>ABS(E75-$F$8)</f>
        <v/>
      </c>
      <c r="Q75" s="14">
        <f>IF(K75&gt;=MAX(L75,M75), "Hemat", IF(L75&gt;=M75, "Balanced", "Premium"))</f>
        <v/>
      </c>
      <c r="R75" s="30" t="n">
        <v>0.1153802507262538</v>
      </c>
      <c r="S75" s="30" t="n">
        <v>0.6681292365936576</v>
      </c>
      <c r="T75" s="30" t="n">
        <v>0.2164905126800888</v>
      </c>
      <c r="U75" s="31">
        <f>ABS(E75-$G$6)</f>
        <v/>
      </c>
      <c r="V75" s="31">
        <f>ABS(E75-$G$7)</f>
        <v/>
      </c>
      <c r="W75" s="31">
        <f>ABS(E75-$G$8)</f>
        <v/>
      </c>
      <c r="X75" s="14">
        <f>IF(R75&gt;=MAX(S75,T75), "Hemat", IF(S75&gt;=T75, "Balanced", "Premium"))</f>
        <v/>
      </c>
    </row>
    <row r="76">
      <c r="A76" s="14" t="n">
        <v>65</v>
      </c>
      <c r="B76" s="7" t="inlineStr">
        <is>
          <t>Warung Bu Erni</t>
        </is>
      </c>
      <c r="C76" s="26" t="n">
        <v>-7.8573357</v>
      </c>
      <c r="D76" s="26" t="n">
        <v>112.4806747</v>
      </c>
      <c r="E76" s="21" t="n">
        <v>15350</v>
      </c>
      <c r="F76" s="27" t="n">
        <v>4.2</v>
      </c>
      <c r="G76" s="28" t="n">
        <v>20</v>
      </c>
      <c r="H76" s="14" t="inlineStr">
        <is>
          <t>Warung Bu Erni</t>
        </is>
      </c>
      <c r="I76" s="29">
        <f>6371 * 2 * ASIN(SQRT(SIN(RADIANS((C76) - INDEX('Dataset_Wisata'!$C$12:$C$622, MATCH('Dashboard'!$C$9, 'Dataset_Wisata'!$A$12:$A$622, 0)))/2)^2 + COS(RADIANS(INDEX('Dataset_Wisata'!$C$12:$C$622, MATCH('Dashboard'!$C$9, 'Dataset_Wisata'!$A$12:$A$622, 0)))) * COS(RADIANS(C76)) * SIN(RADIANS((D76) - INDEX('Dataset_Wisata'!$D$12:$D$622, MATCH('Dashboard'!$C$9, 'Dataset_Wisata'!$A$12:$A$622, 0)))/2)^2)) * 1.3</f>
        <v/>
      </c>
      <c r="J76" s="21">
        <f>ROUND(I76 * IF('Dashboard'!$C$6&lt;=1, 2250, IF('Dashboard'!$C$6&lt;=4, 5150, 6000)), 0)</f>
        <v/>
      </c>
      <c r="K76" s="30" t="n">
        <v>0.9528924110876462</v>
      </c>
      <c r="L76" s="30" t="n">
        <v>0.04331208485027604</v>
      </c>
      <c r="M76" s="30" t="n">
        <v>0.003795504062077723</v>
      </c>
      <c r="N76" s="31">
        <f>ABS(E76-$F$6)</f>
        <v/>
      </c>
      <c r="O76" s="31">
        <f>ABS(E76-$F$7)</f>
        <v/>
      </c>
      <c r="P76" s="31">
        <f>ABS(E76-$F$8)</f>
        <v/>
      </c>
      <c r="Q76" s="14">
        <f>IF(K76&gt;=MAX(L76,M76), "Hemat", IF(L76&gt;=M76, "Balanced", "Premium"))</f>
        <v/>
      </c>
      <c r="R76" s="30" t="n">
        <v>0.9528923608278598</v>
      </c>
      <c r="S76" s="30" t="n">
        <v>0.04331213202497909</v>
      </c>
      <c r="T76" s="30" t="n">
        <v>0.003795507147161075</v>
      </c>
      <c r="U76" s="31">
        <f>ABS(E76-$G$6)</f>
        <v/>
      </c>
      <c r="V76" s="31">
        <f>ABS(E76-$G$7)</f>
        <v/>
      </c>
      <c r="W76" s="31">
        <f>ABS(E76-$G$8)</f>
        <v/>
      </c>
      <c r="X76" s="14">
        <f>IF(R76&gt;=MAX(S76,T76), "Hemat", IF(S76&gt;=T76, "Balanced", "Premium"))</f>
        <v/>
      </c>
    </row>
    <row r="77">
      <c r="A77" s="14" t="n">
        <v>66</v>
      </c>
      <c r="B77" s="7" t="inlineStr">
        <is>
          <t>DEPOT MAMAKU AYAM GORENG DAN NASI TIMBEL</t>
        </is>
      </c>
      <c r="C77" s="26" t="n">
        <v>-7.8781329</v>
      </c>
      <c r="D77" s="26" t="n">
        <v>112.5197728</v>
      </c>
      <c r="E77" s="21" t="n">
        <v>35900</v>
      </c>
      <c r="F77" s="27" t="n">
        <v>4.6</v>
      </c>
      <c r="G77" s="28" t="n">
        <v>47</v>
      </c>
      <c r="H77" s="14" t="inlineStr">
        <is>
          <t>Wisata Umum</t>
        </is>
      </c>
      <c r="I77" s="29">
        <f>6371 * 2 * ASIN(SQRT(SIN(RADIANS((C77) - INDEX('Dataset_Wisata'!$C$12:$C$622, MATCH('Dashboard'!$C$9, 'Dataset_Wisata'!$A$12:$A$622, 0)))/2)^2 + COS(RADIANS(INDEX('Dataset_Wisata'!$C$12:$C$622, MATCH('Dashboard'!$C$9, 'Dataset_Wisata'!$A$12:$A$622, 0)))) * COS(RADIANS(C77)) * SIN(RADIANS((D77) - INDEX('Dataset_Wisata'!$D$12:$D$622, MATCH('Dashboard'!$C$9, 'Dataset_Wisata'!$A$12:$A$622, 0)))/2)^2)) * 1.3</f>
        <v/>
      </c>
      <c r="J77" s="21">
        <f>ROUND(I77 * IF('Dashboard'!$C$6&lt;=1, 2250, IF('Dashboard'!$C$6&lt;=4, 5150, 6000)), 0)</f>
        <v/>
      </c>
      <c r="K77" s="30" t="n">
        <v>0.1168877604847531</v>
      </c>
      <c r="L77" s="30" t="n">
        <v>0.54171953111028</v>
      </c>
      <c r="M77" s="30" t="n">
        <v>0.3413927084049669</v>
      </c>
      <c r="N77" s="31">
        <f>ABS(E77-$F$6)</f>
        <v/>
      </c>
      <c r="O77" s="31">
        <f>ABS(E77-$F$7)</f>
        <v/>
      </c>
      <c r="P77" s="31">
        <f>ABS(E77-$F$8)</f>
        <v/>
      </c>
      <c r="Q77" s="14">
        <f>IF(K77&gt;=MAX(L77,M77), "Hemat", IF(L77&gt;=M77, "Balanced", "Premium"))</f>
        <v/>
      </c>
      <c r="R77" s="30" t="n">
        <v>0.1168877604364908</v>
      </c>
      <c r="S77" s="30" t="n">
        <v>0.5417192856812727</v>
      </c>
      <c r="T77" s="30" t="n">
        <v>0.3413929538822366</v>
      </c>
      <c r="U77" s="31">
        <f>ABS(E77-$G$6)</f>
        <v/>
      </c>
      <c r="V77" s="31">
        <f>ABS(E77-$G$7)</f>
        <v/>
      </c>
      <c r="W77" s="31">
        <f>ABS(E77-$G$8)</f>
        <v/>
      </c>
      <c r="X77" s="14">
        <f>IF(R77&gt;=MAX(S77,T77), "Hemat", IF(S77&gt;=T77, "Balanced", "Premium"))</f>
        <v/>
      </c>
    </row>
    <row r="78">
      <c r="A78" s="14" t="n">
        <v>67</v>
      </c>
      <c r="B78" s="7" t="inlineStr">
        <is>
          <t>Depote</t>
        </is>
      </c>
      <c r="C78" s="26" t="n">
        <v>-7.8608074</v>
      </c>
      <c r="D78" s="26" t="n">
        <v>112.5270037</v>
      </c>
      <c r="E78" s="21" t="n">
        <v>25000</v>
      </c>
      <c r="F78" s="27" t="n">
        <v>4.8</v>
      </c>
      <c r="G78" s="28" t="n">
        <v>65</v>
      </c>
      <c r="H78" s="14" t="inlineStr">
        <is>
          <t>Restoran</t>
        </is>
      </c>
      <c r="I78" s="29">
        <f>6371 * 2 * ASIN(SQRT(SIN(RADIANS((C78) - INDEX('Dataset_Wisata'!$C$12:$C$622, MATCH('Dashboard'!$C$9, 'Dataset_Wisata'!$A$12:$A$622, 0)))/2)^2 + COS(RADIANS(INDEX('Dataset_Wisata'!$C$12:$C$622, MATCH('Dashboard'!$C$9, 'Dataset_Wisata'!$A$12:$A$622, 0)))) * COS(RADIANS(C78)) * SIN(RADIANS((D78) - INDEX('Dataset_Wisata'!$D$12:$D$622, MATCH('Dashboard'!$C$9, 'Dataset_Wisata'!$A$12:$A$622, 0)))/2)^2)) * 1.3</f>
        <v/>
      </c>
      <c r="J78" s="21">
        <f>ROUND(I78 * IF('Dashboard'!$C$6&lt;=1, 2250, IF('Dashboard'!$C$6&lt;=4, 5150, 6000)), 0)</f>
        <v/>
      </c>
      <c r="K78" s="30" t="n">
        <v>0.0009460509590550509</v>
      </c>
      <c r="L78" s="30" t="n">
        <v>0.9988291129147837</v>
      </c>
      <c r="M78" s="30" t="n">
        <v>0.0002248361261612175</v>
      </c>
      <c r="N78" s="31">
        <f>ABS(E78-$F$6)</f>
        <v/>
      </c>
      <c r="O78" s="31">
        <f>ABS(E78-$F$7)</f>
        <v/>
      </c>
      <c r="P78" s="31">
        <f>ABS(E78-$F$8)</f>
        <v/>
      </c>
      <c r="Q78" s="14">
        <f>IF(K78&gt;=MAX(L78,M78), "Hemat", IF(L78&gt;=M78, "Balanced", "Premium"))</f>
        <v/>
      </c>
      <c r="R78" s="30" t="n">
        <v>0.0009460368639408893</v>
      </c>
      <c r="S78" s="30" t="n">
        <v>0.998829130253259</v>
      </c>
      <c r="T78" s="30" t="n">
        <v>0.0002248328828000856</v>
      </c>
      <c r="U78" s="31">
        <f>ABS(E78-$G$6)</f>
        <v/>
      </c>
      <c r="V78" s="31">
        <f>ABS(E78-$G$7)</f>
        <v/>
      </c>
      <c r="W78" s="31">
        <f>ABS(E78-$G$8)</f>
        <v/>
      </c>
      <c r="X78" s="14">
        <f>IF(R78&gt;=MAX(S78,T78), "Hemat", IF(S78&gt;=T78, "Balanced", "Premium"))</f>
        <v/>
      </c>
    </row>
    <row r="79">
      <c r="A79" s="14" t="n">
        <v>68</v>
      </c>
      <c r="B79" s="7" t="inlineStr">
        <is>
          <t>Ayam Tulang Lunak MBOK SURIP Pujon, Kab Malang</t>
        </is>
      </c>
      <c r="C79" s="26" t="n">
        <v>-7.8492431</v>
      </c>
      <c r="D79" s="26" t="n">
        <v>112.4789832</v>
      </c>
      <c r="E79" s="21" t="n">
        <v>21000</v>
      </c>
      <c r="F79" s="27" t="n">
        <v>4.4</v>
      </c>
      <c r="G79" s="28" t="n">
        <v>465</v>
      </c>
      <c r="H79" s="14" t="inlineStr">
        <is>
          <t>Wisata Umum</t>
        </is>
      </c>
      <c r="I79" s="29">
        <f>6371 * 2 * ASIN(SQRT(SIN(RADIANS((C79) - INDEX('Dataset_Wisata'!$C$12:$C$622, MATCH('Dashboard'!$C$9, 'Dataset_Wisata'!$A$12:$A$622, 0)))/2)^2 + COS(RADIANS(INDEX('Dataset_Wisata'!$C$12:$C$622, MATCH('Dashboard'!$C$9, 'Dataset_Wisata'!$A$12:$A$622, 0)))) * COS(RADIANS(C79)) * SIN(RADIANS((D79) - INDEX('Dataset_Wisata'!$D$12:$D$622, MATCH('Dashboard'!$C$9, 'Dataset_Wisata'!$A$12:$A$622, 0)))/2)^2)) * 1.3</f>
        <v/>
      </c>
      <c r="J79" s="21">
        <f>ROUND(I79 * IF('Dashboard'!$C$6&lt;=1, 2250, IF('Dashboard'!$C$6&lt;=4, 5150, 6000)), 0)</f>
        <v/>
      </c>
      <c r="K79" s="30" t="n">
        <v>0.2347222334369035</v>
      </c>
      <c r="L79" s="30" t="n">
        <v>0.7473572719448701</v>
      </c>
      <c r="M79" s="30" t="n">
        <v>0.01792049461822643</v>
      </c>
      <c r="N79" s="31">
        <f>ABS(E79-$F$6)</f>
        <v/>
      </c>
      <c r="O79" s="31">
        <f>ABS(E79-$F$7)</f>
        <v/>
      </c>
      <c r="P79" s="31">
        <f>ABS(E79-$F$8)</f>
        <v/>
      </c>
      <c r="Q79" s="14">
        <f>IF(K79&gt;=MAX(L79,M79), "Hemat", IF(L79&gt;=M79, "Balanced", "Premium"))</f>
        <v/>
      </c>
      <c r="R79" s="30" t="n">
        <v>0.2347219863641389</v>
      </c>
      <c r="S79" s="30" t="n">
        <v>0.7473575293118924</v>
      </c>
      <c r="T79" s="30" t="n">
        <v>0.0179204843239686</v>
      </c>
      <c r="U79" s="31">
        <f>ABS(E79-$G$6)</f>
        <v/>
      </c>
      <c r="V79" s="31">
        <f>ABS(E79-$G$7)</f>
        <v/>
      </c>
      <c r="W79" s="31">
        <f>ABS(E79-$G$8)</f>
        <v/>
      </c>
      <c r="X79" s="14">
        <f>IF(R79&gt;=MAX(S79,T79), "Hemat", IF(S79&gt;=T79, "Balanced", "Premium"))</f>
        <v/>
      </c>
    </row>
    <row r="80">
      <c r="A80" s="14" t="n">
        <v>69</v>
      </c>
      <c r="B80" s="7" t="inlineStr">
        <is>
          <t>Waroeng Cipoet Khas Jawa</t>
        </is>
      </c>
      <c r="C80" s="26" t="n">
        <v>-7.85056</v>
      </c>
      <c r="D80" s="26" t="n">
        <v>112.481746</v>
      </c>
      <c r="E80" s="21" t="n">
        <v>15000</v>
      </c>
      <c r="F80" s="27" t="n">
        <v>4.5</v>
      </c>
      <c r="G80" s="28" t="n">
        <v>158</v>
      </c>
      <c r="H80" s="14" t="inlineStr">
        <is>
          <t>Wisata Umum</t>
        </is>
      </c>
      <c r="I80" s="29">
        <f>6371 * 2 * ASIN(SQRT(SIN(RADIANS((C80) - INDEX('Dataset_Wisata'!$C$12:$C$622, MATCH('Dashboard'!$C$9, 'Dataset_Wisata'!$A$12:$A$622, 0)))/2)^2 + COS(RADIANS(INDEX('Dataset_Wisata'!$C$12:$C$622, MATCH('Dashboard'!$C$9, 'Dataset_Wisata'!$A$12:$A$622, 0)))) * COS(RADIANS(C80)) * SIN(RADIANS((D80) - INDEX('Dataset_Wisata'!$D$12:$D$622, MATCH('Dashboard'!$C$9, 'Dataset_Wisata'!$A$12:$A$622, 0)))/2)^2)) * 1.3</f>
        <v/>
      </c>
      <c r="J80" s="21">
        <f>ROUND(I80 * IF('Dashboard'!$C$6&lt;=1, 2250, IF('Dashboard'!$C$6&lt;=4, 5150, 6000)), 0)</f>
        <v/>
      </c>
      <c r="K80" s="30" t="n">
        <v>0.9686283169848018</v>
      </c>
      <c r="L80" s="30" t="n">
        <v>0.02872990537067274</v>
      </c>
      <c r="M80" s="30" t="n">
        <v>0.002641777644525457</v>
      </c>
      <c r="N80" s="31">
        <f>ABS(E80-$F$6)</f>
        <v/>
      </c>
      <c r="O80" s="31">
        <f>ABS(E80-$F$7)</f>
        <v/>
      </c>
      <c r="P80" s="31">
        <f>ABS(E80-$F$8)</f>
        <v/>
      </c>
      <c r="Q80" s="14">
        <f>IF(K80&gt;=MAX(L80,M80), "Hemat", IF(L80&gt;=M80, "Balanced", "Premium"))</f>
        <v/>
      </c>
      <c r="R80" s="30" t="n">
        <v>0.9686282798936615</v>
      </c>
      <c r="S80" s="30" t="n">
        <v>0.02872993996961344</v>
      </c>
      <c r="T80" s="30" t="n">
        <v>0.002641780136725144</v>
      </c>
      <c r="U80" s="31">
        <f>ABS(E80-$G$6)</f>
        <v/>
      </c>
      <c r="V80" s="31">
        <f>ABS(E80-$G$7)</f>
        <v/>
      </c>
      <c r="W80" s="31">
        <f>ABS(E80-$G$8)</f>
        <v/>
      </c>
      <c r="X80" s="14">
        <f>IF(R80&gt;=MAX(S80,T80), "Hemat", IF(S80&gt;=T80, "Balanced", "Premium"))</f>
        <v/>
      </c>
    </row>
    <row r="81">
      <c r="A81" s="14" t="n">
        <v>70</v>
      </c>
      <c r="B81" s="7" t="inlineStr">
        <is>
          <t>Warung Bu Amanah</t>
        </is>
      </c>
      <c r="C81" s="26" t="n">
        <v>-7.8411771</v>
      </c>
      <c r="D81" s="26" t="n">
        <v>112.4624714</v>
      </c>
      <c r="E81" s="21" t="n">
        <v>12000</v>
      </c>
      <c r="F81" s="27" t="n">
        <v>4.9</v>
      </c>
      <c r="G81" s="28" t="n">
        <v>23</v>
      </c>
      <c r="H81" s="14" t="inlineStr">
        <is>
          <t>Warung Bu Amanah</t>
        </is>
      </c>
      <c r="I81" s="29">
        <f>6371 * 2 * ASIN(SQRT(SIN(RADIANS((C81) - INDEX('Dataset_Wisata'!$C$12:$C$622, MATCH('Dashboard'!$C$9, 'Dataset_Wisata'!$A$12:$A$622, 0)))/2)^2 + COS(RADIANS(INDEX('Dataset_Wisata'!$C$12:$C$622, MATCH('Dashboard'!$C$9, 'Dataset_Wisata'!$A$12:$A$622, 0)))) * COS(RADIANS(C81)) * SIN(RADIANS((D81) - INDEX('Dataset_Wisata'!$D$12:$D$622, MATCH('Dashboard'!$C$9, 'Dataset_Wisata'!$A$12:$A$622, 0)))/2)^2)) * 1.3</f>
        <v/>
      </c>
      <c r="J81" s="21">
        <f>ROUND(I81 * IF('Dashboard'!$C$6&lt;=1, 2250, IF('Dashboard'!$C$6&lt;=4, 5150, 6000)), 0)</f>
        <v/>
      </c>
      <c r="K81" s="30" t="n">
        <v>0.9907459480940729</v>
      </c>
      <c r="L81" s="30" t="n">
        <v>0.008195110232283047</v>
      </c>
      <c r="M81" s="30" t="n">
        <v>0.001058941673643979</v>
      </c>
      <c r="N81" s="31">
        <f>ABS(E81-$F$6)</f>
        <v/>
      </c>
      <c r="O81" s="31">
        <f>ABS(E81-$F$7)</f>
        <v/>
      </c>
      <c r="P81" s="31">
        <f>ABS(E81-$F$8)</f>
        <v/>
      </c>
      <c r="Q81" s="14">
        <f>IF(K81&gt;=MAX(L81,M81), "Hemat", IF(L81&gt;=M81, "Balanced", "Premium"))</f>
        <v/>
      </c>
      <c r="R81" s="30" t="n">
        <v>0.9907459543354936</v>
      </c>
      <c r="S81" s="30" t="n">
        <v>0.008195104860105683</v>
      </c>
      <c r="T81" s="30" t="n">
        <v>0.0010589408044008</v>
      </c>
      <c r="U81" s="31">
        <f>ABS(E81-$G$6)</f>
        <v/>
      </c>
      <c r="V81" s="31">
        <f>ABS(E81-$G$7)</f>
        <v/>
      </c>
      <c r="W81" s="31">
        <f>ABS(E81-$G$8)</f>
        <v/>
      </c>
      <c r="X81" s="14">
        <f>IF(R81&gt;=MAX(S81,T81), "Hemat", IF(S81&gt;=T81, "Balanced", "Premium"))</f>
        <v/>
      </c>
    </row>
    <row r="82">
      <c r="A82" s="14" t="n">
        <v>71</v>
      </c>
      <c r="B82" s="7" t="inlineStr">
        <is>
          <t>Warung Rini</t>
        </is>
      </c>
      <c r="C82" s="26" t="n">
        <v>-7.8490859</v>
      </c>
      <c r="D82" s="26" t="n">
        <v>112.4787033</v>
      </c>
      <c r="E82" s="21" t="n">
        <v>13000</v>
      </c>
      <c r="F82" s="27" t="n">
        <v>4.3</v>
      </c>
      <c r="G82" s="28" t="n">
        <v>144</v>
      </c>
      <c r="H82" s="14" t="inlineStr">
        <is>
          <t>Warung Rini</t>
        </is>
      </c>
      <c r="I82" s="29">
        <f>6371 * 2 * ASIN(SQRT(SIN(RADIANS((C82) - INDEX('Dataset_Wisata'!$C$12:$C$622, MATCH('Dashboard'!$C$9, 'Dataset_Wisata'!$A$12:$A$622, 0)))/2)^2 + COS(RADIANS(INDEX('Dataset_Wisata'!$C$12:$C$622, MATCH('Dashboard'!$C$9, 'Dataset_Wisata'!$A$12:$A$622, 0)))) * COS(RADIANS(C82)) * SIN(RADIANS((D82) - INDEX('Dataset_Wisata'!$D$12:$D$622, MATCH('Dashboard'!$C$9, 'Dataset_Wisata'!$A$12:$A$622, 0)))/2)^2)) * 1.3</f>
        <v/>
      </c>
      <c r="J82" s="21">
        <f>ROUND(I82 * IF('Dashboard'!$C$6&lt;=1, 2250, IF('Dashboard'!$C$6&lt;=4, 5150, 6000)), 0)</f>
        <v/>
      </c>
      <c r="K82" s="30" t="n">
        <v>0.9996613401455278</v>
      </c>
      <c r="L82" s="30" t="n">
        <v>0.0003032413982241428</v>
      </c>
      <c r="M82" s="30" t="n">
        <v>3.541845624800055e-05</v>
      </c>
      <c r="N82" s="31">
        <f>ABS(E82-$F$6)</f>
        <v/>
      </c>
      <c r="O82" s="31">
        <f>ABS(E82-$F$7)</f>
        <v/>
      </c>
      <c r="P82" s="31">
        <f>ABS(E82-$F$8)</f>
        <v/>
      </c>
      <c r="Q82" s="14">
        <f>IF(K82&gt;=MAX(L82,M82), "Hemat", IF(L82&gt;=M82, "Balanced", "Premium"))</f>
        <v/>
      </c>
      <c r="R82" s="30" t="n">
        <v>0.9996613420378273</v>
      </c>
      <c r="S82" s="30" t="n">
        <v>0.0003032397098959421</v>
      </c>
      <c r="T82" s="30" t="n">
        <v>3.541825227674828e-05</v>
      </c>
      <c r="U82" s="31">
        <f>ABS(E82-$G$6)</f>
        <v/>
      </c>
      <c r="V82" s="31">
        <f>ABS(E82-$G$7)</f>
        <v/>
      </c>
      <c r="W82" s="31">
        <f>ABS(E82-$G$8)</f>
        <v/>
      </c>
      <c r="X82" s="14">
        <f>IF(R82&gt;=MAX(S82,T82), "Hemat", IF(S82&gt;=T82, "Balanced", "Premium"))</f>
        <v/>
      </c>
    </row>
    <row r="83">
      <c r="A83" s="14" t="n">
        <v>72</v>
      </c>
      <c r="B83" s="7" t="inlineStr">
        <is>
          <t>Waroeng Watu Gong</t>
        </is>
      </c>
      <c r="C83" s="26" t="n">
        <v>-7.8473239</v>
      </c>
      <c r="D83" s="26" t="n">
        <v>112.4761461</v>
      </c>
      <c r="E83" s="21" t="n">
        <v>15250</v>
      </c>
      <c r="F83" s="27" t="n">
        <v>4.5</v>
      </c>
      <c r="G83" s="28" t="n">
        <v>64</v>
      </c>
      <c r="H83" s="14" t="inlineStr">
        <is>
          <t>Wisata Umum</t>
        </is>
      </c>
      <c r="I83" s="29">
        <f>6371 * 2 * ASIN(SQRT(SIN(RADIANS((C83) - INDEX('Dataset_Wisata'!$C$12:$C$622, MATCH('Dashboard'!$C$9, 'Dataset_Wisata'!$A$12:$A$622, 0)))/2)^2 + COS(RADIANS(INDEX('Dataset_Wisata'!$C$12:$C$622, MATCH('Dashboard'!$C$9, 'Dataset_Wisata'!$A$12:$A$622, 0)))) * COS(RADIANS(C83)) * SIN(RADIANS((D83) - INDEX('Dataset_Wisata'!$D$12:$D$622, MATCH('Dashboard'!$C$9, 'Dataset_Wisata'!$A$12:$A$622, 0)))/2)^2)) * 1.3</f>
        <v/>
      </c>
      <c r="J83" s="21">
        <f>ROUND(I83 * IF('Dashboard'!$C$6&lt;=1, 2250, IF('Dashboard'!$C$6&lt;=4, 5150, 6000)), 0)</f>
        <v/>
      </c>
      <c r="K83" s="30" t="n">
        <v>0.9577817293233004</v>
      </c>
      <c r="L83" s="30" t="n">
        <v>0.03877275172514857</v>
      </c>
      <c r="M83" s="30" t="n">
        <v>0.00344551895155111</v>
      </c>
      <c r="N83" s="31">
        <f>ABS(E83-$F$6)</f>
        <v/>
      </c>
      <c r="O83" s="31">
        <f>ABS(E83-$F$7)</f>
        <v/>
      </c>
      <c r="P83" s="31">
        <f>ABS(E83-$F$8)</f>
        <v/>
      </c>
      <c r="Q83" s="14">
        <f>IF(K83&gt;=MAX(L83,M83), "Hemat", IF(L83&gt;=M83, "Balanced", "Premium"))</f>
        <v/>
      </c>
      <c r="R83" s="30" t="n">
        <v>0.9577816830564841</v>
      </c>
      <c r="S83" s="30" t="n">
        <v>0.03877279507615634</v>
      </c>
      <c r="T83" s="30" t="n">
        <v>0.003445521867359672</v>
      </c>
      <c r="U83" s="31">
        <f>ABS(E83-$G$6)</f>
        <v/>
      </c>
      <c r="V83" s="31">
        <f>ABS(E83-$G$7)</f>
        <v/>
      </c>
      <c r="W83" s="31">
        <f>ABS(E83-$G$8)</f>
        <v/>
      </c>
      <c r="X83" s="14">
        <f>IF(R83&gt;=MAX(S83,T83), "Hemat", IF(S83&gt;=T83, "Balanced", "Premium"))</f>
        <v/>
      </c>
    </row>
    <row r="84">
      <c r="A84" s="14" t="n">
        <v>73</v>
      </c>
      <c r="B84" s="7" t="inlineStr">
        <is>
          <t>Warung Qothun Bebek Goreng Andrie</t>
        </is>
      </c>
      <c r="C84" s="26" t="n">
        <v>-7.8395775</v>
      </c>
      <c r="D84" s="26" t="n">
        <v>112.4588449</v>
      </c>
      <c r="E84" s="21" t="n">
        <v>16000</v>
      </c>
      <c r="F84" s="27" t="n">
        <v>4.3</v>
      </c>
      <c r="G84" s="28" t="n">
        <v>63</v>
      </c>
      <c r="H84" s="14" t="inlineStr">
        <is>
          <t>Warung Qothun Bebek Goreng Andrie</t>
        </is>
      </c>
      <c r="I84" s="29">
        <f>6371 * 2 * ASIN(SQRT(SIN(RADIANS((C84) - INDEX('Dataset_Wisata'!$C$12:$C$622, MATCH('Dashboard'!$C$9, 'Dataset_Wisata'!$A$12:$A$622, 0)))/2)^2 + COS(RADIANS(INDEX('Dataset_Wisata'!$C$12:$C$622, MATCH('Dashboard'!$C$9, 'Dataset_Wisata'!$A$12:$A$622, 0)))) * COS(RADIANS(C84)) * SIN(RADIANS((D84) - INDEX('Dataset_Wisata'!$D$12:$D$622, MATCH('Dashboard'!$C$9, 'Dataset_Wisata'!$A$12:$A$622, 0)))/2)^2)) * 1.3</f>
        <v/>
      </c>
      <c r="J84" s="21">
        <f>ROUND(I84 * IF('Dashboard'!$C$6&lt;=1, 2250, IF('Dashboard'!$C$6&lt;=4, 5150, 6000)), 0)</f>
        <v/>
      </c>
      <c r="K84" s="30" t="n">
        <v>0.9128193134184031</v>
      </c>
      <c r="L84" s="30" t="n">
        <v>0.08074863238868506</v>
      </c>
      <c r="M84" s="30" t="n">
        <v>0.006432054192912039</v>
      </c>
      <c r="N84" s="31">
        <f>ABS(E84-$F$6)</f>
        <v/>
      </c>
      <c r="O84" s="31">
        <f>ABS(E84-$F$7)</f>
        <v/>
      </c>
      <c r="P84" s="31">
        <f>ABS(E84-$F$8)</f>
        <v/>
      </c>
      <c r="Q84" s="14">
        <f>IF(K84&gt;=MAX(L84,M84), "Hemat", IF(L84&gt;=M84, "Balanced", "Premium"))</f>
        <v/>
      </c>
      <c r="R84" s="30" t="n">
        <v>0.9128192326410924</v>
      </c>
      <c r="S84" s="30" t="n">
        <v>0.08074870904423974</v>
      </c>
      <c r="T84" s="30" t="n">
        <v>0.006432058314667768</v>
      </c>
      <c r="U84" s="31">
        <f>ABS(E84-$G$6)</f>
        <v/>
      </c>
      <c r="V84" s="31">
        <f>ABS(E84-$G$7)</f>
        <v/>
      </c>
      <c r="W84" s="31">
        <f>ABS(E84-$G$8)</f>
        <v/>
      </c>
      <c r="X84" s="14">
        <f>IF(R84&gt;=MAX(S84,T84), "Hemat", IF(S84&gt;=T84, "Balanced", "Premium"))</f>
        <v/>
      </c>
    </row>
    <row r="85">
      <c r="A85" s="14" t="n">
        <v>74</v>
      </c>
      <c r="B85" s="7" t="inlineStr">
        <is>
          <t>Warung Rujak Sapik</t>
        </is>
      </c>
      <c r="C85" s="26" t="n">
        <v>-7.8562953</v>
      </c>
      <c r="D85" s="26" t="n">
        <v>112.4552195</v>
      </c>
      <c r="E85" s="21" t="n">
        <v>17000</v>
      </c>
      <c r="F85" s="27" t="n">
        <v>4.2</v>
      </c>
      <c r="G85" s="28" t="n">
        <v>32</v>
      </c>
      <c r="H85" s="14" t="inlineStr">
        <is>
          <t>Warung Rujak Sapik</t>
        </is>
      </c>
      <c r="I85" s="29">
        <f>6371 * 2 * ASIN(SQRT(SIN(RADIANS((C85) - INDEX('Dataset_Wisata'!$C$12:$C$622, MATCH('Dashboard'!$C$9, 'Dataset_Wisata'!$A$12:$A$622, 0)))/2)^2 + COS(RADIANS(INDEX('Dataset_Wisata'!$C$12:$C$622, MATCH('Dashboard'!$C$9, 'Dataset_Wisata'!$A$12:$A$622, 0)))) * COS(RADIANS(C85)) * SIN(RADIANS((D85) - INDEX('Dataset_Wisata'!$D$12:$D$622, MATCH('Dashboard'!$C$9, 'Dataset_Wisata'!$A$12:$A$622, 0)))/2)^2)) * 1.3</f>
        <v/>
      </c>
      <c r="J85" s="21">
        <f>ROUND(I85 * IF('Dashboard'!$C$6&lt;=1, 2250, IF('Dashboard'!$C$6&lt;=4, 5150, 6000)), 0)</f>
        <v/>
      </c>
      <c r="K85" s="30" t="n">
        <v>0.8205766965551228</v>
      </c>
      <c r="L85" s="30" t="n">
        <v>0.1680685555538888</v>
      </c>
      <c r="M85" s="30" t="n">
        <v>0.01135474789098826</v>
      </c>
      <c r="N85" s="31">
        <f>ABS(E85-$F$6)</f>
        <v/>
      </c>
      <c r="O85" s="31">
        <f>ABS(E85-$F$7)</f>
        <v/>
      </c>
      <c r="P85" s="31">
        <f>ABS(E85-$F$8)</f>
        <v/>
      </c>
      <c r="Q85" s="14">
        <f>IF(K85&gt;=MAX(L85,M85), "Hemat", IF(L85&gt;=M85, "Balanced", "Premium"))</f>
        <v/>
      </c>
      <c r="R85" s="30" t="n">
        <v>0.8205765551569555</v>
      </c>
      <c r="S85" s="30" t="n">
        <v>0.1680686919268015</v>
      </c>
      <c r="T85" s="30" t="n">
        <v>0.01135475291624307</v>
      </c>
      <c r="U85" s="31">
        <f>ABS(E85-$G$6)</f>
        <v/>
      </c>
      <c r="V85" s="31">
        <f>ABS(E85-$G$7)</f>
        <v/>
      </c>
      <c r="W85" s="31">
        <f>ABS(E85-$G$8)</f>
        <v/>
      </c>
      <c r="X85" s="14">
        <f>IF(R85&gt;=MAX(S85,T85), "Hemat", IF(S85&gt;=T85, "Balanced", "Premium"))</f>
        <v/>
      </c>
    </row>
    <row r="86">
      <c r="A86" s="14" t="n">
        <v>75</v>
      </c>
      <c r="B86" s="7" t="inlineStr">
        <is>
          <t>Warung Berkah Wangi</t>
        </is>
      </c>
      <c r="C86" s="26" t="n">
        <v>-7.8497941</v>
      </c>
      <c r="D86" s="26" t="n">
        <v>112.4800481</v>
      </c>
      <c r="E86" s="21" t="n">
        <v>15000</v>
      </c>
      <c r="F86" s="27" t="n">
        <v>4.2</v>
      </c>
      <c r="G86" s="28" t="n">
        <v>34</v>
      </c>
      <c r="H86" s="14" t="inlineStr">
        <is>
          <t>Warung Berkah Wangi</t>
        </is>
      </c>
      <c r="I86" s="29">
        <f>6371 * 2 * ASIN(SQRT(SIN(RADIANS((C86) - INDEX('Dataset_Wisata'!$C$12:$C$622, MATCH('Dashboard'!$C$9, 'Dataset_Wisata'!$A$12:$A$622, 0)))/2)^2 + COS(RADIANS(INDEX('Dataset_Wisata'!$C$12:$C$622, MATCH('Dashboard'!$C$9, 'Dataset_Wisata'!$A$12:$A$622, 0)))) * COS(RADIANS(C86)) * SIN(RADIANS((D86) - INDEX('Dataset_Wisata'!$D$12:$D$622, MATCH('Dashboard'!$C$9, 'Dataset_Wisata'!$A$12:$A$622, 0)))/2)^2)) * 1.3</f>
        <v/>
      </c>
      <c r="J86" s="21">
        <f>ROUND(I86 * IF('Dashboard'!$C$6&lt;=1, 2250, IF('Dashboard'!$C$6&lt;=4, 5150, 6000)), 0)</f>
        <v/>
      </c>
      <c r="K86" s="30" t="n">
        <v>0.9686283169848018</v>
      </c>
      <c r="L86" s="30" t="n">
        <v>0.02872990537067274</v>
      </c>
      <c r="M86" s="30" t="n">
        <v>0.002641777644525457</v>
      </c>
      <c r="N86" s="31">
        <f>ABS(E86-$F$6)</f>
        <v/>
      </c>
      <c r="O86" s="31">
        <f>ABS(E86-$F$7)</f>
        <v/>
      </c>
      <c r="P86" s="31">
        <f>ABS(E86-$F$8)</f>
        <v/>
      </c>
      <c r="Q86" s="14">
        <f>IF(K86&gt;=MAX(L86,M86), "Hemat", IF(L86&gt;=M86, "Balanced", "Premium"))</f>
        <v/>
      </c>
      <c r="R86" s="30" t="n">
        <v>0.9686282798936615</v>
      </c>
      <c r="S86" s="30" t="n">
        <v>0.02872993996961344</v>
      </c>
      <c r="T86" s="30" t="n">
        <v>0.002641780136725144</v>
      </c>
      <c r="U86" s="31">
        <f>ABS(E86-$G$6)</f>
        <v/>
      </c>
      <c r="V86" s="31">
        <f>ABS(E86-$G$7)</f>
        <v/>
      </c>
      <c r="W86" s="31">
        <f>ABS(E86-$G$8)</f>
        <v/>
      </c>
      <c r="X86" s="14">
        <f>IF(R86&gt;=MAX(S86,T86), "Hemat", IF(S86&gt;=T86, "Balanced", "Premium"))</f>
        <v/>
      </c>
    </row>
    <row r="87">
      <c r="A87" s="14" t="n">
        <v>76</v>
      </c>
      <c r="B87" s="7" t="inlineStr">
        <is>
          <t>BAIK Cafe and Resto</t>
        </is>
      </c>
      <c r="C87" s="26" t="n">
        <v>-7.8414392</v>
      </c>
      <c r="D87" s="26" t="n">
        <v>112.4639024</v>
      </c>
      <c r="E87" s="21" t="n">
        <v>25000</v>
      </c>
      <c r="F87" s="27" t="n">
        <v>4.5</v>
      </c>
      <c r="G87" s="28" t="n">
        <v>40</v>
      </c>
      <c r="H87" s="14" t="inlineStr">
        <is>
          <t>Wisata Umum</t>
        </is>
      </c>
      <c r="I87" s="29">
        <f>6371 * 2 * ASIN(SQRT(SIN(RADIANS((C87) - INDEX('Dataset_Wisata'!$C$12:$C$622, MATCH('Dashboard'!$C$9, 'Dataset_Wisata'!$A$12:$A$622, 0)))/2)^2 + COS(RADIANS(INDEX('Dataset_Wisata'!$C$12:$C$622, MATCH('Dashboard'!$C$9, 'Dataset_Wisata'!$A$12:$A$622, 0)))) * COS(RADIANS(C87)) * SIN(RADIANS((D87) - INDEX('Dataset_Wisata'!$D$12:$D$622, MATCH('Dashboard'!$C$9, 'Dataset_Wisata'!$A$12:$A$622, 0)))/2)^2)) * 1.3</f>
        <v/>
      </c>
      <c r="J87" s="21">
        <f>ROUND(I87 * IF('Dashboard'!$C$6&lt;=1, 2250, IF('Dashboard'!$C$6&lt;=4, 5150, 6000)), 0)</f>
        <v/>
      </c>
      <c r="K87" s="30" t="n">
        <v>0.0009460509590550509</v>
      </c>
      <c r="L87" s="30" t="n">
        <v>0.9988291129147837</v>
      </c>
      <c r="M87" s="30" t="n">
        <v>0.0002248361261612175</v>
      </c>
      <c r="N87" s="31">
        <f>ABS(E87-$F$6)</f>
        <v/>
      </c>
      <c r="O87" s="31">
        <f>ABS(E87-$F$7)</f>
        <v/>
      </c>
      <c r="P87" s="31">
        <f>ABS(E87-$F$8)</f>
        <v/>
      </c>
      <c r="Q87" s="14">
        <f>IF(K87&gt;=MAX(L87,M87), "Hemat", IF(L87&gt;=M87, "Balanced", "Premium"))</f>
        <v/>
      </c>
      <c r="R87" s="30" t="n">
        <v>0.0009460368639408893</v>
      </c>
      <c r="S87" s="30" t="n">
        <v>0.998829130253259</v>
      </c>
      <c r="T87" s="30" t="n">
        <v>0.0002248328828000856</v>
      </c>
      <c r="U87" s="31">
        <f>ABS(E87-$G$6)</f>
        <v/>
      </c>
      <c r="V87" s="31">
        <f>ABS(E87-$G$7)</f>
        <v/>
      </c>
      <c r="W87" s="31">
        <f>ABS(E87-$G$8)</f>
        <v/>
      </c>
      <c r="X87" s="14">
        <f>IF(R87&gt;=MAX(S87,T87), "Hemat", IF(S87&gt;=T87, "Balanced", "Premium"))</f>
        <v/>
      </c>
    </row>
    <row r="88">
      <c r="A88" s="14" t="n">
        <v>77</v>
      </c>
      <c r="B88" s="7" t="inlineStr">
        <is>
          <t>Ayam Combe</t>
        </is>
      </c>
      <c r="C88" s="26" t="n">
        <v>-7.8427462</v>
      </c>
      <c r="D88" s="26" t="n">
        <v>112.4656053</v>
      </c>
      <c r="E88" s="21" t="n">
        <v>13500</v>
      </c>
      <c r="F88" s="27" t="n">
        <v>4.5</v>
      </c>
      <c r="G88" s="28" t="n">
        <v>22</v>
      </c>
      <c r="H88" s="14" t="inlineStr">
        <is>
          <t>Wisata Umum</t>
        </is>
      </c>
      <c r="I88" s="29">
        <f>6371 * 2 * ASIN(SQRT(SIN(RADIANS((C88) - INDEX('Dataset_Wisata'!$C$12:$C$622, MATCH('Dashboard'!$C$9, 'Dataset_Wisata'!$A$12:$A$622, 0)))/2)^2 + COS(RADIANS(INDEX('Dataset_Wisata'!$C$12:$C$622, MATCH('Dashboard'!$C$9, 'Dataset_Wisata'!$A$12:$A$622, 0)))) * COS(RADIANS(C88)) * SIN(RADIANS((D88) - INDEX('Dataset_Wisata'!$D$12:$D$622, MATCH('Dashboard'!$C$9, 'Dataset_Wisata'!$A$12:$A$622, 0)))/2)^2)) * 1.3</f>
        <v/>
      </c>
      <c r="J88" s="21">
        <f>ROUND(I88 * IF('Dashboard'!$C$6&lt;=1, 2250, IF('Dashboard'!$C$6&lt;=4, 5150, 6000)), 0)</f>
        <v/>
      </c>
      <c r="K88" s="30" t="n">
        <v>0.9993608169528668</v>
      </c>
      <c r="L88" s="30" t="n">
        <v>0.0005755405742947694</v>
      </c>
      <c r="M88" s="30" t="n">
        <v>6.36424728383445e-05</v>
      </c>
      <c r="N88" s="31">
        <f>ABS(E88-$F$6)</f>
        <v/>
      </c>
      <c r="O88" s="31">
        <f>ABS(E88-$F$7)</f>
        <v/>
      </c>
      <c r="P88" s="31">
        <f>ABS(E88-$F$8)</f>
        <v/>
      </c>
      <c r="Q88" s="14">
        <f>IF(K88&gt;=MAX(L88,M88), "Hemat", IF(L88&gt;=M88, "Balanced", "Premium"))</f>
        <v/>
      </c>
      <c r="R88" s="30" t="n">
        <v>0.9993608137761221</v>
      </c>
      <c r="S88" s="30" t="n">
        <v>0.0005755434465521912</v>
      </c>
      <c r="T88" s="30" t="n">
        <v>6.364277732570516e-05</v>
      </c>
      <c r="U88" s="31">
        <f>ABS(E88-$G$6)</f>
        <v/>
      </c>
      <c r="V88" s="31">
        <f>ABS(E88-$G$7)</f>
        <v/>
      </c>
      <c r="W88" s="31">
        <f>ABS(E88-$G$8)</f>
        <v/>
      </c>
      <c r="X88" s="14">
        <f>IF(R88&gt;=MAX(S88,T88), "Hemat", IF(S88&gt;=T88, "Balanced", "Premium"))</f>
        <v/>
      </c>
    </row>
    <row r="89">
      <c r="A89" s="14" t="n">
        <v>78</v>
      </c>
      <c r="B89" s="7" t="inlineStr">
        <is>
          <t>Soto Ayam Pak Djoyo</t>
        </is>
      </c>
      <c r="C89" s="26" t="n">
        <v>-7.8419793</v>
      </c>
      <c r="D89" s="26" t="n">
        <v>112.4665047</v>
      </c>
      <c r="E89" s="21" t="n">
        <v>16900</v>
      </c>
      <c r="F89" s="27" t="n">
        <v>4.8</v>
      </c>
      <c r="G89" s="28" t="n">
        <v>24</v>
      </c>
      <c r="H89" s="14" t="inlineStr">
        <is>
          <t>Wisata Umum</t>
        </is>
      </c>
      <c r="I89" s="29">
        <f>6371 * 2 * ASIN(SQRT(SIN(RADIANS((C89) - INDEX('Dataset_Wisata'!$C$12:$C$622, MATCH('Dashboard'!$C$9, 'Dataset_Wisata'!$A$12:$A$622, 0)))/2)^2 + COS(RADIANS(INDEX('Dataset_Wisata'!$C$12:$C$622, MATCH('Dashboard'!$C$9, 'Dataset_Wisata'!$A$12:$A$622, 0)))) * COS(RADIANS(C89)) * SIN(RADIANS((D89) - INDEX('Dataset_Wisata'!$D$12:$D$622, MATCH('Dashboard'!$C$9, 'Dataset_Wisata'!$A$12:$A$622, 0)))/2)^2)) * 1.3</f>
        <v/>
      </c>
      <c r="J89" s="21">
        <f>ROUND(I89 * IF('Dashboard'!$C$6&lt;=1, 2250, IF('Dashboard'!$C$6&lt;=4, 5150, 6000)), 0)</f>
        <v/>
      </c>
      <c r="K89" s="30" t="n">
        <v>0.8315241320247498</v>
      </c>
      <c r="L89" s="30" t="n">
        <v>0.157637125309364</v>
      </c>
      <c r="M89" s="30" t="n">
        <v>0.01083874266588614</v>
      </c>
      <c r="N89" s="31">
        <f>ABS(E89-$F$6)</f>
        <v/>
      </c>
      <c r="O89" s="31">
        <f>ABS(E89-$F$7)</f>
        <v/>
      </c>
      <c r="P89" s="31">
        <f>ABS(E89-$F$8)</f>
        <v/>
      </c>
      <c r="Q89" s="14">
        <f>IF(K89&gt;=MAX(L89,M89), "Hemat", IF(L89&gt;=M89, "Balanced", "Premium"))</f>
        <v/>
      </c>
      <c r="R89" s="30" t="n">
        <v>0.8315239972404466</v>
      </c>
      <c r="S89" s="30" t="n">
        <v>0.1576372550946835</v>
      </c>
      <c r="T89" s="30" t="n">
        <v>0.01083874766486989</v>
      </c>
      <c r="U89" s="31">
        <f>ABS(E89-$G$6)</f>
        <v/>
      </c>
      <c r="V89" s="31">
        <f>ABS(E89-$G$7)</f>
        <v/>
      </c>
      <c r="W89" s="31">
        <f>ABS(E89-$G$8)</f>
        <v/>
      </c>
      <c r="X89" s="14">
        <f>IF(R89&gt;=MAX(S89,T89), "Hemat", IF(S89&gt;=T89, "Balanced", "Premium"))</f>
        <v/>
      </c>
    </row>
    <row r="90">
      <c r="A90" s="14" t="n">
        <v>79</v>
      </c>
      <c r="B90" s="7" t="inlineStr">
        <is>
          <t>Soto Cak Wi</t>
        </is>
      </c>
      <c r="C90" s="26" t="n">
        <v>-7.8447564</v>
      </c>
      <c r="D90" s="26" t="n">
        <v>112.4719334</v>
      </c>
      <c r="E90" s="21" t="n">
        <v>14000</v>
      </c>
      <c r="F90" s="27" t="n">
        <v>4.8</v>
      </c>
      <c r="G90" s="28" t="n">
        <v>60</v>
      </c>
      <c r="H90" s="14" t="inlineStr">
        <is>
          <t>Wisata Umum</t>
        </is>
      </c>
      <c r="I90" s="29">
        <f>6371 * 2 * ASIN(SQRT(SIN(RADIANS((C90) - INDEX('Dataset_Wisata'!$C$12:$C$622, MATCH('Dashboard'!$C$9, 'Dataset_Wisata'!$A$12:$A$622, 0)))/2)^2 + COS(RADIANS(INDEX('Dataset_Wisata'!$C$12:$C$622, MATCH('Dashboard'!$C$9, 'Dataset_Wisata'!$A$12:$A$622, 0)))) * COS(RADIANS(C90)) * SIN(RADIANS((D90) - INDEX('Dataset_Wisata'!$D$12:$D$622, MATCH('Dashboard'!$C$9, 'Dataset_Wisata'!$A$12:$A$622, 0)))/2)^2)) * 1.3</f>
        <v/>
      </c>
      <c r="J90" s="21">
        <f>ROUND(I90 * IF('Dashboard'!$C$6&lt;=1, 2250, IF('Dashboard'!$C$6&lt;=4, 5150, 6000)), 0)</f>
        <v/>
      </c>
      <c r="K90" s="30" t="n">
        <v>0.9947609318027544</v>
      </c>
      <c r="L90" s="30" t="n">
        <v>0.004743992866447784</v>
      </c>
      <c r="M90" s="30" t="n">
        <v>0.0004950753307978607</v>
      </c>
      <c r="N90" s="31">
        <f>ABS(E90-$F$6)</f>
        <v/>
      </c>
      <c r="O90" s="31">
        <f>ABS(E90-$F$7)</f>
        <v/>
      </c>
      <c r="P90" s="31">
        <f>ABS(E90-$F$8)</f>
        <v/>
      </c>
      <c r="Q90" s="14">
        <f>IF(K90&gt;=MAX(L90,M90), "Hemat", IF(L90&gt;=M90, "Balanced", "Premium"))</f>
        <v/>
      </c>
      <c r="R90" s="30" t="n">
        <v>0.9947609208632797</v>
      </c>
      <c r="S90" s="30" t="n">
        <v>0.004744002871971992</v>
      </c>
      <c r="T90" s="30" t="n">
        <v>0.0004950762647482733</v>
      </c>
      <c r="U90" s="31">
        <f>ABS(E90-$G$6)</f>
        <v/>
      </c>
      <c r="V90" s="31">
        <f>ABS(E90-$G$7)</f>
        <v/>
      </c>
      <c r="W90" s="31">
        <f>ABS(E90-$G$8)</f>
        <v/>
      </c>
      <c r="X90" s="14">
        <f>IF(R90&gt;=MAX(S90,T90), "Hemat", IF(S90&gt;=T90, "Balanced", "Premium"))</f>
        <v/>
      </c>
    </row>
    <row r="91">
      <c r="A91" s="14" t="n">
        <v>80</v>
      </c>
      <c r="B91" s="7" t="inlineStr">
        <is>
          <t>Omah Dejavu</t>
        </is>
      </c>
      <c r="C91" s="26" t="n">
        <v>-7.844932</v>
      </c>
      <c r="D91" s="26" t="n">
        <v>112.467914</v>
      </c>
      <c r="E91" s="21" t="n">
        <v>18500</v>
      </c>
      <c r="F91" s="27" t="n">
        <v>4.7</v>
      </c>
      <c r="G91" s="28" t="n">
        <v>31</v>
      </c>
      <c r="H91" s="14" t="inlineStr">
        <is>
          <t>Kafe · 5F49+25F, Jl. Retawu</t>
        </is>
      </c>
      <c r="I91" s="29">
        <f>6371 * 2 * ASIN(SQRT(SIN(RADIANS((C91) - INDEX('Dataset_Wisata'!$C$12:$C$622, MATCH('Dashboard'!$C$9, 'Dataset_Wisata'!$A$12:$A$622, 0)))/2)^2 + COS(RADIANS(INDEX('Dataset_Wisata'!$C$12:$C$622, MATCH('Dashboard'!$C$9, 'Dataset_Wisata'!$A$12:$A$622, 0)))) * COS(RADIANS(C91)) * SIN(RADIANS((D91) - INDEX('Dataset_Wisata'!$D$12:$D$622, MATCH('Dashboard'!$C$9, 'Dataset_Wisata'!$A$12:$A$622, 0)))/2)^2)) * 1.3</f>
        <v/>
      </c>
      <c r="J91" s="21">
        <f>ROUND(I91 * IF('Dashboard'!$C$6&lt;=1, 2250, IF('Dashboard'!$C$6&lt;=4, 5150, 6000)), 0)</f>
        <v/>
      </c>
      <c r="K91" s="30" t="n">
        <v>0.6162659871262929</v>
      </c>
      <c r="L91" s="30" t="n">
        <v>0.365441422279018</v>
      </c>
      <c r="M91" s="30" t="n">
        <v>0.01829259059468907</v>
      </c>
      <c r="N91" s="31">
        <f>ABS(E91-$F$6)</f>
        <v/>
      </c>
      <c r="O91" s="31">
        <f>ABS(E91-$F$7)</f>
        <v/>
      </c>
      <c r="P91" s="31">
        <f>ABS(E91-$F$8)</f>
        <v/>
      </c>
      <c r="Q91" s="14">
        <f>IF(K91&gt;=MAX(L91,M91), "Hemat", IF(L91&gt;=M91, "Balanced", "Premium"))</f>
        <v/>
      </c>
      <c r="R91" s="30" t="n">
        <v>0.6162657498169999</v>
      </c>
      <c r="S91" s="30" t="n">
        <v>0.3654416569135399</v>
      </c>
      <c r="T91" s="30" t="n">
        <v>0.01829259326946021</v>
      </c>
      <c r="U91" s="31">
        <f>ABS(E91-$G$6)</f>
        <v/>
      </c>
      <c r="V91" s="31">
        <f>ABS(E91-$G$7)</f>
        <v/>
      </c>
      <c r="W91" s="31">
        <f>ABS(E91-$G$8)</f>
        <v/>
      </c>
      <c r="X91" s="14">
        <f>IF(R91&gt;=MAX(S91,T91), "Hemat", IF(S91&gt;=T91, "Balanced", "Premium"))</f>
        <v/>
      </c>
    </row>
    <row r="92">
      <c r="A92" s="14" t="n">
        <v>81</v>
      </c>
      <c r="B92" s="7" t="inlineStr">
        <is>
          <t>Soto Ayam Lamongan Mbak Esti</t>
        </is>
      </c>
      <c r="C92" s="26" t="n">
        <v>-7.843419</v>
      </c>
      <c r="D92" s="26" t="n">
        <v>112.4698885</v>
      </c>
      <c r="E92" s="21" t="n">
        <v>12500</v>
      </c>
      <c r="F92" s="27" t="n">
        <v>4.5</v>
      </c>
      <c r="G92" s="28" t="n">
        <v>53</v>
      </c>
      <c r="H92" s="14" t="inlineStr">
        <is>
          <t>Wisata Umum</t>
        </is>
      </c>
      <c r="I92" s="29">
        <f>6371 * 2 * ASIN(SQRT(SIN(RADIANS((C92) - INDEX('Dataset_Wisata'!$C$12:$C$622, MATCH('Dashboard'!$C$9, 'Dataset_Wisata'!$A$12:$A$622, 0)))/2)^2 + COS(RADIANS(INDEX('Dataset_Wisata'!$C$12:$C$622, MATCH('Dashboard'!$C$9, 'Dataset_Wisata'!$A$12:$A$622, 0)))) * COS(RADIANS(C92)) * SIN(RADIANS((D92) - INDEX('Dataset_Wisata'!$D$12:$D$622, MATCH('Dashboard'!$C$9, 'Dataset_Wisata'!$A$12:$A$622, 0)))/2)^2)) * 1.3</f>
        <v/>
      </c>
      <c r="J92" s="21">
        <f>ROUND(I92 * IF('Dashboard'!$C$6&lt;=1, 2250, IF('Dashboard'!$C$6&lt;=4, 5150, 6000)), 0)</f>
        <v/>
      </c>
      <c r="K92" s="30" t="n">
        <v>0.9965388956324384</v>
      </c>
      <c r="L92" s="30" t="n">
        <v>0.003081977430114359</v>
      </c>
      <c r="M92" s="30" t="n">
        <v>0.0003791269374473433</v>
      </c>
      <c r="N92" s="31">
        <f>ABS(E92-$F$6)</f>
        <v/>
      </c>
      <c r="O92" s="31">
        <f>ABS(E92-$F$7)</f>
        <v/>
      </c>
      <c r="P92" s="31">
        <f>ABS(E92-$F$8)</f>
        <v/>
      </c>
      <c r="Q92" s="14">
        <f>IF(K92&gt;=MAX(L92,M92), "Hemat", IF(L92&gt;=M92, "Balanced", "Premium"))</f>
        <v/>
      </c>
      <c r="R92" s="30" t="n">
        <v>0.9965389004929521</v>
      </c>
      <c r="S92" s="30" t="n">
        <v>0.003081973162016532</v>
      </c>
      <c r="T92" s="30" t="n">
        <v>0.0003791263450314348</v>
      </c>
      <c r="U92" s="31">
        <f>ABS(E92-$G$6)</f>
        <v/>
      </c>
      <c r="V92" s="31">
        <f>ABS(E92-$G$7)</f>
        <v/>
      </c>
      <c r="W92" s="31">
        <f>ABS(E92-$G$8)</f>
        <v/>
      </c>
      <c r="X92" s="14">
        <f>IF(R92&gt;=MAX(S92,T92), "Hemat", IF(S92&gt;=T92, "Balanced", "Premium"))</f>
        <v/>
      </c>
    </row>
    <row r="93">
      <c r="A93" s="14" t="n">
        <v>82</v>
      </c>
      <c r="B93" s="7" t="inlineStr">
        <is>
          <t>Sari Eco</t>
        </is>
      </c>
      <c r="C93" s="26" t="n">
        <v>-8.3428754</v>
      </c>
      <c r="D93" s="26" t="n">
        <v>112.4359192</v>
      </c>
      <c r="E93" s="21" t="n">
        <v>15000</v>
      </c>
      <c r="F93" s="27" t="n">
        <v>4.5</v>
      </c>
      <c r="G93" s="28" t="n">
        <v>28</v>
      </c>
      <c r="H93" s="14" t="inlineStr">
        <is>
          <t>Wisata Umum</t>
        </is>
      </c>
      <c r="I93" s="29">
        <f>6371 * 2 * ASIN(SQRT(SIN(RADIANS((C93) - INDEX('Dataset_Wisata'!$C$12:$C$622, MATCH('Dashboard'!$C$9, 'Dataset_Wisata'!$A$12:$A$622, 0)))/2)^2 + COS(RADIANS(INDEX('Dataset_Wisata'!$C$12:$C$622, MATCH('Dashboard'!$C$9, 'Dataset_Wisata'!$A$12:$A$622, 0)))) * COS(RADIANS(C93)) * SIN(RADIANS((D93) - INDEX('Dataset_Wisata'!$D$12:$D$622, MATCH('Dashboard'!$C$9, 'Dataset_Wisata'!$A$12:$A$622, 0)))/2)^2)) * 1.3</f>
        <v/>
      </c>
      <c r="J93" s="21">
        <f>ROUND(I93 * IF('Dashboard'!$C$6&lt;=1, 2250, IF('Dashboard'!$C$6&lt;=4, 5150, 6000)), 0)</f>
        <v/>
      </c>
      <c r="K93" s="30" t="n">
        <v>0.9686283169848018</v>
      </c>
      <c r="L93" s="30" t="n">
        <v>0.02872990537067274</v>
      </c>
      <c r="M93" s="30" t="n">
        <v>0.002641777644525457</v>
      </c>
      <c r="N93" s="31">
        <f>ABS(E93-$F$6)</f>
        <v/>
      </c>
      <c r="O93" s="31">
        <f>ABS(E93-$F$7)</f>
        <v/>
      </c>
      <c r="P93" s="31">
        <f>ABS(E93-$F$8)</f>
        <v/>
      </c>
      <c r="Q93" s="14">
        <f>IF(K93&gt;=MAX(L93,M93), "Hemat", IF(L93&gt;=M93, "Balanced", "Premium"))</f>
        <v/>
      </c>
      <c r="R93" s="30" t="n">
        <v>0.9686282798936615</v>
      </c>
      <c r="S93" s="30" t="n">
        <v>0.02872993996961344</v>
      </c>
      <c r="T93" s="30" t="n">
        <v>0.002641780136725144</v>
      </c>
      <c r="U93" s="31">
        <f>ABS(E93-$G$6)</f>
        <v/>
      </c>
      <c r="V93" s="31">
        <f>ABS(E93-$G$7)</f>
        <v/>
      </c>
      <c r="W93" s="31">
        <f>ABS(E93-$G$8)</f>
        <v/>
      </c>
      <c r="X93" s="14">
        <f>IF(R93&gt;=MAX(S93,T93), "Hemat", IF(S93&gt;=T93, "Balanced", "Premium"))</f>
        <v/>
      </c>
    </row>
    <row r="94">
      <c r="A94" s="14" t="n">
        <v>83</v>
      </c>
      <c r="B94" s="7" t="inlineStr">
        <is>
          <t>warung rujak mbak siti</t>
        </is>
      </c>
      <c r="C94" s="26" t="n">
        <v>-8.3328001</v>
      </c>
      <c r="D94" s="26" t="n">
        <v>112.5022227</v>
      </c>
      <c r="E94" s="21" t="n">
        <v>15000</v>
      </c>
      <c r="F94" s="27" t="n">
        <v>4.1</v>
      </c>
      <c r="G94" s="28" t="n">
        <v>67</v>
      </c>
      <c r="H94" s="14" t="inlineStr">
        <is>
          <t>warung rujak mbak siti</t>
        </is>
      </c>
      <c r="I94" s="29">
        <f>6371 * 2 * ASIN(SQRT(SIN(RADIANS((C94) - INDEX('Dataset_Wisata'!$C$12:$C$622, MATCH('Dashboard'!$C$9, 'Dataset_Wisata'!$A$12:$A$622, 0)))/2)^2 + COS(RADIANS(INDEX('Dataset_Wisata'!$C$12:$C$622, MATCH('Dashboard'!$C$9, 'Dataset_Wisata'!$A$12:$A$622, 0)))) * COS(RADIANS(C94)) * SIN(RADIANS((D94) - INDEX('Dataset_Wisata'!$D$12:$D$622, MATCH('Dashboard'!$C$9, 'Dataset_Wisata'!$A$12:$A$622, 0)))/2)^2)) * 1.3</f>
        <v/>
      </c>
      <c r="J94" s="21">
        <f>ROUND(I94 * IF('Dashboard'!$C$6&lt;=1, 2250, IF('Dashboard'!$C$6&lt;=4, 5150, 6000)), 0)</f>
        <v/>
      </c>
      <c r="K94" s="30" t="n">
        <v>0.9686283169848018</v>
      </c>
      <c r="L94" s="30" t="n">
        <v>0.02872990537067274</v>
      </c>
      <c r="M94" s="30" t="n">
        <v>0.002641777644525457</v>
      </c>
      <c r="N94" s="31">
        <f>ABS(E94-$F$6)</f>
        <v/>
      </c>
      <c r="O94" s="31">
        <f>ABS(E94-$F$7)</f>
        <v/>
      </c>
      <c r="P94" s="31">
        <f>ABS(E94-$F$8)</f>
        <v/>
      </c>
      <c r="Q94" s="14">
        <f>IF(K94&gt;=MAX(L94,M94), "Hemat", IF(L94&gt;=M94, "Balanced", "Premium"))</f>
        <v/>
      </c>
      <c r="R94" s="30" t="n">
        <v>0.9686282798936615</v>
      </c>
      <c r="S94" s="30" t="n">
        <v>0.02872993996961344</v>
      </c>
      <c r="T94" s="30" t="n">
        <v>0.002641780136725144</v>
      </c>
      <c r="U94" s="31">
        <f>ABS(E94-$G$6)</f>
        <v/>
      </c>
      <c r="V94" s="31">
        <f>ABS(E94-$G$7)</f>
        <v/>
      </c>
      <c r="W94" s="31">
        <f>ABS(E94-$G$8)</f>
        <v/>
      </c>
      <c r="X94" s="14">
        <f>IF(R94&gt;=MAX(S94,T94), "Hemat", IF(S94&gt;=T94, "Balanced", "Premium"))</f>
        <v/>
      </c>
    </row>
    <row r="95">
      <c r="A95" s="14" t="n">
        <v>84</v>
      </c>
      <c r="B95" s="7" t="inlineStr">
        <is>
          <t>Warung makan Soto AYAM KAMPUNG</t>
        </is>
      </c>
      <c r="C95" s="26" t="n">
        <v>-8.304552899999999</v>
      </c>
      <c r="D95" s="26" t="n">
        <v>112.5030402</v>
      </c>
      <c r="E95" s="21" t="n">
        <v>9500</v>
      </c>
      <c r="F95" s="27" t="n">
        <v>4.3</v>
      </c>
      <c r="G95" s="28" t="n">
        <v>42</v>
      </c>
      <c r="H95" s="14" t="inlineStr">
        <is>
          <t>Warung makan Soto AYAM KAMPUNG</t>
        </is>
      </c>
      <c r="I95" s="29">
        <f>6371 * 2 * ASIN(SQRT(SIN(RADIANS((C95) - INDEX('Dataset_Wisata'!$C$12:$C$622, MATCH('Dashboard'!$C$9, 'Dataset_Wisata'!$A$12:$A$622, 0)))/2)^2 + COS(RADIANS(INDEX('Dataset_Wisata'!$C$12:$C$622, MATCH('Dashboard'!$C$9, 'Dataset_Wisata'!$A$12:$A$622, 0)))) * COS(RADIANS(C95)) * SIN(RADIANS((D95) - INDEX('Dataset_Wisata'!$D$12:$D$622, MATCH('Dashboard'!$C$9, 'Dataset_Wisata'!$A$12:$A$622, 0)))/2)^2)) * 1.3</f>
        <v/>
      </c>
      <c r="J95" s="21">
        <f>ROUND(I95 * IF('Dashboard'!$C$6&lt;=1, 2250, IF('Dashboard'!$C$6&lt;=4, 5150, 6000)), 0)</f>
        <v/>
      </c>
      <c r="K95" s="30" t="n">
        <v>0.9401786932984387</v>
      </c>
      <c r="L95" s="30" t="n">
        <v>0.05157616195898386</v>
      </c>
      <c r="M95" s="30" t="n">
        <v>0.008245144742577254</v>
      </c>
      <c r="N95" s="31">
        <f>ABS(E95-$F$6)</f>
        <v/>
      </c>
      <c r="O95" s="31">
        <f>ABS(E95-$F$7)</f>
        <v/>
      </c>
      <c r="P95" s="31">
        <f>ABS(E95-$F$8)</f>
        <v/>
      </c>
      <c r="Q95" s="14">
        <f>IF(K95&gt;=MAX(L95,M95), "Hemat", IF(L95&gt;=M95, "Balanced", "Premium"))</f>
        <v/>
      </c>
      <c r="R95" s="30" t="n">
        <v>0.9401786947339178</v>
      </c>
      <c r="S95" s="30" t="n">
        <v>0.0515761615523321</v>
      </c>
      <c r="T95" s="30" t="n">
        <v>0.008245143713750062</v>
      </c>
      <c r="U95" s="31">
        <f>ABS(E95-$G$6)</f>
        <v/>
      </c>
      <c r="V95" s="31">
        <f>ABS(E95-$G$7)</f>
        <v/>
      </c>
      <c r="W95" s="31">
        <f>ABS(E95-$G$8)</f>
        <v/>
      </c>
      <c r="X95" s="14">
        <f>IF(R95&gt;=MAX(S95,T95), "Hemat", IF(S95&gt;=T95, "Balanced", "Premium"))</f>
        <v/>
      </c>
    </row>
    <row r="96">
      <c r="A96" s="14" t="n">
        <v>85</v>
      </c>
      <c r="B96" s="7" t="inlineStr">
        <is>
          <t>Warung barokah halal cak aris</t>
        </is>
      </c>
      <c r="C96" s="26" t="n">
        <v>-8.2977645</v>
      </c>
      <c r="D96" s="26" t="n">
        <v>112.4976858</v>
      </c>
      <c r="E96" s="21" t="n">
        <v>9000</v>
      </c>
      <c r="F96" s="27" t="n">
        <v>4.6</v>
      </c>
      <c r="G96" s="28" t="n">
        <v>59</v>
      </c>
      <c r="H96" s="14" t="inlineStr">
        <is>
          <t>Warung barokah halal cak aris</t>
        </is>
      </c>
      <c r="I96" s="29">
        <f>6371 * 2 * ASIN(SQRT(SIN(RADIANS((C96) - INDEX('Dataset_Wisata'!$C$12:$C$622, MATCH('Dashboard'!$C$9, 'Dataset_Wisata'!$A$12:$A$622, 0)))/2)^2 + COS(RADIANS(INDEX('Dataset_Wisata'!$C$12:$C$622, MATCH('Dashboard'!$C$9, 'Dataset_Wisata'!$A$12:$A$622, 0)))) * COS(RADIANS(C96)) * SIN(RADIANS((D96) - INDEX('Dataset_Wisata'!$D$12:$D$622, MATCH('Dashboard'!$C$9, 'Dataset_Wisata'!$A$12:$A$622, 0)))/2)^2)) * 1.3</f>
        <v/>
      </c>
      <c r="J96" s="21">
        <f>ROUND(I96 * IF('Dashboard'!$C$6&lt;=1, 2250, IF('Dashboard'!$C$6&lt;=4, 5150, 6000)), 0)</f>
        <v/>
      </c>
      <c r="K96" s="30" t="n">
        <v>0.928180477824419</v>
      </c>
      <c r="L96" s="30" t="n">
        <v>0.06160046714170742</v>
      </c>
      <c r="M96" s="30" t="n">
        <v>0.01021905503387346</v>
      </c>
      <c r="N96" s="31">
        <f>ABS(E96-$F$6)</f>
        <v/>
      </c>
      <c r="O96" s="31">
        <f>ABS(E96-$F$7)</f>
        <v/>
      </c>
      <c r="P96" s="31">
        <f>ABS(E96-$F$8)</f>
        <v/>
      </c>
      <c r="Q96" s="14">
        <f>IF(K96&gt;=MAX(L96,M96), "Hemat", IF(L96&gt;=M96, "Balanced", "Premium"))</f>
        <v/>
      </c>
      <c r="R96" s="30" t="n">
        <v>0.9281804774269427</v>
      </c>
      <c r="S96" s="30" t="n">
        <v>0.06160046844072192</v>
      </c>
      <c r="T96" s="30" t="n">
        <v>0.01021905413233554</v>
      </c>
      <c r="U96" s="31">
        <f>ABS(E96-$G$6)</f>
        <v/>
      </c>
      <c r="V96" s="31">
        <f>ABS(E96-$G$7)</f>
        <v/>
      </c>
      <c r="W96" s="31">
        <f>ABS(E96-$G$8)</f>
        <v/>
      </c>
      <c r="X96" s="14">
        <f>IF(R96&gt;=MAX(S96,T96), "Hemat", IF(S96&gt;=T96, "Balanced", "Premium"))</f>
        <v/>
      </c>
    </row>
    <row r="97">
      <c r="A97" s="14" t="n">
        <v>86</v>
      </c>
      <c r="B97" s="7" t="inlineStr">
        <is>
          <t>Warung Pak Endro</t>
        </is>
      </c>
      <c r="C97" s="26" t="n">
        <v>-8.3005418</v>
      </c>
      <c r="D97" s="26" t="n">
        <v>112.4992969</v>
      </c>
      <c r="E97" s="21" t="n">
        <v>10000</v>
      </c>
      <c r="F97" s="27" t="n">
        <v>4.3</v>
      </c>
      <c r="G97" s="28" t="n">
        <v>45</v>
      </c>
      <c r="H97" s="14" t="inlineStr">
        <is>
          <t>Warung Pak Endro</t>
        </is>
      </c>
      <c r="I97" s="29">
        <f>6371 * 2 * ASIN(SQRT(SIN(RADIANS((C97) - INDEX('Dataset_Wisata'!$C$12:$C$622, MATCH('Dashboard'!$C$9, 'Dataset_Wisata'!$A$12:$A$622, 0)))/2)^2 + COS(RADIANS(INDEX('Dataset_Wisata'!$C$12:$C$622, MATCH('Dashboard'!$C$9, 'Dataset_Wisata'!$A$12:$A$622, 0)))) * COS(RADIANS(C97)) * SIN(RADIANS((D97) - INDEX('Dataset_Wisata'!$D$12:$D$622, MATCH('Dashboard'!$C$9, 'Dataset_Wisata'!$A$12:$A$622, 0)))/2)^2)) * 1.3</f>
        <v/>
      </c>
      <c r="J97" s="21">
        <f>ROUND(I97 * IF('Dashboard'!$C$6&lt;=1, 2250, IF('Dashboard'!$C$6&lt;=4, 5150, 6000)), 0)</f>
        <v/>
      </c>
      <c r="K97" s="30" t="n">
        <v>0.9518906050943107</v>
      </c>
      <c r="L97" s="30" t="n">
        <v>0.04169660451397377</v>
      </c>
      <c r="M97" s="30" t="n">
        <v>0.006412790391715545</v>
      </c>
      <c r="N97" s="31">
        <f>ABS(E97-$F$6)</f>
        <v/>
      </c>
      <c r="O97" s="31">
        <f>ABS(E97-$F$7)</f>
        <v/>
      </c>
      <c r="P97" s="31">
        <f>ABS(E97-$F$8)</f>
        <v/>
      </c>
      <c r="Q97" s="14">
        <f>IF(K97&gt;=MAX(L97,M97), "Hemat", IF(L97&gt;=M97, "Balanced", "Premium"))</f>
        <v/>
      </c>
      <c r="R97" s="30" t="n">
        <v>0.9518906082621517</v>
      </c>
      <c r="S97" s="30" t="n">
        <v>0.04169660246361195</v>
      </c>
      <c r="T97" s="30" t="n">
        <v>0.006412789274236485</v>
      </c>
      <c r="U97" s="31">
        <f>ABS(E97-$G$6)</f>
        <v/>
      </c>
      <c r="V97" s="31">
        <f>ABS(E97-$G$7)</f>
        <v/>
      </c>
      <c r="W97" s="31">
        <f>ABS(E97-$G$8)</f>
        <v/>
      </c>
      <c r="X97" s="14">
        <f>IF(R97&gt;=MAX(S97,T97), "Hemat", IF(S97&gt;=T97, "Balanced", "Premium"))</f>
        <v/>
      </c>
    </row>
    <row r="98">
      <c r="A98" s="14" t="n">
        <v>87</v>
      </c>
      <c r="B98" s="7" t="inlineStr">
        <is>
          <t>warung mbak YUL</t>
        </is>
      </c>
      <c r="C98" s="26" t="n">
        <v>-8.3013709</v>
      </c>
      <c r="D98" s="26" t="n">
        <v>112.4951549</v>
      </c>
      <c r="E98" s="21" t="n">
        <v>18500</v>
      </c>
      <c r="F98" s="27" t="n">
        <v>4.2</v>
      </c>
      <c r="G98" s="28" t="n">
        <v>44</v>
      </c>
      <c r="H98" s="14" t="inlineStr">
        <is>
          <t>warung mbak YUL</t>
        </is>
      </c>
      <c r="I98" s="29">
        <f>6371 * 2 * ASIN(SQRT(SIN(RADIANS((C98) - INDEX('Dataset_Wisata'!$C$12:$C$622, MATCH('Dashboard'!$C$9, 'Dataset_Wisata'!$A$12:$A$622, 0)))/2)^2 + COS(RADIANS(INDEX('Dataset_Wisata'!$C$12:$C$622, MATCH('Dashboard'!$C$9, 'Dataset_Wisata'!$A$12:$A$622, 0)))) * COS(RADIANS(C98)) * SIN(RADIANS((D98) - INDEX('Dataset_Wisata'!$D$12:$D$622, MATCH('Dashboard'!$C$9, 'Dataset_Wisata'!$A$12:$A$622, 0)))/2)^2)) * 1.3</f>
        <v/>
      </c>
      <c r="J98" s="21">
        <f>ROUND(I98 * IF('Dashboard'!$C$6&lt;=1, 2250, IF('Dashboard'!$C$6&lt;=4, 5150, 6000)), 0)</f>
        <v/>
      </c>
      <c r="K98" s="30" t="n">
        <v>0.6162659871262929</v>
      </c>
      <c r="L98" s="30" t="n">
        <v>0.365441422279018</v>
      </c>
      <c r="M98" s="30" t="n">
        <v>0.01829259059468907</v>
      </c>
      <c r="N98" s="31">
        <f>ABS(E98-$F$6)</f>
        <v/>
      </c>
      <c r="O98" s="31">
        <f>ABS(E98-$F$7)</f>
        <v/>
      </c>
      <c r="P98" s="31">
        <f>ABS(E98-$F$8)</f>
        <v/>
      </c>
      <c r="Q98" s="14">
        <f>IF(K98&gt;=MAX(L98,M98), "Hemat", IF(L98&gt;=M98, "Balanced", "Premium"))</f>
        <v/>
      </c>
      <c r="R98" s="30" t="n">
        <v>0.6162657498169999</v>
      </c>
      <c r="S98" s="30" t="n">
        <v>0.3654416569135399</v>
      </c>
      <c r="T98" s="30" t="n">
        <v>0.01829259326946021</v>
      </c>
      <c r="U98" s="31">
        <f>ABS(E98-$G$6)</f>
        <v/>
      </c>
      <c r="V98" s="31">
        <f>ABS(E98-$G$7)</f>
        <v/>
      </c>
      <c r="W98" s="31">
        <f>ABS(E98-$G$8)</f>
        <v/>
      </c>
      <c r="X98" s="14">
        <f>IF(R98&gt;=MAX(S98,T98), "Hemat", IF(S98&gt;=T98, "Balanced", "Premium"))</f>
        <v/>
      </c>
    </row>
    <row r="99">
      <c r="A99" s="14" t="n">
        <v>88</v>
      </c>
      <c r="B99" s="7" t="inlineStr">
        <is>
          <t>Depot Puji</t>
        </is>
      </c>
      <c r="C99" s="26" t="n">
        <v>-8.2664416</v>
      </c>
      <c r="D99" s="26" t="n">
        <v>112.4314227</v>
      </c>
      <c r="E99" s="21" t="n">
        <v>15000</v>
      </c>
      <c r="F99" s="27" t="n">
        <v>4.7</v>
      </c>
      <c r="G99" s="28" t="n">
        <v>26</v>
      </c>
      <c r="H99" s="14" t="inlineStr">
        <is>
          <t>Restoran · </t>
        </is>
      </c>
      <c r="I99" s="29">
        <f>6371 * 2 * ASIN(SQRT(SIN(RADIANS((C99) - INDEX('Dataset_Wisata'!$C$12:$C$622, MATCH('Dashboard'!$C$9, 'Dataset_Wisata'!$A$12:$A$622, 0)))/2)^2 + COS(RADIANS(INDEX('Dataset_Wisata'!$C$12:$C$622, MATCH('Dashboard'!$C$9, 'Dataset_Wisata'!$A$12:$A$622, 0)))) * COS(RADIANS(C99)) * SIN(RADIANS((D99) - INDEX('Dataset_Wisata'!$D$12:$D$622, MATCH('Dashboard'!$C$9, 'Dataset_Wisata'!$A$12:$A$622, 0)))/2)^2)) * 1.3</f>
        <v/>
      </c>
      <c r="J99" s="21">
        <f>ROUND(I99 * IF('Dashboard'!$C$6&lt;=1, 2250, IF('Dashboard'!$C$6&lt;=4, 5150, 6000)), 0)</f>
        <v/>
      </c>
      <c r="K99" s="30" t="n">
        <v>0.9686283169848018</v>
      </c>
      <c r="L99" s="30" t="n">
        <v>0.02872990537067274</v>
      </c>
      <c r="M99" s="30" t="n">
        <v>0.002641777644525457</v>
      </c>
      <c r="N99" s="31">
        <f>ABS(E99-$F$6)</f>
        <v/>
      </c>
      <c r="O99" s="31">
        <f>ABS(E99-$F$7)</f>
        <v/>
      </c>
      <c r="P99" s="31">
        <f>ABS(E99-$F$8)</f>
        <v/>
      </c>
      <c r="Q99" s="14">
        <f>IF(K99&gt;=MAX(L99,M99), "Hemat", IF(L99&gt;=M99, "Balanced", "Premium"))</f>
        <v/>
      </c>
      <c r="R99" s="30" t="n">
        <v>0.9686282798936615</v>
      </c>
      <c r="S99" s="30" t="n">
        <v>0.02872993996961344</v>
      </c>
      <c r="T99" s="30" t="n">
        <v>0.002641780136725144</v>
      </c>
      <c r="U99" s="31">
        <f>ABS(E99-$G$6)</f>
        <v/>
      </c>
      <c r="V99" s="31">
        <f>ABS(E99-$G$7)</f>
        <v/>
      </c>
      <c r="W99" s="31">
        <f>ABS(E99-$G$8)</f>
        <v/>
      </c>
      <c r="X99" s="14">
        <f>IF(R99&gt;=MAX(S99,T99), "Hemat", IF(S99&gt;=T99, "Balanced", "Premium"))</f>
        <v/>
      </c>
    </row>
    <row r="100">
      <c r="A100" s="14" t="n">
        <v>89</v>
      </c>
      <c r="B100" s="7" t="inlineStr">
        <is>
          <t>Depot Semeru</t>
        </is>
      </c>
      <c r="C100" s="26" t="n">
        <v>-7.9743427</v>
      </c>
      <c r="D100" s="26" t="n">
        <v>112.6254003</v>
      </c>
      <c r="E100" s="21" t="n">
        <v>17000</v>
      </c>
      <c r="F100" s="27" t="n">
        <v>4.4</v>
      </c>
      <c r="G100" s="28" t="n">
        <v>565</v>
      </c>
      <c r="H100" s="14" t="inlineStr">
        <is>
          <t>Restoran · Jl. Semeru No.46</t>
        </is>
      </c>
      <c r="I100" s="29">
        <f>6371 * 2 * ASIN(SQRT(SIN(RADIANS((C100) - INDEX('Dataset_Wisata'!$C$12:$C$622, MATCH('Dashboard'!$C$9, 'Dataset_Wisata'!$A$12:$A$622, 0)))/2)^2 + COS(RADIANS(INDEX('Dataset_Wisata'!$C$12:$C$622, MATCH('Dashboard'!$C$9, 'Dataset_Wisata'!$A$12:$A$622, 0)))) * COS(RADIANS(C100)) * SIN(RADIANS((D100) - INDEX('Dataset_Wisata'!$D$12:$D$622, MATCH('Dashboard'!$C$9, 'Dataset_Wisata'!$A$12:$A$622, 0)))/2)^2)) * 1.3</f>
        <v/>
      </c>
      <c r="J100" s="21">
        <f>ROUND(I100 * IF('Dashboard'!$C$6&lt;=1, 2250, IF('Dashboard'!$C$6&lt;=4, 5150, 6000)), 0)</f>
        <v/>
      </c>
      <c r="K100" s="30" t="n">
        <v>0.8205766965551228</v>
      </c>
      <c r="L100" s="30" t="n">
        <v>0.1680685555538888</v>
      </c>
      <c r="M100" s="30" t="n">
        <v>0.01135474789098826</v>
      </c>
      <c r="N100" s="31">
        <f>ABS(E100-$F$6)</f>
        <v/>
      </c>
      <c r="O100" s="31">
        <f>ABS(E100-$F$7)</f>
        <v/>
      </c>
      <c r="P100" s="31">
        <f>ABS(E100-$F$8)</f>
        <v/>
      </c>
      <c r="Q100" s="14">
        <f>IF(K100&gt;=MAX(L100,M100), "Hemat", IF(L100&gt;=M100, "Balanced", "Premium"))</f>
        <v/>
      </c>
      <c r="R100" s="30" t="n">
        <v>0.8205765551569555</v>
      </c>
      <c r="S100" s="30" t="n">
        <v>0.1680686919268015</v>
      </c>
      <c r="T100" s="30" t="n">
        <v>0.01135475291624307</v>
      </c>
      <c r="U100" s="31">
        <f>ABS(E100-$G$6)</f>
        <v/>
      </c>
      <c r="V100" s="31">
        <f>ABS(E100-$G$7)</f>
        <v/>
      </c>
      <c r="W100" s="31">
        <f>ABS(E100-$G$8)</f>
        <v/>
      </c>
      <c r="X100" s="14">
        <f>IF(R100&gt;=MAX(S100,T100), "Hemat", IF(S100&gt;=T100, "Balanced", "Premium"))</f>
        <v/>
      </c>
    </row>
    <row r="101">
      <c r="A101" s="14" t="n">
        <v>90</v>
      </c>
      <c r="B101" s="7" t="inlineStr">
        <is>
          <t>Warung ERD masakan jawa makanan jadul</t>
        </is>
      </c>
      <c r="C101" s="26" t="n">
        <v>-7.9476108</v>
      </c>
      <c r="D101" s="26" t="n">
        <v>112.6115212</v>
      </c>
      <c r="E101" s="21" t="n">
        <v>12000</v>
      </c>
      <c r="F101" s="27" t="n">
        <v>4.9</v>
      </c>
      <c r="G101" s="28" t="n">
        <v>41</v>
      </c>
      <c r="H101" s="14" t="inlineStr">
        <is>
          <t>Wisata Umum</t>
        </is>
      </c>
      <c r="I101" s="29">
        <f>6371 * 2 * ASIN(SQRT(SIN(RADIANS((C101) - INDEX('Dataset_Wisata'!$C$12:$C$622, MATCH('Dashboard'!$C$9, 'Dataset_Wisata'!$A$12:$A$622, 0)))/2)^2 + COS(RADIANS(INDEX('Dataset_Wisata'!$C$12:$C$622, MATCH('Dashboard'!$C$9, 'Dataset_Wisata'!$A$12:$A$622, 0)))) * COS(RADIANS(C101)) * SIN(RADIANS((D101) - INDEX('Dataset_Wisata'!$D$12:$D$622, MATCH('Dashboard'!$C$9, 'Dataset_Wisata'!$A$12:$A$622, 0)))/2)^2)) * 1.3</f>
        <v/>
      </c>
      <c r="J101" s="21">
        <f>ROUND(I101 * IF('Dashboard'!$C$6&lt;=1, 2250, IF('Dashboard'!$C$6&lt;=4, 5150, 6000)), 0)</f>
        <v/>
      </c>
      <c r="K101" s="30" t="n">
        <v>0.9907459480940729</v>
      </c>
      <c r="L101" s="30" t="n">
        <v>0.008195110232283047</v>
      </c>
      <c r="M101" s="30" t="n">
        <v>0.001058941673643979</v>
      </c>
      <c r="N101" s="31">
        <f>ABS(E101-$F$6)</f>
        <v/>
      </c>
      <c r="O101" s="31">
        <f>ABS(E101-$F$7)</f>
        <v/>
      </c>
      <c r="P101" s="31">
        <f>ABS(E101-$F$8)</f>
        <v/>
      </c>
      <c r="Q101" s="14">
        <f>IF(K101&gt;=MAX(L101,M101), "Hemat", IF(L101&gt;=M101, "Balanced", "Premium"))</f>
        <v/>
      </c>
      <c r="R101" s="30" t="n">
        <v>0.9907459543354936</v>
      </c>
      <c r="S101" s="30" t="n">
        <v>0.008195104860105683</v>
      </c>
      <c r="T101" s="30" t="n">
        <v>0.0010589408044008</v>
      </c>
      <c r="U101" s="31">
        <f>ABS(E101-$G$6)</f>
        <v/>
      </c>
      <c r="V101" s="31">
        <f>ABS(E101-$G$7)</f>
        <v/>
      </c>
      <c r="W101" s="31">
        <f>ABS(E101-$G$8)</f>
        <v/>
      </c>
      <c r="X101" s="14">
        <f>IF(R101&gt;=MAX(S101,T101), "Hemat", IF(S101&gt;=T101, "Balanced", "Premium"))</f>
        <v/>
      </c>
    </row>
    <row r="102">
      <c r="A102" s="14" t="n">
        <v>91</v>
      </c>
      <c r="B102" s="7" t="inlineStr">
        <is>
          <t>Depot Nik'mat</t>
        </is>
      </c>
      <c r="C102" s="26" t="n">
        <v>-7.9065758</v>
      </c>
      <c r="D102" s="26" t="n">
        <v>112.6597998</v>
      </c>
      <c r="E102" s="21" t="n">
        <v>19000</v>
      </c>
      <c r="F102" s="27" t="n">
        <v>4.4</v>
      </c>
      <c r="G102" s="28" t="n">
        <v>478</v>
      </c>
      <c r="H102" s="14" t="inlineStr">
        <is>
          <t>Wisata Umum</t>
        </is>
      </c>
      <c r="I102" s="29">
        <f>6371 * 2 * ASIN(SQRT(SIN(RADIANS((C102) - INDEX('Dataset_Wisata'!$C$12:$C$622, MATCH('Dashboard'!$C$9, 'Dataset_Wisata'!$A$12:$A$622, 0)))/2)^2 + COS(RADIANS(INDEX('Dataset_Wisata'!$C$12:$C$622, MATCH('Dashboard'!$C$9, 'Dataset_Wisata'!$A$12:$A$622, 0)))) * COS(RADIANS(C102)) * SIN(RADIANS((D102) - INDEX('Dataset_Wisata'!$D$12:$D$622, MATCH('Dashboard'!$C$9, 'Dataset_Wisata'!$A$12:$A$622, 0)))/2)^2)) * 1.3</f>
        <v/>
      </c>
      <c r="J102" s="21">
        <f>ROUND(I102 * IF('Dashboard'!$C$6&lt;=1, 2250, IF('Dashboard'!$C$6&lt;=4, 5150, 6000)), 0)</f>
        <v/>
      </c>
      <c r="K102" s="30" t="n">
        <v>0.5366761769981572</v>
      </c>
      <c r="L102" s="30" t="n">
        <v>0.4435988772155322</v>
      </c>
      <c r="M102" s="30" t="n">
        <v>0.01972494578631066</v>
      </c>
      <c r="N102" s="31">
        <f>ABS(E102-$F$6)</f>
        <v/>
      </c>
      <c r="O102" s="31">
        <f>ABS(E102-$F$7)</f>
        <v/>
      </c>
      <c r="P102" s="31">
        <f>ABS(E102-$F$8)</f>
        <v/>
      </c>
      <c r="Q102" s="14">
        <f>IF(K102&gt;=MAX(L102,M102), "Hemat", IF(L102&gt;=M102, "Balanced", "Premium"))</f>
        <v/>
      </c>
      <c r="R102" s="30" t="n">
        <v>0.5366759174130455</v>
      </c>
      <c r="S102" s="30" t="n">
        <v>0.443599136184954</v>
      </c>
      <c r="T102" s="30" t="n">
        <v>0.01972494640200039</v>
      </c>
      <c r="U102" s="31">
        <f>ABS(E102-$G$6)</f>
        <v/>
      </c>
      <c r="V102" s="31">
        <f>ABS(E102-$G$7)</f>
        <v/>
      </c>
      <c r="W102" s="31">
        <f>ABS(E102-$G$8)</f>
        <v/>
      </c>
      <c r="X102" s="14">
        <f>IF(R102&gt;=MAX(S102,T102), "Hemat", IF(S102&gt;=T102, "Balanced", "Premium"))</f>
        <v/>
      </c>
    </row>
    <row r="103">
      <c r="A103" s="14" t="n">
        <v>92</v>
      </c>
      <c r="B103" s="7" t="inlineStr">
        <is>
          <t>Warung SAHABAT Nasi Tiwul Ikan Nila</t>
        </is>
      </c>
      <c r="C103" s="26" t="n">
        <v>-8.1982342</v>
      </c>
      <c r="D103" s="26" t="n">
        <v>112.4978012</v>
      </c>
      <c r="E103" s="21" t="n">
        <v>30000</v>
      </c>
      <c r="F103" s="27" t="n">
        <v>4.6</v>
      </c>
      <c r="G103" s="28" t="n">
        <v>111</v>
      </c>
      <c r="H103" s="14" t="inlineStr">
        <is>
          <t>Wisata Umum</t>
        </is>
      </c>
      <c r="I103" s="29">
        <f>6371 * 2 * ASIN(SQRT(SIN(RADIANS((C103) - INDEX('Dataset_Wisata'!$C$12:$C$622, MATCH('Dashboard'!$C$9, 'Dataset_Wisata'!$A$12:$A$622, 0)))/2)^2 + COS(RADIANS(INDEX('Dataset_Wisata'!$C$12:$C$622, MATCH('Dashboard'!$C$9, 'Dataset_Wisata'!$A$12:$A$622, 0)))) * COS(RADIANS(C103)) * SIN(RADIANS((D103) - INDEX('Dataset_Wisata'!$D$12:$D$622, MATCH('Dashboard'!$C$9, 'Dataset_Wisata'!$A$12:$A$622, 0)))/2)^2)) * 1.3</f>
        <v/>
      </c>
      <c r="J103" s="21">
        <f>ROUND(I103 * IF('Dashboard'!$C$6&lt;=1, 2250, IF('Dashboard'!$C$6&lt;=4, 5150, 6000)), 0)</f>
        <v/>
      </c>
      <c r="K103" s="30" t="n">
        <v>0.06726312231076584</v>
      </c>
      <c r="L103" s="30" t="n">
        <v>0.8811909885629753</v>
      </c>
      <c r="M103" s="30" t="n">
        <v>0.05154588912625897</v>
      </c>
      <c r="N103" s="31">
        <f>ABS(E103-$F$6)</f>
        <v/>
      </c>
      <c r="O103" s="31">
        <f>ABS(E103-$F$7)</f>
        <v/>
      </c>
      <c r="P103" s="31">
        <f>ABS(E103-$F$8)</f>
        <v/>
      </c>
      <c r="Q103" s="14">
        <f>IF(K103&gt;=MAX(L103,M103), "Hemat", IF(L103&gt;=M103, "Balanced", "Premium"))</f>
        <v/>
      </c>
      <c r="R103" s="30" t="n">
        <v>0.06726318452674353</v>
      </c>
      <c r="S103" s="30" t="n">
        <v>0.8811908510588695</v>
      </c>
      <c r="T103" s="30" t="n">
        <v>0.05154596441438693</v>
      </c>
      <c r="U103" s="31">
        <f>ABS(E103-$G$6)</f>
        <v/>
      </c>
      <c r="V103" s="31">
        <f>ABS(E103-$G$7)</f>
        <v/>
      </c>
      <c r="W103" s="31">
        <f>ABS(E103-$G$8)</f>
        <v/>
      </c>
      <c r="X103" s="14">
        <f>IF(R103&gt;=MAX(S103,T103), "Hemat", IF(S103&gt;=T103, "Balanced", "Premium"))</f>
        <v/>
      </c>
    </row>
    <row r="104">
      <c r="A104" s="14" t="n">
        <v>93</v>
      </c>
      <c r="B104" s="7" t="inlineStr">
        <is>
          <t>Cafe Apung Rowo Klampok</t>
        </is>
      </c>
      <c r="C104" s="26" t="n">
        <v>-8.163477200000001</v>
      </c>
      <c r="D104" s="26" t="n">
        <v>112.5105029</v>
      </c>
      <c r="E104" s="21" t="n">
        <v>10000</v>
      </c>
      <c r="F104" s="27" t="n">
        <v>4.3</v>
      </c>
      <c r="G104" s="28" t="n">
        <v>1241</v>
      </c>
      <c r="H104" s="14" t="inlineStr">
        <is>
          <t>Wisata Umum</t>
        </is>
      </c>
      <c r="I104" s="29">
        <f>6371 * 2 * ASIN(SQRT(SIN(RADIANS((C104) - INDEX('Dataset_Wisata'!$C$12:$C$622, MATCH('Dashboard'!$C$9, 'Dataset_Wisata'!$A$12:$A$622, 0)))/2)^2 + COS(RADIANS(INDEX('Dataset_Wisata'!$C$12:$C$622, MATCH('Dashboard'!$C$9, 'Dataset_Wisata'!$A$12:$A$622, 0)))) * COS(RADIANS(C104)) * SIN(RADIANS((D104) - INDEX('Dataset_Wisata'!$D$12:$D$622, MATCH('Dashboard'!$C$9, 'Dataset_Wisata'!$A$12:$A$622, 0)))/2)^2)) * 1.3</f>
        <v/>
      </c>
      <c r="J104" s="21">
        <f>ROUND(I104 * IF('Dashboard'!$C$6&lt;=1, 2250, IF('Dashboard'!$C$6&lt;=4, 5150, 6000)), 0)</f>
        <v/>
      </c>
      <c r="K104" s="30" t="n">
        <v>0.9518906050943107</v>
      </c>
      <c r="L104" s="30" t="n">
        <v>0.04169660451397377</v>
      </c>
      <c r="M104" s="30" t="n">
        <v>0.006412790391715545</v>
      </c>
      <c r="N104" s="31">
        <f>ABS(E104-$F$6)</f>
        <v/>
      </c>
      <c r="O104" s="31">
        <f>ABS(E104-$F$7)</f>
        <v/>
      </c>
      <c r="P104" s="31">
        <f>ABS(E104-$F$8)</f>
        <v/>
      </c>
      <c r="Q104" s="14">
        <f>IF(K104&gt;=MAX(L104,M104), "Hemat", IF(L104&gt;=M104, "Balanced", "Premium"))</f>
        <v/>
      </c>
      <c r="R104" s="30" t="n">
        <v>0.9518906082621517</v>
      </c>
      <c r="S104" s="30" t="n">
        <v>0.04169660246361195</v>
      </c>
      <c r="T104" s="30" t="n">
        <v>0.006412789274236485</v>
      </c>
      <c r="U104" s="31">
        <f>ABS(E104-$G$6)</f>
        <v/>
      </c>
      <c r="V104" s="31">
        <f>ABS(E104-$G$7)</f>
        <v/>
      </c>
      <c r="W104" s="31">
        <f>ABS(E104-$G$8)</f>
        <v/>
      </c>
      <c r="X104" s="14">
        <f>IF(R104&gt;=MAX(S104,T104), "Hemat", IF(S104&gt;=T104, "Balanced", "Premium"))</f>
        <v/>
      </c>
    </row>
    <row r="105">
      <c r="A105" s="14" t="n">
        <v>94</v>
      </c>
      <c r="B105" s="7" t="inlineStr">
        <is>
          <t>Warung Menthok Pedas Pak Nardi</t>
        </is>
      </c>
      <c r="C105" s="26" t="n">
        <v>-8.157451399999999</v>
      </c>
      <c r="D105" s="26" t="n">
        <v>112.4894026</v>
      </c>
      <c r="E105" s="21" t="n">
        <v>39000</v>
      </c>
      <c r="F105" s="27" t="n">
        <v>4.4</v>
      </c>
      <c r="G105" s="28" t="n">
        <v>1354</v>
      </c>
      <c r="H105" s="14" t="inlineStr">
        <is>
          <t>Warung Menthok Pedas Pak Nardi</t>
        </is>
      </c>
      <c r="I105" s="29">
        <f>6371 * 2 * ASIN(SQRT(SIN(RADIANS((C105) - INDEX('Dataset_Wisata'!$C$12:$C$622, MATCH('Dashboard'!$C$9, 'Dataset_Wisata'!$A$12:$A$622, 0)))/2)^2 + COS(RADIANS(INDEX('Dataset_Wisata'!$C$12:$C$622, MATCH('Dashboard'!$C$9, 'Dataset_Wisata'!$A$12:$A$622, 0)))) * COS(RADIANS(C105)) * SIN(RADIANS((D105) - INDEX('Dataset_Wisata'!$D$12:$D$622, MATCH('Dashboard'!$C$9, 'Dataset_Wisata'!$A$12:$A$622, 0)))/2)^2)) * 1.3</f>
        <v/>
      </c>
      <c r="J105" s="21">
        <f>ROUND(I105 * IF('Dashboard'!$C$6&lt;=1, 2250, IF('Dashboard'!$C$6&lt;=4, 5150, 6000)), 0)</f>
        <v/>
      </c>
      <c r="K105" s="30" t="n">
        <v>0.09092231479680435</v>
      </c>
      <c r="L105" s="30" t="n">
        <v>0.3250396123315116</v>
      </c>
      <c r="M105" s="30" t="n">
        <v>0.5840380728716841</v>
      </c>
      <c r="N105" s="31">
        <f>ABS(E105-$F$6)</f>
        <v/>
      </c>
      <c r="O105" s="31">
        <f>ABS(E105-$F$7)</f>
        <v/>
      </c>
      <c r="P105" s="31">
        <f>ABS(E105-$F$8)</f>
        <v/>
      </c>
      <c r="Q105" s="14">
        <f>IF(K105&gt;=MAX(L105,M105), "Hemat", IF(L105&gt;=M105, "Balanced", "Premium"))</f>
        <v/>
      </c>
      <c r="R105" s="30" t="n">
        <v>0.09092227639248113</v>
      </c>
      <c r="S105" s="30" t="n">
        <v>0.3250393633407146</v>
      </c>
      <c r="T105" s="30" t="n">
        <v>0.5840383602668042</v>
      </c>
      <c r="U105" s="31">
        <f>ABS(E105-$G$6)</f>
        <v/>
      </c>
      <c r="V105" s="31">
        <f>ABS(E105-$G$7)</f>
        <v/>
      </c>
      <c r="W105" s="31">
        <f>ABS(E105-$G$8)</f>
        <v/>
      </c>
      <c r="X105" s="14">
        <f>IF(R105&gt;=MAX(S105,T105), "Hemat", IF(S105&gt;=T105, "Balanced", "Premium"))</f>
        <v/>
      </c>
    </row>
    <row r="106">
      <c r="A106" s="14" t="n">
        <v>95</v>
      </c>
      <c r="B106" s="7" t="inlineStr">
        <is>
          <t>Warung Biru Bu Kambali ( MUJAER PEDAS )</t>
        </is>
      </c>
      <c r="C106" s="26" t="n">
        <v>-8.1693538</v>
      </c>
      <c r="D106" s="26" t="n">
        <v>112.5145566</v>
      </c>
      <c r="E106" s="21" t="n">
        <v>22500</v>
      </c>
      <c r="F106" s="27" t="n">
        <v>4.7</v>
      </c>
      <c r="G106" s="28" t="n">
        <v>51</v>
      </c>
      <c r="H106" s="14" t="inlineStr">
        <is>
          <t>Wisata Umum</t>
        </is>
      </c>
      <c r="I106" s="29">
        <f>6371 * 2 * ASIN(SQRT(SIN(RADIANS((C106) - INDEX('Dataset_Wisata'!$C$12:$C$622, MATCH('Dashboard'!$C$9, 'Dataset_Wisata'!$A$12:$A$622, 0)))/2)^2 + COS(RADIANS(INDEX('Dataset_Wisata'!$C$12:$C$622, MATCH('Dashboard'!$C$9, 'Dataset_Wisata'!$A$12:$A$622, 0)))) * COS(RADIANS(C106)) * SIN(RADIANS((D106) - INDEX('Dataset_Wisata'!$D$12:$D$622, MATCH('Dashboard'!$C$9, 'Dataset_Wisata'!$A$12:$A$622, 0)))/2)^2)) * 1.3</f>
        <v/>
      </c>
      <c r="J106" s="21">
        <f>ROUND(I106 * IF('Dashboard'!$C$6&lt;=1, 2250, IF('Dashboard'!$C$6&lt;=4, 5150, 6000)), 0)</f>
        <v/>
      </c>
      <c r="K106" s="30" t="n">
        <v>0.08590721818578816</v>
      </c>
      <c r="L106" s="30" t="n">
        <v>0.9036840196741893</v>
      </c>
      <c r="M106" s="30" t="n">
        <v>0.01040876214002235</v>
      </c>
      <c r="N106" s="31">
        <f>ABS(E106-$F$6)</f>
        <v/>
      </c>
      <c r="O106" s="31">
        <f>ABS(E106-$F$7)</f>
        <v/>
      </c>
      <c r="P106" s="31">
        <f>ABS(E106-$F$8)</f>
        <v/>
      </c>
      <c r="Q106" s="14">
        <f>IF(K106&gt;=MAX(L106,M106), "Hemat", IF(L106&gt;=M106, "Balanced", "Premium"))</f>
        <v/>
      </c>
      <c r="R106" s="30" t="n">
        <v>0.08590706132500794</v>
      </c>
      <c r="S106" s="30" t="n">
        <v>0.9036841906599963</v>
      </c>
      <c r="T106" s="30" t="n">
        <v>0.01040874801499566</v>
      </c>
      <c r="U106" s="31">
        <f>ABS(E106-$G$6)</f>
        <v/>
      </c>
      <c r="V106" s="31">
        <f>ABS(E106-$G$7)</f>
        <v/>
      </c>
      <c r="W106" s="31">
        <f>ABS(E106-$G$8)</f>
        <v/>
      </c>
      <c r="X106" s="14">
        <f>IF(R106&gt;=MAX(S106,T106), "Hemat", IF(S106&gt;=T106, "Balanced", "Premium"))</f>
        <v/>
      </c>
    </row>
    <row r="107">
      <c r="A107" s="14" t="n">
        <v>96</v>
      </c>
      <c r="B107" s="7" t="inlineStr">
        <is>
          <t>istana rujak n resto</t>
        </is>
      </c>
      <c r="C107" s="26" t="n">
        <v>-8.130013999999999</v>
      </c>
      <c r="D107" s="26" t="n">
        <v>112.487564</v>
      </c>
      <c r="E107" s="21" t="n">
        <v>25000</v>
      </c>
      <c r="F107" s="27" t="n">
        <v>4.2</v>
      </c>
      <c r="G107" s="28" t="n">
        <v>89</v>
      </c>
      <c r="H107" s="14" t="inlineStr">
        <is>
          <t>Wisata Umum</t>
        </is>
      </c>
      <c r="I107" s="29">
        <f>6371 * 2 * ASIN(SQRT(SIN(RADIANS((C107) - INDEX('Dataset_Wisata'!$C$12:$C$622, MATCH('Dashboard'!$C$9, 'Dataset_Wisata'!$A$12:$A$622, 0)))/2)^2 + COS(RADIANS(INDEX('Dataset_Wisata'!$C$12:$C$622, MATCH('Dashboard'!$C$9, 'Dataset_Wisata'!$A$12:$A$622, 0)))) * COS(RADIANS(C107)) * SIN(RADIANS((D107) - INDEX('Dataset_Wisata'!$D$12:$D$622, MATCH('Dashboard'!$C$9, 'Dataset_Wisata'!$A$12:$A$622, 0)))/2)^2)) * 1.3</f>
        <v/>
      </c>
      <c r="J107" s="21">
        <f>ROUND(I107 * IF('Dashboard'!$C$6&lt;=1, 2250, IF('Dashboard'!$C$6&lt;=4, 5150, 6000)), 0)</f>
        <v/>
      </c>
      <c r="K107" s="30" t="n">
        <v>0.0009460509590550509</v>
      </c>
      <c r="L107" s="30" t="n">
        <v>0.9988291129147837</v>
      </c>
      <c r="M107" s="30" t="n">
        <v>0.0002248361261612175</v>
      </c>
      <c r="N107" s="31">
        <f>ABS(E107-$F$6)</f>
        <v/>
      </c>
      <c r="O107" s="31">
        <f>ABS(E107-$F$7)</f>
        <v/>
      </c>
      <c r="P107" s="31">
        <f>ABS(E107-$F$8)</f>
        <v/>
      </c>
      <c r="Q107" s="14">
        <f>IF(K107&gt;=MAX(L107,M107), "Hemat", IF(L107&gt;=M107, "Balanced", "Premium"))</f>
        <v/>
      </c>
      <c r="R107" s="30" t="n">
        <v>0.0009460368639408893</v>
      </c>
      <c r="S107" s="30" t="n">
        <v>0.998829130253259</v>
      </c>
      <c r="T107" s="30" t="n">
        <v>0.0002248328828000856</v>
      </c>
      <c r="U107" s="31">
        <f>ABS(E107-$G$6)</f>
        <v/>
      </c>
      <c r="V107" s="31">
        <f>ABS(E107-$G$7)</f>
        <v/>
      </c>
      <c r="W107" s="31">
        <f>ABS(E107-$G$8)</f>
        <v/>
      </c>
      <c r="X107" s="14">
        <f>IF(R107&gt;=MAX(S107,T107), "Hemat", IF(S107&gt;=T107, "Balanced", "Premium"))</f>
        <v/>
      </c>
    </row>
    <row r="108">
      <c r="A108" s="14" t="n">
        <v>97</v>
      </c>
      <c r="B108" s="7" t="inlineStr">
        <is>
          <t>Warung Sadam</t>
        </is>
      </c>
      <c r="C108" s="26" t="n">
        <v>-8.129849200000001</v>
      </c>
      <c r="D108" s="26" t="n">
        <v>112.4912614</v>
      </c>
      <c r="E108" s="21" t="n">
        <v>15000</v>
      </c>
      <c r="F108" s="27" t="n">
        <v>4.3</v>
      </c>
      <c r="G108" s="28" t="n">
        <v>149</v>
      </c>
      <c r="H108" s="14" t="inlineStr">
        <is>
          <t>Warung Sadam</t>
        </is>
      </c>
      <c r="I108" s="29">
        <f>6371 * 2 * ASIN(SQRT(SIN(RADIANS((C108) - INDEX('Dataset_Wisata'!$C$12:$C$622, MATCH('Dashboard'!$C$9, 'Dataset_Wisata'!$A$12:$A$622, 0)))/2)^2 + COS(RADIANS(INDEX('Dataset_Wisata'!$C$12:$C$622, MATCH('Dashboard'!$C$9, 'Dataset_Wisata'!$A$12:$A$622, 0)))) * COS(RADIANS(C108)) * SIN(RADIANS((D108) - INDEX('Dataset_Wisata'!$D$12:$D$622, MATCH('Dashboard'!$C$9, 'Dataset_Wisata'!$A$12:$A$622, 0)))/2)^2)) * 1.3</f>
        <v/>
      </c>
      <c r="J108" s="21">
        <f>ROUND(I108 * IF('Dashboard'!$C$6&lt;=1, 2250, IF('Dashboard'!$C$6&lt;=4, 5150, 6000)), 0)</f>
        <v/>
      </c>
      <c r="K108" s="30" t="n">
        <v>0.9686283169848018</v>
      </c>
      <c r="L108" s="30" t="n">
        <v>0.02872990537067274</v>
      </c>
      <c r="M108" s="30" t="n">
        <v>0.002641777644525457</v>
      </c>
      <c r="N108" s="31">
        <f>ABS(E108-$F$6)</f>
        <v/>
      </c>
      <c r="O108" s="31">
        <f>ABS(E108-$F$7)</f>
        <v/>
      </c>
      <c r="P108" s="31">
        <f>ABS(E108-$F$8)</f>
        <v/>
      </c>
      <c r="Q108" s="14">
        <f>IF(K108&gt;=MAX(L108,M108), "Hemat", IF(L108&gt;=M108, "Balanced", "Premium"))</f>
        <v/>
      </c>
      <c r="R108" s="30" t="n">
        <v>0.9686282798936615</v>
      </c>
      <c r="S108" s="30" t="n">
        <v>0.02872993996961344</v>
      </c>
      <c r="T108" s="30" t="n">
        <v>0.002641780136725144</v>
      </c>
      <c r="U108" s="31">
        <f>ABS(E108-$G$6)</f>
        <v/>
      </c>
      <c r="V108" s="31">
        <f>ABS(E108-$G$7)</f>
        <v/>
      </c>
      <c r="W108" s="31">
        <f>ABS(E108-$G$8)</f>
        <v/>
      </c>
      <c r="X108" s="14">
        <f>IF(R108&gt;=MAX(S108,T108), "Hemat", IF(S108&gt;=T108, "Balanced", "Premium"))</f>
        <v/>
      </c>
    </row>
    <row r="109">
      <c r="A109" s="14" t="n">
        <v>98</v>
      </c>
      <c r="B109" s="7" t="inlineStr">
        <is>
          <t>Bakso Banteng Mandiri</t>
        </is>
      </c>
      <c r="C109" s="26" t="n">
        <v>-8.1594981</v>
      </c>
      <c r="D109" s="26" t="n">
        <v>112.5007377</v>
      </c>
      <c r="E109" s="21" t="n">
        <v>17000</v>
      </c>
      <c r="F109" s="27" t="n">
        <v>4.3</v>
      </c>
      <c r="G109" s="28" t="n">
        <v>306</v>
      </c>
      <c r="H109" s="14" t="inlineStr">
        <is>
          <t>Wisata Umum</t>
        </is>
      </c>
      <c r="I109" s="29">
        <f>6371 * 2 * ASIN(SQRT(SIN(RADIANS((C109) - INDEX('Dataset_Wisata'!$C$12:$C$622, MATCH('Dashboard'!$C$9, 'Dataset_Wisata'!$A$12:$A$622, 0)))/2)^2 + COS(RADIANS(INDEX('Dataset_Wisata'!$C$12:$C$622, MATCH('Dashboard'!$C$9, 'Dataset_Wisata'!$A$12:$A$622, 0)))) * COS(RADIANS(C109)) * SIN(RADIANS((D109) - INDEX('Dataset_Wisata'!$D$12:$D$622, MATCH('Dashboard'!$C$9, 'Dataset_Wisata'!$A$12:$A$622, 0)))/2)^2)) * 1.3</f>
        <v/>
      </c>
      <c r="J109" s="21">
        <f>ROUND(I109 * IF('Dashboard'!$C$6&lt;=1, 2250, IF('Dashboard'!$C$6&lt;=4, 5150, 6000)), 0)</f>
        <v/>
      </c>
      <c r="K109" s="30" t="n">
        <v>0.8205766965551228</v>
      </c>
      <c r="L109" s="30" t="n">
        <v>0.1680685555538888</v>
      </c>
      <c r="M109" s="30" t="n">
        <v>0.01135474789098826</v>
      </c>
      <c r="N109" s="31">
        <f>ABS(E109-$F$6)</f>
        <v/>
      </c>
      <c r="O109" s="31">
        <f>ABS(E109-$F$7)</f>
        <v/>
      </c>
      <c r="P109" s="31">
        <f>ABS(E109-$F$8)</f>
        <v/>
      </c>
      <c r="Q109" s="14">
        <f>IF(K109&gt;=MAX(L109,M109), "Hemat", IF(L109&gt;=M109, "Balanced", "Premium"))</f>
        <v/>
      </c>
      <c r="R109" s="30" t="n">
        <v>0.8205765551569555</v>
      </c>
      <c r="S109" s="30" t="n">
        <v>0.1680686919268015</v>
      </c>
      <c r="T109" s="30" t="n">
        <v>0.01135475291624307</v>
      </c>
      <c r="U109" s="31">
        <f>ABS(E109-$G$6)</f>
        <v/>
      </c>
      <c r="V109" s="31">
        <f>ABS(E109-$G$7)</f>
        <v/>
      </c>
      <c r="W109" s="31">
        <f>ABS(E109-$G$8)</f>
        <v/>
      </c>
      <c r="X109" s="14">
        <f>IF(R109&gt;=MAX(S109,T109), "Hemat", IF(S109&gt;=T109, "Balanced", "Premium"))</f>
        <v/>
      </c>
    </row>
    <row r="110">
      <c r="A110" s="14" t="n">
        <v>99</v>
      </c>
      <c r="B110" s="7" t="inlineStr">
        <is>
          <t>Pecel Mak Tum</t>
        </is>
      </c>
      <c r="C110" s="26" t="n">
        <v>-8.1340865</v>
      </c>
      <c r="D110" s="26" t="n">
        <v>112.4891126</v>
      </c>
      <c r="E110" s="21" t="n">
        <v>13000</v>
      </c>
      <c r="F110" s="27" t="n">
        <v>4.6</v>
      </c>
      <c r="G110" s="28" t="n">
        <v>234</v>
      </c>
      <c r="H110" s="14" t="inlineStr">
        <is>
          <t>Wisata Umum</t>
        </is>
      </c>
      <c r="I110" s="29">
        <f>6371 * 2 * ASIN(SQRT(SIN(RADIANS((C110) - INDEX('Dataset_Wisata'!$C$12:$C$622, MATCH('Dashboard'!$C$9, 'Dataset_Wisata'!$A$12:$A$622, 0)))/2)^2 + COS(RADIANS(INDEX('Dataset_Wisata'!$C$12:$C$622, MATCH('Dashboard'!$C$9, 'Dataset_Wisata'!$A$12:$A$622, 0)))) * COS(RADIANS(C110)) * SIN(RADIANS((D110) - INDEX('Dataset_Wisata'!$D$12:$D$622, MATCH('Dashboard'!$C$9, 'Dataset_Wisata'!$A$12:$A$622, 0)))/2)^2)) * 1.3</f>
        <v/>
      </c>
      <c r="J110" s="21">
        <f>ROUND(I110 * IF('Dashboard'!$C$6&lt;=1, 2250, IF('Dashboard'!$C$6&lt;=4, 5150, 6000)), 0)</f>
        <v/>
      </c>
      <c r="K110" s="30" t="n">
        <v>0.9996613401455278</v>
      </c>
      <c r="L110" s="30" t="n">
        <v>0.0003032413982241428</v>
      </c>
      <c r="M110" s="30" t="n">
        <v>3.541845624800055e-05</v>
      </c>
      <c r="N110" s="31">
        <f>ABS(E110-$F$6)</f>
        <v/>
      </c>
      <c r="O110" s="31">
        <f>ABS(E110-$F$7)</f>
        <v/>
      </c>
      <c r="P110" s="31">
        <f>ABS(E110-$F$8)</f>
        <v/>
      </c>
      <c r="Q110" s="14">
        <f>IF(K110&gt;=MAX(L110,M110), "Hemat", IF(L110&gt;=M110, "Balanced", "Premium"))</f>
        <v/>
      </c>
      <c r="R110" s="30" t="n">
        <v>0.9996613420378273</v>
      </c>
      <c r="S110" s="30" t="n">
        <v>0.0003032397098959421</v>
      </c>
      <c r="T110" s="30" t="n">
        <v>3.541825227674828e-05</v>
      </c>
      <c r="U110" s="31">
        <f>ABS(E110-$G$6)</f>
        <v/>
      </c>
      <c r="V110" s="31">
        <f>ABS(E110-$G$7)</f>
        <v/>
      </c>
      <c r="W110" s="31">
        <f>ABS(E110-$G$8)</f>
        <v/>
      </c>
      <c r="X110" s="14">
        <f>IF(R110&gt;=MAX(S110,T110), "Hemat", IF(S110&gt;=T110, "Balanced", "Premium"))</f>
        <v/>
      </c>
    </row>
    <row r="111">
      <c r="A111" s="14" t="n">
        <v>100</v>
      </c>
      <c r="B111" s="7" t="inlineStr">
        <is>
          <t>WARUNG PAK UNTUNG ngebruk</t>
        </is>
      </c>
      <c r="C111" s="26" t="n">
        <v>-8.1525949</v>
      </c>
      <c r="D111" s="26" t="n">
        <v>112.5097378</v>
      </c>
      <c r="E111" s="21" t="n">
        <v>16500</v>
      </c>
      <c r="F111" s="27" t="n">
        <v>3.9</v>
      </c>
      <c r="G111" s="28" t="n">
        <v>151</v>
      </c>
      <c r="H111" s="14" t="inlineStr">
        <is>
          <t>WARUNG PAK UNTUNG ngebruk</t>
        </is>
      </c>
      <c r="I111" s="29">
        <f>6371 * 2 * ASIN(SQRT(SIN(RADIANS((C111) - INDEX('Dataset_Wisata'!$C$12:$C$622, MATCH('Dashboard'!$C$9, 'Dataset_Wisata'!$A$12:$A$622, 0)))/2)^2 + COS(RADIANS(INDEX('Dataset_Wisata'!$C$12:$C$622, MATCH('Dashboard'!$C$9, 'Dataset_Wisata'!$A$12:$A$622, 0)))) * COS(RADIANS(C111)) * SIN(RADIANS((D111) - INDEX('Dataset_Wisata'!$D$12:$D$622, MATCH('Dashboard'!$C$9, 'Dataset_Wisata'!$A$12:$A$622, 0)))/2)^2)) * 1.3</f>
        <v/>
      </c>
      <c r="J111" s="21">
        <f>ROUND(I111 * IF('Dashboard'!$C$6&lt;=1, 2250, IF('Dashboard'!$C$6&lt;=4, 5150, 6000)), 0)</f>
        <v/>
      </c>
      <c r="K111" s="30" t="n">
        <v>0.8714863278851296</v>
      </c>
      <c r="L111" s="30" t="n">
        <v>0.1197061829079762</v>
      </c>
      <c r="M111" s="30" t="n">
        <v>0.008807489206894295</v>
      </c>
      <c r="N111" s="31">
        <f>ABS(E111-$F$6)</f>
        <v/>
      </c>
      <c r="O111" s="31">
        <f>ABS(E111-$F$7)</f>
        <v/>
      </c>
      <c r="P111" s="31">
        <f>ABS(E111-$F$8)</f>
        <v/>
      </c>
      <c r="Q111" s="14">
        <f>IF(K111&gt;=MAX(L111,M111), "Hemat", IF(L111&gt;=M111, "Balanced", "Premium"))</f>
        <v/>
      </c>
      <c r="R111" s="30" t="n">
        <v>0.8714862185289194</v>
      </c>
      <c r="S111" s="30" t="n">
        <v>0.1197062875326776</v>
      </c>
      <c r="T111" s="30" t="n">
        <v>0.008807493938402942</v>
      </c>
      <c r="U111" s="31">
        <f>ABS(E111-$G$6)</f>
        <v/>
      </c>
      <c r="V111" s="31">
        <f>ABS(E111-$G$7)</f>
        <v/>
      </c>
      <c r="W111" s="31">
        <f>ABS(E111-$G$8)</f>
        <v/>
      </c>
      <c r="X111" s="14">
        <f>IF(R111&gt;=MAX(S111,T111), "Hemat", IF(S111&gt;=T111, "Balanced", "Premium"))</f>
        <v/>
      </c>
    </row>
    <row r="112">
      <c r="A112" s="14" t="n">
        <v>101</v>
      </c>
      <c r="B112" s="7" t="inlineStr">
        <is>
          <t>Warung Sriwijaya</t>
        </is>
      </c>
      <c r="C112" s="26" t="n">
        <v>-8.1096623</v>
      </c>
      <c r="D112" s="26" t="n">
        <v>112.4756904</v>
      </c>
      <c r="E112" s="21" t="n">
        <v>12000</v>
      </c>
      <c r="F112" s="27" t="n">
        <v>4.1</v>
      </c>
      <c r="G112" s="28" t="n">
        <v>37</v>
      </c>
      <c r="H112" s="14" t="inlineStr">
        <is>
          <t>Warung Sriwijaya</t>
        </is>
      </c>
      <c r="I112" s="29">
        <f>6371 * 2 * ASIN(SQRT(SIN(RADIANS((C112) - INDEX('Dataset_Wisata'!$C$12:$C$622, MATCH('Dashboard'!$C$9, 'Dataset_Wisata'!$A$12:$A$622, 0)))/2)^2 + COS(RADIANS(INDEX('Dataset_Wisata'!$C$12:$C$622, MATCH('Dashboard'!$C$9, 'Dataset_Wisata'!$A$12:$A$622, 0)))) * COS(RADIANS(C112)) * SIN(RADIANS((D112) - INDEX('Dataset_Wisata'!$D$12:$D$622, MATCH('Dashboard'!$C$9, 'Dataset_Wisata'!$A$12:$A$622, 0)))/2)^2)) * 1.3</f>
        <v/>
      </c>
      <c r="J112" s="21">
        <f>ROUND(I112 * IF('Dashboard'!$C$6&lt;=1, 2250, IF('Dashboard'!$C$6&lt;=4, 5150, 6000)), 0)</f>
        <v/>
      </c>
      <c r="K112" s="30" t="n">
        <v>0.9907459480940729</v>
      </c>
      <c r="L112" s="30" t="n">
        <v>0.008195110232283047</v>
      </c>
      <c r="M112" s="30" t="n">
        <v>0.001058941673643979</v>
      </c>
      <c r="N112" s="31">
        <f>ABS(E112-$F$6)</f>
        <v/>
      </c>
      <c r="O112" s="31">
        <f>ABS(E112-$F$7)</f>
        <v/>
      </c>
      <c r="P112" s="31">
        <f>ABS(E112-$F$8)</f>
        <v/>
      </c>
      <c r="Q112" s="14">
        <f>IF(K112&gt;=MAX(L112,M112), "Hemat", IF(L112&gt;=M112, "Balanced", "Premium"))</f>
        <v/>
      </c>
      <c r="R112" s="30" t="n">
        <v>0.9907459543354936</v>
      </c>
      <c r="S112" s="30" t="n">
        <v>0.008195104860105683</v>
      </c>
      <c r="T112" s="30" t="n">
        <v>0.0010589408044008</v>
      </c>
      <c r="U112" s="31">
        <f>ABS(E112-$G$6)</f>
        <v/>
      </c>
      <c r="V112" s="31">
        <f>ABS(E112-$G$7)</f>
        <v/>
      </c>
      <c r="W112" s="31">
        <f>ABS(E112-$G$8)</f>
        <v/>
      </c>
      <c r="X112" s="14">
        <f>IF(R112&gt;=MAX(S112,T112), "Hemat", IF(S112&gt;=T112, "Balanced", "Premium"))</f>
        <v/>
      </c>
    </row>
    <row r="113">
      <c r="A113" s="14" t="n">
        <v>102</v>
      </c>
      <c r="B113" s="7" t="inlineStr">
        <is>
          <t>Warung Rujak Mak' Jas</t>
        </is>
      </c>
      <c r="C113" s="26" t="n">
        <v>-8.11064</v>
      </c>
      <c r="D113" s="26" t="n">
        <v>112.492696</v>
      </c>
      <c r="E113" s="21" t="n">
        <v>16500</v>
      </c>
      <c r="F113" s="27" t="n">
        <v>4.5</v>
      </c>
      <c r="G113" s="28" t="n">
        <v>32</v>
      </c>
      <c r="H113" s="14" t="inlineStr">
        <is>
          <t>Warung Rujak Mak' Jas</t>
        </is>
      </c>
      <c r="I113" s="29">
        <f>6371 * 2 * ASIN(SQRT(SIN(RADIANS((C113) - INDEX('Dataset_Wisata'!$C$12:$C$622, MATCH('Dashboard'!$C$9, 'Dataset_Wisata'!$A$12:$A$622, 0)))/2)^2 + COS(RADIANS(INDEX('Dataset_Wisata'!$C$12:$C$622, MATCH('Dashboard'!$C$9, 'Dataset_Wisata'!$A$12:$A$622, 0)))) * COS(RADIANS(C113)) * SIN(RADIANS((D113) - INDEX('Dataset_Wisata'!$D$12:$D$622, MATCH('Dashboard'!$C$9, 'Dataset_Wisata'!$A$12:$A$622, 0)))/2)^2)) * 1.3</f>
        <v/>
      </c>
      <c r="J113" s="21">
        <f>ROUND(I113 * IF('Dashboard'!$C$6&lt;=1, 2250, IF('Dashboard'!$C$6&lt;=4, 5150, 6000)), 0)</f>
        <v/>
      </c>
      <c r="K113" s="30" t="n">
        <v>0.8714863278851296</v>
      </c>
      <c r="L113" s="30" t="n">
        <v>0.1197061829079762</v>
      </c>
      <c r="M113" s="30" t="n">
        <v>0.008807489206894295</v>
      </c>
      <c r="N113" s="31">
        <f>ABS(E113-$F$6)</f>
        <v/>
      </c>
      <c r="O113" s="31">
        <f>ABS(E113-$F$7)</f>
        <v/>
      </c>
      <c r="P113" s="31">
        <f>ABS(E113-$F$8)</f>
        <v/>
      </c>
      <c r="Q113" s="14">
        <f>IF(K113&gt;=MAX(L113,M113), "Hemat", IF(L113&gt;=M113, "Balanced", "Premium"))</f>
        <v/>
      </c>
      <c r="R113" s="30" t="n">
        <v>0.8714862185289194</v>
      </c>
      <c r="S113" s="30" t="n">
        <v>0.1197062875326776</v>
      </c>
      <c r="T113" s="30" t="n">
        <v>0.008807493938402942</v>
      </c>
      <c r="U113" s="31">
        <f>ABS(E113-$G$6)</f>
        <v/>
      </c>
      <c r="V113" s="31">
        <f>ABS(E113-$G$7)</f>
        <v/>
      </c>
      <c r="W113" s="31">
        <f>ABS(E113-$G$8)</f>
        <v/>
      </c>
      <c r="X113" s="14">
        <f>IF(R113&gt;=MAX(S113,T113), "Hemat", IF(S113&gt;=T113, "Balanced", "Premium"))</f>
        <v/>
      </c>
    </row>
    <row r="114">
      <c r="A114" s="14" t="n">
        <v>103</v>
      </c>
      <c r="B114" s="7" t="inlineStr">
        <is>
          <t>WARUNG RAGIL BAROKAH BU SUTIKNO</t>
        </is>
      </c>
      <c r="C114" s="26" t="n">
        <v>-8.1513831</v>
      </c>
      <c r="D114" s="26" t="n">
        <v>112.5814601</v>
      </c>
      <c r="E114" s="21" t="n">
        <v>25000</v>
      </c>
      <c r="F114" s="27" t="n">
        <v>4.4</v>
      </c>
      <c r="G114" s="28" t="n">
        <v>91</v>
      </c>
      <c r="H114" s="14" t="inlineStr">
        <is>
          <t>WARUNG RAGIL BAROKAH BU SUTIKNO</t>
        </is>
      </c>
      <c r="I114" s="29">
        <f>6371 * 2 * ASIN(SQRT(SIN(RADIANS((C114) - INDEX('Dataset_Wisata'!$C$12:$C$622, MATCH('Dashboard'!$C$9, 'Dataset_Wisata'!$A$12:$A$622, 0)))/2)^2 + COS(RADIANS(INDEX('Dataset_Wisata'!$C$12:$C$622, MATCH('Dashboard'!$C$9, 'Dataset_Wisata'!$A$12:$A$622, 0)))) * COS(RADIANS(C114)) * SIN(RADIANS((D114) - INDEX('Dataset_Wisata'!$D$12:$D$622, MATCH('Dashboard'!$C$9, 'Dataset_Wisata'!$A$12:$A$622, 0)))/2)^2)) * 1.3</f>
        <v/>
      </c>
      <c r="J114" s="21">
        <f>ROUND(I114 * IF('Dashboard'!$C$6&lt;=1, 2250, IF('Dashboard'!$C$6&lt;=4, 5150, 6000)), 0)</f>
        <v/>
      </c>
      <c r="K114" s="30" t="n">
        <v>0.0009460509590550509</v>
      </c>
      <c r="L114" s="30" t="n">
        <v>0.9988291129147837</v>
      </c>
      <c r="M114" s="30" t="n">
        <v>0.0002248361261612175</v>
      </c>
      <c r="N114" s="31">
        <f>ABS(E114-$F$6)</f>
        <v/>
      </c>
      <c r="O114" s="31">
        <f>ABS(E114-$F$7)</f>
        <v/>
      </c>
      <c r="P114" s="31">
        <f>ABS(E114-$F$8)</f>
        <v/>
      </c>
      <c r="Q114" s="14">
        <f>IF(K114&gt;=MAX(L114,M114), "Hemat", IF(L114&gt;=M114, "Balanced", "Premium"))</f>
        <v/>
      </c>
      <c r="R114" s="30" t="n">
        <v>0.0009460368639408893</v>
      </c>
      <c r="S114" s="30" t="n">
        <v>0.998829130253259</v>
      </c>
      <c r="T114" s="30" t="n">
        <v>0.0002248328828000856</v>
      </c>
      <c r="U114" s="31">
        <f>ABS(E114-$G$6)</f>
        <v/>
      </c>
      <c r="V114" s="31">
        <f>ABS(E114-$G$7)</f>
        <v/>
      </c>
      <c r="W114" s="31">
        <f>ABS(E114-$G$8)</f>
        <v/>
      </c>
      <c r="X114" s="14">
        <f>IF(R114&gt;=MAX(S114,T114), "Hemat", IF(S114&gt;=T114, "Balanced", "Premium"))</f>
        <v/>
      </c>
    </row>
    <row r="115">
      <c r="A115" s="14" t="n">
        <v>104</v>
      </c>
      <c r="B115" s="7" t="inlineStr">
        <is>
          <t>Warung Rujak Mbak Ni</t>
        </is>
      </c>
      <c r="C115" s="26" t="n">
        <v>-8.1347548</v>
      </c>
      <c r="D115" s="26" t="n">
        <v>112.4575386</v>
      </c>
      <c r="E115" s="21" t="n">
        <v>16500</v>
      </c>
      <c r="F115" s="27" t="n">
        <v>4.5</v>
      </c>
      <c r="G115" s="28" t="n">
        <v>20</v>
      </c>
      <c r="H115" s="14" t="inlineStr">
        <is>
          <t>Warung Rujak Mbak Ni</t>
        </is>
      </c>
      <c r="I115" s="29">
        <f>6371 * 2 * ASIN(SQRT(SIN(RADIANS((C115) - INDEX('Dataset_Wisata'!$C$12:$C$622, MATCH('Dashboard'!$C$9, 'Dataset_Wisata'!$A$12:$A$622, 0)))/2)^2 + COS(RADIANS(INDEX('Dataset_Wisata'!$C$12:$C$622, MATCH('Dashboard'!$C$9, 'Dataset_Wisata'!$A$12:$A$622, 0)))) * COS(RADIANS(C115)) * SIN(RADIANS((D115) - INDEX('Dataset_Wisata'!$D$12:$D$622, MATCH('Dashboard'!$C$9, 'Dataset_Wisata'!$A$12:$A$622, 0)))/2)^2)) * 1.3</f>
        <v/>
      </c>
      <c r="J115" s="21">
        <f>ROUND(I115 * IF('Dashboard'!$C$6&lt;=1, 2250, IF('Dashboard'!$C$6&lt;=4, 5150, 6000)), 0)</f>
        <v/>
      </c>
      <c r="K115" s="30" t="n">
        <v>0.8714863278851296</v>
      </c>
      <c r="L115" s="30" t="n">
        <v>0.1197061829079762</v>
      </c>
      <c r="M115" s="30" t="n">
        <v>0.008807489206894295</v>
      </c>
      <c r="N115" s="31">
        <f>ABS(E115-$F$6)</f>
        <v/>
      </c>
      <c r="O115" s="31">
        <f>ABS(E115-$F$7)</f>
        <v/>
      </c>
      <c r="P115" s="31">
        <f>ABS(E115-$F$8)</f>
        <v/>
      </c>
      <c r="Q115" s="14">
        <f>IF(K115&gt;=MAX(L115,M115), "Hemat", IF(L115&gt;=M115, "Balanced", "Premium"))</f>
        <v/>
      </c>
      <c r="R115" s="30" t="n">
        <v>0.8714862185289194</v>
      </c>
      <c r="S115" s="30" t="n">
        <v>0.1197062875326776</v>
      </c>
      <c r="T115" s="30" t="n">
        <v>0.008807493938402942</v>
      </c>
      <c r="U115" s="31">
        <f>ABS(E115-$G$6)</f>
        <v/>
      </c>
      <c r="V115" s="31">
        <f>ABS(E115-$G$7)</f>
        <v/>
      </c>
      <c r="W115" s="31">
        <f>ABS(E115-$G$8)</f>
        <v/>
      </c>
      <c r="X115" s="14">
        <f>IF(R115&gt;=MAX(S115,T115), "Hemat", IF(S115&gt;=T115, "Balanced", "Premium"))</f>
        <v/>
      </c>
    </row>
    <row r="116">
      <c r="A116" s="14" t="n">
        <v>105</v>
      </c>
      <c r="B116" s="7" t="inlineStr">
        <is>
          <t>Warung Makan Aninda Spesial Soto Babat Soto Daging</t>
        </is>
      </c>
      <c r="C116" s="26" t="n">
        <v>-8.127708200000001</v>
      </c>
      <c r="D116" s="26" t="n">
        <v>112.5136115</v>
      </c>
      <c r="E116" s="21" t="n">
        <v>10000</v>
      </c>
      <c r="F116" s="27" t="n">
        <v>3.5</v>
      </c>
      <c r="G116" s="28" t="n">
        <v>26</v>
      </c>
      <c r="H116" s="14" t="inlineStr">
        <is>
          <t>Wisata Umum</t>
        </is>
      </c>
      <c r="I116" s="29">
        <f>6371 * 2 * ASIN(SQRT(SIN(RADIANS((C116) - INDEX('Dataset_Wisata'!$C$12:$C$622, MATCH('Dashboard'!$C$9, 'Dataset_Wisata'!$A$12:$A$622, 0)))/2)^2 + COS(RADIANS(INDEX('Dataset_Wisata'!$C$12:$C$622, MATCH('Dashboard'!$C$9, 'Dataset_Wisata'!$A$12:$A$622, 0)))) * COS(RADIANS(C116)) * SIN(RADIANS((D116) - INDEX('Dataset_Wisata'!$D$12:$D$622, MATCH('Dashboard'!$C$9, 'Dataset_Wisata'!$A$12:$A$622, 0)))/2)^2)) * 1.3</f>
        <v/>
      </c>
      <c r="J116" s="21">
        <f>ROUND(I116 * IF('Dashboard'!$C$6&lt;=1, 2250, IF('Dashboard'!$C$6&lt;=4, 5150, 6000)), 0)</f>
        <v/>
      </c>
      <c r="K116" s="30" t="n">
        <v>0.9518906050943107</v>
      </c>
      <c r="L116" s="30" t="n">
        <v>0.04169660451397377</v>
      </c>
      <c r="M116" s="30" t="n">
        <v>0.006412790391715545</v>
      </c>
      <c r="N116" s="31">
        <f>ABS(E116-$F$6)</f>
        <v/>
      </c>
      <c r="O116" s="31">
        <f>ABS(E116-$F$7)</f>
        <v/>
      </c>
      <c r="P116" s="31">
        <f>ABS(E116-$F$8)</f>
        <v/>
      </c>
      <c r="Q116" s="14">
        <f>IF(K116&gt;=MAX(L116,M116), "Hemat", IF(L116&gt;=M116, "Balanced", "Premium"))</f>
        <v/>
      </c>
      <c r="R116" s="30" t="n">
        <v>0.9518906082621517</v>
      </c>
      <c r="S116" s="30" t="n">
        <v>0.04169660246361195</v>
      </c>
      <c r="T116" s="30" t="n">
        <v>0.006412789274236485</v>
      </c>
      <c r="U116" s="31">
        <f>ABS(E116-$G$6)</f>
        <v/>
      </c>
      <c r="V116" s="31">
        <f>ABS(E116-$G$7)</f>
        <v/>
      </c>
      <c r="W116" s="31">
        <f>ABS(E116-$G$8)</f>
        <v/>
      </c>
      <c r="X116" s="14">
        <f>IF(R116&gt;=MAX(S116,T116), "Hemat", IF(S116&gt;=T116, "Balanced", "Premium"))</f>
        <v/>
      </c>
    </row>
    <row r="117">
      <c r="A117" s="14" t="n">
        <v>106</v>
      </c>
      <c r="B117" s="7" t="inlineStr">
        <is>
          <t>Depot 29</t>
        </is>
      </c>
      <c r="C117" s="26" t="n">
        <v>-7.865991</v>
      </c>
      <c r="D117" s="26" t="n">
        <v>112.6821414</v>
      </c>
      <c r="E117" s="21" t="n">
        <v>22000</v>
      </c>
      <c r="F117" s="27" t="n">
        <v>4.3</v>
      </c>
      <c r="G117" s="28" t="n">
        <v>2434</v>
      </c>
      <c r="H117" s="14" t="inlineStr">
        <is>
          <t>Wisata Umum</t>
        </is>
      </c>
      <c r="I117" s="29">
        <f>6371 * 2 * ASIN(SQRT(SIN(RADIANS((C117) - INDEX('Dataset_Wisata'!$C$12:$C$622, MATCH('Dashboard'!$C$9, 'Dataset_Wisata'!$A$12:$A$622, 0)))/2)^2 + COS(RADIANS(INDEX('Dataset_Wisata'!$C$12:$C$622, MATCH('Dashboard'!$C$9, 'Dataset_Wisata'!$A$12:$A$622, 0)))) * COS(RADIANS(C117)) * SIN(RADIANS((D117) - INDEX('Dataset_Wisata'!$D$12:$D$622, MATCH('Dashboard'!$C$9, 'Dataset_Wisata'!$A$12:$A$622, 0)))/2)^2)) * 1.3</f>
        <v/>
      </c>
      <c r="J117" s="21">
        <f>ROUND(I117 * IF('Dashboard'!$C$6&lt;=1, 2250, IF('Dashboard'!$C$6&lt;=4, 5150, 6000)), 0)</f>
        <v/>
      </c>
      <c r="K117" s="30" t="n">
        <v>0.1261169361072687</v>
      </c>
      <c r="L117" s="30" t="n">
        <v>0.8607026272442547</v>
      </c>
      <c r="M117" s="30" t="n">
        <v>0.01318043664847662</v>
      </c>
      <c r="N117" s="31">
        <f>ABS(E117-$F$6)</f>
        <v/>
      </c>
      <c r="O117" s="31">
        <f>ABS(E117-$F$7)</f>
        <v/>
      </c>
      <c r="P117" s="31">
        <f>ABS(E117-$F$8)</f>
        <v/>
      </c>
      <c r="Q117" s="14">
        <f>IF(K117&gt;=MAX(L117,M117), "Hemat", IF(L117&gt;=M117, "Balanced", "Premium"))</f>
        <v/>
      </c>
      <c r="R117" s="30" t="n">
        <v>0.126116746000083</v>
      </c>
      <c r="S117" s="30" t="n">
        <v>0.8607028310146635</v>
      </c>
      <c r="T117" s="30" t="n">
        <v>0.01318042298525341</v>
      </c>
      <c r="U117" s="31">
        <f>ABS(E117-$G$6)</f>
        <v/>
      </c>
      <c r="V117" s="31">
        <f>ABS(E117-$G$7)</f>
        <v/>
      </c>
      <c r="W117" s="31">
        <f>ABS(E117-$G$8)</f>
        <v/>
      </c>
      <c r="X117" s="14">
        <f>IF(R117&gt;=MAX(S117,T117), "Hemat", IF(S117&gt;=T117, "Balanced", "Premium"))</f>
        <v/>
      </c>
    </row>
    <row r="118">
      <c r="A118" s="14" t="n">
        <v>107</v>
      </c>
      <c r="B118" s="7" t="inlineStr">
        <is>
          <t>Kambing Pedas Gunung Kawi</t>
        </is>
      </c>
      <c r="C118" s="26" t="n">
        <v>-8.030068399999999</v>
      </c>
      <c r="D118" s="26" t="n">
        <v>112.4956682</v>
      </c>
      <c r="E118" s="21" t="n">
        <v>23500</v>
      </c>
      <c r="F118" s="27" t="n">
        <v>4.6</v>
      </c>
      <c r="G118" s="28" t="n">
        <v>150</v>
      </c>
      <c r="H118" s="14" t="inlineStr">
        <is>
          <t>Kambing Pedas Gunung Kawi</t>
        </is>
      </c>
      <c r="I118" s="29">
        <f>6371 * 2 * ASIN(SQRT(SIN(RADIANS((C118) - INDEX('Dataset_Wisata'!$C$12:$C$622, MATCH('Dashboard'!$C$9, 'Dataset_Wisata'!$A$12:$A$622, 0)))/2)^2 + COS(RADIANS(INDEX('Dataset_Wisata'!$C$12:$C$622, MATCH('Dashboard'!$C$9, 'Dataset_Wisata'!$A$12:$A$622, 0)))) * COS(RADIANS(C118)) * SIN(RADIANS((D118) - INDEX('Dataset_Wisata'!$D$12:$D$622, MATCH('Dashboard'!$C$9, 'Dataset_Wisata'!$A$12:$A$622, 0)))/2)^2)) * 1.3</f>
        <v/>
      </c>
      <c r="J118" s="21">
        <f>ROUND(I118 * IF('Dashboard'!$C$6&lt;=1, 2250, IF('Dashboard'!$C$6&lt;=4, 5150, 6000)), 0)</f>
        <v/>
      </c>
      <c r="K118" s="30" t="n">
        <v>0.03159892309541867</v>
      </c>
      <c r="L118" s="30" t="n">
        <v>0.9633302468708022</v>
      </c>
      <c r="M118" s="30" t="n">
        <v>0.005070830033779156</v>
      </c>
      <c r="N118" s="31">
        <f>ABS(E118-$F$6)</f>
        <v/>
      </c>
      <c r="O118" s="31">
        <f>ABS(E118-$F$7)</f>
        <v/>
      </c>
      <c r="P118" s="31">
        <f>ABS(E118-$F$8)</f>
        <v/>
      </c>
      <c r="Q118" s="14">
        <f>IF(K118&gt;=MAX(L118,M118), "Hemat", IF(L118&gt;=M118, "Balanced", "Premium"))</f>
        <v/>
      </c>
      <c r="R118" s="30" t="n">
        <v>0.03159883143490687</v>
      </c>
      <c r="S118" s="30" t="n">
        <v>0.9633303508663396</v>
      </c>
      <c r="T118" s="30" t="n">
        <v>0.005070817698753561</v>
      </c>
      <c r="U118" s="31">
        <f>ABS(E118-$G$6)</f>
        <v/>
      </c>
      <c r="V118" s="31">
        <f>ABS(E118-$G$7)</f>
        <v/>
      </c>
      <c r="W118" s="31">
        <f>ABS(E118-$G$8)</f>
        <v/>
      </c>
      <c r="X118" s="14">
        <f>IF(R118&gt;=MAX(S118,T118), "Hemat", IF(S118&gt;=T118, "Balanced", "Premium"))</f>
        <v/>
      </c>
    </row>
    <row r="119">
      <c r="A119" s="14" t="n">
        <v>108</v>
      </c>
      <c r="B119" s="7" t="inlineStr">
        <is>
          <t>Warung Makan Buk Mis</t>
        </is>
      </c>
      <c r="C119" s="26" t="n">
        <v>-8.008041</v>
      </c>
      <c r="D119" s="26" t="n">
        <v>112.505953</v>
      </c>
      <c r="E119" s="21" t="n">
        <v>5500</v>
      </c>
      <c r="F119" s="27" t="n">
        <v>4.6</v>
      </c>
      <c r="G119" s="28" t="n">
        <v>22</v>
      </c>
      <c r="H119" s="14" t="inlineStr">
        <is>
          <t>Warung Makan Buk Mis</t>
        </is>
      </c>
      <c r="I119" s="29">
        <f>6371 * 2 * ASIN(SQRT(SIN(RADIANS((C119) - INDEX('Dataset_Wisata'!$C$12:$C$622, MATCH('Dashboard'!$C$9, 'Dataset_Wisata'!$A$12:$A$622, 0)))/2)^2 + COS(RADIANS(INDEX('Dataset_Wisata'!$C$12:$C$622, MATCH('Dashboard'!$C$9, 'Dataset_Wisata'!$A$12:$A$622, 0)))) * COS(RADIANS(C119)) * SIN(RADIANS((D119) - INDEX('Dataset_Wisata'!$D$12:$D$622, MATCH('Dashboard'!$C$9, 'Dataset_Wisata'!$A$12:$A$622, 0)))/2)^2)) * 1.3</f>
        <v/>
      </c>
      <c r="J119" s="21">
        <f>ROUND(I119 * IF('Dashboard'!$C$6&lt;=1, 2250, IF('Dashboard'!$C$6&lt;=4, 5150, 6000)), 0)</f>
        <v/>
      </c>
      <c r="K119" s="30" t="n">
        <v>0.8459605332993823</v>
      </c>
      <c r="L119" s="30" t="n">
        <v>0.127638552571864</v>
      </c>
      <c r="M119" s="30" t="n">
        <v>0.02640091412875367</v>
      </c>
      <c r="N119" s="31">
        <f>ABS(E119-$F$6)</f>
        <v/>
      </c>
      <c r="O119" s="31">
        <f>ABS(E119-$F$7)</f>
        <v/>
      </c>
      <c r="P119" s="31">
        <f>ABS(E119-$F$8)</f>
        <v/>
      </c>
      <c r="Q119" s="14">
        <f>IF(K119&gt;=MAX(L119,M119), "Hemat", IF(L119&gt;=M119, "Balanced", "Premium"))</f>
        <v/>
      </c>
      <c r="R119" s="30" t="n">
        <v>0.845960521443913</v>
      </c>
      <c r="S119" s="30" t="n">
        <v>0.1276385639052893</v>
      </c>
      <c r="T119" s="30" t="n">
        <v>0.02640091465079772</v>
      </c>
      <c r="U119" s="31">
        <f>ABS(E119-$G$6)</f>
        <v/>
      </c>
      <c r="V119" s="31">
        <f>ABS(E119-$G$7)</f>
        <v/>
      </c>
      <c r="W119" s="31">
        <f>ABS(E119-$G$8)</f>
        <v/>
      </c>
      <c r="X119" s="14">
        <f>IF(R119&gt;=MAX(S119,T119), "Hemat", IF(S119&gt;=T119, "Balanced", "Premium"))</f>
        <v/>
      </c>
    </row>
    <row r="120">
      <c r="A120" s="14" t="n">
        <v>109</v>
      </c>
      <c r="B120" s="7" t="inlineStr">
        <is>
          <t>Nasi Goreng Maksum</t>
        </is>
      </c>
      <c r="C120" s="26" t="n">
        <v>-8.0234028</v>
      </c>
      <c r="D120" s="26" t="n">
        <v>112.4919397</v>
      </c>
      <c r="E120" s="21" t="n">
        <v>23500</v>
      </c>
      <c r="F120" s="27" t="n">
        <v>4.7</v>
      </c>
      <c r="G120" s="28" t="n">
        <v>29</v>
      </c>
      <c r="H120" s="14" t="inlineStr">
        <is>
          <t>Wisata Umum</t>
        </is>
      </c>
      <c r="I120" s="29">
        <f>6371 * 2 * ASIN(SQRT(SIN(RADIANS((C120) - INDEX('Dataset_Wisata'!$C$12:$C$622, MATCH('Dashboard'!$C$9, 'Dataset_Wisata'!$A$12:$A$622, 0)))/2)^2 + COS(RADIANS(INDEX('Dataset_Wisata'!$C$12:$C$622, MATCH('Dashboard'!$C$9, 'Dataset_Wisata'!$A$12:$A$622, 0)))) * COS(RADIANS(C120)) * SIN(RADIANS((D120) - INDEX('Dataset_Wisata'!$D$12:$D$622, MATCH('Dashboard'!$C$9, 'Dataset_Wisata'!$A$12:$A$622, 0)))/2)^2)) * 1.3</f>
        <v/>
      </c>
      <c r="J120" s="21">
        <f>ROUND(I120 * IF('Dashboard'!$C$6&lt;=1, 2250, IF('Dashboard'!$C$6&lt;=4, 5150, 6000)), 0)</f>
        <v/>
      </c>
      <c r="K120" s="30" t="n">
        <v>0.03159892309541867</v>
      </c>
      <c r="L120" s="30" t="n">
        <v>0.9633302468708022</v>
      </c>
      <c r="M120" s="30" t="n">
        <v>0.005070830033779156</v>
      </c>
      <c r="N120" s="31">
        <f>ABS(E120-$F$6)</f>
        <v/>
      </c>
      <c r="O120" s="31">
        <f>ABS(E120-$F$7)</f>
        <v/>
      </c>
      <c r="P120" s="31">
        <f>ABS(E120-$F$8)</f>
        <v/>
      </c>
      <c r="Q120" s="14">
        <f>IF(K120&gt;=MAX(L120,M120), "Hemat", IF(L120&gt;=M120, "Balanced", "Premium"))</f>
        <v/>
      </c>
      <c r="R120" s="30" t="n">
        <v>0.03159883143490687</v>
      </c>
      <c r="S120" s="30" t="n">
        <v>0.9633303508663396</v>
      </c>
      <c r="T120" s="30" t="n">
        <v>0.005070817698753561</v>
      </c>
      <c r="U120" s="31">
        <f>ABS(E120-$G$6)</f>
        <v/>
      </c>
      <c r="V120" s="31">
        <f>ABS(E120-$G$7)</f>
        <v/>
      </c>
      <c r="W120" s="31">
        <f>ABS(E120-$G$8)</f>
        <v/>
      </c>
      <c r="X120" s="14">
        <f>IF(R120&gt;=MAX(S120,T120), "Hemat", IF(S120&gt;=T120, "Balanced", "Premium"))</f>
        <v/>
      </c>
    </row>
    <row r="121">
      <c r="A121" s="14" t="n">
        <v>110</v>
      </c>
      <c r="B121" s="7" t="inlineStr">
        <is>
          <t>Ayam Bakar Depot "Anda 12" ꦄꦪꦩ꧀ꦧꦏꦂꦢꦺꦥꦺꦴꦠ꧀ꦄꦤ꧀ꦢ꧇꧑꧒꧇</t>
        </is>
      </c>
      <c r="C121" s="26" t="n">
        <v>-8.0251337</v>
      </c>
      <c r="D121" s="26" t="n">
        <v>112.4936481</v>
      </c>
      <c r="E121" s="21" t="n">
        <v>10000</v>
      </c>
      <c r="F121" s="27" t="n">
        <v>4.3</v>
      </c>
      <c r="G121" s="28" t="n">
        <v>27</v>
      </c>
      <c r="H121" s="14" t="inlineStr">
        <is>
          <t>Wisata Umum</t>
        </is>
      </c>
      <c r="I121" s="29">
        <f>6371 * 2 * ASIN(SQRT(SIN(RADIANS((C121) - INDEX('Dataset_Wisata'!$C$12:$C$622, MATCH('Dashboard'!$C$9, 'Dataset_Wisata'!$A$12:$A$622, 0)))/2)^2 + COS(RADIANS(INDEX('Dataset_Wisata'!$C$12:$C$622, MATCH('Dashboard'!$C$9, 'Dataset_Wisata'!$A$12:$A$622, 0)))) * COS(RADIANS(C121)) * SIN(RADIANS((D121) - INDEX('Dataset_Wisata'!$D$12:$D$622, MATCH('Dashboard'!$C$9, 'Dataset_Wisata'!$A$12:$A$622, 0)))/2)^2)) * 1.3</f>
        <v/>
      </c>
      <c r="J121" s="21">
        <f>ROUND(I121 * IF('Dashboard'!$C$6&lt;=1, 2250, IF('Dashboard'!$C$6&lt;=4, 5150, 6000)), 0)</f>
        <v/>
      </c>
      <c r="K121" s="30" t="n">
        <v>0.9518906050943107</v>
      </c>
      <c r="L121" s="30" t="n">
        <v>0.04169660451397377</v>
      </c>
      <c r="M121" s="30" t="n">
        <v>0.006412790391715545</v>
      </c>
      <c r="N121" s="31">
        <f>ABS(E121-$F$6)</f>
        <v/>
      </c>
      <c r="O121" s="31">
        <f>ABS(E121-$F$7)</f>
        <v/>
      </c>
      <c r="P121" s="31">
        <f>ABS(E121-$F$8)</f>
        <v/>
      </c>
      <c r="Q121" s="14">
        <f>IF(K121&gt;=MAX(L121,M121), "Hemat", IF(L121&gt;=M121, "Balanced", "Premium"))</f>
        <v/>
      </c>
      <c r="R121" s="30" t="n">
        <v>0.9518906082621517</v>
      </c>
      <c r="S121" s="30" t="n">
        <v>0.04169660246361195</v>
      </c>
      <c r="T121" s="30" t="n">
        <v>0.006412789274236485</v>
      </c>
      <c r="U121" s="31">
        <f>ABS(E121-$G$6)</f>
        <v/>
      </c>
      <c r="V121" s="31">
        <f>ABS(E121-$G$7)</f>
        <v/>
      </c>
      <c r="W121" s="31">
        <f>ABS(E121-$G$8)</f>
        <v/>
      </c>
      <c r="X121" s="14">
        <f>IF(R121&gt;=MAX(S121,T121), "Hemat", IF(S121&gt;=T121, "Balanced", "Premium"))</f>
        <v/>
      </c>
    </row>
    <row r="122">
      <c r="A122" s="14" t="n">
        <v>111</v>
      </c>
      <c r="B122" s="7" t="inlineStr">
        <is>
          <t>Warung Nasi Goreng Bu Dami</t>
        </is>
      </c>
      <c r="C122" s="26" t="n">
        <v>-8.0366269</v>
      </c>
      <c r="D122" s="26" t="n">
        <v>112.4995986</v>
      </c>
      <c r="E122" s="21" t="n">
        <v>15000</v>
      </c>
      <c r="F122" s="27" t="n">
        <v>4.2</v>
      </c>
      <c r="G122" s="28" t="n">
        <v>23</v>
      </c>
      <c r="H122" s="14" t="inlineStr">
        <is>
          <t>Warung Nasi Goreng Bu Dami</t>
        </is>
      </c>
      <c r="I122" s="29">
        <f>6371 * 2 * ASIN(SQRT(SIN(RADIANS((C122) - INDEX('Dataset_Wisata'!$C$12:$C$622, MATCH('Dashboard'!$C$9, 'Dataset_Wisata'!$A$12:$A$622, 0)))/2)^2 + COS(RADIANS(INDEX('Dataset_Wisata'!$C$12:$C$622, MATCH('Dashboard'!$C$9, 'Dataset_Wisata'!$A$12:$A$622, 0)))) * COS(RADIANS(C122)) * SIN(RADIANS((D122) - INDEX('Dataset_Wisata'!$D$12:$D$622, MATCH('Dashboard'!$C$9, 'Dataset_Wisata'!$A$12:$A$622, 0)))/2)^2)) * 1.3</f>
        <v/>
      </c>
      <c r="J122" s="21">
        <f>ROUND(I122 * IF('Dashboard'!$C$6&lt;=1, 2250, IF('Dashboard'!$C$6&lt;=4, 5150, 6000)), 0)</f>
        <v/>
      </c>
      <c r="K122" s="30" t="n">
        <v>0.9686283169848018</v>
      </c>
      <c r="L122" s="30" t="n">
        <v>0.02872990537067274</v>
      </c>
      <c r="M122" s="30" t="n">
        <v>0.002641777644525457</v>
      </c>
      <c r="N122" s="31">
        <f>ABS(E122-$F$6)</f>
        <v/>
      </c>
      <c r="O122" s="31">
        <f>ABS(E122-$F$7)</f>
        <v/>
      </c>
      <c r="P122" s="31">
        <f>ABS(E122-$F$8)</f>
        <v/>
      </c>
      <c r="Q122" s="14">
        <f>IF(K122&gt;=MAX(L122,M122), "Hemat", IF(L122&gt;=M122, "Balanced", "Premium"))</f>
        <v/>
      </c>
      <c r="R122" s="30" t="n">
        <v>0.9686282798936615</v>
      </c>
      <c r="S122" s="30" t="n">
        <v>0.02872993996961344</v>
      </c>
      <c r="T122" s="30" t="n">
        <v>0.002641780136725144</v>
      </c>
      <c r="U122" s="31">
        <f>ABS(E122-$G$6)</f>
        <v/>
      </c>
      <c r="V122" s="31">
        <f>ABS(E122-$G$7)</f>
        <v/>
      </c>
      <c r="W122" s="31">
        <f>ABS(E122-$G$8)</f>
        <v/>
      </c>
      <c r="X122" s="14">
        <f>IF(R122&gt;=MAX(S122,T122), "Hemat", IF(S122&gt;=T122, "Balanced", "Premium"))</f>
        <v/>
      </c>
    </row>
    <row r="123">
      <c r="A123" s="14" t="n">
        <v>112</v>
      </c>
      <c r="B123" s="7" t="inlineStr">
        <is>
          <t>Jadid Coffee Malang</t>
        </is>
      </c>
      <c r="C123" s="26" t="n">
        <v>-8.0000979</v>
      </c>
      <c r="D123" s="26" t="n">
        <v>112.4944847</v>
      </c>
      <c r="E123" s="21" t="n">
        <v>20000</v>
      </c>
      <c r="F123" s="27" t="n">
        <v>4.3</v>
      </c>
      <c r="G123" s="28" t="n">
        <v>213</v>
      </c>
      <c r="H123" s="14" t="inlineStr">
        <is>
          <t>Wisata Umum</t>
        </is>
      </c>
      <c r="I123" s="29">
        <f>6371 * 2 * ASIN(SQRT(SIN(RADIANS((C123) - INDEX('Dataset_Wisata'!$C$12:$C$622, MATCH('Dashboard'!$C$9, 'Dataset_Wisata'!$A$12:$A$622, 0)))/2)^2 + COS(RADIANS(INDEX('Dataset_Wisata'!$C$12:$C$622, MATCH('Dashboard'!$C$9, 'Dataset_Wisata'!$A$12:$A$622, 0)))) * COS(RADIANS(C123)) * SIN(RADIANS((D123) - INDEX('Dataset_Wisata'!$D$12:$D$622, MATCH('Dashboard'!$C$9, 'Dataset_Wisata'!$A$12:$A$622, 0)))/2)^2)) * 1.3</f>
        <v/>
      </c>
      <c r="J123" s="21">
        <f>ROUND(I123 * IF('Dashboard'!$C$6&lt;=1, 2250, IF('Dashboard'!$C$6&lt;=4, 5150, 6000)), 0)</f>
        <v/>
      </c>
      <c r="K123" s="30" t="n">
        <v>0.3766864462048385</v>
      </c>
      <c r="L123" s="30" t="n">
        <v>0.6029404273516955</v>
      </c>
      <c r="M123" s="30" t="n">
        <v>0.02037312644346593</v>
      </c>
      <c r="N123" s="31">
        <f>ABS(E123-$F$6)</f>
        <v/>
      </c>
      <c r="O123" s="31">
        <f>ABS(E123-$F$7)</f>
        <v/>
      </c>
      <c r="P123" s="31">
        <f>ABS(E123-$F$8)</f>
        <v/>
      </c>
      <c r="Q123" s="14">
        <f>IF(K123&gt;=MAX(L123,M123), "Hemat", IF(L123&gt;=M123, "Balanced", "Premium"))</f>
        <v/>
      </c>
      <c r="R123" s="30" t="n">
        <v>0.3766861717192874</v>
      </c>
      <c r="S123" s="30" t="n">
        <v>0.6029407066601674</v>
      </c>
      <c r="T123" s="30" t="n">
        <v>0.02037312162054524</v>
      </c>
      <c r="U123" s="31">
        <f>ABS(E123-$G$6)</f>
        <v/>
      </c>
      <c r="V123" s="31">
        <f>ABS(E123-$G$7)</f>
        <v/>
      </c>
      <c r="W123" s="31">
        <f>ABS(E123-$G$8)</f>
        <v/>
      </c>
      <c r="X123" s="14">
        <f>IF(R123&gt;=MAX(S123,T123), "Hemat", IF(S123&gt;=T123, "Balanced", "Premium"))</f>
        <v/>
      </c>
    </row>
    <row r="124">
      <c r="A124" s="14" t="n">
        <v>113</v>
      </c>
      <c r="B124" s="7" t="inlineStr">
        <is>
          <t>DEPOT IJO ROYO-ROYO</t>
        </is>
      </c>
      <c r="C124" s="26" t="n">
        <v>-7.8735747</v>
      </c>
      <c r="D124" s="26" t="n">
        <v>112.5204856</v>
      </c>
      <c r="E124" s="21" t="n">
        <v>22000</v>
      </c>
      <c r="F124" s="27" t="n">
        <v>4.7</v>
      </c>
      <c r="G124" s="28" t="n">
        <v>1041</v>
      </c>
      <c r="H124" s="14" t="inlineStr">
        <is>
          <t>Wisata Umum</t>
        </is>
      </c>
      <c r="I124" s="29">
        <f>6371 * 2 * ASIN(SQRT(SIN(RADIANS((C124) - INDEX('Dataset_Wisata'!$C$12:$C$622, MATCH('Dashboard'!$C$9, 'Dataset_Wisata'!$A$12:$A$622, 0)))/2)^2 + COS(RADIANS(INDEX('Dataset_Wisata'!$C$12:$C$622, MATCH('Dashboard'!$C$9, 'Dataset_Wisata'!$A$12:$A$622, 0)))) * COS(RADIANS(C124)) * SIN(RADIANS((D124) - INDEX('Dataset_Wisata'!$D$12:$D$622, MATCH('Dashboard'!$C$9, 'Dataset_Wisata'!$A$12:$A$622, 0)))/2)^2)) * 1.3</f>
        <v/>
      </c>
      <c r="J124" s="21">
        <f>ROUND(I124 * IF('Dashboard'!$C$6&lt;=1, 2250, IF('Dashboard'!$C$6&lt;=4, 5150, 6000)), 0)</f>
        <v/>
      </c>
      <c r="K124" s="30" t="n">
        <v>0.1261169361072687</v>
      </c>
      <c r="L124" s="30" t="n">
        <v>0.8607026272442547</v>
      </c>
      <c r="M124" s="30" t="n">
        <v>0.01318043664847662</v>
      </c>
      <c r="N124" s="31">
        <f>ABS(E124-$F$6)</f>
        <v/>
      </c>
      <c r="O124" s="31">
        <f>ABS(E124-$F$7)</f>
        <v/>
      </c>
      <c r="P124" s="31">
        <f>ABS(E124-$F$8)</f>
        <v/>
      </c>
      <c r="Q124" s="14">
        <f>IF(K124&gt;=MAX(L124,M124), "Hemat", IF(L124&gt;=M124, "Balanced", "Premium"))</f>
        <v/>
      </c>
      <c r="R124" s="30" t="n">
        <v>0.126116746000083</v>
      </c>
      <c r="S124" s="30" t="n">
        <v>0.8607028310146635</v>
      </c>
      <c r="T124" s="30" t="n">
        <v>0.01318042298525341</v>
      </c>
      <c r="U124" s="31">
        <f>ABS(E124-$G$6)</f>
        <v/>
      </c>
      <c r="V124" s="31">
        <f>ABS(E124-$G$7)</f>
        <v/>
      </c>
      <c r="W124" s="31">
        <f>ABS(E124-$G$8)</f>
        <v/>
      </c>
      <c r="X124" s="14">
        <f>IF(R124&gt;=MAX(S124,T124), "Hemat", IF(S124&gt;=T124, "Balanced", "Premium"))</f>
        <v/>
      </c>
    </row>
    <row r="125">
      <c r="A125" s="14" t="n">
        <v>114</v>
      </c>
      <c r="B125" s="7" t="inlineStr">
        <is>
          <t>Kedai Kopi Mbok gandul tujinem</t>
        </is>
      </c>
      <c r="C125" s="26" t="n">
        <v>-7.9001776</v>
      </c>
      <c r="D125" s="26" t="n">
        <v>112.5180598</v>
      </c>
      <c r="E125" s="21" t="n">
        <v>19000</v>
      </c>
      <c r="F125" s="27" t="n">
        <v>4.5</v>
      </c>
      <c r="G125" s="28" t="n">
        <v>28</v>
      </c>
      <c r="H125" s="14" t="inlineStr">
        <is>
          <t>Wisata Umum</t>
        </is>
      </c>
      <c r="I125" s="29">
        <f>6371 * 2 * ASIN(SQRT(SIN(RADIANS((C125) - INDEX('Dataset_Wisata'!$C$12:$C$622, MATCH('Dashboard'!$C$9, 'Dataset_Wisata'!$A$12:$A$622, 0)))/2)^2 + COS(RADIANS(INDEX('Dataset_Wisata'!$C$12:$C$622, MATCH('Dashboard'!$C$9, 'Dataset_Wisata'!$A$12:$A$622, 0)))) * COS(RADIANS(C125)) * SIN(RADIANS((D125) - INDEX('Dataset_Wisata'!$D$12:$D$622, MATCH('Dashboard'!$C$9, 'Dataset_Wisata'!$A$12:$A$622, 0)))/2)^2)) * 1.3</f>
        <v/>
      </c>
      <c r="J125" s="21">
        <f>ROUND(I125 * IF('Dashboard'!$C$6&lt;=1, 2250, IF('Dashboard'!$C$6&lt;=4, 5150, 6000)), 0)</f>
        <v/>
      </c>
      <c r="K125" s="30" t="n">
        <v>0.5366761769981572</v>
      </c>
      <c r="L125" s="30" t="n">
        <v>0.4435988772155322</v>
      </c>
      <c r="M125" s="30" t="n">
        <v>0.01972494578631066</v>
      </c>
      <c r="N125" s="31">
        <f>ABS(E125-$F$6)</f>
        <v/>
      </c>
      <c r="O125" s="31">
        <f>ABS(E125-$F$7)</f>
        <v/>
      </c>
      <c r="P125" s="31">
        <f>ABS(E125-$F$8)</f>
        <v/>
      </c>
      <c r="Q125" s="14">
        <f>IF(K125&gt;=MAX(L125,M125), "Hemat", IF(L125&gt;=M125, "Balanced", "Premium"))</f>
        <v/>
      </c>
      <c r="R125" s="30" t="n">
        <v>0.5366759174130455</v>
      </c>
      <c r="S125" s="30" t="n">
        <v>0.443599136184954</v>
      </c>
      <c r="T125" s="30" t="n">
        <v>0.01972494640200039</v>
      </c>
      <c r="U125" s="31">
        <f>ABS(E125-$G$6)</f>
        <v/>
      </c>
      <c r="V125" s="31">
        <f>ABS(E125-$G$7)</f>
        <v/>
      </c>
      <c r="W125" s="31">
        <f>ABS(E125-$G$8)</f>
        <v/>
      </c>
      <c r="X125" s="14">
        <f>IF(R125&gt;=MAX(S125,T125), "Hemat", IF(S125&gt;=T125, "Balanced", "Premium"))</f>
        <v/>
      </c>
    </row>
    <row r="126">
      <c r="A126" s="14" t="n">
        <v>115</v>
      </c>
      <c r="B126" s="7" t="inlineStr">
        <is>
          <t>Depot Harapan</t>
        </is>
      </c>
      <c r="C126" s="26" t="n">
        <v>-7.8705041</v>
      </c>
      <c r="D126" s="26" t="n">
        <v>112.5252148</v>
      </c>
      <c r="E126" s="21" t="n">
        <v>20000</v>
      </c>
      <c r="F126" s="27" t="n">
        <v>4.3</v>
      </c>
      <c r="G126" s="28" t="n">
        <v>398</v>
      </c>
      <c r="H126" s="14" t="inlineStr">
        <is>
          <t>Wisata Umum</t>
        </is>
      </c>
      <c r="I126" s="29">
        <f>6371 * 2 * ASIN(SQRT(SIN(RADIANS((C126) - INDEX('Dataset_Wisata'!$C$12:$C$622, MATCH('Dashboard'!$C$9, 'Dataset_Wisata'!$A$12:$A$622, 0)))/2)^2 + COS(RADIANS(INDEX('Dataset_Wisata'!$C$12:$C$622, MATCH('Dashboard'!$C$9, 'Dataset_Wisata'!$A$12:$A$622, 0)))) * COS(RADIANS(C126)) * SIN(RADIANS((D126) - INDEX('Dataset_Wisata'!$D$12:$D$622, MATCH('Dashboard'!$C$9, 'Dataset_Wisata'!$A$12:$A$622, 0)))/2)^2)) * 1.3</f>
        <v/>
      </c>
      <c r="J126" s="21">
        <f>ROUND(I126 * IF('Dashboard'!$C$6&lt;=1, 2250, IF('Dashboard'!$C$6&lt;=4, 5150, 6000)), 0)</f>
        <v/>
      </c>
      <c r="K126" s="30" t="n">
        <v>0.3766864462048385</v>
      </c>
      <c r="L126" s="30" t="n">
        <v>0.6029404273516955</v>
      </c>
      <c r="M126" s="30" t="n">
        <v>0.02037312644346593</v>
      </c>
      <c r="N126" s="31">
        <f>ABS(E126-$F$6)</f>
        <v/>
      </c>
      <c r="O126" s="31">
        <f>ABS(E126-$F$7)</f>
        <v/>
      </c>
      <c r="P126" s="31">
        <f>ABS(E126-$F$8)</f>
        <v/>
      </c>
      <c r="Q126" s="14">
        <f>IF(K126&gt;=MAX(L126,M126), "Hemat", IF(L126&gt;=M126, "Balanced", "Premium"))</f>
        <v/>
      </c>
      <c r="R126" s="30" t="n">
        <v>0.3766861717192874</v>
      </c>
      <c r="S126" s="30" t="n">
        <v>0.6029407066601674</v>
      </c>
      <c r="T126" s="30" t="n">
        <v>0.02037312162054524</v>
      </c>
      <c r="U126" s="31">
        <f>ABS(E126-$G$6)</f>
        <v/>
      </c>
      <c r="V126" s="31">
        <f>ABS(E126-$G$7)</f>
        <v/>
      </c>
      <c r="W126" s="31">
        <f>ABS(E126-$G$8)</f>
        <v/>
      </c>
      <c r="X126" s="14">
        <f>IF(R126&gt;=MAX(S126,T126), "Hemat", IF(S126&gt;=T126, "Balanced", "Premium"))</f>
        <v/>
      </c>
    </row>
    <row r="127">
      <c r="A127" s="14" t="n">
        <v>116</v>
      </c>
      <c r="B127" s="7" t="inlineStr">
        <is>
          <t>Warung Mundu Batu</t>
        </is>
      </c>
      <c r="C127" s="26" t="n">
        <v>-7.8683932</v>
      </c>
      <c r="D127" s="26" t="n">
        <v>112.5130027</v>
      </c>
      <c r="E127" s="21" t="n">
        <v>22750</v>
      </c>
      <c r="F127" s="27" t="n">
        <v>4.7</v>
      </c>
      <c r="G127" s="28" t="n">
        <v>490</v>
      </c>
      <c r="H127" s="14" t="inlineStr">
        <is>
          <t>Warung Mundu Batu</t>
        </is>
      </c>
      <c r="I127" s="29">
        <f>6371 * 2 * ASIN(SQRT(SIN(RADIANS((C127) - INDEX('Dataset_Wisata'!$C$12:$C$622, MATCH('Dashboard'!$C$9, 'Dataset_Wisata'!$A$12:$A$622, 0)))/2)^2 + COS(RADIANS(INDEX('Dataset_Wisata'!$C$12:$C$622, MATCH('Dashboard'!$C$9, 'Dataset_Wisata'!$A$12:$A$622, 0)))) * COS(RADIANS(C127)) * SIN(RADIANS((D127) - INDEX('Dataset_Wisata'!$D$12:$D$622, MATCH('Dashboard'!$C$9, 'Dataset_Wisata'!$A$12:$A$622, 0)))/2)^2)) * 1.3</f>
        <v/>
      </c>
      <c r="J127" s="21">
        <f>ROUND(I127 * IF('Dashboard'!$C$6&lt;=1, 2250, IF('Dashboard'!$C$6&lt;=4, 5150, 6000)), 0)</f>
        <v/>
      </c>
      <c r="K127" s="30" t="n">
        <v>0.06921285110890867</v>
      </c>
      <c r="L127" s="30" t="n">
        <v>0.9217753019006898</v>
      </c>
      <c r="M127" s="30" t="n">
        <v>0.009011846990401421</v>
      </c>
      <c r="N127" s="31">
        <f>ABS(E127-$F$6)</f>
        <v/>
      </c>
      <c r="O127" s="31">
        <f>ABS(E127-$F$7)</f>
        <v/>
      </c>
      <c r="P127" s="31">
        <f>ABS(E127-$F$8)</f>
        <v/>
      </c>
      <c r="Q127" s="14">
        <f>IF(K127&gt;=MAX(L127,M127), "Hemat", IF(L127&gt;=M127, "Balanced", "Premium"))</f>
        <v/>
      </c>
      <c r="R127" s="30" t="n">
        <v>0.06921271103437722</v>
      </c>
      <c r="S127" s="30" t="n">
        <v>0.9217754559927367</v>
      </c>
      <c r="T127" s="30" t="n">
        <v>0.009011832972886146</v>
      </c>
      <c r="U127" s="31">
        <f>ABS(E127-$G$6)</f>
        <v/>
      </c>
      <c r="V127" s="31">
        <f>ABS(E127-$G$7)</f>
        <v/>
      </c>
      <c r="W127" s="31">
        <f>ABS(E127-$G$8)</f>
        <v/>
      </c>
      <c r="X127" s="14">
        <f>IF(R127&gt;=MAX(S127,T127), "Hemat", IF(S127&gt;=T127, "Balanced", "Premium"))</f>
        <v/>
      </c>
    </row>
    <row r="128">
      <c r="A128" s="14" t="n">
        <v>117</v>
      </c>
      <c r="B128" s="7" t="inlineStr">
        <is>
          <t>warung jago suro</t>
        </is>
      </c>
      <c r="C128" s="26" t="n">
        <v>-7.8731864</v>
      </c>
      <c r="D128" s="26" t="n">
        <v>112.5099657</v>
      </c>
      <c r="E128" s="21" t="n">
        <v>12000</v>
      </c>
      <c r="F128" s="27" t="n">
        <v>4.5</v>
      </c>
      <c r="G128" s="28" t="n">
        <v>65</v>
      </c>
      <c r="H128" s="14" t="inlineStr">
        <is>
          <t>warung jago suro</t>
        </is>
      </c>
      <c r="I128" s="29">
        <f>6371 * 2 * ASIN(SQRT(SIN(RADIANS((C128) - INDEX('Dataset_Wisata'!$C$12:$C$622, MATCH('Dashboard'!$C$9, 'Dataset_Wisata'!$A$12:$A$622, 0)))/2)^2 + COS(RADIANS(INDEX('Dataset_Wisata'!$C$12:$C$622, MATCH('Dashboard'!$C$9, 'Dataset_Wisata'!$A$12:$A$622, 0)))) * COS(RADIANS(C128)) * SIN(RADIANS((D128) - INDEX('Dataset_Wisata'!$D$12:$D$622, MATCH('Dashboard'!$C$9, 'Dataset_Wisata'!$A$12:$A$622, 0)))/2)^2)) * 1.3</f>
        <v/>
      </c>
      <c r="J128" s="21">
        <f>ROUND(I128 * IF('Dashboard'!$C$6&lt;=1, 2250, IF('Dashboard'!$C$6&lt;=4, 5150, 6000)), 0)</f>
        <v/>
      </c>
      <c r="K128" s="30" t="n">
        <v>0.9907459480940729</v>
      </c>
      <c r="L128" s="30" t="n">
        <v>0.008195110232283047</v>
      </c>
      <c r="M128" s="30" t="n">
        <v>0.001058941673643979</v>
      </c>
      <c r="N128" s="31">
        <f>ABS(E128-$F$6)</f>
        <v/>
      </c>
      <c r="O128" s="31">
        <f>ABS(E128-$F$7)</f>
        <v/>
      </c>
      <c r="P128" s="31">
        <f>ABS(E128-$F$8)</f>
        <v/>
      </c>
      <c r="Q128" s="14">
        <f>IF(K128&gt;=MAX(L128,M128), "Hemat", IF(L128&gt;=M128, "Balanced", "Premium"))</f>
        <v/>
      </c>
      <c r="R128" s="30" t="n">
        <v>0.9907459543354936</v>
      </c>
      <c r="S128" s="30" t="n">
        <v>0.008195104860105683</v>
      </c>
      <c r="T128" s="30" t="n">
        <v>0.0010589408044008</v>
      </c>
      <c r="U128" s="31">
        <f>ABS(E128-$G$6)</f>
        <v/>
      </c>
      <c r="V128" s="31">
        <f>ABS(E128-$G$7)</f>
        <v/>
      </c>
      <c r="W128" s="31">
        <f>ABS(E128-$G$8)</f>
        <v/>
      </c>
      <c r="X128" s="14">
        <f>IF(R128&gt;=MAX(S128,T128), "Hemat", IF(S128&gt;=T128, "Balanced", "Premium"))</f>
        <v/>
      </c>
    </row>
    <row r="129">
      <c r="A129" s="14" t="n">
        <v>118</v>
      </c>
      <c r="B129" s="7" t="inlineStr">
        <is>
          <t>Warung Sari Rasa 2</t>
        </is>
      </c>
      <c r="C129" s="26" t="n">
        <v>-7.8679884</v>
      </c>
      <c r="D129" s="26" t="n">
        <v>112.4952277</v>
      </c>
      <c r="E129" s="21" t="n">
        <v>18000</v>
      </c>
      <c r="F129" s="27" t="n">
        <v>4.7</v>
      </c>
      <c r="G129" s="28" t="n">
        <v>26</v>
      </c>
      <c r="H129" s="14" t="inlineStr">
        <is>
          <t>Warung Sari Rasa 2</t>
        </is>
      </c>
      <c r="I129" s="29">
        <f>6371 * 2 * ASIN(SQRT(SIN(RADIANS((C129) - INDEX('Dataset_Wisata'!$C$12:$C$622, MATCH('Dashboard'!$C$9, 'Dataset_Wisata'!$A$12:$A$622, 0)))/2)^2 + COS(RADIANS(INDEX('Dataset_Wisata'!$C$12:$C$622, MATCH('Dashboard'!$C$9, 'Dataset_Wisata'!$A$12:$A$622, 0)))) * COS(RADIANS(C129)) * SIN(RADIANS((D129) - INDEX('Dataset_Wisata'!$D$12:$D$622, MATCH('Dashboard'!$C$9, 'Dataset_Wisata'!$A$12:$A$622, 0)))/2)^2)) * 1.3</f>
        <v/>
      </c>
      <c r="J129" s="21">
        <f>ROUND(I129 * IF('Dashboard'!$C$6&lt;=1, 2250, IF('Dashboard'!$C$6&lt;=4, 5150, 6000)), 0)</f>
        <v/>
      </c>
      <c r="K129" s="30" t="n">
        <v>0.6916251733659831</v>
      </c>
      <c r="L129" s="30" t="n">
        <v>0.2920817970297536</v>
      </c>
      <c r="M129" s="30" t="n">
        <v>0.01629302960426341</v>
      </c>
      <c r="N129" s="31">
        <f>ABS(E129-$F$6)</f>
        <v/>
      </c>
      <c r="O129" s="31">
        <f>ABS(E129-$F$7)</f>
        <v/>
      </c>
      <c r="P129" s="31">
        <f>ABS(E129-$F$8)</f>
        <v/>
      </c>
      <c r="Q129" s="14">
        <f>IF(K129&gt;=MAX(L129,M129), "Hemat", IF(L129&gt;=M129, "Balanced", "Premium"))</f>
        <v/>
      </c>
      <c r="R129" s="30" t="n">
        <v>0.6916249652211897</v>
      </c>
      <c r="S129" s="30" t="n">
        <v>0.2920820010799081</v>
      </c>
      <c r="T129" s="30" t="n">
        <v>0.01629303369890229</v>
      </c>
      <c r="U129" s="31">
        <f>ABS(E129-$G$6)</f>
        <v/>
      </c>
      <c r="V129" s="31">
        <f>ABS(E129-$G$7)</f>
        <v/>
      </c>
      <c r="W129" s="31">
        <f>ABS(E129-$G$8)</f>
        <v/>
      </c>
      <c r="X129" s="14">
        <f>IF(R129&gt;=MAX(S129,T129), "Hemat", IF(S129&gt;=T129, "Balanced", "Premium"))</f>
        <v/>
      </c>
    </row>
    <row r="130">
      <c r="A130" s="14" t="n">
        <v>119</v>
      </c>
      <c r="B130" s="7" t="inlineStr">
        <is>
          <t>Dewarung Trunojoyo</t>
        </is>
      </c>
      <c r="C130" s="26" t="n">
        <v>-7.865075</v>
      </c>
      <c r="D130" s="26" t="n">
        <v>112.506924</v>
      </c>
      <c r="E130" s="21" t="n">
        <v>10000</v>
      </c>
      <c r="F130" s="27" t="n">
        <v>4.2</v>
      </c>
      <c r="G130" s="28" t="n">
        <v>488</v>
      </c>
      <c r="H130" s="14" t="inlineStr">
        <is>
          <t>Dewarung Trunojoyo</t>
        </is>
      </c>
      <c r="I130" s="29">
        <f>6371 * 2 * ASIN(SQRT(SIN(RADIANS((C130) - INDEX('Dataset_Wisata'!$C$12:$C$622, MATCH('Dashboard'!$C$9, 'Dataset_Wisata'!$A$12:$A$622, 0)))/2)^2 + COS(RADIANS(INDEX('Dataset_Wisata'!$C$12:$C$622, MATCH('Dashboard'!$C$9, 'Dataset_Wisata'!$A$12:$A$622, 0)))) * COS(RADIANS(C130)) * SIN(RADIANS((D130) - INDEX('Dataset_Wisata'!$D$12:$D$622, MATCH('Dashboard'!$C$9, 'Dataset_Wisata'!$A$12:$A$622, 0)))/2)^2)) * 1.3</f>
        <v/>
      </c>
      <c r="J130" s="21">
        <f>ROUND(I130 * IF('Dashboard'!$C$6&lt;=1, 2250, IF('Dashboard'!$C$6&lt;=4, 5150, 6000)), 0)</f>
        <v/>
      </c>
      <c r="K130" s="30" t="n">
        <v>0.9518906050943107</v>
      </c>
      <c r="L130" s="30" t="n">
        <v>0.04169660451397377</v>
      </c>
      <c r="M130" s="30" t="n">
        <v>0.006412790391715545</v>
      </c>
      <c r="N130" s="31">
        <f>ABS(E130-$F$6)</f>
        <v/>
      </c>
      <c r="O130" s="31">
        <f>ABS(E130-$F$7)</f>
        <v/>
      </c>
      <c r="P130" s="31">
        <f>ABS(E130-$F$8)</f>
        <v/>
      </c>
      <c r="Q130" s="14">
        <f>IF(K130&gt;=MAX(L130,M130), "Hemat", IF(L130&gt;=M130, "Balanced", "Premium"))</f>
        <v/>
      </c>
      <c r="R130" s="30" t="n">
        <v>0.9518906082621517</v>
      </c>
      <c r="S130" s="30" t="n">
        <v>0.04169660246361195</v>
      </c>
      <c r="T130" s="30" t="n">
        <v>0.006412789274236485</v>
      </c>
      <c r="U130" s="31">
        <f>ABS(E130-$G$6)</f>
        <v/>
      </c>
      <c r="V130" s="31">
        <f>ABS(E130-$G$7)</f>
        <v/>
      </c>
      <c r="W130" s="31">
        <f>ABS(E130-$G$8)</f>
        <v/>
      </c>
      <c r="X130" s="14">
        <f>IF(R130&gt;=MAX(S130,T130), "Hemat", IF(S130&gt;=T130, "Balanced", "Premium"))</f>
        <v/>
      </c>
    </row>
    <row r="131">
      <c r="A131" s="14" t="n">
        <v>120</v>
      </c>
      <c r="B131" s="7" t="inlineStr">
        <is>
          <t>Warung Wisata</t>
        </is>
      </c>
      <c r="C131" s="26" t="n">
        <v>-7.8678907</v>
      </c>
      <c r="D131" s="26" t="n">
        <v>112.4952019</v>
      </c>
      <c r="E131" s="21" t="n">
        <v>41337</v>
      </c>
      <c r="F131" s="27" t="n">
        <v>4.6</v>
      </c>
      <c r="G131" s="28" t="n">
        <v>206</v>
      </c>
      <c r="H131" s="14" t="inlineStr">
        <is>
          <t>Warung Wisata</t>
        </is>
      </c>
      <c r="I131" s="29">
        <f>6371 * 2 * ASIN(SQRT(SIN(RADIANS((C131) - INDEX('Dataset_Wisata'!$C$12:$C$622, MATCH('Dashboard'!$C$9, 'Dataset_Wisata'!$A$12:$A$622, 0)))/2)^2 + COS(RADIANS(INDEX('Dataset_Wisata'!$C$12:$C$622, MATCH('Dashboard'!$C$9, 'Dataset_Wisata'!$A$12:$A$622, 0)))) * COS(RADIANS(C131)) * SIN(RADIANS((D131) - INDEX('Dataset_Wisata'!$D$12:$D$622, MATCH('Dashboard'!$C$9, 'Dataset_Wisata'!$A$12:$A$622, 0)))/2)^2)) * 1.3</f>
        <v/>
      </c>
      <c r="J131" s="21">
        <f>ROUND(I131 * IF('Dashboard'!$C$6&lt;=1, 2250, IF('Dashboard'!$C$6&lt;=4, 5150, 6000)), 0)</f>
        <v/>
      </c>
      <c r="K131" s="30" t="n">
        <v>0.05890546999897966</v>
      </c>
      <c r="L131" s="30" t="n">
        <v>0.1825549932779957</v>
      </c>
      <c r="M131" s="30" t="n">
        <v>0.7585395367230247</v>
      </c>
      <c r="N131" s="31">
        <f>ABS(E131-$F$6)</f>
        <v/>
      </c>
      <c r="O131" s="31">
        <f>ABS(E131-$F$7)</f>
        <v/>
      </c>
      <c r="P131" s="31">
        <f>ABS(E131-$F$8)</f>
        <v/>
      </c>
      <c r="Q131" s="14">
        <f>IF(K131&gt;=MAX(L131,M131), "Hemat", IF(L131&gt;=M131, "Balanced", "Premium"))</f>
        <v/>
      </c>
      <c r="R131" s="30" t="n">
        <v>0.05890542092832367</v>
      </c>
      <c r="S131" s="30" t="n">
        <v>0.1825547882242215</v>
      </c>
      <c r="T131" s="30" t="n">
        <v>0.7585397908474548</v>
      </c>
      <c r="U131" s="31">
        <f>ABS(E131-$G$6)</f>
        <v/>
      </c>
      <c r="V131" s="31">
        <f>ABS(E131-$G$7)</f>
        <v/>
      </c>
      <c r="W131" s="31">
        <f>ABS(E131-$G$8)</f>
        <v/>
      </c>
      <c r="X131" s="14">
        <f>IF(R131&gt;=MAX(S131,T131), "Hemat", IF(S131&gt;=T131, "Balanced", "Premium"))</f>
        <v/>
      </c>
    </row>
    <row r="132">
      <c r="A132" s="14" t="n">
        <v>121</v>
      </c>
      <c r="B132" s="7" t="inlineStr">
        <is>
          <t>Depot "Cha Be Ca"</t>
        </is>
      </c>
      <c r="C132" s="26" t="n">
        <v>-7.8685294</v>
      </c>
      <c r="D132" s="26" t="n">
        <v>112.5140099</v>
      </c>
      <c r="E132" s="21" t="n">
        <v>20000</v>
      </c>
      <c r="F132" s="27" t="n">
        <v>4.7</v>
      </c>
      <c r="G132" s="28" t="n">
        <v>41</v>
      </c>
      <c r="H132" s="14" t="inlineStr">
        <is>
          <t>Wisata Umum</t>
        </is>
      </c>
      <c r="I132" s="29">
        <f>6371 * 2 * ASIN(SQRT(SIN(RADIANS((C132) - INDEX('Dataset_Wisata'!$C$12:$C$622, MATCH('Dashboard'!$C$9, 'Dataset_Wisata'!$A$12:$A$622, 0)))/2)^2 + COS(RADIANS(INDEX('Dataset_Wisata'!$C$12:$C$622, MATCH('Dashboard'!$C$9, 'Dataset_Wisata'!$A$12:$A$622, 0)))) * COS(RADIANS(C132)) * SIN(RADIANS((D132) - INDEX('Dataset_Wisata'!$D$12:$D$622, MATCH('Dashboard'!$C$9, 'Dataset_Wisata'!$A$12:$A$622, 0)))/2)^2)) * 1.3</f>
        <v/>
      </c>
      <c r="J132" s="21">
        <f>ROUND(I132 * IF('Dashboard'!$C$6&lt;=1, 2250, IF('Dashboard'!$C$6&lt;=4, 5150, 6000)), 0)</f>
        <v/>
      </c>
      <c r="K132" s="30" t="n">
        <v>0.3766864462048385</v>
      </c>
      <c r="L132" s="30" t="n">
        <v>0.6029404273516955</v>
      </c>
      <c r="M132" s="30" t="n">
        <v>0.02037312644346593</v>
      </c>
      <c r="N132" s="31">
        <f>ABS(E132-$F$6)</f>
        <v/>
      </c>
      <c r="O132" s="31">
        <f>ABS(E132-$F$7)</f>
        <v/>
      </c>
      <c r="P132" s="31">
        <f>ABS(E132-$F$8)</f>
        <v/>
      </c>
      <c r="Q132" s="14">
        <f>IF(K132&gt;=MAX(L132,M132), "Hemat", IF(L132&gt;=M132, "Balanced", "Premium"))</f>
        <v/>
      </c>
      <c r="R132" s="30" t="n">
        <v>0.3766861717192874</v>
      </c>
      <c r="S132" s="30" t="n">
        <v>0.6029407066601674</v>
      </c>
      <c r="T132" s="30" t="n">
        <v>0.02037312162054524</v>
      </c>
      <c r="U132" s="31">
        <f>ABS(E132-$G$6)</f>
        <v/>
      </c>
      <c r="V132" s="31">
        <f>ABS(E132-$G$7)</f>
        <v/>
      </c>
      <c r="W132" s="31">
        <f>ABS(E132-$G$8)</f>
        <v/>
      </c>
      <c r="X132" s="14">
        <f>IF(R132&gt;=MAX(S132,T132), "Hemat", IF(S132&gt;=T132, "Balanced", "Premium"))</f>
        <v/>
      </c>
    </row>
    <row r="133">
      <c r="A133" s="14" t="n">
        <v>122</v>
      </c>
      <c r="B133" s="7" t="inlineStr">
        <is>
          <t>Yoenoes Roti Bakar &amp; STMJ</t>
        </is>
      </c>
      <c r="C133" s="26" t="n">
        <v>-7.8663227</v>
      </c>
      <c r="D133" s="26" t="n">
        <v>112.5106608</v>
      </c>
      <c r="E133" s="21" t="n">
        <v>17000</v>
      </c>
      <c r="F133" s="27" t="n">
        <v>4.4</v>
      </c>
      <c r="G133" s="28" t="n">
        <v>2014</v>
      </c>
      <c r="H133" s="14" t="inlineStr">
        <is>
          <t>Wisata Umum</t>
        </is>
      </c>
      <c r="I133" s="29">
        <f>6371 * 2 * ASIN(SQRT(SIN(RADIANS((C133) - INDEX('Dataset_Wisata'!$C$12:$C$622, MATCH('Dashboard'!$C$9, 'Dataset_Wisata'!$A$12:$A$622, 0)))/2)^2 + COS(RADIANS(INDEX('Dataset_Wisata'!$C$12:$C$622, MATCH('Dashboard'!$C$9, 'Dataset_Wisata'!$A$12:$A$622, 0)))) * COS(RADIANS(C133)) * SIN(RADIANS((D133) - INDEX('Dataset_Wisata'!$D$12:$D$622, MATCH('Dashboard'!$C$9, 'Dataset_Wisata'!$A$12:$A$622, 0)))/2)^2)) * 1.3</f>
        <v/>
      </c>
      <c r="J133" s="21">
        <f>ROUND(I133 * IF('Dashboard'!$C$6&lt;=1, 2250, IF('Dashboard'!$C$6&lt;=4, 5150, 6000)), 0)</f>
        <v/>
      </c>
      <c r="K133" s="30" t="n">
        <v>0.8205766965551228</v>
      </c>
      <c r="L133" s="30" t="n">
        <v>0.1680685555538888</v>
      </c>
      <c r="M133" s="30" t="n">
        <v>0.01135474789098826</v>
      </c>
      <c r="N133" s="31">
        <f>ABS(E133-$F$6)</f>
        <v/>
      </c>
      <c r="O133" s="31">
        <f>ABS(E133-$F$7)</f>
        <v/>
      </c>
      <c r="P133" s="31">
        <f>ABS(E133-$F$8)</f>
        <v/>
      </c>
      <c r="Q133" s="14">
        <f>IF(K133&gt;=MAX(L133,M133), "Hemat", IF(L133&gt;=M133, "Balanced", "Premium"))</f>
        <v/>
      </c>
      <c r="R133" s="30" t="n">
        <v>0.8205765551569555</v>
      </c>
      <c r="S133" s="30" t="n">
        <v>0.1680686919268015</v>
      </c>
      <c r="T133" s="30" t="n">
        <v>0.01135475291624307</v>
      </c>
      <c r="U133" s="31">
        <f>ABS(E133-$G$6)</f>
        <v/>
      </c>
      <c r="V133" s="31">
        <f>ABS(E133-$G$7)</f>
        <v/>
      </c>
      <c r="W133" s="31">
        <f>ABS(E133-$G$8)</f>
        <v/>
      </c>
      <c r="X133" s="14">
        <f>IF(R133&gt;=MAX(S133,T133), "Hemat", IF(S133&gt;=T133, "Balanced", "Premium"))</f>
        <v/>
      </c>
    </row>
    <row r="134">
      <c r="A134" s="14" t="n">
        <v>123</v>
      </c>
      <c r="B134" s="7" t="inlineStr">
        <is>
          <t>Warung Family</t>
        </is>
      </c>
      <c r="C134" s="26" t="n">
        <v>-7.8632579</v>
      </c>
      <c r="D134" s="26" t="n">
        <v>112.4965556</v>
      </c>
      <c r="E134" s="21" t="n">
        <v>16000</v>
      </c>
      <c r="F134" s="27" t="n">
        <v>4.6</v>
      </c>
      <c r="G134" s="28" t="n">
        <v>27</v>
      </c>
      <c r="H134" s="14" t="inlineStr">
        <is>
          <t>Warung Family</t>
        </is>
      </c>
      <c r="I134" s="29">
        <f>6371 * 2 * ASIN(SQRT(SIN(RADIANS((C134) - INDEX('Dataset_Wisata'!$C$12:$C$622, MATCH('Dashboard'!$C$9, 'Dataset_Wisata'!$A$12:$A$622, 0)))/2)^2 + COS(RADIANS(INDEX('Dataset_Wisata'!$C$12:$C$622, MATCH('Dashboard'!$C$9, 'Dataset_Wisata'!$A$12:$A$622, 0)))) * COS(RADIANS(C134)) * SIN(RADIANS((D134) - INDEX('Dataset_Wisata'!$D$12:$D$622, MATCH('Dashboard'!$C$9, 'Dataset_Wisata'!$A$12:$A$622, 0)))/2)^2)) * 1.3</f>
        <v/>
      </c>
      <c r="J134" s="21">
        <f>ROUND(I134 * IF('Dashboard'!$C$6&lt;=1, 2250, IF('Dashboard'!$C$6&lt;=4, 5150, 6000)), 0)</f>
        <v/>
      </c>
      <c r="K134" s="30" t="n">
        <v>0.9128193134184031</v>
      </c>
      <c r="L134" s="30" t="n">
        <v>0.08074863238868506</v>
      </c>
      <c r="M134" s="30" t="n">
        <v>0.006432054192912039</v>
      </c>
      <c r="N134" s="31">
        <f>ABS(E134-$F$6)</f>
        <v/>
      </c>
      <c r="O134" s="31">
        <f>ABS(E134-$F$7)</f>
        <v/>
      </c>
      <c r="P134" s="31">
        <f>ABS(E134-$F$8)</f>
        <v/>
      </c>
      <c r="Q134" s="14">
        <f>IF(K134&gt;=MAX(L134,M134), "Hemat", IF(L134&gt;=M134, "Balanced", "Premium"))</f>
        <v/>
      </c>
      <c r="R134" s="30" t="n">
        <v>0.9128192326410924</v>
      </c>
      <c r="S134" s="30" t="n">
        <v>0.08074870904423974</v>
      </c>
      <c r="T134" s="30" t="n">
        <v>0.006432058314667768</v>
      </c>
      <c r="U134" s="31">
        <f>ABS(E134-$G$6)</f>
        <v/>
      </c>
      <c r="V134" s="31">
        <f>ABS(E134-$G$7)</f>
        <v/>
      </c>
      <c r="W134" s="31">
        <f>ABS(E134-$G$8)</f>
        <v/>
      </c>
      <c r="X134" s="14">
        <f>IF(R134&gt;=MAX(S134,T134), "Hemat", IF(S134&gt;=T134, "Balanced", "Premium"))</f>
        <v/>
      </c>
    </row>
    <row r="135">
      <c r="A135" s="14" t="n">
        <v>124</v>
      </c>
      <c r="B135" s="7" t="inlineStr">
        <is>
          <t>Rumah Makan Cairo</t>
        </is>
      </c>
      <c r="C135" s="26" t="n">
        <v>-7.8689906</v>
      </c>
      <c r="D135" s="26" t="n">
        <v>112.5208458</v>
      </c>
      <c r="E135" s="21" t="n">
        <v>38500</v>
      </c>
      <c r="F135" s="27" t="n">
        <v>4.2</v>
      </c>
      <c r="G135" s="28" t="n">
        <v>641</v>
      </c>
      <c r="H135" s="14" t="inlineStr">
        <is>
          <t>Wisata Umum</t>
        </is>
      </c>
      <c r="I135" s="29">
        <f>6371 * 2 * ASIN(SQRT(SIN(RADIANS((C135) - INDEX('Dataset_Wisata'!$C$12:$C$622, MATCH('Dashboard'!$C$9, 'Dataset_Wisata'!$A$12:$A$622, 0)))/2)^2 + COS(RADIANS(INDEX('Dataset_Wisata'!$C$12:$C$622, MATCH('Dashboard'!$C$9, 'Dataset_Wisata'!$A$12:$A$622, 0)))) * COS(RADIANS(C135)) * SIN(RADIANS((D135) - INDEX('Dataset_Wisata'!$D$12:$D$622, MATCH('Dashboard'!$C$9, 'Dataset_Wisata'!$A$12:$A$622, 0)))/2)^2)) * 1.3</f>
        <v/>
      </c>
      <c r="J135" s="21">
        <f>ROUND(I135 * IF('Dashboard'!$C$6&lt;=1, 2250, IF('Dashboard'!$C$6&lt;=4, 5150, 6000)), 0)</f>
        <v/>
      </c>
      <c r="K135" s="30" t="n">
        <v>0.09693772019448148</v>
      </c>
      <c r="L135" s="30" t="n">
        <v>0.3590827636722561</v>
      </c>
      <c r="M135" s="30" t="n">
        <v>0.5439795161332623</v>
      </c>
      <c r="N135" s="31">
        <f>ABS(E135-$F$6)</f>
        <v/>
      </c>
      <c r="O135" s="31">
        <f>ABS(E135-$F$7)</f>
        <v/>
      </c>
      <c r="P135" s="31">
        <f>ABS(E135-$F$8)</f>
        <v/>
      </c>
      <c r="Q135" s="14">
        <f>IF(K135&gt;=MAX(L135,M135), "Hemat", IF(L135&gt;=M135, "Balanced", "Premium"))</f>
        <v/>
      </c>
      <c r="R135" s="30" t="n">
        <v>0.09693768650441015</v>
      </c>
      <c r="S135" s="30" t="n">
        <v>0.359082510452381</v>
      </c>
      <c r="T135" s="30" t="n">
        <v>0.5439798030432089</v>
      </c>
      <c r="U135" s="31">
        <f>ABS(E135-$G$6)</f>
        <v/>
      </c>
      <c r="V135" s="31">
        <f>ABS(E135-$G$7)</f>
        <v/>
      </c>
      <c r="W135" s="31">
        <f>ABS(E135-$G$8)</f>
        <v/>
      </c>
      <c r="X135" s="14">
        <f>IF(R135&gt;=MAX(S135,T135), "Hemat", IF(S135&gt;=T135, "Balanced", "Premium"))</f>
        <v/>
      </c>
    </row>
    <row r="136">
      <c r="A136" s="14" t="n">
        <v>125</v>
      </c>
      <c r="B136" s="7" t="inlineStr">
        <is>
          <t>Kedai mas billy 2.0</t>
        </is>
      </c>
      <c r="C136" s="26" t="n">
        <v>-7.8731732</v>
      </c>
      <c r="D136" s="26" t="n">
        <v>112.5117611</v>
      </c>
      <c r="E136" s="21" t="n">
        <v>19900</v>
      </c>
      <c r="F136" s="27" t="n">
        <v>4.4</v>
      </c>
      <c r="G136" s="28" t="n">
        <v>54</v>
      </c>
      <c r="H136" s="14" t="inlineStr">
        <is>
          <t>Wisata Umum</t>
        </is>
      </c>
      <c r="I136" s="29">
        <f>6371 * 2 * ASIN(SQRT(SIN(RADIANS((C136) - INDEX('Dataset_Wisata'!$C$12:$C$622, MATCH('Dashboard'!$C$9, 'Dataset_Wisata'!$A$12:$A$622, 0)))/2)^2 + COS(RADIANS(INDEX('Dataset_Wisata'!$C$12:$C$622, MATCH('Dashboard'!$C$9, 'Dataset_Wisata'!$A$12:$A$622, 0)))) * COS(RADIANS(C136)) * SIN(RADIANS((D136) - INDEX('Dataset_Wisata'!$D$12:$D$622, MATCH('Dashboard'!$C$9, 'Dataset_Wisata'!$A$12:$A$622, 0)))/2)^2)) * 1.3</f>
        <v/>
      </c>
      <c r="J136" s="21">
        <f>ROUND(I136 * IF('Dashboard'!$C$6&lt;=1, 2250, IF('Dashboard'!$C$6&lt;=4, 5150, 6000)), 0)</f>
        <v/>
      </c>
      <c r="K136" s="30" t="n">
        <v>0.392220914305311</v>
      </c>
      <c r="L136" s="30" t="n">
        <v>0.5873269470450859</v>
      </c>
      <c r="M136" s="30" t="n">
        <v>0.02045213864960292</v>
      </c>
      <c r="N136" s="31">
        <f>ABS(E136-$F$6)</f>
        <v/>
      </c>
      <c r="O136" s="31">
        <f>ABS(E136-$F$7)</f>
        <v/>
      </c>
      <c r="P136" s="31">
        <f>ABS(E136-$F$8)</f>
        <v/>
      </c>
      <c r="Q136" s="14">
        <f>IF(K136&gt;=MAX(L136,M136), "Hemat", IF(L136&gt;=M136, "Balanced", "Premium"))</f>
        <v/>
      </c>
      <c r="R136" s="30" t="n">
        <v>0.3922206393357184</v>
      </c>
      <c r="S136" s="30" t="n">
        <v>0.5873272262540452</v>
      </c>
      <c r="T136" s="30" t="n">
        <v>0.02045213441023641</v>
      </c>
      <c r="U136" s="31">
        <f>ABS(E136-$G$6)</f>
        <v/>
      </c>
      <c r="V136" s="31">
        <f>ABS(E136-$G$7)</f>
        <v/>
      </c>
      <c r="W136" s="31">
        <f>ABS(E136-$G$8)</f>
        <v/>
      </c>
      <c r="X136" s="14">
        <f>IF(R136&gt;=MAX(S136,T136), "Hemat", IF(S136&gt;=T136, "Balanced", "Premium"))</f>
        <v/>
      </c>
    </row>
    <row r="137">
      <c r="A137" s="14" t="n">
        <v>126</v>
      </c>
      <c r="B137" s="7" t="inlineStr">
        <is>
          <t>De Bamboo Restaurant</t>
        </is>
      </c>
      <c r="C137" s="26" t="n">
        <v>-7.8664436</v>
      </c>
      <c r="D137" s="26" t="n">
        <v>112.5111261</v>
      </c>
      <c r="E137" s="21" t="n">
        <v>51182</v>
      </c>
      <c r="F137" s="27" t="n">
        <v>4.2</v>
      </c>
      <c r="G137" s="28" t="n">
        <v>1883</v>
      </c>
      <c r="H137" s="14" t="inlineStr">
        <is>
          <t>Wisata Umum</t>
        </is>
      </c>
      <c r="I137" s="29">
        <f>6371 * 2 * ASIN(SQRT(SIN(RADIANS((C137) - INDEX('Dataset_Wisata'!$C$12:$C$622, MATCH('Dashboard'!$C$9, 'Dataset_Wisata'!$A$12:$A$622, 0)))/2)^2 + COS(RADIANS(INDEX('Dataset_Wisata'!$C$12:$C$622, MATCH('Dashboard'!$C$9, 'Dataset_Wisata'!$A$12:$A$622, 0)))) * COS(RADIANS(C137)) * SIN(RADIANS((D137) - INDEX('Dataset_Wisata'!$D$12:$D$622, MATCH('Dashboard'!$C$9, 'Dataset_Wisata'!$A$12:$A$622, 0)))/2)^2)) * 1.3</f>
        <v/>
      </c>
      <c r="J137" s="21">
        <f>ROUND(I137 * IF('Dashboard'!$C$6&lt;=1, 2250, IF('Dashboard'!$C$6&lt;=4, 5150, 6000)), 0)</f>
        <v/>
      </c>
      <c r="K137" s="30" t="n">
        <v>0.00277364609187223</v>
      </c>
      <c r="L137" s="30" t="n">
        <v>0.005997453624801813</v>
      </c>
      <c r="M137" s="30" t="n">
        <v>0.9912289002833259</v>
      </c>
      <c r="N137" s="31">
        <f>ABS(E137-$F$6)</f>
        <v/>
      </c>
      <c r="O137" s="31">
        <f>ABS(E137-$F$7)</f>
        <v/>
      </c>
      <c r="P137" s="31">
        <f>ABS(E137-$F$8)</f>
        <v/>
      </c>
      <c r="Q137" s="14">
        <f>IF(K137&gt;=MAX(L137,M137), "Hemat", IF(L137&gt;=M137, "Balanced", "Premium"))</f>
        <v/>
      </c>
      <c r="R137" s="30" t="n">
        <v>0.002773658038798945</v>
      </c>
      <c r="S137" s="30" t="n">
        <v>0.005997478414436692</v>
      </c>
      <c r="T137" s="30" t="n">
        <v>0.9912288635467644</v>
      </c>
      <c r="U137" s="31">
        <f>ABS(E137-$G$6)</f>
        <v/>
      </c>
      <c r="V137" s="31">
        <f>ABS(E137-$G$7)</f>
        <v/>
      </c>
      <c r="W137" s="31">
        <f>ABS(E137-$G$8)</f>
        <v/>
      </c>
      <c r="X137" s="14">
        <f>IF(R137&gt;=MAX(S137,T137), "Hemat", IF(S137&gt;=T137, "Balanced", "Premium"))</f>
        <v/>
      </c>
    </row>
    <row r="138">
      <c r="A138" s="14" t="n">
        <v>127</v>
      </c>
      <c r="B138" s="7" t="inlineStr">
        <is>
          <t>Warung Bang Joe</t>
        </is>
      </c>
      <c r="C138" s="26" t="n">
        <v>-7.8640693</v>
      </c>
      <c r="D138" s="26" t="n">
        <v>112.5065335</v>
      </c>
      <c r="E138" s="21" t="n">
        <v>30000</v>
      </c>
      <c r="F138" s="27" t="n">
        <v>4.4</v>
      </c>
      <c r="G138" s="28" t="n">
        <v>50</v>
      </c>
      <c r="H138" s="14" t="inlineStr">
        <is>
          <t>Warung Bang Joe</t>
        </is>
      </c>
      <c r="I138" s="29">
        <f>6371 * 2 * ASIN(SQRT(SIN(RADIANS((C138) - INDEX('Dataset_Wisata'!$C$12:$C$622, MATCH('Dashboard'!$C$9, 'Dataset_Wisata'!$A$12:$A$622, 0)))/2)^2 + COS(RADIANS(INDEX('Dataset_Wisata'!$C$12:$C$622, MATCH('Dashboard'!$C$9, 'Dataset_Wisata'!$A$12:$A$622, 0)))) * COS(RADIANS(C138)) * SIN(RADIANS((D138) - INDEX('Dataset_Wisata'!$D$12:$D$622, MATCH('Dashboard'!$C$9, 'Dataset_Wisata'!$A$12:$A$622, 0)))/2)^2)) * 1.3</f>
        <v/>
      </c>
      <c r="J138" s="21">
        <f>ROUND(I138 * IF('Dashboard'!$C$6&lt;=1, 2250, IF('Dashboard'!$C$6&lt;=4, 5150, 6000)), 0)</f>
        <v/>
      </c>
      <c r="K138" s="30" t="n">
        <v>0.06726312231076584</v>
      </c>
      <c r="L138" s="30" t="n">
        <v>0.8811909885629753</v>
      </c>
      <c r="M138" s="30" t="n">
        <v>0.05154588912625897</v>
      </c>
      <c r="N138" s="31">
        <f>ABS(E138-$F$6)</f>
        <v/>
      </c>
      <c r="O138" s="31">
        <f>ABS(E138-$F$7)</f>
        <v/>
      </c>
      <c r="P138" s="31">
        <f>ABS(E138-$F$8)</f>
        <v/>
      </c>
      <c r="Q138" s="14">
        <f>IF(K138&gt;=MAX(L138,M138), "Hemat", IF(L138&gt;=M138, "Balanced", "Premium"))</f>
        <v/>
      </c>
      <c r="R138" s="30" t="n">
        <v>0.06726318452674353</v>
      </c>
      <c r="S138" s="30" t="n">
        <v>0.8811908510588695</v>
      </c>
      <c r="T138" s="30" t="n">
        <v>0.05154596441438693</v>
      </c>
      <c r="U138" s="31">
        <f>ABS(E138-$G$6)</f>
        <v/>
      </c>
      <c r="V138" s="31">
        <f>ABS(E138-$G$7)</f>
        <v/>
      </c>
      <c r="W138" s="31">
        <f>ABS(E138-$G$8)</f>
        <v/>
      </c>
      <c r="X138" s="14">
        <f>IF(R138&gt;=MAX(S138,T138), "Hemat", IF(S138&gt;=T138, "Balanced", "Premium"))</f>
        <v/>
      </c>
    </row>
    <row r="139">
      <c r="A139" s="14" t="n">
        <v>128</v>
      </c>
      <c r="B139" s="7" t="inlineStr">
        <is>
          <t>Warung Bu Siti</t>
        </is>
      </c>
      <c r="C139" s="26" t="n">
        <v>-7.8616265</v>
      </c>
      <c r="D139" s="26" t="n">
        <v>112.4954032</v>
      </c>
      <c r="E139" s="21" t="n">
        <v>19500</v>
      </c>
      <c r="F139" s="27" t="n">
        <v>4.4</v>
      </c>
      <c r="G139" s="28" t="n">
        <v>70</v>
      </c>
      <c r="H139" s="14" t="inlineStr">
        <is>
          <t>Warung Bu Siti</t>
        </is>
      </c>
      <c r="I139" s="29">
        <f>6371 * 2 * ASIN(SQRT(SIN(RADIANS((C139) - INDEX('Dataset_Wisata'!$C$12:$C$622, MATCH('Dashboard'!$C$9, 'Dataset_Wisata'!$A$12:$A$622, 0)))/2)^2 + COS(RADIANS(INDEX('Dataset_Wisata'!$C$12:$C$622, MATCH('Dashboard'!$C$9, 'Dataset_Wisata'!$A$12:$A$622, 0)))) * COS(RADIANS(C139)) * SIN(RADIANS((D139) - INDEX('Dataset_Wisata'!$D$12:$D$622, MATCH('Dashboard'!$C$9, 'Dataset_Wisata'!$A$12:$A$622, 0)))/2)^2)) * 1.3</f>
        <v/>
      </c>
      <c r="J139" s="21">
        <f>ROUND(I139 * IF('Dashboard'!$C$6&lt;=1, 2250, IF('Dashboard'!$C$6&lt;=4, 5150, 6000)), 0)</f>
        <v/>
      </c>
      <c r="K139" s="30" t="n">
        <v>0.4557889535565174</v>
      </c>
      <c r="L139" s="30" t="n">
        <v>0.5237659720581146</v>
      </c>
      <c r="M139" s="30" t="n">
        <v>0.02044507438536788</v>
      </c>
      <c r="N139" s="31">
        <f>ABS(E139-$F$6)</f>
        <v/>
      </c>
      <c r="O139" s="31">
        <f>ABS(E139-$F$7)</f>
        <v/>
      </c>
      <c r="P139" s="31">
        <f>ABS(E139-$F$8)</f>
        <v/>
      </c>
      <c r="Q139" s="14">
        <f>IF(K139&gt;=MAX(L139,M139), "Hemat", IF(L139&gt;=M139, "Balanced", "Premium"))</f>
        <v/>
      </c>
      <c r="R139" s="30" t="n">
        <v>0.4557886811023241</v>
      </c>
      <c r="S139" s="30" t="n">
        <v>0.523766246469491</v>
      </c>
      <c r="T139" s="30" t="n">
        <v>0.02044507242818502</v>
      </c>
      <c r="U139" s="31">
        <f>ABS(E139-$G$6)</f>
        <v/>
      </c>
      <c r="V139" s="31">
        <f>ABS(E139-$G$7)</f>
        <v/>
      </c>
      <c r="W139" s="31">
        <f>ABS(E139-$G$8)</f>
        <v/>
      </c>
      <c r="X139" s="14">
        <f>IF(R139&gt;=MAX(S139,T139), "Hemat", IF(S139&gt;=T139, "Balanced", "Premium"))</f>
        <v/>
      </c>
    </row>
    <row r="140">
      <c r="A140" s="14" t="n">
        <v>129</v>
      </c>
      <c r="B140" s="7" t="inlineStr">
        <is>
          <t>Ayam Bakar Bu Mus Kota Batu</t>
        </is>
      </c>
      <c r="C140" s="26" t="n">
        <v>-7.874266</v>
      </c>
      <c r="D140" s="26" t="n">
        <v>112.5102811</v>
      </c>
      <c r="E140" s="21" t="n">
        <v>17500</v>
      </c>
      <c r="F140" s="27" t="n">
        <v>4.6</v>
      </c>
      <c r="G140" s="28" t="n">
        <v>73</v>
      </c>
      <c r="H140" s="14" t="inlineStr">
        <is>
          <t>Wisata Umum</t>
        </is>
      </c>
      <c r="I140" s="29">
        <f>6371 * 2 * ASIN(SQRT(SIN(RADIANS((C140) - INDEX('Dataset_Wisata'!$C$12:$C$622, MATCH('Dashboard'!$C$9, 'Dataset_Wisata'!$A$12:$A$622, 0)))/2)^2 + COS(RADIANS(INDEX('Dataset_Wisata'!$C$12:$C$622, MATCH('Dashboard'!$C$9, 'Dataset_Wisata'!$A$12:$A$622, 0)))) * COS(RADIANS(C140)) * SIN(RADIANS((D140) - INDEX('Dataset_Wisata'!$D$12:$D$622, MATCH('Dashboard'!$C$9, 'Dataset_Wisata'!$A$12:$A$622, 0)))/2)^2)) * 1.3</f>
        <v/>
      </c>
      <c r="J140" s="21">
        <f>ROUND(I140 * IF('Dashboard'!$C$6&lt;=1, 2250, IF('Dashboard'!$C$6&lt;=4, 5150, 6000)), 0)</f>
        <v/>
      </c>
      <c r="K140" s="30" t="n">
        <v>0.7603071924879298</v>
      </c>
      <c r="L140" s="30" t="n">
        <v>0.2257795038870261</v>
      </c>
      <c r="M140" s="30" t="n">
        <v>0.0139133036250441</v>
      </c>
      <c r="N140" s="31">
        <f>ABS(E140-$F$6)</f>
        <v/>
      </c>
      <c r="O140" s="31">
        <f>ABS(E140-$F$7)</f>
        <v/>
      </c>
      <c r="P140" s="31">
        <f>ABS(E140-$F$8)</f>
        <v/>
      </c>
      <c r="Q140" s="14">
        <f>IF(K140&gt;=MAX(L140,M140), "Hemat", IF(L140&gt;=M140, "Balanced", "Premium"))</f>
        <v/>
      </c>
      <c r="R140" s="30" t="n">
        <v>0.7603070173234607</v>
      </c>
      <c r="S140" s="30" t="n">
        <v>0.2257796741964144</v>
      </c>
      <c r="T140" s="30" t="n">
        <v>0.01391330848012476</v>
      </c>
      <c r="U140" s="31">
        <f>ABS(E140-$G$6)</f>
        <v/>
      </c>
      <c r="V140" s="31">
        <f>ABS(E140-$G$7)</f>
        <v/>
      </c>
      <c r="W140" s="31">
        <f>ABS(E140-$G$8)</f>
        <v/>
      </c>
      <c r="X140" s="14">
        <f>IF(R140&gt;=MAX(S140,T140), "Hemat", IF(S140&gt;=T140, "Balanced", "Premium"))</f>
        <v/>
      </c>
    </row>
    <row r="141">
      <c r="A141" s="14" t="n">
        <v>130</v>
      </c>
      <c r="B141" s="7" t="inlineStr">
        <is>
          <t>Warung Bu Mariani</t>
        </is>
      </c>
      <c r="C141" s="26" t="n">
        <v>-7.859017</v>
      </c>
      <c r="D141" s="26" t="n">
        <v>112.509584</v>
      </c>
      <c r="E141" s="21" t="n">
        <v>15000</v>
      </c>
      <c r="F141" s="27" t="n">
        <v>4.5</v>
      </c>
      <c r="G141" s="28" t="n">
        <v>33</v>
      </c>
      <c r="H141" s="14" t="inlineStr">
        <is>
          <t>Warung Bu Mariani</t>
        </is>
      </c>
      <c r="I141" s="29">
        <f>6371 * 2 * ASIN(SQRT(SIN(RADIANS((C141) - INDEX('Dataset_Wisata'!$C$12:$C$622, MATCH('Dashboard'!$C$9, 'Dataset_Wisata'!$A$12:$A$622, 0)))/2)^2 + COS(RADIANS(INDEX('Dataset_Wisata'!$C$12:$C$622, MATCH('Dashboard'!$C$9, 'Dataset_Wisata'!$A$12:$A$622, 0)))) * COS(RADIANS(C141)) * SIN(RADIANS((D141) - INDEX('Dataset_Wisata'!$D$12:$D$622, MATCH('Dashboard'!$C$9, 'Dataset_Wisata'!$A$12:$A$622, 0)))/2)^2)) * 1.3</f>
        <v/>
      </c>
      <c r="J141" s="21">
        <f>ROUND(I141 * IF('Dashboard'!$C$6&lt;=1, 2250, IF('Dashboard'!$C$6&lt;=4, 5150, 6000)), 0)</f>
        <v/>
      </c>
      <c r="K141" s="30" t="n">
        <v>0.9686283169848018</v>
      </c>
      <c r="L141" s="30" t="n">
        <v>0.02872990537067274</v>
      </c>
      <c r="M141" s="30" t="n">
        <v>0.002641777644525457</v>
      </c>
      <c r="N141" s="31">
        <f>ABS(E141-$F$6)</f>
        <v/>
      </c>
      <c r="O141" s="31">
        <f>ABS(E141-$F$7)</f>
        <v/>
      </c>
      <c r="P141" s="31">
        <f>ABS(E141-$F$8)</f>
        <v/>
      </c>
      <c r="Q141" s="14">
        <f>IF(K141&gt;=MAX(L141,M141), "Hemat", IF(L141&gt;=M141, "Balanced", "Premium"))</f>
        <v/>
      </c>
      <c r="R141" s="30" t="n">
        <v>0.9686282798936615</v>
      </c>
      <c r="S141" s="30" t="n">
        <v>0.02872993996961344</v>
      </c>
      <c r="T141" s="30" t="n">
        <v>0.002641780136725144</v>
      </c>
      <c r="U141" s="31">
        <f>ABS(E141-$G$6)</f>
        <v/>
      </c>
      <c r="V141" s="31">
        <f>ABS(E141-$G$7)</f>
        <v/>
      </c>
      <c r="W141" s="31">
        <f>ABS(E141-$G$8)</f>
        <v/>
      </c>
      <c r="X141" s="14">
        <f>IF(R141&gt;=MAX(S141,T141), "Hemat", IF(S141&gt;=T141, "Balanced", "Premium"))</f>
        <v/>
      </c>
    </row>
    <row r="142">
      <c r="A142" s="14" t="n">
        <v>131</v>
      </c>
      <c r="B142" s="7" t="inlineStr">
        <is>
          <t>Soto Ayam Lamongan Pak Pri Morena</t>
        </is>
      </c>
      <c r="C142" s="26" t="n">
        <v>-7.8731938</v>
      </c>
      <c r="D142" s="26" t="n">
        <v>112.5101696</v>
      </c>
      <c r="E142" s="21" t="n">
        <v>22250</v>
      </c>
      <c r="F142" s="27" t="n">
        <v>4.5</v>
      </c>
      <c r="G142" s="28" t="n">
        <v>458</v>
      </c>
      <c r="H142" s="14" t="inlineStr">
        <is>
          <t>Wisata Umum</t>
        </is>
      </c>
      <c r="I142" s="29">
        <f>6371 * 2 * ASIN(SQRT(SIN(RADIANS((C142) - INDEX('Dataset_Wisata'!$C$12:$C$622, MATCH('Dashboard'!$C$9, 'Dataset_Wisata'!$A$12:$A$622, 0)))/2)^2 + COS(RADIANS(INDEX('Dataset_Wisata'!$C$12:$C$622, MATCH('Dashboard'!$C$9, 'Dataset_Wisata'!$A$12:$A$622, 0)))) * COS(RADIANS(C142)) * SIN(RADIANS((D142) - INDEX('Dataset_Wisata'!$D$12:$D$622, MATCH('Dashboard'!$C$9, 'Dataset_Wisata'!$A$12:$A$622, 0)))/2)^2)) * 1.3</f>
        <v/>
      </c>
      <c r="J142" s="21">
        <f>ROUND(I142 * IF('Dashboard'!$C$6&lt;=1, 2250, IF('Dashboard'!$C$6&lt;=4, 5150, 6000)), 0)</f>
        <v/>
      </c>
      <c r="K142" s="30" t="n">
        <v>0.1048512182645485</v>
      </c>
      <c r="L142" s="30" t="n">
        <v>0.8833419980993569</v>
      </c>
      <c r="M142" s="30" t="n">
        <v>0.01180678363609463</v>
      </c>
      <c r="N142" s="31">
        <f>ABS(E142-$F$6)</f>
        <v/>
      </c>
      <c r="O142" s="31">
        <f>ABS(E142-$F$7)</f>
        <v/>
      </c>
      <c r="P142" s="31">
        <f>ABS(E142-$F$8)</f>
        <v/>
      </c>
      <c r="Q142" s="14">
        <f>IF(K142&gt;=MAX(L142,M142), "Hemat", IF(L142&gt;=M142, "Balanced", "Premium"))</f>
        <v/>
      </c>
      <c r="R142" s="30" t="n">
        <v>0.1048510446394496</v>
      </c>
      <c r="S142" s="30" t="n">
        <v>0.8833421857299798</v>
      </c>
      <c r="T142" s="30" t="n">
        <v>0.01180676963057058</v>
      </c>
      <c r="U142" s="31">
        <f>ABS(E142-$G$6)</f>
        <v/>
      </c>
      <c r="V142" s="31">
        <f>ABS(E142-$G$7)</f>
        <v/>
      </c>
      <c r="W142" s="31">
        <f>ABS(E142-$G$8)</f>
        <v/>
      </c>
      <c r="X142" s="14">
        <f>IF(R142&gt;=MAX(S142,T142), "Hemat", IF(S142&gt;=T142, "Balanced", "Premium"))</f>
        <v/>
      </c>
    </row>
    <row r="143">
      <c r="A143" s="14" t="n">
        <v>132</v>
      </c>
      <c r="B143" s="7" t="inlineStr">
        <is>
          <t>DEDUWA OLEH OLEH RESTO DAN TRANSIT</t>
        </is>
      </c>
      <c r="C143" s="26" t="n">
        <v>-7.8660322</v>
      </c>
      <c r="D143" s="26" t="n">
        <v>112.5108618</v>
      </c>
      <c r="E143" s="21" t="n">
        <v>150000</v>
      </c>
      <c r="F143" s="27" t="n">
        <v>4.4</v>
      </c>
      <c r="G143" s="28" t="n">
        <v>696</v>
      </c>
      <c r="H143" s="14" t="inlineStr">
        <is>
          <t>Wisata Umum</t>
        </is>
      </c>
      <c r="I143" s="29">
        <f>6371 * 2 * ASIN(SQRT(SIN(RADIANS((C143) - INDEX('Dataset_Wisata'!$C$12:$C$622, MATCH('Dashboard'!$C$9, 'Dataset_Wisata'!$A$12:$A$622, 0)))/2)^2 + COS(RADIANS(INDEX('Dataset_Wisata'!$C$12:$C$622, MATCH('Dashboard'!$C$9, 'Dataset_Wisata'!$A$12:$A$622, 0)))) * COS(RADIANS(C143)) * SIN(RADIANS((D143) - INDEX('Dataset_Wisata'!$D$12:$D$622, MATCH('Dashboard'!$C$9, 'Dataset_Wisata'!$A$12:$A$622, 0)))/2)^2)) * 1.3</f>
        <v/>
      </c>
      <c r="J143" s="21">
        <f>ROUND(I143 * IF('Dashboard'!$C$6&lt;=1, 2250, IF('Dashboard'!$C$6&lt;=4, 5150, 6000)), 0)</f>
        <v/>
      </c>
      <c r="K143" s="30" t="n">
        <v>0.2472258876776144</v>
      </c>
      <c r="L143" s="30" t="n">
        <v>0.2977643529450966</v>
      </c>
      <c r="M143" s="30" t="n">
        <v>0.455009759377289</v>
      </c>
      <c r="N143" s="31">
        <f>ABS(E143-$F$6)</f>
        <v/>
      </c>
      <c r="O143" s="31">
        <f>ABS(E143-$F$7)</f>
        <v/>
      </c>
      <c r="P143" s="31">
        <f>ABS(E143-$F$8)</f>
        <v/>
      </c>
      <c r="Q143" s="14">
        <f>IF(K143&gt;=MAX(L143,M143), "Hemat", IF(L143&gt;=M143, "Balanced", "Premium"))</f>
        <v/>
      </c>
      <c r="R143" s="30" t="n">
        <v>0.2472258989011803</v>
      </c>
      <c r="S143" s="30" t="n">
        <v>0.2977643564476611</v>
      </c>
      <c r="T143" s="30" t="n">
        <v>0.4550097446511586</v>
      </c>
      <c r="U143" s="31">
        <f>ABS(E143-$G$6)</f>
        <v/>
      </c>
      <c r="V143" s="31">
        <f>ABS(E143-$G$7)</f>
        <v/>
      </c>
      <c r="W143" s="31">
        <f>ABS(E143-$G$8)</f>
        <v/>
      </c>
      <c r="X143" s="14">
        <f>IF(R143&gt;=MAX(S143,T143), "Hemat", IF(S143&gt;=T143, "Balanced", "Premium"))</f>
        <v/>
      </c>
    </row>
    <row r="144">
      <c r="A144" s="14" t="n">
        <v>133</v>
      </c>
      <c r="B144" s="7" t="inlineStr">
        <is>
          <t>Warung Bu Sar</t>
        </is>
      </c>
      <c r="C144" s="26" t="n">
        <v>-7.8689523</v>
      </c>
      <c r="D144" s="26" t="n">
        <v>112.5102679</v>
      </c>
      <c r="E144" s="21" t="n">
        <v>15000</v>
      </c>
      <c r="F144" s="27" t="n">
        <v>4.7</v>
      </c>
      <c r="G144" s="28" t="n">
        <v>122</v>
      </c>
      <c r="H144" s="14" t="inlineStr">
        <is>
          <t>Warung Bu Sar</t>
        </is>
      </c>
      <c r="I144" s="29">
        <f>6371 * 2 * ASIN(SQRT(SIN(RADIANS((C144) - INDEX('Dataset_Wisata'!$C$12:$C$622, MATCH('Dashboard'!$C$9, 'Dataset_Wisata'!$A$12:$A$622, 0)))/2)^2 + COS(RADIANS(INDEX('Dataset_Wisata'!$C$12:$C$622, MATCH('Dashboard'!$C$9, 'Dataset_Wisata'!$A$12:$A$622, 0)))) * COS(RADIANS(C144)) * SIN(RADIANS((D144) - INDEX('Dataset_Wisata'!$D$12:$D$622, MATCH('Dashboard'!$C$9, 'Dataset_Wisata'!$A$12:$A$622, 0)))/2)^2)) * 1.3</f>
        <v/>
      </c>
      <c r="J144" s="21">
        <f>ROUND(I144 * IF('Dashboard'!$C$6&lt;=1, 2250, IF('Dashboard'!$C$6&lt;=4, 5150, 6000)), 0)</f>
        <v/>
      </c>
      <c r="K144" s="30" t="n">
        <v>0.9686283169848018</v>
      </c>
      <c r="L144" s="30" t="n">
        <v>0.02872990537067274</v>
      </c>
      <c r="M144" s="30" t="n">
        <v>0.002641777644525457</v>
      </c>
      <c r="N144" s="31">
        <f>ABS(E144-$F$6)</f>
        <v/>
      </c>
      <c r="O144" s="31">
        <f>ABS(E144-$F$7)</f>
        <v/>
      </c>
      <c r="P144" s="31">
        <f>ABS(E144-$F$8)</f>
        <v/>
      </c>
      <c r="Q144" s="14">
        <f>IF(K144&gt;=MAX(L144,M144), "Hemat", IF(L144&gt;=M144, "Balanced", "Premium"))</f>
        <v/>
      </c>
      <c r="R144" s="30" t="n">
        <v>0.9686282798936615</v>
      </c>
      <c r="S144" s="30" t="n">
        <v>0.02872993996961344</v>
      </c>
      <c r="T144" s="30" t="n">
        <v>0.002641780136725144</v>
      </c>
      <c r="U144" s="31">
        <f>ABS(E144-$G$6)</f>
        <v/>
      </c>
      <c r="V144" s="31">
        <f>ABS(E144-$G$7)</f>
        <v/>
      </c>
      <c r="W144" s="31">
        <f>ABS(E144-$G$8)</f>
        <v/>
      </c>
      <c r="X144" s="14">
        <f>IF(R144&gt;=MAX(S144,T144), "Hemat", IF(S144&gt;=T144, "Balanced", "Premium"))</f>
        <v/>
      </c>
    </row>
    <row r="145">
      <c r="A145" s="14" t="n">
        <v>134</v>
      </c>
      <c r="B145" s="7" t="inlineStr">
        <is>
          <t>Warung Nasi Djamiah Putra</t>
        </is>
      </c>
      <c r="C145" s="26" t="n">
        <v>-7.8688656</v>
      </c>
      <c r="D145" s="26" t="n">
        <v>112.5207095</v>
      </c>
      <c r="E145" s="21" t="n">
        <v>10000</v>
      </c>
      <c r="F145" s="27" t="n">
        <v>4.4</v>
      </c>
      <c r="G145" s="28" t="n">
        <v>1783</v>
      </c>
      <c r="H145" s="14" t="inlineStr">
        <is>
          <t>Warung Nasi Djamiah Putra</t>
        </is>
      </c>
      <c r="I145" s="29">
        <f>6371 * 2 * ASIN(SQRT(SIN(RADIANS((C145) - INDEX('Dataset_Wisata'!$C$12:$C$622, MATCH('Dashboard'!$C$9, 'Dataset_Wisata'!$A$12:$A$622, 0)))/2)^2 + COS(RADIANS(INDEX('Dataset_Wisata'!$C$12:$C$622, MATCH('Dashboard'!$C$9, 'Dataset_Wisata'!$A$12:$A$622, 0)))) * COS(RADIANS(C145)) * SIN(RADIANS((D145) - INDEX('Dataset_Wisata'!$D$12:$D$622, MATCH('Dashboard'!$C$9, 'Dataset_Wisata'!$A$12:$A$622, 0)))/2)^2)) * 1.3</f>
        <v/>
      </c>
      <c r="J145" s="21">
        <f>ROUND(I145 * IF('Dashboard'!$C$6&lt;=1, 2250, IF('Dashboard'!$C$6&lt;=4, 5150, 6000)), 0)</f>
        <v/>
      </c>
      <c r="K145" s="30" t="n">
        <v>0.9518906050943107</v>
      </c>
      <c r="L145" s="30" t="n">
        <v>0.04169660451397377</v>
      </c>
      <c r="M145" s="30" t="n">
        <v>0.006412790391715545</v>
      </c>
      <c r="N145" s="31">
        <f>ABS(E145-$F$6)</f>
        <v/>
      </c>
      <c r="O145" s="31">
        <f>ABS(E145-$F$7)</f>
        <v/>
      </c>
      <c r="P145" s="31">
        <f>ABS(E145-$F$8)</f>
        <v/>
      </c>
      <c r="Q145" s="14">
        <f>IF(K145&gt;=MAX(L145,M145), "Hemat", IF(L145&gt;=M145, "Balanced", "Premium"))</f>
        <v/>
      </c>
      <c r="R145" s="30" t="n">
        <v>0.9518906082621517</v>
      </c>
      <c r="S145" s="30" t="n">
        <v>0.04169660246361195</v>
      </c>
      <c r="T145" s="30" t="n">
        <v>0.006412789274236485</v>
      </c>
      <c r="U145" s="31">
        <f>ABS(E145-$G$6)</f>
        <v/>
      </c>
      <c r="V145" s="31">
        <f>ABS(E145-$G$7)</f>
        <v/>
      </c>
      <c r="W145" s="31">
        <f>ABS(E145-$G$8)</f>
        <v/>
      </c>
      <c r="X145" s="14">
        <f>IF(R145&gt;=MAX(S145,T145), "Hemat", IF(S145&gt;=T145, "Balanced", "Premium"))</f>
        <v/>
      </c>
    </row>
    <row r="146">
      <c r="A146" s="14" t="n">
        <v>135</v>
      </c>
      <c r="B146" s="7" t="inlineStr">
        <is>
          <t>Warung Sate Kelinci P.Atim</t>
        </is>
      </c>
      <c r="C146" s="26" t="n">
        <v>-7.8691099</v>
      </c>
      <c r="D146" s="26" t="n">
        <v>112.5097119</v>
      </c>
      <c r="E146" s="21" t="n">
        <v>16000</v>
      </c>
      <c r="F146" s="27" t="n">
        <v>4.8</v>
      </c>
      <c r="G146" s="28" t="n">
        <v>74</v>
      </c>
      <c r="H146" s="14" t="inlineStr">
        <is>
          <t>Warung Sate Kelinci P.Atim</t>
        </is>
      </c>
      <c r="I146" s="29">
        <f>6371 * 2 * ASIN(SQRT(SIN(RADIANS((C146) - INDEX('Dataset_Wisata'!$C$12:$C$622, MATCH('Dashboard'!$C$9, 'Dataset_Wisata'!$A$12:$A$622, 0)))/2)^2 + COS(RADIANS(INDEX('Dataset_Wisata'!$C$12:$C$622, MATCH('Dashboard'!$C$9, 'Dataset_Wisata'!$A$12:$A$622, 0)))) * COS(RADIANS(C146)) * SIN(RADIANS((D146) - INDEX('Dataset_Wisata'!$D$12:$D$622, MATCH('Dashboard'!$C$9, 'Dataset_Wisata'!$A$12:$A$622, 0)))/2)^2)) * 1.3</f>
        <v/>
      </c>
      <c r="J146" s="21">
        <f>ROUND(I146 * IF('Dashboard'!$C$6&lt;=1, 2250, IF('Dashboard'!$C$6&lt;=4, 5150, 6000)), 0)</f>
        <v/>
      </c>
      <c r="K146" s="30" t="n">
        <v>0.9128193134184031</v>
      </c>
      <c r="L146" s="30" t="n">
        <v>0.08074863238868506</v>
      </c>
      <c r="M146" s="30" t="n">
        <v>0.006432054192912039</v>
      </c>
      <c r="N146" s="31">
        <f>ABS(E146-$F$6)</f>
        <v/>
      </c>
      <c r="O146" s="31">
        <f>ABS(E146-$F$7)</f>
        <v/>
      </c>
      <c r="P146" s="31">
        <f>ABS(E146-$F$8)</f>
        <v/>
      </c>
      <c r="Q146" s="14">
        <f>IF(K146&gt;=MAX(L146,M146), "Hemat", IF(L146&gt;=M146, "Balanced", "Premium"))</f>
        <v/>
      </c>
      <c r="R146" s="30" t="n">
        <v>0.9128192326410924</v>
      </c>
      <c r="S146" s="30" t="n">
        <v>0.08074870904423974</v>
      </c>
      <c r="T146" s="30" t="n">
        <v>0.006432058314667768</v>
      </c>
      <c r="U146" s="31">
        <f>ABS(E146-$G$6)</f>
        <v/>
      </c>
      <c r="V146" s="31">
        <f>ABS(E146-$G$7)</f>
        <v/>
      </c>
      <c r="W146" s="31">
        <f>ABS(E146-$G$8)</f>
        <v/>
      </c>
      <c r="X146" s="14">
        <f>IF(R146&gt;=MAX(S146,T146), "Hemat", IF(S146&gt;=T146, "Balanced", "Premium"))</f>
        <v/>
      </c>
    </row>
    <row r="147">
      <c r="A147" s="14" t="n">
        <v>136</v>
      </c>
      <c r="B147" s="7" t="inlineStr">
        <is>
          <t>Depot Gloria</t>
        </is>
      </c>
      <c r="C147" s="26" t="n">
        <v>-7.8736048</v>
      </c>
      <c r="D147" s="26" t="n">
        <v>112.517035</v>
      </c>
      <c r="E147" s="21" t="n">
        <v>21000</v>
      </c>
      <c r="F147" s="27" t="n">
        <v>4</v>
      </c>
      <c r="G147" s="28" t="n">
        <v>98</v>
      </c>
      <c r="H147" s="14" t="inlineStr">
        <is>
          <t>Wisata Umum</t>
        </is>
      </c>
      <c r="I147" s="29">
        <f>6371 * 2 * ASIN(SQRT(SIN(RADIANS((C147) - INDEX('Dataset_Wisata'!$C$12:$C$622, MATCH('Dashboard'!$C$9, 'Dataset_Wisata'!$A$12:$A$622, 0)))/2)^2 + COS(RADIANS(INDEX('Dataset_Wisata'!$C$12:$C$622, MATCH('Dashboard'!$C$9, 'Dataset_Wisata'!$A$12:$A$622, 0)))) * COS(RADIANS(C147)) * SIN(RADIANS((D147) - INDEX('Dataset_Wisata'!$D$12:$D$622, MATCH('Dashboard'!$C$9, 'Dataset_Wisata'!$A$12:$A$622, 0)))/2)^2)) * 1.3</f>
        <v/>
      </c>
      <c r="J147" s="21">
        <f>ROUND(I147 * IF('Dashboard'!$C$6&lt;=1, 2250, IF('Dashboard'!$C$6&lt;=4, 5150, 6000)), 0)</f>
        <v/>
      </c>
      <c r="K147" s="30" t="n">
        <v>0.2347222334369035</v>
      </c>
      <c r="L147" s="30" t="n">
        <v>0.7473572719448701</v>
      </c>
      <c r="M147" s="30" t="n">
        <v>0.01792049461822643</v>
      </c>
      <c r="N147" s="31">
        <f>ABS(E147-$F$6)</f>
        <v/>
      </c>
      <c r="O147" s="31">
        <f>ABS(E147-$F$7)</f>
        <v/>
      </c>
      <c r="P147" s="31">
        <f>ABS(E147-$F$8)</f>
        <v/>
      </c>
      <c r="Q147" s="14">
        <f>IF(K147&gt;=MAX(L147,M147), "Hemat", IF(L147&gt;=M147, "Balanced", "Premium"))</f>
        <v/>
      </c>
      <c r="R147" s="30" t="n">
        <v>0.2347219863641389</v>
      </c>
      <c r="S147" s="30" t="n">
        <v>0.7473575293118924</v>
      </c>
      <c r="T147" s="30" t="n">
        <v>0.0179204843239686</v>
      </c>
      <c r="U147" s="31">
        <f>ABS(E147-$G$6)</f>
        <v/>
      </c>
      <c r="V147" s="31">
        <f>ABS(E147-$G$7)</f>
        <v/>
      </c>
      <c r="W147" s="31">
        <f>ABS(E147-$G$8)</f>
        <v/>
      </c>
      <c r="X147" s="14">
        <f>IF(R147&gt;=MAX(S147,T147), "Hemat", IF(S147&gt;=T147, "Balanced", "Premium"))</f>
        <v/>
      </c>
    </row>
    <row r="148">
      <c r="A148" s="14" t="n">
        <v>137</v>
      </c>
      <c r="B148" s="7" t="inlineStr">
        <is>
          <t>Warung Sate B. Anik</t>
        </is>
      </c>
      <c r="C148" s="26" t="n">
        <v>-7.8645745</v>
      </c>
      <c r="D148" s="26" t="n">
        <v>112.5038765</v>
      </c>
      <c r="E148" s="21" t="n">
        <v>25000</v>
      </c>
      <c r="F148" s="27" t="n">
        <v>4.7</v>
      </c>
      <c r="G148" s="28" t="n">
        <v>31</v>
      </c>
      <c r="H148" s="14" t="inlineStr">
        <is>
          <t>Warung Sate B. Anik</t>
        </is>
      </c>
      <c r="I148" s="29">
        <f>6371 * 2 * ASIN(SQRT(SIN(RADIANS((C148) - INDEX('Dataset_Wisata'!$C$12:$C$622, MATCH('Dashboard'!$C$9, 'Dataset_Wisata'!$A$12:$A$622, 0)))/2)^2 + COS(RADIANS(INDEX('Dataset_Wisata'!$C$12:$C$622, MATCH('Dashboard'!$C$9, 'Dataset_Wisata'!$A$12:$A$622, 0)))) * COS(RADIANS(C148)) * SIN(RADIANS((D148) - INDEX('Dataset_Wisata'!$D$12:$D$622, MATCH('Dashboard'!$C$9, 'Dataset_Wisata'!$A$12:$A$622, 0)))/2)^2)) * 1.3</f>
        <v/>
      </c>
      <c r="J148" s="21">
        <f>ROUND(I148 * IF('Dashboard'!$C$6&lt;=1, 2250, IF('Dashboard'!$C$6&lt;=4, 5150, 6000)), 0)</f>
        <v/>
      </c>
      <c r="K148" s="30" t="n">
        <v>0.0009460509590550509</v>
      </c>
      <c r="L148" s="30" t="n">
        <v>0.9988291129147837</v>
      </c>
      <c r="M148" s="30" t="n">
        <v>0.0002248361261612175</v>
      </c>
      <c r="N148" s="31">
        <f>ABS(E148-$F$6)</f>
        <v/>
      </c>
      <c r="O148" s="31">
        <f>ABS(E148-$F$7)</f>
        <v/>
      </c>
      <c r="P148" s="31">
        <f>ABS(E148-$F$8)</f>
        <v/>
      </c>
      <c r="Q148" s="14">
        <f>IF(K148&gt;=MAX(L148,M148), "Hemat", IF(L148&gt;=M148, "Balanced", "Premium"))</f>
        <v/>
      </c>
      <c r="R148" s="30" t="n">
        <v>0.0009460368639408893</v>
      </c>
      <c r="S148" s="30" t="n">
        <v>0.998829130253259</v>
      </c>
      <c r="T148" s="30" t="n">
        <v>0.0002248328828000856</v>
      </c>
      <c r="U148" s="31">
        <f>ABS(E148-$G$6)</f>
        <v/>
      </c>
      <c r="V148" s="31">
        <f>ABS(E148-$G$7)</f>
        <v/>
      </c>
      <c r="W148" s="31">
        <f>ABS(E148-$G$8)</f>
        <v/>
      </c>
      <c r="X148" s="14">
        <f>IF(R148&gt;=MAX(S148,T148), "Hemat", IF(S148&gt;=T148, "Balanced", "Premium"))</f>
        <v/>
      </c>
    </row>
    <row r="149">
      <c r="A149" s="14" t="n">
        <v>138</v>
      </c>
      <c r="B149" s="7" t="inlineStr">
        <is>
          <t>KIKIL SAPI Ario SAMBA</t>
        </is>
      </c>
      <c r="C149" s="26" t="n">
        <v>-7.8717977</v>
      </c>
      <c r="D149" s="26" t="n">
        <v>112.5102417</v>
      </c>
      <c r="E149" s="21" t="n">
        <v>7000</v>
      </c>
      <c r="F149" s="27" t="n">
        <v>4.7</v>
      </c>
      <c r="G149" s="28" t="n">
        <v>247</v>
      </c>
      <c r="H149" s="14" t="inlineStr">
        <is>
          <t>Wisata Umum</t>
        </is>
      </c>
      <c r="I149" s="29">
        <f>6371 * 2 * ASIN(SQRT(SIN(RADIANS((C149) - INDEX('Dataset_Wisata'!$C$12:$C$622, MATCH('Dashboard'!$C$9, 'Dataset_Wisata'!$A$12:$A$622, 0)))/2)^2 + COS(RADIANS(INDEX('Dataset_Wisata'!$C$12:$C$622, MATCH('Dashboard'!$C$9, 'Dataset_Wisata'!$A$12:$A$622, 0)))) * COS(RADIANS(C149)) * SIN(RADIANS((D149) - INDEX('Dataset_Wisata'!$D$12:$D$622, MATCH('Dashboard'!$C$9, 'Dataset_Wisata'!$A$12:$A$622, 0)))/2)^2)) * 1.3</f>
        <v/>
      </c>
      <c r="J149" s="21">
        <f>ROUND(I149 * IF('Dashboard'!$C$6&lt;=1, 2250, IF('Dashboard'!$C$6&lt;=4, 5150, 6000)), 0)</f>
        <v/>
      </c>
      <c r="K149" s="30" t="n">
        <v>0.8800610026243881</v>
      </c>
      <c r="L149" s="30" t="n">
        <v>0.1008247459749515</v>
      </c>
      <c r="M149" s="30" t="n">
        <v>0.01911425140066042</v>
      </c>
      <c r="N149" s="31">
        <f>ABS(E149-$F$6)</f>
        <v/>
      </c>
      <c r="O149" s="31">
        <f>ABS(E149-$F$7)</f>
        <v/>
      </c>
      <c r="P149" s="31">
        <f>ABS(E149-$F$8)</f>
        <v/>
      </c>
      <c r="Q149" s="14">
        <f>IF(K149&gt;=MAX(L149,M149), "Hemat", IF(L149&gt;=M149, "Balanced", "Premium"))</f>
        <v/>
      </c>
      <c r="R149" s="30" t="n">
        <v>0.8800609951219469</v>
      </c>
      <c r="S149" s="30" t="n">
        <v>0.1008247536305651</v>
      </c>
      <c r="T149" s="30" t="n">
        <v>0.019114251247488</v>
      </c>
      <c r="U149" s="31">
        <f>ABS(E149-$G$6)</f>
        <v/>
      </c>
      <c r="V149" s="31">
        <f>ABS(E149-$G$7)</f>
        <v/>
      </c>
      <c r="W149" s="31">
        <f>ABS(E149-$G$8)</f>
        <v/>
      </c>
      <c r="X149" s="14">
        <f>IF(R149&gt;=MAX(S149,T149), "Hemat", IF(S149&gt;=T149, "Balanced", "Premium"))</f>
        <v/>
      </c>
    </row>
    <row r="150">
      <c r="A150" s="14" t="n">
        <v>139</v>
      </c>
      <c r="B150" s="7" t="inlineStr">
        <is>
          <t>Sate madura pak badri</t>
        </is>
      </c>
      <c r="C150" s="26" t="n">
        <v>-7.8646708</v>
      </c>
      <c r="D150" s="26" t="n">
        <v>112.5061808</v>
      </c>
      <c r="E150" s="21" t="n">
        <v>22500</v>
      </c>
      <c r="F150" s="27" t="n">
        <v>4.4</v>
      </c>
      <c r="G150" s="28" t="n">
        <v>26</v>
      </c>
      <c r="H150" s="14" t="inlineStr">
        <is>
          <t>Wisata Umum</t>
        </is>
      </c>
      <c r="I150" s="29">
        <f>6371 * 2 * ASIN(SQRT(SIN(RADIANS((C150) - INDEX('Dataset_Wisata'!$C$12:$C$622, MATCH('Dashboard'!$C$9, 'Dataset_Wisata'!$A$12:$A$622, 0)))/2)^2 + COS(RADIANS(INDEX('Dataset_Wisata'!$C$12:$C$622, MATCH('Dashboard'!$C$9, 'Dataset_Wisata'!$A$12:$A$622, 0)))) * COS(RADIANS(C150)) * SIN(RADIANS((D150) - INDEX('Dataset_Wisata'!$D$12:$D$622, MATCH('Dashboard'!$C$9, 'Dataset_Wisata'!$A$12:$A$622, 0)))/2)^2)) * 1.3</f>
        <v/>
      </c>
      <c r="J150" s="21">
        <f>ROUND(I150 * IF('Dashboard'!$C$6&lt;=1, 2250, IF('Dashboard'!$C$6&lt;=4, 5150, 6000)), 0)</f>
        <v/>
      </c>
      <c r="K150" s="30" t="n">
        <v>0.08590721818578816</v>
      </c>
      <c r="L150" s="30" t="n">
        <v>0.9036840196741893</v>
      </c>
      <c r="M150" s="30" t="n">
        <v>0.01040876214002235</v>
      </c>
      <c r="N150" s="31">
        <f>ABS(E150-$F$6)</f>
        <v/>
      </c>
      <c r="O150" s="31">
        <f>ABS(E150-$F$7)</f>
        <v/>
      </c>
      <c r="P150" s="31">
        <f>ABS(E150-$F$8)</f>
        <v/>
      </c>
      <c r="Q150" s="14">
        <f>IF(K150&gt;=MAX(L150,M150), "Hemat", IF(L150&gt;=M150, "Balanced", "Premium"))</f>
        <v/>
      </c>
      <c r="R150" s="30" t="n">
        <v>0.08590706132500794</v>
      </c>
      <c r="S150" s="30" t="n">
        <v>0.9036841906599963</v>
      </c>
      <c r="T150" s="30" t="n">
        <v>0.01040874801499566</v>
      </c>
      <c r="U150" s="31">
        <f>ABS(E150-$G$6)</f>
        <v/>
      </c>
      <c r="V150" s="31">
        <f>ABS(E150-$G$7)</f>
        <v/>
      </c>
      <c r="W150" s="31">
        <f>ABS(E150-$G$8)</f>
        <v/>
      </c>
      <c r="X150" s="14">
        <f>IF(R150&gt;=MAX(S150,T150), "Hemat", IF(S150&gt;=T150, "Balanced", "Premium"))</f>
        <v/>
      </c>
    </row>
    <row r="151">
      <c r="A151" s="14" t="n">
        <v>140</v>
      </c>
      <c r="B151" s="7" t="inlineStr">
        <is>
          <t>A-yem Tiamkopi</t>
        </is>
      </c>
      <c r="C151" s="26" t="n">
        <v>-7.8657243</v>
      </c>
      <c r="D151" s="26" t="n">
        <v>112.5105723</v>
      </c>
      <c r="E151" s="21" t="n">
        <v>49665</v>
      </c>
      <c r="F151" s="27" t="n">
        <v>5</v>
      </c>
      <c r="G151" s="28" t="n">
        <v>44</v>
      </c>
      <c r="H151" s="14" t="inlineStr">
        <is>
          <t>Restoran · Jl. Indragiri</t>
        </is>
      </c>
      <c r="I151" s="29">
        <f>6371 * 2 * ASIN(SQRT(SIN(RADIANS((C151) - INDEX('Dataset_Wisata'!$C$12:$C$622, MATCH('Dashboard'!$C$9, 'Dataset_Wisata'!$A$12:$A$622, 0)))/2)^2 + COS(RADIANS(INDEX('Dataset_Wisata'!$C$12:$C$622, MATCH('Dashboard'!$C$9, 'Dataset_Wisata'!$A$12:$A$622, 0)))) * COS(RADIANS(C151)) * SIN(RADIANS((D151) - INDEX('Dataset_Wisata'!$D$12:$D$622, MATCH('Dashboard'!$C$9, 'Dataset_Wisata'!$A$12:$A$622, 0)))/2)^2)) * 1.3</f>
        <v/>
      </c>
      <c r="J151" s="21">
        <f>ROUND(I151 * IF('Dashboard'!$C$6&lt;=1, 2250, IF('Dashboard'!$C$6&lt;=4, 5150, 6000)), 0)</f>
        <v/>
      </c>
      <c r="K151" s="30" t="n">
        <v>0.0001816153987146711</v>
      </c>
      <c r="L151" s="30" t="n">
        <v>0.0004085496656930779</v>
      </c>
      <c r="M151" s="30" t="n">
        <v>0.9994098349355922</v>
      </c>
      <c r="N151" s="31">
        <f>ABS(E151-$F$6)</f>
        <v/>
      </c>
      <c r="O151" s="31">
        <f>ABS(E151-$F$7)</f>
        <v/>
      </c>
      <c r="P151" s="31">
        <f>ABS(E151-$F$8)</f>
        <v/>
      </c>
      <c r="Q151" s="14">
        <f>IF(K151&gt;=MAX(L151,M151), "Hemat", IF(L151&gt;=M151, "Balanced", "Premium"))</f>
        <v/>
      </c>
      <c r="R151" s="30" t="n">
        <v>0.0001816186405993693</v>
      </c>
      <c r="S151" s="30" t="n">
        <v>0.0004085568826271137</v>
      </c>
      <c r="T151" s="30" t="n">
        <v>0.9994098244767735</v>
      </c>
      <c r="U151" s="31">
        <f>ABS(E151-$G$6)</f>
        <v/>
      </c>
      <c r="V151" s="31">
        <f>ABS(E151-$G$7)</f>
        <v/>
      </c>
      <c r="W151" s="31">
        <f>ABS(E151-$G$8)</f>
        <v/>
      </c>
      <c r="X151" s="14">
        <f>IF(R151&gt;=MAX(S151,T151), "Hemat", IF(S151&gt;=T151, "Balanced", "Premium"))</f>
        <v/>
      </c>
    </row>
    <row r="152">
      <c r="A152" s="14" t="n">
        <v>141</v>
      </c>
      <c r="B152" s="7" t="inlineStr">
        <is>
          <t>Angkringan Asli Jogja</t>
        </is>
      </c>
      <c r="C152" s="26" t="n">
        <v>-7.8690354</v>
      </c>
      <c r="D152" s="26" t="n">
        <v>112.5101591</v>
      </c>
      <c r="E152" s="21" t="n">
        <v>5000</v>
      </c>
      <c r="F152" s="27" t="n">
        <v>4.5</v>
      </c>
      <c r="G152" s="28" t="n">
        <v>36</v>
      </c>
      <c r="H152" s="14" t="inlineStr">
        <is>
          <t>Wisata Umum</t>
        </is>
      </c>
      <c r="I152" s="29">
        <f>6371 * 2 * ASIN(SQRT(SIN(RADIANS((C152) - INDEX('Dataset_Wisata'!$C$12:$C$622, MATCH('Dashboard'!$C$9, 'Dataset_Wisata'!$A$12:$A$622, 0)))/2)^2 + COS(RADIANS(INDEX('Dataset_Wisata'!$C$12:$C$622, MATCH('Dashboard'!$C$9, 'Dataset_Wisata'!$A$12:$A$622, 0)))) * COS(RADIANS(C152)) * SIN(RADIANS((D152) - INDEX('Dataset_Wisata'!$D$12:$D$622, MATCH('Dashboard'!$C$9, 'Dataset_Wisata'!$A$12:$A$622, 0)))/2)^2)) * 1.3</f>
        <v/>
      </c>
      <c r="J152" s="21">
        <f>ROUND(I152 * IF('Dashboard'!$C$6&lt;=1, 2250, IF('Dashboard'!$C$6&lt;=4, 5150, 6000)), 0)</f>
        <v/>
      </c>
      <c r="K152" s="30" t="n">
        <v>0.8351711450363791</v>
      </c>
      <c r="L152" s="30" t="n">
        <v>0.1359421607956553</v>
      </c>
      <c r="M152" s="30" t="n">
        <v>0.02888669416796556</v>
      </c>
      <c r="N152" s="31">
        <f>ABS(E152-$F$6)</f>
        <v/>
      </c>
      <c r="O152" s="31">
        <f>ABS(E152-$F$7)</f>
        <v/>
      </c>
      <c r="P152" s="31">
        <f>ABS(E152-$F$8)</f>
        <v/>
      </c>
      <c r="Q152" s="14">
        <f>IF(K152&gt;=MAX(L152,M152), "Hemat", IF(L152&gt;=M152, "Balanced", "Premium"))</f>
        <v/>
      </c>
      <c r="R152" s="30" t="n">
        <v>0.8351711319538849</v>
      </c>
      <c r="S152" s="30" t="n">
        <v>0.1359421731258753</v>
      </c>
      <c r="T152" s="30" t="n">
        <v>0.02888669492023966</v>
      </c>
      <c r="U152" s="31">
        <f>ABS(E152-$G$6)</f>
        <v/>
      </c>
      <c r="V152" s="31">
        <f>ABS(E152-$G$7)</f>
        <v/>
      </c>
      <c r="W152" s="31">
        <f>ABS(E152-$G$8)</f>
        <v/>
      </c>
      <c r="X152" s="14">
        <f>IF(R152&gt;=MAX(S152,T152), "Hemat", IF(S152&gt;=T152, "Balanced", "Premium"))</f>
        <v/>
      </c>
    </row>
    <row r="153">
      <c r="A153" s="14" t="n">
        <v>142</v>
      </c>
      <c r="B153" s="7" t="inlineStr">
        <is>
          <t>Warung Sate Kelinci, Songgoriti Batu</t>
        </is>
      </c>
      <c r="C153" s="26" t="n">
        <v>-7.8652351</v>
      </c>
      <c r="D153" s="26" t="n">
        <v>112.4934423</v>
      </c>
      <c r="E153" s="21" t="n">
        <v>17250</v>
      </c>
      <c r="F153" s="27" t="n">
        <v>4.9</v>
      </c>
      <c r="G153" s="28" t="n">
        <v>34</v>
      </c>
      <c r="H153" s="14" t="inlineStr">
        <is>
          <t>Warung Sate Kelinci, Songgoriti Batu</t>
        </is>
      </c>
      <c r="I153" s="29">
        <f>6371 * 2 * ASIN(SQRT(SIN(RADIANS((C153) - INDEX('Dataset_Wisata'!$C$12:$C$622, MATCH('Dashboard'!$C$9, 'Dataset_Wisata'!$A$12:$A$622, 0)))/2)^2 + COS(RADIANS(INDEX('Dataset_Wisata'!$C$12:$C$622, MATCH('Dashboard'!$C$9, 'Dataset_Wisata'!$A$12:$A$622, 0)))) * COS(RADIANS(C153)) * SIN(RADIANS((D153) - INDEX('Dataset_Wisata'!$D$12:$D$622, MATCH('Dashboard'!$C$9, 'Dataset_Wisata'!$A$12:$A$622, 0)))/2)^2)) * 1.3</f>
        <v/>
      </c>
      <c r="J153" s="21">
        <f>ROUND(I153 * IF('Dashboard'!$C$6&lt;=1, 2250, IF('Dashboard'!$C$6&lt;=4, 5150, 6000)), 0)</f>
        <v/>
      </c>
      <c r="K153" s="30" t="n">
        <v>0.7915710801683252</v>
      </c>
      <c r="L153" s="30" t="n">
        <v>0.1957849440250836</v>
      </c>
      <c r="M153" s="30" t="n">
        <v>0.01264397580659123</v>
      </c>
      <c r="N153" s="31">
        <f>ABS(E153-$F$6)</f>
        <v/>
      </c>
      <c r="O153" s="31">
        <f>ABS(E153-$F$7)</f>
        <v/>
      </c>
      <c r="P153" s="31">
        <f>ABS(E153-$F$8)</f>
        <v/>
      </c>
      <c r="Q153" s="14">
        <f>IF(K153&gt;=MAX(L153,M153), "Hemat", IF(L153&gt;=M153, "Balanced", "Premium"))</f>
        <v/>
      </c>
      <c r="R153" s="30" t="n">
        <v>0.7915709219619812</v>
      </c>
      <c r="S153" s="30" t="n">
        <v>0.1957850972244639</v>
      </c>
      <c r="T153" s="30" t="n">
        <v>0.01264398081355492</v>
      </c>
      <c r="U153" s="31">
        <f>ABS(E153-$G$6)</f>
        <v/>
      </c>
      <c r="V153" s="31">
        <f>ABS(E153-$G$7)</f>
        <v/>
      </c>
      <c r="W153" s="31">
        <f>ABS(E153-$G$8)</f>
        <v/>
      </c>
      <c r="X153" s="14">
        <f>IF(R153&gt;=MAX(S153,T153), "Hemat", IF(S153&gt;=T153, "Balanced", "Premium"))</f>
        <v/>
      </c>
    </row>
    <row r="154">
      <c r="A154" s="14" t="n">
        <v>143</v>
      </c>
      <c r="B154" s="7" t="inlineStr">
        <is>
          <t>Depot Sarbini Ikan Bakar</t>
        </is>
      </c>
      <c r="C154" s="26" t="n">
        <v>-8.402878899999999</v>
      </c>
      <c r="D154" s="26" t="n">
        <v>112.5415054</v>
      </c>
      <c r="E154" s="21" t="n">
        <v>27500</v>
      </c>
      <c r="F154" s="27" t="n">
        <v>4.7</v>
      </c>
      <c r="G154" s="28" t="n">
        <v>21</v>
      </c>
      <c r="H154" s="14" t="inlineStr">
        <is>
          <t>Wisata Umum</t>
        </is>
      </c>
      <c r="I154" s="29">
        <f>6371 * 2 * ASIN(SQRT(SIN(RADIANS((C154) - INDEX('Dataset_Wisata'!$C$12:$C$622, MATCH('Dashboard'!$C$9, 'Dataset_Wisata'!$A$12:$A$622, 0)))/2)^2 + COS(RADIANS(INDEX('Dataset_Wisata'!$C$12:$C$622, MATCH('Dashboard'!$C$9, 'Dataset_Wisata'!$A$12:$A$622, 0)))) * COS(RADIANS(C154)) * SIN(RADIANS((D154) - INDEX('Dataset_Wisata'!$D$12:$D$622, MATCH('Dashboard'!$C$9, 'Dataset_Wisata'!$A$12:$A$622, 0)))/2)^2)) * 1.3</f>
        <v/>
      </c>
      <c r="J154" s="21">
        <f>ROUND(I154 * IF('Dashboard'!$C$6&lt;=1, 2250, IF('Dashboard'!$C$6&lt;=4, 5150, 6000)), 0)</f>
        <v/>
      </c>
      <c r="K154" s="30" t="n">
        <v>0.02169048525702663</v>
      </c>
      <c r="L154" s="30" t="n">
        <v>0.9688874380848954</v>
      </c>
      <c r="M154" s="30" t="n">
        <v>0.00942207665807801</v>
      </c>
      <c r="N154" s="31">
        <f>ABS(E154-$F$6)</f>
        <v/>
      </c>
      <c r="O154" s="31">
        <f>ABS(E154-$F$7)</f>
        <v/>
      </c>
      <c r="P154" s="31">
        <f>ABS(E154-$F$8)</f>
        <v/>
      </c>
      <c r="Q154" s="14">
        <f>IF(K154&gt;=MAX(L154,M154), "Hemat", IF(L154&gt;=M154, "Balanced", "Premium"))</f>
        <v/>
      </c>
      <c r="R154" s="30" t="n">
        <v>0.02169053605683701</v>
      </c>
      <c r="S154" s="30" t="n">
        <v>0.9688873605428653</v>
      </c>
      <c r="T154" s="30" t="n">
        <v>0.009422103400297668</v>
      </c>
      <c r="U154" s="31">
        <f>ABS(E154-$G$6)</f>
        <v/>
      </c>
      <c r="V154" s="31">
        <f>ABS(E154-$G$7)</f>
        <v/>
      </c>
      <c r="W154" s="31">
        <f>ABS(E154-$G$8)</f>
        <v/>
      </c>
      <c r="X154" s="14">
        <f>IF(R154&gt;=MAX(S154,T154), "Hemat", IF(S154&gt;=T154, "Balanced", "Premium"))</f>
        <v/>
      </c>
    </row>
    <row r="155">
      <c r="A155" s="14" t="n">
        <v>144</v>
      </c>
      <c r="B155" s="7" t="inlineStr">
        <is>
          <t>Mak Sih - Seafood Spesialis</t>
        </is>
      </c>
      <c r="C155" s="26" t="n">
        <v>-8.3971435</v>
      </c>
      <c r="D155" s="26" t="n">
        <v>112.5214661</v>
      </c>
      <c r="E155" s="21" t="n">
        <v>30000</v>
      </c>
      <c r="F155" s="27" t="n">
        <v>4.5</v>
      </c>
      <c r="G155" s="28" t="n">
        <v>274</v>
      </c>
      <c r="H155" s="14" t="inlineStr">
        <is>
          <t>Wisata Umum</t>
        </is>
      </c>
      <c r="I155" s="29">
        <f>6371 * 2 * ASIN(SQRT(SIN(RADIANS((C155) - INDEX('Dataset_Wisata'!$C$12:$C$622, MATCH('Dashboard'!$C$9, 'Dataset_Wisata'!$A$12:$A$622, 0)))/2)^2 + COS(RADIANS(INDEX('Dataset_Wisata'!$C$12:$C$622, MATCH('Dashboard'!$C$9, 'Dataset_Wisata'!$A$12:$A$622, 0)))) * COS(RADIANS(C155)) * SIN(RADIANS((D155) - INDEX('Dataset_Wisata'!$D$12:$D$622, MATCH('Dashboard'!$C$9, 'Dataset_Wisata'!$A$12:$A$622, 0)))/2)^2)) * 1.3</f>
        <v/>
      </c>
      <c r="J155" s="21">
        <f>ROUND(I155 * IF('Dashboard'!$C$6&lt;=1, 2250, IF('Dashboard'!$C$6&lt;=4, 5150, 6000)), 0)</f>
        <v/>
      </c>
      <c r="K155" s="30" t="n">
        <v>0.06726312231076584</v>
      </c>
      <c r="L155" s="30" t="n">
        <v>0.8811909885629753</v>
      </c>
      <c r="M155" s="30" t="n">
        <v>0.05154588912625897</v>
      </c>
      <c r="N155" s="31">
        <f>ABS(E155-$F$6)</f>
        <v/>
      </c>
      <c r="O155" s="31">
        <f>ABS(E155-$F$7)</f>
        <v/>
      </c>
      <c r="P155" s="31">
        <f>ABS(E155-$F$8)</f>
        <v/>
      </c>
      <c r="Q155" s="14">
        <f>IF(K155&gt;=MAX(L155,M155), "Hemat", IF(L155&gt;=M155, "Balanced", "Premium"))</f>
        <v/>
      </c>
      <c r="R155" s="30" t="n">
        <v>0.06726318452674353</v>
      </c>
      <c r="S155" s="30" t="n">
        <v>0.8811908510588695</v>
      </c>
      <c r="T155" s="30" t="n">
        <v>0.05154596441438693</v>
      </c>
      <c r="U155" s="31">
        <f>ABS(E155-$G$6)</f>
        <v/>
      </c>
      <c r="V155" s="31">
        <f>ABS(E155-$G$7)</f>
        <v/>
      </c>
      <c r="W155" s="31">
        <f>ABS(E155-$G$8)</f>
        <v/>
      </c>
      <c r="X155" s="14">
        <f>IF(R155&gt;=MAX(S155,T155), "Hemat", IF(S155&gt;=T155, "Balanced", "Premium"))</f>
        <v/>
      </c>
    </row>
    <row r="156">
      <c r="A156" s="14" t="n">
        <v>145</v>
      </c>
      <c r="B156" s="7" t="inlineStr">
        <is>
          <t>Waroeng N` Cafe Bamboe Slorok</t>
        </is>
      </c>
      <c r="C156" s="26" t="n">
        <v>-8.145664200000001</v>
      </c>
      <c r="D156" s="26" t="n">
        <v>112.5234532</v>
      </c>
      <c r="E156" s="21" t="n">
        <v>44500</v>
      </c>
      <c r="F156" s="27" t="n">
        <v>4.4</v>
      </c>
      <c r="G156" s="28" t="n">
        <v>59</v>
      </c>
      <c r="H156" s="14" t="inlineStr">
        <is>
          <t>Wisata Umum</t>
        </is>
      </c>
      <c r="I156" s="29">
        <f>6371 * 2 * ASIN(SQRT(SIN(RADIANS((C156) - INDEX('Dataset_Wisata'!$C$12:$C$622, MATCH('Dashboard'!$C$9, 'Dataset_Wisata'!$A$12:$A$622, 0)))/2)^2 + COS(RADIANS(INDEX('Dataset_Wisata'!$C$12:$C$622, MATCH('Dashboard'!$C$9, 'Dataset_Wisata'!$A$12:$A$622, 0)))) * COS(RADIANS(C156)) * SIN(RADIANS((D156) - INDEX('Dataset_Wisata'!$D$12:$D$622, MATCH('Dashboard'!$C$9, 'Dataset_Wisata'!$A$12:$A$622, 0)))/2)^2)) * 1.3</f>
        <v/>
      </c>
      <c r="J156" s="21">
        <f>ROUND(I156 * IF('Dashboard'!$C$6&lt;=1, 2250, IF('Dashboard'!$C$6&lt;=4, 5150, 6000)), 0)</f>
        <v/>
      </c>
      <c r="K156" s="30" t="n">
        <v>0.02062702018670841</v>
      </c>
      <c r="L156" s="30" t="n">
        <v>0.05512364999749688</v>
      </c>
      <c r="M156" s="30" t="n">
        <v>0.9242493298157947</v>
      </c>
      <c r="N156" s="31">
        <f>ABS(E156-$F$6)</f>
        <v/>
      </c>
      <c r="O156" s="31">
        <f>ABS(E156-$F$7)</f>
        <v/>
      </c>
      <c r="P156" s="31">
        <f>ABS(E156-$F$8)</f>
        <v/>
      </c>
      <c r="Q156" s="14">
        <f>IF(K156&gt;=MAX(L156,M156), "Hemat", IF(L156&gt;=M156, "Balanced", "Premium"))</f>
        <v/>
      </c>
      <c r="R156" s="30" t="n">
        <v>0.02062698380133424</v>
      </c>
      <c r="S156" s="30" t="n">
        <v>0.05512353957077914</v>
      </c>
      <c r="T156" s="30" t="n">
        <v>0.9242494766278866</v>
      </c>
      <c r="U156" s="31">
        <f>ABS(E156-$G$6)</f>
        <v/>
      </c>
      <c r="V156" s="31">
        <f>ABS(E156-$G$7)</f>
        <v/>
      </c>
      <c r="W156" s="31">
        <f>ABS(E156-$G$8)</f>
        <v/>
      </c>
      <c r="X156" s="14">
        <f>IF(R156&gt;=MAX(S156,T156), "Hemat", IF(S156&gt;=T156, "Balanced", "Premium"))</f>
        <v/>
      </c>
    </row>
    <row r="157">
      <c r="A157" s="14" t="n">
        <v>146</v>
      </c>
      <c r="B157" s="7" t="inlineStr">
        <is>
          <t>Warung Sobat Slorok</t>
        </is>
      </c>
      <c r="C157" s="26" t="n">
        <v>-8.1434549</v>
      </c>
      <c r="D157" s="26" t="n">
        <v>112.5245422</v>
      </c>
      <c r="E157" s="21" t="n">
        <v>13500</v>
      </c>
      <c r="F157" s="27" t="n">
        <v>4.5</v>
      </c>
      <c r="G157" s="28" t="n">
        <v>127</v>
      </c>
      <c r="H157" s="14" t="inlineStr">
        <is>
          <t>Warung Sobat Slorok</t>
        </is>
      </c>
      <c r="I157" s="29">
        <f>6371 * 2 * ASIN(SQRT(SIN(RADIANS((C157) - INDEX('Dataset_Wisata'!$C$12:$C$622, MATCH('Dashboard'!$C$9, 'Dataset_Wisata'!$A$12:$A$622, 0)))/2)^2 + COS(RADIANS(INDEX('Dataset_Wisata'!$C$12:$C$622, MATCH('Dashboard'!$C$9, 'Dataset_Wisata'!$A$12:$A$622, 0)))) * COS(RADIANS(C157)) * SIN(RADIANS((D157) - INDEX('Dataset_Wisata'!$D$12:$D$622, MATCH('Dashboard'!$C$9, 'Dataset_Wisata'!$A$12:$A$622, 0)))/2)^2)) * 1.3</f>
        <v/>
      </c>
      <c r="J157" s="21">
        <f>ROUND(I157 * IF('Dashboard'!$C$6&lt;=1, 2250, IF('Dashboard'!$C$6&lt;=4, 5150, 6000)), 0)</f>
        <v/>
      </c>
      <c r="K157" s="30" t="n">
        <v>0.9993608169528668</v>
      </c>
      <c r="L157" s="30" t="n">
        <v>0.0005755405742947694</v>
      </c>
      <c r="M157" s="30" t="n">
        <v>6.36424728383445e-05</v>
      </c>
      <c r="N157" s="31">
        <f>ABS(E157-$F$6)</f>
        <v/>
      </c>
      <c r="O157" s="31">
        <f>ABS(E157-$F$7)</f>
        <v/>
      </c>
      <c r="P157" s="31">
        <f>ABS(E157-$F$8)</f>
        <v/>
      </c>
      <c r="Q157" s="14">
        <f>IF(K157&gt;=MAX(L157,M157), "Hemat", IF(L157&gt;=M157, "Balanced", "Premium"))</f>
        <v/>
      </c>
      <c r="R157" s="30" t="n">
        <v>0.9993608137761221</v>
      </c>
      <c r="S157" s="30" t="n">
        <v>0.0005755434465521912</v>
      </c>
      <c r="T157" s="30" t="n">
        <v>6.364277732570516e-05</v>
      </c>
      <c r="U157" s="31">
        <f>ABS(E157-$G$6)</f>
        <v/>
      </c>
      <c r="V157" s="31">
        <f>ABS(E157-$G$7)</f>
        <v/>
      </c>
      <c r="W157" s="31">
        <f>ABS(E157-$G$8)</f>
        <v/>
      </c>
      <c r="X157" s="14">
        <f>IF(R157&gt;=MAX(S157,T157), "Hemat", IF(S157&gt;=T157, "Balanced", "Premium"))</f>
        <v/>
      </c>
    </row>
    <row r="158">
      <c r="A158" s="14" t="n">
        <v>147</v>
      </c>
      <c r="B158" s="7" t="inlineStr">
        <is>
          <t>NIKI ECO MENTOK &amp; AYAM PEDAS</t>
        </is>
      </c>
      <c r="C158" s="26" t="n">
        <v>-8.1402959</v>
      </c>
      <c r="D158" s="26" t="n">
        <v>112.5292129</v>
      </c>
      <c r="E158" s="21" t="n">
        <v>12000</v>
      </c>
      <c r="F158" s="27" t="n">
        <v>4.3</v>
      </c>
      <c r="G158" s="28" t="n">
        <v>1675</v>
      </c>
      <c r="H158" s="14" t="inlineStr">
        <is>
          <t>Wisata Umum</t>
        </is>
      </c>
      <c r="I158" s="29">
        <f>6371 * 2 * ASIN(SQRT(SIN(RADIANS((C158) - INDEX('Dataset_Wisata'!$C$12:$C$622, MATCH('Dashboard'!$C$9, 'Dataset_Wisata'!$A$12:$A$622, 0)))/2)^2 + COS(RADIANS(INDEX('Dataset_Wisata'!$C$12:$C$622, MATCH('Dashboard'!$C$9, 'Dataset_Wisata'!$A$12:$A$622, 0)))) * COS(RADIANS(C158)) * SIN(RADIANS((D158) - INDEX('Dataset_Wisata'!$D$12:$D$622, MATCH('Dashboard'!$C$9, 'Dataset_Wisata'!$A$12:$A$622, 0)))/2)^2)) * 1.3</f>
        <v/>
      </c>
      <c r="J158" s="21">
        <f>ROUND(I158 * IF('Dashboard'!$C$6&lt;=1, 2250, IF('Dashboard'!$C$6&lt;=4, 5150, 6000)), 0)</f>
        <v/>
      </c>
      <c r="K158" s="30" t="n">
        <v>0.9907459480940729</v>
      </c>
      <c r="L158" s="30" t="n">
        <v>0.008195110232283047</v>
      </c>
      <c r="M158" s="30" t="n">
        <v>0.001058941673643979</v>
      </c>
      <c r="N158" s="31">
        <f>ABS(E158-$F$6)</f>
        <v/>
      </c>
      <c r="O158" s="31">
        <f>ABS(E158-$F$7)</f>
        <v/>
      </c>
      <c r="P158" s="31">
        <f>ABS(E158-$F$8)</f>
        <v/>
      </c>
      <c r="Q158" s="14">
        <f>IF(K158&gt;=MAX(L158,M158), "Hemat", IF(L158&gt;=M158, "Balanced", "Premium"))</f>
        <v/>
      </c>
      <c r="R158" s="30" t="n">
        <v>0.9907459543354936</v>
      </c>
      <c r="S158" s="30" t="n">
        <v>0.008195104860105683</v>
      </c>
      <c r="T158" s="30" t="n">
        <v>0.0010589408044008</v>
      </c>
      <c r="U158" s="31">
        <f>ABS(E158-$G$6)</f>
        <v/>
      </c>
      <c r="V158" s="31">
        <f>ABS(E158-$G$7)</f>
        <v/>
      </c>
      <c r="W158" s="31">
        <f>ABS(E158-$G$8)</f>
        <v/>
      </c>
      <c r="X158" s="14">
        <f>IF(R158&gt;=MAX(S158,T158), "Hemat", IF(S158&gt;=T158, "Balanced", "Premium"))</f>
        <v/>
      </c>
    </row>
    <row r="159">
      <c r="A159" s="14" t="n">
        <v>148</v>
      </c>
      <c r="B159" s="7" t="inlineStr">
        <is>
          <t>Soto Subur</t>
        </is>
      </c>
      <c r="C159" s="26" t="n">
        <v>-8.1456848</v>
      </c>
      <c r="D159" s="26" t="n">
        <v>112.5233587</v>
      </c>
      <c r="E159" s="21" t="n">
        <v>5000</v>
      </c>
      <c r="F159" s="27" t="n">
        <v>4.5</v>
      </c>
      <c r="G159" s="28" t="n">
        <v>31</v>
      </c>
      <c r="H159" s="14" t="inlineStr">
        <is>
          <t>Wisata Umum</t>
        </is>
      </c>
      <c r="I159" s="29">
        <f>6371 * 2 * ASIN(SQRT(SIN(RADIANS((C159) - INDEX('Dataset_Wisata'!$C$12:$C$622, MATCH('Dashboard'!$C$9, 'Dataset_Wisata'!$A$12:$A$622, 0)))/2)^2 + COS(RADIANS(INDEX('Dataset_Wisata'!$C$12:$C$622, MATCH('Dashboard'!$C$9, 'Dataset_Wisata'!$A$12:$A$622, 0)))) * COS(RADIANS(C159)) * SIN(RADIANS((D159) - INDEX('Dataset_Wisata'!$D$12:$D$622, MATCH('Dashboard'!$C$9, 'Dataset_Wisata'!$A$12:$A$622, 0)))/2)^2)) * 1.3</f>
        <v/>
      </c>
      <c r="J159" s="21">
        <f>ROUND(I159 * IF('Dashboard'!$C$6&lt;=1, 2250, IF('Dashboard'!$C$6&lt;=4, 5150, 6000)), 0)</f>
        <v/>
      </c>
      <c r="K159" s="30" t="n">
        <v>0.8351711450363791</v>
      </c>
      <c r="L159" s="30" t="n">
        <v>0.1359421607956553</v>
      </c>
      <c r="M159" s="30" t="n">
        <v>0.02888669416796556</v>
      </c>
      <c r="N159" s="31">
        <f>ABS(E159-$F$6)</f>
        <v/>
      </c>
      <c r="O159" s="31">
        <f>ABS(E159-$F$7)</f>
        <v/>
      </c>
      <c r="P159" s="31">
        <f>ABS(E159-$F$8)</f>
        <v/>
      </c>
      <c r="Q159" s="14">
        <f>IF(K159&gt;=MAX(L159,M159), "Hemat", IF(L159&gt;=M159, "Balanced", "Premium"))</f>
        <v/>
      </c>
      <c r="R159" s="30" t="n">
        <v>0.8351711319538849</v>
      </c>
      <c r="S159" s="30" t="n">
        <v>0.1359421731258753</v>
      </c>
      <c r="T159" s="30" t="n">
        <v>0.02888669492023966</v>
      </c>
      <c r="U159" s="31">
        <f>ABS(E159-$G$6)</f>
        <v/>
      </c>
      <c r="V159" s="31">
        <f>ABS(E159-$G$7)</f>
        <v/>
      </c>
      <c r="W159" s="31">
        <f>ABS(E159-$G$8)</f>
        <v/>
      </c>
      <c r="X159" s="14">
        <f>IF(R159&gt;=MAX(S159,T159), "Hemat", IF(S159&gt;=T159, "Balanced", "Premium"))</f>
        <v/>
      </c>
    </row>
    <row r="160">
      <c r="A160" s="14" t="n">
        <v>149</v>
      </c>
      <c r="B160" s="7" t="inlineStr">
        <is>
          <t>Mbok Giyah Rujak Cingur Selatan Stasiun Ngebruk.</t>
        </is>
      </c>
      <c r="C160" s="26" t="n">
        <v>-8.1538419</v>
      </c>
      <c r="D160" s="26" t="n">
        <v>112.515618</v>
      </c>
      <c r="E160" s="21" t="n">
        <v>9500</v>
      </c>
      <c r="F160" s="27" t="n">
        <v>4.3</v>
      </c>
      <c r="G160" s="28" t="n">
        <v>190</v>
      </c>
      <c r="H160" s="14" t="inlineStr">
        <is>
          <t>Wisata Umum</t>
        </is>
      </c>
      <c r="I160" s="29">
        <f>6371 * 2 * ASIN(SQRT(SIN(RADIANS((C160) - INDEX('Dataset_Wisata'!$C$12:$C$622, MATCH('Dashboard'!$C$9, 'Dataset_Wisata'!$A$12:$A$622, 0)))/2)^2 + COS(RADIANS(INDEX('Dataset_Wisata'!$C$12:$C$622, MATCH('Dashboard'!$C$9, 'Dataset_Wisata'!$A$12:$A$622, 0)))) * COS(RADIANS(C160)) * SIN(RADIANS((D160) - INDEX('Dataset_Wisata'!$D$12:$D$622, MATCH('Dashboard'!$C$9, 'Dataset_Wisata'!$A$12:$A$622, 0)))/2)^2)) * 1.3</f>
        <v/>
      </c>
      <c r="J160" s="21">
        <f>ROUND(I160 * IF('Dashboard'!$C$6&lt;=1, 2250, IF('Dashboard'!$C$6&lt;=4, 5150, 6000)), 0)</f>
        <v/>
      </c>
      <c r="K160" s="30" t="n">
        <v>0.9401786932984387</v>
      </c>
      <c r="L160" s="30" t="n">
        <v>0.05157616195898386</v>
      </c>
      <c r="M160" s="30" t="n">
        <v>0.008245144742577254</v>
      </c>
      <c r="N160" s="31">
        <f>ABS(E160-$F$6)</f>
        <v/>
      </c>
      <c r="O160" s="31">
        <f>ABS(E160-$F$7)</f>
        <v/>
      </c>
      <c r="P160" s="31">
        <f>ABS(E160-$F$8)</f>
        <v/>
      </c>
      <c r="Q160" s="14">
        <f>IF(K160&gt;=MAX(L160,M160), "Hemat", IF(L160&gt;=M160, "Balanced", "Premium"))</f>
        <v/>
      </c>
      <c r="R160" s="30" t="n">
        <v>0.9401786947339178</v>
      </c>
      <c r="S160" s="30" t="n">
        <v>0.0515761615523321</v>
      </c>
      <c r="T160" s="30" t="n">
        <v>0.008245143713750062</v>
      </c>
      <c r="U160" s="31">
        <f>ABS(E160-$G$6)</f>
        <v/>
      </c>
      <c r="V160" s="31">
        <f>ABS(E160-$G$7)</f>
        <v/>
      </c>
      <c r="W160" s="31">
        <f>ABS(E160-$G$8)</f>
        <v/>
      </c>
      <c r="X160" s="14">
        <f>IF(R160&gt;=MAX(S160,T160), "Hemat", IF(S160&gt;=T160, "Balanced", "Premium"))</f>
        <v/>
      </c>
    </row>
    <row r="161">
      <c r="A161" s="14" t="n">
        <v>150</v>
      </c>
      <c r="B161" s="7" t="inlineStr">
        <is>
          <t>Warung Bu Nur</t>
        </is>
      </c>
      <c r="C161" s="26" t="n">
        <v>-8.137667799999999</v>
      </c>
      <c r="D161" s="26" t="n">
        <v>112.5385262</v>
      </c>
      <c r="E161" s="21" t="n">
        <v>15500</v>
      </c>
      <c r="F161" s="27" t="n">
        <v>4.3</v>
      </c>
      <c r="G161" s="28" t="n">
        <v>25</v>
      </c>
      <c r="H161" s="14" t="inlineStr">
        <is>
          <t>Warung Bu Nur</t>
        </is>
      </c>
      <c r="I161" s="29">
        <f>6371 * 2 * ASIN(SQRT(SIN(RADIANS((C161) - INDEX('Dataset_Wisata'!$C$12:$C$622, MATCH('Dashboard'!$C$9, 'Dataset_Wisata'!$A$12:$A$622, 0)))/2)^2 + COS(RADIANS(INDEX('Dataset_Wisata'!$C$12:$C$622, MATCH('Dashboard'!$C$9, 'Dataset_Wisata'!$A$12:$A$622, 0)))) * COS(RADIANS(C161)) * SIN(RADIANS((D161) - INDEX('Dataset_Wisata'!$D$12:$D$622, MATCH('Dashboard'!$C$9, 'Dataset_Wisata'!$A$12:$A$622, 0)))/2)^2)) * 1.3</f>
        <v/>
      </c>
      <c r="J161" s="21">
        <f>ROUND(I161 * IF('Dashboard'!$C$6&lt;=1, 2250, IF('Dashboard'!$C$6&lt;=4, 5150, 6000)), 0)</f>
        <v/>
      </c>
      <c r="K161" s="30" t="n">
        <v>0.9449432442408515</v>
      </c>
      <c r="L161" s="30" t="n">
        <v>0.05070687831140908</v>
      </c>
      <c r="M161" s="30" t="n">
        <v>0.004349877447739512</v>
      </c>
      <c r="N161" s="31">
        <f>ABS(E161-$F$6)</f>
        <v/>
      </c>
      <c r="O161" s="31">
        <f>ABS(E161-$F$7)</f>
        <v/>
      </c>
      <c r="P161" s="31">
        <f>ABS(E161-$F$8)</f>
        <v/>
      </c>
      <c r="Q161" s="14">
        <f>IF(K161&gt;=MAX(L161,M161), "Hemat", IF(L161&gt;=M161, "Balanced", "Premium"))</f>
        <v/>
      </c>
      <c r="R161" s="30" t="n">
        <v>0.944943187640449</v>
      </c>
      <c r="S161" s="30" t="n">
        <v>0.05070693157515045</v>
      </c>
      <c r="T161" s="30" t="n">
        <v>0.004349880784400502</v>
      </c>
      <c r="U161" s="31">
        <f>ABS(E161-$G$6)</f>
        <v/>
      </c>
      <c r="V161" s="31">
        <f>ABS(E161-$G$7)</f>
        <v/>
      </c>
      <c r="W161" s="31">
        <f>ABS(E161-$G$8)</f>
        <v/>
      </c>
      <c r="X161" s="14">
        <f>IF(R161&gt;=MAX(S161,T161), "Hemat", IF(S161&gt;=T161, "Balanced", "Premium"))</f>
        <v/>
      </c>
    </row>
    <row r="162">
      <c r="A162" s="14" t="n">
        <v>151</v>
      </c>
      <c r="B162" s="7" t="inlineStr">
        <is>
          <t>Nasi Goreng Palang Merah</t>
        </is>
      </c>
      <c r="C162" s="26" t="n">
        <v>-8.149132699999999</v>
      </c>
      <c r="D162" s="26" t="n">
        <v>112.5193763</v>
      </c>
      <c r="E162" s="21" t="n">
        <v>20000</v>
      </c>
      <c r="F162" s="27" t="n">
        <v>4.3</v>
      </c>
      <c r="G162" s="28" t="n">
        <v>41</v>
      </c>
      <c r="H162" s="14" t="inlineStr">
        <is>
          <t>Wisata Umum</t>
        </is>
      </c>
      <c r="I162" s="29">
        <f>6371 * 2 * ASIN(SQRT(SIN(RADIANS((C162) - INDEX('Dataset_Wisata'!$C$12:$C$622, MATCH('Dashboard'!$C$9, 'Dataset_Wisata'!$A$12:$A$622, 0)))/2)^2 + COS(RADIANS(INDEX('Dataset_Wisata'!$C$12:$C$622, MATCH('Dashboard'!$C$9, 'Dataset_Wisata'!$A$12:$A$622, 0)))) * COS(RADIANS(C162)) * SIN(RADIANS((D162) - INDEX('Dataset_Wisata'!$D$12:$D$622, MATCH('Dashboard'!$C$9, 'Dataset_Wisata'!$A$12:$A$622, 0)))/2)^2)) * 1.3</f>
        <v/>
      </c>
      <c r="J162" s="21">
        <f>ROUND(I162 * IF('Dashboard'!$C$6&lt;=1, 2250, IF('Dashboard'!$C$6&lt;=4, 5150, 6000)), 0)</f>
        <v/>
      </c>
      <c r="K162" s="30" t="n">
        <v>0.3766864462048385</v>
      </c>
      <c r="L162" s="30" t="n">
        <v>0.6029404273516955</v>
      </c>
      <c r="M162" s="30" t="n">
        <v>0.02037312644346593</v>
      </c>
      <c r="N162" s="31">
        <f>ABS(E162-$F$6)</f>
        <v/>
      </c>
      <c r="O162" s="31">
        <f>ABS(E162-$F$7)</f>
        <v/>
      </c>
      <c r="P162" s="31">
        <f>ABS(E162-$F$8)</f>
        <v/>
      </c>
      <c r="Q162" s="14">
        <f>IF(K162&gt;=MAX(L162,M162), "Hemat", IF(L162&gt;=M162, "Balanced", "Premium"))</f>
        <v/>
      </c>
      <c r="R162" s="30" t="n">
        <v>0.3766861717192874</v>
      </c>
      <c r="S162" s="30" t="n">
        <v>0.6029407066601674</v>
      </c>
      <c r="T162" s="30" t="n">
        <v>0.02037312162054524</v>
      </c>
      <c r="U162" s="31">
        <f>ABS(E162-$G$6)</f>
        <v/>
      </c>
      <c r="V162" s="31">
        <f>ABS(E162-$G$7)</f>
        <v/>
      </c>
      <c r="W162" s="31">
        <f>ABS(E162-$G$8)</f>
        <v/>
      </c>
      <c r="X162" s="14">
        <f>IF(R162&gt;=MAX(S162,T162), "Hemat", IF(S162&gt;=T162, "Balanced", "Premium"))</f>
        <v/>
      </c>
    </row>
    <row r="163">
      <c r="A163" s="14" t="n">
        <v>152</v>
      </c>
      <c r="B163" s="7" t="inlineStr">
        <is>
          <t>Warung Pedas KINANTI</t>
        </is>
      </c>
      <c r="C163" s="26" t="n">
        <v>-8.0956867</v>
      </c>
      <c r="D163" s="26" t="n">
        <v>112.5279486</v>
      </c>
      <c r="E163" s="21" t="n">
        <v>17750</v>
      </c>
      <c r="F163" s="27" t="n">
        <v>4.6</v>
      </c>
      <c r="G163" s="28" t="n">
        <v>20</v>
      </c>
      <c r="H163" s="14" t="inlineStr">
        <is>
          <t>Warung Pedas KINANTI</t>
        </is>
      </c>
      <c r="I163" s="29">
        <f>6371 * 2 * ASIN(SQRT(SIN(RADIANS((C163) - INDEX('Dataset_Wisata'!$C$12:$C$622, MATCH('Dashboard'!$C$9, 'Dataset_Wisata'!$A$12:$A$622, 0)))/2)^2 + COS(RADIANS(INDEX('Dataset_Wisata'!$C$12:$C$622, MATCH('Dashboard'!$C$9, 'Dataset_Wisata'!$A$12:$A$622, 0)))) * COS(RADIANS(C163)) * SIN(RADIANS((D163) - INDEX('Dataset_Wisata'!$D$12:$D$622, MATCH('Dashboard'!$C$9, 'Dataset_Wisata'!$A$12:$A$622, 0)))/2)^2)) * 1.3</f>
        <v/>
      </c>
      <c r="J163" s="21">
        <f>ROUND(I163 * IF('Dashboard'!$C$6&lt;=1, 2250, IF('Dashboard'!$C$6&lt;=4, 5150, 6000)), 0)</f>
        <v/>
      </c>
      <c r="K163" s="30" t="n">
        <v>0.7269275914668788</v>
      </c>
      <c r="L163" s="30" t="n">
        <v>0.2579342944678741</v>
      </c>
      <c r="M163" s="30" t="n">
        <v>0.01513811406524707</v>
      </c>
      <c r="N163" s="31">
        <f>ABS(E163-$F$6)</f>
        <v/>
      </c>
      <c r="O163" s="31">
        <f>ABS(E163-$F$7)</f>
        <v/>
      </c>
      <c r="P163" s="31">
        <f>ABS(E163-$F$8)</f>
        <v/>
      </c>
      <c r="Q163" s="14">
        <f>IF(K163&gt;=MAX(L163,M163), "Hemat", IF(L163&gt;=M163, "Balanced", "Premium"))</f>
        <v/>
      </c>
      <c r="R163" s="30" t="n">
        <v>0.7269273995321884</v>
      </c>
      <c r="S163" s="30" t="n">
        <v>0.2579344818478332</v>
      </c>
      <c r="T163" s="30" t="n">
        <v>0.01513811861997851</v>
      </c>
      <c r="U163" s="31">
        <f>ABS(E163-$G$6)</f>
        <v/>
      </c>
      <c r="V163" s="31">
        <f>ABS(E163-$G$7)</f>
        <v/>
      </c>
      <c r="W163" s="31">
        <f>ABS(E163-$G$8)</f>
        <v/>
      </c>
      <c r="X163" s="14">
        <f>IF(R163&gt;=MAX(S163,T163), "Hemat", IF(S163&gt;=T163, "Balanced", "Premium"))</f>
        <v/>
      </c>
    </row>
    <row r="164">
      <c r="A164" s="14" t="n">
        <v>153</v>
      </c>
      <c r="B164" s="7" t="inlineStr">
        <is>
          <t>DEPOT PAK GURU</t>
        </is>
      </c>
      <c r="C164" s="26" t="n">
        <v>-8.1237975</v>
      </c>
      <c r="D164" s="26" t="n">
        <v>112.565752</v>
      </c>
      <c r="E164" s="21" t="n">
        <v>15500</v>
      </c>
      <c r="F164" s="27" t="n">
        <v>5</v>
      </c>
      <c r="G164" s="28" t="n">
        <v>21</v>
      </c>
      <c r="H164" s="14" t="inlineStr">
        <is>
          <t>Wisata Umum</t>
        </is>
      </c>
      <c r="I164" s="29">
        <f>6371 * 2 * ASIN(SQRT(SIN(RADIANS((C164) - INDEX('Dataset_Wisata'!$C$12:$C$622, MATCH('Dashboard'!$C$9, 'Dataset_Wisata'!$A$12:$A$622, 0)))/2)^2 + COS(RADIANS(INDEX('Dataset_Wisata'!$C$12:$C$622, MATCH('Dashboard'!$C$9, 'Dataset_Wisata'!$A$12:$A$622, 0)))) * COS(RADIANS(C164)) * SIN(RADIANS((D164) - INDEX('Dataset_Wisata'!$D$12:$D$622, MATCH('Dashboard'!$C$9, 'Dataset_Wisata'!$A$12:$A$622, 0)))/2)^2)) * 1.3</f>
        <v/>
      </c>
      <c r="J164" s="21">
        <f>ROUND(I164 * IF('Dashboard'!$C$6&lt;=1, 2250, IF('Dashboard'!$C$6&lt;=4, 5150, 6000)), 0)</f>
        <v/>
      </c>
      <c r="K164" s="30" t="n">
        <v>0.9449432442408515</v>
      </c>
      <c r="L164" s="30" t="n">
        <v>0.05070687831140908</v>
      </c>
      <c r="M164" s="30" t="n">
        <v>0.004349877447739512</v>
      </c>
      <c r="N164" s="31">
        <f>ABS(E164-$F$6)</f>
        <v/>
      </c>
      <c r="O164" s="31">
        <f>ABS(E164-$F$7)</f>
        <v/>
      </c>
      <c r="P164" s="31">
        <f>ABS(E164-$F$8)</f>
        <v/>
      </c>
      <c r="Q164" s="14">
        <f>IF(K164&gt;=MAX(L164,M164), "Hemat", IF(L164&gt;=M164, "Balanced", "Premium"))</f>
        <v/>
      </c>
      <c r="R164" s="30" t="n">
        <v>0.944943187640449</v>
      </c>
      <c r="S164" s="30" t="n">
        <v>0.05070693157515045</v>
      </c>
      <c r="T164" s="30" t="n">
        <v>0.004349880784400502</v>
      </c>
      <c r="U164" s="31">
        <f>ABS(E164-$G$6)</f>
        <v/>
      </c>
      <c r="V164" s="31">
        <f>ABS(E164-$G$7)</f>
        <v/>
      </c>
      <c r="W164" s="31">
        <f>ABS(E164-$G$8)</f>
        <v/>
      </c>
      <c r="X164" s="14">
        <f>IF(R164&gt;=MAX(S164,T164), "Hemat", IF(S164&gt;=T164, "Balanced", "Premium"))</f>
        <v/>
      </c>
    </row>
    <row r="165">
      <c r="A165" s="14" t="n">
        <v>154</v>
      </c>
      <c r="B165" s="7" t="inlineStr">
        <is>
          <t>Bakso Darussalam</t>
        </is>
      </c>
      <c r="C165" s="26" t="n">
        <v>-8.133143799999999</v>
      </c>
      <c r="D165" s="26" t="n">
        <v>112.5429678</v>
      </c>
      <c r="E165" s="21" t="n">
        <v>30000</v>
      </c>
      <c r="F165" s="27" t="n">
        <v>4.2</v>
      </c>
      <c r="G165" s="28" t="n">
        <v>87</v>
      </c>
      <c r="H165" s="14" t="inlineStr">
        <is>
          <t>Wisata Umum</t>
        </is>
      </c>
      <c r="I165" s="29">
        <f>6371 * 2 * ASIN(SQRT(SIN(RADIANS((C165) - INDEX('Dataset_Wisata'!$C$12:$C$622, MATCH('Dashboard'!$C$9, 'Dataset_Wisata'!$A$12:$A$622, 0)))/2)^2 + COS(RADIANS(INDEX('Dataset_Wisata'!$C$12:$C$622, MATCH('Dashboard'!$C$9, 'Dataset_Wisata'!$A$12:$A$622, 0)))) * COS(RADIANS(C165)) * SIN(RADIANS((D165) - INDEX('Dataset_Wisata'!$D$12:$D$622, MATCH('Dashboard'!$C$9, 'Dataset_Wisata'!$A$12:$A$622, 0)))/2)^2)) * 1.3</f>
        <v/>
      </c>
      <c r="J165" s="21">
        <f>ROUND(I165 * IF('Dashboard'!$C$6&lt;=1, 2250, IF('Dashboard'!$C$6&lt;=4, 5150, 6000)), 0)</f>
        <v/>
      </c>
      <c r="K165" s="30" t="n">
        <v>0.06726312231076584</v>
      </c>
      <c r="L165" s="30" t="n">
        <v>0.8811909885629753</v>
      </c>
      <c r="M165" s="30" t="n">
        <v>0.05154588912625897</v>
      </c>
      <c r="N165" s="31">
        <f>ABS(E165-$F$6)</f>
        <v/>
      </c>
      <c r="O165" s="31">
        <f>ABS(E165-$F$7)</f>
        <v/>
      </c>
      <c r="P165" s="31">
        <f>ABS(E165-$F$8)</f>
        <v/>
      </c>
      <c r="Q165" s="14">
        <f>IF(K165&gt;=MAX(L165,M165), "Hemat", IF(L165&gt;=M165, "Balanced", "Premium"))</f>
        <v/>
      </c>
      <c r="R165" s="30" t="n">
        <v>0.06726318452674353</v>
      </c>
      <c r="S165" s="30" t="n">
        <v>0.8811908510588695</v>
      </c>
      <c r="T165" s="30" t="n">
        <v>0.05154596441438693</v>
      </c>
      <c r="U165" s="31">
        <f>ABS(E165-$G$6)</f>
        <v/>
      </c>
      <c r="V165" s="31">
        <f>ABS(E165-$G$7)</f>
        <v/>
      </c>
      <c r="W165" s="31">
        <f>ABS(E165-$G$8)</f>
        <v/>
      </c>
      <c r="X165" s="14">
        <f>IF(R165&gt;=MAX(S165,T165), "Hemat", IF(S165&gt;=T165, "Balanced", "Premium"))</f>
        <v/>
      </c>
    </row>
    <row r="166">
      <c r="A166" s="14" t="n">
        <v>155</v>
      </c>
      <c r="B166" s="7" t="inlineStr">
        <is>
          <t>Kedai Sam Owob</t>
        </is>
      </c>
      <c r="C166" s="26" t="n">
        <v>-8.0651429</v>
      </c>
      <c r="D166" s="26" t="n">
        <v>112.5188197</v>
      </c>
      <c r="E166" s="21" t="n">
        <v>15000</v>
      </c>
      <c r="F166" s="27" t="n">
        <v>4.8</v>
      </c>
      <c r="G166" s="28" t="n">
        <v>26</v>
      </c>
      <c r="H166" s="14" t="inlineStr">
        <is>
          <t>Restoran · WGM9+WGW</t>
        </is>
      </c>
      <c r="I166" s="29">
        <f>6371 * 2 * ASIN(SQRT(SIN(RADIANS((C166) - INDEX('Dataset_Wisata'!$C$12:$C$622, MATCH('Dashboard'!$C$9, 'Dataset_Wisata'!$A$12:$A$622, 0)))/2)^2 + COS(RADIANS(INDEX('Dataset_Wisata'!$C$12:$C$622, MATCH('Dashboard'!$C$9, 'Dataset_Wisata'!$A$12:$A$622, 0)))) * COS(RADIANS(C166)) * SIN(RADIANS((D166) - INDEX('Dataset_Wisata'!$D$12:$D$622, MATCH('Dashboard'!$C$9, 'Dataset_Wisata'!$A$12:$A$622, 0)))/2)^2)) * 1.3</f>
        <v/>
      </c>
      <c r="J166" s="21">
        <f>ROUND(I166 * IF('Dashboard'!$C$6&lt;=1, 2250, IF('Dashboard'!$C$6&lt;=4, 5150, 6000)), 0)</f>
        <v/>
      </c>
      <c r="K166" s="30" t="n">
        <v>0.9686283169848018</v>
      </c>
      <c r="L166" s="30" t="n">
        <v>0.02872990537067274</v>
      </c>
      <c r="M166" s="30" t="n">
        <v>0.002641777644525457</v>
      </c>
      <c r="N166" s="31">
        <f>ABS(E166-$F$6)</f>
        <v/>
      </c>
      <c r="O166" s="31">
        <f>ABS(E166-$F$7)</f>
        <v/>
      </c>
      <c r="P166" s="31">
        <f>ABS(E166-$F$8)</f>
        <v/>
      </c>
      <c r="Q166" s="14">
        <f>IF(K166&gt;=MAX(L166,M166), "Hemat", IF(L166&gt;=M166, "Balanced", "Premium"))</f>
        <v/>
      </c>
      <c r="R166" s="30" t="n">
        <v>0.9686282798936615</v>
      </c>
      <c r="S166" s="30" t="n">
        <v>0.02872993996961344</v>
      </c>
      <c r="T166" s="30" t="n">
        <v>0.002641780136725144</v>
      </c>
      <c r="U166" s="31">
        <f>ABS(E166-$G$6)</f>
        <v/>
      </c>
      <c r="V166" s="31">
        <f>ABS(E166-$G$7)</f>
        <v/>
      </c>
      <c r="W166" s="31">
        <f>ABS(E166-$G$8)</f>
        <v/>
      </c>
      <c r="X166" s="14">
        <f>IF(R166&gt;=MAX(S166,T166), "Hemat", IF(S166&gt;=T166, "Balanced", "Premium"))</f>
        <v/>
      </c>
    </row>
    <row r="167">
      <c r="A167" s="14" t="n">
        <v>156</v>
      </c>
      <c r="B167" s="7" t="inlineStr">
        <is>
          <t>Warung Tegal Dau</t>
        </is>
      </c>
      <c r="C167" s="26" t="n">
        <v>-7.913746</v>
      </c>
      <c r="D167" s="26" t="n">
        <v>112.5845741</v>
      </c>
      <c r="E167" s="21" t="n">
        <v>13000</v>
      </c>
      <c r="F167" s="27" t="n">
        <v>4.4</v>
      </c>
      <c r="G167" s="28" t="n">
        <v>208</v>
      </c>
      <c r="H167" s="14" t="inlineStr">
        <is>
          <t>Warung Tegal Dau</t>
        </is>
      </c>
      <c r="I167" s="29">
        <f>6371 * 2 * ASIN(SQRT(SIN(RADIANS((C167) - INDEX('Dataset_Wisata'!$C$12:$C$622, MATCH('Dashboard'!$C$9, 'Dataset_Wisata'!$A$12:$A$622, 0)))/2)^2 + COS(RADIANS(INDEX('Dataset_Wisata'!$C$12:$C$622, MATCH('Dashboard'!$C$9, 'Dataset_Wisata'!$A$12:$A$622, 0)))) * COS(RADIANS(C167)) * SIN(RADIANS((D167) - INDEX('Dataset_Wisata'!$D$12:$D$622, MATCH('Dashboard'!$C$9, 'Dataset_Wisata'!$A$12:$A$622, 0)))/2)^2)) * 1.3</f>
        <v/>
      </c>
      <c r="J167" s="21">
        <f>ROUND(I167 * IF('Dashboard'!$C$6&lt;=1, 2250, IF('Dashboard'!$C$6&lt;=4, 5150, 6000)), 0)</f>
        <v/>
      </c>
      <c r="K167" s="30" t="n">
        <v>0.9996613401455278</v>
      </c>
      <c r="L167" s="30" t="n">
        <v>0.0003032413982241428</v>
      </c>
      <c r="M167" s="30" t="n">
        <v>3.541845624800055e-05</v>
      </c>
      <c r="N167" s="31">
        <f>ABS(E167-$F$6)</f>
        <v/>
      </c>
      <c r="O167" s="31">
        <f>ABS(E167-$F$7)</f>
        <v/>
      </c>
      <c r="P167" s="31">
        <f>ABS(E167-$F$8)</f>
        <v/>
      </c>
      <c r="Q167" s="14">
        <f>IF(K167&gt;=MAX(L167,M167), "Hemat", IF(L167&gt;=M167, "Balanced", "Premium"))</f>
        <v/>
      </c>
      <c r="R167" s="30" t="n">
        <v>0.9996613420378273</v>
      </c>
      <c r="S167" s="30" t="n">
        <v>0.0003032397098959421</v>
      </c>
      <c r="T167" s="30" t="n">
        <v>3.541825227674828e-05</v>
      </c>
      <c r="U167" s="31">
        <f>ABS(E167-$G$6)</f>
        <v/>
      </c>
      <c r="V167" s="31">
        <f>ABS(E167-$G$7)</f>
        <v/>
      </c>
      <c r="W167" s="31">
        <f>ABS(E167-$G$8)</f>
        <v/>
      </c>
      <c r="X167" s="14">
        <f>IF(R167&gt;=MAX(S167,T167), "Hemat", IF(S167&gt;=T167, "Balanced", "Premium"))</f>
        <v/>
      </c>
    </row>
    <row r="168">
      <c r="A168" s="14" t="n">
        <v>157</v>
      </c>
      <c r="B168" s="7" t="inlineStr">
        <is>
          <t>Warung Seruni (Masakan Khas Bali)</t>
        </is>
      </c>
      <c r="C168" s="26" t="n">
        <v>-7.9691983</v>
      </c>
      <c r="D168" s="26" t="n">
        <v>112.6029967</v>
      </c>
      <c r="E168" s="21" t="n">
        <v>45625</v>
      </c>
      <c r="F168" s="27" t="n">
        <v>4.8</v>
      </c>
      <c r="G168" s="28" t="n">
        <v>343</v>
      </c>
      <c r="H168" s="14" t="inlineStr">
        <is>
          <t>Warung Seruni (Masakan Khas Bali)</t>
        </is>
      </c>
      <c r="I168" s="29">
        <f>6371 * 2 * ASIN(SQRT(SIN(RADIANS((C168) - INDEX('Dataset_Wisata'!$C$12:$C$622, MATCH('Dashboard'!$C$9, 'Dataset_Wisata'!$A$12:$A$622, 0)))/2)^2 + COS(RADIANS(INDEX('Dataset_Wisata'!$C$12:$C$622, MATCH('Dashboard'!$C$9, 'Dataset_Wisata'!$A$12:$A$622, 0)))) * COS(RADIANS(C168)) * SIN(RADIANS((D168) - INDEX('Dataset_Wisata'!$D$12:$D$622, MATCH('Dashboard'!$C$9, 'Dataset_Wisata'!$A$12:$A$622, 0)))/2)^2)) * 1.3</f>
        <v/>
      </c>
      <c r="J168" s="21">
        <f>ROUND(I168 * IF('Dashboard'!$C$6&lt;=1, 2250, IF('Dashboard'!$C$6&lt;=4, 5150, 6000)), 0)</f>
        <v/>
      </c>
      <c r="K168" s="30" t="n">
        <v>0.01149824663066737</v>
      </c>
      <c r="L168" s="30" t="n">
        <v>0.02941731482636854</v>
      </c>
      <c r="M168" s="30" t="n">
        <v>0.9590844385429641</v>
      </c>
      <c r="N168" s="31">
        <f>ABS(E168-$F$6)</f>
        <v/>
      </c>
      <c r="O168" s="31">
        <f>ABS(E168-$F$7)</f>
        <v/>
      </c>
      <c r="P168" s="31">
        <f>ABS(E168-$F$8)</f>
        <v/>
      </c>
      <c r="Q168" s="14">
        <f>IF(K168&gt;=MAX(L168,M168), "Hemat", IF(L168&gt;=M168, "Balanced", "Premium"))</f>
        <v/>
      </c>
      <c r="R168" s="30" t="n">
        <v>0.01149821894048825</v>
      </c>
      <c r="S168" s="30" t="n">
        <v>0.02941723736024369</v>
      </c>
      <c r="T168" s="30" t="n">
        <v>0.9590845436992681</v>
      </c>
      <c r="U168" s="31">
        <f>ABS(E168-$G$6)</f>
        <v/>
      </c>
      <c r="V168" s="31">
        <f>ABS(E168-$G$7)</f>
        <v/>
      </c>
      <c r="W168" s="31">
        <f>ABS(E168-$G$8)</f>
        <v/>
      </c>
      <c r="X168" s="14">
        <f>IF(R168&gt;=MAX(S168,T168), "Hemat", IF(S168&gt;=T168, "Balanced", "Premium"))</f>
        <v/>
      </c>
    </row>
    <row r="169">
      <c r="A169" s="14" t="n">
        <v>158</v>
      </c>
      <c r="B169" s="7" t="inlineStr">
        <is>
          <t>Depot Pondok Indah</t>
        </is>
      </c>
      <c r="C169" s="26" t="n">
        <v>-7.9217659</v>
      </c>
      <c r="D169" s="26" t="n">
        <v>112.5956311</v>
      </c>
      <c r="E169" s="21" t="n">
        <v>35385</v>
      </c>
      <c r="F169" s="27" t="n">
        <v>4.3</v>
      </c>
      <c r="G169" s="28" t="n">
        <v>126</v>
      </c>
      <c r="H169" s="14" t="inlineStr">
        <is>
          <t>Wisata Umum</t>
        </is>
      </c>
      <c r="I169" s="29">
        <f>6371 * 2 * ASIN(SQRT(SIN(RADIANS((C169) - INDEX('Dataset_Wisata'!$C$12:$C$622, MATCH('Dashboard'!$C$9, 'Dataset_Wisata'!$A$12:$A$622, 0)))/2)^2 + COS(RADIANS(INDEX('Dataset_Wisata'!$C$12:$C$622, MATCH('Dashboard'!$C$9, 'Dataset_Wisata'!$A$12:$A$622, 0)))) * COS(RADIANS(C169)) * SIN(RADIANS((D169) - INDEX('Dataset_Wisata'!$D$12:$D$622, MATCH('Dashboard'!$C$9, 'Dataset_Wisata'!$A$12:$A$622, 0)))/2)^2)) * 1.3</f>
        <v/>
      </c>
      <c r="J169" s="21">
        <f>ROUND(I169 * IF('Dashboard'!$C$6&lt;=1, 2250, IF('Dashboard'!$C$6&lt;=4, 5150, 6000)), 0)</f>
        <v/>
      </c>
      <c r="K169" s="30" t="n">
        <v>0.1179498799070529</v>
      </c>
      <c r="L169" s="30" t="n">
        <v>0.5771388688608372</v>
      </c>
      <c r="M169" s="30" t="n">
        <v>0.30491125123211</v>
      </c>
      <c r="N169" s="31">
        <f>ABS(E169-$F$6)</f>
        <v/>
      </c>
      <c r="O169" s="31">
        <f>ABS(E169-$F$7)</f>
        <v/>
      </c>
      <c r="P169" s="31">
        <f>ABS(E169-$F$8)</f>
        <v/>
      </c>
      <c r="Q169" s="14">
        <f>IF(K169&gt;=MAX(L169,M169), "Hemat", IF(L169&gt;=M169, "Balanced", "Premium"))</f>
        <v/>
      </c>
      <c r="R169" s="30" t="n">
        <v>0.1179498873799956</v>
      </c>
      <c r="S169" s="30" t="n">
        <v>0.5771386298391314</v>
      </c>
      <c r="T169" s="30" t="n">
        <v>0.304911482780873</v>
      </c>
      <c r="U169" s="31">
        <f>ABS(E169-$G$6)</f>
        <v/>
      </c>
      <c r="V169" s="31">
        <f>ABS(E169-$G$7)</f>
        <v/>
      </c>
      <c r="W169" s="31">
        <f>ABS(E169-$G$8)</f>
        <v/>
      </c>
      <c r="X169" s="14">
        <f>IF(R169&gt;=MAX(S169,T169), "Hemat", IF(S169&gt;=T169, "Balanced", "Premium"))</f>
        <v/>
      </c>
    </row>
    <row r="170">
      <c r="A170" s="14" t="n">
        <v>159</v>
      </c>
      <c r="B170" s="7" t="inlineStr">
        <is>
          <t>Depot Idola</t>
        </is>
      </c>
      <c r="C170" s="26" t="n">
        <v>-7.947223</v>
      </c>
      <c r="D170" s="26" t="n">
        <v>112.6253095</v>
      </c>
      <c r="E170" s="21" t="n">
        <v>11000</v>
      </c>
      <c r="F170" s="27" t="n">
        <v>4.4</v>
      </c>
      <c r="G170" s="28" t="n">
        <v>166</v>
      </c>
      <c r="H170" s="14" t="inlineStr">
        <is>
          <t>Wisata Umum</t>
        </is>
      </c>
      <c r="I170" s="29">
        <f>6371 * 2 * ASIN(SQRT(SIN(RADIANS((C170) - INDEX('Dataset_Wisata'!$C$12:$C$622, MATCH('Dashboard'!$C$9, 'Dataset_Wisata'!$A$12:$A$622, 0)))/2)^2 + COS(RADIANS(INDEX('Dataset_Wisata'!$C$12:$C$622, MATCH('Dashboard'!$C$9, 'Dataset_Wisata'!$A$12:$A$622, 0)))) * COS(RADIANS(C170)) * SIN(RADIANS((D170) - INDEX('Dataset_Wisata'!$D$12:$D$622, MATCH('Dashboard'!$C$9, 'Dataset_Wisata'!$A$12:$A$622, 0)))/2)^2)) * 1.3</f>
        <v/>
      </c>
      <c r="J170" s="21">
        <f>ROUND(I170 * IF('Dashboard'!$C$6&lt;=1, 2250, IF('Dashboard'!$C$6&lt;=4, 5150, 6000)), 0)</f>
        <v/>
      </c>
      <c r="K170" s="30" t="n">
        <v>0.9735599178193949</v>
      </c>
      <c r="L170" s="30" t="n">
        <v>0.02316133672104913</v>
      </c>
      <c r="M170" s="30" t="n">
        <v>0.003278745459555964</v>
      </c>
      <c r="N170" s="31">
        <f>ABS(E170-$F$6)</f>
        <v/>
      </c>
      <c r="O170" s="31">
        <f>ABS(E170-$F$7)</f>
        <v/>
      </c>
      <c r="P170" s="31">
        <f>ABS(E170-$F$8)</f>
        <v/>
      </c>
      <c r="Q170" s="14">
        <f>IF(K170&gt;=MAX(L170,M170), "Hemat", IF(L170&gt;=M170, "Balanced", "Premium"))</f>
        <v/>
      </c>
      <c r="R170" s="30" t="n">
        <v>0.973559923674283</v>
      </c>
      <c r="S170" s="30" t="n">
        <v>0.02316133200448154</v>
      </c>
      <c r="T170" s="30" t="n">
        <v>0.003278744321235429</v>
      </c>
      <c r="U170" s="31">
        <f>ABS(E170-$G$6)</f>
        <v/>
      </c>
      <c r="V170" s="31">
        <f>ABS(E170-$G$7)</f>
        <v/>
      </c>
      <c r="W170" s="31">
        <f>ABS(E170-$G$8)</f>
        <v/>
      </c>
      <c r="X170" s="14">
        <f>IF(R170&gt;=MAX(S170,T170), "Hemat", IF(S170&gt;=T170, "Balanced", "Premium"))</f>
        <v/>
      </c>
    </row>
    <row r="171">
      <c r="A171" s="14" t="n">
        <v>160</v>
      </c>
      <c r="B171" s="7" t="inlineStr">
        <is>
          <t>Depot Guntur</t>
        </is>
      </c>
      <c r="C171" s="26" t="n">
        <v>-7.9683431</v>
      </c>
      <c r="D171" s="26" t="n">
        <v>112.6250635</v>
      </c>
      <c r="E171" s="21" t="n">
        <v>15000</v>
      </c>
      <c r="F171" s="27" t="n">
        <v>4.5</v>
      </c>
      <c r="G171" s="28" t="n">
        <v>23</v>
      </c>
      <c r="H171" s="14" t="inlineStr">
        <is>
          <t>Restoran · 2JJG+M28, Jl. Guntur</t>
        </is>
      </c>
      <c r="I171" s="29">
        <f>6371 * 2 * ASIN(SQRT(SIN(RADIANS((C171) - INDEX('Dataset_Wisata'!$C$12:$C$622, MATCH('Dashboard'!$C$9, 'Dataset_Wisata'!$A$12:$A$622, 0)))/2)^2 + COS(RADIANS(INDEX('Dataset_Wisata'!$C$12:$C$622, MATCH('Dashboard'!$C$9, 'Dataset_Wisata'!$A$12:$A$622, 0)))) * COS(RADIANS(C171)) * SIN(RADIANS((D171) - INDEX('Dataset_Wisata'!$D$12:$D$622, MATCH('Dashboard'!$C$9, 'Dataset_Wisata'!$A$12:$A$622, 0)))/2)^2)) * 1.3</f>
        <v/>
      </c>
      <c r="J171" s="21">
        <f>ROUND(I171 * IF('Dashboard'!$C$6&lt;=1, 2250, IF('Dashboard'!$C$6&lt;=4, 5150, 6000)), 0)</f>
        <v/>
      </c>
      <c r="K171" s="30" t="n">
        <v>0.9686283169848018</v>
      </c>
      <c r="L171" s="30" t="n">
        <v>0.02872990537067274</v>
      </c>
      <c r="M171" s="30" t="n">
        <v>0.002641777644525457</v>
      </c>
      <c r="N171" s="31">
        <f>ABS(E171-$F$6)</f>
        <v/>
      </c>
      <c r="O171" s="31">
        <f>ABS(E171-$F$7)</f>
        <v/>
      </c>
      <c r="P171" s="31">
        <f>ABS(E171-$F$8)</f>
        <v/>
      </c>
      <c r="Q171" s="14">
        <f>IF(K171&gt;=MAX(L171,M171), "Hemat", IF(L171&gt;=M171, "Balanced", "Premium"))</f>
        <v/>
      </c>
      <c r="R171" s="30" t="n">
        <v>0.9686282798936615</v>
      </c>
      <c r="S171" s="30" t="n">
        <v>0.02872993996961344</v>
      </c>
      <c r="T171" s="30" t="n">
        <v>0.002641780136725144</v>
      </c>
      <c r="U171" s="31">
        <f>ABS(E171-$G$6)</f>
        <v/>
      </c>
      <c r="V171" s="31">
        <f>ABS(E171-$G$7)</f>
        <v/>
      </c>
      <c r="W171" s="31">
        <f>ABS(E171-$G$8)</f>
        <v/>
      </c>
      <c r="X171" s="14">
        <f>IF(R171&gt;=MAX(S171,T171), "Hemat", IF(S171&gt;=T171, "Balanced", "Premium"))</f>
        <v/>
      </c>
    </row>
    <row r="172">
      <c r="A172" s="14" t="n">
        <v>161</v>
      </c>
      <c r="B172" s="7" t="inlineStr">
        <is>
          <t>Depot Goyang Lidah 1987</t>
        </is>
      </c>
      <c r="C172" s="26" t="n">
        <v>-7.9641545</v>
      </c>
      <c r="D172" s="26" t="n">
        <v>112.6389724</v>
      </c>
      <c r="E172" s="21" t="n">
        <v>29000</v>
      </c>
      <c r="F172" s="27" t="n">
        <v>4.2</v>
      </c>
      <c r="G172" s="28" t="n">
        <v>226</v>
      </c>
      <c r="H172" s="14" t="inlineStr">
        <is>
          <t>Wisata Umum</t>
        </is>
      </c>
      <c r="I172" s="29">
        <f>6371 * 2 * ASIN(SQRT(SIN(RADIANS((C172) - INDEX('Dataset_Wisata'!$C$12:$C$622, MATCH('Dashboard'!$C$9, 'Dataset_Wisata'!$A$12:$A$622, 0)))/2)^2 + COS(RADIANS(INDEX('Dataset_Wisata'!$C$12:$C$622, MATCH('Dashboard'!$C$9, 'Dataset_Wisata'!$A$12:$A$622, 0)))) * COS(RADIANS(C172)) * SIN(RADIANS((D172) - INDEX('Dataset_Wisata'!$D$12:$D$622, MATCH('Dashboard'!$C$9, 'Dataset_Wisata'!$A$12:$A$622, 0)))/2)^2)) * 1.3</f>
        <v/>
      </c>
      <c r="J172" s="21">
        <f>ROUND(I172 * IF('Dashboard'!$C$6&lt;=1, 2250, IF('Dashboard'!$C$6&lt;=4, 5150, 6000)), 0)</f>
        <v/>
      </c>
      <c r="K172" s="30" t="n">
        <v>0.04891220720485471</v>
      </c>
      <c r="L172" s="30" t="n">
        <v>0.9211430684021159</v>
      </c>
      <c r="M172" s="30" t="n">
        <v>0.02994472439302949</v>
      </c>
      <c r="N172" s="31">
        <f>ABS(E172-$F$6)</f>
        <v/>
      </c>
      <c r="O172" s="31">
        <f>ABS(E172-$F$7)</f>
        <v/>
      </c>
      <c r="P172" s="31">
        <f>ABS(E172-$F$8)</f>
        <v/>
      </c>
      <c r="Q172" s="14">
        <f>IF(K172&gt;=MAX(L172,M172), "Hemat", IF(L172&gt;=M172, "Balanced", "Premium"))</f>
        <v/>
      </c>
      <c r="R172" s="30" t="n">
        <v>0.04891226927598172</v>
      </c>
      <c r="S172" s="30" t="n">
        <v>0.9211429528252439</v>
      </c>
      <c r="T172" s="30" t="n">
        <v>0.0299447778987744</v>
      </c>
      <c r="U172" s="31">
        <f>ABS(E172-$G$6)</f>
        <v/>
      </c>
      <c r="V172" s="31">
        <f>ABS(E172-$G$7)</f>
        <v/>
      </c>
      <c r="W172" s="31">
        <f>ABS(E172-$G$8)</f>
        <v/>
      </c>
      <c r="X172" s="14">
        <f>IF(R172&gt;=MAX(S172,T172), "Hemat", IF(S172&gt;=T172, "Balanced", "Premium"))</f>
        <v/>
      </c>
    </row>
    <row r="173">
      <c r="A173" s="14" t="n">
        <v>162</v>
      </c>
      <c r="B173" s="7" t="inlineStr">
        <is>
          <t>Bli Badre Kictchen</t>
        </is>
      </c>
      <c r="C173" s="26" t="n">
        <v>-7.9189371</v>
      </c>
      <c r="D173" s="26" t="n">
        <v>112.5852516</v>
      </c>
      <c r="E173" s="21" t="n">
        <v>22500</v>
      </c>
      <c r="F173" s="27" t="n">
        <v>4.6</v>
      </c>
      <c r="G173" s="28" t="n">
        <v>134</v>
      </c>
      <c r="H173" s="14" t="inlineStr">
        <is>
          <t>Wisata Umum</t>
        </is>
      </c>
      <c r="I173" s="29">
        <f>6371 * 2 * ASIN(SQRT(SIN(RADIANS((C173) - INDEX('Dataset_Wisata'!$C$12:$C$622, MATCH('Dashboard'!$C$9, 'Dataset_Wisata'!$A$12:$A$622, 0)))/2)^2 + COS(RADIANS(INDEX('Dataset_Wisata'!$C$12:$C$622, MATCH('Dashboard'!$C$9, 'Dataset_Wisata'!$A$12:$A$622, 0)))) * COS(RADIANS(C173)) * SIN(RADIANS((D173) - INDEX('Dataset_Wisata'!$D$12:$D$622, MATCH('Dashboard'!$C$9, 'Dataset_Wisata'!$A$12:$A$622, 0)))/2)^2)) * 1.3</f>
        <v/>
      </c>
      <c r="J173" s="21">
        <f>ROUND(I173 * IF('Dashboard'!$C$6&lt;=1, 2250, IF('Dashboard'!$C$6&lt;=4, 5150, 6000)), 0)</f>
        <v/>
      </c>
      <c r="K173" s="30" t="n">
        <v>0.08590721818578816</v>
      </c>
      <c r="L173" s="30" t="n">
        <v>0.9036840196741893</v>
      </c>
      <c r="M173" s="30" t="n">
        <v>0.01040876214002235</v>
      </c>
      <c r="N173" s="31">
        <f>ABS(E173-$F$6)</f>
        <v/>
      </c>
      <c r="O173" s="31">
        <f>ABS(E173-$F$7)</f>
        <v/>
      </c>
      <c r="P173" s="31">
        <f>ABS(E173-$F$8)</f>
        <v/>
      </c>
      <c r="Q173" s="14">
        <f>IF(K173&gt;=MAX(L173,M173), "Hemat", IF(L173&gt;=M173, "Balanced", "Premium"))</f>
        <v/>
      </c>
      <c r="R173" s="30" t="n">
        <v>0.08590706132500794</v>
      </c>
      <c r="S173" s="30" t="n">
        <v>0.9036841906599963</v>
      </c>
      <c r="T173" s="30" t="n">
        <v>0.01040874801499566</v>
      </c>
      <c r="U173" s="31">
        <f>ABS(E173-$G$6)</f>
        <v/>
      </c>
      <c r="V173" s="31">
        <f>ABS(E173-$G$7)</f>
        <v/>
      </c>
      <c r="W173" s="31">
        <f>ABS(E173-$G$8)</f>
        <v/>
      </c>
      <c r="X173" s="14">
        <f>IF(R173&gt;=MAX(S173,T173), "Hemat", IF(S173&gt;=T173, "Balanced", "Premium"))</f>
        <v/>
      </c>
    </row>
    <row r="174">
      <c r="A174" s="14" t="n">
        <v>163</v>
      </c>
      <c r="B174" s="7" t="inlineStr">
        <is>
          <t>Lathea</t>
        </is>
      </c>
      <c r="C174" s="26" t="n">
        <v>-7.9231106</v>
      </c>
      <c r="D174" s="26" t="n">
        <v>112.5405775</v>
      </c>
      <c r="E174" s="21" t="n">
        <v>18000</v>
      </c>
      <c r="F174" s="27" t="n">
        <v>4.5</v>
      </c>
      <c r="G174" s="28" t="n">
        <v>294</v>
      </c>
      <c r="H174" s="14" t="inlineStr">
        <is>
          <t>Restoran · 3GGR+R8G</t>
        </is>
      </c>
      <c r="I174" s="29">
        <f>6371 * 2 * ASIN(SQRT(SIN(RADIANS((C174) - INDEX('Dataset_Wisata'!$C$12:$C$622, MATCH('Dashboard'!$C$9, 'Dataset_Wisata'!$A$12:$A$622, 0)))/2)^2 + COS(RADIANS(INDEX('Dataset_Wisata'!$C$12:$C$622, MATCH('Dashboard'!$C$9, 'Dataset_Wisata'!$A$12:$A$622, 0)))) * COS(RADIANS(C174)) * SIN(RADIANS((D174) - INDEX('Dataset_Wisata'!$D$12:$D$622, MATCH('Dashboard'!$C$9, 'Dataset_Wisata'!$A$12:$A$622, 0)))/2)^2)) * 1.3</f>
        <v/>
      </c>
      <c r="J174" s="21">
        <f>ROUND(I174 * IF('Dashboard'!$C$6&lt;=1, 2250, IF('Dashboard'!$C$6&lt;=4, 5150, 6000)), 0)</f>
        <v/>
      </c>
      <c r="K174" s="30" t="n">
        <v>0.6916251733659831</v>
      </c>
      <c r="L174" s="30" t="n">
        <v>0.2920817970297536</v>
      </c>
      <c r="M174" s="30" t="n">
        <v>0.01629302960426341</v>
      </c>
      <c r="N174" s="31">
        <f>ABS(E174-$F$6)</f>
        <v/>
      </c>
      <c r="O174" s="31">
        <f>ABS(E174-$F$7)</f>
        <v/>
      </c>
      <c r="P174" s="31">
        <f>ABS(E174-$F$8)</f>
        <v/>
      </c>
      <c r="Q174" s="14">
        <f>IF(K174&gt;=MAX(L174,M174), "Hemat", IF(L174&gt;=M174, "Balanced", "Premium"))</f>
        <v/>
      </c>
      <c r="R174" s="30" t="n">
        <v>0.6916249652211897</v>
      </c>
      <c r="S174" s="30" t="n">
        <v>0.2920820010799081</v>
      </c>
      <c r="T174" s="30" t="n">
        <v>0.01629303369890229</v>
      </c>
      <c r="U174" s="31">
        <f>ABS(E174-$G$6)</f>
        <v/>
      </c>
      <c r="V174" s="31">
        <f>ABS(E174-$G$7)</f>
        <v/>
      </c>
      <c r="W174" s="31">
        <f>ABS(E174-$G$8)</f>
        <v/>
      </c>
      <c r="X174" s="14">
        <f>IF(R174&gt;=MAX(S174,T174), "Hemat", IF(S174&gt;=T174, "Balanced", "Premium"))</f>
        <v/>
      </c>
    </row>
    <row r="175">
      <c r="A175" s="14" t="n">
        <v>164</v>
      </c>
      <c r="B175" s="7" t="inlineStr">
        <is>
          <t>Rawon Subuh Makmur</t>
        </is>
      </c>
      <c r="C175" s="26" t="n">
        <v>-7.8946322</v>
      </c>
      <c r="D175" s="26" t="n">
        <v>112.5335391</v>
      </c>
      <c r="E175" s="21" t="n">
        <v>20000</v>
      </c>
      <c r="F175" s="27" t="n">
        <v>4.9</v>
      </c>
      <c r="G175" s="28" t="n">
        <v>56</v>
      </c>
      <c r="H175" s="14" t="inlineStr">
        <is>
          <t>Wisata Umum</t>
        </is>
      </c>
      <c r="I175" s="29">
        <f>6371 * 2 * ASIN(SQRT(SIN(RADIANS((C175) - INDEX('Dataset_Wisata'!$C$12:$C$622, MATCH('Dashboard'!$C$9, 'Dataset_Wisata'!$A$12:$A$622, 0)))/2)^2 + COS(RADIANS(INDEX('Dataset_Wisata'!$C$12:$C$622, MATCH('Dashboard'!$C$9, 'Dataset_Wisata'!$A$12:$A$622, 0)))) * COS(RADIANS(C175)) * SIN(RADIANS((D175) - INDEX('Dataset_Wisata'!$D$12:$D$622, MATCH('Dashboard'!$C$9, 'Dataset_Wisata'!$A$12:$A$622, 0)))/2)^2)) * 1.3</f>
        <v/>
      </c>
      <c r="J175" s="21">
        <f>ROUND(I175 * IF('Dashboard'!$C$6&lt;=1, 2250, IF('Dashboard'!$C$6&lt;=4, 5150, 6000)), 0)</f>
        <v/>
      </c>
      <c r="K175" s="30" t="n">
        <v>0.3766864462048385</v>
      </c>
      <c r="L175" s="30" t="n">
        <v>0.6029404273516955</v>
      </c>
      <c r="M175" s="30" t="n">
        <v>0.02037312644346593</v>
      </c>
      <c r="N175" s="31">
        <f>ABS(E175-$F$6)</f>
        <v/>
      </c>
      <c r="O175" s="31">
        <f>ABS(E175-$F$7)</f>
        <v/>
      </c>
      <c r="P175" s="31">
        <f>ABS(E175-$F$8)</f>
        <v/>
      </c>
      <c r="Q175" s="14">
        <f>IF(K175&gt;=MAX(L175,M175), "Hemat", IF(L175&gt;=M175, "Balanced", "Premium"))</f>
        <v/>
      </c>
      <c r="R175" s="30" t="n">
        <v>0.3766861717192874</v>
      </c>
      <c r="S175" s="30" t="n">
        <v>0.6029407066601674</v>
      </c>
      <c r="T175" s="30" t="n">
        <v>0.02037312162054524</v>
      </c>
      <c r="U175" s="31">
        <f>ABS(E175-$G$6)</f>
        <v/>
      </c>
      <c r="V175" s="31">
        <f>ABS(E175-$G$7)</f>
        <v/>
      </c>
      <c r="W175" s="31">
        <f>ABS(E175-$G$8)</f>
        <v/>
      </c>
      <c r="X175" s="14">
        <f>IF(R175&gt;=MAX(S175,T175), "Hemat", IF(S175&gt;=T175, "Balanced", "Premium"))</f>
        <v/>
      </c>
    </row>
    <row r="176">
      <c r="A176" s="14" t="n">
        <v>165</v>
      </c>
      <c r="B176" s="7" t="inlineStr">
        <is>
          <t>Catering &amp; Rumah makan Cak Tono</t>
        </is>
      </c>
      <c r="C176" s="26" t="n">
        <v>-7.8879523</v>
      </c>
      <c r="D176" s="26" t="n">
        <v>112.5310303</v>
      </c>
      <c r="E176" s="21" t="n">
        <v>13000</v>
      </c>
      <c r="F176" s="27" t="n">
        <v>4.5</v>
      </c>
      <c r="G176" s="28" t="n">
        <v>498</v>
      </c>
      <c r="H176" s="14" t="inlineStr">
        <is>
          <t>Wisata Umum</t>
        </is>
      </c>
      <c r="I176" s="29">
        <f>6371 * 2 * ASIN(SQRT(SIN(RADIANS((C176) - INDEX('Dataset_Wisata'!$C$12:$C$622, MATCH('Dashboard'!$C$9, 'Dataset_Wisata'!$A$12:$A$622, 0)))/2)^2 + COS(RADIANS(INDEX('Dataset_Wisata'!$C$12:$C$622, MATCH('Dashboard'!$C$9, 'Dataset_Wisata'!$A$12:$A$622, 0)))) * COS(RADIANS(C176)) * SIN(RADIANS((D176) - INDEX('Dataset_Wisata'!$D$12:$D$622, MATCH('Dashboard'!$C$9, 'Dataset_Wisata'!$A$12:$A$622, 0)))/2)^2)) * 1.3</f>
        <v/>
      </c>
      <c r="J176" s="21">
        <f>ROUND(I176 * IF('Dashboard'!$C$6&lt;=1, 2250, IF('Dashboard'!$C$6&lt;=4, 5150, 6000)), 0)</f>
        <v/>
      </c>
      <c r="K176" s="30" t="n">
        <v>0.9996613401455278</v>
      </c>
      <c r="L176" s="30" t="n">
        <v>0.0003032413982241428</v>
      </c>
      <c r="M176" s="30" t="n">
        <v>3.541845624800055e-05</v>
      </c>
      <c r="N176" s="31">
        <f>ABS(E176-$F$6)</f>
        <v/>
      </c>
      <c r="O176" s="31">
        <f>ABS(E176-$F$7)</f>
        <v/>
      </c>
      <c r="P176" s="31">
        <f>ABS(E176-$F$8)</f>
        <v/>
      </c>
      <c r="Q176" s="14">
        <f>IF(K176&gt;=MAX(L176,M176), "Hemat", IF(L176&gt;=M176, "Balanced", "Premium"))</f>
        <v/>
      </c>
      <c r="R176" s="30" t="n">
        <v>0.9996613420378273</v>
      </c>
      <c r="S176" s="30" t="n">
        <v>0.0003032397098959421</v>
      </c>
      <c r="T176" s="30" t="n">
        <v>3.541825227674828e-05</v>
      </c>
      <c r="U176" s="31">
        <f>ABS(E176-$G$6)</f>
        <v/>
      </c>
      <c r="V176" s="31">
        <f>ABS(E176-$G$7)</f>
        <v/>
      </c>
      <c r="W176" s="31">
        <f>ABS(E176-$G$8)</f>
        <v/>
      </c>
      <c r="X176" s="14">
        <f>IF(R176&gt;=MAX(S176,T176), "Hemat", IF(S176&gt;=T176, "Balanced", "Premium"))</f>
        <v/>
      </c>
    </row>
    <row r="177">
      <c r="A177" s="14" t="n">
        <v>166</v>
      </c>
      <c r="B177" s="7" t="inlineStr">
        <is>
          <t>Warung Nasi "Sidik"</t>
        </is>
      </c>
      <c r="C177" s="26" t="n">
        <v>-7.8818524</v>
      </c>
      <c r="D177" s="26" t="n">
        <v>112.5297002</v>
      </c>
      <c r="E177" s="21" t="n">
        <v>23000</v>
      </c>
      <c r="F177" s="27" t="n">
        <v>4.4</v>
      </c>
      <c r="G177" s="28" t="n">
        <v>4510</v>
      </c>
      <c r="H177" s="14" t="inlineStr">
        <is>
          <t>Warung Nasi "Sidik"</t>
        </is>
      </c>
      <c r="I177" s="29">
        <f>6371 * 2 * ASIN(SQRT(SIN(RADIANS((C177) - INDEX('Dataset_Wisata'!$C$12:$C$622, MATCH('Dashboard'!$C$9, 'Dataset_Wisata'!$A$12:$A$622, 0)))/2)^2 + COS(RADIANS(INDEX('Dataset_Wisata'!$C$12:$C$622, MATCH('Dashboard'!$C$9, 'Dataset_Wisata'!$A$12:$A$622, 0)))) * COS(RADIANS(C177)) * SIN(RADIANS((D177) - INDEX('Dataset_Wisata'!$D$12:$D$622, MATCH('Dashboard'!$C$9, 'Dataset_Wisata'!$A$12:$A$622, 0)))/2)^2)) * 1.3</f>
        <v/>
      </c>
      <c r="J177" s="21">
        <f>ROUND(I177 * IF('Dashboard'!$C$6&lt;=1, 2250, IF('Dashboard'!$C$6&lt;=4, 5150, 6000)), 0)</f>
        <v/>
      </c>
      <c r="K177" s="30" t="n">
        <v>0.05467333468637936</v>
      </c>
      <c r="L177" s="30" t="n">
        <v>0.9376858328604777</v>
      </c>
      <c r="M177" s="30" t="n">
        <v>0.007640832453142947</v>
      </c>
      <c r="N177" s="31">
        <f>ABS(E177-$F$6)</f>
        <v/>
      </c>
      <c r="O177" s="31">
        <f>ABS(E177-$F$7)</f>
        <v/>
      </c>
      <c r="P177" s="31">
        <f>ABS(E177-$F$8)</f>
        <v/>
      </c>
      <c r="Q177" s="14">
        <f>IF(K177&gt;=MAX(L177,M177), "Hemat", IF(L177&gt;=M177, "Balanced", "Premium"))</f>
        <v/>
      </c>
      <c r="R177" s="30" t="n">
        <v>0.05467321119442812</v>
      </c>
      <c r="S177" s="30" t="n">
        <v>0.9376859700344158</v>
      </c>
      <c r="T177" s="30" t="n">
        <v>0.00764081877115611</v>
      </c>
      <c r="U177" s="31">
        <f>ABS(E177-$G$6)</f>
        <v/>
      </c>
      <c r="V177" s="31">
        <f>ABS(E177-$G$7)</f>
        <v/>
      </c>
      <c r="W177" s="31">
        <f>ABS(E177-$G$8)</f>
        <v/>
      </c>
      <c r="X177" s="14">
        <f>IF(R177&gt;=MAX(S177,T177), "Hemat", IF(S177&gt;=T177, "Balanced", "Premium"))</f>
        <v/>
      </c>
    </row>
    <row r="178">
      <c r="A178" s="14" t="n">
        <v>167</v>
      </c>
      <c r="B178" s="7" t="inlineStr">
        <is>
          <t>WARUNG SEGO SAMBEL</t>
        </is>
      </c>
      <c r="C178" s="26" t="n">
        <v>-7.8950787</v>
      </c>
      <c r="D178" s="26" t="n">
        <v>112.5335161</v>
      </c>
      <c r="E178" s="21" t="n">
        <v>21500</v>
      </c>
      <c r="F178" s="27" t="n">
        <v>4.7</v>
      </c>
      <c r="G178" s="28" t="n">
        <v>41</v>
      </c>
      <c r="H178" s="14" t="inlineStr">
        <is>
          <t>WARUNG SEGO SAMBEL</t>
        </is>
      </c>
      <c r="I178" s="29">
        <f>6371 * 2 * ASIN(SQRT(SIN(RADIANS((C178) - INDEX('Dataset_Wisata'!$C$12:$C$622, MATCH('Dashboard'!$C$9, 'Dataset_Wisata'!$A$12:$A$622, 0)))/2)^2 + COS(RADIANS(INDEX('Dataset_Wisata'!$C$12:$C$622, MATCH('Dashboard'!$C$9, 'Dataset_Wisata'!$A$12:$A$622, 0)))) * COS(RADIANS(C178)) * SIN(RADIANS((D178) - INDEX('Dataset_Wisata'!$D$12:$D$622, MATCH('Dashboard'!$C$9, 'Dataset_Wisata'!$A$12:$A$622, 0)))/2)^2)) * 1.3</f>
        <v/>
      </c>
      <c r="J178" s="21">
        <f>ROUND(I178 * IF('Dashboard'!$C$6&lt;=1, 2250, IF('Dashboard'!$C$6&lt;=4, 5150, 6000)), 0)</f>
        <v/>
      </c>
      <c r="K178" s="30" t="n">
        <v>0.175753577330791</v>
      </c>
      <c r="L178" s="30" t="n">
        <v>0.80849487551433</v>
      </c>
      <c r="M178" s="30" t="n">
        <v>0.015751547154879</v>
      </c>
      <c r="N178" s="31">
        <f>ABS(E178-$F$6)</f>
        <v/>
      </c>
      <c r="O178" s="31">
        <f>ABS(E178-$F$7)</f>
        <v/>
      </c>
      <c r="P178" s="31">
        <f>ABS(E178-$F$8)</f>
        <v/>
      </c>
      <c r="Q178" s="14">
        <f>IF(K178&gt;=MAX(L178,M178), "Hemat", IF(L178&gt;=M178, "Balanced", "Premium"))</f>
        <v/>
      </c>
      <c r="R178" s="30" t="n">
        <v>0.1757533562963015</v>
      </c>
      <c r="S178" s="30" t="n">
        <v>0.8084951088955854</v>
      </c>
      <c r="T178" s="30" t="n">
        <v>0.01575153480811302</v>
      </c>
      <c r="U178" s="31">
        <f>ABS(E178-$G$6)</f>
        <v/>
      </c>
      <c r="V178" s="31">
        <f>ABS(E178-$G$7)</f>
        <v/>
      </c>
      <c r="W178" s="31">
        <f>ABS(E178-$G$8)</f>
        <v/>
      </c>
      <c r="X178" s="14">
        <f>IF(R178&gt;=MAX(S178,T178), "Hemat", IF(S178&gt;=T178, "Balanced", "Premium"))</f>
        <v/>
      </c>
    </row>
    <row r="179">
      <c r="A179" s="14" t="n">
        <v>168</v>
      </c>
      <c r="B179" s="7" t="inlineStr">
        <is>
          <t>Resto Bu Atik</t>
        </is>
      </c>
      <c r="C179" s="26" t="n">
        <v>-7.8801897</v>
      </c>
      <c r="D179" s="26" t="n">
        <v>112.5315519</v>
      </c>
      <c r="E179" s="21" t="n">
        <v>32000</v>
      </c>
      <c r="F179" s="27" t="n">
        <v>4.4</v>
      </c>
      <c r="G179" s="28" t="n">
        <v>2073</v>
      </c>
      <c r="H179" s="14" t="inlineStr">
        <is>
          <t>Wisata Umum</t>
        </is>
      </c>
      <c r="I179" s="29">
        <f>6371 * 2 * ASIN(SQRT(SIN(RADIANS((C179) - INDEX('Dataset_Wisata'!$C$12:$C$622, MATCH('Dashboard'!$C$9, 'Dataset_Wisata'!$A$12:$A$622, 0)))/2)^2 + COS(RADIANS(INDEX('Dataset_Wisata'!$C$12:$C$622, MATCH('Dashboard'!$C$9, 'Dataset_Wisata'!$A$12:$A$622, 0)))) * COS(RADIANS(C179)) * SIN(RADIANS((D179) - INDEX('Dataset_Wisata'!$D$12:$D$622, MATCH('Dashboard'!$C$9, 'Dataset_Wisata'!$A$12:$A$622, 0)))/2)^2)) * 1.3</f>
        <v/>
      </c>
      <c r="J179" s="21">
        <f>ROUND(I179 * IF('Dashboard'!$C$6&lt;=1, 2250, IF('Dashboard'!$C$6&lt;=4, 5150, 6000)), 0)</f>
        <v/>
      </c>
      <c r="K179" s="30" t="n">
        <v>0.09797928400849602</v>
      </c>
      <c r="L179" s="30" t="n">
        <v>0.784796549604184</v>
      </c>
      <c r="M179" s="30" t="n">
        <v>0.11722416638732</v>
      </c>
      <c r="N179" s="31">
        <f>ABS(E179-$F$6)</f>
        <v/>
      </c>
      <c r="O179" s="31">
        <f>ABS(E179-$F$7)</f>
        <v/>
      </c>
      <c r="P179" s="31">
        <f>ABS(E179-$F$8)</f>
        <v/>
      </c>
      <c r="Q179" s="14">
        <f>IF(K179&gt;=MAX(L179,M179), "Hemat", IF(L179&gt;=M179, "Balanced", "Premium"))</f>
        <v/>
      </c>
      <c r="R179" s="30" t="n">
        <v>0.097979334258795</v>
      </c>
      <c r="S179" s="30" t="n">
        <v>0.7847963711439789</v>
      </c>
      <c r="T179" s="30" t="n">
        <v>0.1172242945972261</v>
      </c>
      <c r="U179" s="31">
        <f>ABS(E179-$G$6)</f>
        <v/>
      </c>
      <c r="V179" s="31">
        <f>ABS(E179-$G$7)</f>
        <v/>
      </c>
      <c r="W179" s="31">
        <f>ABS(E179-$G$8)</f>
        <v/>
      </c>
      <c r="X179" s="14">
        <f>IF(R179&gt;=MAX(S179,T179), "Hemat", IF(S179&gt;=T179, "Balanced", "Premium"))</f>
        <v/>
      </c>
    </row>
    <row r="180">
      <c r="A180" s="14" t="n">
        <v>169</v>
      </c>
      <c r="B180" s="7" t="inlineStr">
        <is>
          <t>Depot Flamboyant</t>
        </is>
      </c>
      <c r="C180" s="26" t="n">
        <v>-7.868462</v>
      </c>
      <c r="D180" s="26" t="n">
        <v>112.519597</v>
      </c>
      <c r="E180" s="21" t="n">
        <v>40000</v>
      </c>
      <c r="F180" s="27" t="n">
        <v>4.2</v>
      </c>
      <c r="G180" s="28" t="n">
        <v>1209</v>
      </c>
      <c r="H180" s="14" t="inlineStr">
        <is>
          <t>Wisata Umum</t>
        </is>
      </c>
      <c r="I180" s="29">
        <f>6371 * 2 * ASIN(SQRT(SIN(RADIANS((C180) - INDEX('Dataset_Wisata'!$C$12:$C$622, MATCH('Dashboard'!$C$9, 'Dataset_Wisata'!$A$12:$A$622, 0)))/2)^2 + COS(RADIANS(INDEX('Dataset_Wisata'!$C$12:$C$622, MATCH('Dashboard'!$C$9, 'Dataset_Wisata'!$A$12:$A$622, 0)))) * COS(RADIANS(C180)) * SIN(RADIANS((D180) - INDEX('Dataset_Wisata'!$D$12:$D$622, MATCH('Dashboard'!$C$9, 'Dataset_Wisata'!$A$12:$A$622, 0)))/2)^2)) * 1.3</f>
        <v/>
      </c>
      <c r="J180" s="21">
        <f>ROUND(I180 * IF('Dashboard'!$C$6&lt;=1, 2250, IF('Dashboard'!$C$6&lt;=4, 5150, 6000)), 0)</f>
        <v/>
      </c>
      <c r="K180" s="30" t="n">
        <v>0.0776795469859529</v>
      </c>
      <c r="L180" s="30" t="n">
        <v>0.2601098675212827</v>
      </c>
      <c r="M180" s="30" t="n">
        <v>0.6622105854927643</v>
      </c>
      <c r="N180" s="31">
        <f>ABS(E180-$F$6)</f>
        <v/>
      </c>
      <c r="O180" s="31">
        <f>ABS(E180-$F$7)</f>
        <v/>
      </c>
      <c r="P180" s="31">
        <f>ABS(E180-$F$8)</f>
        <v/>
      </c>
      <c r="Q180" s="14">
        <f>IF(K180&gt;=MAX(L180,M180), "Hemat", IF(L180&gt;=M180, "Balanced", "Premium"))</f>
        <v/>
      </c>
      <c r="R180" s="30" t="n">
        <v>0.07767950163279673</v>
      </c>
      <c r="S180" s="30" t="n">
        <v>0.2601096327813378</v>
      </c>
      <c r="T180" s="30" t="n">
        <v>0.6622108655858654</v>
      </c>
      <c r="U180" s="31">
        <f>ABS(E180-$G$6)</f>
        <v/>
      </c>
      <c r="V180" s="31">
        <f>ABS(E180-$G$7)</f>
        <v/>
      </c>
      <c r="W180" s="31">
        <f>ABS(E180-$G$8)</f>
        <v/>
      </c>
      <c r="X180" s="14">
        <f>IF(R180&gt;=MAX(S180,T180), "Hemat", IF(S180&gt;=T180, "Balanced", "Premium"))</f>
        <v/>
      </c>
    </row>
    <row r="181">
      <c r="A181" s="14" t="n">
        <v>170</v>
      </c>
      <c r="B181" s="7" t="inlineStr">
        <is>
          <t>Kedai Dipo Stella</t>
        </is>
      </c>
      <c r="C181" s="26" t="n">
        <v>-7.8837687</v>
      </c>
      <c r="D181" s="26" t="n">
        <v>112.5291387</v>
      </c>
      <c r="E181" s="21" t="n">
        <v>18000</v>
      </c>
      <c r="F181" s="27" t="n">
        <v>4.3</v>
      </c>
      <c r="G181" s="28" t="n">
        <v>88</v>
      </c>
      <c r="H181" s="14" t="inlineStr">
        <is>
          <t>Wisata Umum</t>
        </is>
      </c>
      <c r="I181" s="29">
        <f>6371 * 2 * ASIN(SQRT(SIN(RADIANS((C181) - INDEX('Dataset_Wisata'!$C$12:$C$622, MATCH('Dashboard'!$C$9, 'Dataset_Wisata'!$A$12:$A$622, 0)))/2)^2 + COS(RADIANS(INDEX('Dataset_Wisata'!$C$12:$C$622, MATCH('Dashboard'!$C$9, 'Dataset_Wisata'!$A$12:$A$622, 0)))) * COS(RADIANS(C181)) * SIN(RADIANS((D181) - INDEX('Dataset_Wisata'!$D$12:$D$622, MATCH('Dashboard'!$C$9, 'Dataset_Wisata'!$A$12:$A$622, 0)))/2)^2)) * 1.3</f>
        <v/>
      </c>
      <c r="J181" s="21">
        <f>ROUND(I181 * IF('Dashboard'!$C$6&lt;=1, 2250, IF('Dashboard'!$C$6&lt;=4, 5150, 6000)), 0)</f>
        <v/>
      </c>
      <c r="K181" s="30" t="n">
        <v>0.6916251733659831</v>
      </c>
      <c r="L181" s="30" t="n">
        <v>0.2920817970297536</v>
      </c>
      <c r="M181" s="30" t="n">
        <v>0.01629302960426341</v>
      </c>
      <c r="N181" s="31">
        <f>ABS(E181-$F$6)</f>
        <v/>
      </c>
      <c r="O181" s="31">
        <f>ABS(E181-$F$7)</f>
        <v/>
      </c>
      <c r="P181" s="31">
        <f>ABS(E181-$F$8)</f>
        <v/>
      </c>
      <c r="Q181" s="14">
        <f>IF(K181&gt;=MAX(L181,M181), "Hemat", IF(L181&gt;=M181, "Balanced", "Premium"))</f>
        <v/>
      </c>
      <c r="R181" s="30" t="n">
        <v>0.6916249652211897</v>
      </c>
      <c r="S181" s="30" t="n">
        <v>0.2920820010799081</v>
      </c>
      <c r="T181" s="30" t="n">
        <v>0.01629303369890229</v>
      </c>
      <c r="U181" s="31">
        <f>ABS(E181-$G$6)</f>
        <v/>
      </c>
      <c r="V181" s="31">
        <f>ABS(E181-$G$7)</f>
        <v/>
      </c>
      <c r="W181" s="31">
        <f>ABS(E181-$G$8)</f>
        <v/>
      </c>
      <c r="X181" s="14">
        <f>IF(R181&gt;=MAX(S181,T181), "Hemat", IF(S181&gt;=T181, "Balanced", "Premium"))</f>
        <v/>
      </c>
    </row>
    <row r="182">
      <c r="A182" s="14" t="n">
        <v>171</v>
      </c>
      <c r="B182" s="7" t="inlineStr">
        <is>
          <t>Mbak Is Kedai Makan</t>
        </is>
      </c>
      <c r="C182" s="26" t="n">
        <v>-7.8733183</v>
      </c>
      <c r="D182" s="26" t="n">
        <v>112.5228461</v>
      </c>
      <c r="E182" s="21" t="n">
        <v>13250</v>
      </c>
      <c r="F182" s="27" t="n">
        <v>4.7</v>
      </c>
      <c r="G182" s="28" t="n">
        <v>158</v>
      </c>
      <c r="H182" s="14" t="inlineStr">
        <is>
          <t>Wisata Umum</t>
        </is>
      </c>
      <c r="I182" s="29">
        <f>6371 * 2 * ASIN(SQRT(SIN(RADIANS((C182) - INDEX('Dataset_Wisata'!$C$12:$C$622, MATCH('Dashboard'!$C$9, 'Dataset_Wisata'!$A$12:$A$622, 0)))/2)^2 + COS(RADIANS(INDEX('Dataset_Wisata'!$C$12:$C$622, MATCH('Dashboard'!$C$9, 'Dataset_Wisata'!$A$12:$A$622, 0)))) * COS(RADIANS(C182)) * SIN(RADIANS((D182) - INDEX('Dataset_Wisata'!$D$12:$D$622, MATCH('Dashboard'!$C$9, 'Dataset_Wisata'!$A$12:$A$622, 0)))/2)^2)) * 1.3</f>
        <v/>
      </c>
      <c r="J182" s="21">
        <f>ROUND(I182 * IF('Dashboard'!$C$6&lt;=1, 2250, IF('Dashboard'!$C$6&lt;=4, 5150, 6000)), 0)</f>
        <v/>
      </c>
      <c r="K182" s="30" t="n">
        <v>0.9999908697153659</v>
      </c>
      <c r="L182" s="30" t="n">
        <v>8.198232201142681e-06</v>
      </c>
      <c r="M182" s="30" t="n">
        <v>9.320524329763178e-07</v>
      </c>
      <c r="N182" s="31">
        <f>ABS(E182-$F$6)</f>
        <v/>
      </c>
      <c r="O182" s="31">
        <f>ABS(E182-$F$7)</f>
        <v/>
      </c>
      <c r="P182" s="31">
        <f>ABS(E182-$F$8)</f>
        <v/>
      </c>
      <c r="Q182" s="14">
        <f>IF(K182&gt;=MAX(L182,M182), "Hemat", IF(L182&gt;=M182, "Balanced", "Premium"))</f>
        <v/>
      </c>
      <c r="R182" s="30" t="n">
        <v>0.9999908693711771</v>
      </c>
      <c r="S182" s="30" t="n">
        <v>8.19854142010164e-06</v>
      </c>
      <c r="T182" s="30" t="n">
        <v>9.320874028244642e-07</v>
      </c>
      <c r="U182" s="31">
        <f>ABS(E182-$G$6)</f>
        <v/>
      </c>
      <c r="V182" s="31">
        <f>ABS(E182-$G$7)</f>
        <v/>
      </c>
      <c r="W182" s="31">
        <f>ABS(E182-$G$8)</f>
        <v/>
      </c>
      <c r="X182" s="14">
        <f>IF(R182&gt;=MAX(S182,T182), "Hemat", IF(S182&gt;=T182, "Balanced", "Premium"))</f>
        <v/>
      </c>
    </row>
    <row r="183">
      <c r="A183" s="14" t="n">
        <v>172</v>
      </c>
      <c r="B183" s="7" t="inlineStr">
        <is>
          <t>Warung Kendedes Batu (Rest Area)</t>
        </is>
      </c>
      <c r="C183" s="26" t="n">
        <v>-7.9080777</v>
      </c>
      <c r="D183" s="26" t="n">
        <v>112.5612878</v>
      </c>
      <c r="E183" s="21" t="n">
        <v>11500</v>
      </c>
      <c r="F183" s="27" t="n">
        <v>4.6</v>
      </c>
      <c r="G183" s="28" t="n">
        <v>202</v>
      </c>
      <c r="H183" s="14" t="inlineStr">
        <is>
          <t>Warung Kendedes Batu (Rest Area)</t>
        </is>
      </c>
      <c r="I183" s="29">
        <f>6371 * 2 * ASIN(SQRT(SIN(RADIANS((C183) - INDEX('Dataset_Wisata'!$C$12:$C$622, MATCH('Dashboard'!$C$9, 'Dataset_Wisata'!$A$12:$A$622, 0)))/2)^2 + COS(RADIANS(INDEX('Dataset_Wisata'!$C$12:$C$622, MATCH('Dashboard'!$C$9, 'Dataset_Wisata'!$A$12:$A$622, 0)))) * COS(RADIANS(C183)) * SIN(RADIANS((D183) - INDEX('Dataset_Wisata'!$D$12:$D$622, MATCH('Dashboard'!$C$9, 'Dataset_Wisata'!$A$12:$A$622, 0)))/2)^2)) * 1.3</f>
        <v/>
      </c>
      <c r="J183" s="21">
        <f>ROUND(I183 * IF('Dashboard'!$C$6&lt;=1, 2250, IF('Dashboard'!$C$6&lt;=4, 5150, 6000)), 0)</f>
        <v/>
      </c>
      <c r="K183" s="30" t="n">
        <v>0.9829132746411883</v>
      </c>
      <c r="L183" s="30" t="n">
        <v>0.01504907648339002</v>
      </c>
      <c r="M183" s="30" t="n">
        <v>0.00203764887542164</v>
      </c>
      <c r="N183" s="31">
        <f>ABS(E183-$F$6)</f>
        <v/>
      </c>
      <c r="O183" s="31">
        <f>ABS(E183-$F$7)</f>
        <v/>
      </c>
      <c r="P183" s="31">
        <f>ABS(E183-$F$8)</f>
        <v/>
      </c>
      <c r="Q183" s="14">
        <f>IF(K183&gt;=MAX(L183,M183), "Hemat", IF(L183&gt;=M183, "Balanced", "Premium"))</f>
        <v/>
      </c>
      <c r="R183" s="30" t="n">
        <v>0.9829132811009377</v>
      </c>
      <c r="S183" s="30" t="n">
        <v>0.01504907107031075</v>
      </c>
      <c r="T183" s="30" t="n">
        <v>0.002037647828751567</v>
      </c>
      <c r="U183" s="31">
        <f>ABS(E183-$G$6)</f>
        <v/>
      </c>
      <c r="V183" s="31">
        <f>ABS(E183-$G$7)</f>
        <v/>
      </c>
      <c r="W183" s="31">
        <f>ABS(E183-$G$8)</f>
        <v/>
      </c>
      <c r="X183" s="14">
        <f>IF(R183&gt;=MAX(S183,T183), "Hemat", IF(S183&gt;=T183, "Balanced", "Premium"))</f>
        <v/>
      </c>
    </row>
    <row r="184">
      <c r="A184" s="14" t="n">
        <v>173</v>
      </c>
      <c r="B184" s="7" t="inlineStr">
        <is>
          <t>Depot Shun Jaya Putra</t>
        </is>
      </c>
      <c r="C184" s="26" t="n">
        <v>-7.8676277</v>
      </c>
      <c r="D184" s="26" t="n">
        <v>112.5262924</v>
      </c>
      <c r="E184" s="21" t="n">
        <v>26000</v>
      </c>
      <c r="F184" s="27" t="n">
        <v>4.4</v>
      </c>
      <c r="G184" s="28" t="n">
        <v>394</v>
      </c>
      <c r="H184" s="14" t="inlineStr">
        <is>
          <t>Wisata Umum</t>
        </is>
      </c>
      <c r="I184" s="29">
        <f>6371 * 2 * ASIN(SQRT(SIN(RADIANS((C184) - INDEX('Dataset_Wisata'!$C$12:$C$622, MATCH('Dashboard'!$C$9, 'Dataset_Wisata'!$A$12:$A$622, 0)))/2)^2 + COS(RADIANS(INDEX('Dataset_Wisata'!$C$12:$C$622, MATCH('Dashboard'!$C$9, 'Dataset_Wisata'!$A$12:$A$622, 0)))) * COS(RADIANS(C184)) * SIN(RADIANS((D184) - INDEX('Dataset_Wisata'!$D$12:$D$622, MATCH('Dashboard'!$C$9, 'Dataset_Wisata'!$A$12:$A$622, 0)))/2)^2)) * 1.3</f>
        <v/>
      </c>
      <c r="J184" s="21">
        <f>ROUND(I184 * IF('Dashboard'!$C$6&lt;=1, 2250, IF('Dashboard'!$C$6&lt;=4, 5150, 6000)), 0)</f>
        <v/>
      </c>
      <c r="K184" s="30" t="n">
        <v>0.002476983268680901</v>
      </c>
      <c r="L184" s="30" t="n">
        <v>0.9967691156825158</v>
      </c>
      <c r="M184" s="30" t="n">
        <v>0.0007539010488032482</v>
      </c>
      <c r="N184" s="31">
        <f>ABS(E184-$F$6)</f>
        <v/>
      </c>
      <c r="O184" s="31">
        <f>ABS(E184-$F$7)</f>
        <v/>
      </c>
      <c r="P184" s="31">
        <f>ABS(E184-$F$8)</f>
        <v/>
      </c>
      <c r="Q184" s="14">
        <f>IF(K184&gt;=MAX(L184,M184), "Hemat", IF(L184&gt;=M184, "Balanced", "Premium"))</f>
        <v/>
      </c>
      <c r="R184" s="30" t="n">
        <v>0.002477003822259736</v>
      </c>
      <c r="S184" s="30" t="n">
        <v>0.9967690885108879</v>
      </c>
      <c r="T184" s="30" t="n">
        <v>0.0007539076668522673</v>
      </c>
      <c r="U184" s="31">
        <f>ABS(E184-$G$6)</f>
        <v/>
      </c>
      <c r="V184" s="31">
        <f>ABS(E184-$G$7)</f>
        <v/>
      </c>
      <c r="W184" s="31">
        <f>ABS(E184-$G$8)</f>
        <v/>
      </c>
      <c r="X184" s="14">
        <f>IF(R184&gt;=MAX(S184,T184), "Hemat", IF(S184&gt;=T184, "Balanced", "Premium"))</f>
        <v/>
      </c>
    </row>
    <row r="185">
      <c r="A185" s="14" t="n">
        <v>174</v>
      </c>
      <c r="B185" s="7" t="inlineStr">
        <is>
          <t>Warung Zaki</t>
        </is>
      </c>
      <c r="C185" s="26" t="n">
        <v>-7.8934287</v>
      </c>
      <c r="D185" s="26" t="n">
        <v>112.5329608</v>
      </c>
      <c r="E185" s="21" t="n">
        <v>15000</v>
      </c>
      <c r="F185" s="27" t="n">
        <v>4.9</v>
      </c>
      <c r="G185" s="28" t="n">
        <v>29</v>
      </c>
      <c r="H185" s="14" t="inlineStr">
        <is>
          <t>Warung Zaki</t>
        </is>
      </c>
      <c r="I185" s="29">
        <f>6371 * 2 * ASIN(SQRT(SIN(RADIANS((C185) - INDEX('Dataset_Wisata'!$C$12:$C$622, MATCH('Dashboard'!$C$9, 'Dataset_Wisata'!$A$12:$A$622, 0)))/2)^2 + COS(RADIANS(INDEX('Dataset_Wisata'!$C$12:$C$622, MATCH('Dashboard'!$C$9, 'Dataset_Wisata'!$A$12:$A$622, 0)))) * COS(RADIANS(C185)) * SIN(RADIANS((D185) - INDEX('Dataset_Wisata'!$D$12:$D$622, MATCH('Dashboard'!$C$9, 'Dataset_Wisata'!$A$12:$A$622, 0)))/2)^2)) * 1.3</f>
        <v/>
      </c>
      <c r="J185" s="21">
        <f>ROUND(I185 * IF('Dashboard'!$C$6&lt;=1, 2250, IF('Dashboard'!$C$6&lt;=4, 5150, 6000)), 0)</f>
        <v/>
      </c>
      <c r="K185" s="30" t="n">
        <v>0.9686283169848018</v>
      </c>
      <c r="L185" s="30" t="n">
        <v>0.02872990537067274</v>
      </c>
      <c r="M185" s="30" t="n">
        <v>0.002641777644525457</v>
      </c>
      <c r="N185" s="31">
        <f>ABS(E185-$F$6)</f>
        <v/>
      </c>
      <c r="O185" s="31">
        <f>ABS(E185-$F$7)</f>
        <v/>
      </c>
      <c r="P185" s="31">
        <f>ABS(E185-$F$8)</f>
        <v/>
      </c>
      <c r="Q185" s="14">
        <f>IF(K185&gt;=MAX(L185,M185), "Hemat", IF(L185&gt;=M185, "Balanced", "Premium"))</f>
        <v/>
      </c>
      <c r="R185" s="30" t="n">
        <v>0.9686282798936615</v>
      </c>
      <c r="S185" s="30" t="n">
        <v>0.02872993996961344</v>
      </c>
      <c r="T185" s="30" t="n">
        <v>0.002641780136725144</v>
      </c>
      <c r="U185" s="31">
        <f>ABS(E185-$G$6)</f>
        <v/>
      </c>
      <c r="V185" s="31">
        <f>ABS(E185-$G$7)</f>
        <v/>
      </c>
      <c r="W185" s="31">
        <f>ABS(E185-$G$8)</f>
        <v/>
      </c>
      <c r="X185" s="14">
        <f>IF(R185&gt;=MAX(S185,T185), "Hemat", IF(S185&gt;=T185, "Balanced", "Premium"))</f>
        <v/>
      </c>
    </row>
    <row r="186">
      <c r="A186" s="14" t="n">
        <v>175</v>
      </c>
      <c r="B186" s="7" t="inlineStr">
        <is>
          <t>Warung Bu Riati</t>
        </is>
      </c>
      <c r="C186" s="26" t="n">
        <v>-7.9080296</v>
      </c>
      <c r="D186" s="26" t="n">
        <v>112.5380051</v>
      </c>
      <c r="E186" s="21" t="n">
        <v>9000</v>
      </c>
      <c r="F186" s="27" t="n">
        <v>4.2</v>
      </c>
      <c r="G186" s="28" t="n">
        <v>52</v>
      </c>
      <c r="H186" s="14" t="inlineStr">
        <is>
          <t>Warung Bu Riati</t>
        </is>
      </c>
      <c r="I186" s="29">
        <f>6371 * 2 * ASIN(SQRT(SIN(RADIANS((C186) - INDEX('Dataset_Wisata'!$C$12:$C$622, MATCH('Dashboard'!$C$9, 'Dataset_Wisata'!$A$12:$A$622, 0)))/2)^2 + COS(RADIANS(INDEX('Dataset_Wisata'!$C$12:$C$622, MATCH('Dashboard'!$C$9, 'Dataset_Wisata'!$A$12:$A$622, 0)))) * COS(RADIANS(C186)) * SIN(RADIANS((D186) - INDEX('Dataset_Wisata'!$D$12:$D$622, MATCH('Dashboard'!$C$9, 'Dataset_Wisata'!$A$12:$A$622, 0)))/2)^2)) * 1.3</f>
        <v/>
      </c>
      <c r="J186" s="21">
        <f>ROUND(I186 * IF('Dashboard'!$C$6&lt;=1, 2250, IF('Dashboard'!$C$6&lt;=4, 5150, 6000)), 0)</f>
        <v/>
      </c>
      <c r="K186" s="30" t="n">
        <v>0.928180477824419</v>
      </c>
      <c r="L186" s="30" t="n">
        <v>0.06160046714170742</v>
      </c>
      <c r="M186" s="30" t="n">
        <v>0.01021905503387346</v>
      </c>
      <c r="N186" s="31">
        <f>ABS(E186-$F$6)</f>
        <v/>
      </c>
      <c r="O186" s="31">
        <f>ABS(E186-$F$7)</f>
        <v/>
      </c>
      <c r="P186" s="31">
        <f>ABS(E186-$F$8)</f>
        <v/>
      </c>
      <c r="Q186" s="14">
        <f>IF(K186&gt;=MAX(L186,M186), "Hemat", IF(L186&gt;=M186, "Balanced", "Premium"))</f>
        <v/>
      </c>
      <c r="R186" s="30" t="n">
        <v>0.9281804774269427</v>
      </c>
      <c r="S186" s="30" t="n">
        <v>0.06160046844072192</v>
      </c>
      <c r="T186" s="30" t="n">
        <v>0.01021905413233554</v>
      </c>
      <c r="U186" s="31">
        <f>ABS(E186-$G$6)</f>
        <v/>
      </c>
      <c r="V186" s="31">
        <f>ABS(E186-$G$7)</f>
        <v/>
      </c>
      <c r="W186" s="31">
        <f>ABS(E186-$G$8)</f>
        <v/>
      </c>
      <c r="X186" s="14">
        <f>IF(R186&gt;=MAX(S186,T186), "Hemat", IF(S186&gt;=T186, "Balanced", "Premium"))</f>
        <v/>
      </c>
    </row>
    <row r="187">
      <c r="A187" s="14" t="n">
        <v>176</v>
      </c>
      <c r="B187" s="7" t="inlineStr">
        <is>
          <t>Warung Bedua</t>
        </is>
      </c>
      <c r="C187" s="26" t="n">
        <v>-7.873562</v>
      </c>
      <c r="D187" s="26" t="n">
        <v>112.524247</v>
      </c>
      <c r="E187" s="21" t="n">
        <v>42000</v>
      </c>
      <c r="F187" s="27" t="n">
        <v>4.5</v>
      </c>
      <c r="G187" s="28" t="n">
        <v>356</v>
      </c>
      <c r="H187" s="14" t="inlineStr">
        <is>
          <t>Warung Bedua</t>
        </is>
      </c>
      <c r="I187" s="29">
        <f>6371 * 2 * ASIN(SQRT(SIN(RADIANS((C187) - INDEX('Dataset_Wisata'!$C$12:$C$622, MATCH('Dashboard'!$C$9, 'Dataset_Wisata'!$A$12:$A$622, 0)))/2)^2 + COS(RADIANS(INDEX('Dataset_Wisata'!$C$12:$C$622, MATCH('Dashboard'!$C$9, 'Dataset_Wisata'!$A$12:$A$622, 0)))) * COS(RADIANS(C187)) * SIN(RADIANS((D187) - INDEX('Dataset_Wisata'!$D$12:$D$622, MATCH('Dashboard'!$C$9, 'Dataset_Wisata'!$A$12:$A$622, 0)))/2)^2)) * 1.3</f>
        <v/>
      </c>
      <c r="J187" s="21">
        <f>ROUND(I187 * IF('Dashboard'!$C$6&lt;=1, 2250, IF('Dashboard'!$C$6&lt;=4, 5150, 6000)), 0)</f>
        <v/>
      </c>
      <c r="K187" s="30" t="n">
        <v>0.04976610989172976</v>
      </c>
      <c r="L187" s="30" t="n">
        <v>0.1489670031063562</v>
      </c>
      <c r="M187" s="30" t="n">
        <v>0.8012668870019141</v>
      </c>
      <c r="N187" s="31">
        <f>ABS(E187-$F$6)</f>
        <v/>
      </c>
      <c r="O187" s="31">
        <f>ABS(E187-$F$7)</f>
        <v/>
      </c>
      <c r="P187" s="31">
        <f>ABS(E187-$F$8)</f>
        <v/>
      </c>
      <c r="Q187" s="14">
        <f>IF(K187&gt;=MAX(L187,M187), "Hemat", IF(L187&gt;=M187, "Balanced", "Premium"))</f>
        <v/>
      </c>
      <c r="R187" s="30" t="n">
        <v>0.04976606128112688</v>
      </c>
      <c r="S187" s="30" t="n">
        <v>0.1489668162054113</v>
      </c>
      <c r="T187" s="30" t="n">
        <v>0.8012671225134618</v>
      </c>
      <c r="U187" s="31">
        <f>ABS(E187-$G$6)</f>
        <v/>
      </c>
      <c r="V187" s="31">
        <f>ABS(E187-$G$7)</f>
        <v/>
      </c>
      <c r="W187" s="31">
        <f>ABS(E187-$G$8)</f>
        <v/>
      </c>
      <c r="X187" s="14">
        <f>IF(R187&gt;=MAX(S187,T187), "Hemat", IF(S187&gt;=T187, "Balanced", "Premium"))</f>
        <v/>
      </c>
    </row>
    <row r="188">
      <c r="A188" s="14" t="n">
        <v>177</v>
      </c>
      <c r="B188" s="7" t="inlineStr">
        <is>
          <t>Warung Relawan</t>
        </is>
      </c>
      <c r="C188" s="26" t="n">
        <v>-7.904354</v>
      </c>
      <c r="D188" s="26" t="n">
        <v>112.5255308</v>
      </c>
      <c r="E188" s="21" t="n">
        <v>10000</v>
      </c>
      <c r="F188" s="27" t="n">
        <v>4.8</v>
      </c>
      <c r="G188" s="28" t="n">
        <v>126</v>
      </c>
      <c r="H188" s="14" t="inlineStr">
        <is>
          <t>Warung Relawan</t>
        </is>
      </c>
      <c r="I188" s="29">
        <f>6371 * 2 * ASIN(SQRT(SIN(RADIANS((C188) - INDEX('Dataset_Wisata'!$C$12:$C$622, MATCH('Dashboard'!$C$9, 'Dataset_Wisata'!$A$12:$A$622, 0)))/2)^2 + COS(RADIANS(INDEX('Dataset_Wisata'!$C$12:$C$622, MATCH('Dashboard'!$C$9, 'Dataset_Wisata'!$A$12:$A$622, 0)))) * COS(RADIANS(C188)) * SIN(RADIANS((D188) - INDEX('Dataset_Wisata'!$D$12:$D$622, MATCH('Dashboard'!$C$9, 'Dataset_Wisata'!$A$12:$A$622, 0)))/2)^2)) * 1.3</f>
        <v/>
      </c>
      <c r="J188" s="21">
        <f>ROUND(I188 * IF('Dashboard'!$C$6&lt;=1, 2250, IF('Dashboard'!$C$6&lt;=4, 5150, 6000)), 0)</f>
        <v/>
      </c>
      <c r="K188" s="30" t="n">
        <v>0.9518906050943107</v>
      </c>
      <c r="L188" s="30" t="n">
        <v>0.04169660451397377</v>
      </c>
      <c r="M188" s="30" t="n">
        <v>0.006412790391715545</v>
      </c>
      <c r="N188" s="31">
        <f>ABS(E188-$F$6)</f>
        <v/>
      </c>
      <c r="O188" s="31">
        <f>ABS(E188-$F$7)</f>
        <v/>
      </c>
      <c r="P188" s="31">
        <f>ABS(E188-$F$8)</f>
        <v/>
      </c>
      <c r="Q188" s="14">
        <f>IF(K188&gt;=MAX(L188,M188), "Hemat", IF(L188&gt;=M188, "Balanced", "Premium"))</f>
        <v/>
      </c>
      <c r="R188" s="30" t="n">
        <v>0.9518906082621517</v>
      </c>
      <c r="S188" s="30" t="n">
        <v>0.04169660246361195</v>
      </c>
      <c r="T188" s="30" t="n">
        <v>0.006412789274236485</v>
      </c>
      <c r="U188" s="31">
        <f>ABS(E188-$G$6)</f>
        <v/>
      </c>
      <c r="V188" s="31">
        <f>ABS(E188-$G$7)</f>
        <v/>
      </c>
      <c r="W188" s="31">
        <f>ABS(E188-$G$8)</f>
        <v/>
      </c>
      <c r="X188" s="14">
        <f>IF(R188&gt;=MAX(S188,T188), "Hemat", IF(S188&gt;=T188, "Balanced", "Premium"))</f>
        <v/>
      </c>
    </row>
    <row r="189">
      <c r="A189" s="14" t="n">
        <v>178</v>
      </c>
      <c r="B189" s="7" t="inlineStr">
        <is>
          <t>Depot Marem Batu</t>
        </is>
      </c>
      <c r="C189" s="26" t="n">
        <v>-7.8767658</v>
      </c>
      <c r="D189" s="26" t="n">
        <v>112.5244512</v>
      </c>
      <c r="E189" s="21" t="n">
        <v>21000</v>
      </c>
      <c r="F189" s="27" t="n">
        <v>4.4</v>
      </c>
      <c r="G189" s="28" t="n">
        <v>142</v>
      </c>
      <c r="H189" s="14" t="inlineStr">
        <is>
          <t>Wisata Umum</t>
        </is>
      </c>
      <c r="I189" s="29">
        <f>6371 * 2 * ASIN(SQRT(SIN(RADIANS((C189) - INDEX('Dataset_Wisata'!$C$12:$C$622, MATCH('Dashboard'!$C$9, 'Dataset_Wisata'!$A$12:$A$622, 0)))/2)^2 + COS(RADIANS(INDEX('Dataset_Wisata'!$C$12:$C$622, MATCH('Dashboard'!$C$9, 'Dataset_Wisata'!$A$12:$A$622, 0)))) * COS(RADIANS(C189)) * SIN(RADIANS((D189) - INDEX('Dataset_Wisata'!$D$12:$D$622, MATCH('Dashboard'!$C$9, 'Dataset_Wisata'!$A$12:$A$622, 0)))/2)^2)) * 1.3</f>
        <v/>
      </c>
      <c r="J189" s="21">
        <f>ROUND(I189 * IF('Dashboard'!$C$6&lt;=1, 2250, IF('Dashboard'!$C$6&lt;=4, 5150, 6000)), 0)</f>
        <v/>
      </c>
      <c r="K189" s="30" t="n">
        <v>0.2347222334369035</v>
      </c>
      <c r="L189" s="30" t="n">
        <v>0.7473572719448701</v>
      </c>
      <c r="M189" s="30" t="n">
        <v>0.01792049461822643</v>
      </c>
      <c r="N189" s="31">
        <f>ABS(E189-$F$6)</f>
        <v/>
      </c>
      <c r="O189" s="31">
        <f>ABS(E189-$F$7)</f>
        <v/>
      </c>
      <c r="P189" s="31">
        <f>ABS(E189-$F$8)</f>
        <v/>
      </c>
      <c r="Q189" s="14">
        <f>IF(K189&gt;=MAX(L189,M189), "Hemat", IF(L189&gt;=M189, "Balanced", "Premium"))</f>
        <v/>
      </c>
      <c r="R189" s="30" t="n">
        <v>0.2347219863641389</v>
      </c>
      <c r="S189" s="30" t="n">
        <v>0.7473575293118924</v>
      </c>
      <c r="T189" s="30" t="n">
        <v>0.0179204843239686</v>
      </c>
      <c r="U189" s="31">
        <f>ABS(E189-$G$6)</f>
        <v/>
      </c>
      <c r="V189" s="31">
        <f>ABS(E189-$G$7)</f>
        <v/>
      </c>
      <c r="W189" s="31">
        <f>ABS(E189-$G$8)</f>
        <v/>
      </c>
      <c r="X189" s="14">
        <f>IF(R189&gt;=MAX(S189,T189), "Hemat", IF(S189&gt;=T189, "Balanced", "Premium"))</f>
        <v/>
      </c>
    </row>
    <row r="190">
      <c r="A190" s="14" t="n">
        <v>179</v>
      </c>
      <c r="B190" s="7" t="inlineStr">
        <is>
          <t>Bakso Pak Waji</t>
        </is>
      </c>
      <c r="C190" s="26" t="n">
        <v>-7.9041922</v>
      </c>
      <c r="D190" s="26" t="n">
        <v>112.5263219</v>
      </c>
      <c r="E190" s="21" t="n">
        <v>6000</v>
      </c>
      <c r="F190" s="27" t="n">
        <v>4.8</v>
      </c>
      <c r="G190" s="28" t="n">
        <v>180</v>
      </c>
      <c r="H190" s="14" t="inlineStr">
        <is>
          <t>Wisata Umum</t>
        </is>
      </c>
      <c r="I190" s="29">
        <f>6371 * 2 * ASIN(SQRT(SIN(RADIANS((C190) - INDEX('Dataset_Wisata'!$C$12:$C$622, MATCH('Dashboard'!$C$9, 'Dataset_Wisata'!$A$12:$A$622, 0)))/2)^2 + COS(RADIANS(INDEX('Dataset_Wisata'!$C$12:$C$622, MATCH('Dashboard'!$C$9, 'Dataset_Wisata'!$A$12:$A$622, 0)))) * COS(RADIANS(C190)) * SIN(RADIANS((D190) - INDEX('Dataset_Wisata'!$D$12:$D$622, MATCH('Dashboard'!$C$9, 'Dataset_Wisata'!$A$12:$A$622, 0)))/2)^2)) * 1.3</f>
        <v/>
      </c>
      <c r="J190" s="21">
        <f>ROUND(I190 * IF('Dashboard'!$C$6&lt;=1, 2250, IF('Dashboard'!$C$6&lt;=4, 5150, 6000)), 0)</f>
        <v/>
      </c>
      <c r="K190" s="30" t="n">
        <v>0.8570515062724777</v>
      </c>
      <c r="L190" s="30" t="n">
        <v>0.11901089820045</v>
      </c>
      <c r="M190" s="30" t="n">
        <v>0.02393759552707219</v>
      </c>
      <c r="N190" s="31">
        <f>ABS(E190-$F$6)</f>
        <v/>
      </c>
      <c r="O190" s="31">
        <f>ABS(E190-$F$7)</f>
        <v/>
      </c>
      <c r="P190" s="31">
        <f>ABS(E190-$F$8)</f>
        <v/>
      </c>
      <c r="Q190" s="14">
        <f>IF(K190&gt;=MAX(L190,M190), "Hemat", IF(L190&gt;=M190, "Balanced", "Premium"))</f>
        <v/>
      </c>
      <c r="R190" s="30" t="n">
        <v>0.8570514957556834</v>
      </c>
      <c r="S190" s="30" t="n">
        <v>0.1190109084243033</v>
      </c>
      <c r="T190" s="30" t="n">
        <v>0.02393759582001326</v>
      </c>
      <c r="U190" s="31">
        <f>ABS(E190-$G$6)</f>
        <v/>
      </c>
      <c r="V190" s="31">
        <f>ABS(E190-$G$7)</f>
        <v/>
      </c>
      <c r="W190" s="31">
        <f>ABS(E190-$G$8)</f>
        <v/>
      </c>
      <c r="X190" s="14">
        <f>IF(R190&gt;=MAX(S190,T190), "Hemat", IF(S190&gt;=T190, "Balanced", "Premium"))</f>
        <v/>
      </c>
    </row>
    <row r="191">
      <c r="A191" s="14" t="n">
        <v>180</v>
      </c>
      <c r="B191" s="7" t="inlineStr">
        <is>
          <t>Iga Bakar Saudara</t>
        </is>
      </c>
      <c r="C191" s="26" t="n">
        <v>-7.8875185</v>
      </c>
      <c r="D191" s="26" t="n">
        <v>112.5440439</v>
      </c>
      <c r="E191" s="21" t="n">
        <v>40000</v>
      </c>
      <c r="F191" s="27" t="n">
        <v>4.7</v>
      </c>
      <c r="G191" s="28" t="n">
        <v>313</v>
      </c>
      <c r="H191" s="14" t="inlineStr">
        <is>
          <t>Wisata Umum</t>
        </is>
      </c>
      <c r="I191" s="29">
        <f>6371 * 2 * ASIN(SQRT(SIN(RADIANS((C191) - INDEX('Dataset_Wisata'!$C$12:$C$622, MATCH('Dashboard'!$C$9, 'Dataset_Wisata'!$A$12:$A$622, 0)))/2)^2 + COS(RADIANS(INDEX('Dataset_Wisata'!$C$12:$C$622, MATCH('Dashboard'!$C$9, 'Dataset_Wisata'!$A$12:$A$622, 0)))) * COS(RADIANS(C191)) * SIN(RADIANS((D191) - INDEX('Dataset_Wisata'!$D$12:$D$622, MATCH('Dashboard'!$C$9, 'Dataset_Wisata'!$A$12:$A$622, 0)))/2)^2)) * 1.3</f>
        <v/>
      </c>
      <c r="J191" s="21">
        <f>ROUND(I191 * IF('Dashboard'!$C$6&lt;=1, 2250, IF('Dashboard'!$C$6&lt;=4, 5150, 6000)), 0)</f>
        <v/>
      </c>
      <c r="K191" s="30" t="n">
        <v>0.0776795469859529</v>
      </c>
      <c r="L191" s="30" t="n">
        <v>0.2601098675212827</v>
      </c>
      <c r="M191" s="30" t="n">
        <v>0.6622105854927643</v>
      </c>
      <c r="N191" s="31">
        <f>ABS(E191-$F$6)</f>
        <v/>
      </c>
      <c r="O191" s="31">
        <f>ABS(E191-$F$7)</f>
        <v/>
      </c>
      <c r="P191" s="31">
        <f>ABS(E191-$F$8)</f>
        <v/>
      </c>
      <c r="Q191" s="14">
        <f>IF(K191&gt;=MAX(L191,M191), "Hemat", IF(L191&gt;=M191, "Balanced", "Premium"))</f>
        <v/>
      </c>
      <c r="R191" s="30" t="n">
        <v>0.07767950163279673</v>
      </c>
      <c r="S191" s="30" t="n">
        <v>0.2601096327813378</v>
      </c>
      <c r="T191" s="30" t="n">
        <v>0.6622108655858654</v>
      </c>
      <c r="U191" s="31">
        <f>ABS(E191-$G$6)</f>
        <v/>
      </c>
      <c r="V191" s="31">
        <f>ABS(E191-$G$7)</f>
        <v/>
      </c>
      <c r="W191" s="31">
        <f>ABS(E191-$G$8)</f>
        <v/>
      </c>
      <c r="X191" s="14">
        <f>IF(R191&gt;=MAX(S191,T191), "Hemat", IF(S191&gt;=T191, "Balanced", "Premium"))</f>
        <v/>
      </c>
    </row>
    <row r="192">
      <c r="A192" s="14" t="n">
        <v>181</v>
      </c>
      <c r="B192" s="7" t="inlineStr">
        <is>
          <t>Warung Es dan Kue Mungil Batu</t>
        </is>
      </c>
      <c r="C192" s="26" t="n">
        <v>-7.8714211</v>
      </c>
      <c r="D192" s="26" t="n">
        <v>112.5277361</v>
      </c>
      <c r="E192" s="21" t="n">
        <v>27500</v>
      </c>
      <c r="F192" s="27" t="n">
        <v>3.6</v>
      </c>
      <c r="G192" s="28" t="n">
        <v>290</v>
      </c>
      <c r="H192" s="14" t="inlineStr">
        <is>
          <t>Wisata Umum</t>
        </is>
      </c>
      <c r="I192" s="29">
        <f>6371 * 2 * ASIN(SQRT(SIN(RADIANS((C192) - INDEX('Dataset_Wisata'!$C$12:$C$622, MATCH('Dashboard'!$C$9, 'Dataset_Wisata'!$A$12:$A$622, 0)))/2)^2 + COS(RADIANS(INDEX('Dataset_Wisata'!$C$12:$C$622, MATCH('Dashboard'!$C$9, 'Dataset_Wisata'!$A$12:$A$622, 0)))) * COS(RADIANS(C192)) * SIN(RADIANS((D192) - INDEX('Dataset_Wisata'!$D$12:$D$622, MATCH('Dashboard'!$C$9, 'Dataset_Wisata'!$A$12:$A$622, 0)))/2)^2)) * 1.3</f>
        <v/>
      </c>
      <c r="J192" s="21">
        <f>ROUND(I192 * IF('Dashboard'!$C$6&lt;=1, 2250, IF('Dashboard'!$C$6&lt;=4, 5150, 6000)), 0)</f>
        <v/>
      </c>
      <c r="K192" s="30" t="n">
        <v>0.02169048525702663</v>
      </c>
      <c r="L192" s="30" t="n">
        <v>0.9688874380848954</v>
      </c>
      <c r="M192" s="30" t="n">
        <v>0.00942207665807801</v>
      </c>
      <c r="N192" s="31">
        <f>ABS(E192-$F$6)</f>
        <v/>
      </c>
      <c r="O192" s="31">
        <f>ABS(E192-$F$7)</f>
        <v/>
      </c>
      <c r="P192" s="31">
        <f>ABS(E192-$F$8)</f>
        <v/>
      </c>
      <c r="Q192" s="14">
        <f>IF(K192&gt;=MAX(L192,M192), "Hemat", IF(L192&gt;=M192, "Balanced", "Premium"))</f>
        <v/>
      </c>
      <c r="R192" s="30" t="n">
        <v>0.02169053605683701</v>
      </c>
      <c r="S192" s="30" t="n">
        <v>0.9688873605428653</v>
      </c>
      <c r="T192" s="30" t="n">
        <v>0.009422103400297668</v>
      </c>
      <c r="U192" s="31">
        <f>ABS(E192-$G$6)</f>
        <v/>
      </c>
      <c r="V192" s="31">
        <f>ABS(E192-$G$7)</f>
        <v/>
      </c>
      <c r="W192" s="31">
        <f>ABS(E192-$G$8)</f>
        <v/>
      </c>
      <c r="X192" s="14">
        <f>IF(R192&gt;=MAX(S192,T192), "Hemat", IF(S192&gt;=T192, "Balanced", "Premium"))</f>
        <v/>
      </c>
    </row>
    <row r="193">
      <c r="A193" s="14" t="n">
        <v>182</v>
      </c>
      <c r="B193" s="7" t="inlineStr">
        <is>
          <t>REMPAH - Warung Khas Batu - Wisata Kuliner Unik Khas Kota Batu</t>
        </is>
      </c>
      <c r="C193" s="26" t="n">
        <v>-7.8792451</v>
      </c>
      <c r="D193" s="26" t="n">
        <v>112.5227186</v>
      </c>
      <c r="E193" s="21" t="n">
        <v>29250</v>
      </c>
      <c r="F193" s="27" t="n">
        <v>4.4</v>
      </c>
      <c r="G193" s="28" t="n">
        <v>2331</v>
      </c>
      <c r="H193" s="14" t="inlineStr">
        <is>
          <t>Wisata Umum</t>
        </is>
      </c>
      <c r="I193" s="29">
        <f>6371 * 2 * ASIN(SQRT(SIN(RADIANS((C193) - INDEX('Dataset_Wisata'!$C$12:$C$622, MATCH('Dashboard'!$C$9, 'Dataset_Wisata'!$A$12:$A$622, 0)))/2)^2 + COS(RADIANS(INDEX('Dataset_Wisata'!$C$12:$C$622, MATCH('Dashboard'!$C$9, 'Dataset_Wisata'!$A$12:$A$622, 0)))) * COS(RADIANS(C193)) * SIN(RADIANS((D193) - INDEX('Dataset_Wisata'!$D$12:$D$622, MATCH('Dashboard'!$C$9, 'Dataset_Wisata'!$A$12:$A$622, 0)))/2)^2)) * 1.3</f>
        <v/>
      </c>
      <c r="J193" s="21">
        <f>ROUND(I193 * IF('Dashboard'!$C$6&lt;=1, 2250, IF('Dashboard'!$C$6&lt;=4, 5150, 6000)), 0)</f>
        <v/>
      </c>
      <c r="K193" s="30" t="n">
        <v>0.05358398270815119</v>
      </c>
      <c r="L193" s="30" t="n">
        <v>0.9117089243689943</v>
      </c>
      <c r="M193" s="30" t="n">
        <v>0.03470709292285457</v>
      </c>
      <c r="N193" s="31">
        <f>ABS(E193-$F$6)</f>
        <v/>
      </c>
      <c r="O193" s="31">
        <f>ABS(E193-$F$7)</f>
        <v/>
      </c>
      <c r="P193" s="31">
        <f>ABS(E193-$F$8)</f>
        <v/>
      </c>
      <c r="Q193" s="14">
        <f>IF(K193&gt;=MAX(L193,M193), "Hemat", IF(L193&gt;=M193, "Balanced", "Premium"))</f>
        <v/>
      </c>
      <c r="R193" s="30" t="n">
        <v>0.05358404528682105</v>
      </c>
      <c r="S193" s="30" t="n">
        <v>0.9117088031409017</v>
      </c>
      <c r="T193" s="30" t="n">
        <v>0.03470715157227722</v>
      </c>
      <c r="U193" s="31">
        <f>ABS(E193-$G$6)</f>
        <v/>
      </c>
      <c r="V193" s="31">
        <f>ABS(E193-$G$7)</f>
        <v/>
      </c>
      <c r="W193" s="31">
        <f>ABS(E193-$G$8)</f>
        <v/>
      </c>
      <c r="X193" s="14">
        <f>IF(R193&gt;=MAX(S193,T193), "Hemat", IF(S193&gt;=T193, "Balanced", "Premium"))</f>
        <v/>
      </c>
    </row>
    <row r="194">
      <c r="A194" s="14" t="n">
        <v>183</v>
      </c>
      <c r="B194" s="7" t="inlineStr">
        <is>
          <t>Wisata Warung Wareg</t>
        </is>
      </c>
      <c r="C194" s="26" t="n">
        <v>-7.8628503</v>
      </c>
      <c r="D194" s="26" t="n">
        <v>112.5288779</v>
      </c>
      <c r="E194" s="21" t="n">
        <v>41337</v>
      </c>
      <c r="F194" s="27" t="n">
        <v>4.5</v>
      </c>
      <c r="G194" s="28" t="n">
        <v>8157</v>
      </c>
      <c r="H194" s="14" t="inlineStr">
        <is>
          <t>Wisata Warung Wareg</t>
        </is>
      </c>
      <c r="I194" s="29">
        <f>6371 * 2 * ASIN(SQRT(SIN(RADIANS((C194) - INDEX('Dataset_Wisata'!$C$12:$C$622, MATCH('Dashboard'!$C$9, 'Dataset_Wisata'!$A$12:$A$622, 0)))/2)^2 + COS(RADIANS(INDEX('Dataset_Wisata'!$C$12:$C$622, MATCH('Dashboard'!$C$9, 'Dataset_Wisata'!$A$12:$A$622, 0)))) * COS(RADIANS(C194)) * SIN(RADIANS((D194) - INDEX('Dataset_Wisata'!$D$12:$D$622, MATCH('Dashboard'!$C$9, 'Dataset_Wisata'!$A$12:$A$622, 0)))/2)^2)) * 1.3</f>
        <v/>
      </c>
      <c r="J194" s="21">
        <f>ROUND(I194 * IF('Dashboard'!$C$6&lt;=1, 2250, IF('Dashboard'!$C$6&lt;=4, 5150, 6000)), 0)</f>
        <v/>
      </c>
      <c r="K194" s="30" t="n">
        <v>0.05890546999897966</v>
      </c>
      <c r="L194" s="30" t="n">
        <v>0.1825549932779957</v>
      </c>
      <c r="M194" s="30" t="n">
        <v>0.7585395367230247</v>
      </c>
      <c r="N194" s="31">
        <f>ABS(E194-$F$6)</f>
        <v/>
      </c>
      <c r="O194" s="31">
        <f>ABS(E194-$F$7)</f>
        <v/>
      </c>
      <c r="P194" s="31">
        <f>ABS(E194-$F$8)</f>
        <v/>
      </c>
      <c r="Q194" s="14">
        <f>IF(K194&gt;=MAX(L194,M194), "Hemat", IF(L194&gt;=M194, "Balanced", "Premium"))</f>
        <v/>
      </c>
      <c r="R194" s="30" t="n">
        <v>0.05890542092832367</v>
      </c>
      <c r="S194" s="30" t="n">
        <v>0.1825547882242215</v>
      </c>
      <c r="T194" s="30" t="n">
        <v>0.7585397908474548</v>
      </c>
      <c r="U194" s="31">
        <f>ABS(E194-$G$6)</f>
        <v/>
      </c>
      <c r="V194" s="31">
        <f>ABS(E194-$G$7)</f>
        <v/>
      </c>
      <c r="W194" s="31">
        <f>ABS(E194-$G$8)</f>
        <v/>
      </c>
      <c r="X194" s="14">
        <f>IF(R194&gt;=MAX(S194,T194), "Hemat", IF(S194&gt;=T194, "Balanced", "Premium"))</f>
        <v/>
      </c>
    </row>
    <row r="195">
      <c r="A195" s="14" t="n">
        <v>184</v>
      </c>
      <c r="B195" s="7" t="inlineStr">
        <is>
          <t>Warung Luweng Pedes</t>
        </is>
      </c>
      <c r="C195" s="26" t="n">
        <v>-7.8777466</v>
      </c>
      <c r="D195" s="26" t="n">
        <v>112.5212529</v>
      </c>
      <c r="E195" s="21" t="n">
        <v>20000</v>
      </c>
      <c r="F195" s="27" t="n">
        <v>4.2</v>
      </c>
      <c r="G195" s="28" t="n">
        <v>828</v>
      </c>
      <c r="H195" s="14" t="inlineStr">
        <is>
          <t>Warung Luweng Pedes</t>
        </is>
      </c>
      <c r="I195" s="29">
        <f>6371 * 2 * ASIN(SQRT(SIN(RADIANS((C195) - INDEX('Dataset_Wisata'!$C$12:$C$622, MATCH('Dashboard'!$C$9, 'Dataset_Wisata'!$A$12:$A$622, 0)))/2)^2 + COS(RADIANS(INDEX('Dataset_Wisata'!$C$12:$C$622, MATCH('Dashboard'!$C$9, 'Dataset_Wisata'!$A$12:$A$622, 0)))) * COS(RADIANS(C195)) * SIN(RADIANS((D195) - INDEX('Dataset_Wisata'!$D$12:$D$622, MATCH('Dashboard'!$C$9, 'Dataset_Wisata'!$A$12:$A$622, 0)))/2)^2)) * 1.3</f>
        <v/>
      </c>
      <c r="J195" s="21">
        <f>ROUND(I195 * IF('Dashboard'!$C$6&lt;=1, 2250, IF('Dashboard'!$C$6&lt;=4, 5150, 6000)), 0)</f>
        <v/>
      </c>
      <c r="K195" s="30" t="n">
        <v>0.3766864462048385</v>
      </c>
      <c r="L195" s="30" t="n">
        <v>0.6029404273516955</v>
      </c>
      <c r="M195" s="30" t="n">
        <v>0.02037312644346593</v>
      </c>
      <c r="N195" s="31">
        <f>ABS(E195-$F$6)</f>
        <v/>
      </c>
      <c r="O195" s="31">
        <f>ABS(E195-$F$7)</f>
        <v/>
      </c>
      <c r="P195" s="31">
        <f>ABS(E195-$F$8)</f>
        <v/>
      </c>
      <c r="Q195" s="14">
        <f>IF(K195&gt;=MAX(L195,M195), "Hemat", IF(L195&gt;=M195, "Balanced", "Premium"))</f>
        <v/>
      </c>
      <c r="R195" s="30" t="n">
        <v>0.3766861717192874</v>
      </c>
      <c r="S195" s="30" t="n">
        <v>0.6029407066601674</v>
      </c>
      <c r="T195" s="30" t="n">
        <v>0.02037312162054524</v>
      </c>
      <c r="U195" s="31">
        <f>ABS(E195-$G$6)</f>
        <v/>
      </c>
      <c r="V195" s="31">
        <f>ABS(E195-$G$7)</f>
        <v/>
      </c>
      <c r="W195" s="31">
        <f>ABS(E195-$G$8)</f>
        <v/>
      </c>
      <c r="X195" s="14">
        <f>IF(R195&gt;=MAX(S195,T195), "Hemat", IF(S195&gt;=T195, "Balanced", "Premium"))</f>
        <v/>
      </c>
    </row>
    <row r="196">
      <c r="A196" s="14" t="n">
        <v>185</v>
      </c>
      <c r="B196" s="7" t="inlineStr">
        <is>
          <t>Rumah Makan Mesir</t>
        </is>
      </c>
      <c r="C196" s="26" t="n">
        <v>-7.871857</v>
      </c>
      <c r="D196" s="26" t="n">
        <v>112.5279112</v>
      </c>
      <c r="E196" s="21" t="n">
        <v>20000</v>
      </c>
      <c r="F196" s="27" t="n">
        <v>4.6</v>
      </c>
      <c r="G196" s="28" t="n">
        <v>3385</v>
      </c>
      <c r="H196" s="14" t="inlineStr">
        <is>
          <t>Wisata Umum</t>
        </is>
      </c>
      <c r="I196" s="29">
        <f>6371 * 2 * ASIN(SQRT(SIN(RADIANS((C196) - INDEX('Dataset_Wisata'!$C$12:$C$622, MATCH('Dashboard'!$C$9, 'Dataset_Wisata'!$A$12:$A$622, 0)))/2)^2 + COS(RADIANS(INDEX('Dataset_Wisata'!$C$12:$C$622, MATCH('Dashboard'!$C$9, 'Dataset_Wisata'!$A$12:$A$622, 0)))) * COS(RADIANS(C196)) * SIN(RADIANS((D196) - INDEX('Dataset_Wisata'!$D$12:$D$622, MATCH('Dashboard'!$C$9, 'Dataset_Wisata'!$A$12:$A$622, 0)))/2)^2)) * 1.3</f>
        <v/>
      </c>
      <c r="J196" s="21">
        <f>ROUND(I196 * IF('Dashboard'!$C$6&lt;=1, 2250, IF('Dashboard'!$C$6&lt;=4, 5150, 6000)), 0)</f>
        <v/>
      </c>
      <c r="K196" s="30" t="n">
        <v>0.3766864462048385</v>
      </c>
      <c r="L196" s="30" t="n">
        <v>0.6029404273516955</v>
      </c>
      <c r="M196" s="30" t="n">
        <v>0.02037312644346593</v>
      </c>
      <c r="N196" s="31">
        <f>ABS(E196-$F$6)</f>
        <v/>
      </c>
      <c r="O196" s="31">
        <f>ABS(E196-$F$7)</f>
        <v/>
      </c>
      <c r="P196" s="31">
        <f>ABS(E196-$F$8)</f>
        <v/>
      </c>
      <c r="Q196" s="14">
        <f>IF(K196&gt;=MAX(L196,M196), "Hemat", IF(L196&gt;=M196, "Balanced", "Premium"))</f>
        <v/>
      </c>
      <c r="R196" s="30" t="n">
        <v>0.3766861717192874</v>
      </c>
      <c r="S196" s="30" t="n">
        <v>0.6029407066601674</v>
      </c>
      <c r="T196" s="30" t="n">
        <v>0.02037312162054524</v>
      </c>
      <c r="U196" s="31">
        <f>ABS(E196-$G$6)</f>
        <v/>
      </c>
      <c r="V196" s="31">
        <f>ABS(E196-$G$7)</f>
        <v/>
      </c>
      <c r="W196" s="31">
        <f>ABS(E196-$G$8)</f>
        <v/>
      </c>
      <c r="X196" s="14">
        <f>IF(R196&gt;=MAX(S196,T196), "Hemat", IF(S196&gt;=T196, "Balanced", "Premium"))</f>
        <v/>
      </c>
    </row>
    <row r="197">
      <c r="A197" s="14" t="n">
        <v>186</v>
      </c>
      <c r="B197" s="7" t="inlineStr">
        <is>
          <t>Khas Jawa 1985</t>
        </is>
      </c>
      <c r="C197" s="26" t="n">
        <v>-7.8735622</v>
      </c>
      <c r="D197" s="26" t="n">
        <v>112.5290518</v>
      </c>
      <c r="E197" s="21" t="n">
        <v>31250</v>
      </c>
      <c r="F197" s="27" t="n">
        <v>4.5</v>
      </c>
      <c r="G197" s="28" t="n">
        <v>1969</v>
      </c>
      <c r="H197" s="14" t="inlineStr">
        <is>
          <t>Wisata Umum</t>
        </is>
      </c>
      <c r="I197" s="29">
        <f>6371 * 2 * ASIN(SQRT(SIN(RADIANS((C197) - INDEX('Dataset_Wisata'!$C$12:$C$622, MATCH('Dashboard'!$C$9, 'Dataset_Wisata'!$A$12:$A$622, 0)))/2)^2 + COS(RADIANS(INDEX('Dataset_Wisata'!$C$12:$C$622, MATCH('Dashboard'!$C$9, 'Dataset_Wisata'!$A$12:$A$622, 0)))) * COS(RADIANS(C197)) * SIN(RADIANS((D197) - INDEX('Dataset_Wisata'!$D$12:$D$622, MATCH('Dashboard'!$C$9, 'Dataset_Wisata'!$A$12:$A$622, 0)))/2)^2)) * 1.3</f>
        <v/>
      </c>
      <c r="J197" s="21">
        <f>ROUND(I197 * IF('Dashboard'!$C$6&lt;=1, 2250, IF('Dashboard'!$C$6&lt;=4, 5150, 6000)), 0)</f>
        <v/>
      </c>
      <c r="K197" s="30" t="n">
        <v>0.08774771520030814</v>
      </c>
      <c r="L197" s="30" t="n">
        <v>0.8234139765298341</v>
      </c>
      <c r="M197" s="30" t="n">
        <v>0.08883830826985789</v>
      </c>
      <c r="N197" s="31">
        <f>ABS(E197-$F$6)</f>
        <v/>
      </c>
      <c r="O197" s="31">
        <f>ABS(E197-$F$7)</f>
        <v/>
      </c>
      <c r="P197" s="31">
        <f>ABS(E197-$F$8)</f>
        <v/>
      </c>
      <c r="Q197" s="14">
        <f>IF(K197&gt;=MAX(L197,M197), "Hemat", IF(L197&gt;=M197, "Balanced", "Premium"))</f>
        <v/>
      </c>
      <c r="R197" s="30" t="n">
        <v>0.08774777154349372</v>
      </c>
      <c r="S197" s="30" t="n">
        <v>0.8234138131906834</v>
      </c>
      <c r="T197" s="30" t="n">
        <v>0.08883841526582285</v>
      </c>
      <c r="U197" s="31">
        <f>ABS(E197-$G$6)</f>
        <v/>
      </c>
      <c r="V197" s="31">
        <f>ABS(E197-$G$7)</f>
        <v/>
      </c>
      <c r="W197" s="31">
        <f>ABS(E197-$G$8)</f>
        <v/>
      </c>
      <c r="X197" s="14">
        <f>IF(R197&gt;=MAX(S197,T197), "Hemat", IF(S197&gt;=T197, "Balanced", "Premium"))</f>
        <v/>
      </c>
    </row>
    <row r="198">
      <c r="A198" s="14" t="n">
        <v>187</v>
      </c>
      <c r="B198" s="7" t="inlineStr">
        <is>
          <t>Ayam Tulang Lunak MBOK SURIP, Sisir, Kota Batu</t>
        </is>
      </c>
      <c r="C198" s="26" t="n">
        <v>-7.8757277</v>
      </c>
      <c r="D198" s="26" t="n">
        <v>112.5314335</v>
      </c>
      <c r="E198" s="21" t="n">
        <v>21000</v>
      </c>
      <c r="F198" s="27" t="n">
        <v>4.3</v>
      </c>
      <c r="G198" s="28" t="n">
        <v>2761</v>
      </c>
      <c r="H198" s="14" t="inlineStr">
        <is>
          <t>Wisata Umum</t>
        </is>
      </c>
      <c r="I198" s="29">
        <f>6371 * 2 * ASIN(SQRT(SIN(RADIANS((C198) - INDEX('Dataset_Wisata'!$C$12:$C$622, MATCH('Dashboard'!$C$9, 'Dataset_Wisata'!$A$12:$A$622, 0)))/2)^2 + COS(RADIANS(INDEX('Dataset_Wisata'!$C$12:$C$622, MATCH('Dashboard'!$C$9, 'Dataset_Wisata'!$A$12:$A$622, 0)))) * COS(RADIANS(C198)) * SIN(RADIANS((D198) - INDEX('Dataset_Wisata'!$D$12:$D$622, MATCH('Dashboard'!$C$9, 'Dataset_Wisata'!$A$12:$A$622, 0)))/2)^2)) * 1.3</f>
        <v/>
      </c>
      <c r="J198" s="21">
        <f>ROUND(I198 * IF('Dashboard'!$C$6&lt;=1, 2250, IF('Dashboard'!$C$6&lt;=4, 5150, 6000)), 0)</f>
        <v/>
      </c>
      <c r="K198" s="30" t="n">
        <v>0.2347222334369035</v>
      </c>
      <c r="L198" s="30" t="n">
        <v>0.7473572719448701</v>
      </c>
      <c r="M198" s="30" t="n">
        <v>0.01792049461822643</v>
      </c>
      <c r="N198" s="31">
        <f>ABS(E198-$F$6)</f>
        <v/>
      </c>
      <c r="O198" s="31">
        <f>ABS(E198-$F$7)</f>
        <v/>
      </c>
      <c r="P198" s="31">
        <f>ABS(E198-$F$8)</f>
        <v/>
      </c>
      <c r="Q198" s="14">
        <f>IF(K198&gt;=MAX(L198,M198), "Hemat", IF(L198&gt;=M198, "Balanced", "Premium"))</f>
        <v/>
      </c>
      <c r="R198" s="30" t="n">
        <v>0.2347219863641389</v>
      </c>
      <c r="S198" s="30" t="n">
        <v>0.7473575293118924</v>
      </c>
      <c r="T198" s="30" t="n">
        <v>0.0179204843239686</v>
      </c>
      <c r="U198" s="31">
        <f>ABS(E198-$G$6)</f>
        <v/>
      </c>
      <c r="V198" s="31">
        <f>ABS(E198-$G$7)</f>
        <v/>
      </c>
      <c r="W198" s="31">
        <f>ABS(E198-$G$8)</f>
        <v/>
      </c>
      <c r="X198" s="14">
        <f>IF(R198&gt;=MAX(S198,T198), "Hemat", IF(S198&gt;=T198, "Balanced", "Premium"))</f>
        <v/>
      </c>
    </row>
    <row r="199">
      <c r="A199" s="14" t="n">
        <v>188</v>
      </c>
      <c r="B199" s="7" t="inlineStr">
        <is>
          <t>WARUNK WOW KWB</t>
        </is>
      </c>
      <c r="C199" s="26" t="n">
        <v>-7.86937</v>
      </c>
      <c r="D199" s="26" t="n">
        <v>112.5210543</v>
      </c>
      <c r="E199" s="21" t="n">
        <v>28875</v>
      </c>
      <c r="F199" s="27" t="n">
        <v>4.5</v>
      </c>
      <c r="G199" s="28" t="n">
        <v>5275</v>
      </c>
      <c r="H199" s="14" t="inlineStr">
        <is>
          <t>Restoran bergaya industri dengan camilan</t>
        </is>
      </c>
      <c r="I199" s="29">
        <f>6371 * 2 * ASIN(SQRT(SIN(RADIANS((C199) - INDEX('Dataset_Wisata'!$C$12:$C$622, MATCH('Dashboard'!$C$9, 'Dataset_Wisata'!$A$12:$A$622, 0)))/2)^2 + COS(RADIANS(INDEX('Dataset_Wisata'!$C$12:$C$622, MATCH('Dashboard'!$C$9, 'Dataset_Wisata'!$A$12:$A$622, 0)))) * COS(RADIANS(C199)) * SIN(RADIANS((D199) - INDEX('Dataset_Wisata'!$D$12:$D$622, MATCH('Dashboard'!$C$9, 'Dataset_Wisata'!$A$12:$A$622, 0)))/2)^2)) * 1.3</f>
        <v/>
      </c>
      <c r="J199" s="21">
        <f>ROUND(I199 * IF('Dashboard'!$C$6&lt;=1, 2250, IF('Dashboard'!$C$6&lt;=4, 5150, 6000)), 0)</f>
        <v/>
      </c>
      <c r="K199" s="30" t="n">
        <v>0.04656914890656842</v>
      </c>
      <c r="L199" s="30" t="n">
        <v>0.9257148727015313</v>
      </c>
      <c r="M199" s="30" t="n">
        <v>0.02771597839190027</v>
      </c>
      <c r="N199" s="31">
        <f>ABS(E199-$F$6)</f>
        <v/>
      </c>
      <c r="O199" s="31">
        <f>ABS(E199-$F$7)</f>
        <v/>
      </c>
      <c r="P199" s="31">
        <f>ABS(E199-$F$8)</f>
        <v/>
      </c>
      <c r="Q199" s="14">
        <f>IF(K199&gt;=MAX(L199,M199), "Hemat", IF(L199&gt;=M199, "Balanced", "Premium"))</f>
        <v/>
      </c>
      <c r="R199" s="30" t="n">
        <v>0.0465692105945057</v>
      </c>
      <c r="S199" s="30" t="n">
        <v>0.9257147600048945</v>
      </c>
      <c r="T199" s="30" t="n">
        <v>0.02771602940059978</v>
      </c>
      <c r="U199" s="31">
        <f>ABS(E199-$G$6)</f>
        <v/>
      </c>
      <c r="V199" s="31">
        <f>ABS(E199-$G$7)</f>
        <v/>
      </c>
      <c r="W199" s="31">
        <f>ABS(E199-$G$8)</f>
        <v/>
      </c>
      <c r="X199" s="14">
        <f>IF(R199&gt;=MAX(S199,T199), "Hemat", IF(S199&gt;=T199, "Balanced", "Premium"))</f>
        <v/>
      </c>
    </row>
    <row r="200">
      <c r="A200" s="14" t="n">
        <v>189</v>
      </c>
      <c r="B200" s="7" t="inlineStr">
        <is>
          <t>Warung Atikah</t>
        </is>
      </c>
      <c r="C200" s="26" t="n">
        <v>-7.8703306</v>
      </c>
      <c r="D200" s="26" t="n">
        <v>112.5293253</v>
      </c>
      <c r="E200" s="21" t="n">
        <v>16000</v>
      </c>
      <c r="F200" s="27" t="n">
        <v>4.8</v>
      </c>
      <c r="G200" s="28" t="n">
        <v>119</v>
      </c>
      <c r="H200" s="14" t="inlineStr">
        <is>
          <t>Warung Atikah</t>
        </is>
      </c>
      <c r="I200" s="29">
        <f>6371 * 2 * ASIN(SQRT(SIN(RADIANS((C200) - INDEX('Dataset_Wisata'!$C$12:$C$622, MATCH('Dashboard'!$C$9, 'Dataset_Wisata'!$A$12:$A$622, 0)))/2)^2 + COS(RADIANS(INDEX('Dataset_Wisata'!$C$12:$C$622, MATCH('Dashboard'!$C$9, 'Dataset_Wisata'!$A$12:$A$622, 0)))) * COS(RADIANS(C200)) * SIN(RADIANS((D200) - INDEX('Dataset_Wisata'!$D$12:$D$622, MATCH('Dashboard'!$C$9, 'Dataset_Wisata'!$A$12:$A$622, 0)))/2)^2)) * 1.3</f>
        <v/>
      </c>
      <c r="J200" s="21">
        <f>ROUND(I200 * IF('Dashboard'!$C$6&lt;=1, 2250, IF('Dashboard'!$C$6&lt;=4, 5150, 6000)), 0)</f>
        <v/>
      </c>
      <c r="K200" s="30" t="n">
        <v>0.9128193134184031</v>
      </c>
      <c r="L200" s="30" t="n">
        <v>0.08074863238868506</v>
      </c>
      <c r="M200" s="30" t="n">
        <v>0.006432054192912039</v>
      </c>
      <c r="N200" s="31">
        <f>ABS(E200-$F$6)</f>
        <v/>
      </c>
      <c r="O200" s="31">
        <f>ABS(E200-$F$7)</f>
        <v/>
      </c>
      <c r="P200" s="31">
        <f>ABS(E200-$F$8)</f>
        <v/>
      </c>
      <c r="Q200" s="14">
        <f>IF(K200&gt;=MAX(L200,M200), "Hemat", IF(L200&gt;=M200, "Balanced", "Premium"))</f>
        <v/>
      </c>
      <c r="R200" s="30" t="n">
        <v>0.9128192326410924</v>
      </c>
      <c r="S200" s="30" t="n">
        <v>0.08074870904423974</v>
      </c>
      <c r="T200" s="30" t="n">
        <v>0.006432058314667768</v>
      </c>
      <c r="U200" s="31">
        <f>ABS(E200-$G$6)</f>
        <v/>
      </c>
      <c r="V200" s="31">
        <f>ABS(E200-$G$7)</f>
        <v/>
      </c>
      <c r="W200" s="31">
        <f>ABS(E200-$G$8)</f>
        <v/>
      </c>
      <c r="X200" s="14">
        <f>IF(R200&gt;=MAX(S200,T200), "Hemat", IF(S200&gt;=T200, "Balanced", "Premium"))</f>
        <v/>
      </c>
    </row>
    <row r="201">
      <c r="A201" s="14" t="n">
        <v>190</v>
      </c>
      <c r="B201" s="7" t="inlineStr">
        <is>
          <t>Rumah Makan Kerta Sari Batu</t>
        </is>
      </c>
      <c r="C201" s="26" t="n">
        <v>-7.863149</v>
      </c>
      <c r="D201" s="26" t="n">
        <v>112.527514</v>
      </c>
      <c r="E201" s="21" t="n">
        <v>30000</v>
      </c>
      <c r="F201" s="27" t="n">
        <v>4.3</v>
      </c>
      <c r="G201" s="28" t="n">
        <v>624</v>
      </c>
      <c r="H201" s="14" t="inlineStr">
        <is>
          <t>Restoran luas bercitarasa Indonesia</t>
        </is>
      </c>
      <c r="I201" s="29">
        <f>6371 * 2 * ASIN(SQRT(SIN(RADIANS((C201) - INDEX('Dataset_Wisata'!$C$12:$C$622, MATCH('Dashboard'!$C$9, 'Dataset_Wisata'!$A$12:$A$622, 0)))/2)^2 + COS(RADIANS(INDEX('Dataset_Wisata'!$C$12:$C$622, MATCH('Dashboard'!$C$9, 'Dataset_Wisata'!$A$12:$A$622, 0)))) * COS(RADIANS(C201)) * SIN(RADIANS((D201) - INDEX('Dataset_Wisata'!$D$12:$D$622, MATCH('Dashboard'!$C$9, 'Dataset_Wisata'!$A$12:$A$622, 0)))/2)^2)) * 1.3</f>
        <v/>
      </c>
      <c r="J201" s="21">
        <f>ROUND(I201 * IF('Dashboard'!$C$6&lt;=1, 2250, IF('Dashboard'!$C$6&lt;=4, 5150, 6000)), 0)</f>
        <v/>
      </c>
      <c r="K201" s="30" t="n">
        <v>0.06726312231076584</v>
      </c>
      <c r="L201" s="30" t="n">
        <v>0.8811909885629753</v>
      </c>
      <c r="M201" s="30" t="n">
        <v>0.05154588912625897</v>
      </c>
      <c r="N201" s="31">
        <f>ABS(E201-$F$6)</f>
        <v/>
      </c>
      <c r="O201" s="31">
        <f>ABS(E201-$F$7)</f>
        <v/>
      </c>
      <c r="P201" s="31">
        <f>ABS(E201-$F$8)</f>
        <v/>
      </c>
      <c r="Q201" s="14">
        <f>IF(K201&gt;=MAX(L201,M201), "Hemat", IF(L201&gt;=M201, "Balanced", "Premium"))</f>
        <v/>
      </c>
      <c r="R201" s="30" t="n">
        <v>0.06726318452674353</v>
      </c>
      <c r="S201" s="30" t="n">
        <v>0.8811908510588695</v>
      </c>
      <c r="T201" s="30" t="n">
        <v>0.05154596441438693</v>
      </c>
      <c r="U201" s="31">
        <f>ABS(E201-$G$6)</f>
        <v/>
      </c>
      <c r="V201" s="31">
        <f>ABS(E201-$G$7)</f>
        <v/>
      </c>
      <c r="W201" s="31">
        <f>ABS(E201-$G$8)</f>
        <v/>
      </c>
      <c r="X201" s="14">
        <f>IF(R201&gt;=MAX(S201,T201), "Hemat", IF(S201&gt;=T201, "Balanced", "Premium"))</f>
        <v/>
      </c>
    </row>
    <row r="202">
      <c r="A202" s="14" t="n">
        <v>191</v>
      </c>
      <c r="B202" s="7" t="inlineStr">
        <is>
          <t>Kuliner Warung ANTICA 81</t>
        </is>
      </c>
      <c r="C202" s="26" t="n">
        <v>-7.8645359</v>
      </c>
      <c r="D202" s="26" t="n">
        <v>112.54156</v>
      </c>
      <c r="E202" s="21" t="n">
        <v>18000</v>
      </c>
      <c r="F202" s="27" t="n">
        <v>4.7</v>
      </c>
      <c r="G202" s="28" t="n">
        <v>76</v>
      </c>
      <c r="H202" s="14" t="inlineStr">
        <is>
          <t>Kuliner Warung ANTICA 81</t>
        </is>
      </c>
      <c r="I202" s="29">
        <f>6371 * 2 * ASIN(SQRT(SIN(RADIANS((C202) - INDEX('Dataset_Wisata'!$C$12:$C$622, MATCH('Dashboard'!$C$9, 'Dataset_Wisata'!$A$12:$A$622, 0)))/2)^2 + COS(RADIANS(INDEX('Dataset_Wisata'!$C$12:$C$622, MATCH('Dashboard'!$C$9, 'Dataset_Wisata'!$A$12:$A$622, 0)))) * COS(RADIANS(C202)) * SIN(RADIANS((D202) - INDEX('Dataset_Wisata'!$D$12:$D$622, MATCH('Dashboard'!$C$9, 'Dataset_Wisata'!$A$12:$A$622, 0)))/2)^2)) * 1.3</f>
        <v/>
      </c>
      <c r="J202" s="21">
        <f>ROUND(I202 * IF('Dashboard'!$C$6&lt;=1, 2250, IF('Dashboard'!$C$6&lt;=4, 5150, 6000)), 0)</f>
        <v/>
      </c>
      <c r="K202" s="30" t="n">
        <v>0.6916251733659831</v>
      </c>
      <c r="L202" s="30" t="n">
        <v>0.2920817970297536</v>
      </c>
      <c r="M202" s="30" t="n">
        <v>0.01629302960426341</v>
      </c>
      <c r="N202" s="31">
        <f>ABS(E202-$F$6)</f>
        <v/>
      </c>
      <c r="O202" s="31">
        <f>ABS(E202-$F$7)</f>
        <v/>
      </c>
      <c r="P202" s="31">
        <f>ABS(E202-$F$8)</f>
        <v/>
      </c>
      <c r="Q202" s="14">
        <f>IF(K202&gt;=MAX(L202,M202), "Hemat", IF(L202&gt;=M202, "Balanced", "Premium"))</f>
        <v/>
      </c>
      <c r="R202" s="30" t="n">
        <v>0.6916249652211897</v>
      </c>
      <c r="S202" s="30" t="n">
        <v>0.2920820010799081</v>
      </c>
      <c r="T202" s="30" t="n">
        <v>0.01629303369890229</v>
      </c>
      <c r="U202" s="31">
        <f>ABS(E202-$G$6)</f>
        <v/>
      </c>
      <c r="V202" s="31">
        <f>ABS(E202-$G$7)</f>
        <v/>
      </c>
      <c r="W202" s="31">
        <f>ABS(E202-$G$8)</f>
        <v/>
      </c>
      <c r="X202" s="14">
        <f>IF(R202&gt;=MAX(S202,T202), "Hemat", IF(S202&gt;=T202, "Balanced", "Premium"))</f>
        <v/>
      </c>
    </row>
    <row r="203">
      <c r="A203" s="14" t="n">
        <v>192</v>
      </c>
      <c r="B203" s="7" t="inlineStr">
        <is>
          <t>Warung Bethania Batu</t>
        </is>
      </c>
      <c r="C203" s="26" t="n">
        <v>-7.8746495</v>
      </c>
      <c r="D203" s="26" t="n">
        <v>112.5300749</v>
      </c>
      <c r="E203" s="21" t="n">
        <v>31250</v>
      </c>
      <c r="F203" s="27" t="n">
        <v>4.4</v>
      </c>
      <c r="G203" s="28" t="n">
        <v>2638</v>
      </c>
      <c r="H203" s="14" t="inlineStr">
        <is>
          <t>Warung Bethania Batu</t>
        </is>
      </c>
      <c r="I203" s="29">
        <f>6371 * 2 * ASIN(SQRT(SIN(RADIANS((C203) - INDEX('Dataset_Wisata'!$C$12:$C$622, MATCH('Dashboard'!$C$9, 'Dataset_Wisata'!$A$12:$A$622, 0)))/2)^2 + COS(RADIANS(INDEX('Dataset_Wisata'!$C$12:$C$622, MATCH('Dashboard'!$C$9, 'Dataset_Wisata'!$A$12:$A$622, 0)))) * COS(RADIANS(C203)) * SIN(RADIANS((D203) - INDEX('Dataset_Wisata'!$D$12:$D$622, MATCH('Dashboard'!$C$9, 'Dataset_Wisata'!$A$12:$A$622, 0)))/2)^2)) * 1.3</f>
        <v/>
      </c>
      <c r="J203" s="21">
        <f>ROUND(I203 * IF('Dashboard'!$C$6&lt;=1, 2250, IF('Dashboard'!$C$6&lt;=4, 5150, 6000)), 0)</f>
        <v/>
      </c>
      <c r="K203" s="30" t="n">
        <v>0.08774771520030814</v>
      </c>
      <c r="L203" s="30" t="n">
        <v>0.8234139765298341</v>
      </c>
      <c r="M203" s="30" t="n">
        <v>0.08883830826985789</v>
      </c>
      <c r="N203" s="31">
        <f>ABS(E203-$F$6)</f>
        <v/>
      </c>
      <c r="O203" s="31">
        <f>ABS(E203-$F$7)</f>
        <v/>
      </c>
      <c r="P203" s="31">
        <f>ABS(E203-$F$8)</f>
        <v/>
      </c>
      <c r="Q203" s="14">
        <f>IF(K203&gt;=MAX(L203,M203), "Hemat", IF(L203&gt;=M203, "Balanced", "Premium"))</f>
        <v/>
      </c>
      <c r="R203" s="30" t="n">
        <v>0.08774777154349372</v>
      </c>
      <c r="S203" s="30" t="n">
        <v>0.8234138131906834</v>
      </c>
      <c r="T203" s="30" t="n">
        <v>0.08883841526582285</v>
      </c>
      <c r="U203" s="31">
        <f>ABS(E203-$G$6)</f>
        <v/>
      </c>
      <c r="V203" s="31">
        <f>ABS(E203-$G$7)</f>
        <v/>
      </c>
      <c r="W203" s="31">
        <f>ABS(E203-$G$8)</f>
        <v/>
      </c>
      <c r="X203" s="14">
        <f>IF(R203&gt;=MAX(S203,T203), "Hemat", IF(S203&gt;=T203, "Balanced", "Premium"))</f>
        <v/>
      </c>
    </row>
    <row r="204">
      <c r="A204" s="14" t="n">
        <v>193</v>
      </c>
      <c r="B204" s="7" t="inlineStr">
        <is>
          <t>Warung 9</t>
        </is>
      </c>
      <c r="C204" s="26" t="n">
        <v>-7.8817845</v>
      </c>
      <c r="D204" s="26" t="n">
        <v>112.5338902</v>
      </c>
      <c r="E204" s="21" t="n">
        <v>15000</v>
      </c>
      <c r="F204" s="27" t="n">
        <v>4.7</v>
      </c>
      <c r="G204" s="28" t="n">
        <v>263</v>
      </c>
      <c r="H204" s="14" t="inlineStr">
        <is>
          <t>Warung 9</t>
        </is>
      </c>
      <c r="I204" s="29">
        <f>6371 * 2 * ASIN(SQRT(SIN(RADIANS((C204) - INDEX('Dataset_Wisata'!$C$12:$C$622, MATCH('Dashboard'!$C$9, 'Dataset_Wisata'!$A$12:$A$622, 0)))/2)^2 + COS(RADIANS(INDEX('Dataset_Wisata'!$C$12:$C$622, MATCH('Dashboard'!$C$9, 'Dataset_Wisata'!$A$12:$A$622, 0)))) * COS(RADIANS(C204)) * SIN(RADIANS((D204) - INDEX('Dataset_Wisata'!$D$12:$D$622, MATCH('Dashboard'!$C$9, 'Dataset_Wisata'!$A$12:$A$622, 0)))/2)^2)) * 1.3</f>
        <v/>
      </c>
      <c r="J204" s="21">
        <f>ROUND(I204 * IF('Dashboard'!$C$6&lt;=1, 2250, IF('Dashboard'!$C$6&lt;=4, 5150, 6000)), 0)</f>
        <v/>
      </c>
      <c r="K204" s="30" t="n">
        <v>0.9686283169848018</v>
      </c>
      <c r="L204" s="30" t="n">
        <v>0.02872990537067274</v>
      </c>
      <c r="M204" s="30" t="n">
        <v>0.002641777644525457</v>
      </c>
      <c r="N204" s="31">
        <f>ABS(E204-$F$6)</f>
        <v/>
      </c>
      <c r="O204" s="31">
        <f>ABS(E204-$F$7)</f>
        <v/>
      </c>
      <c r="P204" s="31">
        <f>ABS(E204-$F$8)</f>
        <v/>
      </c>
      <c r="Q204" s="14">
        <f>IF(K204&gt;=MAX(L204,M204), "Hemat", IF(L204&gt;=M204, "Balanced", "Premium"))</f>
        <v/>
      </c>
      <c r="R204" s="30" t="n">
        <v>0.9686282798936615</v>
      </c>
      <c r="S204" s="30" t="n">
        <v>0.02872993996961344</v>
      </c>
      <c r="T204" s="30" t="n">
        <v>0.002641780136725144</v>
      </c>
      <c r="U204" s="31">
        <f>ABS(E204-$G$6)</f>
        <v/>
      </c>
      <c r="V204" s="31">
        <f>ABS(E204-$G$7)</f>
        <v/>
      </c>
      <c r="W204" s="31">
        <f>ABS(E204-$G$8)</f>
        <v/>
      </c>
      <c r="X204" s="14">
        <f>IF(R204&gt;=MAX(S204,T204), "Hemat", IF(S204&gt;=T204, "Balanced", "Premium"))</f>
        <v/>
      </c>
    </row>
    <row r="205">
      <c r="A205" s="14" t="n">
        <v>194</v>
      </c>
      <c r="B205" s="7" t="inlineStr">
        <is>
          <t>Pos Ketan Legenda - 1967 Batu</t>
        </is>
      </c>
      <c r="C205" s="26" t="n">
        <v>-7.8709526</v>
      </c>
      <c r="D205" s="26" t="n">
        <v>112.5259953</v>
      </c>
      <c r="E205" s="21" t="n">
        <v>12000</v>
      </c>
      <c r="F205" s="27" t="n">
        <v>4.5</v>
      </c>
      <c r="G205" s="28" t="n">
        <v>4955</v>
      </c>
      <c r="H205" s="14" t="inlineStr">
        <is>
          <t>Wisata Umum</t>
        </is>
      </c>
      <c r="I205" s="29">
        <f>6371 * 2 * ASIN(SQRT(SIN(RADIANS((C205) - INDEX('Dataset_Wisata'!$C$12:$C$622, MATCH('Dashboard'!$C$9, 'Dataset_Wisata'!$A$12:$A$622, 0)))/2)^2 + COS(RADIANS(INDEX('Dataset_Wisata'!$C$12:$C$622, MATCH('Dashboard'!$C$9, 'Dataset_Wisata'!$A$12:$A$622, 0)))) * COS(RADIANS(C205)) * SIN(RADIANS((D205) - INDEX('Dataset_Wisata'!$D$12:$D$622, MATCH('Dashboard'!$C$9, 'Dataset_Wisata'!$A$12:$A$622, 0)))/2)^2)) * 1.3</f>
        <v/>
      </c>
      <c r="J205" s="21">
        <f>ROUND(I205 * IF('Dashboard'!$C$6&lt;=1, 2250, IF('Dashboard'!$C$6&lt;=4, 5150, 6000)), 0)</f>
        <v/>
      </c>
      <c r="K205" s="30" t="n">
        <v>0.9907459480940729</v>
      </c>
      <c r="L205" s="30" t="n">
        <v>0.008195110232283047</v>
      </c>
      <c r="M205" s="30" t="n">
        <v>0.001058941673643979</v>
      </c>
      <c r="N205" s="31">
        <f>ABS(E205-$F$6)</f>
        <v/>
      </c>
      <c r="O205" s="31">
        <f>ABS(E205-$F$7)</f>
        <v/>
      </c>
      <c r="P205" s="31">
        <f>ABS(E205-$F$8)</f>
        <v/>
      </c>
      <c r="Q205" s="14">
        <f>IF(K205&gt;=MAX(L205,M205), "Hemat", IF(L205&gt;=M205, "Balanced", "Premium"))</f>
        <v/>
      </c>
      <c r="R205" s="30" t="n">
        <v>0.9907459543354936</v>
      </c>
      <c r="S205" s="30" t="n">
        <v>0.008195104860105683</v>
      </c>
      <c r="T205" s="30" t="n">
        <v>0.0010589408044008</v>
      </c>
      <c r="U205" s="31">
        <f>ABS(E205-$G$6)</f>
        <v/>
      </c>
      <c r="V205" s="31">
        <f>ABS(E205-$G$7)</f>
        <v/>
      </c>
      <c r="W205" s="31">
        <f>ABS(E205-$G$8)</f>
        <v/>
      </c>
      <c r="X205" s="14">
        <f>IF(R205&gt;=MAX(S205,T205), "Hemat", IF(S205&gt;=T205, "Balanced", "Premium"))</f>
        <v/>
      </c>
    </row>
    <row r="206">
      <c r="A206" s="14" t="n">
        <v>195</v>
      </c>
      <c r="B206" s="7" t="inlineStr">
        <is>
          <t>LALAPAN KHAS SOLO Bu Yanti</t>
        </is>
      </c>
      <c r="C206" s="26" t="n">
        <v>-7.8819723</v>
      </c>
      <c r="D206" s="26" t="n">
        <v>112.5356854</v>
      </c>
      <c r="E206" s="21" t="n">
        <v>15000</v>
      </c>
      <c r="F206" s="27" t="n">
        <v>4.7</v>
      </c>
      <c r="G206" s="28" t="n">
        <v>387</v>
      </c>
      <c r="H206" s="14" t="inlineStr">
        <is>
          <t>Wisata Umum</t>
        </is>
      </c>
      <c r="I206" s="29">
        <f>6371 * 2 * ASIN(SQRT(SIN(RADIANS((C206) - INDEX('Dataset_Wisata'!$C$12:$C$622, MATCH('Dashboard'!$C$9, 'Dataset_Wisata'!$A$12:$A$622, 0)))/2)^2 + COS(RADIANS(INDEX('Dataset_Wisata'!$C$12:$C$622, MATCH('Dashboard'!$C$9, 'Dataset_Wisata'!$A$12:$A$622, 0)))) * COS(RADIANS(C206)) * SIN(RADIANS((D206) - INDEX('Dataset_Wisata'!$D$12:$D$622, MATCH('Dashboard'!$C$9, 'Dataset_Wisata'!$A$12:$A$622, 0)))/2)^2)) * 1.3</f>
        <v/>
      </c>
      <c r="J206" s="21">
        <f>ROUND(I206 * IF('Dashboard'!$C$6&lt;=1, 2250, IF('Dashboard'!$C$6&lt;=4, 5150, 6000)), 0)</f>
        <v/>
      </c>
      <c r="K206" s="30" t="n">
        <v>0.9686283169848018</v>
      </c>
      <c r="L206" s="30" t="n">
        <v>0.02872990537067274</v>
      </c>
      <c r="M206" s="30" t="n">
        <v>0.002641777644525457</v>
      </c>
      <c r="N206" s="31">
        <f>ABS(E206-$F$6)</f>
        <v/>
      </c>
      <c r="O206" s="31">
        <f>ABS(E206-$F$7)</f>
        <v/>
      </c>
      <c r="P206" s="31">
        <f>ABS(E206-$F$8)</f>
        <v/>
      </c>
      <c r="Q206" s="14">
        <f>IF(K206&gt;=MAX(L206,M206), "Hemat", IF(L206&gt;=M206, "Balanced", "Premium"))</f>
        <v/>
      </c>
      <c r="R206" s="30" t="n">
        <v>0.9686282798936615</v>
      </c>
      <c r="S206" s="30" t="n">
        <v>0.02872993996961344</v>
      </c>
      <c r="T206" s="30" t="n">
        <v>0.002641780136725144</v>
      </c>
      <c r="U206" s="31">
        <f>ABS(E206-$G$6)</f>
        <v/>
      </c>
      <c r="V206" s="31">
        <f>ABS(E206-$G$7)</f>
        <v/>
      </c>
      <c r="W206" s="31">
        <f>ABS(E206-$G$8)</f>
        <v/>
      </c>
      <c r="X206" s="14">
        <f>IF(R206&gt;=MAX(S206,T206), "Hemat", IF(S206&gt;=T206, "Balanced", "Premium"))</f>
        <v/>
      </c>
    </row>
    <row r="207">
      <c r="A207" s="14" t="n">
        <v>196</v>
      </c>
      <c r="B207" s="7" t="inlineStr">
        <is>
          <t>Maha Ruang</t>
        </is>
      </c>
      <c r="C207" s="26" t="n">
        <v>-7.8851931</v>
      </c>
      <c r="D207" s="26" t="n">
        <v>112.5390742</v>
      </c>
      <c r="E207" s="21" t="n">
        <v>17500</v>
      </c>
      <c r="F207" s="27" t="n">
        <v>4.8</v>
      </c>
      <c r="G207" s="28" t="n">
        <v>20</v>
      </c>
      <c r="H207" s="14" t="inlineStr">
        <is>
          <t>Wisata Umum</t>
        </is>
      </c>
      <c r="I207" s="29">
        <f>6371 * 2 * ASIN(SQRT(SIN(RADIANS((C207) - INDEX('Dataset_Wisata'!$C$12:$C$622, MATCH('Dashboard'!$C$9, 'Dataset_Wisata'!$A$12:$A$622, 0)))/2)^2 + COS(RADIANS(INDEX('Dataset_Wisata'!$C$12:$C$622, MATCH('Dashboard'!$C$9, 'Dataset_Wisata'!$A$12:$A$622, 0)))) * COS(RADIANS(C207)) * SIN(RADIANS((D207) - INDEX('Dataset_Wisata'!$D$12:$D$622, MATCH('Dashboard'!$C$9, 'Dataset_Wisata'!$A$12:$A$622, 0)))/2)^2)) * 1.3</f>
        <v/>
      </c>
      <c r="J207" s="21">
        <f>ROUND(I207 * IF('Dashboard'!$C$6&lt;=1, 2250, IF('Dashboard'!$C$6&lt;=4, 5150, 6000)), 0)</f>
        <v/>
      </c>
      <c r="K207" s="30" t="n">
        <v>0.7603071924879298</v>
      </c>
      <c r="L207" s="30" t="n">
        <v>0.2257795038870261</v>
      </c>
      <c r="M207" s="30" t="n">
        <v>0.0139133036250441</v>
      </c>
      <c r="N207" s="31">
        <f>ABS(E207-$F$6)</f>
        <v/>
      </c>
      <c r="O207" s="31">
        <f>ABS(E207-$F$7)</f>
        <v/>
      </c>
      <c r="P207" s="31">
        <f>ABS(E207-$F$8)</f>
        <v/>
      </c>
      <c r="Q207" s="14">
        <f>IF(K207&gt;=MAX(L207,M207), "Hemat", IF(L207&gt;=M207, "Balanced", "Premium"))</f>
        <v/>
      </c>
      <c r="R207" s="30" t="n">
        <v>0.7603070173234607</v>
      </c>
      <c r="S207" s="30" t="n">
        <v>0.2257796741964144</v>
      </c>
      <c r="T207" s="30" t="n">
        <v>0.01391330848012476</v>
      </c>
      <c r="U207" s="31">
        <f>ABS(E207-$G$6)</f>
        <v/>
      </c>
      <c r="V207" s="31">
        <f>ABS(E207-$G$7)</f>
        <v/>
      </c>
      <c r="W207" s="31">
        <f>ABS(E207-$G$8)</f>
        <v/>
      </c>
      <c r="X207" s="14">
        <f>IF(R207&gt;=MAX(S207,T207), "Hemat", IF(S207&gt;=T207, "Balanced", "Premium"))</f>
        <v/>
      </c>
    </row>
    <row r="208">
      <c r="A208" s="14" t="n">
        <v>197</v>
      </c>
      <c r="B208" s="7" t="inlineStr">
        <is>
          <t>Gubug asape Asapan dan bakaran</t>
        </is>
      </c>
      <c r="C208" s="26" t="n">
        <v>-7.874505</v>
      </c>
      <c r="D208" s="26" t="n">
        <v>112.539181</v>
      </c>
      <c r="E208" s="21" t="n">
        <v>37800</v>
      </c>
      <c r="F208" s="27" t="n">
        <v>4.8</v>
      </c>
      <c r="G208" s="28" t="n">
        <v>278</v>
      </c>
      <c r="H208" s="14" t="inlineStr">
        <is>
          <t>Restoran · 4GGQ+CM3</t>
        </is>
      </c>
      <c r="I208" s="29">
        <f>6371 * 2 * ASIN(SQRT(SIN(RADIANS((C208) - INDEX('Dataset_Wisata'!$C$12:$C$622, MATCH('Dashboard'!$C$9, 'Dataset_Wisata'!$A$12:$A$622, 0)))/2)^2 + COS(RADIANS(INDEX('Dataset_Wisata'!$C$12:$C$622, MATCH('Dashboard'!$C$9, 'Dataset_Wisata'!$A$12:$A$622, 0)))) * COS(RADIANS(C208)) * SIN(RADIANS((D208) - INDEX('Dataset_Wisata'!$D$12:$D$622, MATCH('Dashboard'!$C$9, 'Dataset_Wisata'!$A$12:$A$622, 0)))/2)^2)) * 1.3</f>
        <v/>
      </c>
      <c r="J208" s="21">
        <f>ROUND(I208 * IF('Dashboard'!$C$6&lt;=1, 2250, IF('Dashboard'!$C$6&lt;=4, 5150, 6000)), 0)</f>
        <v/>
      </c>
      <c r="K208" s="30" t="n">
        <v>0.1043886478481929</v>
      </c>
      <c r="L208" s="30" t="n">
        <v>0.4078769719890861</v>
      </c>
      <c r="M208" s="30" t="n">
        <v>0.487734380162721</v>
      </c>
      <c r="N208" s="31">
        <f>ABS(E208-$F$6)</f>
        <v/>
      </c>
      <c r="O208" s="31">
        <f>ABS(E208-$F$7)</f>
        <v/>
      </c>
      <c r="P208" s="31">
        <f>ABS(E208-$F$8)</f>
        <v/>
      </c>
      <c r="Q208" s="14">
        <f>IF(K208&gt;=MAX(L208,M208), "Hemat", IF(L208&gt;=M208, "Balanced", "Premium"))</f>
        <v/>
      </c>
      <c r="R208" s="30" t="n">
        <v>0.1043886219525437</v>
      </c>
      <c r="S208" s="30" t="n">
        <v>0.4078767161433091</v>
      </c>
      <c r="T208" s="30" t="n">
        <v>0.4877346619041472</v>
      </c>
      <c r="U208" s="31">
        <f>ABS(E208-$G$6)</f>
        <v/>
      </c>
      <c r="V208" s="31">
        <f>ABS(E208-$G$7)</f>
        <v/>
      </c>
      <c r="W208" s="31">
        <f>ABS(E208-$G$8)</f>
        <v/>
      </c>
      <c r="X208" s="14">
        <f>IF(R208&gt;=MAX(S208,T208), "Hemat", IF(S208&gt;=T208, "Balanced", "Premium"))</f>
        <v/>
      </c>
    </row>
    <row r="209">
      <c r="A209" s="14" t="n">
        <v>198</v>
      </c>
      <c r="B209" s="7" t="inlineStr">
        <is>
          <t>Waroeng Spesial Sambal 'SS' Batu</t>
        </is>
      </c>
      <c r="C209" s="26" t="n">
        <v>-7.8706031</v>
      </c>
      <c r="D209" s="26" t="n">
        <v>112.5191749</v>
      </c>
      <c r="E209" s="21" t="n">
        <v>12800</v>
      </c>
      <c r="F209" s="27" t="n">
        <v>4.3</v>
      </c>
      <c r="G209" s="28" t="n">
        <v>967</v>
      </c>
      <c r="H209" s="14" t="inlineStr">
        <is>
          <t>Wisata Umum</t>
        </is>
      </c>
      <c r="I209" s="29">
        <f>6371 * 2 * ASIN(SQRT(SIN(RADIANS((C209) - INDEX('Dataset_Wisata'!$C$12:$C$622, MATCH('Dashboard'!$C$9, 'Dataset_Wisata'!$A$12:$A$622, 0)))/2)^2 + COS(RADIANS(INDEX('Dataset_Wisata'!$C$12:$C$622, MATCH('Dashboard'!$C$9, 'Dataset_Wisata'!$A$12:$A$622, 0)))) * COS(RADIANS(C209)) * SIN(RADIANS((D209) - INDEX('Dataset_Wisata'!$D$12:$D$622, MATCH('Dashboard'!$C$9, 'Dataset_Wisata'!$A$12:$A$622, 0)))/2)^2)) * 1.3</f>
        <v/>
      </c>
      <c r="J209" s="21">
        <f>ROUND(I209 * IF('Dashboard'!$C$6&lt;=1, 2250, IF('Dashboard'!$C$6&lt;=4, 5150, 6000)), 0)</f>
        <v/>
      </c>
      <c r="K209" s="30" t="n">
        <v>0.9987781801933064</v>
      </c>
      <c r="L209" s="30" t="n">
        <v>0.001091605934080929</v>
      </c>
      <c r="M209" s="30" t="n">
        <v>0.0001302138726126961</v>
      </c>
      <c r="N209" s="31">
        <f>ABS(E209-$F$6)</f>
        <v/>
      </c>
      <c r="O209" s="31">
        <f>ABS(E209-$F$7)</f>
        <v/>
      </c>
      <c r="P209" s="31">
        <f>ABS(E209-$F$8)</f>
        <v/>
      </c>
      <c r="Q209" s="14">
        <f>IF(K209&gt;=MAX(L209,M209), "Hemat", IF(L209&gt;=M209, "Balanced", "Premium"))</f>
        <v/>
      </c>
      <c r="R209" s="30" t="n">
        <v>0.9987781834942757</v>
      </c>
      <c r="S209" s="30" t="n">
        <v>0.001091603006513616</v>
      </c>
      <c r="T209" s="30" t="n">
        <v>0.0001302134992107814</v>
      </c>
      <c r="U209" s="31">
        <f>ABS(E209-$G$6)</f>
        <v/>
      </c>
      <c r="V209" s="31">
        <f>ABS(E209-$G$7)</f>
        <v/>
      </c>
      <c r="W209" s="31">
        <f>ABS(E209-$G$8)</f>
        <v/>
      </c>
      <c r="X209" s="14">
        <f>IF(R209&gt;=MAX(S209,T209), "Hemat", IF(S209&gt;=T209, "Balanced", "Premium"))</f>
        <v/>
      </c>
    </row>
    <row r="210">
      <c r="A210" s="14" t="n">
        <v>199</v>
      </c>
      <c r="B210" s="7" t="inlineStr">
        <is>
          <t>Warung Wareg Ngandat</t>
        </is>
      </c>
      <c r="C210" s="26" t="n">
        <v>-7.902663</v>
      </c>
      <c r="D210" s="26" t="n">
        <v>112.562229</v>
      </c>
      <c r="E210" s="21" t="n">
        <v>10750</v>
      </c>
      <c r="F210" s="27" t="n">
        <v>4.5</v>
      </c>
      <c r="G210" s="28" t="n">
        <v>6330</v>
      </c>
      <c r="H210" s="14" t="inlineStr">
        <is>
          <t>Warung Wareg Ngandat</t>
        </is>
      </c>
      <c r="I210" s="29">
        <f>6371 * 2 * ASIN(SQRT(SIN(RADIANS((C210) - INDEX('Dataset_Wisata'!$C$12:$C$622, MATCH('Dashboard'!$C$9, 'Dataset_Wisata'!$A$12:$A$622, 0)))/2)^2 + COS(RADIANS(INDEX('Dataset_Wisata'!$C$12:$C$622, MATCH('Dashboard'!$C$9, 'Dataset_Wisata'!$A$12:$A$622, 0)))) * COS(RADIANS(C210)) * SIN(RADIANS((D210) - INDEX('Dataset_Wisata'!$D$12:$D$622, MATCH('Dashboard'!$C$9, 'Dataset_Wisata'!$A$12:$A$622, 0)))/2)^2)) * 1.3</f>
        <v/>
      </c>
      <c r="J210" s="21">
        <f>ROUND(I210 * IF('Dashboard'!$C$6&lt;=1, 2250, IF('Dashboard'!$C$6&lt;=4, 5150, 6000)), 0)</f>
        <v/>
      </c>
      <c r="K210" s="30" t="n">
        <v>0.9684479284568239</v>
      </c>
      <c r="L210" s="30" t="n">
        <v>0.02756526497609953</v>
      </c>
      <c r="M210" s="30" t="n">
        <v>0.003986806567076518</v>
      </c>
      <c r="N210" s="31">
        <f>ABS(E210-$F$6)</f>
        <v/>
      </c>
      <c r="O210" s="31">
        <f>ABS(E210-$F$7)</f>
        <v/>
      </c>
      <c r="P210" s="31">
        <f>ABS(E210-$F$8)</f>
        <v/>
      </c>
      <c r="Q210" s="14">
        <f>IF(K210&gt;=MAX(L210,M210), "Hemat", IF(L210&gt;=M210, "Balanced", "Premium"))</f>
        <v/>
      </c>
      <c r="R210" s="30" t="n">
        <v>0.9684479337856741</v>
      </c>
      <c r="S210" s="30" t="n">
        <v>0.0275652608034877</v>
      </c>
      <c r="T210" s="30" t="n">
        <v>0.003986805410838209</v>
      </c>
      <c r="U210" s="31">
        <f>ABS(E210-$G$6)</f>
        <v/>
      </c>
      <c r="V210" s="31">
        <f>ABS(E210-$G$7)</f>
        <v/>
      </c>
      <c r="W210" s="31">
        <f>ABS(E210-$G$8)</f>
        <v/>
      </c>
      <c r="X210" s="14">
        <f>IF(R210&gt;=MAX(S210,T210), "Hemat", IF(S210&gt;=T210, "Balanced", "Premium"))</f>
        <v/>
      </c>
    </row>
    <row r="211">
      <c r="A211" s="14" t="n">
        <v>200</v>
      </c>
      <c r="B211" s="7" t="inlineStr">
        <is>
          <t>Sop Janda Suroboyo - BATU MALANG</t>
        </is>
      </c>
      <c r="C211" s="26" t="n">
        <v>-7.8719706</v>
      </c>
      <c r="D211" s="26" t="n">
        <v>112.5279924</v>
      </c>
      <c r="E211" s="21" t="n">
        <v>68500</v>
      </c>
      <c r="F211" s="27" t="n">
        <v>4.9</v>
      </c>
      <c r="G211" s="28" t="n">
        <v>44</v>
      </c>
      <c r="H211" s="14" t="inlineStr">
        <is>
          <t>Wisata Umum</t>
        </is>
      </c>
      <c r="I211" s="29">
        <f>6371 * 2 * ASIN(SQRT(SIN(RADIANS((C211) - INDEX('Dataset_Wisata'!$C$12:$C$622, MATCH('Dashboard'!$C$9, 'Dataset_Wisata'!$A$12:$A$622, 0)))/2)^2 + COS(RADIANS(INDEX('Dataset_Wisata'!$C$12:$C$622, MATCH('Dashboard'!$C$9, 'Dataset_Wisata'!$A$12:$A$622, 0)))) * COS(RADIANS(C211)) * SIN(RADIANS((D211) - INDEX('Dataset_Wisata'!$D$12:$D$622, MATCH('Dashboard'!$C$9, 'Dataset_Wisata'!$A$12:$A$622, 0)))/2)^2)) * 1.3</f>
        <v/>
      </c>
      <c r="J211" s="21">
        <f>ROUND(I211 * IF('Dashboard'!$C$6&lt;=1, 2250, IF('Dashboard'!$C$6&lt;=4, 5150, 6000)), 0)</f>
        <v/>
      </c>
      <c r="K211" s="30" t="n">
        <v>0.09237502783109096</v>
      </c>
      <c r="L211" s="30" t="n">
        <v>0.151725295266622</v>
      </c>
      <c r="M211" s="30" t="n">
        <v>0.7558996769022871</v>
      </c>
      <c r="N211" s="31">
        <f>ABS(E211-$F$6)</f>
        <v/>
      </c>
      <c r="O211" s="31">
        <f>ABS(E211-$F$7)</f>
        <v/>
      </c>
      <c r="P211" s="31">
        <f>ABS(E211-$F$8)</f>
        <v/>
      </c>
      <c r="Q211" s="14">
        <f>IF(K211&gt;=MAX(L211,M211), "Hemat", IF(L211&gt;=M211, "Balanced", "Premium"))</f>
        <v/>
      </c>
      <c r="R211" s="30" t="n">
        <v>0.0923750593860215</v>
      </c>
      <c r="S211" s="30" t="n">
        <v>0.1517253317550335</v>
      </c>
      <c r="T211" s="30" t="n">
        <v>0.755899608858945</v>
      </c>
      <c r="U211" s="31">
        <f>ABS(E211-$G$6)</f>
        <v/>
      </c>
      <c r="V211" s="31">
        <f>ABS(E211-$G$7)</f>
        <v/>
      </c>
      <c r="W211" s="31">
        <f>ABS(E211-$G$8)</f>
        <v/>
      </c>
      <c r="X211" s="14">
        <f>IF(R211&gt;=MAX(S211,T211), "Hemat", IF(S211&gt;=T211, "Balanced", "Premium"))</f>
        <v/>
      </c>
    </row>
    <row r="212">
      <c r="A212" s="14" t="n">
        <v>201</v>
      </c>
      <c r="B212" s="7" t="inlineStr">
        <is>
          <t>Warung makan dan kopi bu hendra</t>
        </is>
      </c>
      <c r="C212" s="26" t="n">
        <v>-7.8824084</v>
      </c>
      <c r="D212" s="26" t="n">
        <v>112.5237218</v>
      </c>
      <c r="E212" s="21" t="n">
        <v>13000</v>
      </c>
      <c r="F212" s="27" t="n">
        <v>4.7</v>
      </c>
      <c r="G212" s="28" t="n">
        <v>88</v>
      </c>
      <c r="H212" s="14" t="inlineStr">
        <is>
          <t>Restoran · Jl. Kartika</t>
        </is>
      </c>
      <c r="I212" s="29">
        <f>6371 * 2 * ASIN(SQRT(SIN(RADIANS((C212) - INDEX('Dataset_Wisata'!$C$12:$C$622, MATCH('Dashboard'!$C$9, 'Dataset_Wisata'!$A$12:$A$622, 0)))/2)^2 + COS(RADIANS(INDEX('Dataset_Wisata'!$C$12:$C$622, MATCH('Dashboard'!$C$9, 'Dataset_Wisata'!$A$12:$A$622, 0)))) * COS(RADIANS(C212)) * SIN(RADIANS((D212) - INDEX('Dataset_Wisata'!$D$12:$D$622, MATCH('Dashboard'!$C$9, 'Dataset_Wisata'!$A$12:$A$622, 0)))/2)^2)) * 1.3</f>
        <v/>
      </c>
      <c r="J212" s="21">
        <f>ROUND(I212 * IF('Dashboard'!$C$6&lt;=1, 2250, IF('Dashboard'!$C$6&lt;=4, 5150, 6000)), 0)</f>
        <v/>
      </c>
      <c r="K212" s="30" t="n">
        <v>0.9996613401455278</v>
      </c>
      <c r="L212" s="30" t="n">
        <v>0.0003032413982241428</v>
      </c>
      <c r="M212" s="30" t="n">
        <v>3.541845624800055e-05</v>
      </c>
      <c r="N212" s="31">
        <f>ABS(E212-$F$6)</f>
        <v/>
      </c>
      <c r="O212" s="31">
        <f>ABS(E212-$F$7)</f>
        <v/>
      </c>
      <c r="P212" s="31">
        <f>ABS(E212-$F$8)</f>
        <v/>
      </c>
      <c r="Q212" s="14">
        <f>IF(K212&gt;=MAX(L212,M212), "Hemat", IF(L212&gt;=M212, "Balanced", "Premium"))</f>
        <v/>
      </c>
      <c r="R212" s="30" t="n">
        <v>0.9996613420378273</v>
      </c>
      <c r="S212" s="30" t="n">
        <v>0.0003032397098959421</v>
      </c>
      <c r="T212" s="30" t="n">
        <v>3.541825227674828e-05</v>
      </c>
      <c r="U212" s="31">
        <f>ABS(E212-$G$6)</f>
        <v/>
      </c>
      <c r="V212" s="31">
        <f>ABS(E212-$G$7)</f>
        <v/>
      </c>
      <c r="W212" s="31">
        <f>ABS(E212-$G$8)</f>
        <v/>
      </c>
      <c r="X212" s="14">
        <f>IF(R212&gt;=MAX(S212,T212), "Hemat", IF(S212&gt;=T212, "Balanced", "Premium"))</f>
        <v/>
      </c>
    </row>
    <row r="213">
      <c r="A213" s="14" t="n">
        <v>202</v>
      </c>
      <c r="B213" s="7" t="inlineStr">
        <is>
          <t>Warung Bromo Mas Maman</t>
        </is>
      </c>
      <c r="C213" s="26" t="n">
        <v>-7.8678656</v>
      </c>
      <c r="D213" s="26" t="n">
        <v>112.5253595</v>
      </c>
      <c r="E213" s="21" t="n">
        <v>23750</v>
      </c>
      <c r="F213" s="27" t="n">
        <v>3.8</v>
      </c>
      <c r="G213" s="28" t="n">
        <v>80</v>
      </c>
      <c r="H213" s="14" t="inlineStr">
        <is>
          <t>Warung Bromo Mas Maman</t>
        </is>
      </c>
      <c r="I213" s="29">
        <f>6371 * 2 * ASIN(SQRT(SIN(RADIANS((C213) - INDEX('Dataset_Wisata'!$C$12:$C$622, MATCH('Dashboard'!$C$9, 'Dataset_Wisata'!$A$12:$A$622, 0)))/2)^2 + COS(RADIANS(INDEX('Dataset_Wisata'!$C$12:$C$622, MATCH('Dashboard'!$C$9, 'Dataset_Wisata'!$A$12:$A$622, 0)))) * COS(RADIANS(C213)) * SIN(RADIANS((D213) - INDEX('Dataset_Wisata'!$D$12:$D$622, MATCH('Dashboard'!$C$9, 'Dataset_Wisata'!$A$12:$A$622, 0)))/2)^2)) * 1.3</f>
        <v/>
      </c>
      <c r="J213" s="21">
        <f>ROUND(I213 * IF('Dashboard'!$C$6&lt;=1, 2250, IF('Dashboard'!$C$6&lt;=4, 5150, 6000)), 0)</f>
        <v/>
      </c>
      <c r="K213" s="30" t="n">
        <v>0.02280825439072839</v>
      </c>
      <c r="L213" s="30" t="n">
        <v>0.9732755950627782</v>
      </c>
      <c r="M213" s="30" t="n">
        <v>0.003916150546493581</v>
      </c>
      <c r="N213" s="31">
        <f>ABS(E213-$F$6)</f>
        <v/>
      </c>
      <c r="O213" s="31">
        <f>ABS(E213-$F$7)</f>
        <v/>
      </c>
      <c r="P213" s="31">
        <f>ABS(E213-$F$8)</f>
        <v/>
      </c>
      <c r="Q213" s="14">
        <f>IF(K213&gt;=MAX(L213,M213), "Hemat", IF(L213&gt;=M213, "Balanced", "Premium"))</f>
        <v/>
      </c>
      <c r="R213" s="30" t="n">
        <v>0.02280817770457852</v>
      </c>
      <c r="S213" s="30" t="n">
        <v>0.9732756830807919</v>
      </c>
      <c r="T213" s="30" t="n">
        <v>0.003916139214629436</v>
      </c>
      <c r="U213" s="31">
        <f>ABS(E213-$G$6)</f>
        <v/>
      </c>
      <c r="V213" s="31">
        <f>ABS(E213-$G$7)</f>
        <v/>
      </c>
      <c r="W213" s="31">
        <f>ABS(E213-$G$8)</f>
        <v/>
      </c>
      <c r="X213" s="14">
        <f>IF(R213&gt;=MAX(S213,T213), "Hemat", IF(S213&gt;=T213, "Balanced", "Premium"))</f>
        <v/>
      </c>
    </row>
    <row r="214">
      <c r="A214" s="14" t="n">
        <v>203</v>
      </c>
      <c r="B214" s="7" t="inlineStr">
        <is>
          <t>JM Steak and Milk Kota Batu</t>
        </is>
      </c>
      <c r="C214" s="26" t="n">
        <v>-7.8772522</v>
      </c>
      <c r="D214" s="26" t="n">
        <v>112.5286615</v>
      </c>
      <c r="E214" s="21" t="n">
        <v>19432</v>
      </c>
      <c r="F214" s="27" t="n">
        <v>4.1</v>
      </c>
      <c r="G214" s="28" t="n">
        <v>1199</v>
      </c>
      <c r="H214" s="14" t="inlineStr">
        <is>
          <t>Wisata Umum</t>
        </is>
      </c>
      <c r="I214" s="29">
        <f>6371 * 2 * ASIN(SQRT(SIN(RADIANS((C214) - INDEX('Dataset_Wisata'!$C$12:$C$622, MATCH('Dashboard'!$C$9, 'Dataset_Wisata'!$A$12:$A$622, 0)))/2)^2 + COS(RADIANS(INDEX('Dataset_Wisata'!$C$12:$C$622, MATCH('Dashboard'!$C$9, 'Dataset_Wisata'!$A$12:$A$622, 0)))) * COS(RADIANS(C214)) * SIN(RADIANS((D214) - INDEX('Dataset_Wisata'!$D$12:$D$622, MATCH('Dashboard'!$C$9, 'Dataset_Wisata'!$A$12:$A$622, 0)))/2)^2)) * 1.3</f>
        <v/>
      </c>
      <c r="J214" s="21">
        <f>ROUND(I214 * IF('Dashboard'!$C$6&lt;=1, 2250, IF('Dashboard'!$C$6&lt;=4, 5150, 6000)), 0)</f>
        <v/>
      </c>
      <c r="K214" s="30" t="n">
        <v>0.4667526207134751</v>
      </c>
      <c r="L214" s="30" t="n">
        <v>0.5128547052890018</v>
      </c>
      <c r="M214" s="30" t="n">
        <v>0.02039267399752323</v>
      </c>
      <c r="N214" s="31">
        <f>ABS(E214-$F$6)</f>
        <v/>
      </c>
      <c r="O214" s="31">
        <f>ABS(E214-$F$7)</f>
        <v/>
      </c>
      <c r="P214" s="31">
        <f>ABS(E214-$F$8)</f>
        <v/>
      </c>
      <c r="Q214" s="14">
        <f>IF(K214&gt;=MAX(L214,M214), "Hemat", IF(L214&gt;=M214, "Balanced", "Premium"))</f>
        <v/>
      </c>
      <c r="R214" s="30" t="n">
        <v>0.4667523493909435</v>
      </c>
      <c r="S214" s="30" t="n">
        <v>0.5128549781958563</v>
      </c>
      <c r="T214" s="30" t="n">
        <v>0.02039267241320023</v>
      </c>
      <c r="U214" s="31">
        <f>ABS(E214-$G$6)</f>
        <v/>
      </c>
      <c r="V214" s="31">
        <f>ABS(E214-$G$7)</f>
        <v/>
      </c>
      <c r="W214" s="31">
        <f>ABS(E214-$G$8)</f>
        <v/>
      </c>
      <c r="X214" s="14">
        <f>IF(R214&gt;=MAX(S214,T214), "Hemat", IF(S214&gt;=T214, "Balanced", "Premium"))</f>
        <v/>
      </c>
    </row>
    <row r="215">
      <c r="A215" s="14" t="n">
        <v>204</v>
      </c>
      <c r="B215" s="7" t="inlineStr">
        <is>
          <t>Warung 29B (Dapur Bu Tirtha)</t>
        </is>
      </c>
      <c r="C215" s="26" t="n">
        <v>-7.8733935</v>
      </c>
      <c r="D215" s="26" t="n">
        <v>112.5261437</v>
      </c>
      <c r="E215" s="21" t="n">
        <v>22000</v>
      </c>
      <c r="F215" s="27" t="n">
        <v>4.7</v>
      </c>
      <c r="G215" s="28" t="n">
        <v>69</v>
      </c>
      <c r="H215" s="14" t="inlineStr">
        <is>
          <t>Warung 29B (Dapur Bu Tirtha)</t>
        </is>
      </c>
      <c r="I215" s="29">
        <f>6371 * 2 * ASIN(SQRT(SIN(RADIANS((C215) - INDEX('Dataset_Wisata'!$C$12:$C$622, MATCH('Dashboard'!$C$9, 'Dataset_Wisata'!$A$12:$A$622, 0)))/2)^2 + COS(RADIANS(INDEX('Dataset_Wisata'!$C$12:$C$622, MATCH('Dashboard'!$C$9, 'Dataset_Wisata'!$A$12:$A$622, 0)))) * COS(RADIANS(C215)) * SIN(RADIANS((D215) - INDEX('Dataset_Wisata'!$D$12:$D$622, MATCH('Dashboard'!$C$9, 'Dataset_Wisata'!$A$12:$A$622, 0)))/2)^2)) * 1.3</f>
        <v/>
      </c>
      <c r="J215" s="21">
        <f>ROUND(I215 * IF('Dashboard'!$C$6&lt;=1, 2250, IF('Dashboard'!$C$6&lt;=4, 5150, 6000)), 0)</f>
        <v/>
      </c>
      <c r="K215" s="30" t="n">
        <v>0.1261169361072687</v>
      </c>
      <c r="L215" s="30" t="n">
        <v>0.8607026272442547</v>
      </c>
      <c r="M215" s="30" t="n">
        <v>0.01318043664847662</v>
      </c>
      <c r="N215" s="31">
        <f>ABS(E215-$F$6)</f>
        <v/>
      </c>
      <c r="O215" s="31">
        <f>ABS(E215-$F$7)</f>
        <v/>
      </c>
      <c r="P215" s="31">
        <f>ABS(E215-$F$8)</f>
        <v/>
      </c>
      <c r="Q215" s="14">
        <f>IF(K215&gt;=MAX(L215,M215), "Hemat", IF(L215&gt;=M215, "Balanced", "Premium"))</f>
        <v/>
      </c>
      <c r="R215" s="30" t="n">
        <v>0.126116746000083</v>
      </c>
      <c r="S215" s="30" t="n">
        <v>0.8607028310146635</v>
      </c>
      <c r="T215" s="30" t="n">
        <v>0.01318042298525341</v>
      </c>
      <c r="U215" s="31">
        <f>ABS(E215-$G$6)</f>
        <v/>
      </c>
      <c r="V215" s="31">
        <f>ABS(E215-$G$7)</f>
        <v/>
      </c>
      <c r="W215" s="31">
        <f>ABS(E215-$G$8)</f>
        <v/>
      </c>
      <c r="X215" s="14">
        <f>IF(R215&gt;=MAX(S215,T215), "Hemat", IF(S215&gt;=T215, "Balanced", "Premium"))</f>
        <v/>
      </c>
    </row>
    <row r="216">
      <c r="A216" s="14" t="n">
        <v>205</v>
      </c>
      <c r="B216" s="7" t="inlineStr">
        <is>
          <t>Ayam Tulang Lunak H.Yono</t>
        </is>
      </c>
      <c r="C216" s="26" t="n">
        <v>-7.871676</v>
      </c>
      <c r="D216" s="26" t="n">
        <v>112.526476</v>
      </c>
      <c r="E216" s="21" t="n">
        <v>11200</v>
      </c>
      <c r="F216" s="27" t="n">
        <v>3.5</v>
      </c>
      <c r="G216" s="28" t="n">
        <v>646</v>
      </c>
      <c r="H216" s="14" t="inlineStr">
        <is>
          <t>Wisata Umum</t>
        </is>
      </c>
      <c r="I216" s="29">
        <f>6371 * 2 * ASIN(SQRT(SIN(RADIANS((C216) - INDEX('Dataset_Wisata'!$C$12:$C$622, MATCH('Dashboard'!$C$9, 'Dataset_Wisata'!$A$12:$A$622, 0)))/2)^2 + COS(RADIANS(INDEX('Dataset_Wisata'!$C$12:$C$622, MATCH('Dashboard'!$C$9, 'Dataset_Wisata'!$A$12:$A$622, 0)))) * COS(RADIANS(C216)) * SIN(RADIANS((D216) - INDEX('Dataset_Wisata'!$D$12:$D$622, MATCH('Dashboard'!$C$9, 'Dataset_Wisata'!$A$12:$A$622, 0)))/2)^2)) * 1.3</f>
        <v/>
      </c>
      <c r="J216" s="21">
        <f>ROUND(I216 * IF('Dashboard'!$C$6&lt;=1, 2250, IF('Dashboard'!$C$6&lt;=4, 5150, 6000)), 0)</f>
        <v/>
      </c>
      <c r="K216" s="30" t="n">
        <v>0.9774547784557123</v>
      </c>
      <c r="L216" s="30" t="n">
        <v>0.01979213793851848</v>
      </c>
      <c r="M216" s="30" t="n">
        <v>0.002753083605769402</v>
      </c>
      <c r="N216" s="31">
        <f>ABS(E216-$F$6)</f>
        <v/>
      </c>
      <c r="O216" s="31">
        <f>ABS(E216-$F$7)</f>
        <v/>
      </c>
      <c r="P216" s="31">
        <f>ABS(E216-$F$8)</f>
        <v/>
      </c>
      <c r="Q216" s="14">
        <f>IF(K216&gt;=MAX(L216,M216), "Hemat", IF(L216&gt;=M216, "Balanced", "Premium"))</f>
        <v/>
      </c>
      <c r="R216" s="30" t="n">
        <v>0.9774547846328847</v>
      </c>
      <c r="S216" s="30" t="n">
        <v>0.01979213287241888</v>
      </c>
      <c r="T216" s="30" t="n">
        <v>0.002753082494696278</v>
      </c>
      <c r="U216" s="31">
        <f>ABS(E216-$G$6)</f>
        <v/>
      </c>
      <c r="V216" s="31">
        <f>ABS(E216-$G$7)</f>
        <v/>
      </c>
      <c r="W216" s="31">
        <f>ABS(E216-$G$8)</f>
        <v/>
      </c>
      <c r="X216" s="14">
        <f>IF(R216&gt;=MAX(S216,T216), "Hemat", IF(S216&gt;=T216, "Balanced", "Premium"))</f>
        <v/>
      </c>
    </row>
    <row r="217">
      <c r="A217" s="14" t="n">
        <v>206</v>
      </c>
      <c r="B217" s="7" t="inlineStr">
        <is>
          <t>Bellis Kitchen &amp; Bar</t>
        </is>
      </c>
      <c r="C217" s="26" t="n">
        <v>-7.8824911</v>
      </c>
      <c r="D217" s="26" t="n">
        <v>112.5195533</v>
      </c>
      <c r="E217" s="21" t="n">
        <v>25700</v>
      </c>
      <c r="F217" s="27" t="n">
        <v>4.6</v>
      </c>
      <c r="G217" s="28" t="n">
        <v>171</v>
      </c>
      <c r="H217" s="14" t="inlineStr">
        <is>
          <t>Wisata Umum</t>
        </is>
      </c>
      <c r="I217" s="29">
        <f>6371 * 2 * ASIN(SQRT(SIN(RADIANS((C217) - INDEX('Dataset_Wisata'!$C$12:$C$622, MATCH('Dashboard'!$C$9, 'Dataset_Wisata'!$A$12:$A$622, 0)))/2)^2 + COS(RADIANS(INDEX('Dataset_Wisata'!$C$12:$C$622, MATCH('Dashboard'!$C$9, 'Dataset_Wisata'!$A$12:$A$622, 0)))) * COS(RADIANS(C217)) * SIN(RADIANS((D217) - INDEX('Dataset_Wisata'!$D$12:$D$622, MATCH('Dashboard'!$C$9, 'Dataset_Wisata'!$A$12:$A$622, 0)))/2)^2)) * 1.3</f>
        <v/>
      </c>
      <c r="J217" s="21">
        <f>ROUND(I217 * IF('Dashboard'!$C$6&lt;=1, 2250, IF('Dashboard'!$C$6&lt;=4, 5150, 6000)), 0)</f>
        <v/>
      </c>
      <c r="K217" s="30" t="n">
        <v>0.0007293062938452827</v>
      </c>
      <c r="L217" s="30" t="n">
        <v>0.9990643914495906</v>
      </c>
      <c r="M217" s="30" t="n">
        <v>0.0002063022565641314</v>
      </c>
      <c r="N217" s="31">
        <f>ABS(E217-$F$6)</f>
        <v/>
      </c>
      <c r="O217" s="31">
        <f>ABS(E217-$F$7)</f>
        <v/>
      </c>
      <c r="P217" s="31">
        <f>ABS(E217-$F$8)</f>
        <v/>
      </c>
      <c r="Q217" s="14">
        <f>IF(K217&gt;=MAX(L217,M217), "Hemat", IF(L217&gt;=M217, "Balanced", "Premium"))</f>
        <v/>
      </c>
      <c r="R217" s="30" t="n">
        <v>0.0007293178182379146</v>
      </c>
      <c r="S217" s="30" t="n">
        <v>0.9990643765665934</v>
      </c>
      <c r="T217" s="30" t="n">
        <v>0.0002063056151684816</v>
      </c>
      <c r="U217" s="31">
        <f>ABS(E217-$G$6)</f>
        <v/>
      </c>
      <c r="V217" s="31">
        <f>ABS(E217-$G$7)</f>
        <v/>
      </c>
      <c r="W217" s="31">
        <f>ABS(E217-$G$8)</f>
        <v/>
      </c>
      <c r="X217" s="14">
        <f>IF(R217&gt;=MAX(S217,T217), "Hemat", IF(S217&gt;=T217, "Balanced", "Premium"))</f>
        <v/>
      </c>
    </row>
    <row r="218">
      <c r="A218" s="14" t="n">
        <v>207</v>
      </c>
      <c r="B218" s="7" t="inlineStr">
        <is>
          <t>Warung Bu Ani</t>
        </is>
      </c>
      <c r="C218" s="26" t="n">
        <v>-7.8703504</v>
      </c>
      <c r="D218" s="26" t="n">
        <v>112.5155819</v>
      </c>
      <c r="E218" s="21" t="n">
        <v>14000</v>
      </c>
      <c r="F218" s="27" t="n">
        <v>4.7</v>
      </c>
      <c r="G218" s="28" t="n">
        <v>612</v>
      </c>
      <c r="H218" s="14" t="inlineStr">
        <is>
          <t>Warung Bu Ani</t>
        </is>
      </c>
      <c r="I218" s="29">
        <f>6371 * 2 * ASIN(SQRT(SIN(RADIANS((C218) - INDEX('Dataset_Wisata'!$C$12:$C$622, MATCH('Dashboard'!$C$9, 'Dataset_Wisata'!$A$12:$A$622, 0)))/2)^2 + COS(RADIANS(INDEX('Dataset_Wisata'!$C$12:$C$622, MATCH('Dashboard'!$C$9, 'Dataset_Wisata'!$A$12:$A$622, 0)))) * COS(RADIANS(C218)) * SIN(RADIANS((D218) - INDEX('Dataset_Wisata'!$D$12:$D$622, MATCH('Dashboard'!$C$9, 'Dataset_Wisata'!$A$12:$A$622, 0)))/2)^2)) * 1.3</f>
        <v/>
      </c>
      <c r="J218" s="21">
        <f>ROUND(I218 * IF('Dashboard'!$C$6&lt;=1, 2250, IF('Dashboard'!$C$6&lt;=4, 5150, 6000)), 0)</f>
        <v/>
      </c>
      <c r="K218" s="30" t="n">
        <v>0.9947609318027544</v>
      </c>
      <c r="L218" s="30" t="n">
        <v>0.004743992866447784</v>
      </c>
      <c r="M218" s="30" t="n">
        <v>0.0004950753307978607</v>
      </c>
      <c r="N218" s="31">
        <f>ABS(E218-$F$6)</f>
        <v/>
      </c>
      <c r="O218" s="31">
        <f>ABS(E218-$F$7)</f>
        <v/>
      </c>
      <c r="P218" s="31">
        <f>ABS(E218-$F$8)</f>
        <v/>
      </c>
      <c r="Q218" s="14">
        <f>IF(K218&gt;=MAX(L218,M218), "Hemat", IF(L218&gt;=M218, "Balanced", "Premium"))</f>
        <v/>
      </c>
      <c r="R218" s="30" t="n">
        <v>0.9947609208632797</v>
      </c>
      <c r="S218" s="30" t="n">
        <v>0.004744002871971992</v>
      </c>
      <c r="T218" s="30" t="n">
        <v>0.0004950762647482733</v>
      </c>
      <c r="U218" s="31">
        <f>ABS(E218-$G$6)</f>
        <v/>
      </c>
      <c r="V218" s="31">
        <f>ABS(E218-$G$7)</f>
        <v/>
      </c>
      <c r="W218" s="31">
        <f>ABS(E218-$G$8)</f>
        <v/>
      </c>
      <c r="X218" s="14">
        <f>IF(R218&gt;=MAX(S218,T218), "Hemat", IF(S218&gt;=T218, "Balanced", "Premium"))</f>
        <v/>
      </c>
    </row>
    <row r="219">
      <c r="A219" s="14" t="n">
        <v>208</v>
      </c>
      <c r="B219" s="7" t="inlineStr">
        <is>
          <t>Warung Pecel Madiun Amin 2</t>
        </is>
      </c>
      <c r="C219" s="26" t="n">
        <v>-7.8734212</v>
      </c>
      <c r="D219" s="26" t="n">
        <v>112.5161511</v>
      </c>
      <c r="E219" s="21" t="n">
        <v>26000</v>
      </c>
      <c r="F219" s="27" t="n">
        <v>4.3</v>
      </c>
      <c r="G219" s="28" t="n">
        <v>444</v>
      </c>
      <c r="H219" s="14" t="inlineStr">
        <is>
          <t>Warung Pecel Madiun Amin 2</t>
        </is>
      </c>
      <c r="I219" s="29">
        <f>6371 * 2 * ASIN(SQRT(SIN(RADIANS((C219) - INDEX('Dataset_Wisata'!$C$12:$C$622, MATCH('Dashboard'!$C$9, 'Dataset_Wisata'!$A$12:$A$622, 0)))/2)^2 + COS(RADIANS(INDEX('Dataset_Wisata'!$C$12:$C$622, MATCH('Dashboard'!$C$9, 'Dataset_Wisata'!$A$12:$A$622, 0)))) * COS(RADIANS(C219)) * SIN(RADIANS((D219) - INDEX('Dataset_Wisata'!$D$12:$D$622, MATCH('Dashboard'!$C$9, 'Dataset_Wisata'!$A$12:$A$622, 0)))/2)^2)) * 1.3</f>
        <v/>
      </c>
      <c r="J219" s="21">
        <f>ROUND(I219 * IF('Dashboard'!$C$6&lt;=1, 2250, IF('Dashboard'!$C$6&lt;=4, 5150, 6000)), 0)</f>
        <v/>
      </c>
      <c r="K219" s="30" t="n">
        <v>0.002476983268680901</v>
      </c>
      <c r="L219" s="30" t="n">
        <v>0.9967691156825158</v>
      </c>
      <c r="M219" s="30" t="n">
        <v>0.0007539010488032482</v>
      </c>
      <c r="N219" s="31">
        <f>ABS(E219-$F$6)</f>
        <v/>
      </c>
      <c r="O219" s="31">
        <f>ABS(E219-$F$7)</f>
        <v/>
      </c>
      <c r="P219" s="31">
        <f>ABS(E219-$F$8)</f>
        <v/>
      </c>
      <c r="Q219" s="14">
        <f>IF(K219&gt;=MAX(L219,M219), "Hemat", IF(L219&gt;=M219, "Balanced", "Premium"))</f>
        <v/>
      </c>
      <c r="R219" s="30" t="n">
        <v>0.002477003822259736</v>
      </c>
      <c r="S219" s="30" t="n">
        <v>0.9967690885108879</v>
      </c>
      <c r="T219" s="30" t="n">
        <v>0.0007539076668522673</v>
      </c>
      <c r="U219" s="31">
        <f>ABS(E219-$G$6)</f>
        <v/>
      </c>
      <c r="V219" s="31">
        <f>ABS(E219-$G$7)</f>
        <v/>
      </c>
      <c r="W219" s="31">
        <f>ABS(E219-$G$8)</f>
        <v/>
      </c>
      <c r="X219" s="14">
        <f>IF(R219&gt;=MAX(S219,T219), "Hemat", IF(S219&gt;=T219, "Balanced", "Premium"))</f>
        <v/>
      </c>
    </row>
    <row r="220">
      <c r="A220" s="14" t="n">
        <v>209</v>
      </c>
      <c r="B220" s="7" t="inlineStr">
        <is>
          <t>Bakso DE STADION</t>
        </is>
      </c>
      <c r="C220" s="26" t="n">
        <v>-7.8769447</v>
      </c>
      <c r="D220" s="26" t="n">
        <v>112.5256254</v>
      </c>
      <c r="E220" s="21" t="n">
        <v>12000</v>
      </c>
      <c r="F220" s="27" t="n">
        <v>4.4</v>
      </c>
      <c r="G220" s="28" t="n">
        <v>4507</v>
      </c>
      <c r="H220" s="14" t="inlineStr">
        <is>
          <t>Wisata Umum</t>
        </is>
      </c>
      <c r="I220" s="29">
        <f>6371 * 2 * ASIN(SQRT(SIN(RADIANS((C220) - INDEX('Dataset_Wisata'!$C$12:$C$622, MATCH('Dashboard'!$C$9, 'Dataset_Wisata'!$A$12:$A$622, 0)))/2)^2 + COS(RADIANS(INDEX('Dataset_Wisata'!$C$12:$C$622, MATCH('Dashboard'!$C$9, 'Dataset_Wisata'!$A$12:$A$622, 0)))) * COS(RADIANS(C220)) * SIN(RADIANS((D220) - INDEX('Dataset_Wisata'!$D$12:$D$622, MATCH('Dashboard'!$C$9, 'Dataset_Wisata'!$A$12:$A$622, 0)))/2)^2)) * 1.3</f>
        <v/>
      </c>
      <c r="J220" s="21">
        <f>ROUND(I220 * IF('Dashboard'!$C$6&lt;=1, 2250, IF('Dashboard'!$C$6&lt;=4, 5150, 6000)), 0)</f>
        <v/>
      </c>
      <c r="K220" s="30" t="n">
        <v>0.9907459480940729</v>
      </c>
      <c r="L220" s="30" t="n">
        <v>0.008195110232283047</v>
      </c>
      <c r="M220" s="30" t="n">
        <v>0.001058941673643979</v>
      </c>
      <c r="N220" s="31">
        <f>ABS(E220-$F$6)</f>
        <v/>
      </c>
      <c r="O220" s="31">
        <f>ABS(E220-$F$7)</f>
        <v/>
      </c>
      <c r="P220" s="31">
        <f>ABS(E220-$F$8)</f>
        <v/>
      </c>
      <c r="Q220" s="14">
        <f>IF(K220&gt;=MAX(L220,M220), "Hemat", IF(L220&gt;=M220, "Balanced", "Premium"))</f>
        <v/>
      </c>
      <c r="R220" s="30" t="n">
        <v>0.9907459543354936</v>
      </c>
      <c r="S220" s="30" t="n">
        <v>0.008195104860105683</v>
      </c>
      <c r="T220" s="30" t="n">
        <v>0.0010589408044008</v>
      </c>
      <c r="U220" s="31">
        <f>ABS(E220-$G$6)</f>
        <v/>
      </c>
      <c r="V220" s="31">
        <f>ABS(E220-$G$7)</f>
        <v/>
      </c>
      <c r="W220" s="31">
        <f>ABS(E220-$G$8)</f>
        <v/>
      </c>
      <c r="X220" s="14">
        <f>IF(R220&gt;=MAX(S220,T220), "Hemat", IF(S220&gt;=T220, "Balanced", "Premium"))</f>
        <v/>
      </c>
    </row>
    <row r="221">
      <c r="A221" s="14" t="n">
        <v>210</v>
      </c>
      <c r="B221" s="7" t="inlineStr">
        <is>
          <t>Ayam Goreng Pemuda</t>
        </is>
      </c>
      <c r="C221" s="26" t="n">
        <v>-7.8713315</v>
      </c>
      <c r="D221" s="26" t="n">
        <v>112.5277117</v>
      </c>
      <c r="E221" s="21" t="n">
        <v>33750</v>
      </c>
      <c r="F221" s="27" t="n">
        <v>4.5</v>
      </c>
      <c r="G221" s="28" t="n">
        <v>341</v>
      </c>
      <c r="H221" s="14" t="inlineStr">
        <is>
          <t>Restoran · Jl. Diponegoro No.20</t>
        </is>
      </c>
      <c r="I221" s="29">
        <f>6371 * 2 * ASIN(SQRT(SIN(RADIANS((C221) - INDEX('Dataset_Wisata'!$C$12:$C$622, MATCH('Dashboard'!$C$9, 'Dataset_Wisata'!$A$12:$A$622, 0)))/2)^2 + COS(RADIANS(INDEX('Dataset_Wisata'!$C$12:$C$622, MATCH('Dashboard'!$C$9, 'Dataset_Wisata'!$A$12:$A$622, 0)))) * COS(RADIANS(C221)) * SIN(RADIANS((D221) - INDEX('Dataset_Wisata'!$D$12:$D$622, MATCH('Dashboard'!$C$9, 'Dataset_Wisata'!$A$12:$A$622, 0)))/2)^2)) * 1.3</f>
        <v/>
      </c>
      <c r="J221" s="21">
        <f>ROUND(I221 * IF('Dashboard'!$C$6&lt;=1, 2250, IF('Dashboard'!$C$6&lt;=4, 5150, 6000)), 0)</f>
        <v/>
      </c>
      <c r="K221" s="30" t="n">
        <v>0.1140673780231223</v>
      </c>
      <c r="L221" s="30" t="n">
        <v>0.6837408122291248</v>
      </c>
      <c r="M221" s="30" t="n">
        <v>0.2021918097477529</v>
      </c>
      <c r="N221" s="31">
        <f>ABS(E221-$F$6)</f>
        <v/>
      </c>
      <c r="O221" s="31">
        <f>ABS(E221-$F$7)</f>
        <v/>
      </c>
      <c r="P221" s="31">
        <f>ABS(E221-$F$8)</f>
        <v/>
      </c>
      <c r="Q221" s="14">
        <f>IF(K221&gt;=MAX(L221,M221), "Hemat", IF(L221&gt;=M221, "Balanced", "Premium"))</f>
        <v/>
      </c>
      <c r="R221" s="30" t="n">
        <v>0.1140674084482901</v>
      </c>
      <c r="S221" s="30" t="n">
        <v>0.683740599869767</v>
      </c>
      <c r="T221" s="30" t="n">
        <v>0.202191991681943</v>
      </c>
      <c r="U221" s="31">
        <f>ABS(E221-$G$6)</f>
        <v/>
      </c>
      <c r="V221" s="31">
        <f>ABS(E221-$G$7)</f>
        <v/>
      </c>
      <c r="W221" s="31">
        <f>ABS(E221-$G$8)</f>
        <v/>
      </c>
      <c r="X221" s="14">
        <f>IF(R221&gt;=MAX(S221,T221), "Hemat", IF(S221&gt;=T221, "Balanced", "Premium"))</f>
        <v/>
      </c>
    </row>
    <row r="222">
      <c r="A222" s="14" t="n">
        <v>211</v>
      </c>
      <c r="B222" s="7" t="inlineStr">
        <is>
          <t>WARUNG IDAMAN</t>
        </is>
      </c>
      <c r="C222" s="26" t="n">
        <v>-7.8744778</v>
      </c>
      <c r="D222" s="26" t="n">
        <v>112.5275311</v>
      </c>
      <c r="E222" s="21" t="n">
        <v>17000</v>
      </c>
      <c r="F222" s="27" t="n">
        <v>4.9</v>
      </c>
      <c r="G222" s="28" t="n">
        <v>25</v>
      </c>
      <c r="H222" s="14" t="inlineStr">
        <is>
          <t>WARUNG IDAMAN</t>
        </is>
      </c>
      <c r="I222" s="29">
        <f>6371 * 2 * ASIN(SQRT(SIN(RADIANS((C222) - INDEX('Dataset_Wisata'!$C$12:$C$622, MATCH('Dashboard'!$C$9, 'Dataset_Wisata'!$A$12:$A$622, 0)))/2)^2 + COS(RADIANS(INDEX('Dataset_Wisata'!$C$12:$C$622, MATCH('Dashboard'!$C$9, 'Dataset_Wisata'!$A$12:$A$622, 0)))) * COS(RADIANS(C222)) * SIN(RADIANS((D222) - INDEX('Dataset_Wisata'!$D$12:$D$622, MATCH('Dashboard'!$C$9, 'Dataset_Wisata'!$A$12:$A$622, 0)))/2)^2)) * 1.3</f>
        <v/>
      </c>
      <c r="J222" s="21">
        <f>ROUND(I222 * IF('Dashboard'!$C$6&lt;=1, 2250, IF('Dashboard'!$C$6&lt;=4, 5150, 6000)), 0)</f>
        <v/>
      </c>
      <c r="K222" s="30" t="n">
        <v>0.8205766965551228</v>
      </c>
      <c r="L222" s="30" t="n">
        <v>0.1680685555538888</v>
      </c>
      <c r="M222" s="30" t="n">
        <v>0.01135474789098826</v>
      </c>
      <c r="N222" s="31">
        <f>ABS(E222-$F$6)</f>
        <v/>
      </c>
      <c r="O222" s="31">
        <f>ABS(E222-$F$7)</f>
        <v/>
      </c>
      <c r="P222" s="31">
        <f>ABS(E222-$F$8)</f>
        <v/>
      </c>
      <c r="Q222" s="14">
        <f>IF(K222&gt;=MAX(L222,M222), "Hemat", IF(L222&gt;=M222, "Balanced", "Premium"))</f>
        <v/>
      </c>
      <c r="R222" s="30" t="n">
        <v>0.8205765551569555</v>
      </c>
      <c r="S222" s="30" t="n">
        <v>0.1680686919268015</v>
      </c>
      <c r="T222" s="30" t="n">
        <v>0.01135475291624307</v>
      </c>
      <c r="U222" s="31">
        <f>ABS(E222-$G$6)</f>
        <v/>
      </c>
      <c r="V222" s="31">
        <f>ABS(E222-$G$7)</f>
        <v/>
      </c>
      <c r="W222" s="31">
        <f>ABS(E222-$G$8)</f>
        <v/>
      </c>
      <c r="X222" s="14">
        <f>IF(R222&gt;=MAX(S222,T222), "Hemat", IF(S222&gt;=T222, "Balanced", "Premium"))</f>
        <v/>
      </c>
    </row>
    <row r="223">
      <c r="A223" s="14" t="n">
        <v>212</v>
      </c>
      <c r="B223" s="7" t="inlineStr">
        <is>
          <t>Bebek Goreng H.Slamet by Waroeng Kota Batu</t>
        </is>
      </c>
      <c r="C223" s="26" t="n">
        <v>-7.8713783</v>
      </c>
      <c r="D223" s="26" t="n">
        <v>112.5252218</v>
      </c>
      <c r="E223" s="21" t="n">
        <v>41600</v>
      </c>
      <c r="F223" s="27" t="n">
        <v>4.4</v>
      </c>
      <c r="G223" s="28" t="n">
        <v>2058</v>
      </c>
      <c r="H223" s="14" t="inlineStr">
        <is>
          <t>Restoran · Jl. Kartini No.18</t>
        </is>
      </c>
      <c r="I223" s="29">
        <f>6371 * 2 * ASIN(SQRT(SIN(RADIANS((C223) - INDEX('Dataset_Wisata'!$C$12:$C$622, MATCH('Dashboard'!$C$9, 'Dataset_Wisata'!$A$12:$A$622, 0)))/2)^2 + COS(RADIANS(INDEX('Dataset_Wisata'!$C$12:$C$622, MATCH('Dashboard'!$C$9, 'Dataset_Wisata'!$A$12:$A$622, 0)))) * COS(RADIANS(C223)) * SIN(RADIANS((D223) - INDEX('Dataset_Wisata'!$D$12:$D$622, MATCH('Dashboard'!$C$9, 'Dataset_Wisata'!$A$12:$A$622, 0)))/2)^2)) * 1.3</f>
        <v/>
      </c>
      <c r="J223" s="21">
        <f>ROUND(I223 * IF('Dashboard'!$C$6&lt;=1, 2250, IF('Dashboard'!$C$6&lt;=4, 5150, 6000)), 0)</f>
        <v/>
      </c>
      <c r="K223" s="30" t="n">
        <v>0.05524222859343153</v>
      </c>
      <c r="L223" s="30" t="n">
        <v>0.1688149164507209</v>
      </c>
      <c r="M223" s="30" t="n">
        <v>0.7759428549558476</v>
      </c>
      <c r="N223" s="31">
        <f>ABS(E223-$F$6)</f>
        <v/>
      </c>
      <c r="O223" s="31">
        <f>ABS(E223-$F$7)</f>
        <v/>
      </c>
      <c r="P223" s="31">
        <f>ABS(E223-$F$8)</f>
        <v/>
      </c>
      <c r="Q223" s="14">
        <f>IF(K223&gt;=MAX(L223,M223), "Hemat", IF(L223&gt;=M223, "Balanced", "Premium"))</f>
        <v/>
      </c>
      <c r="R223" s="30" t="n">
        <v>0.05524217953237211</v>
      </c>
      <c r="S223" s="30" t="n">
        <v>0.168814718381554</v>
      </c>
      <c r="T223" s="30" t="n">
        <v>0.7759431020860739</v>
      </c>
      <c r="U223" s="31">
        <f>ABS(E223-$G$6)</f>
        <v/>
      </c>
      <c r="V223" s="31">
        <f>ABS(E223-$G$7)</f>
        <v/>
      </c>
      <c r="W223" s="31">
        <f>ABS(E223-$G$8)</f>
        <v/>
      </c>
      <c r="X223" s="14">
        <f>IF(R223&gt;=MAX(S223,T223), "Hemat", IF(S223&gt;=T223, "Balanced", "Premium"))</f>
        <v/>
      </c>
    </row>
    <row r="224">
      <c r="A224" s="14" t="n">
        <v>213</v>
      </c>
      <c r="B224" s="7" t="inlineStr">
        <is>
          <t>Warung Y Bakso GRATIS</t>
        </is>
      </c>
      <c r="C224" s="26" t="n">
        <v>-7.8831462</v>
      </c>
      <c r="D224" s="26" t="n">
        <v>112.5299559</v>
      </c>
      <c r="E224" s="21" t="n">
        <v>7000</v>
      </c>
      <c r="F224" s="27" t="n">
        <v>4.2</v>
      </c>
      <c r="G224" s="28" t="n">
        <v>70</v>
      </c>
      <c r="H224" s="14" t="inlineStr">
        <is>
          <t>Warung Y Bakso GRATIS</t>
        </is>
      </c>
      <c r="I224" s="29">
        <f>6371 * 2 * ASIN(SQRT(SIN(RADIANS((C224) - INDEX('Dataset_Wisata'!$C$12:$C$622, MATCH('Dashboard'!$C$9, 'Dataset_Wisata'!$A$12:$A$622, 0)))/2)^2 + COS(RADIANS(INDEX('Dataset_Wisata'!$C$12:$C$622, MATCH('Dashboard'!$C$9, 'Dataset_Wisata'!$A$12:$A$622, 0)))) * COS(RADIANS(C224)) * SIN(RADIANS((D224) - INDEX('Dataset_Wisata'!$D$12:$D$622, MATCH('Dashboard'!$C$9, 'Dataset_Wisata'!$A$12:$A$622, 0)))/2)^2)) * 1.3</f>
        <v/>
      </c>
      <c r="J224" s="21">
        <f>ROUND(I224 * IF('Dashboard'!$C$6&lt;=1, 2250, IF('Dashboard'!$C$6&lt;=4, 5150, 6000)), 0)</f>
        <v/>
      </c>
      <c r="K224" s="30" t="n">
        <v>0.8800610026243881</v>
      </c>
      <c r="L224" s="30" t="n">
        <v>0.1008247459749515</v>
      </c>
      <c r="M224" s="30" t="n">
        <v>0.01911425140066042</v>
      </c>
      <c r="N224" s="31">
        <f>ABS(E224-$F$6)</f>
        <v/>
      </c>
      <c r="O224" s="31">
        <f>ABS(E224-$F$7)</f>
        <v/>
      </c>
      <c r="P224" s="31">
        <f>ABS(E224-$F$8)</f>
        <v/>
      </c>
      <c r="Q224" s="14">
        <f>IF(K224&gt;=MAX(L224,M224), "Hemat", IF(L224&gt;=M224, "Balanced", "Premium"))</f>
        <v/>
      </c>
      <c r="R224" s="30" t="n">
        <v>0.8800609951219469</v>
      </c>
      <c r="S224" s="30" t="n">
        <v>0.1008247536305651</v>
      </c>
      <c r="T224" s="30" t="n">
        <v>0.019114251247488</v>
      </c>
      <c r="U224" s="31">
        <f>ABS(E224-$G$6)</f>
        <v/>
      </c>
      <c r="V224" s="31">
        <f>ABS(E224-$G$7)</f>
        <v/>
      </c>
      <c r="W224" s="31">
        <f>ABS(E224-$G$8)</f>
        <v/>
      </c>
      <c r="X224" s="14">
        <f>IF(R224&gt;=MAX(S224,T224), "Hemat", IF(S224&gt;=T224, "Balanced", "Premium"))</f>
        <v/>
      </c>
    </row>
    <row r="225">
      <c r="A225" s="14" t="n">
        <v>214</v>
      </c>
      <c r="B225" s="7" t="inlineStr">
        <is>
          <t>Warung Asep</t>
        </is>
      </c>
      <c r="C225" s="26" t="n">
        <v>-7.8798256</v>
      </c>
      <c r="D225" s="26" t="n">
        <v>112.5253083</v>
      </c>
      <c r="E225" s="21" t="n">
        <v>17000</v>
      </c>
      <c r="F225" s="27" t="n">
        <v>4.3</v>
      </c>
      <c r="G225" s="28" t="n">
        <v>127</v>
      </c>
      <c r="H225" s="14" t="inlineStr">
        <is>
          <t>Warung Asep</t>
        </is>
      </c>
      <c r="I225" s="29">
        <f>6371 * 2 * ASIN(SQRT(SIN(RADIANS((C225) - INDEX('Dataset_Wisata'!$C$12:$C$622, MATCH('Dashboard'!$C$9, 'Dataset_Wisata'!$A$12:$A$622, 0)))/2)^2 + COS(RADIANS(INDEX('Dataset_Wisata'!$C$12:$C$622, MATCH('Dashboard'!$C$9, 'Dataset_Wisata'!$A$12:$A$622, 0)))) * COS(RADIANS(C225)) * SIN(RADIANS((D225) - INDEX('Dataset_Wisata'!$D$12:$D$622, MATCH('Dashboard'!$C$9, 'Dataset_Wisata'!$A$12:$A$622, 0)))/2)^2)) * 1.3</f>
        <v/>
      </c>
      <c r="J225" s="21">
        <f>ROUND(I225 * IF('Dashboard'!$C$6&lt;=1, 2250, IF('Dashboard'!$C$6&lt;=4, 5150, 6000)), 0)</f>
        <v/>
      </c>
      <c r="K225" s="30" t="n">
        <v>0.8205766965551228</v>
      </c>
      <c r="L225" s="30" t="n">
        <v>0.1680685555538888</v>
      </c>
      <c r="M225" s="30" t="n">
        <v>0.01135474789098826</v>
      </c>
      <c r="N225" s="31">
        <f>ABS(E225-$F$6)</f>
        <v/>
      </c>
      <c r="O225" s="31">
        <f>ABS(E225-$F$7)</f>
        <v/>
      </c>
      <c r="P225" s="31">
        <f>ABS(E225-$F$8)</f>
        <v/>
      </c>
      <c r="Q225" s="14">
        <f>IF(K225&gt;=MAX(L225,M225), "Hemat", IF(L225&gt;=M225, "Balanced", "Premium"))</f>
        <v/>
      </c>
      <c r="R225" s="30" t="n">
        <v>0.8205765551569555</v>
      </c>
      <c r="S225" s="30" t="n">
        <v>0.1680686919268015</v>
      </c>
      <c r="T225" s="30" t="n">
        <v>0.01135475291624307</v>
      </c>
      <c r="U225" s="31">
        <f>ABS(E225-$G$6)</f>
        <v/>
      </c>
      <c r="V225" s="31">
        <f>ABS(E225-$G$7)</f>
        <v/>
      </c>
      <c r="W225" s="31">
        <f>ABS(E225-$G$8)</f>
        <v/>
      </c>
      <c r="X225" s="14">
        <f>IF(R225&gt;=MAX(S225,T225), "Hemat", IF(S225&gt;=T225, "Balanced", "Premium"))</f>
        <v/>
      </c>
    </row>
    <row r="226">
      <c r="A226" s="14" t="n">
        <v>215</v>
      </c>
      <c r="B226" s="7" t="inlineStr">
        <is>
          <t>Warung Emak PRASMANAN</t>
        </is>
      </c>
      <c r="C226" s="26" t="n">
        <v>-7.849829</v>
      </c>
      <c r="D226" s="26" t="n">
        <v>112.528089</v>
      </c>
      <c r="E226" s="21" t="n">
        <v>17000</v>
      </c>
      <c r="F226" s="27" t="n">
        <v>4.3</v>
      </c>
      <c r="G226" s="28" t="n">
        <v>594</v>
      </c>
      <c r="H226" s="14" t="inlineStr">
        <is>
          <t>Warung Emak PRASMANAN</t>
        </is>
      </c>
      <c r="I226" s="29">
        <f>6371 * 2 * ASIN(SQRT(SIN(RADIANS((C226) - INDEX('Dataset_Wisata'!$C$12:$C$622, MATCH('Dashboard'!$C$9, 'Dataset_Wisata'!$A$12:$A$622, 0)))/2)^2 + COS(RADIANS(INDEX('Dataset_Wisata'!$C$12:$C$622, MATCH('Dashboard'!$C$9, 'Dataset_Wisata'!$A$12:$A$622, 0)))) * COS(RADIANS(C226)) * SIN(RADIANS((D226) - INDEX('Dataset_Wisata'!$D$12:$D$622, MATCH('Dashboard'!$C$9, 'Dataset_Wisata'!$A$12:$A$622, 0)))/2)^2)) * 1.3</f>
        <v/>
      </c>
      <c r="J226" s="21">
        <f>ROUND(I226 * IF('Dashboard'!$C$6&lt;=1, 2250, IF('Dashboard'!$C$6&lt;=4, 5150, 6000)), 0)</f>
        <v/>
      </c>
      <c r="K226" s="30" t="n">
        <v>0.8205766965551228</v>
      </c>
      <c r="L226" s="30" t="n">
        <v>0.1680685555538888</v>
      </c>
      <c r="M226" s="30" t="n">
        <v>0.01135474789098826</v>
      </c>
      <c r="N226" s="31">
        <f>ABS(E226-$F$6)</f>
        <v/>
      </c>
      <c r="O226" s="31">
        <f>ABS(E226-$F$7)</f>
        <v/>
      </c>
      <c r="P226" s="31">
        <f>ABS(E226-$F$8)</f>
        <v/>
      </c>
      <c r="Q226" s="14">
        <f>IF(K226&gt;=MAX(L226,M226), "Hemat", IF(L226&gt;=M226, "Balanced", "Premium"))</f>
        <v/>
      </c>
      <c r="R226" s="30" t="n">
        <v>0.8205765551569555</v>
      </c>
      <c r="S226" s="30" t="n">
        <v>0.1680686919268015</v>
      </c>
      <c r="T226" s="30" t="n">
        <v>0.01135475291624307</v>
      </c>
      <c r="U226" s="31">
        <f>ABS(E226-$G$6)</f>
        <v/>
      </c>
      <c r="V226" s="31">
        <f>ABS(E226-$G$7)</f>
        <v/>
      </c>
      <c r="W226" s="31">
        <f>ABS(E226-$G$8)</f>
        <v/>
      </c>
      <c r="X226" s="14">
        <f>IF(R226&gt;=MAX(S226,T226), "Hemat", IF(S226&gt;=T226, "Balanced", "Premium"))</f>
        <v/>
      </c>
    </row>
    <row r="227">
      <c r="A227" s="14" t="n">
        <v>216</v>
      </c>
      <c r="B227" s="7" t="inlineStr">
        <is>
          <t>Warung Pring Pethuk</t>
        </is>
      </c>
      <c r="C227" s="26" t="n">
        <v>-7.8497702</v>
      </c>
      <c r="D227" s="26" t="n">
        <v>112.5203191</v>
      </c>
      <c r="E227" s="21" t="n">
        <v>34375</v>
      </c>
      <c r="F227" s="27" t="n">
        <v>4.3</v>
      </c>
      <c r="G227" s="28" t="n">
        <v>2503</v>
      </c>
      <c r="H227" s="14" t="inlineStr">
        <is>
          <t>Warung Pring Pethuk</t>
        </is>
      </c>
      <c r="I227" s="29">
        <f>6371 * 2 * ASIN(SQRT(SIN(RADIANS((C227) - INDEX('Dataset_Wisata'!$C$12:$C$622, MATCH('Dashboard'!$C$9, 'Dataset_Wisata'!$A$12:$A$622, 0)))/2)^2 + COS(RADIANS(INDEX('Dataset_Wisata'!$C$12:$C$622, MATCH('Dashboard'!$C$9, 'Dataset_Wisata'!$A$12:$A$622, 0)))) * COS(RADIANS(C227)) * SIN(RADIANS((D227) - INDEX('Dataset_Wisata'!$D$12:$D$622, MATCH('Dashboard'!$C$9, 'Dataset_Wisata'!$A$12:$A$622, 0)))/2)^2)) * 1.3</f>
        <v/>
      </c>
      <c r="J227" s="21">
        <f>ROUND(I227 * IF('Dashboard'!$C$6&lt;=1, 2250, IF('Dashboard'!$C$6&lt;=4, 5150, 6000)), 0)</f>
        <v/>
      </c>
      <c r="K227" s="30" t="n">
        <v>0.1168647255643815</v>
      </c>
      <c r="L227" s="30" t="n">
        <v>0.6442122526791924</v>
      </c>
      <c r="M227" s="30" t="n">
        <v>0.2389230217564261</v>
      </c>
      <c r="N227" s="31">
        <f>ABS(E227-$F$6)</f>
        <v/>
      </c>
      <c r="O227" s="31">
        <f>ABS(E227-$F$7)</f>
        <v/>
      </c>
      <c r="P227" s="31">
        <f>ABS(E227-$F$8)</f>
        <v/>
      </c>
      <c r="Q227" s="14">
        <f>IF(K227&gt;=MAX(L227,M227), "Hemat", IF(L227&gt;=M227, "Balanced", "Premium"))</f>
        <v/>
      </c>
      <c r="R227" s="30" t="n">
        <v>0.1168647475279773</v>
      </c>
      <c r="S227" s="30" t="n">
        <v>0.6442120292462999</v>
      </c>
      <c r="T227" s="30" t="n">
        <v>0.2389232232257228</v>
      </c>
      <c r="U227" s="31">
        <f>ABS(E227-$G$6)</f>
        <v/>
      </c>
      <c r="V227" s="31">
        <f>ABS(E227-$G$7)</f>
        <v/>
      </c>
      <c r="W227" s="31">
        <f>ABS(E227-$G$8)</f>
        <v/>
      </c>
      <c r="X227" s="14">
        <f>IF(R227&gt;=MAX(S227,T227), "Hemat", IF(S227&gt;=T227, "Balanced", "Premium"))</f>
        <v/>
      </c>
    </row>
    <row r="228">
      <c r="A228" s="14" t="n">
        <v>217</v>
      </c>
      <c r="B228" s="7" t="inlineStr">
        <is>
          <t>Warung Mrene</t>
        </is>
      </c>
      <c r="C228" s="26" t="n">
        <v>-7.8358515</v>
      </c>
      <c r="D228" s="26" t="n">
        <v>112.5401698</v>
      </c>
      <c r="E228" s="21" t="n">
        <v>13000</v>
      </c>
      <c r="F228" s="27" t="n">
        <v>4.7</v>
      </c>
      <c r="G228" s="28" t="n">
        <v>1087</v>
      </c>
      <c r="H228" s="14" t="inlineStr">
        <is>
          <t>Warung Mrene</t>
        </is>
      </c>
      <c r="I228" s="29">
        <f>6371 * 2 * ASIN(SQRT(SIN(RADIANS((C228) - INDEX('Dataset_Wisata'!$C$12:$C$622, MATCH('Dashboard'!$C$9, 'Dataset_Wisata'!$A$12:$A$622, 0)))/2)^2 + COS(RADIANS(INDEX('Dataset_Wisata'!$C$12:$C$622, MATCH('Dashboard'!$C$9, 'Dataset_Wisata'!$A$12:$A$622, 0)))) * COS(RADIANS(C228)) * SIN(RADIANS((D228) - INDEX('Dataset_Wisata'!$D$12:$D$622, MATCH('Dashboard'!$C$9, 'Dataset_Wisata'!$A$12:$A$622, 0)))/2)^2)) * 1.3</f>
        <v/>
      </c>
      <c r="J228" s="21">
        <f>ROUND(I228 * IF('Dashboard'!$C$6&lt;=1, 2250, IF('Dashboard'!$C$6&lt;=4, 5150, 6000)), 0)</f>
        <v/>
      </c>
      <c r="K228" s="30" t="n">
        <v>0.9996613401455278</v>
      </c>
      <c r="L228" s="30" t="n">
        <v>0.0003032413982241428</v>
      </c>
      <c r="M228" s="30" t="n">
        <v>3.541845624800055e-05</v>
      </c>
      <c r="N228" s="31">
        <f>ABS(E228-$F$6)</f>
        <v/>
      </c>
      <c r="O228" s="31">
        <f>ABS(E228-$F$7)</f>
        <v/>
      </c>
      <c r="P228" s="31">
        <f>ABS(E228-$F$8)</f>
        <v/>
      </c>
      <c r="Q228" s="14">
        <f>IF(K228&gt;=MAX(L228,M228), "Hemat", IF(L228&gt;=M228, "Balanced", "Premium"))</f>
        <v/>
      </c>
      <c r="R228" s="30" t="n">
        <v>0.9996613420378273</v>
      </c>
      <c r="S228" s="30" t="n">
        <v>0.0003032397098959421</v>
      </c>
      <c r="T228" s="30" t="n">
        <v>3.541825227674828e-05</v>
      </c>
      <c r="U228" s="31">
        <f>ABS(E228-$G$6)</f>
        <v/>
      </c>
      <c r="V228" s="31">
        <f>ABS(E228-$G$7)</f>
        <v/>
      </c>
      <c r="W228" s="31">
        <f>ABS(E228-$G$8)</f>
        <v/>
      </c>
      <c r="X228" s="14">
        <f>IF(R228&gt;=MAX(S228,T228), "Hemat", IF(S228&gt;=T228, "Balanced", "Premium"))</f>
        <v/>
      </c>
    </row>
    <row r="229">
      <c r="A229" s="14" t="n">
        <v>218</v>
      </c>
      <c r="B229" s="7" t="inlineStr">
        <is>
          <t>Waroeng Bamboe Lesehan Sidomulyo</t>
        </is>
      </c>
      <c r="C229" s="26" t="n">
        <v>-7.8417982</v>
      </c>
      <c r="D229" s="26" t="n">
        <v>112.528173</v>
      </c>
      <c r="E229" s="21" t="n">
        <v>32625</v>
      </c>
      <c r="F229" s="27" t="n">
        <v>4.5</v>
      </c>
      <c r="G229" s="28" t="n">
        <v>6488</v>
      </c>
      <c r="H229" s="14" t="inlineStr">
        <is>
          <t>Wisata Umum</t>
        </is>
      </c>
      <c r="I229" s="29">
        <f>6371 * 2 * ASIN(SQRT(SIN(RADIANS((C229) - INDEX('Dataset_Wisata'!$C$12:$C$622, MATCH('Dashboard'!$C$9, 'Dataset_Wisata'!$A$12:$A$622, 0)))/2)^2 + COS(RADIANS(INDEX('Dataset_Wisata'!$C$12:$C$622, MATCH('Dashboard'!$C$9, 'Dataset_Wisata'!$A$12:$A$622, 0)))) * COS(RADIANS(C229)) * SIN(RADIANS((D229) - INDEX('Dataset_Wisata'!$D$12:$D$622, MATCH('Dashboard'!$C$9, 'Dataset_Wisata'!$A$12:$A$622, 0)))/2)^2)) * 1.3</f>
        <v/>
      </c>
      <c r="J229" s="21">
        <f>ROUND(I229 * IF('Dashboard'!$C$6&lt;=1, 2250, IF('Dashboard'!$C$6&lt;=4, 5150, 6000)), 0)</f>
        <v/>
      </c>
      <c r="K229" s="30" t="n">
        <v>0.1050556770342745</v>
      </c>
      <c r="L229" s="30" t="n">
        <v>0.7504230917943645</v>
      </c>
      <c r="M229" s="30" t="n">
        <v>0.1445212311713609</v>
      </c>
      <c r="N229" s="31">
        <f>ABS(E229-$F$6)</f>
        <v/>
      </c>
      <c r="O229" s="31">
        <f>ABS(E229-$F$7)</f>
        <v/>
      </c>
      <c r="P229" s="31">
        <f>ABS(E229-$F$8)</f>
        <v/>
      </c>
      <c r="Q229" s="14">
        <f>IF(K229&gt;=MAX(L229,M229), "Hemat", IF(L229&gt;=M229, "Balanced", "Premium"))</f>
        <v/>
      </c>
      <c r="R229" s="30" t="n">
        <v>0.105055721000284</v>
      </c>
      <c r="S229" s="30" t="n">
        <v>0.7504229009264135</v>
      </c>
      <c r="T229" s="30" t="n">
        <v>0.1445213780733025</v>
      </c>
      <c r="U229" s="31">
        <f>ABS(E229-$G$6)</f>
        <v/>
      </c>
      <c r="V229" s="31">
        <f>ABS(E229-$G$7)</f>
        <v/>
      </c>
      <c r="W229" s="31">
        <f>ABS(E229-$G$8)</f>
        <v/>
      </c>
      <c r="X229" s="14">
        <f>IF(R229&gt;=MAX(S229,T229), "Hemat", IF(S229&gt;=T229, "Balanced", "Premium"))</f>
        <v/>
      </c>
    </row>
    <row r="230">
      <c r="A230" s="14" t="n">
        <v>219</v>
      </c>
      <c r="B230" s="7" t="inlineStr">
        <is>
          <t>Warung Kalinung</t>
        </is>
      </c>
      <c r="C230" s="26" t="n">
        <v>-7.8316653</v>
      </c>
      <c r="D230" s="26" t="n">
        <v>112.5246932</v>
      </c>
      <c r="E230" s="21" t="n">
        <v>22250</v>
      </c>
      <c r="F230" s="27" t="n">
        <v>4.5</v>
      </c>
      <c r="G230" s="28" t="n">
        <v>385</v>
      </c>
      <c r="H230" s="14" t="inlineStr">
        <is>
          <t>Warung Kalinung</t>
        </is>
      </c>
      <c r="I230" s="29">
        <f>6371 * 2 * ASIN(SQRT(SIN(RADIANS((C230) - INDEX('Dataset_Wisata'!$C$12:$C$622, MATCH('Dashboard'!$C$9, 'Dataset_Wisata'!$A$12:$A$622, 0)))/2)^2 + COS(RADIANS(INDEX('Dataset_Wisata'!$C$12:$C$622, MATCH('Dashboard'!$C$9, 'Dataset_Wisata'!$A$12:$A$622, 0)))) * COS(RADIANS(C230)) * SIN(RADIANS((D230) - INDEX('Dataset_Wisata'!$D$12:$D$622, MATCH('Dashboard'!$C$9, 'Dataset_Wisata'!$A$12:$A$622, 0)))/2)^2)) * 1.3</f>
        <v/>
      </c>
      <c r="J230" s="21">
        <f>ROUND(I230 * IF('Dashboard'!$C$6&lt;=1, 2250, IF('Dashboard'!$C$6&lt;=4, 5150, 6000)), 0)</f>
        <v/>
      </c>
      <c r="K230" s="30" t="n">
        <v>0.1048512182645485</v>
      </c>
      <c r="L230" s="30" t="n">
        <v>0.8833419980993569</v>
      </c>
      <c r="M230" s="30" t="n">
        <v>0.01180678363609463</v>
      </c>
      <c r="N230" s="31">
        <f>ABS(E230-$F$6)</f>
        <v/>
      </c>
      <c r="O230" s="31">
        <f>ABS(E230-$F$7)</f>
        <v/>
      </c>
      <c r="P230" s="31">
        <f>ABS(E230-$F$8)</f>
        <v/>
      </c>
      <c r="Q230" s="14">
        <f>IF(K230&gt;=MAX(L230,M230), "Hemat", IF(L230&gt;=M230, "Balanced", "Premium"))</f>
        <v/>
      </c>
      <c r="R230" s="30" t="n">
        <v>0.1048510446394496</v>
      </c>
      <c r="S230" s="30" t="n">
        <v>0.8833421857299798</v>
      </c>
      <c r="T230" s="30" t="n">
        <v>0.01180676963057058</v>
      </c>
      <c r="U230" s="31">
        <f>ABS(E230-$G$6)</f>
        <v/>
      </c>
      <c r="V230" s="31">
        <f>ABS(E230-$G$7)</f>
        <v/>
      </c>
      <c r="W230" s="31">
        <f>ABS(E230-$G$8)</f>
        <v/>
      </c>
      <c r="X230" s="14">
        <f>IF(R230&gt;=MAX(S230,T230), "Hemat", IF(S230&gt;=T230, "Balanced", "Premium"))</f>
        <v/>
      </c>
    </row>
    <row r="231">
      <c r="A231" s="14" t="n">
        <v>220</v>
      </c>
      <c r="B231" s="7" t="inlineStr">
        <is>
          <t>Omah Madhang Saridjoyo</t>
        </is>
      </c>
      <c r="C231" s="26" t="n">
        <v>-7.8531295</v>
      </c>
      <c r="D231" s="26" t="n">
        <v>112.5192799</v>
      </c>
      <c r="E231" s="21" t="n">
        <v>12700</v>
      </c>
      <c r="F231" s="27" t="n">
        <v>4.1</v>
      </c>
      <c r="G231" s="28" t="n">
        <v>1622</v>
      </c>
      <c r="H231" s="14" t="inlineStr">
        <is>
          <t>Wisata Umum</t>
        </is>
      </c>
      <c r="I231" s="29">
        <f>6371 * 2 * ASIN(SQRT(SIN(RADIANS((C231) - INDEX('Dataset_Wisata'!$C$12:$C$622, MATCH('Dashboard'!$C$9, 'Dataset_Wisata'!$A$12:$A$622, 0)))/2)^2 + COS(RADIANS(INDEX('Dataset_Wisata'!$C$12:$C$622, MATCH('Dashboard'!$C$9, 'Dataset_Wisata'!$A$12:$A$622, 0)))) * COS(RADIANS(C231)) * SIN(RADIANS((D231) - INDEX('Dataset_Wisata'!$D$12:$D$622, MATCH('Dashboard'!$C$9, 'Dataset_Wisata'!$A$12:$A$622, 0)))/2)^2)) * 1.3</f>
        <v/>
      </c>
      <c r="J231" s="21">
        <f>ROUND(I231 * IF('Dashboard'!$C$6&lt;=1, 2250, IF('Dashboard'!$C$6&lt;=4, 5150, 6000)), 0)</f>
        <v/>
      </c>
      <c r="K231" s="30" t="n">
        <v>0.9981476743809702</v>
      </c>
      <c r="L231" s="30" t="n">
        <v>0.0016530806395232</v>
      </c>
      <c r="M231" s="30" t="n">
        <v>0.0001992449795065674</v>
      </c>
      <c r="N231" s="31">
        <f>ABS(E231-$F$6)</f>
        <v/>
      </c>
      <c r="O231" s="31">
        <f>ABS(E231-$F$7)</f>
        <v/>
      </c>
      <c r="P231" s="31">
        <f>ABS(E231-$F$8)</f>
        <v/>
      </c>
      <c r="Q231" s="14">
        <f>IF(K231&gt;=MAX(L231,M231), "Hemat", IF(L231&gt;=M231, "Balanced", "Premium"))</f>
        <v/>
      </c>
      <c r="R231" s="30" t="n">
        <v>0.9981476782714669</v>
      </c>
      <c r="S231" s="30" t="n">
        <v>0.00165307720004702</v>
      </c>
      <c r="T231" s="30" t="n">
        <v>0.0001992445284860823</v>
      </c>
      <c r="U231" s="31">
        <f>ABS(E231-$G$6)</f>
        <v/>
      </c>
      <c r="V231" s="31">
        <f>ABS(E231-$G$7)</f>
        <v/>
      </c>
      <c r="W231" s="31">
        <f>ABS(E231-$G$8)</f>
        <v/>
      </c>
      <c r="X231" s="14">
        <f>IF(R231&gt;=MAX(S231,T231), "Hemat", IF(S231&gt;=T231, "Balanced", "Premium"))</f>
        <v/>
      </c>
    </row>
    <row r="232">
      <c r="A232" s="14" t="n">
        <v>221</v>
      </c>
      <c r="B232" s="7" t="inlineStr">
        <is>
          <t>RM. Sambel Ulek</t>
        </is>
      </c>
      <c r="C232" s="26" t="n">
        <v>-7.8508217</v>
      </c>
      <c r="D232" s="26" t="n">
        <v>112.527615</v>
      </c>
      <c r="E232" s="21" t="n">
        <v>13650</v>
      </c>
      <c r="F232" s="27" t="n">
        <v>4.5</v>
      </c>
      <c r="G232" s="28" t="n">
        <v>252</v>
      </c>
      <c r="H232" s="14" t="inlineStr">
        <is>
          <t>Wisata Umum</t>
        </is>
      </c>
      <c r="I232" s="29">
        <f>6371 * 2 * ASIN(SQRT(SIN(RADIANS((C232) - INDEX('Dataset_Wisata'!$C$12:$C$622, MATCH('Dashboard'!$C$9, 'Dataset_Wisata'!$A$12:$A$622, 0)))/2)^2 + COS(RADIANS(INDEX('Dataset_Wisata'!$C$12:$C$622, MATCH('Dashboard'!$C$9, 'Dataset_Wisata'!$A$12:$A$622, 0)))) * COS(RADIANS(C232)) * SIN(RADIANS((D232) - INDEX('Dataset_Wisata'!$D$12:$D$622, MATCH('Dashboard'!$C$9, 'Dataset_Wisata'!$A$12:$A$622, 0)))/2)^2)) * 1.3</f>
        <v/>
      </c>
      <c r="J232" s="21">
        <f>ROUND(I232 * IF('Dashboard'!$C$6&lt;=1, 2250, IF('Dashboard'!$C$6&lt;=4, 5150, 6000)), 0)</f>
        <v/>
      </c>
      <c r="K232" s="30" t="n">
        <v>0.9984752935105966</v>
      </c>
      <c r="L232" s="30" t="n">
        <v>0.001375205036075952</v>
      </c>
      <c r="M232" s="30" t="n">
        <v>0.000149501453327327</v>
      </c>
      <c r="N232" s="31">
        <f>ABS(E232-$F$6)</f>
        <v/>
      </c>
      <c r="O232" s="31">
        <f>ABS(E232-$F$7)</f>
        <v/>
      </c>
      <c r="P232" s="31">
        <f>ABS(E232-$F$8)</f>
        <v/>
      </c>
      <c r="Q232" s="14">
        <f>IF(K232&gt;=MAX(L232,M232), "Hemat", IF(L232&gt;=M232, "Balanced", "Premium"))</f>
        <v/>
      </c>
      <c r="R232" s="30" t="n">
        <v>0.998475288316516</v>
      </c>
      <c r="S232" s="30" t="n">
        <v>0.00137520974930882</v>
      </c>
      <c r="T232" s="30" t="n">
        <v>0.0001495019341751119</v>
      </c>
      <c r="U232" s="31">
        <f>ABS(E232-$G$6)</f>
        <v/>
      </c>
      <c r="V232" s="31">
        <f>ABS(E232-$G$7)</f>
        <v/>
      </c>
      <c r="W232" s="31">
        <f>ABS(E232-$G$8)</f>
        <v/>
      </c>
      <c r="X232" s="14">
        <f>IF(R232&gt;=MAX(S232,T232), "Hemat", IF(S232&gt;=T232, "Balanced", "Premium"))</f>
        <v/>
      </c>
    </row>
    <row r="233">
      <c r="A233" s="14" t="n">
        <v>222</v>
      </c>
      <c r="B233" s="7" t="inlineStr">
        <is>
          <t>Warung Sumber Rejeki 2</t>
        </is>
      </c>
      <c r="C233" s="26" t="n">
        <v>-7.8461663</v>
      </c>
      <c r="D233" s="26" t="n">
        <v>112.5283775</v>
      </c>
      <c r="E233" s="21" t="n">
        <v>15000</v>
      </c>
      <c r="F233" s="27" t="n">
        <v>4.5</v>
      </c>
      <c r="G233" s="28" t="n">
        <v>27</v>
      </c>
      <c r="H233" s="14" t="inlineStr">
        <is>
          <t>Warung Sumber Rejeki 2</t>
        </is>
      </c>
      <c r="I233" s="29">
        <f>6371 * 2 * ASIN(SQRT(SIN(RADIANS((C233) - INDEX('Dataset_Wisata'!$C$12:$C$622, MATCH('Dashboard'!$C$9, 'Dataset_Wisata'!$A$12:$A$622, 0)))/2)^2 + COS(RADIANS(INDEX('Dataset_Wisata'!$C$12:$C$622, MATCH('Dashboard'!$C$9, 'Dataset_Wisata'!$A$12:$A$622, 0)))) * COS(RADIANS(C233)) * SIN(RADIANS((D233) - INDEX('Dataset_Wisata'!$D$12:$D$622, MATCH('Dashboard'!$C$9, 'Dataset_Wisata'!$A$12:$A$622, 0)))/2)^2)) * 1.3</f>
        <v/>
      </c>
      <c r="J233" s="21">
        <f>ROUND(I233 * IF('Dashboard'!$C$6&lt;=1, 2250, IF('Dashboard'!$C$6&lt;=4, 5150, 6000)), 0)</f>
        <v/>
      </c>
      <c r="K233" s="30" t="n">
        <v>0.9686283169848018</v>
      </c>
      <c r="L233" s="30" t="n">
        <v>0.02872990537067274</v>
      </c>
      <c r="M233" s="30" t="n">
        <v>0.002641777644525457</v>
      </c>
      <c r="N233" s="31">
        <f>ABS(E233-$F$6)</f>
        <v/>
      </c>
      <c r="O233" s="31">
        <f>ABS(E233-$F$7)</f>
        <v/>
      </c>
      <c r="P233" s="31">
        <f>ABS(E233-$F$8)</f>
        <v/>
      </c>
      <c r="Q233" s="14">
        <f>IF(K233&gt;=MAX(L233,M233), "Hemat", IF(L233&gt;=M233, "Balanced", "Premium"))</f>
        <v/>
      </c>
      <c r="R233" s="30" t="n">
        <v>0.9686282798936615</v>
      </c>
      <c r="S233" s="30" t="n">
        <v>0.02872993996961344</v>
      </c>
      <c r="T233" s="30" t="n">
        <v>0.002641780136725144</v>
      </c>
      <c r="U233" s="31">
        <f>ABS(E233-$G$6)</f>
        <v/>
      </c>
      <c r="V233" s="31">
        <f>ABS(E233-$G$7)</f>
        <v/>
      </c>
      <c r="W233" s="31">
        <f>ABS(E233-$G$8)</f>
        <v/>
      </c>
      <c r="X233" s="14">
        <f>IF(R233&gt;=MAX(S233,T233), "Hemat", IF(S233&gt;=T233, "Balanced", "Premium"))</f>
        <v/>
      </c>
    </row>
    <row r="234">
      <c r="A234" s="14" t="n">
        <v>223</v>
      </c>
      <c r="B234" s="7" t="inlineStr">
        <is>
          <t>Pondok Kopi Sambel teri</t>
        </is>
      </c>
      <c r="C234" s="26" t="n">
        <v>-7.8225496</v>
      </c>
      <c r="D234" s="26" t="n">
        <v>112.5324022</v>
      </c>
      <c r="E234" s="21" t="n">
        <v>12500</v>
      </c>
      <c r="F234" s="27" t="n">
        <v>4.7</v>
      </c>
      <c r="G234" s="28" t="n">
        <v>292</v>
      </c>
      <c r="H234" s="14" t="inlineStr">
        <is>
          <t>Wisata Umum</t>
        </is>
      </c>
      <c r="I234" s="29">
        <f>6371 * 2 * ASIN(SQRT(SIN(RADIANS((C234) - INDEX('Dataset_Wisata'!$C$12:$C$622, MATCH('Dashboard'!$C$9, 'Dataset_Wisata'!$A$12:$A$622, 0)))/2)^2 + COS(RADIANS(INDEX('Dataset_Wisata'!$C$12:$C$622, MATCH('Dashboard'!$C$9, 'Dataset_Wisata'!$A$12:$A$622, 0)))) * COS(RADIANS(C234)) * SIN(RADIANS((D234) - INDEX('Dataset_Wisata'!$D$12:$D$622, MATCH('Dashboard'!$C$9, 'Dataset_Wisata'!$A$12:$A$622, 0)))/2)^2)) * 1.3</f>
        <v/>
      </c>
      <c r="J234" s="21">
        <f>ROUND(I234 * IF('Dashboard'!$C$6&lt;=1, 2250, IF('Dashboard'!$C$6&lt;=4, 5150, 6000)), 0)</f>
        <v/>
      </c>
      <c r="K234" s="30" t="n">
        <v>0.9965388956324384</v>
      </c>
      <c r="L234" s="30" t="n">
        <v>0.003081977430114359</v>
      </c>
      <c r="M234" s="30" t="n">
        <v>0.0003791269374473433</v>
      </c>
      <c r="N234" s="31">
        <f>ABS(E234-$F$6)</f>
        <v/>
      </c>
      <c r="O234" s="31">
        <f>ABS(E234-$F$7)</f>
        <v/>
      </c>
      <c r="P234" s="31">
        <f>ABS(E234-$F$8)</f>
        <v/>
      </c>
      <c r="Q234" s="14">
        <f>IF(K234&gt;=MAX(L234,M234), "Hemat", IF(L234&gt;=M234, "Balanced", "Premium"))</f>
        <v/>
      </c>
      <c r="R234" s="30" t="n">
        <v>0.9965389004929521</v>
      </c>
      <c r="S234" s="30" t="n">
        <v>0.003081973162016532</v>
      </c>
      <c r="T234" s="30" t="n">
        <v>0.0003791263450314348</v>
      </c>
      <c r="U234" s="31">
        <f>ABS(E234-$G$6)</f>
        <v/>
      </c>
      <c r="V234" s="31">
        <f>ABS(E234-$G$7)</f>
        <v/>
      </c>
      <c r="W234" s="31">
        <f>ABS(E234-$G$8)</f>
        <v/>
      </c>
      <c r="X234" s="14">
        <f>IF(R234&gt;=MAX(S234,T234), "Hemat", IF(S234&gt;=T234, "Balanced", "Premium"))</f>
        <v/>
      </c>
    </row>
    <row r="235">
      <c r="A235" s="14" t="n">
        <v>224</v>
      </c>
      <c r="B235" s="7" t="inlineStr">
        <is>
          <t>Kedai Sego Gurih Iwak Ingkung Junggo Batu</t>
        </is>
      </c>
      <c r="C235" s="26" t="n">
        <v>-7.8005154</v>
      </c>
      <c r="D235" s="26" t="n">
        <v>112.5256272</v>
      </c>
      <c r="E235" s="21" t="n">
        <v>11000</v>
      </c>
      <c r="F235" s="27" t="n">
        <v>4.6</v>
      </c>
      <c r="G235" s="28" t="n">
        <v>640</v>
      </c>
      <c r="H235" s="14" t="inlineStr">
        <is>
          <t>Wisata Umum</t>
        </is>
      </c>
      <c r="I235" s="29">
        <f>6371 * 2 * ASIN(SQRT(SIN(RADIANS((C235) - INDEX('Dataset_Wisata'!$C$12:$C$622, MATCH('Dashboard'!$C$9, 'Dataset_Wisata'!$A$12:$A$622, 0)))/2)^2 + COS(RADIANS(INDEX('Dataset_Wisata'!$C$12:$C$622, MATCH('Dashboard'!$C$9, 'Dataset_Wisata'!$A$12:$A$622, 0)))) * COS(RADIANS(C235)) * SIN(RADIANS((D235) - INDEX('Dataset_Wisata'!$D$12:$D$622, MATCH('Dashboard'!$C$9, 'Dataset_Wisata'!$A$12:$A$622, 0)))/2)^2)) * 1.3</f>
        <v/>
      </c>
      <c r="J235" s="21">
        <f>ROUND(I235 * IF('Dashboard'!$C$6&lt;=1, 2250, IF('Dashboard'!$C$6&lt;=4, 5150, 6000)), 0)</f>
        <v/>
      </c>
      <c r="K235" s="30" t="n">
        <v>0.9735599178193949</v>
      </c>
      <c r="L235" s="30" t="n">
        <v>0.02316133672104913</v>
      </c>
      <c r="M235" s="30" t="n">
        <v>0.003278745459555964</v>
      </c>
      <c r="N235" s="31">
        <f>ABS(E235-$F$6)</f>
        <v/>
      </c>
      <c r="O235" s="31">
        <f>ABS(E235-$F$7)</f>
        <v/>
      </c>
      <c r="P235" s="31">
        <f>ABS(E235-$F$8)</f>
        <v/>
      </c>
      <c r="Q235" s="14">
        <f>IF(K235&gt;=MAX(L235,M235), "Hemat", IF(L235&gt;=M235, "Balanced", "Premium"))</f>
        <v/>
      </c>
      <c r="R235" s="30" t="n">
        <v>0.973559923674283</v>
      </c>
      <c r="S235" s="30" t="n">
        <v>0.02316133200448154</v>
      </c>
      <c r="T235" s="30" t="n">
        <v>0.003278744321235429</v>
      </c>
      <c r="U235" s="31">
        <f>ABS(E235-$G$6)</f>
        <v/>
      </c>
      <c r="V235" s="31">
        <f>ABS(E235-$G$7)</f>
        <v/>
      </c>
      <c r="W235" s="31">
        <f>ABS(E235-$G$8)</f>
        <v/>
      </c>
      <c r="X235" s="14">
        <f>IF(R235&gt;=MAX(S235,T235), "Hemat", IF(S235&gt;=T235, "Balanced", "Premium"))</f>
        <v/>
      </c>
    </row>
    <row r="236">
      <c r="A236" s="14" t="n">
        <v>225</v>
      </c>
      <c r="B236" s="7" t="inlineStr">
        <is>
          <t>Warung Watu Gedhek</t>
        </is>
      </c>
      <c r="C236" s="26" t="n">
        <v>-7.8201184</v>
      </c>
      <c r="D236" s="26" t="n">
        <v>112.5235524</v>
      </c>
      <c r="E236" s="21" t="n">
        <v>11000</v>
      </c>
      <c r="F236" s="27" t="n">
        <v>4.4</v>
      </c>
      <c r="G236" s="28" t="n">
        <v>358</v>
      </c>
      <c r="H236" s="14" t="inlineStr">
        <is>
          <t>Warung Watu Gedhek</t>
        </is>
      </c>
      <c r="I236" s="29">
        <f>6371 * 2 * ASIN(SQRT(SIN(RADIANS((C236) - INDEX('Dataset_Wisata'!$C$12:$C$622, MATCH('Dashboard'!$C$9, 'Dataset_Wisata'!$A$12:$A$622, 0)))/2)^2 + COS(RADIANS(INDEX('Dataset_Wisata'!$C$12:$C$622, MATCH('Dashboard'!$C$9, 'Dataset_Wisata'!$A$12:$A$622, 0)))) * COS(RADIANS(C236)) * SIN(RADIANS((D236) - INDEX('Dataset_Wisata'!$D$12:$D$622, MATCH('Dashboard'!$C$9, 'Dataset_Wisata'!$A$12:$A$622, 0)))/2)^2)) * 1.3</f>
        <v/>
      </c>
      <c r="J236" s="21">
        <f>ROUND(I236 * IF('Dashboard'!$C$6&lt;=1, 2250, IF('Dashboard'!$C$6&lt;=4, 5150, 6000)), 0)</f>
        <v/>
      </c>
      <c r="K236" s="30" t="n">
        <v>0.9735599178193949</v>
      </c>
      <c r="L236" s="30" t="n">
        <v>0.02316133672104913</v>
      </c>
      <c r="M236" s="30" t="n">
        <v>0.003278745459555964</v>
      </c>
      <c r="N236" s="31">
        <f>ABS(E236-$F$6)</f>
        <v/>
      </c>
      <c r="O236" s="31">
        <f>ABS(E236-$F$7)</f>
        <v/>
      </c>
      <c r="P236" s="31">
        <f>ABS(E236-$F$8)</f>
        <v/>
      </c>
      <c r="Q236" s="14">
        <f>IF(K236&gt;=MAX(L236,M236), "Hemat", IF(L236&gt;=M236, "Balanced", "Premium"))</f>
        <v/>
      </c>
      <c r="R236" s="30" t="n">
        <v>0.973559923674283</v>
      </c>
      <c r="S236" s="30" t="n">
        <v>0.02316133200448154</v>
      </c>
      <c r="T236" s="30" t="n">
        <v>0.003278744321235429</v>
      </c>
      <c r="U236" s="31">
        <f>ABS(E236-$G$6)</f>
        <v/>
      </c>
      <c r="V236" s="31">
        <f>ABS(E236-$G$7)</f>
        <v/>
      </c>
      <c r="W236" s="31">
        <f>ABS(E236-$G$8)</f>
        <v/>
      </c>
      <c r="X236" s="14">
        <f>IF(R236&gt;=MAX(S236,T236), "Hemat", IF(S236&gt;=T236, "Balanced", "Premium"))</f>
        <v/>
      </c>
    </row>
    <row r="237">
      <c r="A237" s="14" t="n">
        <v>226</v>
      </c>
      <c r="B237" s="7" t="inlineStr">
        <is>
          <t>Warung Mbok D'Jess</t>
        </is>
      </c>
      <c r="C237" s="26" t="n">
        <v>-7.8470968</v>
      </c>
      <c r="D237" s="26" t="n">
        <v>112.5226348</v>
      </c>
      <c r="E237" s="21" t="n">
        <v>12000</v>
      </c>
      <c r="F237" s="27" t="n">
        <v>4.8</v>
      </c>
      <c r="G237" s="28" t="n">
        <v>26</v>
      </c>
      <c r="H237" s="14" t="inlineStr">
        <is>
          <t>Warung Mbok D'Jess</t>
        </is>
      </c>
      <c r="I237" s="29">
        <f>6371 * 2 * ASIN(SQRT(SIN(RADIANS((C237) - INDEX('Dataset_Wisata'!$C$12:$C$622, MATCH('Dashboard'!$C$9, 'Dataset_Wisata'!$A$12:$A$622, 0)))/2)^2 + COS(RADIANS(INDEX('Dataset_Wisata'!$C$12:$C$622, MATCH('Dashboard'!$C$9, 'Dataset_Wisata'!$A$12:$A$622, 0)))) * COS(RADIANS(C237)) * SIN(RADIANS((D237) - INDEX('Dataset_Wisata'!$D$12:$D$622, MATCH('Dashboard'!$C$9, 'Dataset_Wisata'!$A$12:$A$622, 0)))/2)^2)) * 1.3</f>
        <v/>
      </c>
      <c r="J237" s="21">
        <f>ROUND(I237 * IF('Dashboard'!$C$6&lt;=1, 2250, IF('Dashboard'!$C$6&lt;=4, 5150, 6000)), 0)</f>
        <v/>
      </c>
      <c r="K237" s="30" t="n">
        <v>0.9907459480940729</v>
      </c>
      <c r="L237" s="30" t="n">
        <v>0.008195110232283047</v>
      </c>
      <c r="M237" s="30" t="n">
        <v>0.001058941673643979</v>
      </c>
      <c r="N237" s="31">
        <f>ABS(E237-$F$6)</f>
        <v/>
      </c>
      <c r="O237" s="31">
        <f>ABS(E237-$F$7)</f>
        <v/>
      </c>
      <c r="P237" s="31">
        <f>ABS(E237-$F$8)</f>
        <v/>
      </c>
      <c r="Q237" s="14">
        <f>IF(K237&gt;=MAX(L237,M237), "Hemat", IF(L237&gt;=M237, "Balanced", "Premium"))</f>
        <v/>
      </c>
      <c r="R237" s="30" t="n">
        <v>0.9907459543354936</v>
      </c>
      <c r="S237" s="30" t="n">
        <v>0.008195104860105683</v>
      </c>
      <c r="T237" s="30" t="n">
        <v>0.0010589408044008</v>
      </c>
      <c r="U237" s="31">
        <f>ABS(E237-$G$6)</f>
        <v/>
      </c>
      <c r="V237" s="31">
        <f>ABS(E237-$G$7)</f>
        <v/>
      </c>
      <c r="W237" s="31">
        <f>ABS(E237-$G$8)</f>
        <v/>
      </c>
      <c r="X237" s="14">
        <f>IF(R237&gt;=MAX(S237,T237), "Hemat", IF(S237&gt;=T237, "Balanced", "Premium"))</f>
        <v/>
      </c>
    </row>
    <row r="238">
      <c r="A238" s="14" t="n">
        <v>227</v>
      </c>
      <c r="B238" s="7" t="inlineStr">
        <is>
          <t>Warung Jawa Sohibul Barokah</t>
        </is>
      </c>
      <c r="C238" s="26" t="n">
        <v>-7.8297165</v>
      </c>
      <c r="D238" s="26" t="n">
        <v>112.5295418</v>
      </c>
      <c r="E238" s="21" t="n">
        <v>15000</v>
      </c>
      <c r="F238" s="27" t="n">
        <v>4.5</v>
      </c>
      <c r="G238" s="28" t="n">
        <v>48</v>
      </c>
      <c r="H238" s="14" t="inlineStr">
        <is>
          <t>Warung Jawa Sohibul Barokah</t>
        </is>
      </c>
      <c r="I238" s="29">
        <f>6371 * 2 * ASIN(SQRT(SIN(RADIANS((C238) - INDEX('Dataset_Wisata'!$C$12:$C$622, MATCH('Dashboard'!$C$9, 'Dataset_Wisata'!$A$12:$A$622, 0)))/2)^2 + COS(RADIANS(INDEX('Dataset_Wisata'!$C$12:$C$622, MATCH('Dashboard'!$C$9, 'Dataset_Wisata'!$A$12:$A$622, 0)))) * COS(RADIANS(C238)) * SIN(RADIANS((D238) - INDEX('Dataset_Wisata'!$D$12:$D$622, MATCH('Dashboard'!$C$9, 'Dataset_Wisata'!$A$12:$A$622, 0)))/2)^2)) * 1.3</f>
        <v/>
      </c>
      <c r="J238" s="21">
        <f>ROUND(I238 * IF('Dashboard'!$C$6&lt;=1, 2250, IF('Dashboard'!$C$6&lt;=4, 5150, 6000)), 0)</f>
        <v/>
      </c>
      <c r="K238" s="30" t="n">
        <v>0.9686283169848018</v>
      </c>
      <c r="L238" s="30" t="n">
        <v>0.02872990537067274</v>
      </c>
      <c r="M238" s="30" t="n">
        <v>0.002641777644525457</v>
      </c>
      <c r="N238" s="31">
        <f>ABS(E238-$F$6)</f>
        <v/>
      </c>
      <c r="O238" s="31">
        <f>ABS(E238-$F$7)</f>
        <v/>
      </c>
      <c r="P238" s="31">
        <f>ABS(E238-$F$8)</f>
        <v/>
      </c>
      <c r="Q238" s="14">
        <f>IF(K238&gt;=MAX(L238,M238), "Hemat", IF(L238&gt;=M238, "Balanced", "Premium"))</f>
        <v/>
      </c>
      <c r="R238" s="30" t="n">
        <v>0.9686282798936615</v>
      </c>
      <c r="S238" s="30" t="n">
        <v>0.02872993996961344</v>
      </c>
      <c r="T238" s="30" t="n">
        <v>0.002641780136725144</v>
      </c>
      <c r="U238" s="31">
        <f>ABS(E238-$G$6)</f>
        <v/>
      </c>
      <c r="V238" s="31">
        <f>ABS(E238-$G$7)</f>
        <v/>
      </c>
      <c r="W238" s="31">
        <f>ABS(E238-$G$8)</f>
        <v/>
      </c>
      <c r="X238" s="14">
        <f>IF(R238&gt;=MAX(S238,T238), "Hemat", IF(S238&gt;=T238, "Balanced", "Premium"))</f>
        <v/>
      </c>
    </row>
    <row r="239">
      <c r="A239" s="14" t="n">
        <v>228</v>
      </c>
      <c r="B239" s="7" t="inlineStr">
        <is>
          <t>The painu Coffee and Eatery</t>
        </is>
      </c>
      <c r="C239" s="26" t="n">
        <v>-7.8022278</v>
      </c>
      <c r="D239" s="26" t="n">
        <v>112.5223421</v>
      </c>
      <c r="E239" s="21" t="n">
        <v>24200</v>
      </c>
      <c r="F239" s="27" t="n">
        <v>4.7</v>
      </c>
      <c r="G239" s="28" t="n">
        <v>263</v>
      </c>
      <c r="H239" s="14" t="inlineStr">
        <is>
          <t>Wisata Umum</t>
        </is>
      </c>
      <c r="I239" s="29">
        <f>6371 * 2 * ASIN(SQRT(SIN(RADIANS((C239) - INDEX('Dataset_Wisata'!$C$12:$C$622, MATCH('Dashboard'!$C$9, 'Dataset_Wisata'!$A$12:$A$622, 0)))/2)^2 + COS(RADIANS(INDEX('Dataset_Wisata'!$C$12:$C$622, MATCH('Dashboard'!$C$9, 'Dataset_Wisata'!$A$12:$A$622, 0)))) * COS(RADIANS(C239)) * SIN(RADIANS((D239) - INDEX('Dataset_Wisata'!$D$12:$D$622, MATCH('Dashboard'!$C$9, 'Dataset_Wisata'!$A$12:$A$622, 0)))/2)^2)) * 1.3</f>
        <v/>
      </c>
      <c r="J239" s="21">
        <f>ROUND(I239 * IF('Dashboard'!$C$6&lt;=1, 2250, IF('Dashboard'!$C$6&lt;=4, 5150, 6000)), 0)</f>
        <v/>
      </c>
      <c r="K239" s="30" t="n">
        <v>0.01105555906588788</v>
      </c>
      <c r="L239" s="30" t="n">
        <v>0.9868055338324146</v>
      </c>
      <c r="M239" s="30" t="n">
        <v>0.002138907101697528</v>
      </c>
      <c r="N239" s="31">
        <f>ABS(E239-$F$6)</f>
        <v/>
      </c>
      <c r="O239" s="31">
        <f>ABS(E239-$F$7)</f>
        <v/>
      </c>
      <c r="P239" s="31">
        <f>ABS(E239-$F$8)</f>
        <v/>
      </c>
      <c r="Q239" s="14">
        <f>IF(K239&gt;=MAX(L239,M239), "Hemat", IF(L239&gt;=M239, "Balanced", "Premium"))</f>
        <v/>
      </c>
      <c r="R239" s="30" t="n">
        <v>0.01105550738194824</v>
      </c>
      <c r="S239" s="30" t="n">
        <v>0.9868055945107493</v>
      </c>
      <c r="T239" s="30" t="n">
        <v>0.002138898107302401</v>
      </c>
      <c r="U239" s="31">
        <f>ABS(E239-$G$6)</f>
        <v/>
      </c>
      <c r="V239" s="31">
        <f>ABS(E239-$G$7)</f>
        <v/>
      </c>
      <c r="W239" s="31">
        <f>ABS(E239-$G$8)</f>
        <v/>
      </c>
      <c r="X239" s="14">
        <f>IF(R239&gt;=MAX(S239,T239), "Hemat", IF(S239&gt;=T239, "Balanced", "Premium"))</f>
        <v/>
      </c>
    </row>
    <row r="240">
      <c r="A240" s="14" t="n">
        <v>229</v>
      </c>
      <c r="B240" s="7" t="inlineStr">
        <is>
          <t>Warung Bu Wit Soto Daging</t>
        </is>
      </c>
      <c r="C240" s="26" t="n">
        <v>-7.8457338</v>
      </c>
      <c r="D240" s="26" t="n">
        <v>112.5231041</v>
      </c>
      <c r="E240" s="21" t="n">
        <v>16000</v>
      </c>
      <c r="F240" s="27" t="n">
        <v>4.6</v>
      </c>
      <c r="G240" s="28" t="n">
        <v>270</v>
      </c>
      <c r="H240" s="14" t="inlineStr">
        <is>
          <t>Warung Bu Wit Soto Daging</t>
        </is>
      </c>
      <c r="I240" s="29">
        <f>6371 * 2 * ASIN(SQRT(SIN(RADIANS((C240) - INDEX('Dataset_Wisata'!$C$12:$C$622, MATCH('Dashboard'!$C$9, 'Dataset_Wisata'!$A$12:$A$622, 0)))/2)^2 + COS(RADIANS(INDEX('Dataset_Wisata'!$C$12:$C$622, MATCH('Dashboard'!$C$9, 'Dataset_Wisata'!$A$12:$A$622, 0)))) * COS(RADIANS(C240)) * SIN(RADIANS((D240) - INDEX('Dataset_Wisata'!$D$12:$D$622, MATCH('Dashboard'!$C$9, 'Dataset_Wisata'!$A$12:$A$622, 0)))/2)^2)) * 1.3</f>
        <v/>
      </c>
      <c r="J240" s="21">
        <f>ROUND(I240 * IF('Dashboard'!$C$6&lt;=1, 2250, IF('Dashboard'!$C$6&lt;=4, 5150, 6000)), 0)</f>
        <v/>
      </c>
      <c r="K240" s="30" t="n">
        <v>0.9128193134184031</v>
      </c>
      <c r="L240" s="30" t="n">
        <v>0.08074863238868506</v>
      </c>
      <c r="M240" s="30" t="n">
        <v>0.006432054192912039</v>
      </c>
      <c r="N240" s="31">
        <f>ABS(E240-$F$6)</f>
        <v/>
      </c>
      <c r="O240" s="31">
        <f>ABS(E240-$F$7)</f>
        <v/>
      </c>
      <c r="P240" s="31">
        <f>ABS(E240-$F$8)</f>
        <v/>
      </c>
      <c r="Q240" s="14">
        <f>IF(K240&gt;=MAX(L240,M240), "Hemat", IF(L240&gt;=M240, "Balanced", "Premium"))</f>
        <v/>
      </c>
      <c r="R240" s="30" t="n">
        <v>0.9128192326410924</v>
      </c>
      <c r="S240" s="30" t="n">
        <v>0.08074870904423974</v>
      </c>
      <c r="T240" s="30" t="n">
        <v>0.006432058314667768</v>
      </c>
      <c r="U240" s="31">
        <f>ABS(E240-$G$6)</f>
        <v/>
      </c>
      <c r="V240" s="31">
        <f>ABS(E240-$G$7)</f>
        <v/>
      </c>
      <c r="W240" s="31">
        <f>ABS(E240-$G$8)</f>
        <v/>
      </c>
      <c r="X240" s="14">
        <f>IF(R240&gt;=MAX(S240,T240), "Hemat", IF(S240&gt;=T240, "Balanced", "Premium"))</f>
        <v/>
      </c>
    </row>
    <row r="241">
      <c r="A241" s="14" t="n">
        <v>230</v>
      </c>
      <c r="B241" s="7" t="inlineStr">
        <is>
          <t>Warung Biru Lesti</t>
        </is>
      </c>
      <c r="C241" s="26" t="n">
        <v>-7.8659723</v>
      </c>
      <c r="D241" s="26" t="n">
        <v>112.5211638</v>
      </c>
      <c r="E241" s="21" t="n">
        <v>15000</v>
      </c>
      <c r="F241" s="27" t="n">
        <v>4.8</v>
      </c>
      <c r="G241" s="28" t="n">
        <v>121</v>
      </c>
      <c r="H241" s="14" t="inlineStr">
        <is>
          <t>Warung Biru Lesti</t>
        </is>
      </c>
      <c r="I241" s="29">
        <f>6371 * 2 * ASIN(SQRT(SIN(RADIANS((C241) - INDEX('Dataset_Wisata'!$C$12:$C$622, MATCH('Dashboard'!$C$9, 'Dataset_Wisata'!$A$12:$A$622, 0)))/2)^2 + COS(RADIANS(INDEX('Dataset_Wisata'!$C$12:$C$622, MATCH('Dashboard'!$C$9, 'Dataset_Wisata'!$A$12:$A$622, 0)))) * COS(RADIANS(C241)) * SIN(RADIANS((D241) - INDEX('Dataset_Wisata'!$D$12:$D$622, MATCH('Dashboard'!$C$9, 'Dataset_Wisata'!$A$12:$A$622, 0)))/2)^2)) * 1.3</f>
        <v/>
      </c>
      <c r="J241" s="21">
        <f>ROUND(I241 * IF('Dashboard'!$C$6&lt;=1, 2250, IF('Dashboard'!$C$6&lt;=4, 5150, 6000)), 0)</f>
        <v/>
      </c>
      <c r="K241" s="30" t="n">
        <v>0.9686283169848018</v>
      </c>
      <c r="L241" s="30" t="n">
        <v>0.02872990537067274</v>
      </c>
      <c r="M241" s="30" t="n">
        <v>0.002641777644525457</v>
      </c>
      <c r="N241" s="31">
        <f>ABS(E241-$F$6)</f>
        <v/>
      </c>
      <c r="O241" s="31">
        <f>ABS(E241-$F$7)</f>
        <v/>
      </c>
      <c r="P241" s="31">
        <f>ABS(E241-$F$8)</f>
        <v/>
      </c>
      <c r="Q241" s="14">
        <f>IF(K241&gt;=MAX(L241,M241), "Hemat", IF(L241&gt;=M241, "Balanced", "Premium"))</f>
        <v/>
      </c>
      <c r="R241" s="30" t="n">
        <v>0.9686282798936615</v>
      </c>
      <c r="S241" s="30" t="n">
        <v>0.02872993996961344</v>
      </c>
      <c r="T241" s="30" t="n">
        <v>0.002641780136725144</v>
      </c>
      <c r="U241" s="31">
        <f>ABS(E241-$G$6)</f>
        <v/>
      </c>
      <c r="V241" s="31">
        <f>ABS(E241-$G$7)</f>
        <v/>
      </c>
      <c r="W241" s="31">
        <f>ABS(E241-$G$8)</f>
        <v/>
      </c>
      <c r="X241" s="14">
        <f>IF(R241&gt;=MAX(S241,T241), "Hemat", IF(S241&gt;=T241, "Balanced", "Premium"))</f>
        <v/>
      </c>
    </row>
    <row r="242">
      <c r="A242" s="14" t="n">
        <v>231</v>
      </c>
      <c r="B242" s="7" t="inlineStr">
        <is>
          <t>Sitangsu Cafe</t>
        </is>
      </c>
      <c r="C242" s="26" t="n">
        <v>-7.8412278</v>
      </c>
      <c r="D242" s="26" t="n">
        <v>112.527924</v>
      </c>
      <c r="E242" s="21" t="n">
        <v>27000</v>
      </c>
      <c r="F242" s="27" t="n">
        <v>4.5</v>
      </c>
      <c r="G242" s="28" t="n">
        <v>276</v>
      </c>
      <c r="H242" s="14" t="inlineStr">
        <is>
          <t>Wisata Umum</t>
        </is>
      </c>
      <c r="I242" s="29">
        <f>6371 * 2 * ASIN(SQRT(SIN(RADIANS((C242) - INDEX('Dataset_Wisata'!$C$12:$C$622, MATCH('Dashboard'!$C$9, 'Dataset_Wisata'!$A$12:$A$622, 0)))/2)^2 + COS(RADIANS(INDEX('Dataset_Wisata'!$C$12:$C$622, MATCH('Dashboard'!$C$9, 'Dataset_Wisata'!$A$12:$A$622, 0)))) * COS(RADIANS(C242)) * SIN(RADIANS((D242) - INDEX('Dataset_Wisata'!$D$12:$D$622, MATCH('Dashboard'!$C$9, 'Dataset_Wisata'!$A$12:$A$622, 0)))/2)^2)) * 1.3</f>
        <v/>
      </c>
      <c r="J242" s="21">
        <f>ROUND(I242 * IF('Dashboard'!$C$6&lt;=1, 2250, IF('Dashboard'!$C$6&lt;=4, 5150, 6000)), 0)</f>
        <v/>
      </c>
      <c r="K242" s="30" t="n">
        <v>0.01383751047280994</v>
      </c>
      <c r="L242" s="30" t="n">
        <v>0.9808146618379113</v>
      </c>
      <c r="M242" s="30" t="n">
        <v>0.00534782768927864</v>
      </c>
      <c r="N242" s="31">
        <f>ABS(E242-$F$6)</f>
        <v/>
      </c>
      <c r="O242" s="31">
        <f>ABS(E242-$F$7)</f>
        <v/>
      </c>
      <c r="P242" s="31">
        <f>ABS(E242-$F$8)</f>
        <v/>
      </c>
      <c r="Q242" s="14">
        <f>IF(K242&gt;=MAX(L242,M242), "Hemat", IF(L242&gt;=M242, "Balanced", "Premium"))</f>
        <v/>
      </c>
      <c r="R242" s="30" t="n">
        <v>0.01383755367788298</v>
      </c>
      <c r="S242" s="30" t="n">
        <v>0.9808145993129077</v>
      </c>
      <c r="T242" s="30" t="n">
        <v>0.005347847009209265</v>
      </c>
      <c r="U242" s="31">
        <f>ABS(E242-$G$6)</f>
        <v/>
      </c>
      <c r="V242" s="31">
        <f>ABS(E242-$G$7)</f>
        <v/>
      </c>
      <c r="W242" s="31">
        <f>ABS(E242-$G$8)</f>
        <v/>
      </c>
      <c r="X242" s="14">
        <f>IF(R242&gt;=MAX(S242,T242), "Hemat", IF(S242&gt;=T242, "Balanced", "Premium"))</f>
        <v/>
      </c>
    </row>
    <row r="243">
      <c r="A243" s="14" t="n">
        <v>232</v>
      </c>
      <c r="B243" s="7" t="inlineStr">
        <is>
          <t>Warung Mak Jum</t>
        </is>
      </c>
      <c r="C243" s="26" t="n">
        <v>-7.837077</v>
      </c>
      <c r="D243" s="26" t="n">
        <v>112.534156</v>
      </c>
      <c r="E243" s="21" t="n">
        <v>13000</v>
      </c>
      <c r="F243" s="27" t="n">
        <v>4.4</v>
      </c>
      <c r="G243" s="28" t="n">
        <v>28</v>
      </c>
      <c r="H243" s="14" t="inlineStr">
        <is>
          <t>Warung Mak Jum</t>
        </is>
      </c>
      <c r="I243" s="29">
        <f>6371 * 2 * ASIN(SQRT(SIN(RADIANS((C243) - INDEX('Dataset_Wisata'!$C$12:$C$622, MATCH('Dashboard'!$C$9, 'Dataset_Wisata'!$A$12:$A$622, 0)))/2)^2 + COS(RADIANS(INDEX('Dataset_Wisata'!$C$12:$C$622, MATCH('Dashboard'!$C$9, 'Dataset_Wisata'!$A$12:$A$622, 0)))) * COS(RADIANS(C243)) * SIN(RADIANS((D243) - INDEX('Dataset_Wisata'!$D$12:$D$622, MATCH('Dashboard'!$C$9, 'Dataset_Wisata'!$A$12:$A$622, 0)))/2)^2)) * 1.3</f>
        <v/>
      </c>
      <c r="J243" s="21">
        <f>ROUND(I243 * IF('Dashboard'!$C$6&lt;=1, 2250, IF('Dashboard'!$C$6&lt;=4, 5150, 6000)), 0)</f>
        <v/>
      </c>
      <c r="K243" s="30" t="n">
        <v>0.9996613401455278</v>
      </c>
      <c r="L243" s="30" t="n">
        <v>0.0003032413982241428</v>
      </c>
      <c r="M243" s="30" t="n">
        <v>3.541845624800055e-05</v>
      </c>
      <c r="N243" s="31">
        <f>ABS(E243-$F$6)</f>
        <v/>
      </c>
      <c r="O243" s="31">
        <f>ABS(E243-$F$7)</f>
        <v/>
      </c>
      <c r="P243" s="31">
        <f>ABS(E243-$F$8)</f>
        <v/>
      </c>
      <c r="Q243" s="14">
        <f>IF(K243&gt;=MAX(L243,M243), "Hemat", IF(L243&gt;=M243, "Balanced", "Premium"))</f>
        <v/>
      </c>
      <c r="R243" s="30" t="n">
        <v>0.9996613420378273</v>
      </c>
      <c r="S243" s="30" t="n">
        <v>0.0003032397098959421</v>
      </c>
      <c r="T243" s="30" t="n">
        <v>3.541825227674828e-05</v>
      </c>
      <c r="U243" s="31">
        <f>ABS(E243-$G$6)</f>
        <v/>
      </c>
      <c r="V243" s="31">
        <f>ABS(E243-$G$7)</f>
        <v/>
      </c>
      <c r="W243" s="31">
        <f>ABS(E243-$G$8)</f>
        <v/>
      </c>
      <c r="X243" s="14">
        <f>IF(R243&gt;=MAX(S243,T243), "Hemat", IF(S243&gt;=T243, "Balanced", "Premium"))</f>
        <v/>
      </c>
    </row>
    <row r="244">
      <c r="A244" s="14" t="n">
        <v>233</v>
      </c>
      <c r="B244" s="7" t="inlineStr">
        <is>
          <t>Warung Berkah</t>
        </is>
      </c>
      <c r="C244" s="26" t="n">
        <v>-7.8473204</v>
      </c>
      <c r="D244" s="26" t="n">
        <v>112.5226064</v>
      </c>
      <c r="E244" s="21" t="n">
        <v>15000</v>
      </c>
      <c r="F244" s="27" t="n">
        <v>4.5</v>
      </c>
      <c r="G244" s="28" t="n">
        <v>85</v>
      </c>
      <c r="H244" s="14" t="inlineStr">
        <is>
          <t>Warung Berkah</t>
        </is>
      </c>
      <c r="I244" s="29">
        <f>6371 * 2 * ASIN(SQRT(SIN(RADIANS((C244) - INDEX('Dataset_Wisata'!$C$12:$C$622, MATCH('Dashboard'!$C$9, 'Dataset_Wisata'!$A$12:$A$622, 0)))/2)^2 + COS(RADIANS(INDEX('Dataset_Wisata'!$C$12:$C$622, MATCH('Dashboard'!$C$9, 'Dataset_Wisata'!$A$12:$A$622, 0)))) * COS(RADIANS(C244)) * SIN(RADIANS((D244) - INDEX('Dataset_Wisata'!$D$12:$D$622, MATCH('Dashboard'!$C$9, 'Dataset_Wisata'!$A$12:$A$622, 0)))/2)^2)) * 1.3</f>
        <v/>
      </c>
      <c r="J244" s="21">
        <f>ROUND(I244 * IF('Dashboard'!$C$6&lt;=1, 2250, IF('Dashboard'!$C$6&lt;=4, 5150, 6000)), 0)</f>
        <v/>
      </c>
      <c r="K244" s="30" t="n">
        <v>0.9686283169848018</v>
      </c>
      <c r="L244" s="30" t="n">
        <v>0.02872990537067274</v>
      </c>
      <c r="M244" s="30" t="n">
        <v>0.002641777644525457</v>
      </c>
      <c r="N244" s="31">
        <f>ABS(E244-$F$6)</f>
        <v/>
      </c>
      <c r="O244" s="31">
        <f>ABS(E244-$F$7)</f>
        <v/>
      </c>
      <c r="P244" s="31">
        <f>ABS(E244-$F$8)</f>
        <v/>
      </c>
      <c r="Q244" s="14">
        <f>IF(K244&gt;=MAX(L244,M244), "Hemat", IF(L244&gt;=M244, "Balanced", "Premium"))</f>
        <v/>
      </c>
      <c r="R244" s="30" t="n">
        <v>0.9686282798936615</v>
      </c>
      <c r="S244" s="30" t="n">
        <v>0.02872993996961344</v>
      </c>
      <c r="T244" s="30" t="n">
        <v>0.002641780136725144</v>
      </c>
      <c r="U244" s="31">
        <f>ABS(E244-$G$6)</f>
        <v/>
      </c>
      <c r="V244" s="31">
        <f>ABS(E244-$G$7)</f>
        <v/>
      </c>
      <c r="W244" s="31">
        <f>ABS(E244-$G$8)</f>
        <v/>
      </c>
      <c r="X244" s="14">
        <f>IF(R244&gt;=MAX(S244,T244), "Hemat", IF(S244&gt;=T244, "Balanced", "Premium"))</f>
        <v/>
      </c>
    </row>
    <row r="245">
      <c r="A245" s="14" t="n">
        <v>234</v>
      </c>
      <c r="B245" s="7" t="inlineStr">
        <is>
          <t>Warung Djitoe</t>
        </is>
      </c>
      <c r="C245" s="26" t="n">
        <v>-7.8579114</v>
      </c>
      <c r="D245" s="26" t="n">
        <v>112.5376991</v>
      </c>
      <c r="E245" s="21" t="n">
        <v>27000</v>
      </c>
      <c r="F245" s="27" t="n">
        <v>4.8</v>
      </c>
      <c r="G245" s="28" t="n">
        <v>23</v>
      </c>
      <c r="H245" s="14" t="inlineStr">
        <is>
          <t>Warung Djitoe</t>
        </is>
      </c>
      <c r="I245" s="29">
        <f>6371 * 2 * ASIN(SQRT(SIN(RADIANS((C245) - INDEX('Dataset_Wisata'!$C$12:$C$622, MATCH('Dashboard'!$C$9, 'Dataset_Wisata'!$A$12:$A$622, 0)))/2)^2 + COS(RADIANS(INDEX('Dataset_Wisata'!$C$12:$C$622, MATCH('Dashboard'!$C$9, 'Dataset_Wisata'!$A$12:$A$622, 0)))) * COS(RADIANS(C245)) * SIN(RADIANS((D245) - INDEX('Dataset_Wisata'!$D$12:$D$622, MATCH('Dashboard'!$C$9, 'Dataset_Wisata'!$A$12:$A$622, 0)))/2)^2)) * 1.3</f>
        <v/>
      </c>
      <c r="J245" s="21">
        <f>ROUND(I245 * IF('Dashboard'!$C$6&lt;=1, 2250, IF('Dashboard'!$C$6&lt;=4, 5150, 6000)), 0)</f>
        <v/>
      </c>
      <c r="K245" s="30" t="n">
        <v>0.01383751047280994</v>
      </c>
      <c r="L245" s="30" t="n">
        <v>0.9808146618379113</v>
      </c>
      <c r="M245" s="30" t="n">
        <v>0.00534782768927864</v>
      </c>
      <c r="N245" s="31">
        <f>ABS(E245-$F$6)</f>
        <v/>
      </c>
      <c r="O245" s="31">
        <f>ABS(E245-$F$7)</f>
        <v/>
      </c>
      <c r="P245" s="31">
        <f>ABS(E245-$F$8)</f>
        <v/>
      </c>
      <c r="Q245" s="14">
        <f>IF(K245&gt;=MAX(L245,M245), "Hemat", IF(L245&gt;=M245, "Balanced", "Premium"))</f>
        <v/>
      </c>
      <c r="R245" s="30" t="n">
        <v>0.01383755367788298</v>
      </c>
      <c r="S245" s="30" t="n">
        <v>0.9808145993129077</v>
      </c>
      <c r="T245" s="30" t="n">
        <v>0.005347847009209265</v>
      </c>
      <c r="U245" s="31">
        <f>ABS(E245-$G$6)</f>
        <v/>
      </c>
      <c r="V245" s="31">
        <f>ABS(E245-$G$7)</f>
        <v/>
      </c>
      <c r="W245" s="31">
        <f>ABS(E245-$G$8)</f>
        <v/>
      </c>
      <c r="X245" s="14">
        <f>IF(R245&gt;=MAX(S245,T245), "Hemat", IF(S245&gt;=T245, "Balanced", "Premium"))</f>
        <v/>
      </c>
    </row>
    <row r="246">
      <c r="A246" s="14" t="n">
        <v>235</v>
      </c>
      <c r="B246" s="7" t="inlineStr">
        <is>
          <t>Susy Catering</t>
        </is>
      </c>
      <c r="C246" s="26" t="n">
        <v>-7.8408927</v>
      </c>
      <c r="D246" s="26" t="n">
        <v>112.5301665</v>
      </c>
      <c r="E246" s="21" t="n">
        <v>22500</v>
      </c>
      <c r="F246" s="27" t="n">
        <v>4.9</v>
      </c>
      <c r="G246" s="28" t="n">
        <v>61</v>
      </c>
      <c r="H246" s="14" t="inlineStr">
        <is>
          <t>Wisata Umum</t>
        </is>
      </c>
      <c r="I246" s="29">
        <f>6371 * 2 * ASIN(SQRT(SIN(RADIANS((C246) - INDEX('Dataset_Wisata'!$C$12:$C$622, MATCH('Dashboard'!$C$9, 'Dataset_Wisata'!$A$12:$A$622, 0)))/2)^2 + COS(RADIANS(INDEX('Dataset_Wisata'!$C$12:$C$622, MATCH('Dashboard'!$C$9, 'Dataset_Wisata'!$A$12:$A$622, 0)))) * COS(RADIANS(C246)) * SIN(RADIANS((D246) - INDEX('Dataset_Wisata'!$D$12:$D$622, MATCH('Dashboard'!$C$9, 'Dataset_Wisata'!$A$12:$A$622, 0)))/2)^2)) * 1.3</f>
        <v/>
      </c>
      <c r="J246" s="21">
        <f>ROUND(I246 * IF('Dashboard'!$C$6&lt;=1, 2250, IF('Dashboard'!$C$6&lt;=4, 5150, 6000)), 0)</f>
        <v/>
      </c>
      <c r="K246" s="30" t="n">
        <v>0.08590721818578816</v>
      </c>
      <c r="L246" s="30" t="n">
        <v>0.9036840196741893</v>
      </c>
      <c r="M246" s="30" t="n">
        <v>0.01040876214002235</v>
      </c>
      <c r="N246" s="31">
        <f>ABS(E246-$F$6)</f>
        <v/>
      </c>
      <c r="O246" s="31">
        <f>ABS(E246-$F$7)</f>
        <v/>
      </c>
      <c r="P246" s="31">
        <f>ABS(E246-$F$8)</f>
        <v/>
      </c>
      <c r="Q246" s="14">
        <f>IF(K246&gt;=MAX(L246,M246), "Hemat", IF(L246&gt;=M246, "Balanced", "Premium"))</f>
        <v/>
      </c>
      <c r="R246" s="30" t="n">
        <v>0.08590706132500794</v>
      </c>
      <c r="S246" s="30" t="n">
        <v>0.9036841906599963</v>
      </c>
      <c r="T246" s="30" t="n">
        <v>0.01040874801499566</v>
      </c>
      <c r="U246" s="31">
        <f>ABS(E246-$G$6)</f>
        <v/>
      </c>
      <c r="V246" s="31">
        <f>ABS(E246-$G$7)</f>
        <v/>
      </c>
      <c r="W246" s="31">
        <f>ABS(E246-$G$8)</f>
        <v/>
      </c>
      <c r="X246" s="14">
        <f>IF(R246&gt;=MAX(S246,T246), "Hemat", IF(S246&gt;=T246, "Balanced", "Premium"))</f>
        <v/>
      </c>
    </row>
    <row r="247">
      <c r="A247" s="14" t="n">
        <v>236</v>
      </c>
      <c r="B247" s="7" t="inlineStr">
        <is>
          <t>Warung Bu Ngawe</t>
        </is>
      </c>
      <c r="C247" s="26" t="n">
        <v>-7.8363457</v>
      </c>
      <c r="D247" s="26" t="n">
        <v>112.5273325</v>
      </c>
      <c r="E247" s="21" t="n">
        <v>10500</v>
      </c>
      <c r="F247" s="27" t="n">
        <v>4.8</v>
      </c>
      <c r="G247" s="28" t="n">
        <v>21</v>
      </c>
      <c r="H247" s="14" t="inlineStr">
        <is>
          <t>Warung Bu Ngawe</t>
        </is>
      </c>
      <c r="I247" s="29">
        <f>6371 * 2 * ASIN(SQRT(SIN(RADIANS((C247) - INDEX('Dataset_Wisata'!$C$12:$C$622, MATCH('Dashboard'!$C$9, 'Dataset_Wisata'!$A$12:$A$622, 0)))/2)^2 + COS(RADIANS(INDEX('Dataset_Wisata'!$C$12:$C$622, MATCH('Dashboard'!$C$9, 'Dataset_Wisata'!$A$12:$A$622, 0)))) * COS(RADIANS(C247)) * SIN(RADIANS((D247) - INDEX('Dataset_Wisata'!$D$12:$D$622, MATCH('Dashboard'!$C$9, 'Dataset_Wisata'!$A$12:$A$622, 0)))/2)^2)) * 1.3</f>
        <v/>
      </c>
      <c r="J247" s="21">
        <f>ROUND(I247 * IF('Dashboard'!$C$6&lt;=1, 2250, IF('Dashboard'!$C$6&lt;=4, 5150, 6000)), 0)</f>
        <v/>
      </c>
      <c r="K247" s="30" t="n">
        <v>0.9631066912928858</v>
      </c>
      <c r="L247" s="30" t="n">
        <v>0.0321455821344861</v>
      </c>
      <c r="M247" s="30" t="n">
        <v>0.004747726572627954</v>
      </c>
      <c r="N247" s="31">
        <f>ABS(E247-$F$6)</f>
        <v/>
      </c>
      <c r="O247" s="31">
        <f>ABS(E247-$F$7)</f>
        <v/>
      </c>
      <c r="P247" s="31">
        <f>ABS(E247-$F$8)</f>
        <v/>
      </c>
      <c r="Q247" s="14">
        <f>IF(K247&gt;=MAX(L247,M247), "Hemat", IF(L247&gt;=M247, "Balanced", "Premium"))</f>
        <v/>
      </c>
      <c r="R247" s="30" t="n">
        <v>0.963106695983622</v>
      </c>
      <c r="S247" s="30" t="n">
        <v>0.03214557860147575</v>
      </c>
      <c r="T247" s="30" t="n">
        <v>0.004747725414902122</v>
      </c>
      <c r="U247" s="31">
        <f>ABS(E247-$G$6)</f>
        <v/>
      </c>
      <c r="V247" s="31">
        <f>ABS(E247-$G$7)</f>
        <v/>
      </c>
      <c r="W247" s="31">
        <f>ABS(E247-$G$8)</f>
        <v/>
      </c>
      <c r="X247" s="14">
        <f>IF(R247&gt;=MAX(S247,T247), "Hemat", IF(S247&gt;=T247, "Balanced", "Premium"))</f>
        <v/>
      </c>
    </row>
    <row r="248">
      <c r="A248" s="14" t="n">
        <v>237</v>
      </c>
      <c r="B248" s="7" t="inlineStr">
        <is>
          <t>Warung Buk Sum</t>
        </is>
      </c>
      <c r="C248" s="26" t="n">
        <v>-7.7786119</v>
      </c>
      <c r="D248" s="26" t="n">
        <v>112.5270735</v>
      </c>
      <c r="E248" s="21" t="n">
        <v>5500</v>
      </c>
      <c r="F248" s="27" t="n">
        <v>4.7</v>
      </c>
      <c r="G248" s="28" t="n">
        <v>128</v>
      </c>
      <c r="H248" s="14" t="inlineStr">
        <is>
          <t>Warung Buk Sum</t>
        </is>
      </c>
      <c r="I248" s="29">
        <f>6371 * 2 * ASIN(SQRT(SIN(RADIANS((C248) - INDEX('Dataset_Wisata'!$C$12:$C$622, MATCH('Dashboard'!$C$9, 'Dataset_Wisata'!$A$12:$A$622, 0)))/2)^2 + COS(RADIANS(INDEX('Dataset_Wisata'!$C$12:$C$622, MATCH('Dashboard'!$C$9, 'Dataset_Wisata'!$A$12:$A$622, 0)))) * COS(RADIANS(C248)) * SIN(RADIANS((D248) - INDEX('Dataset_Wisata'!$D$12:$D$622, MATCH('Dashboard'!$C$9, 'Dataset_Wisata'!$A$12:$A$622, 0)))/2)^2)) * 1.3</f>
        <v/>
      </c>
      <c r="J248" s="21">
        <f>ROUND(I248 * IF('Dashboard'!$C$6&lt;=1, 2250, IF('Dashboard'!$C$6&lt;=4, 5150, 6000)), 0)</f>
        <v/>
      </c>
      <c r="K248" s="30" t="n">
        <v>0.8459605332993823</v>
      </c>
      <c r="L248" s="30" t="n">
        <v>0.127638552571864</v>
      </c>
      <c r="M248" s="30" t="n">
        <v>0.02640091412875367</v>
      </c>
      <c r="N248" s="31">
        <f>ABS(E248-$F$6)</f>
        <v/>
      </c>
      <c r="O248" s="31">
        <f>ABS(E248-$F$7)</f>
        <v/>
      </c>
      <c r="P248" s="31">
        <f>ABS(E248-$F$8)</f>
        <v/>
      </c>
      <c r="Q248" s="14">
        <f>IF(K248&gt;=MAX(L248,M248), "Hemat", IF(L248&gt;=M248, "Balanced", "Premium"))</f>
        <v/>
      </c>
      <c r="R248" s="30" t="n">
        <v>0.845960521443913</v>
      </c>
      <c r="S248" s="30" t="n">
        <v>0.1276385639052893</v>
      </c>
      <c r="T248" s="30" t="n">
        <v>0.02640091465079772</v>
      </c>
      <c r="U248" s="31">
        <f>ABS(E248-$G$6)</f>
        <v/>
      </c>
      <c r="V248" s="31">
        <f>ABS(E248-$G$7)</f>
        <v/>
      </c>
      <c r="W248" s="31">
        <f>ABS(E248-$G$8)</f>
        <v/>
      </c>
      <c r="X248" s="14">
        <f>IF(R248&gt;=MAX(S248,T248), "Hemat", IF(S248&gt;=T248, "Balanced", "Premium"))</f>
        <v/>
      </c>
    </row>
    <row r="249">
      <c r="A249" s="14" t="n">
        <v>238</v>
      </c>
      <c r="B249" s="7" t="inlineStr">
        <is>
          <t>Warung Taker Wareg</t>
        </is>
      </c>
      <c r="C249" s="26" t="n">
        <v>-7.8204058</v>
      </c>
      <c r="D249" s="26" t="n">
        <v>112.5240965</v>
      </c>
      <c r="E249" s="21" t="n">
        <v>12750</v>
      </c>
      <c r="F249" s="27" t="n">
        <v>4.8</v>
      </c>
      <c r="G249" s="28" t="n">
        <v>128</v>
      </c>
      <c r="H249" s="14" t="inlineStr">
        <is>
          <t>Warung Taker Wareg</t>
        </is>
      </c>
      <c r="I249" s="29">
        <f>6371 * 2 * ASIN(SQRT(SIN(RADIANS((C249) - INDEX('Dataset_Wisata'!$C$12:$C$622, MATCH('Dashboard'!$C$9, 'Dataset_Wisata'!$A$12:$A$622, 0)))/2)^2 + COS(RADIANS(INDEX('Dataset_Wisata'!$C$12:$C$622, MATCH('Dashboard'!$C$9, 'Dataset_Wisata'!$A$12:$A$622, 0)))) * COS(RADIANS(C249)) * SIN(RADIANS((D249) - INDEX('Dataset_Wisata'!$D$12:$D$622, MATCH('Dashboard'!$C$9, 'Dataset_Wisata'!$A$12:$A$622, 0)))/2)^2)) * 1.3</f>
        <v/>
      </c>
      <c r="J249" s="21">
        <f>ROUND(I249 * IF('Dashboard'!$C$6&lt;=1, 2250, IF('Dashboard'!$C$6&lt;=4, 5150, 6000)), 0)</f>
        <v/>
      </c>
      <c r="K249" s="30" t="n">
        <v>0.9984780312513258</v>
      </c>
      <c r="L249" s="30" t="n">
        <v>0.001359012232955983</v>
      </c>
      <c r="M249" s="30" t="n">
        <v>0.0001629565157181438</v>
      </c>
      <c r="N249" s="31">
        <f>ABS(E249-$F$6)</f>
        <v/>
      </c>
      <c r="O249" s="31">
        <f>ABS(E249-$F$7)</f>
        <v/>
      </c>
      <c r="P249" s="31">
        <f>ABS(E249-$F$8)</f>
        <v/>
      </c>
      <c r="Q249" s="14">
        <f>IF(K249&gt;=MAX(L249,M249), "Hemat", IF(L249&gt;=M249, "Balanced", "Premium"))</f>
        <v/>
      </c>
      <c r="R249" s="30" t="n">
        <v>0.9984780348561881</v>
      </c>
      <c r="S249" s="30" t="n">
        <v>0.001359009040889505</v>
      </c>
      <c r="T249" s="30" t="n">
        <v>0.0001629561029223299</v>
      </c>
      <c r="U249" s="31">
        <f>ABS(E249-$G$6)</f>
        <v/>
      </c>
      <c r="V249" s="31">
        <f>ABS(E249-$G$7)</f>
        <v/>
      </c>
      <c r="W249" s="31">
        <f>ABS(E249-$G$8)</f>
        <v/>
      </c>
      <c r="X249" s="14">
        <f>IF(R249&gt;=MAX(S249,T249), "Hemat", IF(S249&gt;=T249, "Balanced", "Premium"))</f>
        <v/>
      </c>
    </row>
    <row r="250">
      <c r="A250" s="14" t="n">
        <v>239</v>
      </c>
      <c r="B250" s="7" t="inlineStr">
        <is>
          <t>Ayam laos</t>
        </is>
      </c>
      <c r="C250" s="26" t="n">
        <v>-7.8352211</v>
      </c>
      <c r="D250" s="26" t="n">
        <v>112.5264486</v>
      </c>
      <c r="E250" s="21" t="n">
        <v>14800</v>
      </c>
      <c r="F250" s="27" t="n">
        <v>4.5</v>
      </c>
      <c r="G250" s="28" t="n">
        <v>135</v>
      </c>
      <c r="H250" s="14" t="inlineStr">
        <is>
          <t>Wisata Umum</t>
        </is>
      </c>
      <c r="I250" s="29">
        <f>6371 * 2 * ASIN(SQRT(SIN(RADIANS((C250) - INDEX('Dataset_Wisata'!$C$12:$C$622, MATCH('Dashboard'!$C$9, 'Dataset_Wisata'!$A$12:$A$622, 0)))/2)^2 + COS(RADIANS(INDEX('Dataset_Wisata'!$C$12:$C$622, MATCH('Dashboard'!$C$9, 'Dataset_Wisata'!$A$12:$A$622, 0)))) * COS(RADIANS(C250)) * SIN(RADIANS((D250) - INDEX('Dataset_Wisata'!$D$12:$D$622, MATCH('Dashboard'!$C$9, 'Dataset_Wisata'!$A$12:$A$622, 0)))/2)^2)) * 1.3</f>
        <v/>
      </c>
      <c r="J250" s="21">
        <f>ROUND(I250 * IF('Dashboard'!$C$6&lt;=1, 2250, IF('Dashboard'!$C$6&lt;=4, 5150, 6000)), 0)</f>
        <v/>
      </c>
      <c r="K250" s="30" t="n">
        <v>0.9759589196183297</v>
      </c>
      <c r="L250" s="30" t="n">
        <v>0.02196681354396934</v>
      </c>
      <c r="M250" s="30" t="n">
        <v>0.002074266837700916</v>
      </c>
      <c r="N250" s="31">
        <f>ABS(E250-$F$6)</f>
        <v/>
      </c>
      <c r="O250" s="31">
        <f>ABS(E250-$F$7)</f>
        <v/>
      </c>
      <c r="P250" s="31">
        <f>ABS(E250-$F$8)</f>
        <v/>
      </c>
      <c r="Q250" s="14">
        <f>IF(K250&gt;=MAX(L250,M250), "Hemat", IF(L250&gt;=M250, "Balanced", "Premium"))</f>
        <v/>
      </c>
      <c r="R250" s="30" t="n">
        <v>0.9759588890602178</v>
      </c>
      <c r="S250" s="30" t="n">
        <v>0.02196684194425466</v>
      </c>
      <c r="T250" s="30" t="n">
        <v>0.002074268995527648</v>
      </c>
      <c r="U250" s="31">
        <f>ABS(E250-$G$6)</f>
        <v/>
      </c>
      <c r="V250" s="31">
        <f>ABS(E250-$G$7)</f>
        <v/>
      </c>
      <c r="W250" s="31">
        <f>ABS(E250-$G$8)</f>
        <v/>
      </c>
      <c r="X250" s="14">
        <f>IF(R250&gt;=MAX(S250,T250), "Hemat", IF(S250&gt;=T250, "Balanced", "Premium"))</f>
        <v/>
      </c>
    </row>
    <row r="251">
      <c r="A251" s="14" t="n">
        <v>240</v>
      </c>
      <c r="B251" s="7" t="inlineStr">
        <is>
          <t>d'jebrax Cafe &amp; Warung</t>
        </is>
      </c>
      <c r="C251" s="26" t="n">
        <v>-7.8096052</v>
      </c>
      <c r="D251" s="26" t="n">
        <v>112.5278464</v>
      </c>
      <c r="E251" s="21" t="n">
        <v>22000</v>
      </c>
      <c r="F251" s="27" t="n">
        <v>4.6</v>
      </c>
      <c r="G251" s="28" t="n">
        <v>146</v>
      </c>
      <c r="H251" s="14" t="inlineStr">
        <is>
          <t>d'jebrax Cafe &amp; Warung</t>
        </is>
      </c>
      <c r="I251" s="29">
        <f>6371 * 2 * ASIN(SQRT(SIN(RADIANS((C251) - INDEX('Dataset_Wisata'!$C$12:$C$622, MATCH('Dashboard'!$C$9, 'Dataset_Wisata'!$A$12:$A$622, 0)))/2)^2 + COS(RADIANS(INDEX('Dataset_Wisata'!$C$12:$C$622, MATCH('Dashboard'!$C$9, 'Dataset_Wisata'!$A$12:$A$622, 0)))) * COS(RADIANS(C251)) * SIN(RADIANS((D251) - INDEX('Dataset_Wisata'!$D$12:$D$622, MATCH('Dashboard'!$C$9, 'Dataset_Wisata'!$A$12:$A$622, 0)))/2)^2)) * 1.3</f>
        <v/>
      </c>
      <c r="J251" s="21">
        <f>ROUND(I251 * IF('Dashboard'!$C$6&lt;=1, 2250, IF('Dashboard'!$C$6&lt;=4, 5150, 6000)), 0)</f>
        <v/>
      </c>
      <c r="K251" s="30" t="n">
        <v>0.1261169361072687</v>
      </c>
      <c r="L251" s="30" t="n">
        <v>0.8607026272442547</v>
      </c>
      <c r="M251" s="30" t="n">
        <v>0.01318043664847662</v>
      </c>
      <c r="N251" s="31">
        <f>ABS(E251-$F$6)</f>
        <v/>
      </c>
      <c r="O251" s="31">
        <f>ABS(E251-$F$7)</f>
        <v/>
      </c>
      <c r="P251" s="31">
        <f>ABS(E251-$F$8)</f>
        <v/>
      </c>
      <c r="Q251" s="14">
        <f>IF(K251&gt;=MAX(L251,M251), "Hemat", IF(L251&gt;=M251, "Balanced", "Premium"))</f>
        <v/>
      </c>
      <c r="R251" s="30" t="n">
        <v>0.126116746000083</v>
      </c>
      <c r="S251" s="30" t="n">
        <v>0.8607028310146635</v>
      </c>
      <c r="T251" s="30" t="n">
        <v>0.01318042298525341</v>
      </c>
      <c r="U251" s="31">
        <f>ABS(E251-$G$6)</f>
        <v/>
      </c>
      <c r="V251" s="31">
        <f>ABS(E251-$G$7)</f>
        <v/>
      </c>
      <c r="W251" s="31">
        <f>ABS(E251-$G$8)</f>
        <v/>
      </c>
      <c r="X251" s="14">
        <f>IF(R251&gt;=MAX(S251,T251), "Hemat", IF(S251&gt;=T251, "Balanced", "Premium"))</f>
        <v/>
      </c>
    </row>
    <row r="252">
      <c r="A252" s="14" t="n">
        <v>241</v>
      </c>
      <c r="B252" s="7" t="inlineStr">
        <is>
          <t>Bakso Anda Punten</t>
        </is>
      </c>
      <c r="C252" s="26" t="n">
        <v>-7.8303557</v>
      </c>
      <c r="D252" s="26" t="n">
        <v>112.5244848</v>
      </c>
      <c r="E252" s="21" t="n">
        <v>15000</v>
      </c>
      <c r="F252" s="27" t="n">
        <v>4.3</v>
      </c>
      <c r="G252" s="28" t="n">
        <v>543</v>
      </c>
      <c r="H252" s="14" t="inlineStr">
        <is>
          <t>Wisata Umum</t>
        </is>
      </c>
      <c r="I252" s="29">
        <f>6371 * 2 * ASIN(SQRT(SIN(RADIANS((C252) - INDEX('Dataset_Wisata'!$C$12:$C$622, MATCH('Dashboard'!$C$9, 'Dataset_Wisata'!$A$12:$A$622, 0)))/2)^2 + COS(RADIANS(INDEX('Dataset_Wisata'!$C$12:$C$622, MATCH('Dashboard'!$C$9, 'Dataset_Wisata'!$A$12:$A$622, 0)))) * COS(RADIANS(C252)) * SIN(RADIANS((D252) - INDEX('Dataset_Wisata'!$D$12:$D$622, MATCH('Dashboard'!$C$9, 'Dataset_Wisata'!$A$12:$A$622, 0)))/2)^2)) * 1.3</f>
        <v/>
      </c>
      <c r="J252" s="21">
        <f>ROUND(I252 * IF('Dashboard'!$C$6&lt;=1, 2250, IF('Dashboard'!$C$6&lt;=4, 5150, 6000)), 0)</f>
        <v/>
      </c>
      <c r="K252" s="30" t="n">
        <v>0.9686283169848018</v>
      </c>
      <c r="L252" s="30" t="n">
        <v>0.02872990537067274</v>
      </c>
      <c r="M252" s="30" t="n">
        <v>0.002641777644525457</v>
      </c>
      <c r="N252" s="31">
        <f>ABS(E252-$F$6)</f>
        <v/>
      </c>
      <c r="O252" s="31">
        <f>ABS(E252-$F$7)</f>
        <v/>
      </c>
      <c r="P252" s="31">
        <f>ABS(E252-$F$8)</f>
        <v/>
      </c>
      <c r="Q252" s="14">
        <f>IF(K252&gt;=MAX(L252,M252), "Hemat", IF(L252&gt;=M252, "Balanced", "Premium"))</f>
        <v/>
      </c>
      <c r="R252" s="30" t="n">
        <v>0.9686282798936615</v>
      </c>
      <c r="S252" s="30" t="n">
        <v>0.02872993996961344</v>
      </c>
      <c r="T252" s="30" t="n">
        <v>0.002641780136725144</v>
      </c>
      <c r="U252" s="31">
        <f>ABS(E252-$G$6)</f>
        <v/>
      </c>
      <c r="V252" s="31">
        <f>ABS(E252-$G$7)</f>
        <v/>
      </c>
      <c r="W252" s="31">
        <f>ABS(E252-$G$8)</f>
        <v/>
      </c>
      <c r="X252" s="14">
        <f>IF(R252&gt;=MAX(S252,T252), "Hemat", IF(S252&gt;=T252, "Balanced", "Premium"))</f>
        <v/>
      </c>
    </row>
    <row r="253">
      <c r="A253" s="14" t="n">
        <v>242</v>
      </c>
      <c r="B253" s="7" t="inlineStr">
        <is>
          <t>Soto Daging (Abah Paidi)</t>
        </is>
      </c>
      <c r="C253" s="26" t="n">
        <v>-7.7839654</v>
      </c>
      <c r="D253" s="26" t="n">
        <v>112.5250291</v>
      </c>
      <c r="E253" s="21" t="n">
        <v>7000</v>
      </c>
      <c r="F253" s="27" t="n">
        <v>5</v>
      </c>
      <c r="G253" s="28" t="n">
        <v>23</v>
      </c>
      <c r="H253" s="14" t="inlineStr">
        <is>
          <t>Wisata Umum</t>
        </is>
      </c>
      <c r="I253" s="29">
        <f>6371 * 2 * ASIN(SQRT(SIN(RADIANS((C253) - INDEX('Dataset_Wisata'!$C$12:$C$622, MATCH('Dashboard'!$C$9, 'Dataset_Wisata'!$A$12:$A$622, 0)))/2)^2 + COS(RADIANS(INDEX('Dataset_Wisata'!$C$12:$C$622, MATCH('Dashboard'!$C$9, 'Dataset_Wisata'!$A$12:$A$622, 0)))) * COS(RADIANS(C253)) * SIN(RADIANS((D253) - INDEX('Dataset_Wisata'!$D$12:$D$622, MATCH('Dashboard'!$C$9, 'Dataset_Wisata'!$A$12:$A$622, 0)))/2)^2)) * 1.3</f>
        <v/>
      </c>
      <c r="J253" s="21">
        <f>ROUND(I253 * IF('Dashboard'!$C$6&lt;=1, 2250, IF('Dashboard'!$C$6&lt;=4, 5150, 6000)), 0)</f>
        <v/>
      </c>
      <c r="K253" s="30" t="n">
        <v>0.8800610026243881</v>
      </c>
      <c r="L253" s="30" t="n">
        <v>0.1008247459749515</v>
      </c>
      <c r="M253" s="30" t="n">
        <v>0.01911425140066042</v>
      </c>
      <c r="N253" s="31">
        <f>ABS(E253-$F$6)</f>
        <v/>
      </c>
      <c r="O253" s="31">
        <f>ABS(E253-$F$7)</f>
        <v/>
      </c>
      <c r="P253" s="31">
        <f>ABS(E253-$F$8)</f>
        <v/>
      </c>
      <c r="Q253" s="14">
        <f>IF(K253&gt;=MAX(L253,M253), "Hemat", IF(L253&gt;=M253, "Balanced", "Premium"))</f>
        <v/>
      </c>
      <c r="R253" s="30" t="n">
        <v>0.8800609951219469</v>
      </c>
      <c r="S253" s="30" t="n">
        <v>0.1008247536305651</v>
      </c>
      <c r="T253" s="30" t="n">
        <v>0.019114251247488</v>
      </c>
      <c r="U253" s="31">
        <f>ABS(E253-$G$6)</f>
        <v/>
      </c>
      <c r="V253" s="31">
        <f>ABS(E253-$G$7)</f>
        <v/>
      </c>
      <c r="W253" s="31">
        <f>ABS(E253-$G$8)</f>
        <v/>
      </c>
      <c r="X253" s="14">
        <f>IF(R253&gt;=MAX(S253,T253), "Hemat", IF(S253&gt;=T253, "Balanced", "Premium"))</f>
        <v/>
      </c>
    </row>
    <row r="254">
      <c r="A254" s="14" t="n">
        <v>243</v>
      </c>
      <c r="B254" s="7" t="inlineStr">
        <is>
          <t>Warung "Kawi"</t>
        </is>
      </c>
      <c r="C254" s="26" t="n">
        <v>-8.131211800000001</v>
      </c>
      <c r="D254" s="26" t="n">
        <v>112.5685877</v>
      </c>
      <c r="E254" s="21" t="n">
        <v>16500</v>
      </c>
      <c r="F254" s="27" t="n">
        <v>4.4</v>
      </c>
      <c r="G254" s="28" t="n">
        <v>62</v>
      </c>
      <c r="H254" s="14" t="inlineStr">
        <is>
          <t>Warung "Kawi"</t>
        </is>
      </c>
      <c r="I254" s="29">
        <f>6371 * 2 * ASIN(SQRT(SIN(RADIANS((C254) - INDEX('Dataset_Wisata'!$C$12:$C$622, MATCH('Dashboard'!$C$9, 'Dataset_Wisata'!$A$12:$A$622, 0)))/2)^2 + COS(RADIANS(INDEX('Dataset_Wisata'!$C$12:$C$622, MATCH('Dashboard'!$C$9, 'Dataset_Wisata'!$A$12:$A$622, 0)))) * COS(RADIANS(C254)) * SIN(RADIANS((D254) - INDEX('Dataset_Wisata'!$D$12:$D$622, MATCH('Dashboard'!$C$9, 'Dataset_Wisata'!$A$12:$A$622, 0)))/2)^2)) * 1.3</f>
        <v/>
      </c>
      <c r="J254" s="21">
        <f>ROUND(I254 * IF('Dashboard'!$C$6&lt;=1, 2250, IF('Dashboard'!$C$6&lt;=4, 5150, 6000)), 0)</f>
        <v/>
      </c>
      <c r="K254" s="30" t="n">
        <v>0.8714863278851296</v>
      </c>
      <c r="L254" s="30" t="n">
        <v>0.1197061829079762</v>
      </c>
      <c r="M254" s="30" t="n">
        <v>0.008807489206894295</v>
      </c>
      <c r="N254" s="31">
        <f>ABS(E254-$F$6)</f>
        <v/>
      </c>
      <c r="O254" s="31">
        <f>ABS(E254-$F$7)</f>
        <v/>
      </c>
      <c r="P254" s="31">
        <f>ABS(E254-$F$8)</f>
        <v/>
      </c>
      <c r="Q254" s="14">
        <f>IF(K254&gt;=MAX(L254,M254), "Hemat", IF(L254&gt;=M254, "Balanced", "Premium"))</f>
        <v/>
      </c>
      <c r="R254" s="30" t="n">
        <v>0.8714862185289194</v>
      </c>
      <c r="S254" s="30" t="n">
        <v>0.1197062875326776</v>
      </c>
      <c r="T254" s="30" t="n">
        <v>0.008807493938402942</v>
      </c>
      <c r="U254" s="31">
        <f>ABS(E254-$G$6)</f>
        <v/>
      </c>
      <c r="V254" s="31">
        <f>ABS(E254-$G$7)</f>
        <v/>
      </c>
      <c r="W254" s="31">
        <f>ABS(E254-$G$8)</f>
        <v/>
      </c>
      <c r="X254" s="14">
        <f>IF(R254&gt;=MAX(S254,T254), "Hemat", IF(S254&gt;=T254, "Balanced", "Premium"))</f>
        <v/>
      </c>
    </row>
    <row r="255">
      <c r="A255" s="14" t="n">
        <v>244</v>
      </c>
      <c r="B255" s="7" t="inlineStr">
        <is>
          <t>waroeng jagoan</t>
        </is>
      </c>
      <c r="C255" s="26" t="n">
        <v>-8.1445484</v>
      </c>
      <c r="D255" s="26" t="n">
        <v>112.5613085</v>
      </c>
      <c r="E255" s="21" t="n">
        <v>18000</v>
      </c>
      <c r="F255" s="27" t="n">
        <v>4.4</v>
      </c>
      <c r="G255" s="28" t="n">
        <v>493</v>
      </c>
      <c r="H255" s="14" t="inlineStr">
        <is>
          <t>Wisata Umum</t>
        </is>
      </c>
      <c r="I255" s="29">
        <f>6371 * 2 * ASIN(SQRT(SIN(RADIANS((C255) - INDEX('Dataset_Wisata'!$C$12:$C$622, MATCH('Dashboard'!$C$9, 'Dataset_Wisata'!$A$12:$A$622, 0)))/2)^2 + COS(RADIANS(INDEX('Dataset_Wisata'!$C$12:$C$622, MATCH('Dashboard'!$C$9, 'Dataset_Wisata'!$A$12:$A$622, 0)))) * COS(RADIANS(C255)) * SIN(RADIANS((D255) - INDEX('Dataset_Wisata'!$D$12:$D$622, MATCH('Dashboard'!$C$9, 'Dataset_Wisata'!$A$12:$A$622, 0)))/2)^2)) * 1.3</f>
        <v/>
      </c>
      <c r="J255" s="21">
        <f>ROUND(I255 * IF('Dashboard'!$C$6&lt;=1, 2250, IF('Dashboard'!$C$6&lt;=4, 5150, 6000)), 0)</f>
        <v/>
      </c>
      <c r="K255" s="30" t="n">
        <v>0.6916251733659831</v>
      </c>
      <c r="L255" s="30" t="n">
        <v>0.2920817970297536</v>
      </c>
      <c r="M255" s="30" t="n">
        <v>0.01629302960426341</v>
      </c>
      <c r="N255" s="31">
        <f>ABS(E255-$F$6)</f>
        <v/>
      </c>
      <c r="O255" s="31">
        <f>ABS(E255-$F$7)</f>
        <v/>
      </c>
      <c r="P255" s="31">
        <f>ABS(E255-$F$8)</f>
        <v/>
      </c>
      <c r="Q255" s="14">
        <f>IF(K255&gt;=MAX(L255,M255), "Hemat", IF(L255&gt;=M255, "Balanced", "Premium"))</f>
        <v/>
      </c>
      <c r="R255" s="30" t="n">
        <v>0.6916249652211897</v>
      </c>
      <c r="S255" s="30" t="n">
        <v>0.2920820010799081</v>
      </c>
      <c r="T255" s="30" t="n">
        <v>0.01629303369890229</v>
      </c>
      <c r="U255" s="31">
        <f>ABS(E255-$G$6)</f>
        <v/>
      </c>
      <c r="V255" s="31">
        <f>ABS(E255-$G$7)</f>
        <v/>
      </c>
      <c r="W255" s="31">
        <f>ABS(E255-$G$8)</f>
        <v/>
      </c>
      <c r="X255" s="14">
        <f>IF(R255&gt;=MAX(S255,T255), "Hemat", IF(S255&gt;=T255, "Balanced", "Premium"))</f>
        <v/>
      </c>
    </row>
    <row r="256">
      <c r="A256" s="14" t="n">
        <v>245</v>
      </c>
      <c r="B256" s="7" t="inlineStr">
        <is>
          <t>Dappur Lekoh</t>
        </is>
      </c>
      <c r="C256" s="26" t="n">
        <v>-8.127713699999999</v>
      </c>
      <c r="D256" s="26" t="n">
        <v>112.5666404</v>
      </c>
      <c r="E256" s="21" t="n">
        <v>15000</v>
      </c>
      <c r="F256" s="27" t="n">
        <v>4.4</v>
      </c>
      <c r="G256" s="28" t="n">
        <v>65</v>
      </c>
      <c r="H256" s="14" t="inlineStr">
        <is>
          <t>Wisata Umum</t>
        </is>
      </c>
      <c r="I256" s="29">
        <f>6371 * 2 * ASIN(SQRT(SIN(RADIANS((C256) - INDEX('Dataset_Wisata'!$C$12:$C$622, MATCH('Dashboard'!$C$9, 'Dataset_Wisata'!$A$12:$A$622, 0)))/2)^2 + COS(RADIANS(INDEX('Dataset_Wisata'!$C$12:$C$622, MATCH('Dashboard'!$C$9, 'Dataset_Wisata'!$A$12:$A$622, 0)))) * COS(RADIANS(C256)) * SIN(RADIANS((D256) - INDEX('Dataset_Wisata'!$D$12:$D$622, MATCH('Dashboard'!$C$9, 'Dataset_Wisata'!$A$12:$A$622, 0)))/2)^2)) * 1.3</f>
        <v/>
      </c>
      <c r="J256" s="21">
        <f>ROUND(I256 * IF('Dashboard'!$C$6&lt;=1, 2250, IF('Dashboard'!$C$6&lt;=4, 5150, 6000)), 0)</f>
        <v/>
      </c>
      <c r="K256" s="30" t="n">
        <v>0.9686283169848018</v>
      </c>
      <c r="L256" s="30" t="n">
        <v>0.02872990537067274</v>
      </c>
      <c r="M256" s="30" t="n">
        <v>0.002641777644525457</v>
      </c>
      <c r="N256" s="31">
        <f>ABS(E256-$F$6)</f>
        <v/>
      </c>
      <c r="O256" s="31">
        <f>ABS(E256-$F$7)</f>
        <v/>
      </c>
      <c r="P256" s="31">
        <f>ABS(E256-$F$8)</f>
        <v/>
      </c>
      <c r="Q256" s="14">
        <f>IF(K256&gt;=MAX(L256,M256), "Hemat", IF(L256&gt;=M256, "Balanced", "Premium"))</f>
        <v/>
      </c>
      <c r="R256" s="30" t="n">
        <v>0.9686282798936615</v>
      </c>
      <c r="S256" s="30" t="n">
        <v>0.02872993996961344</v>
      </c>
      <c r="T256" s="30" t="n">
        <v>0.002641780136725144</v>
      </c>
      <c r="U256" s="31">
        <f>ABS(E256-$G$6)</f>
        <v/>
      </c>
      <c r="V256" s="31">
        <f>ABS(E256-$G$7)</f>
        <v/>
      </c>
      <c r="W256" s="31">
        <f>ABS(E256-$G$8)</f>
        <v/>
      </c>
      <c r="X256" s="14">
        <f>IF(R256&gt;=MAX(S256,T256), "Hemat", IF(S256&gt;=T256, "Balanced", "Premium"))</f>
        <v/>
      </c>
    </row>
    <row r="257">
      <c r="A257" s="14" t="n">
        <v>246</v>
      </c>
      <c r="B257" s="7" t="inlineStr">
        <is>
          <t>Mr. Mac Resto</t>
        </is>
      </c>
      <c r="C257" s="26" t="n">
        <v>-8.131103899999999</v>
      </c>
      <c r="D257" s="26" t="n">
        <v>112.5674435</v>
      </c>
      <c r="E257" s="21" t="n">
        <v>26050</v>
      </c>
      <c r="F257" s="27" t="n">
        <v>4</v>
      </c>
      <c r="G257" s="28" t="n">
        <v>299</v>
      </c>
      <c r="H257" s="14" t="inlineStr">
        <is>
          <t>Wisata Umum</t>
        </is>
      </c>
      <c r="I257" s="29">
        <f>6371 * 2 * ASIN(SQRT(SIN(RADIANS((C257) - INDEX('Dataset_Wisata'!$C$12:$C$622, MATCH('Dashboard'!$C$9, 'Dataset_Wisata'!$A$12:$A$622, 0)))/2)^2 + COS(RADIANS(INDEX('Dataset_Wisata'!$C$12:$C$622, MATCH('Dashboard'!$C$9, 'Dataset_Wisata'!$A$12:$A$622, 0)))) * COS(RADIANS(C257)) * SIN(RADIANS((D257) - INDEX('Dataset_Wisata'!$D$12:$D$622, MATCH('Dashboard'!$C$9, 'Dataset_Wisata'!$A$12:$A$622, 0)))/2)^2)) * 1.3</f>
        <v/>
      </c>
      <c r="J257" s="21">
        <f>ROUND(I257 * IF('Dashboard'!$C$6&lt;=1, 2250, IF('Dashboard'!$C$6&lt;=4, 5150, 6000)), 0)</f>
        <v/>
      </c>
      <c r="K257" s="30" t="n">
        <v>0.002857033940223525</v>
      </c>
      <c r="L257" s="30" t="n">
        <v>0.9962627827027519</v>
      </c>
      <c r="M257" s="30" t="n">
        <v>0.0008801833570244649</v>
      </c>
      <c r="N257" s="31">
        <f>ABS(E257-$F$6)</f>
        <v/>
      </c>
      <c r="O257" s="31">
        <f>ABS(E257-$F$7)</f>
        <v/>
      </c>
      <c r="P257" s="31">
        <f>ABS(E257-$F$8)</f>
        <v/>
      </c>
      <c r="Q257" s="14">
        <f>IF(K257&gt;=MAX(L257,M257), "Hemat", IF(L257&gt;=M257, "Balanced", "Premium"))</f>
        <v/>
      </c>
      <c r="R257" s="30" t="n">
        <v>0.002857055891538474</v>
      </c>
      <c r="S257" s="30" t="n">
        <v>0.9962627535653932</v>
      </c>
      <c r="T257" s="30" t="n">
        <v>0.000880190543068222</v>
      </c>
      <c r="U257" s="31">
        <f>ABS(E257-$G$6)</f>
        <v/>
      </c>
      <c r="V257" s="31">
        <f>ABS(E257-$G$7)</f>
        <v/>
      </c>
      <c r="W257" s="31">
        <f>ABS(E257-$G$8)</f>
        <v/>
      </c>
      <c r="X257" s="14">
        <f>IF(R257&gt;=MAX(S257,T257), "Hemat", IF(S257&gt;=T257, "Balanced", "Premium"))</f>
        <v/>
      </c>
    </row>
    <row r="258">
      <c r="A258" s="14" t="n">
        <v>247</v>
      </c>
      <c r="B258" s="7" t="inlineStr">
        <is>
          <t>Poskoffie</t>
        </is>
      </c>
      <c r="C258" s="26" t="n">
        <v>-8.1397453</v>
      </c>
      <c r="D258" s="26" t="n">
        <v>112.5714527</v>
      </c>
      <c r="E258" s="21" t="n">
        <v>25000</v>
      </c>
      <c r="F258" s="27" t="n">
        <v>4.5</v>
      </c>
      <c r="G258" s="28" t="n">
        <v>2609</v>
      </c>
      <c r="H258" s="14" t="inlineStr">
        <is>
          <t>Wisata Umum</t>
        </is>
      </c>
      <c r="I258" s="29">
        <f>6371 * 2 * ASIN(SQRT(SIN(RADIANS((C258) - INDEX('Dataset_Wisata'!$C$12:$C$622, MATCH('Dashboard'!$C$9, 'Dataset_Wisata'!$A$12:$A$622, 0)))/2)^2 + COS(RADIANS(INDEX('Dataset_Wisata'!$C$12:$C$622, MATCH('Dashboard'!$C$9, 'Dataset_Wisata'!$A$12:$A$622, 0)))) * COS(RADIANS(C258)) * SIN(RADIANS((D258) - INDEX('Dataset_Wisata'!$D$12:$D$622, MATCH('Dashboard'!$C$9, 'Dataset_Wisata'!$A$12:$A$622, 0)))/2)^2)) * 1.3</f>
        <v/>
      </c>
      <c r="J258" s="21">
        <f>ROUND(I258 * IF('Dashboard'!$C$6&lt;=1, 2250, IF('Dashboard'!$C$6&lt;=4, 5150, 6000)), 0)</f>
        <v/>
      </c>
      <c r="K258" s="30" t="n">
        <v>0.0009460509590550509</v>
      </c>
      <c r="L258" s="30" t="n">
        <v>0.9988291129147837</v>
      </c>
      <c r="M258" s="30" t="n">
        <v>0.0002248361261612175</v>
      </c>
      <c r="N258" s="31">
        <f>ABS(E258-$F$6)</f>
        <v/>
      </c>
      <c r="O258" s="31">
        <f>ABS(E258-$F$7)</f>
        <v/>
      </c>
      <c r="P258" s="31">
        <f>ABS(E258-$F$8)</f>
        <v/>
      </c>
      <c r="Q258" s="14">
        <f>IF(K258&gt;=MAX(L258,M258), "Hemat", IF(L258&gt;=M258, "Balanced", "Premium"))</f>
        <v/>
      </c>
      <c r="R258" s="30" t="n">
        <v>0.0009460368639408893</v>
      </c>
      <c r="S258" s="30" t="n">
        <v>0.998829130253259</v>
      </c>
      <c r="T258" s="30" t="n">
        <v>0.0002248328828000856</v>
      </c>
      <c r="U258" s="31">
        <f>ABS(E258-$G$6)</f>
        <v/>
      </c>
      <c r="V258" s="31">
        <f>ABS(E258-$G$7)</f>
        <v/>
      </c>
      <c r="W258" s="31">
        <f>ABS(E258-$G$8)</f>
        <v/>
      </c>
      <c r="X258" s="14">
        <f>IF(R258&gt;=MAX(S258,T258), "Hemat", IF(S258&gt;=T258, "Balanced", "Premium"))</f>
        <v/>
      </c>
    </row>
    <row r="259">
      <c r="A259" s="14" t="n">
        <v>248</v>
      </c>
      <c r="B259" s="7" t="inlineStr">
        <is>
          <t>Warung Cak Deg Kepanjen</t>
        </is>
      </c>
      <c r="C259" s="26" t="n">
        <v>-8.130645899999999</v>
      </c>
      <c r="D259" s="26" t="n">
        <v>112.5634949</v>
      </c>
      <c r="E259" s="21" t="n">
        <v>17000</v>
      </c>
      <c r="F259" s="27" t="n">
        <v>4.8</v>
      </c>
      <c r="G259" s="28" t="n">
        <v>22</v>
      </c>
      <c r="H259" s="14" t="inlineStr">
        <is>
          <t>Warung Cak Deg Kepanjen</t>
        </is>
      </c>
      <c r="I259" s="29">
        <f>6371 * 2 * ASIN(SQRT(SIN(RADIANS((C259) - INDEX('Dataset_Wisata'!$C$12:$C$622, MATCH('Dashboard'!$C$9, 'Dataset_Wisata'!$A$12:$A$622, 0)))/2)^2 + COS(RADIANS(INDEX('Dataset_Wisata'!$C$12:$C$622, MATCH('Dashboard'!$C$9, 'Dataset_Wisata'!$A$12:$A$622, 0)))) * COS(RADIANS(C259)) * SIN(RADIANS((D259) - INDEX('Dataset_Wisata'!$D$12:$D$622, MATCH('Dashboard'!$C$9, 'Dataset_Wisata'!$A$12:$A$622, 0)))/2)^2)) * 1.3</f>
        <v/>
      </c>
      <c r="J259" s="21">
        <f>ROUND(I259 * IF('Dashboard'!$C$6&lt;=1, 2250, IF('Dashboard'!$C$6&lt;=4, 5150, 6000)), 0)</f>
        <v/>
      </c>
      <c r="K259" s="30" t="n">
        <v>0.8205766965551228</v>
      </c>
      <c r="L259" s="30" t="n">
        <v>0.1680685555538888</v>
      </c>
      <c r="M259" s="30" t="n">
        <v>0.01135474789098826</v>
      </c>
      <c r="N259" s="31">
        <f>ABS(E259-$F$6)</f>
        <v/>
      </c>
      <c r="O259" s="31">
        <f>ABS(E259-$F$7)</f>
        <v/>
      </c>
      <c r="P259" s="31">
        <f>ABS(E259-$F$8)</f>
        <v/>
      </c>
      <c r="Q259" s="14">
        <f>IF(K259&gt;=MAX(L259,M259), "Hemat", IF(L259&gt;=M259, "Balanced", "Premium"))</f>
        <v/>
      </c>
      <c r="R259" s="30" t="n">
        <v>0.8205765551569555</v>
      </c>
      <c r="S259" s="30" t="n">
        <v>0.1680686919268015</v>
      </c>
      <c r="T259" s="30" t="n">
        <v>0.01135475291624307</v>
      </c>
      <c r="U259" s="31">
        <f>ABS(E259-$G$6)</f>
        <v/>
      </c>
      <c r="V259" s="31">
        <f>ABS(E259-$G$7)</f>
        <v/>
      </c>
      <c r="W259" s="31">
        <f>ABS(E259-$G$8)</f>
        <v/>
      </c>
      <c r="X259" s="14">
        <f>IF(R259&gt;=MAX(S259,T259), "Hemat", IF(S259&gt;=T259, "Balanced", "Premium"))</f>
        <v/>
      </c>
    </row>
    <row r="260">
      <c r="A260" s="14" t="n">
        <v>249</v>
      </c>
      <c r="B260" s="7" t="inlineStr">
        <is>
          <t>GURAMI BAKAR Cak Riyanto</t>
        </is>
      </c>
      <c r="C260" s="26" t="n">
        <v>-8.130594</v>
      </c>
      <c r="D260" s="26" t="n">
        <v>112.5560114</v>
      </c>
      <c r="E260" s="21" t="n">
        <v>29500</v>
      </c>
      <c r="F260" s="27" t="n">
        <v>4.3</v>
      </c>
      <c r="G260" s="28" t="n">
        <v>956</v>
      </c>
      <c r="H260" s="14" t="inlineStr">
        <is>
          <t>Wisata Umum</t>
        </is>
      </c>
      <c r="I260" s="29">
        <f>6371 * 2 * ASIN(SQRT(SIN(RADIANS((C260) - INDEX('Dataset_Wisata'!$C$12:$C$622, MATCH('Dashboard'!$C$9, 'Dataset_Wisata'!$A$12:$A$622, 0)))/2)^2 + COS(RADIANS(INDEX('Dataset_Wisata'!$C$12:$C$622, MATCH('Dashboard'!$C$9, 'Dataset_Wisata'!$A$12:$A$622, 0)))) * COS(RADIANS(C260)) * SIN(RADIANS((D260) - INDEX('Dataset_Wisata'!$D$12:$D$622, MATCH('Dashboard'!$C$9, 'Dataset_Wisata'!$A$12:$A$622, 0)))/2)^2)) * 1.3</f>
        <v/>
      </c>
      <c r="J260" s="21">
        <f>ROUND(I260 * IF('Dashboard'!$C$6&lt;=1, 2250, IF('Dashboard'!$C$6&lt;=4, 5150, 6000)), 0)</f>
        <v/>
      </c>
      <c r="K260" s="30" t="n">
        <v>0.05821517885518257</v>
      </c>
      <c r="L260" s="30" t="n">
        <v>0.9018983810422823</v>
      </c>
      <c r="M260" s="30" t="n">
        <v>0.03988644010253524</v>
      </c>
      <c r="N260" s="31">
        <f>ABS(E260-$F$6)</f>
        <v/>
      </c>
      <c r="O260" s="31">
        <f>ABS(E260-$F$7)</f>
        <v/>
      </c>
      <c r="P260" s="31">
        <f>ABS(E260-$F$8)</f>
        <v/>
      </c>
      <c r="Q260" s="14">
        <f>IF(K260&gt;=MAX(L260,M260), "Hemat", IF(L260&gt;=M260, "Balanced", "Premium"))</f>
        <v/>
      </c>
      <c r="R260" s="30" t="n">
        <v>0.05821524161417163</v>
      </c>
      <c r="S260" s="30" t="n">
        <v>0.9018982542894527</v>
      </c>
      <c r="T260" s="30" t="n">
        <v>0.03988650409637562</v>
      </c>
      <c r="U260" s="31">
        <f>ABS(E260-$G$6)</f>
        <v/>
      </c>
      <c r="V260" s="31">
        <f>ABS(E260-$G$7)</f>
        <v/>
      </c>
      <c r="W260" s="31">
        <f>ABS(E260-$G$8)</f>
        <v/>
      </c>
      <c r="X260" s="14">
        <f>IF(R260&gt;=MAX(S260,T260), "Hemat", IF(S260&gt;=T260, "Balanced", "Premium"))</f>
        <v/>
      </c>
    </row>
    <row r="261">
      <c r="A261" s="14" t="n">
        <v>250</v>
      </c>
      <c r="B261" s="7" t="inlineStr">
        <is>
          <t>Warung Bu Mira</t>
        </is>
      </c>
      <c r="C261" s="26" t="n">
        <v>-8.1544519</v>
      </c>
      <c r="D261" s="26" t="n">
        <v>112.55554</v>
      </c>
      <c r="E261" s="21" t="n">
        <v>17600</v>
      </c>
      <c r="F261" s="27" t="n">
        <v>4.8</v>
      </c>
      <c r="G261" s="28" t="n">
        <v>26</v>
      </c>
      <c r="H261" s="14" t="inlineStr">
        <is>
          <t>Warung Bu Mira</t>
        </is>
      </c>
      <c r="I261" s="29">
        <f>6371 * 2 * ASIN(SQRT(SIN(RADIANS((C261) - INDEX('Dataset_Wisata'!$C$12:$C$622, MATCH('Dashboard'!$C$9, 'Dataset_Wisata'!$A$12:$A$622, 0)))/2)^2 + COS(RADIANS(INDEX('Dataset_Wisata'!$C$12:$C$622, MATCH('Dashboard'!$C$9, 'Dataset_Wisata'!$A$12:$A$622, 0)))) * COS(RADIANS(C261)) * SIN(RADIANS((D261) - INDEX('Dataset_Wisata'!$D$12:$D$622, MATCH('Dashboard'!$C$9, 'Dataset_Wisata'!$A$12:$A$622, 0)))/2)^2)) * 1.3</f>
        <v/>
      </c>
      <c r="J261" s="21">
        <f>ROUND(I261 * IF('Dashboard'!$C$6&lt;=1, 2250, IF('Dashboard'!$C$6&lt;=4, 5150, 6000)), 0)</f>
        <v/>
      </c>
      <c r="K261" s="30" t="n">
        <v>0.7471995618505577</v>
      </c>
      <c r="L261" s="30" t="n">
        <v>0.2383904563410022</v>
      </c>
      <c r="M261" s="30" t="n">
        <v>0.01440998180844001</v>
      </c>
      <c r="N261" s="31">
        <f>ABS(E261-$F$6)</f>
        <v/>
      </c>
      <c r="O261" s="31">
        <f>ABS(E261-$F$7)</f>
        <v/>
      </c>
      <c r="P261" s="31">
        <f>ABS(E261-$F$8)</f>
        <v/>
      </c>
      <c r="Q261" s="14">
        <f>IF(K261&gt;=MAX(L261,M261), "Hemat", IF(L261&gt;=M261, "Balanced", "Premium"))</f>
        <v/>
      </c>
      <c r="R261" s="30" t="n">
        <v>0.7471993799352475</v>
      </c>
      <c r="S261" s="30" t="n">
        <v>0.2383906335028309</v>
      </c>
      <c r="T261" s="30" t="n">
        <v>0.0144099865619217</v>
      </c>
      <c r="U261" s="31">
        <f>ABS(E261-$G$6)</f>
        <v/>
      </c>
      <c r="V261" s="31">
        <f>ABS(E261-$G$7)</f>
        <v/>
      </c>
      <c r="W261" s="31">
        <f>ABS(E261-$G$8)</f>
        <v/>
      </c>
      <c r="X261" s="14">
        <f>IF(R261&gt;=MAX(S261,T261), "Hemat", IF(S261&gt;=T261, "Balanced", "Premium"))</f>
        <v/>
      </c>
    </row>
    <row r="262">
      <c r="A262" s="14" t="n">
        <v>251</v>
      </c>
      <c r="B262" s="7" t="inlineStr">
        <is>
          <t>Warung Udin</t>
        </is>
      </c>
      <c r="C262" s="26" t="n">
        <v>-8.1329782</v>
      </c>
      <c r="D262" s="26" t="n">
        <v>112.5721467</v>
      </c>
      <c r="E262" s="21" t="n">
        <v>13000</v>
      </c>
      <c r="F262" s="27" t="n">
        <v>4.1</v>
      </c>
      <c r="G262" s="28" t="n">
        <v>385</v>
      </c>
      <c r="H262" s="14" t="inlineStr">
        <is>
          <t>Warung Udin</t>
        </is>
      </c>
      <c r="I262" s="29">
        <f>6371 * 2 * ASIN(SQRT(SIN(RADIANS((C262) - INDEX('Dataset_Wisata'!$C$12:$C$622, MATCH('Dashboard'!$C$9, 'Dataset_Wisata'!$A$12:$A$622, 0)))/2)^2 + COS(RADIANS(INDEX('Dataset_Wisata'!$C$12:$C$622, MATCH('Dashboard'!$C$9, 'Dataset_Wisata'!$A$12:$A$622, 0)))) * COS(RADIANS(C262)) * SIN(RADIANS((D262) - INDEX('Dataset_Wisata'!$D$12:$D$622, MATCH('Dashboard'!$C$9, 'Dataset_Wisata'!$A$12:$A$622, 0)))/2)^2)) * 1.3</f>
        <v/>
      </c>
      <c r="J262" s="21">
        <f>ROUND(I262 * IF('Dashboard'!$C$6&lt;=1, 2250, IF('Dashboard'!$C$6&lt;=4, 5150, 6000)), 0)</f>
        <v/>
      </c>
      <c r="K262" s="30" t="n">
        <v>0.9996613401455278</v>
      </c>
      <c r="L262" s="30" t="n">
        <v>0.0003032413982241428</v>
      </c>
      <c r="M262" s="30" t="n">
        <v>3.541845624800055e-05</v>
      </c>
      <c r="N262" s="31">
        <f>ABS(E262-$F$6)</f>
        <v/>
      </c>
      <c r="O262" s="31">
        <f>ABS(E262-$F$7)</f>
        <v/>
      </c>
      <c r="P262" s="31">
        <f>ABS(E262-$F$8)</f>
        <v/>
      </c>
      <c r="Q262" s="14">
        <f>IF(K262&gt;=MAX(L262,M262), "Hemat", IF(L262&gt;=M262, "Balanced", "Premium"))</f>
        <v/>
      </c>
      <c r="R262" s="30" t="n">
        <v>0.9996613420378273</v>
      </c>
      <c r="S262" s="30" t="n">
        <v>0.0003032397098959421</v>
      </c>
      <c r="T262" s="30" t="n">
        <v>3.541825227674828e-05</v>
      </c>
      <c r="U262" s="31">
        <f>ABS(E262-$G$6)</f>
        <v/>
      </c>
      <c r="V262" s="31">
        <f>ABS(E262-$G$7)</f>
        <v/>
      </c>
      <c r="W262" s="31">
        <f>ABS(E262-$G$8)</f>
        <v/>
      </c>
      <c r="X262" s="14">
        <f>IF(R262&gt;=MAX(S262,T262), "Hemat", IF(S262&gt;=T262, "Balanced", "Premium"))</f>
        <v/>
      </c>
    </row>
    <row r="263">
      <c r="A263" s="14" t="n">
        <v>252</v>
      </c>
      <c r="B263" s="7" t="inlineStr">
        <is>
          <t>Cwie Mie Pelita Kuliner Kepanjen</t>
        </is>
      </c>
      <c r="C263" s="26" t="n">
        <v>-8.131186599999999</v>
      </c>
      <c r="D263" s="26" t="n">
        <v>112.5674496</v>
      </c>
      <c r="E263" s="21" t="n">
        <v>16500</v>
      </c>
      <c r="F263" s="27" t="n">
        <v>4.6</v>
      </c>
      <c r="G263" s="28" t="n">
        <v>39</v>
      </c>
      <c r="H263" s="14" t="inlineStr">
        <is>
          <t>Wisata Umum</t>
        </is>
      </c>
      <c r="I263" s="29">
        <f>6371 * 2 * ASIN(SQRT(SIN(RADIANS((C263) - INDEX('Dataset_Wisata'!$C$12:$C$622, MATCH('Dashboard'!$C$9, 'Dataset_Wisata'!$A$12:$A$622, 0)))/2)^2 + COS(RADIANS(INDEX('Dataset_Wisata'!$C$12:$C$622, MATCH('Dashboard'!$C$9, 'Dataset_Wisata'!$A$12:$A$622, 0)))) * COS(RADIANS(C263)) * SIN(RADIANS((D263) - INDEX('Dataset_Wisata'!$D$12:$D$622, MATCH('Dashboard'!$C$9, 'Dataset_Wisata'!$A$12:$A$622, 0)))/2)^2)) * 1.3</f>
        <v/>
      </c>
      <c r="J263" s="21">
        <f>ROUND(I263 * IF('Dashboard'!$C$6&lt;=1, 2250, IF('Dashboard'!$C$6&lt;=4, 5150, 6000)), 0)</f>
        <v/>
      </c>
      <c r="K263" s="30" t="n">
        <v>0.8714863278851296</v>
      </c>
      <c r="L263" s="30" t="n">
        <v>0.1197061829079762</v>
      </c>
      <c r="M263" s="30" t="n">
        <v>0.008807489206894295</v>
      </c>
      <c r="N263" s="31">
        <f>ABS(E263-$F$6)</f>
        <v/>
      </c>
      <c r="O263" s="31">
        <f>ABS(E263-$F$7)</f>
        <v/>
      </c>
      <c r="P263" s="31">
        <f>ABS(E263-$F$8)</f>
        <v/>
      </c>
      <c r="Q263" s="14">
        <f>IF(K263&gt;=MAX(L263,M263), "Hemat", IF(L263&gt;=M263, "Balanced", "Premium"))</f>
        <v/>
      </c>
      <c r="R263" s="30" t="n">
        <v>0.8714862185289194</v>
      </c>
      <c r="S263" s="30" t="n">
        <v>0.1197062875326776</v>
      </c>
      <c r="T263" s="30" t="n">
        <v>0.008807493938402942</v>
      </c>
      <c r="U263" s="31">
        <f>ABS(E263-$G$6)</f>
        <v/>
      </c>
      <c r="V263" s="31">
        <f>ABS(E263-$G$7)</f>
        <v/>
      </c>
      <c r="W263" s="31">
        <f>ABS(E263-$G$8)</f>
        <v/>
      </c>
      <c r="X263" s="14">
        <f>IF(R263&gt;=MAX(S263,T263), "Hemat", IF(S263&gt;=T263, "Balanced", "Premium"))</f>
        <v/>
      </c>
    </row>
    <row r="264">
      <c r="A264" s="14" t="n">
        <v>253</v>
      </c>
      <c r="B264" s="7" t="inlineStr">
        <is>
          <t>Family Resto</t>
        </is>
      </c>
      <c r="C264" s="26" t="n">
        <v>-8.1300721</v>
      </c>
      <c r="D264" s="26" t="n">
        <v>112.5707893</v>
      </c>
      <c r="E264" s="21" t="n">
        <v>30000</v>
      </c>
      <c r="F264" s="27" t="n">
        <v>4.4</v>
      </c>
      <c r="G264" s="28" t="n">
        <v>36</v>
      </c>
      <c r="H264" s="14" t="inlineStr">
        <is>
          <t>Restoran · Jl. Effendi No.12</t>
        </is>
      </c>
      <c r="I264" s="29">
        <f>6371 * 2 * ASIN(SQRT(SIN(RADIANS((C264) - INDEX('Dataset_Wisata'!$C$12:$C$622, MATCH('Dashboard'!$C$9, 'Dataset_Wisata'!$A$12:$A$622, 0)))/2)^2 + COS(RADIANS(INDEX('Dataset_Wisata'!$C$12:$C$622, MATCH('Dashboard'!$C$9, 'Dataset_Wisata'!$A$12:$A$622, 0)))) * COS(RADIANS(C264)) * SIN(RADIANS((D264) - INDEX('Dataset_Wisata'!$D$12:$D$622, MATCH('Dashboard'!$C$9, 'Dataset_Wisata'!$A$12:$A$622, 0)))/2)^2)) * 1.3</f>
        <v/>
      </c>
      <c r="J264" s="21">
        <f>ROUND(I264 * IF('Dashboard'!$C$6&lt;=1, 2250, IF('Dashboard'!$C$6&lt;=4, 5150, 6000)), 0)</f>
        <v/>
      </c>
      <c r="K264" s="30" t="n">
        <v>0.06726312231076584</v>
      </c>
      <c r="L264" s="30" t="n">
        <v>0.8811909885629753</v>
      </c>
      <c r="M264" s="30" t="n">
        <v>0.05154588912625897</v>
      </c>
      <c r="N264" s="31">
        <f>ABS(E264-$F$6)</f>
        <v/>
      </c>
      <c r="O264" s="31">
        <f>ABS(E264-$F$7)</f>
        <v/>
      </c>
      <c r="P264" s="31">
        <f>ABS(E264-$F$8)</f>
        <v/>
      </c>
      <c r="Q264" s="14">
        <f>IF(K264&gt;=MAX(L264,M264), "Hemat", IF(L264&gt;=M264, "Balanced", "Premium"))</f>
        <v/>
      </c>
      <c r="R264" s="30" t="n">
        <v>0.06726318452674353</v>
      </c>
      <c r="S264" s="30" t="n">
        <v>0.8811908510588695</v>
      </c>
      <c r="T264" s="30" t="n">
        <v>0.05154596441438693</v>
      </c>
      <c r="U264" s="31">
        <f>ABS(E264-$G$6)</f>
        <v/>
      </c>
      <c r="V264" s="31">
        <f>ABS(E264-$G$7)</f>
        <v/>
      </c>
      <c r="W264" s="31">
        <f>ABS(E264-$G$8)</f>
        <v/>
      </c>
      <c r="X264" s="14">
        <f>IF(R264&gt;=MAX(S264,T264), "Hemat", IF(S264&gt;=T264, "Balanced", "Premium"))</f>
        <v/>
      </c>
    </row>
    <row r="265">
      <c r="A265" s="14" t="n">
        <v>254</v>
      </c>
      <c r="B265" s="7" t="inlineStr">
        <is>
          <t>Warung Pojok Sate Gule</t>
        </is>
      </c>
      <c r="C265" s="26" t="n">
        <v>-8.1331519</v>
      </c>
      <c r="D265" s="26" t="n">
        <v>112.572507</v>
      </c>
      <c r="E265" s="21" t="n">
        <v>15000</v>
      </c>
      <c r="F265" s="27" t="n">
        <v>4.5</v>
      </c>
      <c r="G265" s="28" t="n">
        <v>224</v>
      </c>
      <c r="H265" s="14" t="inlineStr">
        <is>
          <t>Warung Pojok Sate Gule</t>
        </is>
      </c>
      <c r="I265" s="29">
        <f>6371 * 2 * ASIN(SQRT(SIN(RADIANS((C265) - INDEX('Dataset_Wisata'!$C$12:$C$622, MATCH('Dashboard'!$C$9, 'Dataset_Wisata'!$A$12:$A$622, 0)))/2)^2 + COS(RADIANS(INDEX('Dataset_Wisata'!$C$12:$C$622, MATCH('Dashboard'!$C$9, 'Dataset_Wisata'!$A$12:$A$622, 0)))) * COS(RADIANS(C265)) * SIN(RADIANS((D265) - INDEX('Dataset_Wisata'!$D$12:$D$622, MATCH('Dashboard'!$C$9, 'Dataset_Wisata'!$A$12:$A$622, 0)))/2)^2)) * 1.3</f>
        <v/>
      </c>
      <c r="J265" s="21">
        <f>ROUND(I265 * IF('Dashboard'!$C$6&lt;=1, 2250, IF('Dashboard'!$C$6&lt;=4, 5150, 6000)), 0)</f>
        <v/>
      </c>
      <c r="K265" s="30" t="n">
        <v>0.9686283169848018</v>
      </c>
      <c r="L265" s="30" t="n">
        <v>0.02872990537067274</v>
      </c>
      <c r="M265" s="30" t="n">
        <v>0.002641777644525457</v>
      </c>
      <c r="N265" s="31">
        <f>ABS(E265-$F$6)</f>
        <v/>
      </c>
      <c r="O265" s="31">
        <f>ABS(E265-$F$7)</f>
        <v/>
      </c>
      <c r="P265" s="31">
        <f>ABS(E265-$F$8)</f>
        <v/>
      </c>
      <c r="Q265" s="14">
        <f>IF(K265&gt;=MAX(L265,M265), "Hemat", IF(L265&gt;=M265, "Balanced", "Premium"))</f>
        <v/>
      </c>
      <c r="R265" s="30" t="n">
        <v>0.9686282798936615</v>
      </c>
      <c r="S265" s="30" t="n">
        <v>0.02872993996961344</v>
      </c>
      <c r="T265" s="30" t="n">
        <v>0.002641780136725144</v>
      </c>
      <c r="U265" s="31">
        <f>ABS(E265-$G$6)</f>
        <v/>
      </c>
      <c r="V265" s="31">
        <f>ABS(E265-$G$7)</f>
        <v/>
      </c>
      <c r="W265" s="31">
        <f>ABS(E265-$G$8)</f>
        <v/>
      </c>
      <c r="X265" s="14">
        <f>IF(R265&gt;=MAX(S265,T265), "Hemat", IF(S265&gt;=T265, "Balanced", "Premium"))</f>
        <v/>
      </c>
    </row>
    <row r="266">
      <c r="A266" s="14" t="n">
        <v>255</v>
      </c>
      <c r="B266" s="7" t="inlineStr">
        <is>
          <t>WARUNG GIWANGAN "NASI PADANG"</t>
        </is>
      </c>
      <c r="C266" s="26" t="n">
        <v>-8.130531400000001</v>
      </c>
      <c r="D266" s="26" t="n">
        <v>112.566788</v>
      </c>
      <c r="E266" s="21" t="n">
        <v>12500</v>
      </c>
      <c r="F266" s="27" t="n">
        <v>4.5</v>
      </c>
      <c r="G266" s="28" t="n">
        <v>257</v>
      </c>
      <c r="H266" s="14" t="inlineStr">
        <is>
          <t>WARUNG GIWANGAN "NASI PADANG"</t>
        </is>
      </c>
      <c r="I266" s="29">
        <f>6371 * 2 * ASIN(SQRT(SIN(RADIANS((C266) - INDEX('Dataset_Wisata'!$C$12:$C$622, MATCH('Dashboard'!$C$9, 'Dataset_Wisata'!$A$12:$A$622, 0)))/2)^2 + COS(RADIANS(INDEX('Dataset_Wisata'!$C$12:$C$622, MATCH('Dashboard'!$C$9, 'Dataset_Wisata'!$A$12:$A$622, 0)))) * COS(RADIANS(C266)) * SIN(RADIANS((D266) - INDEX('Dataset_Wisata'!$D$12:$D$622, MATCH('Dashboard'!$C$9, 'Dataset_Wisata'!$A$12:$A$622, 0)))/2)^2)) * 1.3</f>
        <v/>
      </c>
      <c r="J266" s="21">
        <f>ROUND(I266 * IF('Dashboard'!$C$6&lt;=1, 2250, IF('Dashboard'!$C$6&lt;=4, 5150, 6000)), 0)</f>
        <v/>
      </c>
      <c r="K266" s="30" t="n">
        <v>0.9965388956324384</v>
      </c>
      <c r="L266" s="30" t="n">
        <v>0.003081977430114359</v>
      </c>
      <c r="M266" s="30" t="n">
        <v>0.0003791269374473433</v>
      </c>
      <c r="N266" s="31">
        <f>ABS(E266-$F$6)</f>
        <v/>
      </c>
      <c r="O266" s="31">
        <f>ABS(E266-$F$7)</f>
        <v/>
      </c>
      <c r="P266" s="31">
        <f>ABS(E266-$F$8)</f>
        <v/>
      </c>
      <c r="Q266" s="14">
        <f>IF(K266&gt;=MAX(L266,M266), "Hemat", IF(L266&gt;=M266, "Balanced", "Premium"))</f>
        <v/>
      </c>
      <c r="R266" s="30" t="n">
        <v>0.9965389004929521</v>
      </c>
      <c r="S266" s="30" t="n">
        <v>0.003081973162016532</v>
      </c>
      <c r="T266" s="30" t="n">
        <v>0.0003791263450314348</v>
      </c>
      <c r="U266" s="31">
        <f>ABS(E266-$G$6)</f>
        <v/>
      </c>
      <c r="V266" s="31">
        <f>ABS(E266-$G$7)</f>
        <v/>
      </c>
      <c r="W266" s="31">
        <f>ABS(E266-$G$8)</f>
        <v/>
      </c>
      <c r="X266" s="14">
        <f>IF(R266&gt;=MAX(S266,T266), "Hemat", IF(S266&gt;=T266, "Balanced", "Premium"))</f>
        <v/>
      </c>
    </row>
    <row r="267">
      <c r="A267" s="14" t="n">
        <v>256</v>
      </c>
      <c r="B267" s="7" t="inlineStr">
        <is>
          <t>Nasi Pecel Pak Dipo Tulungagung</t>
        </is>
      </c>
      <c r="C267" s="26" t="n">
        <v>-8.1342274</v>
      </c>
      <c r="D267" s="26" t="n">
        <v>112.5735886</v>
      </c>
      <c r="E267" s="21" t="n">
        <v>16000</v>
      </c>
      <c r="F267" s="27" t="n">
        <v>4.3</v>
      </c>
      <c r="G267" s="28" t="n">
        <v>94</v>
      </c>
      <c r="H267" s="14" t="inlineStr">
        <is>
          <t>Wisata Umum</t>
        </is>
      </c>
      <c r="I267" s="29">
        <f>6371 * 2 * ASIN(SQRT(SIN(RADIANS((C267) - INDEX('Dataset_Wisata'!$C$12:$C$622, MATCH('Dashboard'!$C$9, 'Dataset_Wisata'!$A$12:$A$622, 0)))/2)^2 + COS(RADIANS(INDEX('Dataset_Wisata'!$C$12:$C$622, MATCH('Dashboard'!$C$9, 'Dataset_Wisata'!$A$12:$A$622, 0)))) * COS(RADIANS(C267)) * SIN(RADIANS((D267) - INDEX('Dataset_Wisata'!$D$12:$D$622, MATCH('Dashboard'!$C$9, 'Dataset_Wisata'!$A$12:$A$622, 0)))/2)^2)) * 1.3</f>
        <v/>
      </c>
      <c r="J267" s="21">
        <f>ROUND(I267 * IF('Dashboard'!$C$6&lt;=1, 2250, IF('Dashboard'!$C$6&lt;=4, 5150, 6000)), 0)</f>
        <v/>
      </c>
      <c r="K267" s="30" t="n">
        <v>0.9128193134184031</v>
      </c>
      <c r="L267" s="30" t="n">
        <v>0.08074863238868506</v>
      </c>
      <c r="M267" s="30" t="n">
        <v>0.006432054192912039</v>
      </c>
      <c r="N267" s="31">
        <f>ABS(E267-$F$6)</f>
        <v/>
      </c>
      <c r="O267" s="31">
        <f>ABS(E267-$F$7)</f>
        <v/>
      </c>
      <c r="P267" s="31">
        <f>ABS(E267-$F$8)</f>
        <v/>
      </c>
      <c r="Q267" s="14">
        <f>IF(K267&gt;=MAX(L267,M267), "Hemat", IF(L267&gt;=M267, "Balanced", "Premium"))</f>
        <v/>
      </c>
      <c r="R267" s="30" t="n">
        <v>0.9128192326410924</v>
      </c>
      <c r="S267" s="30" t="n">
        <v>0.08074870904423974</v>
      </c>
      <c r="T267" s="30" t="n">
        <v>0.006432058314667768</v>
      </c>
      <c r="U267" s="31">
        <f>ABS(E267-$G$6)</f>
        <v/>
      </c>
      <c r="V267" s="31">
        <f>ABS(E267-$G$7)</f>
        <v/>
      </c>
      <c r="W267" s="31">
        <f>ABS(E267-$G$8)</f>
        <v/>
      </c>
      <c r="X267" s="14">
        <f>IF(R267&gt;=MAX(S267,T267), "Hemat", IF(S267&gt;=T267, "Balanced", "Premium"))</f>
        <v/>
      </c>
    </row>
    <row r="268">
      <c r="A268" s="14" t="n">
        <v>257</v>
      </c>
      <c r="B268" s="7" t="inlineStr">
        <is>
          <t>Chickmi Kepanjen</t>
        </is>
      </c>
      <c r="C268" s="26" t="n">
        <v>-8.131227000000001</v>
      </c>
      <c r="D268" s="26" t="n">
        <v>112.5677406</v>
      </c>
      <c r="E268" s="21" t="n">
        <v>22999</v>
      </c>
      <c r="F268" s="27" t="n">
        <v>3.8</v>
      </c>
      <c r="G268" s="28" t="n">
        <v>82</v>
      </c>
      <c r="H268" s="14" t="inlineStr">
        <is>
          <t>Wisata Umum</t>
        </is>
      </c>
      <c r="I268" s="29">
        <f>6371 * 2 * ASIN(SQRT(SIN(RADIANS((C268) - INDEX('Dataset_Wisata'!$C$12:$C$622, MATCH('Dashboard'!$C$9, 'Dataset_Wisata'!$A$12:$A$622, 0)))/2)^2 + COS(RADIANS(INDEX('Dataset_Wisata'!$C$12:$C$622, MATCH('Dashboard'!$C$9, 'Dataset_Wisata'!$A$12:$A$622, 0)))) * COS(RADIANS(C268)) * SIN(RADIANS((D268) - INDEX('Dataset_Wisata'!$D$12:$D$622, MATCH('Dashboard'!$C$9, 'Dataset_Wisata'!$A$12:$A$622, 0)))/2)^2)) * 1.3</f>
        <v/>
      </c>
      <c r="J268" s="21">
        <f>ROUND(I268 * IF('Dashboard'!$C$6&lt;=1, 2250, IF('Dashboard'!$C$6&lt;=4, 5150, 6000)), 0)</f>
        <v/>
      </c>
      <c r="K268" s="30" t="n">
        <v>0.05472734400033377</v>
      </c>
      <c r="L268" s="30" t="n">
        <v>0.9376264230523763</v>
      </c>
      <c r="M268" s="30" t="n">
        <v>0.007646232947290009</v>
      </c>
      <c r="N268" s="31">
        <f>ABS(E268-$F$6)</f>
        <v/>
      </c>
      <c r="O268" s="31">
        <f>ABS(E268-$F$7)</f>
        <v/>
      </c>
      <c r="P268" s="31">
        <f>ABS(E268-$F$8)</f>
        <v/>
      </c>
      <c r="Q268" s="14">
        <f>IF(K268&gt;=MAX(L268,M268), "Hemat", IF(L268&gt;=M268, "Balanced", "Premium"))</f>
        <v/>
      </c>
      <c r="R268" s="30" t="n">
        <v>0.05472722044272113</v>
      </c>
      <c r="S268" s="30" t="n">
        <v>0.9376265602937706</v>
      </c>
      <c r="T268" s="30" t="n">
        <v>0.007646219263508187</v>
      </c>
      <c r="U268" s="31">
        <f>ABS(E268-$G$6)</f>
        <v/>
      </c>
      <c r="V268" s="31">
        <f>ABS(E268-$G$7)</f>
        <v/>
      </c>
      <c r="W268" s="31">
        <f>ABS(E268-$G$8)</f>
        <v/>
      </c>
      <c r="X268" s="14">
        <f>IF(R268&gt;=MAX(S268,T268), "Hemat", IF(S268&gt;=T268, "Balanced", "Premium"))</f>
        <v/>
      </c>
    </row>
    <row r="269">
      <c r="A269" s="14" t="n">
        <v>258</v>
      </c>
      <c r="B269" s="7" t="inlineStr">
        <is>
          <t>"PARIS DAKAR" MASAKAN PADANG</t>
        </is>
      </c>
      <c r="C269" s="26" t="n">
        <v>-8.1313847</v>
      </c>
      <c r="D269" s="26" t="n">
        <v>112.5685851</v>
      </c>
      <c r="E269" s="21" t="n">
        <v>20000</v>
      </c>
      <c r="F269" s="27" t="n">
        <v>4.1</v>
      </c>
      <c r="G269" s="28" t="n">
        <v>331</v>
      </c>
      <c r="H269" s="14" t="inlineStr">
        <is>
          <t>Wisata Umum</t>
        </is>
      </c>
      <c r="I269" s="29">
        <f>6371 * 2 * ASIN(SQRT(SIN(RADIANS((C269) - INDEX('Dataset_Wisata'!$C$12:$C$622, MATCH('Dashboard'!$C$9, 'Dataset_Wisata'!$A$12:$A$622, 0)))/2)^2 + COS(RADIANS(INDEX('Dataset_Wisata'!$C$12:$C$622, MATCH('Dashboard'!$C$9, 'Dataset_Wisata'!$A$12:$A$622, 0)))) * COS(RADIANS(C269)) * SIN(RADIANS((D269) - INDEX('Dataset_Wisata'!$D$12:$D$622, MATCH('Dashboard'!$C$9, 'Dataset_Wisata'!$A$12:$A$622, 0)))/2)^2)) * 1.3</f>
        <v/>
      </c>
      <c r="J269" s="21">
        <f>ROUND(I269 * IF('Dashboard'!$C$6&lt;=1, 2250, IF('Dashboard'!$C$6&lt;=4, 5150, 6000)), 0)</f>
        <v/>
      </c>
      <c r="K269" s="30" t="n">
        <v>0.3766864462048385</v>
      </c>
      <c r="L269" s="30" t="n">
        <v>0.6029404273516955</v>
      </c>
      <c r="M269" s="30" t="n">
        <v>0.02037312644346593</v>
      </c>
      <c r="N269" s="31">
        <f>ABS(E269-$F$6)</f>
        <v/>
      </c>
      <c r="O269" s="31">
        <f>ABS(E269-$F$7)</f>
        <v/>
      </c>
      <c r="P269" s="31">
        <f>ABS(E269-$F$8)</f>
        <v/>
      </c>
      <c r="Q269" s="14">
        <f>IF(K269&gt;=MAX(L269,M269), "Hemat", IF(L269&gt;=M269, "Balanced", "Premium"))</f>
        <v/>
      </c>
      <c r="R269" s="30" t="n">
        <v>0.3766861717192874</v>
      </c>
      <c r="S269" s="30" t="n">
        <v>0.6029407066601674</v>
      </c>
      <c r="T269" s="30" t="n">
        <v>0.02037312162054524</v>
      </c>
      <c r="U269" s="31">
        <f>ABS(E269-$G$6)</f>
        <v/>
      </c>
      <c r="V269" s="31">
        <f>ABS(E269-$G$7)</f>
        <v/>
      </c>
      <c r="W269" s="31">
        <f>ABS(E269-$G$8)</f>
        <v/>
      </c>
      <c r="X269" s="14">
        <f>IF(R269&gt;=MAX(S269,T269), "Hemat", IF(S269&gt;=T269, "Balanced", "Premium"))</f>
        <v/>
      </c>
    </row>
    <row r="270">
      <c r="A270" s="14" t="n">
        <v>259</v>
      </c>
      <c r="B270" s="7" t="inlineStr">
        <is>
          <t>Warung Makan Ikan Gurame Bakar Sumber Rejeki</t>
        </is>
      </c>
      <c r="C270" s="26" t="n">
        <v>-8.1364663</v>
      </c>
      <c r="D270" s="26" t="n">
        <v>112.5544016</v>
      </c>
      <c r="E270" s="21" t="n">
        <v>15000</v>
      </c>
      <c r="F270" s="27" t="n">
        <v>4.3</v>
      </c>
      <c r="G270" s="28" t="n">
        <v>1045</v>
      </c>
      <c r="H270" s="14" t="inlineStr">
        <is>
          <t>Wisata Umum</t>
        </is>
      </c>
      <c r="I270" s="29">
        <f>6371 * 2 * ASIN(SQRT(SIN(RADIANS((C270) - INDEX('Dataset_Wisata'!$C$12:$C$622, MATCH('Dashboard'!$C$9, 'Dataset_Wisata'!$A$12:$A$622, 0)))/2)^2 + COS(RADIANS(INDEX('Dataset_Wisata'!$C$12:$C$622, MATCH('Dashboard'!$C$9, 'Dataset_Wisata'!$A$12:$A$622, 0)))) * COS(RADIANS(C270)) * SIN(RADIANS((D270) - INDEX('Dataset_Wisata'!$D$12:$D$622, MATCH('Dashboard'!$C$9, 'Dataset_Wisata'!$A$12:$A$622, 0)))/2)^2)) * 1.3</f>
        <v/>
      </c>
      <c r="J270" s="21">
        <f>ROUND(I270 * IF('Dashboard'!$C$6&lt;=1, 2250, IF('Dashboard'!$C$6&lt;=4, 5150, 6000)), 0)</f>
        <v/>
      </c>
      <c r="K270" s="30" t="n">
        <v>0.9686283169848018</v>
      </c>
      <c r="L270" s="30" t="n">
        <v>0.02872990537067274</v>
      </c>
      <c r="M270" s="30" t="n">
        <v>0.002641777644525457</v>
      </c>
      <c r="N270" s="31">
        <f>ABS(E270-$F$6)</f>
        <v/>
      </c>
      <c r="O270" s="31">
        <f>ABS(E270-$F$7)</f>
        <v/>
      </c>
      <c r="P270" s="31">
        <f>ABS(E270-$F$8)</f>
        <v/>
      </c>
      <c r="Q270" s="14">
        <f>IF(K270&gt;=MAX(L270,M270), "Hemat", IF(L270&gt;=M270, "Balanced", "Premium"))</f>
        <v/>
      </c>
      <c r="R270" s="30" t="n">
        <v>0.9686282798936615</v>
      </c>
      <c r="S270" s="30" t="n">
        <v>0.02872993996961344</v>
      </c>
      <c r="T270" s="30" t="n">
        <v>0.002641780136725144</v>
      </c>
      <c r="U270" s="31">
        <f>ABS(E270-$G$6)</f>
        <v/>
      </c>
      <c r="V270" s="31">
        <f>ABS(E270-$G$7)</f>
        <v/>
      </c>
      <c r="W270" s="31">
        <f>ABS(E270-$G$8)</f>
        <v/>
      </c>
      <c r="X270" s="14">
        <f>IF(R270&gt;=MAX(S270,T270), "Hemat", IF(S270&gt;=T270, "Balanced", "Premium"))</f>
        <v/>
      </c>
    </row>
    <row r="271">
      <c r="A271" s="14" t="n">
        <v>260</v>
      </c>
      <c r="B271" s="7" t="inlineStr">
        <is>
          <t>Q5 STEAK KEPANJEN</t>
        </is>
      </c>
      <c r="C271" s="26" t="n">
        <v>-8.1324535</v>
      </c>
      <c r="D271" s="26" t="n">
        <v>112.5715107</v>
      </c>
      <c r="E271" s="21" t="n">
        <v>6000</v>
      </c>
      <c r="F271" s="27" t="n">
        <v>4.4</v>
      </c>
      <c r="G271" s="28" t="n">
        <v>320</v>
      </c>
      <c r="H271" s="14" t="inlineStr">
        <is>
          <t>Wisata Umum</t>
        </is>
      </c>
      <c r="I271" s="29">
        <f>6371 * 2 * ASIN(SQRT(SIN(RADIANS((C271) - INDEX('Dataset_Wisata'!$C$12:$C$622, MATCH('Dashboard'!$C$9, 'Dataset_Wisata'!$A$12:$A$622, 0)))/2)^2 + COS(RADIANS(INDEX('Dataset_Wisata'!$C$12:$C$622, MATCH('Dashboard'!$C$9, 'Dataset_Wisata'!$A$12:$A$622, 0)))) * COS(RADIANS(C271)) * SIN(RADIANS((D271) - INDEX('Dataset_Wisata'!$D$12:$D$622, MATCH('Dashboard'!$C$9, 'Dataset_Wisata'!$A$12:$A$622, 0)))/2)^2)) * 1.3</f>
        <v/>
      </c>
      <c r="J271" s="21">
        <f>ROUND(I271 * IF('Dashboard'!$C$6&lt;=1, 2250, IF('Dashboard'!$C$6&lt;=4, 5150, 6000)), 0)</f>
        <v/>
      </c>
      <c r="K271" s="30" t="n">
        <v>0.8570515062724777</v>
      </c>
      <c r="L271" s="30" t="n">
        <v>0.11901089820045</v>
      </c>
      <c r="M271" s="30" t="n">
        <v>0.02393759552707219</v>
      </c>
      <c r="N271" s="31">
        <f>ABS(E271-$F$6)</f>
        <v/>
      </c>
      <c r="O271" s="31">
        <f>ABS(E271-$F$7)</f>
        <v/>
      </c>
      <c r="P271" s="31">
        <f>ABS(E271-$F$8)</f>
        <v/>
      </c>
      <c r="Q271" s="14">
        <f>IF(K271&gt;=MAX(L271,M271), "Hemat", IF(L271&gt;=M271, "Balanced", "Premium"))</f>
        <v/>
      </c>
      <c r="R271" s="30" t="n">
        <v>0.8570514957556834</v>
      </c>
      <c r="S271" s="30" t="n">
        <v>0.1190109084243033</v>
      </c>
      <c r="T271" s="30" t="n">
        <v>0.02393759582001326</v>
      </c>
      <c r="U271" s="31">
        <f>ABS(E271-$G$6)</f>
        <v/>
      </c>
      <c r="V271" s="31">
        <f>ABS(E271-$G$7)</f>
        <v/>
      </c>
      <c r="W271" s="31">
        <f>ABS(E271-$G$8)</f>
        <v/>
      </c>
      <c r="X271" s="14">
        <f>IF(R271&gt;=MAX(S271,T271), "Hemat", IF(S271&gt;=T271, "Balanced", "Premium"))</f>
        <v/>
      </c>
    </row>
    <row r="272">
      <c r="A272" s="14" t="n">
        <v>261</v>
      </c>
      <c r="B272" s="7" t="inlineStr">
        <is>
          <t>Warung SEGAR 58</t>
        </is>
      </c>
      <c r="C272" s="26" t="n">
        <v>-8.1470477</v>
      </c>
      <c r="D272" s="26" t="n">
        <v>112.5708963</v>
      </c>
      <c r="E272" s="21" t="n">
        <v>25000</v>
      </c>
      <c r="F272" s="27" t="n">
        <v>4.1</v>
      </c>
      <c r="G272" s="28" t="n">
        <v>51</v>
      </c>
      <c r="H272" s="14" t="inlineStr">
        <is>
          <t>Warung SEGAR 58</t>
        </is>
      </c>
      <c r="I272" s="29">
        <f>6371 * 2 * ASIN(SQRT(SIN(RADIANS((C272) - INDEX('Dataset_Wisata'!$C$12:$C$622, MATCH('Dashboard'!$C$9, 'Dataset_Wisata'!$A$12:$A$622, 0)))/2)^2 + COS(RADIANS(INDEX('Dataset_Wisata'!$C$12:$C$622, MATCH('Dashboard'!$C$9, 'Dataset_Wisata'!$A$12:$A$622, 0)))) * COS(RADIANS(C272)) * SIN(RADIANS((D272) - INDEX('Dataset_Wisata'!$D$12:$D$622, MATCH('Dashboard'!$C$9, 'Dataset_Wisata'!$A$12:$A$622, 0)))/2)^2)) * 1.3</f>
        <v/>
      </c>
      <c r="J272" s="21">
        <f>ROUND(I272 * IF('Dashboard'!$C$6&lt;=1, 2250, IF('Dashboard'!$C$6&lt;=4, 5150, 6000)), 0)</f>
        <v/>
      </c>
      <c r="K272" s="30" t="n">
        <v>0.0009460509590550509</v>
      </c>
      <c r="L272" s="30" t="n">
        <v>0.9988291129147837</v>
      </c>
      <c r="M272" s="30" t="n">
        <v>0.0002248361261612175</v>
      </c>
      <c r="N272" s="31">
        <f>ABS(E272-$F$6)</f>
        <v/>
      </c>
      <c r="O272" s="31">
        <f>ABS(E272-$F$7)</f>
        <v/>
      </c>
      <c r="P272" s="31">
        <f>ABS(E272-$F$8)</f>
        <v/>
      </c>
      <c r="Q272" s="14">
        <f>IF(K272&gt;=MAX(L272,M272), "Hemat", IF(L272&gt;=M272, "Balanced", "Premium"))</f>
        <v/>
      </c>
      <c r="R272" s="30" t="n">
        <v>0.0009460368639408893</v>
      </c>
      <c r="S272" s="30" t="n">
        <v>0.998829130253259</v>
      </c>
      <c r="T272" s="30" t="n">
        <v>0.0002248328828000856</v>
      </c>
      <c r="U272" s="31">
        <f>ABS(E272-$G$6)</f>
        <v/>
      </c>
      <c r="V272" s="31">
        <f>ABS(E272-$G$7)</f>
        <v/>
      </c>
      <c r="W272" s="31">
        <f>ABS(E272-$G$8)</f>
        <v/>
      </c>
      <c r="X272" s="14">
        <f>IF(R272&gt;=MAX(S272,T272), "Hemat", IF(S272&gt;=T272, "Balanced", "Premium"))</f>
        <v/>
      </c>
    </row>
    <row r="273">
      <c r="A273" s="14" t="n">
        <v>262</v>
      </c>
      <c r="B273" s="7" t="inlineStr">
        <is>
          <t>Nasi Goreng CAKGIK KUD Kepanjen</t>
        </is>
      </c>
      <c r="C273" s="26" t="n">
        <v>-8.1460138</v>
      </c>
      <c r="D273" s="26" t="n">
        <v>112.5686954</v>
      </c>
      <c r="E273" s="21" t="n">
        <v>16500</v>
      </c>
      <c r="F273" s="27" t="n">
        <v>4.5</v>
      </c>
      <c r="G273" s="28" t="n">
        <v>23</v>
      </c>
      <c r="H273" s="14" t="inlineStr">
        <is>
          <t>Wisata Umum</t>
        </is>
      </c>
      <c r="I273" s="29">
        <f>6371 * 2 * ASIN(SQRT(SIN(RADIANS((C273) - INDEX('Dataset_Wisata'!$C$12:$C$622, MATCH('Dashboard'!$C$9, 'Dataset_Wisata'!$A$12:$A$622, 0)))/2)^2 + COS(RADIANS(INDEX('Dataset_Wisata'!$C$12:$C$622, MATCH('Dashboard'!$C$9, 'Dataset_Wisata'!$A$12:$A$622, 0)))) * COS(RADIANS(C273)) * SIN(RADIANS((D273) - INDEX('Dataset_Wisata'!$D$12:$D$622, MATCH('Dashboard'!$C$9, 'Dataset_Wisata'!$A$12:$A$622, 0)))/2)^2)) * 1.3</f>
        <v/>
      </c>
      <c r="J273" s="21">
        <f>ROUND(I273 * IF('Dashboard'!$C$6&lt;=1, 2250, IF('Dashboard'!$C$6&lt;=4, 5150, 6000)), 0)</f>
        <v/>
      </c>
      <c r="K273" s="30" t="n">
        <v>0.8714863278851296</v>
      </c>
      <c r="L273" s="30" t="n">
        <v>0.1197061829079762</v>
      </c>
      <c r="M273" s="30" t="n">
        <v>0.008807489206894295</v>
      </c>
      <c r="N273" s="31">
        <f>ABS(E273-$F$6)</f>
        <v/>
      </c>
      <c r="O273" s="31">
        <f>ABS(E273-$F$7)</f>
        <v/>
      </c>
      <c r="P273" s="31">
        <f>ABS(E273-$F$8)</f>
        <v/>
      </c>
      <c r="Q273" s="14">
        <f>IF(K273&gt;=MAX(L273,M273), "Hemat", IF(L273&gt;=M273, "Balanced", "Premium"))</f>
        <v/>
      </c>
      <c r="R273" s="30" t="n">
        <v>0.8714862185289194</v>
      </c>
      <c r="S273" s="30" t="n">
        <v>0.1197062875326776</v>
      </c>
      <c r="T273" s="30" t="n">
        <v>0.008807493938402942</v>
      </c>
      <c r="U273" s="31">
        <f>ABS(E273-$G$6)</f>
        <v/>
      </c>
      <c r="V273" s="31">
        <f>ABS(E273-$G$7)</f>
        <v/>
      </c>
      <c r="W273" s="31">
        <f>ABS(E273-$G$8)</f>
        <v/>
      </c>
      <c r="X273" s="14">
        <f>IF(R273&gt;=MAX(S273,T273), "Hemat", IF(S273&gt;=T273, "Balanced", "Premium"))</f>
        <v/>
      </c>
    </row>
    <row r="274">
      <c r="A274" s="14" t="n">
        <v>263</v>
      </c>
      <c r="B274" s="7" t="inlineStr">
        <is>
          <t>KISARASA Restaurant</t>
        </is>
      </c>
      <c r="C274" s="26" t="n">
        <v>-8.149905499999999</v>
      </c>
      <c r="D274" s="26" t="n">
        <v>112.5667518</v>
      </c>
      <c r="E274" s="21" t="n">
        <v>16500</v>
      </c>
      <c r="F274" s="27" t="n">
        <v>5</v>
      </c>
      <c r="G274" s="28" t="n">
        <v>82</v>
      </c>
      <c r="H274" s="14" t="inlineStr">
        <is>
          <t>Wisata Umum</t>
        </is>
      </c>
      <c r="I274" s="29">
        <f>6371 * 2 * ASIN(SQRT(SIN(RADIANS((C274) - INDEX('Dataset_Wisata'!$C$12:$C$622, MATCH('Dashboard'!$C$9, 'Dataset_Wisata'!$A$12:$A$622, 0)))/2)^2 + COS(RADIANS(INDEX('Dataset_Wisata'!$C$12:$C$622, MATCH('Dashboard'!$C$9, 'Dataset_Wisata'!$A$12:$A$622, 0)))) * COS(RADIANS(C274)) * SIN(RADIANS((D274) - INDEX('Dataset_Wisata'!$D$12:$D$622, MATCH('Dashboard'!$C$9, 'Dataset_Wisata'!$A$12:$A$622, 0)))/2)^2)) * 1.3</f>
        <v/>
      </c>
      <c r="J274" s="21">
        <f>ROUND(I274 * IF('Dashboard'!$C$6&lt;=1, 2250, IF('Dashboard'!$C$6&lt;=4, 5150, 6000)), 0)</f>
        <v/>
      </c>
      <c r="K274" s="30" t="n">
        <v>0.8714863278851296</v>
      </c>
      <c r="L274" s="30" t="n">
        <v>0.1197061829079762</v>
      </c>
      <c r="M274" s="30" t="n">
        <v>0.008807489206894295</v>
      </c>
      <c r="N274" s="31">
        <f>ABS(E274-$F$6)</f>
        <v/>
      </c>
      <c r="O274" s="31">
        <f>ABS(E274-$F$7)</f>
        <v/>
      </c>
      <c r="P274" s="31">
        <f>ABS(E274-$F$8)</f>
        <v/>
      </c>
      <c r="Q274" s="14">
        <f>IF(K274&gt;=MAX(L274,M274), "Hemat", IF(L274&gt;=M274, "Balanced", "Premium"))</f>
        <v/>
      </c>
      <c r="R274" s="30" t="n">
        <v>0.8714862185289194</v>
      </c>
      <c r="S274" s="30" t="n">
        <v>0.1197062875326776</v>
      </c>
      <c r="T274" s="30" t="n">
        <v>0.008807493938402942</v>
      </c>
      <c r="U274" s="31">
        <f>ABS(E274-$G$6)</f>
        <v/>
      </c>
      <c r="V274" s="31">
        <f>ABS(E274-$G$7)</f>
        <v/>
      </c>
      <c r="W274" s="31">
        <f>ABS(E274-$G$8)</f>
        <v/>
      </c>
      <c r="X274" s="14">
        <f>IF(R274&gt;=MAX(S274,T274), "Hemat", IF(S274&gt;=T274, "Balanced", "Premium"))</f>
        <v/>
      </c>
    </row>
    <row r="275">
      <c r="A275" s="14" t="n">
        <v>264</v>
      </c>
      <c r="B275" s="7" t="inlineStr">
        <is>
          <t>Wisata Pemancingan Dan Warung Makan Keluarga</t>
        </is>
      </c>
      <c r="C275" s="26" t="n">
        <v>-8.135858799999999</v>
      </c>
      <c r="D275" s="26" t="n">
        <v>112.5544071</v>
      </c>
      <c r="E275" s="21" t="n">
        <v>25000</v>
      </c>
      <c r="F275" s="27" t="n">
        <v>4.2</v>
      </c>
      <c r="G275" s="28" t="n">
        <v>90</v>
      </c>
      <c r="H275" s="14" t="inlineStr">
        <is>
          <t>Restoran · VH73+MQ3</t>
        </is>
      </c>
      <c r="I275" s="29">
        <f>6371 * 2 * ASIN(SQRT(SIN(RADIANS((C275) - INDEX('Dataset_Wisata'!$C$12:$C$622, MATCH('Dashboard'!$C$9, 'Dataset_Wisata'!$A$12:$A$622, 0)))/2)^2 + COS(RADIANS(INDEX('Dataset_Wisata'!$C$12:$C$622, MATCH('Dashboard'!$C$9, 'Dataset_Wisata'!$A$12:$A$622, 0)))) * COS(RADIANS(C275)) * SIN(RADIANS((D275) - INDEX('Dataset_Wisata'!$D$12:$D$622, MATCH('Dashboard'!$C$9, 'Dataset_Wisata'!$A$12:$A$622, 0)))/2)^2)) * 1.3</f>
        <v/>
      </c>
      <c r="J275" s="21">
        <f>ROUND(I275 * IF('Dashboard'!$C$6&lt;=1, 2250, IF('Dashboard'!$C$6&lt;=4, 5150, 6000)), 0)</f>
        <v/>
      </c>
      <c r="K275" s="30" t="n">
        <v>0.0009460509590550509</v>
      </c>
      <c r="L275" s="30" t="n">
        <v>0.9988291129147837</v>
      </c>
      <c r="M275" s="30" t="n">
        <v>0.0002248361261612175</v>
      </c>
      <c r="N275" s="31">
        <f>ABS(E275-$F$6)</f>
        <v/>
      </c>
      <c r="O275" s="31">
        <f>ABS(E275-$F$7)</f>
        <v/>
      </c>
      <c r="P275" s="31">
        <f>ABS(E275-$F$8)</f>
        <v/>
      </c>
      <c r="Q275" s="14">
        <f>IF(K275&gt;=MAX(L275,M275), "Hemat", IF(L275&gt;=M275, "Balanced", "Premium"))</f>
        <v/>
      </c>
      <c r="R275" s="30" t="n">
        <v>0.0009460368639408893</v>
      </c>
      <c r="S275" s="30" t="n">
        <v>0.998829130253259</v>
      </c>
      <c r="T275" s="30" t="n">
        <v>0.0002248328828000856</v>
      </c>
      <c r="U275" s="31">
        <f>ABS(E275-$G$6)</f>
        <v/>
      </c>
      <c r="V275" s="31">
        <f>ABS(E275-$G$7)</f>
        <v/>
      </c>
      <c r="W275" s="31">
        <f>ABS(E275-$G$8)</f>
        <v/>
      </c>
      <c r="X275" s="14">
        <f>IF(R275&gt;=MAX(S275,T275), "Hemat", IF(S275&gt;=T275, "Balanced", "Premium"))</f>
        <v/>
      </c>
    </row>
    <row r="276">
      <c r="A276" s="14" t="n">
        <v>265</v>
      </c>
      <c r="B276" s="7" t="inlineStr">
        <is>
          <t>Papringan Coffee &amp; Food</t>
        </is>
      </c>
      <c r="C276" s="26" t="n">
        <v>-8.116538</v>
      </c>
      <c r="D276" s="26" t="n">
        <v>112.5676345</v>
      </c>
      <c r="E276" s="21" t="n">
        <v>14500</v>
      </c>
      <c r="F276" s="27" t="n">
        <v>3.9</v>
      </c>
      <c r="G276" s="28" t="n">
        <v>774</v>
      </c>
      <c r="H276" s="14" t="inlineStr">
        <is>
          <t>Wisata Umum</t>
        </is>
      </c>
      <c r="I276" s="29">
        <f>6371 * 2 * ASIN(SQRT(SIN(RADIANS((C276) - INDEX('Dataset_Wisata'!$C$12:$C$622, MATCH('Dashboard'!$C$9, 'Dataset_Wisata'!$A$12:$A$622, 0)))/2)^2 + COS(RADIANS(INDEX('Dataset_Wisata'!$C$12:$C$622, MATCH('Dashboard'!$C$9, 'Dataset_Wisata'!$A$12:$A$622, 0)))) * COS(RADIANS(C276)) * SIN(RADIANS((D276) - INDEX('Dataset_Wisata'!$D$12:$D$622, MATCH('Dashboard'!$C$9, 'Dataset_Wisata'!$A$12:$A$622, 0)))/2)^2)) * 1.3</f>
        <v/>
      </c>
      <c r="J276" s="21">
        <f>ROUND(I276 * IF('Dashboard'!$C$6&lt;=1, 2250, IF('Dashboard'!$C$6&lt;=4, 5150, 6000)), 0)</f>
        <v/>
      </c>
      <c r="K276" s="30" t="n">
        <v>0.9848728426698685</v>
      </c>
      <c r="L276" s="30" t="n">
        <v>0.01377517057236063</v>
      </c>
      <c r="M276" s="30" t="n">
        <v>0.001351986757770871</v>
      </c>
      <c r="N276" s="31">
        <f>ABS(E276-$F$6)</f>
        <v/>
      </c>
      <c r="O276" s="31">
        <f>ABS(E276-$F$7)</f>
        <v/>
      </c>
      <c r="P276" s="31">
        <f>ABS(E276-$F$8)</f>
        <v/>
      </c>
      <c r="Q276" s="14">
        <f>IF(K276&gt;=MAX(L276,M276), "Hemat", IF(L276&gt;=M276, "Balanced", "Premium"))</f>
        <v/>
      </c>
      <c r="R276" s="30" t="n">
        <v>0.9848728206333779</v>
      </c>
      <c r="S276" s="30" t="n">
        <v>0.01377519093575759</v>
      </c>
      <c r="T276" s="30" t="n">
        <v>0.001351988430864579</v>
      </c>
      <c r="U276" s="31">
        <f>ABS(E276-$G$6)</f>
        <v/>
      </c>
      <c r="V276" s="31">
        <f>ABS(E276-$G$7)</f>
        <v/>
      </c>
      <c r="W276" s="31">
        <f>ABS(E276-$G$8)</f>
        <v/>
      </c>
      <c r="X276" s="14">
        <f>IF(R276&gt;=MAX(S276,T276), "Hemat", IF(S276&gt;=T276, "Balanced", "Premium"))</f>
        <v/>
      </c>
    </row>
    <row r="277">
      <c r="A277" s="14" t="n">
        <v>266</v>
      </c>
      <c r="B277" s="7" t="inlineStr">
        <is>
          <t>Seafood Sinyonya</t>
        </is>
      </c>
      <c r="C277" s="26" t="n">
        <v>-8.118526299999999</v>
      </c>
      <c r="D277" s="26" t="n">
        <v>112.5708405</v>
      </c>
      <c r="E277" s="21" t="n">
        <v>19500</v>
      </c>
      <c r="F277" s="27" t="n">
        <v>4.4</v>
      </c>
      <c r="G277" s="28" t="n">
        <v>367</v>
      </c>
      <c r="H277" s="14" t="inlineStr">
        <is>
          <t>Wisata Umum</t>
        </is>
      </c>
      <c r="I277" s="29">
        <f>6371 * 2 * ASIN(SQRT(SIN(RADIANS((C277) - INDEX('Dataset_Wisata'!$C$12:$C$622, MATCH('Dashboard'!$C$9, 'Dataset_Wisata'!$A$12:$A$622, 0)))/2)^2 + COS(RADIANS(INDEX('Dataset_Wisata'!$C$12:$C$622, MATCH('Dashboard'!$C$9, 'Dataset_Wisata'!$A$12:$A$622, 0)))) * COS(RADIANS(C277)) * SIN(RADIANS((D277) - INDEX('Dataset_Wisata'!$D$12:$D$622, MATCH('Dashboard'!$C$9, 'Dataset_Wisata'!$A$12:$A$622, 0)))/2)^2)) * 1.3</f>
        <v/>
      </c>
      <c r="J277" s="21">
        <f>ROUND(I277 * IF('Dashboard'!$C$6&lt;=1, 2250, IF('Dashboard'!$C$6&lt;=4, 5150, 6000)), 0)</f>
        <v/>
      </c>
      <c r="K277" s="30" t="n">
        <v>0.4557889535565174</v>
      </c>
      <c r="L277" s="30" t="n">
        <v>0.5237659720581146</v>
      </c>
      <c r="M277" s="30" t="n">
        <v>0.02044507438536788</v>
      </c>
      <c r="N277" s="31">
        <f>ABS(E277-$F$6)</f>
        <v/>
      </c>
      <c r="O277" s="31">
        <f>ABS(E277-$F$7)</f>
        <v/>
      </c>
      <c r="P277" s="31">
        <f>ABS(E277-$F$8)</f>
        <v/>
      </c>
      <c r="Q277" s="14">
        <f>IF(K277&gt;=MAX(L277,M277), "Hemat", IF(L277&gt;=M277, "Balanced", "Premium"))</f>
        <v/>
      </c>
      <c r="R277" s="30" t="n">
        <v>0.4557886811023241</v>
      </c>
      <c r="S277" s="30" t="n">
        <v>0.523766246469491</v>
      </c>
      <c r="T277" s="30" t="n">
        <v>0.02044507242818502</v>
      </c>
      <c r="U277" s="31">
        <f>ABS(E277-$G$6)</f>
        <v/>
      </c>
      <c r="V277" s="31">
        <f>ABS(E277-$G$7)</f>
        <v/>
      </c>
      <c r="W277" s="31">
        <f>ABS(E277-$G$8)</f>
        <v/>
      </c>
      <c r="X277" s="14">
        <f>IF(R277&gt;=MAX(S277,T277), "Hemat", IF(S277&gt;=T277, "Balanced", "Premium"))</f>
        <v/>
      </c>
    </row>
    <row r="278">
      <c r="A278" s="14" t="n">
        <v>267</v>
      </c>
      <c r="B278" s="7" t="inlineStr">
        <is>
          <t>Warung Mak Roes</t>
        </is>
      </c>
      <c r="C278" s="26" t="n">
        <v>-8.127962999999999</v>
      </c>
      <c r="D278" s="26" t="n">
        <v>112.5711009</v>
      </c>
      <c r="E278" s="21" t="n">
        <v>33000</v>
      </c>
      <c r="F278" s="27" t="n">
        <v>4.3</v>
      </c>
      <c r="G278" s="28" t="n">
        <v>25</v>
      </c>
      <c r="H278" s="14" t="inlineStr">
        <is>
          <t>Warung Mak Roes</t>
        </is>
      </c>
      <c r="I278" s="29">
        <f>6371 * 2 * ASIN(SQRT(SIN(RADIANS((C278) - INDEX('Dataset_Wisata'!$C$12:$C$622, MATCH('Dashboard'!$C$9, 'Dataset_Wisata'!$A$12:$A$622, 0)))/2)^2 + COS(RADIANS(INDEX('Dataset_Wisata'!$C$12:$C$622, MATCH('Dashboard'!$C$9, 'Dataset_Wisata'!$A$12:$A$622, 0)))) * COS(RADIANS(C278)) * SIN(RADIANS((D278) - INDEX('Dataset_Wisata'!$D$12:$D$622, MATCH('Dashboard'!$C$9, 'Dataset_Wisata'!$A$12:$A$622, 0)))/2)^2)) * 1.3</f>
        <v/>
      </c>
      <c r="J278" s="21">
        <f>ROUND(I278 * IF('Dashboard'!$C$6&lt;=1, 2250, IF('Dashboard'!$C$6&lt;=4, 5150, 6000)), 0)</f>
        <v/>
      </c>
      <c r="K278" s="30" t="n">
        <v>0.10861041994228</v>
      </c>
      <c r="L278" s="30" t="n">
        <v>0.7288668914478508</v>
      </c>
      <c r="M278" s="30" t="n">
        <v>0.1625226886098691</v>
      </c>
      <c r="N278" s="31">
        <f>ABS(E278-$F$6)</f>
        <v/>
      </c>
      <c r="O278" s="31">
        <f>ABS(E278-$F$7)</f>
        <v/>
      </c>
      <c r="P278" s="31">
        <f>ABS(E278-$F$8)</f>
        <v/>
      </c>
      <c r="Q278" s="14">
        <f>IF(K278&gt;=MAX(L278,M278), "Hemat", IF(L278&gt;=M278, "Balanced", "Premium"))</f>
        <v/>
      </c>
      <c r="R278" s="30" t="n">
        <v>0.108610459682065</v>
      </c>
      <c r="S278" s="30" t="n">
        <v>0.7288666932611487</v>
      </c>
      <c r="T278" s="30" t="n">
        <v>0.1625228470567863</v>
      </c>
      <c r="U278" s="31">
        <f>ABS(E278-$G$6)</f>
        <v/>
      </c>
      <c r="V278" s="31">
        <f>ABS(E278-$G$7)</f>
        <v/>
      </c>
      <c r="W278" s="31">
        <f>ABS(E278-$G$8)</f>
        <v/>
      </c>
      <c r="X278" s="14">
        <f>IF(R278&gt;=MAX(S278,T278), "Hemat", IF(S278&gt;=T278, "Balanced", "Premium"))</f>
        <v/>
      </c>
    </row>
    <row r="279">
      <c r="A279" s="14" t="n">
        <v>268</v>
      </c>
      <c r="B279" s="7" t="inlineStr">
        <is>
          <t>Markatam Kepanjen</t>
        </is>
      </c>
      <c r="C279" s="26" t="n">
        <v>-8.1246954</v>
      </c>
      <c r="D279" s="26" t="n">
        <v>112.5726057</v>
      </c>
      <c r="E279" s="21" t="n">
        <v>10000</v>
      </c>
      <c r="F279" s="27" t="n">
        <v>4.8</v>
      </c>
      <c r="G279" s="28" t="n">
        <v>344</v>
      </c>
      <c r="H279" s="14" t="inlineStr">
        <is>
          <t>Wisata Umum</t>
        </is>
      </c>
      <c r="I279" s="29">
        <f>6371 * 2 * ASIN(SQRT(SIN(RADIANS((C279) - INDEX('Dataset_Wisata'!$C$12:$C$622, MATCH('Dashboard'!$C$9, 'Dataset_Wisata'!$A$12:$A$622, 0)))/2)^2 + COS(RADIANS(INDEX('Dataset_Wisata'!$C$12:$C$622, MATCH('Dashboard'!$C$9, 'Dataset_Wisata'!$A$12:$A$622, 0)))) * COS(RADIANS(C279)) * SIN(RADIANS((D279) - INDEX('Dataset_Wisata'!$D$12:$D$622, MATCH('Dashboard'!$C$9, 'Dataset_Wisata'!$A$12:$A$622, 0)))/2)^2)) * 1.3</f>
        <v/>
      </c>
      <c r="J279" s="21">
        <f>ROUND(I279 * IF('Dashboard'!$C$6&lt;=1, 2250, IF('Dashboard'!$C$6&lt;=4, 5150, 6000)), 0)</f>
        <v/>
      </c>
      <c r="K279" s="30" t="n">
        <v>0.9518906050943107</v>
      </c>
      <c r="L279" s="30" t="n">
        <v>0.04169660451397377</v>
      </c>
      <c r="M279" s="30" t="n">
        <v>0.006412790391715545</v>
      </c>
      <c r="N279" s="31">
        <f>ABS(E279-$F$6)</f>
        <v/>
      </c>
      <c r="O279" s="31">
        <f>ABS(E279-$F$7)</f>
        <v/>
      </c>
      <c r="P279" s="31">
        <f>ABS(E279-$F$8)</f>
        <v/>
      </c>
      <c r="Q279" s="14">
        <f>IF(K279&gt;=MAX(L279,M279), "Hemat", IF(L279&gt;=M279, "Balanced", "Premium"))</f>
        <v/>
      </c>
      <c r="R279" s="30" t="n">
        <v>0.9518906082621517</v>
      </c>
      <c r="S279" s="30" t="n">
        <v>0.04169660246361195</v>
      </c>
      <c r="T279" s="30" t="n">
        <v>0.006412789274236485</v>
      </c>
      <c r="U279" s="31">
        <f>ABS(E279-$G$6)</f>
        <v/>
      </c>
      <c r="V279" s="31">
        <f>ABS(E279-$G$7)</f>
        <v/>
      </c>
      <c r="W279" s="31">
        <f>ABS(E279-$G$8)</f>
        <v/>
      </c>
      <c r="X279" s="14">
        <f>IF(R279&gt;=MAX(S279,T279), "Hemat", IF(S279&gt;=T279, "Balanced", "Premium"))</f>
        <v/>
      </c>
    </row>
    <row r="280">
      <c r="A280" s="14" t="n">
        <v>269</v>
      </c>
      <c r="B280" s="7" t="inlineStr">
        <is>
          <t>Dapur Protiga</t>
        </is>
      </c>
      <c r="C280" s="26" t="n">
        <v>-8.1336648</v>
      </c>
      <c r="D280" s="26" t="n">
        <v>112.5742188</v>
      </c>
      <c r="E280" s="21" t="n">
        <v>34200</v>
      </c>
      <c r="F280" s="27" t="n">
        <v>4.3</v>
      </c>
      <c r="G280" s="28" t="n">
        <v>586</v>
      </c>
      <c r="H280" s="14" t="inlineStr">
        <is>
          <t>Wisata Umum</t>
        </is>
      </c>
      <c r="I280" s="29">
        <f>6371 * 2 * ASIN(SQRT(SIN(RADIANS((C280) - INDEX('Dataset_Wisata'!$C$12:$C$622, MATCH('Dashboard'!$C$9, 'Dataset_Wisata'!$A$12:$A$622, 0)))/2)^2 + COS(RADIANS(INDEX('Dataset_Wisata'!$C$12:$C$622, MATCH('Dashboard'!$C$9, 'Dataset_Wisata'!$A$12:$A$622, 0)))) * COS(RADIANS(C280)) * SIN(RADIANS((D280) - INDEX('Dataset_Wisata'!$D$12:$D$622, MATCH('Dashboard'!$C$9, 'Dataset_Wisata'!$A$12:$A$622, 0)))/2)^2)) * 1.3</f>
        <v/>
      </c>
      <c r="J280" s="21">
        <f>ROUND(I280 * IF('Dashboard'!$C$6&lt;=1, 2250, IF('Dashboard'!$C$6&lt;=4, 5150, 6000)), 0)</f>
        <v/>
      </c>
      <c r="K280" s="30" t="n">
        <v>0.1162446719819537</v>
      </c>
      <c r="L280" s="30" t="n">
        <v>0.6554463657266607</v>
      </c>
      <c r="M280" s="30" t="n">
        <v>0.2283089622913856</v>
      </c>
      <c r="N280" s="31">
        <f>ABS(E280-$F$6)</f>
        <v/>
      </c>
      <c r="O280" s="31">
        <f>ABS(E280-$F$7)</f>
        <v/>
      </c>
      <c r="P280" s="31">
        <f>ABS(E280-$F$8)</f>
        <v/>
      </c>
      <c r="Q280" s="14">
        <f>IF(K280&gt;=MAX(L280,M280), "Hemat", IF(L280&gt;=M280, "Balanced", "Premium"))</f>
        <v/>
      </c>
      <c r="R280" s="30" t="n">
        <v>0.1162446963669052</v>
      </c>
      <c r="S280" s="30" t="n">
        <v>0.6554461453072815</v>
      </c>
      <c r="T280" s="30" t="n">
        <v>0.2283091583258134</v>
      </c>
      <c r="U280" s="31">
        <f>ABS(E280-$G$6)</f>
        <v/>
      </c>
      <c r="V280" s="31">
        <f>ABS(E280-$G$7)</f>
        <v/>
      </c>
      <c r="W280" s="31">
        <f>ABS(E280-$G$8)</f>
        <v/>
      </c>
      <c r="X280" s="14">
        <f>IF(R280&gt;=MAX(S280,T280), "Hemat", IF(S280&gt;=T280, "Balanced", "Premium"))</f>
        <v/>
      </c>
    </row>
    <row r="281">
      <c r="A281" s="14" t="n">
        <v>270</v>
      </c>
      <c r="B281" s="7" t="inlineStr">
        <is>
          <t>Warung Fadhillah</t>
        </is>
      </c>
      <c r="C281" s="26" t="n">
        <v>-8.1173293</v>
      </c>
      <c r="D281" s="26" t="n">
        <v>112.5678813</v>
      </c>
      <c r="E281" s="21" t="n">
        <v>10500</v>
      </c>
      <c r="F281" s="27" t="n">
        <v>4.7</v>
      </c>
      <c r="G281" s="28" t="n">
        <v>20</v>
      </c>
      <c r="H281" s="14" t="inlineStr">
        <is>
          <t>Warung Fadhillah</t>
        </is>
      </c>
      <c r="I281" s="29">
        <f>6371 * 2 * ASIN(SQRT(SIN(RADIANS((C281) - INDEX('Dataset_Wisata'!$C$12:$C$622, MATCH('Dashboard'!$C$9, 'Dataset_Wisata'!$A$12:$A$622, 0)))/2)^2 + COS(RADIANS(INDEX('Dataset_Wisata'!$C$12:$C$622, MATCH('Dashboard'!$C$9, 'Dataset_Wisata'!$A$12:$A$622, 0)))) * COS(RADIANS(C281)) * SIN(RADIANS((D281) - INDEX('Dataset_Wisata'!$D$12:$D$622, MATCH('Dashboard'!$C$9, 'Dataset_Wisata'!$A$12:$A$622, 0)))/2)^2)) * 1.3</f>
        <v/>
      </c>
      <c r="J281" s="21">
        <f>ROUND(I281 * IF('Dashboard'!$C$6&lt;=1, 2250, IF('Dashboard'!$C$6&lt;=4, 5150, 6000)), 0)</f>
        <v/>
      </c>
      <c r="K281" s="30" t="n">
        <v>0.9631066912928858</v>
      </c>
      <c r="L281" s="30" t="n">
        <v>0.0321455821344861</v>
      </c>
      <c r="M281" s="30" t="n">
        <v>0.004747726572627954</v>
      </c>
      <c r="N281" s="31">
        <f>ABS(E281-$F$6)</f>
        <v/>
      </c>
      <c r="O281" s="31">
        <f>ABS(E281-$F$7)</f>
        <v/>
      </c>
      <c r="P281" s="31">
        <f>ABS(E281-$F$8)</f>
        <v/>
      </c>
      <c r="Q281" s="14">
        <f>IF(K281&gt;=MAX(L281,M281), "Hemat", IF(L281&gt;=M281, "Balanced", "Premium"))</f>
        <v/>
      </c>
      <c r="R281" s="30" t="n">
        <v>0.963106695983622</v>
      </c>
      <c r="S281" s="30" t="n">
        <v>0.03214557860147575</v>
      </c>
      <c r="T281" s="30" t="n">
        <v>0.004747725414902122</v>
      </c>
      <c r="U281" s="31">
        <f>ABS(E281-$G$6)</f>
        <v/>
      </c>
      <c r="V281" s="31">
        <f>ABS(E281-$G$7)</f>
        <v/>
      </c>
      <c r="W281" s="31">
        <f>ABS(E281-$G$8)</f>
        <v/>
      </c>
      <c r="X281" s="14">
        <f>IF(R281&gt;=MAX(S281,T281), "Hemat", IF(S281&gt;=T281, "Balanced", "Premium"))</f>
        <v/>
      </c>
    </row>
    <row r="282">
      <c r="A282" s="14" t="n">
        <v>271</v>
      </c>
      <c r="B282" s="7" t="inlineStr">
        <is>
          <t>Bebek Goreng Mbak Lik Kepanjen</t>
        </is>
      </c>
      <c r="C282" s="26" t="n">
        <v>-8.1266286</v>
      </c>
      <c r="D282" s="26" t="n">
        <v>112.5717133</v>
      </c>
      <c r="E282" s="21" t="n">
        <v>30599</v>
      </c>
      <c r="F282" s="27" t="n">
        <v>4.4</v>
      </c>
      <c r="G282" s="28" t="n">
        <v>199</v>
      </c>
      <c r="H282" s="14" t="inlineStr">
        <is>
          <t>Wisata Umum</t>
        </is>
      </c>
      <c r="I282" s="29">
        <f>6371 * 2 * ASIN(SQRT(SIN(RADIANS((C282) - INDEX('Dataset_Wisata'!$C$12:$C$622, MATCH('Dashboard'!$C$9, 'Dataset_Wisata'!$A$12:$A$622, 0)))/2)^2 + COS(RADIANS(INDEX('Dataset_Wisata'!$C$12:$C$622, MATCH('Dashboard'!$C$9, 'Dataset_Wisata'!$A$12:$A$622, 0)))) * COS(RADIANS(C282)) * SIN(RADIANS((D282) - INDEX('Dataset_Wisata'!$D$12:$D$622, MATCH('Dashboard'!$C$9, 'Dataset_Wisata'!$A$12:$A$622, 0)))/2)^2)) * 1.3</f>
        <v/>
      </c>
      <c r="J282" s="21">
        <f>ROUND(I282 * IF('Dashboard'!$C$6&lt;=1, 2250, IF('Dashboard'!$C$6&lt;=4, 5150, 6000)), 0)</f>
        <v/>
      </c>
      <c r="K282" s="30" t="n">
        <v>0.0775364802192791</v>
      </c>
      <c r="L282" s="30" t="n">
        <v>0.8545511755828528</v>
      </c>
      <c r="M282" s="30" t="n">
        <v>0.06791234419786811</v>
      </c>
      <c r="N282" s="31">
        <f>ABS(E282-$F$6)</f>
        <v/>
      </c>
      <c r="O282" s="31">
        <f>ABS(E282-$F$7)</f>
        <v/>
      </c>
      <c r="P282" s="31">
        <f>ABS(E282-$F$8)</f>
        <v/>
      </c>
      <c r="Q282" s="14">
        <f>IF(K282&gt;=MAX(L282,M282), "Hemat", IF(L282&gt;=M282, "Balanced", "Premium"))</f>
        <v/>
      </c>
      <c r="R282" s="30" t="n">
        <v>0.07753654035971476</v>
      </c>
      <c r="S282" s="30" t="n">
        <v>0.8545510255661338</v>
      </c>
      <c r="T282" s="30" t="n">
        <v>0.06791243407415139</v>
      </c>
      <c r="U282" s="31">
        <f>ABS(E282-$G$6)</f>
        <v/>
      </c>
      <c r="V282" s="31">
        <f>ABS(E282-$G$7)</f>
        <v/>
      </c>
      <c r="W282" s="31">
        <f>ABS(E282-$G$8)</f>
        <v/>
      </c>
      <c r="X282" s="14">
        <f>IF(R282&gt;=MAX(S282,T282), "Hemat", IF(S282&gt;=T282, "Balanced", "Premium"))</f>
        <v/>
      </c>
    </row>
    <row r="283">
      <c r="A283" s="14" t="n">
        <v>272</v>
      </c>
      <c r="B283" s="7" t="inlineStr">
        <is>
          <t>Warung Sederhano</t>
        </is>
      </c>
      <c r="C283" s="26" t="n">
        <v>-8.110618199999999</v>
      </c>
      <c r="D283" s="26" t="n">
        <v>112.5768301</v>
      </c>
      <c r="E283" s="21" t="n">
        <v>13500</v>
      </c>
      <c r="F283" s="27" t="n">
        <v>4.5</v>
      </c>
      <c r="G283" s="28" t="n">
        <v>51</v>
      </c>
      <c r="H283" s="14" t="inlineStr">
        <is>
          <t>Warung Sederhano</t>
        </is>
      </c>
      <c r="I283" s="29">
        <f>6371 * 2 * ASIN(SQRT(SIN(RADIANS((C283) - INDEX('Dataset_Wisata'!$C$12:$C$622, MATCH('Dashboard'!$C$9, 'Dataset_Wisata'!$A$12:$A$622, 0)))/2)^2 + COS(RADIANS(INDEX('Dataset_Wisata'!$C$12:$C$622, MATCH('Dashboard'!$C$9, 'Dataset_Wisata'!$A$12:$A$622, 0)))) * COS(RADIANS(C283)) * SIN(RADIANS((D283) - INDEX('Dataset_Wisata'!$D$12:$D$622, MATCH('Dashboard'!$C$9, 'Dataset_Wisata'!$A$12:$A$622, 0)))/2)^2)) * 1.3</f>
        <v/>
      </c>
      <c r="J283" s="21">
        <f>ROUND(I283 * IF('Dashboard'!$C$6&lt;=1, 2250, IF('Dashboard'!$C$6&lt;=4, 5150, 6000)), 0)</f>
        <v/>
      </c>
      <c r="K283" s="30" t="n">
        <v>0.9993608169528668</v>
      </c>
      <c r="L283" s="30" t="n">
        <v>0.0005755405742947694</v>
      </c>
      <c r="M283" s="30" t="n">
        <v>6.36424728383445e-05</v>
      </c>
      <c r="N283" s="31">
        <f>ABS(E283-$F$6)</f>
        <v/>
      </c>
      <c r="O283" s="31">
        <f>ABS(E283-$F$7)</f>
        <v/>
      </c>
      <c r="P283" s="31">
        <f>ABS(E283-$F$8)</f>
        <v/>
      </c>
      <c r="Q283" s="14">
        <f>IF(K283&gt;=MAX(L283,M283), "Hemat", IF(L283&gt;=M283, "Balanced", "Premium"))</f>
        <v/>
      </c>
      <c r="R283" s="30" t="n">
        <v>0.9993608137761221</v>
      </c>
      <c r="S283" s="30" t="n">
        <v>0.0005755434465521912</v>
      </c>
      <c r="T283" s="30" t="n">
        <v>6.364277732570516e-05</v>
      </c>
      <c r="U283" s="31">
        <f>ABS(E283-$G$6)</f>
        <v/>
      </c>
      <c r="V283" s="31">
        <f>ABS(E283-$G$7)</f>
        <v/>
      </c>
      <c r="W283" s="31">
        <f>ABS(E283-$G$8)</f>
        <v/>
      </c>
      <c r="X283" s="14">
        <f>IF(R283&gt;=MAX(S283,T283), "Hemat", IF(S283&gt;=T283, "Balanced", "Premium"))</f>
        <v/>
      </c>
    </row>
    <row r="284">
      <c r="A284" s="14" t="n">
        <v>273</v>
      </c>
      <c r="B284" s="7" t="inlineStr">
        <is>
          <t>Makcik Pakcik Resto &amp; Cafe</t>
        </is>
      </c>
      <c r="C284" s="26" t="n">
        <v>-8.131971200000001</v>
      </c>
      <c r="D284" s="26" t="n">
        <v>112.5703771</v>
      </c>
      <c r="E284" s="21" t="n">
        <v>19000</v>
      </c>
      <c r="F284" s="27" t="n">
        <v>4.2</v>
      </c>
      <c r="G284" s="28" t="n">
        <v>38</v>
      </c>
      <c r="H284" s="14" t="inlineStr">
        <is>
          <t>Wisata Umum</t>
        </is>
      </c>
      <c r="I284" s="29">
        <f>6371 * 2 * ASIN(SQRT(SIN(RADIANS((C284) - INDEX('Dataset_Wisata'!$C$12:$C$622, MATCH('Dashboard'!$C$9, 'Dataset_Wisata'!$A$12:$A$622, 0)))/2)^2 + COS(RADIANS(INDEX('Dataset_Wisata'!$C$12:$C$622, MATCH('Dashboard'!$C$9, 'Dataset_Wisata'!$A$12:$A$622, 0)))) * COS(RADIANS(C284)) * SIN(RADIANS((D284) - INDEX('Dataset_Wisata'!$D$12:$D$622, MATCH('Dashboard'!$C$9, 'Dataset_Wisata'!$A$12:$A$622, 0)))/2)^2)) * 1.3</f>
        <v/>
      </c>
      <c r="J284" s="21">
        <f>ROUND(I284 * IF('Dashboard'!$C$6&lt;=1, 2250, IF('Dashboard'!$C$6&lt;=4, 5150, 6000)), 0)</f>
        <v/>
      </c>
      <c r="K284" s="30" t="n">
        <v>0.5366761769981572</v>
      </c>
      <c r="L284" s="30" t="n">
        <v>0.4435988772155322</v>
      </c>
      <c r="M284" s="30" t="n">
        <v>0.01972494578631066</v>
      </c>
      <c r="N284" s="31">
        <f>ABS(E284-$F$6)</f>
        <v/>
      </c>
      <c r="O284" s="31">
        <f>ABS(E284-$F$7)</f>
        <v/>
      </c>
      <c r="P284" s="31">
        <f>ABS(E284-$F$8)</f>
        <v/>
      </c>
      <c r="Q284" s="14">
        <f>IF(K284&gt;=MAX(L284,M284), "Hemat", IF(L284&gt;=M284, "Balanced", "Premium"))</f>
        <v/>
      </c>
      <c r="R284" s="30" t="n">
        <v>0.5366759174130455</v>
      </c>
      <c r="S284" s="30" t="n">
        <v>0.443599136184954</v>
      </c>
      <c r="T284" s="30" t="n">
        <v>0.01972494640200039</v>
      </c>
      <c r="U284" s="31">
        <f>ABS(E284-$G$6)</f>
        <v/>
      </c>
      <c r="V284" s="31">
        <f>ABS(E284-$G$7)</f>
        <v/>
      </c>
      <c r="W284" s="31">
        <f>ABS(E284-$G$8)</f>
        <v/>
      </c>
      <c r="X284" s="14">
        <f>IF(R284&gt;=MAX(S284,T284), "Hemat", IF(S284&gt;=T284, "Balanced", "Premium"))</f>
        <v/>
      </c>
    </row>
    <row r="285">
      <c r="A285" s="14" t="n">
        <v>274</v>
      </c>
      <c r="B285" s="7" t="inlineStr">
        <is>
          <t>Chicken Home Kepanjen</t>
        </is>
      </c>
      <c r="C285" s="26" t="n">
        <v>-8.1261572</v>
      </c>
      <c r="D285" s="26" t="n">
        <v>112.5716075</v>
      </c>
      <c r="E285" s="21" t="n">
        <v>13550</v>
      </c>
      <c r="F285" s="27" t="n">
        <v>4.8</v>
      </c>
      <c r="G285" s="28" t="n">
        <v>274</v>
      </c>
      <c r="H285" s="14" t="inlineStr">
        <is>
          <t>Wisata Umum</t>
        </is>
      </c>
      <c r="I285" s="29">
        <f>6371 * 2 * ASIN(SQRT(SIN(RADIANS((C285) - INDEX('Dataset_Wisata'!$C$12:$C$622, MATCH('Dashboard'!$C$9, 'Dataset_Wisata'!$A$12:$A$622, 0)))/2)^2 + COS(RADIANS(INDEX('Dataset_Wisata'!$C$12:$C$622, MATCH('Dashboard'!$C$9, 'Dataset_Wisata'!$A$12:$A$622, 0)))) * COS(RADIANS(C285)) * SIN(RADIANS((D285) - INDEX('Dataset_Wisata'!$D$12:$D$622, MATCH('Dashboard'!$C$9, 'Dataset_Wisata'!$A$12:$A$622, 0)))/2)^2)) * 1.3</f>
        <v/>
      </c>
      <c r="J285" s="21">
        <f>ROUND(I285 * IF('Dashboard'!$C$6&lt;=1, 2250, IF('Dashboard'!$C$6&lt;=4, 5150, 6000)), 0)</f>
        <v/>
      </c>
      <c r="K285" s="30" t="n">
        <v>0.9991098026805443</v>
      </c>
      <c r="L285" s="30" t="n">
        <v>0.000802011051014034</v>
      </c>
      <c r="M285" s="30" t="n">
        <v>8.818626844167564e-05</v>
      </c>
      <c r="N285" s="31">
        <f>ABS(E285-$F$6)</f>
        <v/>
      </c>
      <c r="O285" s="31">
        <f>ABS(E285-$F$7)</f>
        <v/>
      </c>
      <c r="P285" s="31">
        <f>ABS(E285-$F$8)</f>
        <v/>
      </c>
      <c r="Q285" s="14">
        <f>IF(K285&gt;=MAX(L285,M285), "Hemat", IF(L285&gt;=M285, "Balanced", "Premium"))</f>
        <v/>
      </c>
      <c r="R285" s="30" t="n">
        <v>0.9991097988590906</v>
      </c>
      <c r="S285" s="30" t="n">
        <v>0.0008020145104074255</v>
      </c>
      <c r="T285" s="30" t="n">
        <v>8.818663050205616e-05</v>
      </c>
      <c r="U285" s="31">
        <f>ABS(E285-$G$6)</f>
        <v/>
      </c>
      <c r="V285" s="31">
        <f>ABS(E285-$G$7)</f>
        <v/>
      </c>
      <c r="W285" s="31">
        <f>ABS(E285-$G$8)</f>
        <v/>
      </c>
      <c r="X285" s="14">
        <f>IF(R285&gt;=MAX(S285,T285), "Hemat", IF(S285&gt;=T285, "Balanced", "Premium"))</f>
        <v/>
      </c>
    </row>
    <row r="286">
      <c r="A286" s="14" t="n">
        <v>275</v>
      </c>
      <c r="B286" s="7" t="inlineStr">
        <is>
          <t>TAHU CAMPUR TALANG AGUNG</t>
        </is>
      </c>
      <c r="C286" s="26" t="n">
        <v>-8.128259099999999</v>
      </c>
      <c r="D286" s="26" t="n">
        <v>112.5527091</v>
      </c>
      <c r="E286" s="21" t="n">
        <v>10000</v>
      </c>
      <c r="F286" s="27" t="n">
        <v>4.6</v>
      </c>
      <c r="G286" s="28" t="n">
        <v>74</v>
      </c>
      <c r="H286" s="14" t="inlineStr">
        <is>
          <t>Wisata Umum</t>
        </is>
      </c>
      <c r="I286" s="29">
        <f>6371 * 2 * ASIN(SQRT(SIN(RADIANS((C286) - INDEX('Dataset_Wisata'!$C$12:$C$622, MATCH('Dashboard'!$C$9, 'Dataset_Wisata'!$A$12:$A$622, 0)))/2)^2 + COS(RADIANS(INDEX('Dataset_Wisata'!$C$12:$C$622, MATCH('Dashboard'!$C$9, 'Dataset_Wisata'!$A$12:$A$622, 0)))) * COS(RADIANS(C286)) * SIN(RADIANS((D286) - INDEX('Dataset_Wisata'!$D$12:$D$622, MATCH('Dashboard'!$C$9, 'Dataset_Wisata'!$A$12:$A$622, 0)))/2)^2)) * 1.3</f>
        <v/>
      </c>
      <c r="J286" s="21">
        <f>ROUND(I286 * IF('Dashboard'!$C$6&lt;=1, 2250, IF('Dashboard'!$C$6&lt;=4, 5150, 6000)), 0)</f>
        <v/>
      </c>
      <c r="K286" s="30" t="n">
        <v>0.9518906050943107</v>
      </c>
      <c r="L286" s="30" t="n">
        <v>0.04169660451397377</v>
      </c>
      <c r="M286" s="30" t="n">
        <v>0.006412790391715545</v>
      </c>
      <c r="N286" s="31">
        <f>ABS(E286-$F$6)</f>
        <v/>
      </c>
      <c r="O286" s="31">
        <f>ABS(E286-$F$7)</f>
        <v/>
      </c>
      <c r="P286" s="31">
        <f>ABS(E286-$F$8)</f>
        <v/>
      </c>
      <c r="Q286" s="14">
        <f>IF(K286&gt;=MAX(L286,M286), "Hemat", IF(L286&gt;=M286, "Balanced", "Premium"))</f>
        <v/>
      </c>
      <c r="R286" s="30" t="n">
        <v>0.9518906082621517</v>
      </c>
      <c r="S286" s="30" t="n">
        <v>0.04169660246361195</v>
      </c>
      <c r="T286" s="30" t="n">
        <v>0.006412789274236485</v>
      </c>
      <c r="U286" s="31">
        <f>ABS(E286-$G$6)</f>
        <v/>
      </c>
      <c r="V286" s="31">
        <f>ABS(E286-$G$7)</f>
        <v/>
      </c>
      <c r="W286" s="31">
        <f>ABS(E286-$G$8)</f>
        <v/>
      </c>
      <c r="X286" s="14">
        <f>IF(R286&gt;=MAX(S286,T286), "Hemat", IF(S286&gt;=T286, "Balanced", "Premium"))</f>
        <v/>
      </c>
    </row>
    <row r="287">
      <c r="A287" s="14" t="n">
        <v>276</v>
      </c>
      <c r="B287" s="7" t="inlineStr">
        <is>
          <t>Bahagia Family Cafe &amp; Pool</t>
        </is>
      </c>
      <c r="C287" s="26" t="n">
        <v>-8.133756999999999</v>
      </c>
      <c r="D287" s="26" t="n">
        <v>112.5747369</v>
      </c>
      <c r="E287" s="21" t="n">
        <v>26000</v>
      </c>
      <c r="F287" s="27" t="n">
        <v>4.6</v>
      </c>
      <c r="G287" s="28" t="n">
        <v>270</v>
      </c>
      <c r="H287" s="14" t="inlineStr">
        <is>
          <t>Wisata Umum</t>
        </is>
      </c>
      <c r="I287" s="29">
        <f>6371 * 2 * ASIN(SQRT(SIN(RADIANS((C287) - INDEX('Dataset_Wisata'!$C$12:$C$622, MATCH('Dashboard'!$C$9, 'Dataset_Wisata'!$A$12:$A$622, 0)))/2)^2 + COS(RADIANS(INDEX('Dataset_Wisata'!$C$12:$C$622, MATCH('Dashboard'!$C$9, 'Dataset_Wisata'!$A$12:$A$622, 0)))) * COS(RADIANS(C287)) * SIN(RADIANS((D287) - INDEX('Dataset_Wisata'!$D$12:$D$622, MATCH('Dashboard'!$C$9, 'Dataset_Wisata'!$A$12:$A$622, 0)))/2)^2)) * 1.3</f>
        <v/>
      </c>
      <c r="J287" s="21">
        <f>ROUND(I287 * IF('Dashboard'!$C$6&lt;=1, 2250, IF('Dashboard'!$C$6&lt;=4, 5150, 6000)), 0)</f>
        <v/>
      </c>
      <c r="K287" s="30" t="n">
        <v>0.002476983268680901</v>
      </c>
      <c r="L287" s="30" t="n">
        <v>0.9967691156825158</v>
      </c>
      <c r="M287" s="30" t="n">
        <v>0.0007539010488032482</v>
      </c>
      <c r="N287" s="31">
        <f>ABS(E287-$F$6)</f>
        <v/>
      </c>
      <c r="O287" s="31">
        <f>ABS(E287-$F$7)</f>
        <v/>
      </c>
      <c r="P287" s="31">
        <f>ABS(E287-$F$8)</f>
        <v/>
      </c>
      <c r="Q287" s="14">
        <f>IF(K287&gt;=MAX(L287,M287), "Hemat", IF(L287&gt;=M287, "Balanced", "Premium"))</f>
        <v/>
      </c>
      <c r="R287" s="30" t="n">
        <v>0.002477003822259736</v>
      </c>
      <c r="S287" s="30" t="n">
        <v>0.9967690885108879</v>
      </c>
      <c r="T287" s="30" t="n">
        <v>0.0007539076668522673</v>
      </c>
      <c r="U287" s="31">
        <f>ABS(E287-$G$6)</f>
        <v/>
      </c>
      <c r="V287" s="31">
        <f>ABS(E287-$G$7)</f>
        <v/>
      </c>
      <c r="W287" s="31">
        <f>ABS(E287-$G$8)</f>
        <v/>
      </c>
      <c r="X287" s="14">
        <f>IF(R287&gt;=MAX(S287,T287), "Hemat", IF(S287&gt;=T287, "Balanced", "Premium"))</f>
        <v/>
      </c>
    </row>
    <row r="288">
      <c r="A288" s="14" t="n">
        <v>277</v>
      </c>
      <c r="B288" s="7" t="inlineStr">
        <is>
          <t>Warung Nayamul</t>
        </is>
      </c>
      <c r="C288" s="26" t="n">
        <v>-8.1493875</v>
      </c>
      <c r="D288" s="26" t="n">
        <v>112.5767169</v>
      </c>
      <c r="E288" s="21" t="n">
        <v>15500</v>
      </c>
      <c r="F288" s="27" t="n">
        <v>4.5</v>
      </c>
      <c r="G288" s="28" t="n">
        <v>907</v>
      </c>
      <c r="H288" s="14" t="inlineStr">
        <is>
          <t>Warung Nayamul</t>
        </is>
      </c>
      <c r="I288" s="29">
        <f>6371 * 2 * ASIN(SQRT(SIN(RADIANS((C288) - INDEX('Dataset_Wisata'!$C$12:$C$622, MATCH('Dashboard'!$C$9, 'Dataset_Wisata'!$A$12:$A$622, 0)))/2)^2 + COS(RADIANS(INDEX('Dataset_Wisata'!$C$12:$C$622, MATCH('Dashboard'!$C$9, 'Dataset_Wisata'!$A$12:$A$622, 0)))) * COS(RADIANS(C288)) * SIN(RADIANS((D288) - INDEX('Dataset_Wisata'!$D$12:$D$622, MATCH('Dashboard'!$C$9, 'Dataset_Wisata'!$A$12:$A$622, 0)))/2)^2)) * 1.3</f>
        <v/>
      </c>
      <c r="J288" s="21">
        <f>ROUND(I288 * IF('Dashboard'!$C$6&lt;=1, 2250, IF('Dashboard'!$C$6&lt;=4, 5150, 6000)), 0)</f>
        <v/>
      </c>
      <c r="K288" s="30" t="n">
        <v>0.9449432442408515</v>
      </c>
      <c r="L288" s="30" t="n">
        <v>0.05070687831140908</v>
      </c>
      <c r="M288" s="30" t="n">
        <v>0.004349877447739512</v>
      </c>
      <c r="N288" s="31">
        <f>ABS(E288-$F$6)</f>
        <v/>
      </c>
      <c r="O288" s="31">
        <f>ABS(E288-$F$7)</f>
        <v/>
      </c>
      <c r="P288" s="31">
        <f>ABS(E288-$F$8)</f>
        <v/>
      </c>
      <c r="Q288" s="14">
        <f>IF(K288&gt;=MAX(L288,M288), "Hemat", IF(L288&gt;=M288, "Balanced", "Premium"))</f>
        <v/>
      </c>
      <c r="R288" s="30" t="n">
        <v>0.944943187640449</v>
      </c>
      <c r="S288" s="30" t="n">
        <v>0.05070693157515045</v>
      </c>
      <c r="T288" s="30" t="n">
        <v>0.004349880784400502</v>
      </c>
      <c r="U288" s="31">
        <f>ABS(E288-$G$6)</f>
        <v/>
      </c>
      <c r="V288" s="31">
        <f>ABS(E288-$G$7)</f>
        <v/>
      </c>
      <c r="W288" s="31">
        <f>ABS(E288-$G$8)</f>
        <v/>
      </c>
      <c r="X288" s="14">
        <f>IF(R288&gt;=MAX(S288,T288), "Hemat", IF(S288&gt;=T288, "Balanced", "Premium"))</f>
        <v/>
      </c>
    </row>
    <row r="289">
      <c r="A289" s="14" t="n">
        <v>278</v>
      </c>
      <c r="B289" s="7" t="inlineStr">
        <is>
          <t>Warung Indah Jalibar</t>
        </is>
      </c>
      <c r="C289" s="26" t="n">
        <v>-8.1113936</v>
      </c>
      <c r="D289" s="26" t="n">
        <v>112.5597354</v>
      </c>
      <c r="E289" s="21" t="n">
        <v>12250</v>
      </c>
      <c r="F289" s="27" t="n">
        <v>4.4</v>
      </c>
      <c r="G289" s="28" t="n">
        <v>36</v>
      </c>
      <c r="H289" s="14" t="inlineStr">
        <is>
          <t>Warung Indah Jalibar</t>
        </is>
      </c>
      <c r="I289" s="29">
        <f>6371 * 2 * ASIN(SQRT(SIN(RADIANS((C289) - INDEX('Dataset_Wisata'!$C$12:$C$622, MATCH('Dashboard'!$C$9, 'Dataset_Wisata'!$A$12:$A$622, 0)))/2)^2 + COS(RADIANS(INDEX('Dataset_Wisata'!$C$12:$C$622, MATCH('Dashboard'!$C$9, 'Dataset_Wisata'!$A$12:$A$622, 0)))) * COS(RADIANS(C289)) * SIN(RADIANS((D289) - INDEX('Dataset_Wisata'!$D$12:$D$622, MATCH('Dashboard'!$C$9, 'Dataset_Wisata'!$A$12:$A$622, 0)))/2)^2)) * 1.3</f>
        <v/>
      </c>
      <c r="J289" s="21">
        <f>ROUND(I289 * IF('Dashboard'!$C$6&lt;=1, 2250, IF('Dashboard'!$C$6&lt;=4, 5150, 6000)), 0)</f>
        <v/>
      </c>
      <c r="K289" s="30" t="n">
        <v>0.9939340501036967</v>
      </c>
      <c r="L289" s="30" t="n">
        <v>0.005386606375777236</v>
      </c>
      <c r="M289" s="30" t="n">
        <v>0.0006793435205261331</v>
      </c>
      <c r="N289" s="31">
        <f>ABS(E289-$F$6)</f>
        <v/>
      </c>
      <c r="O289" s="31">
        <f>ABS(E289-$F$7)</f>
        <v/>
      </c>
      <c r="P289" s="31">
        <f>ABS(E289-$F$8)</f>
        <v/>
      </c>
      <c r="Q289" s="14">
        <f>IF(K289&gt;=MAX(L289,M289), "Hemat", IF(L289&gt;=M289, "Balanced", "Premium"))</f>
        <v/>
      </c>
      <c r="R289" s="30" t="n">
        <v>0.9939340558244465</v>
      </c>
      <c r="S289" s="30" t="n">
        <v>0.005386601399101468</v>
      </c>
      <c r="T289" s="30" t="n">
        <v>0.0006793427764518541</v>
      </c>
      <c r="U289" s="31">
        <f>ABS(E289-$G$6)</f>
        <v/>
      </c>
      <c r="V289" s="31">
        <f>ABS(E289-$G$7)</f>
        <v/>
      </c>
      <c r="W289" s="31">
        <f>ABS(E289-$G$8)</f>
        <v/>
      </c>
      <c r="X289" s="14">
        <f>IF(R289&gt;=MAX(S289,T289), "Hemat", IF(S289&gt;=T289, "Balanced", "Premium"))</f>
        <v/>
      </c>
    </row>
    <row r="290">
      <c r="A290" s="14" t="n">
        <v>279</v>
      </c>
      <c r="B290" s="7" t="inlineStr">
        <is>
          <t>Seafood dan lalapan MBAK ITA 1</t>
        </is>
      </c>
      <c r="C290" s="26" t="n">
        <v>-8.1256299</v>
      </c>
      <c r="D290" s="26" t="n">
        <v>112.5721872</v>
      </c>
      <c r="E290" s="21" t="n">
        <v>23000</v>
      </c>
      <c r="F290" s="27" t="n">
        <v>4.3</v>
      </c>
      <c r="G290" s="28" t="n">
        <v>396</v>
      </c>
      <c r="H290" s="14" t="inlineStr">
        <is>
          <t>Wisata Umum</t>
        </is>
      </c>
      <c r="I290" s="29">
        <f>6371 * 2 * ASIN(SQRT(SIN(RADIANS((C290) - INDEX('Dataset_Wisata'!$C$12:$C$622, MATCH('Dashboard'!$C$9, 'Dataset_Wisata'!$A$12:$A$622, 0)))/2)^2 + COS(RADIANS(INDEX('Dataset_Wisata'!$C$12:$C$622, MATCH('Dashboard'!$C$9, 'Dataset_Wisata'!$A$12:$A$622, 0)))) * COS(RADIANS(C290)) * SIN(RADIANS((D290) - INDEX('Dataset_Wisata'!$D$12:$D$622, MATCH('Dashboard'!$C$9, 'Dataset_Wisata'!$A$12:$A$622, 0)))/2)^2)) * 1.3</f>
        <v/>
      </c>
      <c r="J290" s="21">
        <f>ROUND(I290 * IF('Dashboard'!$C$6&lt;=1, 2250, IF('Dashboard'!$C$6&lt;=4, 5150, 6000)), 0)</f>
        <v/>
      </c>
      <c r="K290" s="30" t="n">
        <v>0.05467333468637936</v>
      </c>
      <c r="L290" s="30" t="n">
        <v>0.9376858328604777</v>
      </c>
      <c r="M290" s="30" t="n">
        <v>0.007640832453142947</v>
      </c>
      <c r="N290" s="31">
        <f>ABS(E290-$F$6)</f>
        <v/>
      </c>
      <c r="O290" s="31">
        <f>ABS(E290-$F$7)</f>
        <v/>
      </c>
      <c r="P290" s="31">
        <f>ABS(E290-$F$8)</f>
        <v/>
      </c>
      <c r="Q290" s="14">
        <f>IF(K290&gt;=MAX(L290,M290), "Hemat", IF(L290&gt;=M290, "Balanced", "Premium"))</f>
        <v/>
      </c>
      <c r="R290" s="30" t="n">
        <v>0.05467321119442812</v>
      </c>
      <c r="S290" s="30" t="n">
        <v>0.9376859700344158</v>
      </c>
      <c r="T290" s="30" t="n">
        <v>0.00764081877115611</v>
      </c>
      <c r="U290" s="31">
        <f>ABS(E290-$G$6)</f>
        <v/>
      </c>
      <c r="V290" s="31">
        <f>ABS(E290-$G$7)</f>
        <v/>
      </c>
      <c r="W290" s="31">
        <f>ABS(E290-$G$8)</f>
        <v/>
      </c>
      <c r="X290" s="14">
        <f>IF(R290&gt;=MAX(S290,T290), "Hemat", IF(S290&gt;=T290, "Balanced", "Premium"))</f>
        <v/>
      </c>
    </row>
    <row r="291">
      <c r="A291" s="14" t="n">
        <v>280</v>
      </c>
      <c r="B291" s="7" t="inlineStr">
        <is>
          <t>Warung Pojok Jalibar Bu Sri</t>
        </is>
      </c>
      <c r="C291" s="26" t="n">
        <v>-8.117896500000001</v>
      </c>
      <c r="D291" s="26" t="n">
        <v>112.554001</v>
      </c>
      <c r="E291" s="21" t="n">
        <v>15000</v>
      </c>
      <c r="F291" s="27" t="n">
        <v>4.1</v>
      </c>
      <c r="G291" s="28" t="n">
        <v>854</v>
      </c>
      <c r="H291" s="14" t="inlineStr">
        <is>
          <t>Warung Pojok Jalibar Bu Sri</t>
        </is>
      </c>
      <c r="I291" s="29">
        <f>6371 * 2 * ASIN(SQRT(SIN(RADIANS((C291) - INDEX('Dataset_Wisata'!$C$12:$C$622, MATCH('Dashboard'!$C$9, 'Dataset_Wisata'!$A$12:$A$622, 0)))/2)^2 + COS(RADIANS(INDEX('Dataset_Wisata'!$C$12:$C$622, MATCH('Dashboard'!$C$9, 'Dataset_Wisata'!$A$12:$A$622, 0)))) * COS(RADIANS(C291)) * SIN(RADIANS((D291) - INDEX('Dataset_Wisata'!$D$12:$D$622, MATCH('Dashboard'!$C$9, 'Dataset_Wisata'!$A$12:$A$622, 0)))/2)^2)) * 1.3</f>
        <v/>
      </c>
      <c r="J291" s="21">
        <f>ROUND(I291 * IF('Dashboard'!$C$6&lt;=1, 2250, IF('Dashboard'!$C$6&lt;=4, 5150, 6000)), 0)</f>
        <v/>
      </c>
      <c r="K291" s="30" t="n">
        <v>0.9686283169848018</v>
      </c>
      <c r="L291" s="30" t="n">
        <v>0.02872990537067274</v>
      </c>
      <c r="M291" s="30" t="n">
        <v>0.002641777644525457</v>
      </c>
      <c r="N291" s="31">
        <f>ABS(E291-$F$6)</f>
        <v/>
      </c>
      <c r="O291" s="31">
        <f>ABS(E291-$F$7)</f>
        <v/>
      </c>
      <c r="P291" s="31">
        <f>ABS(E291-$F$8)</f>
        <v/>
      </c>
      <c r="Q291" s="14">
        <f>IF(K291&gt;=MAX(L291,M291), "Hemat", IF(L291&gt;=M291, "Balanced", "Premium"))</f>
        <v/>
      </c>
      <c r="R291" s="30" t="n">
        <v>0.9686282798936615</v>
      </c>
      <c r="S291" s="30" t="n">
        <v>0.02872993996961344</v>
      </c>
      <c r="T291" s="30" t="n">
        <v>0.002641780136725144</v>
      </c>
      <c r="U291" s="31">
        <f>ABS(E291-$G$6)</f>
        <v/>
      </c>
      <c r="V291" s="31">
        <f>ABS(E291-$G$7)</f>
        <v/>
      </c>
      <c r="W291" s="31">
        <f>ABS(E291-$G$8)</f>
        <v/>
      </c>
      <c r="X291" s="14">
        <f>IF(R291&gt;=MAX(S291,T291), "Hemat", IF(S291&gt;=T291, "Balanced", "Premium"))</f>
        <v/>
      </c>
    </row>
    <row r="292">
      <c r="A292" s="14" t="n">
        <v>281</v>
      </c>
      <c r="B292" s="7" t="inlineStr">
        <is>
          <t>Kedai Garputala</t>
        </is>
      </c>
      <c r="C292" s="26" t="n">
        <v>-8.129664099999999</v>
      </c>
      <c r="D292" s="26" t="n">
        <v>112.5744203</v>
      </c>
      <c r="E292" s="21" t="n">
        <v>10000</v>
      </c>
      <c r="F292" s="27" t="n">
        <v>4.2</v>
      </c>
      <c r="G292" s="28" t="n">
        <v>504</v>
      </c>
      <c r="H292" s="14" t="inlineStr">
        <is>
          <t>Kafe · Jl. Banurejo No.1</t>
        </is>
      </c>
      <c r="I292" s="29">
        <f>6371 * 2 * ASIN(SQRT(SIN(RADIANS((C292) - INDEX('Dataset_Wisata'!$C$12:$C$622, MATCH('Dashboard'!$C$9, 'Dataset_Wisata'!$A$12:$A$622, 0)))/2)^2 + COS(RADIANS(INDEX('Dataset_Wisata'!$C$12:$C$622, MATCH('Dashboard'!$C$9, 'Dataset_Wisata'!$A$12:$A$622, 0)))) * COS(RADIANS(C292)) * SIN(RADIANS((D292) - INDEX('Dataset_Wisata'!$D$12:$D$622, MATCH('Dashboard'!$C$9, 'Dataset_Wisata'!$A$12:$A$622, 0)))/2)^2)) * 1.3</f>
        <v/>
      </c>
      <c r="J292" s="21">
        <f>ROUND(I292 * IF('Dashboard'!$C$6&lt;=1, 2250, IF('Dashboard'!$C$6&lt;=4, 5150, 6000)), 0)</f>
        <v/>
      </c>
      <c r="K292" s="30" t="n">
        <v>0.9518906050943107</v>
      </c>
      <c r="L292" s="30" t="n">
        <v>0.04169660451397377</v>
      </c>
      <c r="M292" s="30" t="n">
        <v>0.006412790391715545</v>
      </c>
      <c r="N292" s="31">
        <f>ABS(E292-$F$6)</f>
        <v/>
      </c>
      <c r="O292" s="31">
        <f>ABS(E292-$F$7)</f>
        <v/>
      </c>
      <c r="P292" s="31">
        <f>ABS(E292-$F$8)</f>
        <v/>
      </c>
      <c r="Q292" s="14">
        <f>IF(K292&gt;=MAX(L292,M292), "Hemat", IF(L292&gt;=M292, "Balanced", "Premium"))</f>
        <v/>
      </c>
      <c r="R292" s="30" t="n">
        <v>0.9518906082621517</v>
      </c>
      <c r="S292" s="30" t="n">
        <v>0.04169660246361195</v>
      </c>
      <c r="T292" s="30" t="n">
        <v>0.006412789274236485</v>
      </c>
      <c r="U292" s="31">
        <f>ABS(E292-$G$6)</f>
        <v/>
      </c>
      <c r="V292" s="31">
        <f>ABS(E292-$G$7)</f>
        <v/>
      </c>
      <c r="W292" s="31">
        <f>ABS(E292-$G$8)</f>
        <v/>
      </c>
      <c r="X292" s="14">
        <f>IF(R292&gt;=MAX(S292,T292), "Hemat", IF(S292&gt;=T292, "Balanced", "Premium"))</f>
        <v/>
      </c>
    </row>
    <row r="293">
      <c r="A293" s="14" t="n">
        <v>282</v>
      </c>
      <c r="B293" s="7" t="inlineStr">
        <is>
          <t>Warung "Romantis" Bu Pi'in</t>
        </is>
      </c>
      <c r="C293" s="26" t="n">
        <v>-8.1296661</v>
      </c>
      <c r="D293" s="26" t="n">
        <v>112.5642508</v>
      </c>
      <c r="E293" s="21" t="n">
        <v>8000</v>
      </c>
      <c r="F293" s="27" t="n">
        <v>4.3</v>
      </c>
      <c r="G293" s="28" t="n">
        <v>21</v>
      </c>
      <c r="H293" s="14" t="inlineStr">
        <is>
          <t>Warung "Romantis" Bu Pi'in</t>
        </is>
      </c>
      <c r="I293" s="29">
        <f>6371 * 2 * ASIN(SQRT(SIN(RADIANS((C293) - INDEX('Dataset_Wisata'!$C$12:$C$622, MATCH('Dashboard'!$C$9, 'Dataset_Wisata'!$A$12:$A$622, 0)))/2)^2 + COS(RADIANS(INDEX('Dataset_Wisata'!$C$12:$C$622, MATCH('Dashboard'!$C$9, 'Dataset_Wisata'!$A$12:$A$622, 0)))) * COS(RADIANS(C293)) * SIN(RADIANS((D293) - INDEX('Dataset_Wisata'!$D$12:$D$622, MATCH('Dashboard'!$C$9, 'Dataset_Wisata'!$A$12:$A$622, 0)))/2)^2)) * 1.3</f>
        <v/>
      </c>
      <c r="J293" s="21">
        <f>ROUND(I293 * IF('Dashboard'!$C$6&lt;=1, 2250, IF('Dashboard'!$C$6&lt;=4, 5150, 6000)), 0)</f>
        <v/>
      </c>
      <c r="K293" s="30" t="n">
        <v>0.9039388019808103</v>
      </c>
      <c r="L293" s="30" t="n">
        <v>0.0815580567645619</v>
      </c>
      <c r="M293" s="30" t="n">
        <v>0.01450314125462772</v>
      </c>
      <c r="N293" s="31">
        <f>ABS(E293-$F$6)</f>
        <v/>
      </c>
      <c r="O293" s="31">
        <f>ABS(E293-$F$7)</f>
        <v/>
      </c>
      <c r="P293" s="31">
        <f>ABS(E293-$F$8)</f>
        <v/>
      </c>
      <c r="Q293" s="14">
        <f>IF(K293&gt;=MAX(L293,M293), "Hemat", IF(L293&gt;=M293, "Balanced", "Premium"))</f>
        <v/>
      </c>
      <c r="R293" s="30" t="n">
        <v>0.9039387979026794</v>
      </c>
      <c r="S293" s="30" t="n">
        <v>0.08155806140566645</v>
      </c>
      <c r="T293" s="30" t="n">
        <v>0.01450314069165419</v>
      </c>
      <c r="U293" s="31">
        <f>ABS(E293-$G$6)</f>
        <v/>
      </c>
      <c r="V293" s="31">
        <f>ABS(E293-$G$7)</f>
        <v/>
      </c>
      <c r="W293" s="31">
        <f>ABS(E293-$G$8)</f>
        <v/>
      </c>
      <c r="X293" s="14">
        <f>IF(R293&gt;=MAX(S293,T293), "Hemat", IF(S293&gt;=T293, "Balanced", "Premium"))</f>
        <v/>
      </c>
    </row>
    <row r="294">
      <c r="A294" s="14" t="n">
        <v>283</v>
      </c>
      <c r="B294" s="7" t="inlineStr">
        <is>
          <t>Rujak Cingur Bu Slamet</t>
        </is>
      </c>
      <c r="C294" s="26" t="n">
        <v>-8.1313396</v>
      </c>
      <c r="D294" s="26" t="n">
        <v>112.5714631</v>
      </c>
      <c r="E294" s="21" t="n">
        <v>17000</v>
      </c>
      <c r="F294" s="27" t="n">
        <v>4.4</v>
      </c>
      <c r="G294" s="28" t="n">
        <v>212</v>
      </c>
      <c r="H294" s="14" t="inlineStr">
        <is>
          <t>Wisata Umum</t>
        </is>
      </c>
      <c r="I294" s="29">
        <f>6371 * 2 * ASIN(SQRT(SIN(RADIANS((C294) - INDEX('Dataset_Wisata'!$C$12:$C$622, MATCH('Dashboard'!$C$9, 'Dataset_Wisata'!$A$12:$A$622, 0)))/2)^2 + COS(RADIANS(INDEX('Dataset_Wisata'!$C$12:$C$622, MATCH('Dashboard'!$C$9, 'Dataset_Wisata'!$A$12:$A$622, 0)))) * COS(RADIANS(C294)) * SIN(RADIANS((D294) - INDEX('Dataset_Wisata'!$D$12:$D$622, MATCH('Dashboard'!$C$9, 'Dataset_Wisata'!$A$12:$A$622, 0)))/2)^2)) * 1.3</f>
        <v/>
      </c>
      <c r="J294" s="21">
        <f>ROUND(I294 * IF('Dashboard'!$C$6&lt;=1, 2250, IF('Dashboard'!$C$6&lt;=4, 5150, 6000)), 0)</f>
        <v/>
      </c>
      <c r="K294" s="30" t="n">
        <v>0.8205766965551228</v>
      </c>
      <c r="L294" s="30" t="n">
        <v>0.1680685555538888</v>
      </c>
      <c r="M294" s="30" t="n">
        <v>0.01135474789098826</v>
      </c>
      <c r="N294" s="31">
        <f>ABS(E294-$F$6)</f>
        <v/>
      </c>
      <c r="O294" s="31">
        <f>ABS(E294-$F$7)</f>
        <v/>
      </c>
      <c r="P294" s="31">
        <f>ABS(E294-$F$8)</f>
        <v/>
      </c>
      <c r="Q294" s="14">
        <f>IF(K294&gt;=MAX(L294,M294), "Hemat", IF(L294&gt;=M294, "Balanced", "Premium"))</f>
        <v/>
      </c>
      <c r="R294" s="30" t="n">
        <v>0.8205765551569555</v>
      </c>
      <c r="S294" s="30" t="n">
        <v>0.1680686919268015</v>
      </c>
      <c r="T294" s="30" t="n">
        <v>0.01135475291624307</v>
      </c>
      <c r="U294" s="31">
        <f>ABS(E294-$G$6)</f>
        <v/>
      </c>
      <c r="V294" s="31">
        <f>ABS(E294-$G$7)</f>
        <v/>
      </c>
      <c r="W294" s="31">
        <f>ABS(E294-$G$8)</f>
        <v/>
      </c>
      <c r="X294" s="14">
        <f>IF(R294&gt;=MAX(S294,T294), "Hemat", IF(S294&gt;=T294, "Balanced", "Premium"))</f>
        <v/>
      </c>
    </row>
    <row r="295">
      <c r="A295" s="14" t="n">
        <v>284</v>
      </c>
      <c r="B295" s="7" t="inlineStr">
        <is>
          <t>Nasi Goreng Sam Onyis</t>
        </is>
      </c>
      <c r="C295" s="26" t="n">
        <v>-8.1104976</v>
      </c>
      <c r="D295" s="26" t="n">
        <v>112.5703432</v>
      </c>
      <c r="E295" s="21" t="n">
        <v>11000</v>
      </c>
      <c r="F295" s="27" t="n">
        <v>4.5</v>
      </c>
      <c r="G295" s="28" t="n">
        <v>42</v>
      </c>
      <c r="H295" s="14" t="inlineStr">
        <is>
          <t>Wisata Umum</t>
        </is>
      </c>
      <c r="I295" s="29">
        <f>6371 * 2 * ASIN(SQRT(SIN(RADIANS((C295) - INDEX('Dataset_Wisata'!$C$12:$C$622, MATCH('Dashboard'!$C$9, 'Dataset_Wisata'!$A$12:$A$622, 0)))/2)^2 + COS(RADIANS(INDEX('Dataset_Wisata'!$C$12:$C$622, MATCH('Dashboard'!$C$9, 'Dataset_Wisata'!$A$12:$A$622, 0)))) * COS(RADIANS(C295)) * SIN(RADIANS((D295) - INDEX('Dataset_Wisata'!$D$12:$D$622, MATCH('Dashboard'!$C$9, 'Dataset_Wisata'!$A$12:$A$622, 0)))/2)^2)) * 1.3</f>
        <v/>
      </c>
      <c r="J295" s="21">
        <f>ROUND(I295 * IF('Dashboard'!$C$6&lt;=1, 2250, IF('Dashboard'!$C$6&lt;=4, 5150, 6000)), 0)</f>
        <v/>
      </c>
      <c r="K295" s="30" t="n">
        <v>0.9735599178193949</v>
      </c>
      <c r="L295" s="30" t="n">
        <v>0.02316133672104913</v>
      </c>
      <c r="M295" s="30" t="n">
        <v>0.003278745459555964</v>
      </c>
      <c r="N295" s="31">
        <f>ABS(E295-$F$6)</f>
        <v/>
      </c>
      <c r="O295" s="31">
        <f>ABS(E295-$F$7)</f>
        <v/>
      </c>
      <c r="P295" s="31">
        <f>ABS(E295-$F$8)</f>
        <v/>
      </c>
      <c r="Q295" s="14">
        <f>IF(K295&gt;=MAX(L295,M295), "Hemat", IF(L295&gt;=M295, "Balanced", "Premium"))</f>
        <v/>
      </c>
      <c r="R295" s="30" t="n">
        <v>0.973559923674283</v>
      </c>
      <c r="S295" s="30" t="n">
        <v>0.02316133200448154</v>
      </c>
      <c r="T295" s="30" t="n">
        <v>0.003278744321235429</v>
      </c>
      <c r="U295" s="31">
        <f>ABS(E295-$G$6)</f>
        <v/>
      </c>
      <c r="V295" s="31">
        <f>ABS(E295-$G$7)</f>
        <v/>
      </c>
      <c r="W295" s="31">
        <f>ABS(E295-$G$8)</f>
        <v/>
      </c>
      <c r="X295" s="14">
        <f>IF(R295&gt;=MAX(S295,T295), "Hemat", IF(S295&gt;=T295, "Balanced", "Premium"))</f>
        <v/>
      </c>
    </row>
    <row r="296">
      <c r="A296" s="14" t="n">
        <v>285</v>
      </c>
      <c r="B296" s="7" t="inlineStr">
        <is>
          <t>Kedai Radin Bakso &amp; Cafe</t>
        </is>
      </c>
      <c r="C296" s="26" t="n">
        <v>-8.1292031</v>
      </c>
      <c r="D296" s="26" t="n">
        <v>112.5686005</v>
      </c>
      <c r="E296" s="21" t="n">
        <v>13750</v>
      </c>
      <c r="F296" s="27" t="n">
        <v>4</v>
      </c>
      <c r="G296" s="28" t="n">
        <v>688</v>
      </c>
      <c r="H296" s="14" t="inlineStr">
        <is>
          <t>Wisata Umum</t>
        </is>
      </c>
      <c r="I296" s="29">
        <f>6371 * 2 * ASIN(SQRT(SIN(RADIANS((C296) - INDEX('Dataset_Wisata'!$C$12:$C$622, MATCH('Dashboard'!$C$9, 'Dataset_Wisata'!$A$12:$A$622, 0)))/2)^2 + COS(RADIANS(INDEX('Dataset_Wisata'!$C$12:$C$622, MATCH('Dashboard'!$C$9, 'Dataset_Wisata'!$A$12:$A$622, 0)))) * COS(RADIANS(C296)) * SIN(RADIANS((D296) - INDEX('Dataset_Wisata'!$D$12:$D$622, MATCH('Dashboard'!$C$9, 'Dataset_Wisata'!$A$12:$A$622, 0)))/2)^2)) * 1.3</f>
        <v/>
      </c>
      <c r="J296" s="21">
        <f>ROUND(I296 * IF('Dashboard'!$C$6&lt;=1, 2250, IF('Dashboard'!$C$6&lt;=4, 5150, 6000)), 0)</f>
        <v/>
      </c>
      <c r="K296" s="30" t="n">
        <v>0.9976577224486242</v>
      </c>
      <c r="L296" s="30" t="n">
        <v>0.00211498454547459</v>
      </c>
      <c r="M296" s="30" t="n">
        <v>0.0002272930059012017</v>
      </c>
      <c r="N296" s="31">
        <f>ABS(E296-$F$6)</f>
        <v/>
      </c>
      <c r="O296" s="31">
        <f>ABS(E296-$F$7)</f>
        <v/>
      </c>
      <c r="P296" s="31">
        <f>ABS(E296-$F$8)</f>
        <v/>
      </c>
      <c r="Q296" s="14">
        <f>IF(K296&gt;=MAX(L296,M296), "Hemat", IF(L296&gt;=M296, "Balanced", "Premium"))</f>
        <v/>
      </c>
      <c r="R296" s="30" t="n">
        <v>0.9976577157667134</v>
      </c>
      <c r="S296" s="30" t="n">
        <v>0.002114990622939545</v>
      </c>
      <c r="T296" s="30" t="n">
        <v>0.0002272936103471369</v>
      </c>
      <c r="U296" s="31">
        <f>ABS(E296-$G$6)</f>
        <v/>
      </c>
      <c r="V296" s="31">
        <f>ABS(E296-$G$7)</f>
        <v/>
      </c>
      <c r="W296" s="31">
        <f>ABS(E296-$G$8)</f>
        <v/>
      </c>
      <c r="X296" s="14">
        <f>IF(R296&gt;=MAX(S296,T296), "Hemat", IF(S296&gt;=T296, "Balanced", "Premium"))</f>
        <v/>
      </c>
    </row>
    <row r="297">
      <c r="A297" s="14" t="n">
        <v>286</v>
      </c>
      <c r="B297" s="7" t="inlineStr">
        <is>
          <t>Joglo Babon Angkrem</t>
        </is>
      </c>
      <c r="C297" s="26" t="n">
        <v>-8.0090547</v>
      </c>
      <c r="D297" s="26" t="n">
        <v>112.5660102</v>
      </c>
      <c r="E297" s="21" t="n">
        <v>33750</v>
      </c>
      <c r="F297" s="27" t="n">
        <v>4.4</v>
      </c>
      <c r="G297" s="28" t="n">
        <v>157</v>
      </c>
      <c r="H297" s="14" t="inlineStr">
        <is>
          <t>Wisata Umum</t>
        </is>
      </c>
      <c r="I297" s="29">
        <f>6371 * 2 * ASIN(SQRT(SIN(RADIANS((C297) - INDEX('Dataset_Wisata'!$C$12:$C$622, MATCH('Dashboard'!$C$9, 'Dataset_Wisata'!$A$12:$A$622, 0)))/2)^2 + COS(RADIANS(INDEX('Dataset_Wisata'!$C$12:$C$622, MATCH('Dashboard'!$C$9, 'Dataset_Wisata'!$A$12:$A$622, 0)))) * COS(RADIANS(C297)) * SIN(RADIANS((D297) - INDEX('Dataset_Wisata'!$D$12:$D$622, MATCH('Dashboard'!$C$9, 'Dataset_Wisata'!$A$12:$A$622, 0)))/2)^2)) * 1.3</f>
        <v/>
      </c>
      <c r="J297" s="21">
        <f>ROUND(I297 * IF('Dashboard'!$C$6&lt;=1, 2250, IF('Dashboard'!$C$6&lt;=4, 5150, 6000)), 0)</f>
        <v/>
      </c>
      <c r="K297" s="30" t="n">
        <v>0.1140673780231223</v>
      </c>
      <c r="L297" s="30" t="n">
        <v>0.6837408122291248</v>
      </c>
      <c r="M297" s="30" t="n">
        <v>0.2021918097477529</v>
      </c>
      <c r="N297" s="31">
        <f>ABS(E297-$F$6)</f>
        <v/>
      </c>
      <c r="O297" s="31">
        <f>ABS(E297-$F$7)</f>
        <v/>
      </c>
      <c r="P297" s="31">
        <f>ABS(E297-$F$8)</f>
        <v/>
      </c>
      <c r="Q297" s="14">
        <f>IF(K297&gt;=MAX(L297,M297), "Hemat", IF(L297&gt;=M297, "Balanced", "Premium"))</f>
        <v/>
      </c>
      <c r="R297" s="30" t="n">
        <v>0.1140674084482901</v>
      </c>
      <c r="S297" s="30" t="n">
        <v>0.683740599869767</v>
      </c>
      <c r="T297" s="30" t="n">
        <v>0.202191991681943</v>
      </c>
      <c r="U297" s="31">
        <f>ABS(E297-$G$6)</f>
        <v/>
      </c>
      <c r="V297" s="31">
        <f>ABS(E297-$G$7)</f>
        <v/>
      </c>
      <c r="W297" s="31">
        <f>ABS(E297-$G$8)</f>
        <v/>
      </c>
      <c r="X297" s="14">
        <f>IF(R297&gt;=MAX(S297,T297), "Hemat", IF(S297&gt;=T297, "Balanced", "Premium"))</f>
        <v/>
      </c>
    </row>
    <row r="298">
      <c r="A298" s="14" t="n">
        <v>287</v>
      </c>
      <c r="B298" s="7" t="inlineStr">
        <is>
          <t>Depot Dua Putri</t>
        </is>
      </c>
      <c r="C298" s="26" t="n">
        <v>-8.045787199999999</v>
      </c>
      <c r="D298" s="26" t="n">
        <v>112.6074765</v>
      </c>
      <c r="E298" s="21" t="n">
        <v>18000</v>
      </c>
      <c r="F298" s="27" t="n">
        <v>4.8</v>
      </c>
      <c r="G298" s="28" t="n">
        <v>21</v>
      </c>
      <c r="H298" s="14" t="inlineStr">
        <is>
          <t>Wisata Umum</t>
        </is>
      </c>
      <c r="I298" s="29">
        <f>6371 * 2 * ASIN(SQRT(SIN(RADIANS((C298) - INDEX('Dataset_Wisata'!$C$12:$C$622, MATCH('Dashboard'!$C$9, 'Dataset_Wisata'!$A$12:$A$622, 0)))/2)^2 + COS(RADIANS(INDEX('Dataset_Wisata'!$C$12:$C$622, MATCH('Dashboard'!$C$9, 'Dataset_Wisata'!$A$12:$A$622, 0)))) * COS(RADIANS(C298)) * SIN(RADIANS((D298) - INDEX('Dataset_Wisata'!$D$12:$D$622, MATCH('Dashboard'!$C$9, 'Dataset_Wisata'!$A$12:$A$622, 0)))/2)^2)) * 1.3</f>
        <v/>
      </c>
      <c r="J298" s="21">
        <f>ROUND(I298 * IF('Dashboard'!$C$6&lt;=1, 2250, IF('Dashboard'!$C$6&lt;=4, 5150, 6000)), 0)</f>
        <v/>
      </c>
      <c r="K298" s="30" t="n">
        <v>0.6916251733659831</v>
      </c>
      <c r="L298" s="30" t="n">
        <v>0.2920817970297536</v>
      </c>
      <c r="M298" s="30" t="n">
        <v>0.01629302960426341</v>
      </c>
      <c r="N298" s="31">
        <f>ABS(E298-$F$6)</f>
        <v/>
      </c>
      <c r="O298" s="31">
        <f>ABS(E298-$F$7)</f>
        <v/>
      </c>
      <c r="P298" s="31">
        <f>ABS(E298-$F$8)</f>
        <v/>
      </c>
      <c r="Q298" s="14">
        <f>IF(K298&gt;=MAX(L298,M298), "Hemat", IF(L298&gt;=M298, "Balanced", "Premium"))</f>
        <v/>
      </c>
      <c r="R298" s="30" t="n">
        <v>0.6916249652211897</v>
      </c>
      <c r="S298" s="30" t="n">
        <v>0.2920820010799081</v>
      </c>
      <c r="T298" s="30" t="n">
        <v>0.01629303369890229</v>
      </c>
      <c r="U298" s="31">
        <f>ABS(E298-$G$6)</f>
        <v/>
      </c>
      <c r="V298" s="31">
        <f>ABS(E298-$G$7)</f>
        <v/>
      </c>
      <c r="W298" s="31">
        <f>ABS(E298-$G$8)</f>
        <v/>
      </c>
      <c r="X298" s="14">
        <f>IF(R298&gt;=MAX(S298,T298), "Hemat", IF(S298&gt;=T298, "Balanced", "Premium"))</f>
        <v/>
      </c>
    </row>
    <row r="299">
      <c r="A299" s="14" t="n">
        <v>288</v>
      </c>
      <c r="B299" s="7" t="inlineStr">
        <is>
          <t>Pak jokomie &amp; jokoffee</t>
        </is>
      </c>
      <c r="C299" s="26" t="n">
        <v>-8.0081782</v>
      </c>
      <c r="D299" s="26" t="n">
        <v>112.5669787</v>
      </c>
      <c r="E299" s="21" t="n">
        <v>14500</v>
      </c>
      <c r="F299" s="27" t="n">
        <v>4.8</v>
      </c>
      <c r="G299" s="28" t="n">
        <v>29</v>
      </c>
      <c r="H299" s="14" t="inlineStr">
        <is>
          <t>Wisata Umum</t>
        </is>
      </c>
      <c r="I299" s="29">
        <f>6371 * 2 * ASIN(SQRT(SIN(RADIANS((C299) - INDEX('Dataset_Wisata'!$C$12:$C$622, MATCH('Dashboard'!$C$9, 'Dataset_Wisata'!$A$12:$A$622, 0)))/2)^2 + COS(RADIANS(INDEX('Dataset_Wisata'!$C$12:$C$622, MATCH('Dashboard'!$C$9, 'Dataset_Wisata'!$A$12:$A$622, 0)))) * COS(RADIANS(C299)) * SIN(RADIANS((D299) - INDEX('Dataset_Wisata'!$D$12:$D$622, MATCH('Dashboard'!$C$9, 'Dataset_Wisata'!$A$12:$A$622, 0)))/2)^2)) * 1.3</f>
        <v/>
      </c>
      <c r="J299" s="21">
        <f>ROUND(I299 * IF('Dashboard'!$C$6&lt;=1, 2250, IF('Dashboard'!$C$6&lt;=4, 5150, 6000)), 0)</f>
        <v/>
      </c>
      <c r="K299" s="30" t="n">
        <v>0.9848728426698685</v>
      </c>
      <c r="L299" s="30" t="n">
        <v>0.01377517057236063</v>
      </c>
      <c r="M299" s="30" t="n">
        <v>0.001351986757770871</v>
      </c>
      <c r="N299" s="31">
        <f>ABS(E299-$F$6)</f>
        <v/>
      </c>
      <c r="O299" s="31">
        <f>ABS(E299-$F$7)</f>
        <v/>
      </c>
      <c r="P299" s="31">
        <f>ABS(E299-$F$8)</f>
        <v/>
      </c>
      <c r="Q299" s="14">
        <f>IF(K299&gt;=MAX(L299,M299), "Hemat", IF(L299&gt;=M299, "Balanced", "Premium"))</f>
        <v/>
      </c>
      <c r="R299" s="30" t="n">
        <v>0.9848728206333779</v>
      </c>
      <c r="S299" s="30" t="n">
        <v>0.01377519093575759</v>
      </c>
      <c r="T299" s="30" t="n">
        <v>0.001351988430864579</v>
      </c>
      <c r="U299" s="31">
        <f>ABS(E299-$G$6)</f>
        <v/>
      </c>
      <c r="V299" s="31">
        <f>ABS(E299-$G$7)</f>
        <v/>
      </c>
      <c r="W299" s="31">
        <f>ABS(E299-$G$8)</f>
        <v/>
      </c>
      <c r="X299" s="14">
        <f>IF(R299&gt;=MAX(S299,T299), "Hemat", IF(S299&gt;=T299, "Balanced", "Premium"))</f>
        <v/>
      </c>
    </row>
    <row r="300">
      <c r="A300" s="14" t="n">
        <v>289</v>
      </c>
      <c r="B300" s="7" t="inlineStr">
        <is>
          <t>Cafe Omah Ndeso"ON"</t>
        </is>
      </c>
      <c r="C300" s="26" t="n">
        <v>-7.979392</v>
      </c>
      <c r="D300" s="26" t="n">
        <v>112.565231</v>
      </c>
      <c r="E300" s="21" t="n">
        <v>10000</v>
      </c>
      <c r="F300" s="27" t="n">
        <v>4.1</v>
      </c>
      <c r="G300" s="28" t="n">
        <v>1082</v>
      </c>
      <c r="H300" s="14" t="inlineStr">
        <is>
          <t>Wisata Umum</t>
        </is>
      </c>
      <c r="I300" s="29">
        <f>6371 * 2 * ASIN(SQRT(SIN(RADIANS((C300) - INDEX('Dataset_Wisata'!$C$12:$C$622, MATCH('Dashboard'!$C$9, 'Dataset_Wisata'!$A$12:$A$622, 0)))/2)^2 + COS(RADIANS(INDEX('Dataset_Wisata'!$C$12:$C$622, MATCH('Dashboard'!$C$9, 'Dataset_Wisata'!$A$12:$A$622, 0)))) * COS(RADIANS(C300)) * SIN(RADIANS((D300) - INDEX('Dataset_Wisata'!$D$12:$D$622, MATCH('Dashboard'!$C$9, 'Dataset_Wisata'!$A$12:$A$622, 0)))/2)^2)) * 1.3</f>
        <v/>
      </c>
      <c r="J300" s="21">
        <f>ROUND(I300 * IF('Dashboard'!$C$6&lt;=1, 2250, IF('Dashboard'!$C$6&lt;=4, 5150, 6000)), 0)</f>
        <v/>
      </c>
      <c r="K300" s="30" t="n">
        <v>0.9518906050943107</v>
      </c>
      <c r="L300" s="30" t="n">
        <v>0.04169660451397377</v>
      </c>
      <c r="M300" s="30" t="n">
        <v>0.006412790391715545</v>
      </c>
      <c r="N300" s="31">
        <f>ABS(E300-$F$6)</f>
        <v/>
      </c>
      <c r="O300" s="31">
        <f>ABS(E300-$F$7)</f>
        <v/>
      </c>
      <c r="P300" s="31">
        <f>ABS(E300-$F$8)</f>
        <v/>
      </c>
      <c r="Q300" s="14">
        <f>IF(K300&gt;=MAX(L300,M300), "Hemat", IF(L300&gt;=M300, "Balanced", "Premium"))</f>
        <v/>
      </c>
      <c r="R300" s="30" t="n">
        <v>0.9518906082621517</v>
      </c>
      <c r="S300" s="30" t="n">
        <v>0.04169660246361195</v>
      </c>
      <c r="T300" s="30" t="n">
        <v>0.006412789274236485</v>
      </c>
      <c r="U300" s="31">
        <f>ABS(E300-$G$6)</f>
        <v/>
      </c>
      <c r="V300" s="31">
        <f>ABS(E300-$G$7)</f>
        <v/>
      </c>
      <c r="W300" s="31">
        <f>ABS(E300-$G$8)</f>
        <v/>
      </c>
      <c r="X300" s="14">
        <f>IF(R300&gt;=MAX(S300,T300), "Hemat", IF(S300&gt;=T300, "Balanced", "Premium"))</f>
        <v/>
      </c>
    </row>
    <row r="301">
      <c r="A301" s="14" t="n">
        <v>290</v>
      </c>
      <c r="B301" s="7" t="inlineStr">
        <is>
          <t>Depot Nank Garasi</t>
        </is>
      </c>
      <c r="C301" s="26" t="n">
        <v>-7.978248</v>
      </c>
      <c r="D301" s="26" t="n">
        <v>112.6147643</v>
      </c>
      <c r="E301" s="21" t="n">
        <v>36018</v>
      </c>
      <c r="F301" s="27" t="n">
        <v>4.7</v>
      </c>
      <c r="G301" s="28" t="n">
        <v>153</v>
      </c>
      <c r="H301" s="14" t="inlineStr">
        <is>
          <t>Wisata Umum</t>
        </is>
      </c>
      <c r="I301" s="29">
        <f>6371 * 2 * ASIN(SQRT(SIN(RADIANS((C301) - INDEX('Dataset_Wisata'!$C$12:$C$622, MATCH('Dashboard'!$C$9, 'Dataset_Wisata'!$A$12:$A$622, 0)))/2)^2 + COS(RADIANS(INDEX('Dataset_Wisata'!$C$12:$C$622, MATCH('Dashboard'!$C$9, 'Dataset_Wisata'!$A$12:$A$622, 0)))) * COS(RADIANS(C301)) * SIN(RADIANS((D301) - INDEX('Dataset_Wisata'!$D$12:$D$622, MATCH('Dashboard'!$C$9, 'Dataset_Wisata'!$A$12:$A$622, 0)))/2)^2)) * 1.3</f>
        <v/>
      </c>
      <c r="J301" s="21">
        <f>ROUND(I301 * IF('Dashboard'!$C$6&lt;=1, 2250, IF('Dashboard'!$C$6&lt;=4, 5150, 6000)), 0)</f>
        <v/>
      </c>
      <c r="K301" s="30" t="n">
        <v>0.1164950652601346</v>
      </c>
      <c r="L301" s="30" t="n">
        <v>0.5335151974051322</v>
      </c>
      <c r="M301" s="30" t="n">
        <v>0.3499897373347332</v>
      </c>
      <c r="N301" s="31">
        <f>ABS(E301-$F$6)</f>
        <v/>
      </c>
      <c r="O301" s="31">
        <f>ABS(E301-$F$7)</f>
        <v/>
      </c>
      <c r="P301" s="31">
        <f>ABS(E301-$F$8)</f>
        <v/>
      </c>
      <c r="Q301" s="14">
        <f>IF(K301&gt;=MAX(L301,M301), "Hemat", IF(L301&gt;=M301, "Balanced", "Premium"))</f>
        <v/>
      </c>
      <c r="R301" s="30" t="n">
        <v>0.1164950634961777</v>
      </c>
      <c r="S301" s="30" t="n">
        <v>0.5335149506887097</v>
      </c>
      <c r="T301" s="30" t="n">
        <v>0.3499899858151125</v>
      </c>
      <c r="U301" s="31">
        <f>ABS(E301-$G$6)</f>
        <v/>
      </c>
      <c r="V301" s="31">
        <f>ABS(E301-$G$7)</f>
        <v/>
      </c>
      <c r="W301" s="31">
        <f>ABS(E301-$G$8)</f>
        <v/>
      </c>
      <c r="X301" s="14">
        <f>IF(R301&gt;=MAX(S301,T301), "Hemat", IF(S301&gt;=T301, "Balanced", "Premium"))</f>
        <v/>
      </c>
    </row>
    <row r="302">
      <c r="A302" s="14" t="n">
        <v>291</v>
      </c>
      <c r="B302" s="7" t="inlineStr">
        <is>
          <t>Warung Jaya</t>
        </is>
      </c>
      <c r="C302" s="26" t="n">
        <v>-7.972791</v>
      </c>
      <c r="D302" s="26" t="n">
        <v>112.603616</v>
      </c>
      <c r="E302" s="21" t="n">
        <v>15000</v>
      </c>
      <c r="F302" s="27" t="n">
        <v>4.5</v>
      </c>
      <c r="G302" s="28" t="n">
        <v>43</v>
      </c>
      <c r="H302" s="14" t="inlineStr">
        <is>
          <t>Warung Jaya</t>
        </is>
      </c>
      <c r="I302" s="29">
        <f>6371 * 2 * ASIN(SQRT(SIN(RADIANS((C302) - INDEX('Dataset_Wisata'!$C$12:$C$622, MATCH('Dashboard'!$C$9, 'Dataset_Wisata'!$A$12:$A$622, 0)))/2)^2 + COS(RADIANS(INDEX('Dataset_Wisata'!$C$12:$C$622, MATCH('Dashboard'!$C$9, 'Dataset_Wisata'!$A$12:$A$622, 0)))) * COS(RADIANS(C302)) * SIN(RADIANS((D302) - INDEX('Dataset_Wisata'!$D$12:$D$622, MATCH('Dashboard'!$C$9, 'Dataset_Wisata'!$A$12:$A$622, 0)))/2)^2)) * 1.3</f>
        <v/>
      </c>
      <c r="J302" s="21">
        <f>ROUND(I302 * IF('Dashboard'!$C$6&lt;=1, 2250, IF('Dashboard'!$C$6&lt;=4, 5150, 6000)), 0)</f>
        <v/>
      </c>
      <c r="K302" s="30" t="n">
        <v>0.9686283169848018</v>
      </c>
      <c r="L302" s="30" t="n">
        <v>0.02872990537067274</v>
      </c>
      <c r="M302" s="30" t="n">
        <v>0.002641777644525457</v>
      </c>
      <c r="N302" s="31">
        <f>ABS(E302-$F$6)</f>
        <v/>
      </c>
      <c r="O302" s="31">
        <f>ABS(E302-$F$7)</f>
        <v/>
      </c>
      <c r="P302" s="31">
        <f>ABS(E302-$F$8)</f>
        <v/>
      </c>
      <c r="Q302" s="14">
        <f>IF(K302&gt;=MAX(L302,M302), "Hemat", IF(L302&gt;=M302, "Balanced", "Premium"))</f>
        <v/>
      </c>
      <c r="R302" s="30" t="n">
        <v>0.9686282798936615</v>
      </c>
      <c r="S302" s="30" t="n">
        <v>0.02872993996961344</v>
      </c>
      <c r="T302" s="30" t="n">
        <v>0.002641780136725144</v>
      </c>
      <c r="U302" s="31">
        <f>ABS(E302-$G$6)</f>
        <v/>
      </c>
      <c r="V302" s="31">
        <f>ABS(E302-$G$7)</f>
        <v/>
      </c>
      <c r="W302" s="31">
        <f>ABS(E302-$G$8)</f>
        <v/>
      </c>
      <c r="X302" s="14">
        <f>IF(R302&gt;=MAX(S302,T302), "Hemat", IF(S302&gt;=T302, "Balanced", "Premium"))</f>
        <v/>
      </c>
    </row>
    <row r="303">
      <c r="A303" s="14" t="n">
        <v>292</v>
      </c>
      <c r="B303" s="7" t="inlineStr">
        <is>
          <t>Depot Indah Jaya</t>
        </is>
      </c>
      <c r="C303" s="26" t="n">
        <v>-7.978643</v>
      </c>
      <c r="D303" s="26" t="n">
        <v>112.637149</v>
      </c>
      <c r="E303" s="21" t="n">
        <v>27000</v>
      </c>
      <c r="F303" s="27" t="n">
        <v>4.4</v>
      </c>
      <c r="G303" s="28" t="n">
        <v>93</v>
      </c>
      <c r="H303" s="14" t="inlineStr">
        <is>
          <t>Wisata Umum</t>
        </is>
      </c>
      <c r="I303" s="29">
        <f>6371 * 2 * ASIN(SQRT(SIN(RADIANS((C303) - INDEX('Dataset_Wisata'!$C$12:$C$622, MATCH('Dashboard'!$C$9, 'Dataset_Wisata'!$A$12:$A$622, 0)))/2)^2 + COS(RADIANS(INDEX('Dataset_Wisata'!$C$12:$C$622, MATCH('Dashboard'!$C$9, 'Dataset_Wisata'!$A$12:$A$622, 0)))) * COS(RADIANS(C303)) * SIN(RADIANS((D303) - INDEX('Dataset_Wisata'!$D$12:$D$622, MATCH('Dashboard'!$C$9, 'Dataset_Wisata'!$A$12:$A$622, 0)))/2)^2)) * 1.3</f>
        <v/>
      </c>
      <c r="J303" s="21">
        <f>ROUND(I303 * IF('Dashboard'!$C$6&lt;=1, 2250, IF('Dashboard'!$C$6&lt;=4, 5150, 6000)), 0)</f>
        <v/>
      </c>
      <c r="K303" s="30" t="n">
        <v>0.01383751047280994</v>
      </c>
      <c r="L303" s="30" t="n">
        <v>0.9808146618379113</v>
      </c>
      <c r="M303" s="30" t="n">
        <v>0.00534782768927864</v>
      </c>
      <c r="N303" s="31">
        <f>ABS(E303-$F$6)</f>
        <v/>
      </c>
      <c r="O303" s="31">
        <f>ABS(E303-$F$7)</f>
        <v/>
      </c>
      <c r="P303" s="31">
        <f>ABS(E303-$F$8)</f>
        <v/>
      </c>
      <c r="Q303" s="14">
        <f>IF(K303&gt;=MAX(L303,M303), "Hemat", IF(L303&gt;=M303, "Balanced", "Premium"))</f>
        <v/>
      </c>
      <c r="R303" s="30" t="n">
        <v>0.01383755367788298</v>
      </c>
      <c r="S303" s="30" t="n">
        <v>0.9808145993129077</v>
      </c>
      <c r="T303" s="30" t="n">
        <v>0.005347847009209265</v>
      </c>
      <c r="U303" s="31">
        <f>ABS(E303-$G$6)</f>
        <v/>
      </c>
      <c r="V303" s="31">
        <f>ABS(E303-$G$7)</f>
        <v/>
      </c>
      <c r="W303" s="31">
        <f>ABS(E303-$G$8)</f>
        <v/>
      </c>
      <c r="X303" s="14">
        <f>IF(R303&gt;=MAX(S303,T303), "Hemat", IF(S303&gt;=T303, "Balanced", "Premium"))</f>
        <v/>
      </c>
    </row>
    <row r="304">
      <c r="A304" s="14" t="n">
        <v>293</v>
      </c>
      <c r="B304" s="7" t="inlineStr">
        <is>
          <t>Warung nasgor sam pete</t>
        </is>
      </c>
      <c r="C304" s="26" t="n">
        <v>-8.0040973</v>
      </c>
      <c r="D304" s="26" t="n">
        <v>112.5765529</v>
      </c>
      <c r="E304" s="21" t="n">
        <v>19500</v>
      </c>
      <c r="F304" s="27" t="n">
        <v>4.6</v>
      </c>
      <c r="G304" s="28" t="n">
        <v>44</v>
      </c>
      <c r="H304" s="14" t="inlineStr">
        <is>
          <t>Warung nasgor sam pete</t>
        </is>
      </c>
      <c r="I304" s="29">
        <f>6371 * 2 * ASIN(SQRT(SIN(RADIANS((C304) - INDEX('Dataset_Wisata'!$C$12:$C$622, MATCH('Dashboard'!$C$9, 'Dataset_Wisata'!$A$12:$A$622, 0)))/2)^2 + COS(RADIANS(INDEX('Dataset_Wisata'!$C$12:$C$622, MATCH('Dashboard'!$C$9, 'Dataset_Wisata'!$A$12:$A$622, 0)))) * COS(RADIANS(C304)) * SIN(RADIANS((D304) - INDEX('Dataset_Wisata'!$D$12:$D$622, MATCH('Dashboard'!$C$9, 'Dataset_Wisata'!$A$12:$A$622, 0)))/2)^2)) * 1.3</f>
        <v/>
      </c>
      <c r="J304" s="21">
        <f>ROUND(I304 * IF('Dashboard'!$C$6&lt;=1, 2250, IF('Dashboard'!$C$6&lt;=4, 5150, 6000)), 0)</f>
        <v/>
      </c>
      <c r="K304" s="30" t="n">
        <v>0.4557889535565174</v>
      </c>
      <c r="L304" s="30" t="n">
        <v>0.5237659720581146</v>
      </c>
      <c r="M304" s="30" t="n">
        <v>0.02044507438536788</v>
      </c>
      <c r="N304" s="31">
        <f>ABS(E304-$F$6)</f>
        <v/>
      </c>
      <c r="O304" s="31">
        <f>ABS(E304-$F$7)</f>
        <v/>
      </c>
      <c r="P304" s="31">
        <f>ABS(E304-$F$8)</f>
        <v/>
      </c>
      <c r="Q304" s="14">
        <f>IF(K304&gt;=MAX(L304,M304), "Hemat", IF(L304&gt;=M304, "Balanced", "Premium"))</f>
        <v/>
      </c>
      <c r="R304" s="30" t="n">
        <v>0.4557886811023241</v>
      </c>
      <c r="S304" s="30" t="n">
        <v>0.523766246469491</v>
      </c>
      <c r="T304" s="30" t="n">
        <v>0.02044507242818502</v>
      </c>
      <c r="U304" s="31">
        <f>ABS(E304-$G$6)</f>
        <v/>
      </c>
      <c r="V304" s="31">
        <f>ABS(E304-$G$7)</f>
        <v/>
      </c>
      <c r="W304" s="31">
        <f>ABS(E304-$G$8)</f>
        <v/>
      </c>
      <c r="X304" s="14">
        <f>IF(R304&gt;=MAX(S304,T304), "Hemat", IF(S304&gt;=T304, "Balanced", "Premium"))</f>
        <v/>
      </c>
    </row>
    <row r="305">
      <c r="A305" s="14" t="n">
        <v>294</v>
      </c>
      <c r="B305" s="7" t="inlineStr">
        <is>
          <t>Depot Rahayu</t>
        </is>
      </c>
      <c r="C305" s="26" t="n">
        <v>-7.9929481</v>
      </c>
      <c r="D305" s="26" t="n">
        <v>112.6322262</v>
      </c>
      <c r="E305" s="21" t="n">
        <v>17000</v>
      </c>
      <c r="F305" s="27" t="n">
        <v>4.1</v>
      </c>
      <c r="G305" s="28" t="n">
        <v>55</v>
      </c>
      <c r="H305" s="14" t="inlineStr">
        <is>
          <t>Wisata Umum</t>
        </is>
      </c>
      <c r="I305" s="29">
        <f>6371 * 2 * ASIN(SQRT(SIN(RADIANS((C305) - INDEX('Dataset_Wisata'!$C$12:$C$622, MATCH('Dashboard'!$C$9, 'Dataset_Wisata'!$A$12:$A$622, 0)))/2)^2 + COS(RADIANS(INDEX('Dataset_Wisata'!$C$12:$C$622, MATCH('Dashboard'!$C$9, 'Dataset_Wisata'!$A$12:$A$622, 0)))) * COS(RADIANS(C305)) * SIN(RADIANS((D305) - INDEX('Dataset_Wisata'!$D$12:$D$622, MATCH('Dashboard'!$C$9, 'Dataset_Wisata'!$A$12:$A$622, 0)))/2)^2)) * 1.3</f>
        <v/>
      </c>
      <c r="J305" s="21">
        <f>ROUND(I305 * IF('Dashboard'!$C$6&lt;=1, 2250, IF('Dashboard'!$C$6&lt;=4, 5150, 6000)), 0)</f>
        <v/>
      </c>
      <c r="K305" s="30" t="n">
        <v>0.8205766965551228</v>
      </c>
      <c r="L305" s="30" t="n">
        <v>0.1680685555538888</v>
      </c>
      <c r="M305" s="30" t="n">
        <v>0.01135474789098826</v>
      </c>
      <c r="N305" s="31">
        <f>ABS(E305-$F$6)</f>
        <v/>
      </c>
      <c r="O305" s="31">
        <f>ABS(E305-$F$7)</f>
        <v/>
      </c>
      <c r="P305" s="31">
        <f>ABS(E305-$F$8)</f>
        <v/>
      </c>
      <c r="Q305" s="14">
        <f>IF(K305&gt;=MAX(L305,M305), "Hemat", IF(L305&gt;=M305, "Balanced", "Premium"))</f>
        <v/>
      </c>
      <c r="R305" s="30" t="n">
        <v>0.8205765551569555</v>
      </c>
      <c r="S305" s="30" t="n">
        <v>0.1680686919268015</v>
      </c>
      <c r="T305" s="30" t="n">
        <v>0.01135475291624307</v>
      </c>
      <c r="U305" s="31">
        <f>ABS(E305-$G$6)</f>
        <v/>
      </c>
      <c r="V305" s="31">
        <f>ABS(E305-$G$7)</f>
        <v/>
      </c>
      <c r="W305" s="31">
        <f>ABS(E305-$G$8)</f>
        <v/>
      </c>
      <c r="X305" s="14">
        <f>IF(R305&gt;=MAX(S305,T305), "Hemat", IF(S305&gt;=T305, "Balanced", "Premium"))</f>
        <v/>
      </c>
    </row>
    <row r="306">
      <c r="A306" s="14" t="n">
        <v>295</v>
      </c>
      <c r="B306" s="7" t="inlineStr">
        <is>
          <t>Depot New Purnama</t>
        </is>
      </c>
      <c r="C306" s="26" t="n">
        <v>-7.9751511</v>
      </c>
      <c r="D306" s="26" t="n">
        <v>112.6188975</v>
      </c>
      <c r="E306" s="21" t="n">
        <v>31000</v>
      </c>
      <c r="F306" s="27" t="n">
        <v>4.2</v>
      </c>
      <c r="G306" s="28" t="n">
        <v>99</v>
      </c>
      <c r="H306" s="14" t="inlineStr">
        <is>
          <t>Wisata Umum</t>
        </is>
      </c>
      <c r="I306" s="29">
        <f>6371 * 2 * ASIN(SQRT(SIN(RADIANS((C306) - INDEX('Dataset_Wisata'!$C$12:$C$622, MATCH('Dashboard'!$C$9, 'Dataset_Wisata'!$A$12:$A$622, 0)))/2)^2 + COS(RADIANS(INDEX('Dataset_Wisata'!$C$12:$C$622, MATCH('Dashboard'!$C$9, 'Dataset_Wisata'!$A$12:$A$622, 0)))) * COS(RADIANS(C306)) * SIN(RADIANS((D306) - INDEX('Dataset_Wisata'!$D$12:$D$622, MATCH('Dashboard'!$C$9, 'Dataset_Wisata'!$A$12:$A$622, 0)))/2)^2)) * 1.3</f>
        <v/>
      </c>
      <c r="J306" s="21">
        <f>ROUND(I306 * IF('Dashboard'!$C$6&lt;=1, 2250, IF('Dashboard'!$C$6&lt;=4, 5150, 6000)), 0)</f>
        <v/>
      </c>
      <c r="K306" s="30" t="n">
        <v>0.08395948783203658</v>
      </c>
      <c r="L306" s="30" t="n">
        <v>0.8356364375405326</v>
      </c>
      <c r="M306" s="30" t="n">
        <v>0.08040407462743075</v>
      </c>
      <c r="N306" s="31">
        <f>ABS(E306-$F$6)</f>
        <v/>
      </c>
      <c r="O306" s="31">
        <f>ABS(E306-$F$7)</f>
        <v/>
      </c>
      <c r="P306" s="31">
        <f>ABS(E306-$F$8)</f>
        <v/>
      </c>
      <c r="Q306" s="14">
        <f>IF(K306&gt;=MAX(L306,M306), "Hemat", IF(L306&gt;=M306, "Balanced", "Premium"))</f>
        <v/>
      </c>
      <c r="R306" s="30" t="n">
        <v>0.08395954580957625</v>
      </c>
      <c r="S306" s="30" t="n">
        <v>0.8356362792921741</v>
      </c>
      <c r="T306" s="30" t="n">
        <v>0.08040417489824961</v>
      </c>
      <c r="U306" s="31">
        <f>ABS(E306-$G$6)</f>
        <v/>
      </c>
      <c r="V306" s="31">
        <f>ABS(E306-$G$7)</f>
        <v/>
      </c>
      <c r="W306" s="31">
        <f>ABS(E306-$G$8)</f>
        <v/>
      </c>
      <c r="X306" s="14">
        <f>IF(R306&gt;=MAX(S306,T306), "Hemat", IF(S306&gt;=T306, "Balanced", "Premium"))</f>
        <v/>
      </c>
    </row>
    <row r="307">
      <c r="A307" s="14" t="n">
        <v>296</v>
      </c>
      <c r="B307" s="7" t="inlineStr">
        <is>
          <t>Niki Kopitiam Malang</t>
        </is>
      </c>
      <c r="C307" s="26" t="n">
        <v>-7.9679686</v>
      </c>
      <c r="D307" s="26" t="n">
        <v>112.6170482</v>
      </c>
      <c r="E307" s="21" t="n">
        <v>40250</v>
      </c>
      <c r="F307" s="27" t="n">
        <v>4.6</v>
      </c>
      <c r="G307" s="28" t="n">
        <v>3310</v>
      </c>
      <c r="H307" s="14" t="inlineStr">
        <is>
          <t>Hidangan klasik di restoran santai</t>
        </is>
      </c>
      <c r="I307" s="29">
        <f>6371 * 2 * ASIN(SQRT(SIN(RADIANS((C307) - INDEX('Dataset_Wisata'!$C$12:$C$622, MATCH('Dashboard'!$C$9, 'Dataset_Wisata'!$A$12:$A$622, 0)))/2)^2 + COS(RADIANS(INDEX('Dataset_Wisata'!$C$12:$C$622, MATCH('Dashboard'!$C$9, 'Dataset_Wisata'!$A$12:$A$622, 0)))) * COS(RADIANS(C307)) * SIN(RADIANS((D307) - INDEX('Dataset_Wisata'!$D$12:$D$622, MATCH('Dashboard'!$C$9, 'Dataset_Wisata'!$A$12:$A$622, 0)))/2)^2)) * 1.3</f>
        <v/>
      </c>
      <c r="J307" s="21">
        <f>ROUND(I307 * IF('Dashboard'!$C$6&lt;=1, 2250, IF('Dashboard'!$C$6&lt;=4, 5150, 6000)), 0)</f>
        <v/>
      </c>
      <c r="K307" s="30" t="n">
        <v>0.07420651582597194</v>
      </c>
      <c r="L307" s="30" t="n">
        <v>0.2447100519944301</v>
      </c>
      <c r="M307" s="30" t="n">
        <v>0.681083432179598</v>
      </c>
      <c r="N307" s="31">
        <f>ABS(E307-$F$6)</f>
        <v/>
      </c>
      <c r="O307" s="31">
        <f>ABS(E307-$F$7)</f>
        <v/>
      </c>
      <c r="P307" s="31">
        <f>ABS(E307-$F$8)</f>
        <v/>
      </c>
      <c r="Q307" s="14">
        <f>IF(K307&gt;=MAX(L307,M307), "Hemat", IF(L307&gt;=M307, "Balanced", "Premium"))</f>
        <v/>
      </c>
      <c r="R307" s="30" t="n">
        <v>0.07420646928795441</v>
      </c>
      <c r="S307" s="30" t="n">
        <v>0.2447098219565826</v>
      </c>
      <c r="T307" s="30" t="n">
        <v>0.6810837087554629</v>
      </c>
      <c r="U307" s="31">
        <f>ABS(E307-$G$6)</f>
        <v/>
      </c>
      <c r="V307" s="31">
        <f>ABS(E307-$G$7)</f>
        <v/>
      </c>
      <c r="W307" s="31">
        <f>ABS(E307-$G$8)</f>
        <v/>
      </c>
      <c r="X307" s="14">
        <f>IF(R307&gt;=MAX(S307,T307), "Hemat", IF(S307&gt;=T307, "Balanced", "Premium"))</f>
        <v/>
      </c>
    </row>
    <row r="308">
      <c r="A308" s="14" t="n">
        <v>297</v>
      </c>
      <c r="B308" s="7" t="inlineStr">
        <is>
          <t>Depot Ijo Daun</t>
        </is>
      </c>
      <c r="C308" s="26" t="n">
        <v>-7.9528908</v>
      </c>
      <c r="D308" s="26" t="n">
        <v>112.6172834</v>
      </c>
      <c r="E308" s="21" t="n">
        <v>24000</v>
      </c>
      <c r="F308" s="27" t="n">
        <v>4.5</v>
      </c>
      <c r="G308" s="28" t="n">
        <v>20</v>
      </c>
      <c r="H308" s="14" t="inlineStr">
        <is>
          <t>Wisata Umum</t>
        </is>
      </c>
      <c r="I308" s="29">
        <f>6371 * 2 * ASIN(SQRT(SIN(RADIANS((C308) - INDEX('Dataset_Wisata'!$C$12:$C$622, MATCH('Dashboard'!$C$9, 'Dataset_Wisata'!$A$12:$A$622, 0)))/2)^2 + COS(RADIANS(INDEX('Dataset_Wisata'!$C$12:$C$622, MATCH('Dashboard'!$C$9, 'Dataset_Wisata'!$A$12:$A$622, 0)))) * COS(RADIANS(C308)) * SIN(RADIANS((D308) - INDEX('Dataset_Wisata'!$D$12:$D$622, MATCH('Dashboard'!$C$9, 'Dataset_Wisata'!$A$12:$A$622, 0)))/2)^2)) * 1.3</f>
        <v/>
      </c>
      <c r="J308" s="21">
        <f>ROUND(I308 * IF('Dashboard'!$C$6&lt;=1, 2250, IF('Dashboard'!$C$6&lt;=4, 5150, 6000)), 0)</f>
        <v/>
      </c>
      <c r="K308" s="30" t="n">
        <v>0.01566919209799599</v>
      </c>
      <c r="L308" s="30" t="n">
        <v>0.9814549383152572</v>
      </c>
      <c r="M308" s="30" t="n">
        <v>0.002875869586746823</v>
      </c>
      <c r="N308" s="31">
        <f>ABS(E308-$F$6)</f>
        <v/>
      </c>
      <c r="O308" s="31">
        <f>ABS(E308-$F$7)</f>
        <v/>
      </c>
      <c r="P308" s="31">
        <f>ABS(E308-$F$8)</f>
        <v/>
      </c>
      <c r="Q308" s="14">
        <f>IF(K308&gt;=MAX(L308,M308), "Hemat", IF(L308&gt;=M308, "Balanced", "Premium"))</f>
        <v/>
      </c>
      <c r="R308" s="30" t="n">
        <v>0.01566912962873779</v>
      </c>
      <c r="S308" s="30" t="n">
        <v>0.9814550109006157</v>
      </c>
      <c r="T308" s="30" t="n">
        <v>0.002875859470646487</v>
      </c>
      <c r="U308" s="31">
        <f>ABS(E308-$G$6)</f>
        <v/>
      </c>
      <c r="V308" s="31">
        <f>ABS(E308-$G$7)</f>
        <v/>
      </c>
      <c r="W308" s="31">
        <f>ABS(E308-$G$8)</f>
        <v/>
      </c>
      <c r="X308" s="14">
        <f>IF(R308&gt;=MAX(S308,T308), "Hemat", IF(S308&gt;=T308, "Balanced", "Premium"))</f>
        <v/>
      </c>
    </row>
    <row r="309">
      <c r="A309" s="14" t="n">
        <v>298</v>
      </c>
      <c r="B309" s="7" t="inlineStr">
        <is>
          <t>Food center petung sewu</t>
        </is>
      </c>
      <c r="C309" s="26" t="n">
        <v>-7.949326</v>
      </c>
      <c r="D309" s="26" t="n">
        <v>112.562018</v>
      </c>
      <c r="E309" s="21" t="n">
        <v>7500</v>
      </c>
      <c r="F309" s="27" t="n">
        <v>4.6</v>
      </c>
      <c r="G309" s="28" t="n">
        <v>65</v>
      </c>
      <c r="H309" s="14" t="inlineStr">
        <is>
          <t>Wisata Umum</t>
        </is>
      </c>
      <c r="I309" s="29">
        <f>6371 * 2 * ASIN(SQRT(SIN(RADIANS((C309) - INDEX('Dataset_Wisata'!$C$12:$C$622, MATCH('Dashboard'!$C$9, 'Dataset_Wisata'!$A$12:$A$622, 0)))/2)^2 + COS(RADIANS(INDEX('Dataset_Wisata'!$C$12:$C$622, MATCH('Dashboard'!$C$9, 'Dataset_Wisata'!$A$12:$A$622, 0)))) * COS(RADIANS(C309)) * SIN(RADIANS((D309) - INDEX('Dataset_Wisata'!$D$12:$D$622, MATCH('Dashboard'!$C$9, 'Dataset_Wisata'!$A$12:$A$622, 0)))/2)^2)) * 1.3</f>
        <v/>
      </c>
      <c r="J309" s="21">
        <f>ROUND(I309 * IF('Dashboard'!$C$6&lt;=1, 2250, IF('Dashboard'!$C$6&lt;=4, 5150, 6000)), 0)</f>
        <v/>
      </c>
      <c r="K309" s="30" t="n">
        <v>0.8919157632085243</v>
      </c>
      <c r="L309" s="30" t="n">
        <v>0.09130849431734138</v>
      </c>
      <c r="M309" s="30" t="n">
        <v>0.0167757424741345</v>
      </c>
      <c r="N309" s="31">
        <f>ABS(E309-$F$6)</f>
        <v/>
      </c>
      <c r="O309" s="31">
        <f>ABS(E309-$F$7)</f>
        <v/>
      </c>
      <c r="P309" s="31">
        <f>ABS(E309-$F$8)</f>
        <v/>
      </c>
      <c r="Q309" s="14">
        <f>IF(K309&gt;=MAX(L309,M309), "Hemat", IF(L309&gt;=M309, "Balanced", "Premium"))</f>
        <v/>
      </c>
      <c r="R309" s="30" t="n">
        <v>0.8919157573729652</v>
      </c>
      <c r="S309" s="30" t="n">
        <v>0.09130850051736716</v>
      </c>
      <c r="T309" s="30" t="n">
        <v>0.01677574210966746</v>
      </c>
      <c r="U309" s="31">
        <f>ABS(E309-$G$6)</f>
        <v/>
      </c>
      <c r="V309" s="31">
        <f>ABS(E309-$G$7)</f>
        <v/>
      </c>
      <c r="W309" s="31">
        <f>ABS(E309-$G$8)</f>
        <v/>
      </c>
      <c r="X309" s="14">
        <f>IF(R309&gt;=MAX(S309,T309), "Hemat", IF(S309&gt;=T309, "Balanced", "Premium"))</f>
        <v/>
      </c>
    </row>
    <row r="310">
      <c r="A310" s="14" t="n">
        <v>299</v>
      </c>
      <c r="B310" s="7" t="inlineStr">
        <is>
          <t>Lataran Sendayu</t>
        </is>
      </c>
      <c r="C310" s="26" t="n">
        <v>-7.948571</v>
      </c>
      <c r="D310" s="26" t="n">
        <v>112.5615383</v>
      </c>
      <c r="E310" s="21" t="n">
        <v>16000</v>
      </c>
      <c r="F310" s="27" t="n">
        <v>4.6</v>
      </c>
      <c r="G310" s="28" t="n">
        <v>857</v>
      </c>
      <c r="H310" s="14" t="inlineStr">
        <is>
          <t>Wisata Umum</t>
        </is>
      </c>
      <c r="I310" s="29">
        <f>6371 * 2 * ASIN(SQRT(SIN(RADIANS((C310) - INDEX('Dataset_Wisata'!$C$12:$C$622, MATCH('Dashboard'!$C$9, 'Dataset_Wisata'!$A$12:$A$622, 0)))/2)^2 + COS(RADIANS(INDEX('Dataset_Wisata'!$C$12:$C$622, MATCH('Dashboard'!$C$9, 'Dataset_Wisata'!$A$12:$A$622, 0)))) * COS(RADIANS(C310)) * SIN(RADIANS((D310) - INDEX('Dataset_Wisata'!$D$12:$D$622, MATCH('Dashboard'!$C$9, 'Dataset_Wisata'!$A$12:$A$622, 0)))/2)^2)) * 1.3</f>
        <v/>
      </c>
      <c r="J310" s="21">
        <f>ROUND(I310 * IF('Dashboard'!$C$6&lt;=1, 2250, IF('Dashboard'!$C$6&lt;=4, 5150, 6000)), 0)</f>
        <v/>
      </c>
      <c r="K310" s="30" t="n">
        <v>0.9128193134184031</v>
      </c>
      <c r="L310" s="30" t="n">
        <v>0.08074863238868506</v>
      </c>
      <c r="M310" s="30" t="n">
        <v>0.006432054192912039</v>
      </c>
      <c r="N310" s="31">
        <f>ABS(E310-$F$6)</f>
        <v/>
      </c>
      <c r="O310" s="31">
        <f>ABS(E310-$F$7)</f>
        <v/>
      </c>
      <c r="P310" s="31">
        <f>ABS(E310-$F$8)</f>
        <v/>
      </c>
      <c r="Q310" s="14">
        <f>IF(K310&gt;=MAX(L310,M310), "Hemat", IF(L310&gt;=M310, "Balanced", "Premium"))</f>
        <v/>
      </c>
      <c r="R310" s="30" t="n">
        <v>0.9128192326410924</v>
      </c>
      <c r="S310" s="30" t="n">
        <v>0.08074870904423974</v>
      </c>
      <c r="T310" s="30" t="n">
        <v>0.006432058314667768</v>
      </c>
      <c r="U310" s="31">
        <f>ABS(E310-$G$6)</f>
        <v/>
      </c>
      <c r="V310" s="31">
        <f>ABS(E310-$G$7)</f>
        <v/>
      </c>
      <c r="W310" s="31">
        <f>ABS(E310-$G$8)</f>
        <v/>
      </c>
      <c r="X310" s="14">
        <f>IF(R310&gt;=MAX(S310,T310), "Hemat", IF(S310&gt;=T310, "Balanced", "Premium"))</f>
        <v/>
      </c>
    </row>
    <row r="311">
      <c r="A311" s="14" t="n">
        <v>300</v>
      </c>
      <c r="B311" s="7" t="inlineStr">
        <is>
          <t>Monggo Pinarak</t>
        </is>
      </c>
      <c r="C311" s="26" t="n">
        <v>-7.9543069</v>
      </c>
      <c r="D311" s="26" t="n">
        <v>112.5675645</v>
      </c>
      <c r="E311" s="21" t="n">
        <v>18000</v>
      </c>
      <c r="F311" s="27" t="n">
        <v>5</v>
      </c>
      <c r="G311" s="28" t="n">
        <v>33</v>
      </c>
      <c r="H311" s="14" t="inlineStr">
        <is>
          <t>Wisata Umum</t>
        </is>
      </c>
      <c r="I311" s="29">
        <f>6371 * 2 * ASIN(SQRT(SIN(RADIANS((C311) - INDEX('Dataset_Wisata'!$C$12:$C$622, MATCH('Dashboard'!$C$9, 'Dataset_Wisata'!$A$12:$A$622, 0)))/2)^2 + COS(RADIANS(INDEX('Dataset_Wisata'!$C$12:$C$622, MATCH('Dashboard'!$C$9, 'Dataset_Wisata'!$A$12:$A$622, 0)))) * COS(RADIANS(C311)) * SIN(RADIANS((D311) - INDEX('Dataset_Wisata'!$D$12:$D$622, MATCH('Dashboard'!$C$9, 'Dataset_Wisata'!$A$12:$A$622, 0)))/2)^2)) * 1.3</f>
        <v/>
      </c>
      <c r="J311" s="21">
        <f>ROUND(I311 * IF('Dashboard'!$C$6&lt;=1, 2250, IF('Dashboard'!$C$6&lt;=4, 5150, 6000)), 0)</f>
        <v/>
      </c>
      <c r="K311" s="30" t="n">
        <v>0.6916251733659831</v>
      </c>
      <c r="L311" s="30" t="n">
        <v>0.2920817970297536</v>
      </c>
      <c r="M311" s="30" t="n">
        <v>0.01629302960426341</v>
      </c>
      <c r="N311" s="31">
        <f>ABS(E311-$F$6)</f>
        <v/>
      </c>
      <c r="O311" s="31">
        <f>ABS(E311-$F$7)</f>
        <v/>
      </c>
      <c r="P311" s="31">
        <f>ABS(E311-$F$8)</f>
        <v/>
      </c>
      <c r="Q311" s="14">
        <f>IF(K311&gt;=MAX(L311,M311), "Hemat", IF(L311&gt;=M311, "Balanced", "Premium"))</f>
        <v/>
      </c>
      <c r="R311" s="30" t="n">
        <v>0.6916249652211897</v>
      </c>
      <c r="S311" s="30" t="n">
        <v>0.2920820010799081</v>
      </c>
      <c r="T311" s="30" t="n">
        <v>0.01629303369890229</v>
      </c>
      <c r="U311" s="31">
        <f>ABS(E311-$G$6)</f>
        <v/>
      </c>
      <c r="V311" s="31">
        <f>ABS(E311-$G$7)</f>
        <v/>
      </c>
      <c r="W311" s="31">
        <f>ABS(E311-$G$8)</f>
        <v/>
      </c>
      <c r="X311" s="14">
        <f>IF(R311&gt;=MAX(S311,T311), "Hemat", IF(S311&gt;=T311, "Balanced", "Premium"))</f>
        <v/>
      </c>
    </row>
    <row r="312">
      <c r="A312" s="14" t="n">
        <v>301</v>
      </c>
      <c r="B312" s="7" t="inlineStr">
        <is>
          <t>Sego Sambel Tegal Phutuk</t>
        </is>
      </c>
      <c r="C312" s="26" t="n">
        <v>-7.9498243</v>
      </c>
      <c r="D312" s="26" t="n">
        <v>112.5631165</v>
      </c>
      <c r="E312" s="21" t="n">
        <v>16000</v>
      </c>
      <c r="F312" s="27" t="n">
        <v>4.8</v>
      </c>
      <c r="G312" s="28" t="n">
        <v>28</v>
      </c>
      <c r="H312" s="14" t="inlineStr">
        <is>
          <t>Wisata Umum</t>
        </is>
      </c>
      <c r="I312" s="29">
        <f>6371 * 2 * ASIN(SQRT(SIN(RADIANS((C312) - INDEX('Dataset_Wisata'!$C$12:$C$622, MATCH('Dashboard'!$C$9, 'Dataset_Wisata'!$A$12:$A$622, 0)))/2)^2 + COS(RADIANS(INDEX('Dataset_Wisata'!$C$12:$C$622, MATCH('Dashboard'!$C$9, 'Dataset_Wisata'!$A$12:$A$622, 0)))) * COS(RADIANS(C312)) * SIN(RADIANS((D312) - INDEX('Dataset_Wisata'!$D$12:$D$622, MATCH('Dashboard'!$C$9, 'Dataset_Wisata'!$A$12:$A$622, 0)))/2)^2)) * 1.3</f>
        <v/>
      </c>
      <c r="J312" s="21">
        <f>ROUND(I312 * IF('Dashboard'!$C$6&lt;=1, 2250, IF('Dashboard'!$C$6&lt;=4, 5150, 6000)), 0)</f>
        <v/>
      </c>
      <c r="K312" s="30" t="n">
        <v>0.9128193134184031</v>
      </c>
      <c r="L312" s="30" t="n">
        <v>0.08074863238868506</v>
      </c>
      <c r="M312" s="30" t="n">
        <v>0.006432054192912039</v>
      </c>
      <c r="N312" s="31">
        <f>ABS(E312-$F$6)</f>
        <v/>
      </c>
      <c r="O312" s="31">
        <f>ABS(E312-$F$7)</f>
        <v/>
      </c>
      <c r="P312" s="31">
        <f>ABS(E312-$F$8)</f>
        <v/>
      </c>
      <c r="Q312" s="14">
        <f>IF(K312&gt;=MAX(L312,M312), "Hemat", IF(L312&gt;=M312, "Balanced", "Premium"))</f>
        <v/>
      </c>
      <c r="R312" s="30" t="n">
        <v>0.9128192326410924</v>
      </c>
      <c r="S312" s="30" t="n">
        <v>0.08074870904423974</v>
      </c>
      <c r="T312" s="30" t="n">
        <v>0.006432058314667768</v>
      </c>
      <c r="U312" s="31">
        <f>ABS(E312-$G$6)</f>
        <v/>
      </c>
      <c r="V312" s="31">
        <f>ABS(E312-$G$7)</f>
        <v/>
      </c>
      <c r="W312" s="31">
        <f>ABS(E312-$G$8)</f>
        <v/>
      </c>
      <c r="X312" s="14">
        <f>IF(R312&gt;=MAX(S312,T312), "Hemat", IF(S312&gt;=T312, "Balanced", "Premium"))</f>
        <v/>
      </c>
    </row>
    <row r="313">
      <c r="A313" s="14" t="n">
        <v>302</v>
      </c>
      <c r="B313" s="7" t="inlineStr">
        <is>
          <t>Warung Mitra Rasa</t>
        </is>
      </c>
      <c r="C313" s="26" t="n">
        <v>-7.9455813</v>
      </c>
      <c r="D313" s="26" t="n">
        <v>112.5525999</v>
      </c>
      <c r="E313" s="21" t="n">
        <v>16000</v>
      </c>
      <c r="F313" s="27" t="n">
        <v>4.2</v>
      </c>
      <c r="G313" s="28" t="n">
        <v>31</v>
      </c>
      <c r="H313" s="14" t="inlineStr">
        <is>
          <t>Warung Mitra Rasa</t>
        </is>
      </c>
      <c r="I313" s="29">
        <f>6371 * 2 * ASIN(SQRT(SIN(RADIANS((C313) - INDEX('Dataset_Wisata'!$C$12:$C$622, MATCH('Dashboard'!$C$9, 'Dataset_Wisata'!$A$12:$A$622, 0)))/2)^2 + COS(RADIANS(INDEX('Dataset_Wisata'!$C$12:$C$622, MATCH('Dashboard'!$C$9, 'Dataset_Wisata'!$A$12:$A$622, 0)))) * COS(RADIANS(C313)) * SIN(RADIANS((D313) - INDEX('Dataset_Wisata'!$D$12:$D$622, MATCH('Dashboard'!$C$9, 'Dataset_Wisata'!$A$12:$A$622, 0)))/2)^2)) * 1.3</f>
        <v/>
      </c>
      <c r="J313" s="21">
        <f>ROUND(I313 * IF('Dashboard'!$C$6&lt;=1, 2250, IF('Dashboard'!$C$6&lt;=4, 5150, 6000)), 0)</f>
        <v/>
      </c>
      <c r="K313" s="30" t="n">
        <v>0.9128193134184031</v>
      </c>
      <c r="L313" s="30" t="n">
        <v>0.08074863238868506</v>
      </c>
      <c r="M313" s="30" t="n">
        <v>0.006432054192912039</v>
      </c>
      <c r="N313" s="31">
        <f>ABS(E313-$F$6)</f>
        <v/>
      </c>
      <c r="O313" s="31">
        <f>ABS(E313-$F$7)</f>
        <v/>
      </c>
      <c r="P313" s="31">
        <f>ABS(E313-$F$8)</f>
        <v/>
      </c>
      <c r="Q313" s="14">
        <f>IF(K313&gt;=MAX(L313,M313), "Hemat", IF(L313&gt;=M313, "Balanced", "Premium"))</f>
        <v/>
      </c>
      <c r="R313" s="30" t="n">
        <v>0.9128192326410924</v>
      </c>
      <c r="S313" s="30" t="n">
        <v>0.08074870904423974</v>
      </c>
      <c r="T313" s="30" t="n">
        <v>0.006432058314667768</v>
      </c>
      <c r="U313" s="31">
        <f>ABS(E313-$G$6)</f>
        <v/>
      </c>
      <c r="V313" s="31">
        <f>ABS(E313-$G$7)</f>
        <v/>
      </c>
      <c r="W313" s="31">
        <f>ABS(E313-$G$8)</f>
        <v/>
      </c>
      <c r="X313" s="14">
        <f>IF(R313&gt;=MAX(S313,T313), "Hemat", IF(S313&gt;=T313, "Balanced", "Premium"))</f>
        <v/>
      </c>
    </row>
    <row r="314">
      <c r="A314" s="14" t="n">
        <v>303</v>
      </c>
      <c r="B314" s="7" t="inlineStr">
        <is>
          <t>Warung Sate Gule Bang Tismanto</t>
        </is>
      </c>
      <c r="C314" s="26" t="n">
        <v>-7.9627203</v>
      </c>
      <c r="D314" s="26" t="n">
        <v>112.551696</v>
      </c>
      <c r="E314" s="21" t="n">
        <v>60000</v>
      </c>
      <c r="F314" s="27" t="n">
        <v>4.1</v>
      </c>
      <c r="G314" s="28" t="n">
        <v>42</v>
      </c>
      <c r="H314" s="14" t="inlineStr">
        <is>
          <t>Warung Sate Gule Bang Tismanto</t>
        </is>
      </c>
      <c r="I314" s="29">
        <f>6371 * 2 * ASIN(SQRT(SIN(RADIANS((C314) - INDEX('Dataset_Wisata'!$C$12:$C$622, MATCH('Dashboard'!$C$9, 'Dataset_Wisata'!$A$12:$A$622, 0)))/2)^2 + COS(RADIANS(INDEX('Dataset_Wisata'!$C$12:$C$622, MATCH('Dashboard'!$C$9, 'Dataset_Wisata'!$A$12:$A$622, 0)))) * COS(RADIANS(C314)) * SIN(RADIANS((D314) - INDEX('Dataset_Wisata'!$D$12:$D$622, MATCH('Dashboard'!$C$9, 'Dataset_Wisata'!$A$12:$A$622, 0)))/2)^2)) * 1.3</f>
        <v/>
      </c>
      <c r="J314" s="21">
        <f>ROUND(I314 * IF('Dashboard'!$C$6&lt;=1, 2250, IF('Dashboard'!$C$6&lt;=4, 5150, 6000)), 0)</f>
        <v/>
      </c>
      <c r="K314" s="30" t="n">
        <v>0.04651461447243808</v>
      </c>
      <c r="L314" s="30" t="n">
        <v>0.08486103951242643</v>
      </c>
      <c r="M314" s="30" t="n">
        <v>0.8686243460151355</v>
      </c>
      <c r="N314" s="31">
        <f>ABS(E314-$F$6)</f>
        <v/>
      </c>
      <c r="O314" s="31">
        <f>ABS(E314-$F$7)</f>
        <v/>
      </c>
      <c r="P314" s="31">
        <f>ABS(E314-$F$8)</f>
        <v/>
      </c>
      <c r="Q314" s="14">
        <f>IF(K314&gt;=MAX(L314,M314), "Hemat", IF(L314&gt;=M314, "Balanced", "Premium"))</f>
        <v/>
      </c>
      <c r="R314" s="30" t="n">
        <v>0.04651464667573311</v>
      </c>
      <c r="S314" s="30" t="n">
        <v>0.08486108745204841</v>
      </c>
      <c r="T314" s="30" t="n">
        <v>0.8686242658722184</v>
      </c>
      <c r="U314" s="31">
        <f>ABS(E314-$G$6)</f>
        <v/>
      </c>
      <c r="V314" s="31">
        <f>ABS(E314-$G$7)</f>
        <v/>
      </c>
      <c r="W314" s="31">
        <f>ABS(E314-$G$8)</f>
        <v/>
      </c>
      <c r="X314" s="14">
        <f>IF(R314&gt;=MAX(S314,T314), "Hemat", IF(S314&gt;=T314, "Balanced", "Premium"))</f>
        <v/>
      </c>
    </row>
    <row r="315">
      <c r="A315" s="14" t="n">
        <v>304</v>
      </c>
      <c r="B315" s="7" t="inlineStr">
        <is>
          <t>Warung Pendopo</t>
        </is>
      </c>
      <c r="C315" s="26" t="n">
        <v>-7.921815</v>
      </c>
      <c r="D315" s="26" t="n">
        <v>112.550372</v>
      </c>
      <c r="E315" s="21" t="n">
        <v>21999</v>
      </c>
      <c r="F315" s="27" t="n">
        <v>4.6</v>
      </c>
      <c r="G315" s="28" t="n">
        <v>175</v>
      </c>
      <c r="H315" s="14" t="inlineStr">
        <is>
          <t>Warung Pendopo</t>
        </is>
      </c>
      <c r="I315" s="29">
        <f>6371 * 2 * ASIN(SQRT(SIN(RADIANS((C315) - INDEX('Dataset_Wisata'!$C$12:$C$622, MATCH('Dashboard'!$C$9, 'Dataset_Wisata'!$A$12:$A$622, 0)))/2)^2 + COS(RADIANS(INDEX('Dataset_Wisata'!$C$12:$C$622, MATCH('Dashboard'!$C$9, 'Dataset_Wisata'!$A$12:$A$622, 0)))) * COS(RADIANS(C315)) * SIN(RADIANS((D315) - INDEX('Dataset_Wisata'!$D$12:$D$622, MATCH('Dashboard'!$C$9, 'Dataset_Wisata'!$A$12:$A$622, 0)))/2)^2)) * 1.3</f>
        <v/>
      </c>
      <c r="J315" s="21">
        <f>ROUND(I315 * IF('Dashboard'!$C$6&lt;=1, 2250, IF('Dashboard'!$C$6&lt;=4, 5150, 6000)), 0)</f>
        <v/>
      </c>
      <c r="K315" s="30" t="n">
        <v>0.1262067301485363</v>
      </c>
      <c r="L315" s="30" t="n">
        <v>0.8606074221080805</v>
      </c>
      <c r="M315" s="30" t="n">
        <v>0.01318584774338321</v>
      </c>
      <c r="N315" s="31">
        <f>ABS(E315-$F$6)</f>
        <v/>
      </c>
      <c r="O315" s="31">
        <f>ABS(E315-$F$7)</f>
        <v/>
      </c>
      <c r="P315" s="31">
        <f>ABS(E315-$F$8)</f>
        <v/>
      </c>
      <c r="Q315" s="14">
        <f>IF(K315&gt;=MAX(L315,M315), "Hemat", IF(L315&gt;=M315, "Balanced", "Premium"))</f>
        <v/>
      </c>
      <c r="R315" s="30" t="n">
        <v>0.1262065399763706</v>
      </c>
      <c r="S315" s="30" t="n">
        <v>0.8606076259416622</v>
      </c>
      <c r="T315" s="30" t="n">
        <v>0.01318583408196718</v>
      </c>
      <c r="U315" s="31">
        <f>ABS(E315-$G$6)</f>
        <v/>
      </c>
      <c r="V315" s="31">
        <f>ABS(E315-$G$7)</f>
        <v/>
      </c>
      <c r="W315" s="31">
        <f>ABS(E315-$G$8)</f>
        <v/>
      </c>
      <c r="X315" s="14">
        <f>IF(R315&gt;=MAX(S315,T315), "Hemat", IF(S315&gt;=T315, "Balanced", "Premium"))</f>
        <v/>
      </c>
    </row>
    <row r="316">
      <c r="A316" s="14" t="n">
        <v>305</v>
      </c>
      <c r="B316" s="7" t="inlineStr">
        <is>
          <t>Mas Norin Lalapan</t>
        </is>
      </c>
      <c r="C316" s="26" t="n">
        <v>-7.9385115</v>
      </c>
      <c r="D316" s="26" t="n">
        <v>112.5631491</v>
      </c>
      <c r="E316" s="21" t="n">
        <v>18000</v>
      </c>
      <c r="F316" s="27" t="n">
        <v>4.4</v>
      </c>
      <c r="G316" s="28" t="n">
        <v>103</v>
      </c>
      <c r="H316" s="14" t="inlineStr">
        <is>
          <t>Wisata Umum</t>
        </is>
      </c>
      <c r="I316" s="29">
        <f>6371 * 2 * ASIN(SQRT(SIN(RADIANS((C316) - INDEX('Dataset_Wisata'!$C$12:$C$622, MATCH('Dashboard'!$C$9, 'Dataset_Wisata'!$A$12:$A$622, 0)))/2)^2 + COS(RADIANS(INDEX('Dataset_Wisata'!$C$12:$C$622, MATCH('Dashboard'!$C$9, 'Dataset_Wisata'!$A$12:$A$622, 0)))) * COS(RADIANS(C316)) * SIN(RADIANS((D316) - INDEX('Dataset_Wisata'!$D$12:$D$622, MATCH('Dashboard'!$C$9, 'Dataset_Wisata'!$A$12:$A$622, 0)))/2)^2)) * 1.3</f>
        <v/>
      </c>
      <c r="J316" s="21">
        <f>ROUND(I316 * IF('Dashboard'!$C$6&lt;=1, 2250, IF('Dashboard'!$C$6&lt;=4, 5150, 6000)), 0)</f>
        <v/>
      </c>
      <c r="K316" s="30" t="n">
        <v>0.6916251733659831</v>
      </c>
      <c r="L316" s="30" t="n">
        <v>0.2920817970297536</v>
      </c>
      <c r="M316" s="30" t="n">
        <v>0.01629302960426341</v>
      </c>
      <c r="N316" s="31">
        <f>ABS(E316-$F$6)</f>
        <v/>
      </c>
      <c r="O316" s="31">
        <f>ABS(E316-$F$7)</f>
        <v/>
      </c>
      <c r="P316" s="31">
        <f>ABS(E316-$F$8)</f>
        <v/>
      </c>
      <c r="Q316" s="14">
        <f>IF(K316&gt;=MAX(L316,M316), "Hemat", IF(L316&gt;=M316, "Balanced", "Premium"))</f>
        <v/>
      </c>
      <c r="R316" s="30" t="n">
        <v>0.6916249652211897</v>
      </c>
      <c r="S316" s="30" t="n">
        <v>0.2920820010799081</v>
      </c>
      <c r="T316" s="30" t="n">
        <v>0.01629303369890229</v>
      </c>
      <c r="U316" s="31">
        <f>ABS(E316-$G$6)</f>
        <v/>
      </c>
      <c r="V316" s="31">
        <f>ABS(E316-$G$7)</f>
        <v/>
      </c>
      <c r="W316" s="31">
        <f>ABS(E316-$G$8)</f>
        <v/>
      </c>
      <c r="X316" s="14">
        <f>IF(R316&gt;=MAX(S316,T316), "Hemat", IF(S316&gt;=T316, "Balanced", "Premium"))</f>
        <v/>
      </c>
    </row>
    <row r="317">
      <c r="A317" s="14" t="n">
        <v>306</v>
      </c>
      <c r="B317" s="7" t="inlineStr">
        <is>
          <t>CAFE KLANGENAN SPESIALIS AYAM LODHO</t>
        </is>
      </c>
      <c r="C317" s="26" t="n">
        <v>-7.9249941</v>
      </c>
      <c r="D317" s="26" t="n">
        <v>112.5691666</v>
      </c>
      <c r="E317" s="21" t="n">
        <v>13000</v>
      </c>
      <c r="F317" s="27" t="n">
        <v>4.9</v>
      </c>
      <c r="G317" s="28" t="n">
        <v>55</v>
      </c>
      <c r="H317" s="14" t="inlineStr">
        <is>
          <t>Wisata Umum</t>
        </is>
      </c>
      <c r="I317" s="29">
        <f>6371 * 2 * ASIN(SQRT(SIN(RADIANS((C317) - INDEX('Dataset_Wisata'!$C$12:$C$622, MATCH('Dashboard'!$C$9, 'Dataset_Wisata'!$A$12:$A$622, 0)))/2)^2 + COS(RADIANS(INDEX('Dataset_Wisata'!$C$12:$C$622, MATCH('Dashboard'!$C$9, 'Dataset_Wisata'!$A$12:$A$622, 0)))) * COS(RADIANS(C317)) * SIN(RADIANS((D317) - INDEX('Dataset_Wisata'!$D$12:$D$622, MATCH('Dashboard'!$C$9, 'Dataset_Wisata'!$A$12:$A$622, 0)))/2)^2)) * 1.3</f>
        <v/>
      </c>
      <c r="J317" s="21">
        <f>ROUND(I317 * IF('Dashboard'!$C$6&lt;=1, 2250, IF('Dashboard'!$C$6&lt;=4, 5150, 6000)), 0)</f>
        <v/>
      </c>
      <c r="K317" s="30" t="n">
        <v>0.9996613401455278</v>
      </c>
      <c r="L317" s="30" t="n">
        <v>0.0003032413982241428</v>
      </c>
      <c r="M317" s="30" t="n">
        <v>3.541845624800055e-05</v>
      </c>
      <c r="N317" s="31">
        <f>ABS(E317-$F$6)</f>
        <v/>
      </c>
      <c r="O317" s="31">
        <f>ABS(E317-$F$7)</f>
        <v/>
      </c>
      <c r="P317" s="31">
        <f>ABS(E317-$F$8)</f>
        <v/>
      </c>
      <c r="Q317" s="14">
        <f>IF(K317&gt;=MAX(L317,M317), "Hemat", IF(L317&gt;=M317, "Balanced", "Premium"))</f>
        <v/>
      </c>
      <c r="R317" s="30" t="n">
        <v>0.9996613420378273</v>
      </c>
      <c r="S317" s="30" t="n">
        <v>0.0003032397098959421</v>
      </c>
      <c r="T317" s="30" t="n">
        <v>3.541825227674828e-05</v>
      </c>
      <c r="U317" s="31">
        <f>ABS(E317-$G$6)</f>
        <v/>
      </c>
      <c r="V317" s="31">
        <f>ABS(E317-$G$7)</f>
        <v/>
      </c>
      <c r="W317" s="31">
        <f>ABS(E317-$G$8)</f>
        <v/>
      </c>
      <c r="X317" s="14">
        <f>IF(R317&gt;=MAX(S317,T317), "Hemat", IF(S317&gt;=T317, "Balanced", "Premium"))</f>
        <v/>
      </c>
    </row>
    <row r="318">
      <c r="A318" s="14" t="n">
        <v>307</v>
      </c>
      <c r="B318" s="7" t="inlineStr">
        <is>
          <t>Mandhi Pagi Jual Nasi Goreng Kebuli, Briyani Nampan &amp; Mandhi | Spesialist Arabic Plating Tercantik SeMalang Raya</t>
        </is>
      </c>
      <c r="C318" s="26" t="n">
        <v>-7.9271327</v>
      </c>
      <c r="D318" s="26" t="n">
        <v>112.5658525</v>
      </c>
      <c r="E318" s="21" t="n">
        <v>27000</v>
      </c>
      <c r="F318" s="27" t="n">
        <v>5</v>
      </c>
      <c r="G318" s="28" t="n">
        <v>45</v>
      </c>
      <c r="H318" s="14" t="inlineStr">
        <is>
          <t>Wisata Umum</t>
        </is>
      </c>
      <c r="I318" s="29">
        <f>6371 * 2 * ASIN(SQRT(SIN(RADIANS((C318) - INDEX('Dataset_Wisata'!$C$12:$C$622, MATCH('Dashboard'!$C$9, 'Dataset_Wisata'!$A$12:$A$622, 0)))/2)^2 + COS(RADIANS(INDEX('Dataset_Wisata'!$C$12:$C$622, MATCH('Dashboard'!$C$9, 'Dataset_Wisata'!$A$12:$A$622, 0)))) * COS(RADIANS(C318)) * SIN(RADIANS((D318) - INDEX('Dataset_Wisata'!$D$12:$D$622, MATCH('Dashboard'!$C$9, 'Dataset_Wisata'!$A$12:$A$622, 0)))/2)^2)) * 1.3</f>
        <v/>
      </c>
      <c r="J318" s="21">
        <f>ROUND(I318 * IF('Dashboard'!$C$6&lt;=1, 2250, IF('Dashboard'!$C$6&lt;=4, 5150, 6000)), 0)</f>
        <v/>
      </c>
      <c r="K318" s="30" t="n">
        <v>0.01383751047280994</v>
      </c>
      <c r="L318" s="30" t="n">
        <v>0.9808146618379113</v>
      </c>
      <c r="M318" s="30" t="n">
        <v>0.00534782768927864</v>
      </c>
      <c r="N318" s="31">
        <f>ABS(E318-$F$6)</f>
        <v/>
      </c>
      <c r="O318" s="31">
        <f>ABS(E318-$F$7)</f>
        <v/>
      </c>
      <c r="P318" s="31">
        <f>ABS(E318-$F$8)</f>
        <v/>
      </c>
      <c r="Q318" s="14">
        <f>IF(K318&gt;=MAX(L318,M318), "Hemat", IF(L318&gt;=M318, "Balanced", "Premium"))</f>
        <v/>
      </c>
      <c r="R318" s="30" t="n">
        <v>0.01383755367788298</v>
      </c>
      <c r="S318" s="30" t="n">
        <v>0.9808145993129077</v>
      </c>
      <c r="T318" s="30" t="n">
        <v>0.005347847009209265</v>
      </c>
      <c r="U318" s="31">
        <f>ABS(E318-$G$6)</f>
        <v/>
      </c>
      <c r="V318" s="31">
        <f>ABS(E318-$G$7)</f>
        <v/>
      </c>
      <c r="W318" s="31">
        <f>ABS(E318-$G$8)</f>
        <v/>
      </c>
      <c r="X318" s="14">
        <f>IF(R318&gt;=MAX(S318,T318), "Hemat", IF(S318&gt;=T318, "Balanced", "Premium"))</f>
        <v/>
      </c>
    </row>
    <row r="319">
      <c r="A319" s="14" t="n">
        <v>308</v>
      </c>
      <c r="B319" s="7" t="inlineStr">
        <is>
          <t>Kutaraja Boutique Restaurant</t>
        </is>
      </c>
      <c r="C319" s="26" t="n">
        <v>-7.8945634</v>
      </c>
      <c r="D319" s="26" t="n">
        <v>112.5494664</v>
      </c>
      <c r="E319" s="21" t="n">
        <v>53500</v>
      </c>
      <c r="F319" s="27" t="n">
        <v>4.8</v>
      </c>
      <c r="G319" s="28" t="n">
        <v>78</v>
      </c>
      <c r="H319" s="14" t="inlineStr">
        <is>
          <t>Wisata Umum</t>
        </is>
      </c>
      <c r="I319" s="29">
        <f>6371 * 2 * ASIN(SQRT(SIN(RADIANS((C319) - INDEX('Dataset_Wisata'!$C$12:$C$622, MATCH('Dashboard'!$C$9, 'Dataset_Wisata'!$A$12:$A$622, 0)))/2)^2 + COS(RADIANS(INDEX('Dataset_Wisata'!$C$12:$C$622, MATCH('Dashboard'!$C$9, 'Dataset_Wisata'!$A$12:$A$622, 0)))) * COS(RADIANS(C319)) * SIN(RADIANS((D319) - INDEX('Dataset_Wisata'!$D$12:$D$622, MATCH('Dashboard'!$C$9, 'Dataset_Wisata'!$A$12:$A$622, 0)))/2)^2)) * 1.3</f>
        <v/>
      </c>
      <c r="J319" s="21">
        <f>ROUND(I319 * IF('Dashboard'!$C$6&lt;=1, 2250, IF('Dashboard'!$C$6&lt;=4, 5150, 6000)), 0)</f>
        <v/>
      </c>
      <c r="K319" s="30" t="n">
        <v>0.01114169228108666</v>
      </c>
      <c r="L319" s="30" t="n">
        <v>0.02283840286732689</v>
      </c>
      <c r="M319" s="30" t="n">
        <v>0.9660199048515864</v>
      </c>
      <c r="N319" s="31">
        <f>ABS(E319-$F$6)</f>
        <v/>
      </c>
      <c r="O319" s="31">
        <f>ABS(E319-$F$7)</f>
        <v/>
      </c>
      <c r="P319" s="31">
        <f>ABS(E319-$F$8)</f>
        <v/>
      </c>
      <c r="Q319" s="14">
        <f>IF(K319&gt;=MAX(L319,M319), "Hemat", IF(L319&gt;=M319, "Balanced", "Premium"))</f>
        <v/>
      </c>
      <c r="R319" s="30" t="n">
        <v>0.01114171385231336</v>
      </c>
      <c r="S319" s="30" t="n">
        <v>0.0228384434584107</v>
      </c>
      <c r="T319" s="30" t="n">
        <v>0.9660198426892759</v>
      </c>
      <c r="U319" s="31">
        <f>ABS(E319-$G$6)</f>
        <v/>
      </c>
      <c r="V319" s="31">
        <f>ABS(E319-$G$7)</f>
        <v/>
      </c>
      <c r="W319" s="31">
        <f>ABS(E319-$G$8)</f>
        <v/>
      </c>
      <c r="X319" s="14">
        <f>IF(R319&gt;=MAX(S319,T319), "Hemat", IF(S319&gt;=T319, "Balanced", "Premium"))</f>
        <v/>
      </c>
    </row>
    <row r="320">
      <c r="A320" s="14" t="n">
        <v>309</v>
      </c>
      <c r="B320" s="7" t="inlineStr">
        <is>
          <t>Manahayu Cafe &amp; Cottage</t>
        </is>
      </c>
      <c r="C320" s="26" t="n">
        <v>-7.8611563</v>
      </c>
      <c r="D320" s="26" t="n">
        <v>112.5522271</v>
      </c>
      <c r="E320" s="21" t="n">
        <v>18000</v>
      </c>
      <c r="F320" s="27" t="n">
        <v>4.8</v>
      </c>
      <c r="G320" s="28" t="n">
        <v>112</v>
      </c>
      <c r="H320" s="14" t="inlineStr">
        <is>
          <t>Wisata Umum</t>
        </is>
      </c>
      <c r="I320" s="29">
        <f>6371 * 2 * ASIN(SQRT(SIN(RADIANS((C320) - INDEX('Dataset_Wisata'!$C$12:$C$622, MATCH('Dashboard'!$C$9, 'Dataset_Wisata'!$A$12:$A$622, 0)))/2)^2 + COS(RADIANS(INDEX('Dataset_Wisata'!$C$12:$C$622, MATCH('Dashboard'!$C$9, 'Dataset_Wisata'!$A$12:$A$622, 0)))) * COS(RADIANS(C320)) * SIN(RADIANS((D320) - INDEX('Dataset_Wisata'!$D$12:$D$622, MATCH('Dashboard'!$C$9, 'Dataset_Wisata'!$A$12:$A$622, 0)))/2)^2)) * 1.3</f>
        <v/>
      </c>
      <c r="J320" s="21">
        <f>ROUND(I320 * IF('Dashboard'!$C$6&lt;=1, 2250, IF('Dashboard'!$C$6&lt;=4, 5150, 6000)), 0)</f>
        <v/>
      </c>
      <c r="K320" s="30" t="n">
        <v>0.6916251733659831</v>
      </c>
      <c r="L320" s="30" t="n">
        <v>0.2920817970297536</v>
      </c>
      <c r="M320" s="30" t="n">
        <v>0.01629302960426341</v>
      </c>
      <c r="N320" s="31">
        <f>ABS(E320-$F$6)</f>
        <v/>
      </c>
      <c r="O320" s="31">
        <f>ABS(E320-$F$7)</f>
        <v/>
      </c>
      <c r="P320" s="31">
        <f>ABS(E320-$F$8)</f>
        <v/>
      </c>
      <c r="Q320" s="14">
        <f>IF(K320&gt;=MAX(L320,M320), "Hemat", IF(L320&gt;=M320, "Balanced", "Premium"))</f>
        <v/>
      </c>
      <c r="R320" s="30" t="n">
        <v>0.6916249652211897</v>
      </c>
      <c r="S320" s="30" t="n">
        <v>0.2920820010799081</v>
      </c>
      <c r="T320" s="30" t="n">
        <v>0.01629303369890229</v>
      </c>
      <c r="U320" s="31">
        <f>ABS(E320-$G$6)</f>
        <v/>
      </c>
      <c r="V320" s="31">
        <f>ABS(E320-$G$7)</f>
        <v/>
      </c>
      <c r="W320" s="31">
        <f>ABS(E320-$G$8)</f>
        <v/>
      </c>
      <c r="X320" s="14">
        <f>IF(R320&gt;=MAX(S320,T320), "Hemat", IF(S320&gt;=T320, "Balanced", "Premium"))</f>
        <v/>
      </c>
    </row>
    <row r="321">
      <c r="A321" s="14" t="n">
        <v>310</v>
      </c>
      <c r="B321" s="7" t="inlineStr">
        <is>
          <t>Kuliner Rakyat Mojorejo</t>
        </is>
      </c>
      <c r="C321" s="26" t="n">
        <v>-7.9030348</v>
      </c>
      <c r="D321" s="26" t="n">
        <v>112.5631483</v>
      </c>
      <c r="E321" s="21" t="n">
        <v>13000</v>
      </c>
      <c r="F321" s="27" t="n">
        <v>4.9</v>
      </c>
      <c r="G321" s="28" t="n">
        <v>36</v>
      </c>
      <c r="H321" s="14" t="inlineStr">
        <is>
          <t>Wisata Umum</t>
        </is>
      </c>
      <c r="I321" s="29">
        <f>6371 * 2 * ASIN(SQRT(SIN(RADIANS((C321) - INDEX('Dataset_Wisata'!$C$12:$C$622, MATCH('Dashboard'!$C$9, 'Dataset_Wisata'!$A$12:$A$622, 0)))/2)^2 + COS(RADIANS(INDEX('Dataset_Wisata'!$C$12:$C$622, MATCH('Dashboard'!$C$9, 'Dataset_Wisata'!$A$12:$A$622, 0)))) * COS(RADIANS(C321)) * SIN(RADIANS((D321) - INDEX('Dataset_Wisata'!$D$12:$D$622, MATCH('Dashboard'!$C$9, 'Dataset_Wisata'!$A$12:$A$622, 0)))/2)^2)) * 1.3</f>
        <v/>
      </c>
      <c r="J321" s="21">
        <f>ROUND(I321 * IF('Dashboard'!$C$6&lt;=1, 2250, IF('Dashboard'!$C$6&lt;=4, 5150, 6000)), 0)</f>
        <v/>
      </c>
      <c r="K321" s="30" t="n">
        <v>0.9996613401455278</v>
      </c>
      <c r="L321" s="30" t="n">
        <v>0.0003032413982241428</v>
      </c>
      <c r="M321" s="30" t="n">
        <v>3.541845624800055e-05</v>
      </c>
      <c r="N321" s="31">
        <f>ABS(E321-$F$6)</f>
        <v/>
      </c>
      <c r="O321" s="31">
        <f>ABS(E321-$F$7)</f>
        <v/>
      </c>
      <c r="P321" s="31">
        <f>ABS(E321-$F$8)</f>
        <v/>
      </c>
      <c r="Q321" s="14">
        <f>IF(K321&gt;=MAX(L321,M321), "Hemat", IF(L321&gt;=M321, "Balanced", "Premium"))</f>
        <v/>
      </c>
      <c r="R321" s="30" t="n">
        <v>0.9996613420378273</v>
      </c>
      <c r="S321" s="30" t="n">
        <v>0.0003032397098959421</v>
      </c>
      <c r="T321" s="30" t="n">
        <v>3.541825227674828e-05</v>
      </c>
      <c r="U321" s="31">
        <f>ABS(E321-$G$6)</f>
        <v/>
      </c>
      <c r="V321" s="31">
        <f>ABS(E321-$G$7)</f>
        <v/>
      </c>
      <c r="W321" s="31">
        <f>ABS(E321-$G$8)</f>
        <v/>
      </c>
      <c r="X321" s="14">
        <f>IF(R321&gt;=MAX(S321,T321), "Hemat", IF(S321&gt;=T321, "Balanced", "Premium"))</f>
        <v/>
      </c>
    </row>
    <row r="322">
      <c r="A322" s="14" t="n">
        <v>311</v>
      </c>
      <c r="B322" s="7" t="inlineStr">
        <is>
          <t>Warung Pojok Proliman</t>
        </is>
      </c>
      <c r="C322" s="26" t="n">
        <v>-7.9097527</v>
      </c>
      <c r="D322" s="26" t="n">
        <v>112.559687</v>
      </c>
      <c r="E322" s="21" t="n">
        <v>10000</v>
      </c>
      <c r="F322" s="27" t="n">
        <v>4.5</v>
      </c>
      <c r="G322" s="28" t="n">
        <v>87</v>
      </c>
      <c r="H322" s="14" t="inlineStr">
        <is>
          <t>Warung Pojok Proliman</t>
        </is>
      </c>
      <c r="I322" s="29">
        <f>6371 * 2 * ASIN(SQRT(SIN(RADIANS((C322) - INDEX('Dataset_Wisata'!$C$12:$C$622, MATCH('Dashboard'!$C$9, 'Dataset_Wisata'!$A$12:$A$622, 0)))/2)^2 + COS(RADIANS(INDEX('Dataset_Wisata'!$C$12:$C$622, MATCH('Dashboard'!$C$9, 'Dataset_Wisata'!$A$12:$A$622, 0)))) * COS(RADIANS(C322)) * SIN(RADIANS((D322) - INDEX('Dataset_Wisata'!$D$12:$D$622, MATCH('Dashboard'!$C$9, 'Dataset_Wisata'!$A$12:$A$622, 0)))/2)^2)) * 1.3</f>
        <v/>
      </c>
      <c r="J322" s="21">
        <f>ROUND(I322 * IF('Dashboard'!$C$6&lt;=1, 2250, IF('Dashboard'!$C$6&lt;=4, 5150, 6000)), 0)</f>
        <v/>
      </c>
      <c r="K322" s="30" t="n">
        <v>0.9518906050943107</v>
      </c>
      <c r="L322" s="30" t="n">
        <v>0.04169660451397377</v>
      </c>
      <c r="M322" s="30" t="n">
        <v>0.006412790391715545</v>
      </c>
      <c r="N322" s="31">
        <f>ABS(E322-$F$6)</f>
        <v/>
      </c>
      <c r="O322" s="31">
        <f>ABS(E322-$F$7)</f>
        <v/>
      </c>
      <c r="P322" s="31">
        <f>ABS(E322-$F$8)</f>
        <v/>
      </c>
      <c r="Q322" s="14">
        <f>IF(K322&gt;=MAX(L322,M322), "Hemat", IF(L322&gt;=M322, "Balanced", "Premium"))</f>
        <v/>
      </c>
      <c r="R322" s="30" t="n">
        <v>0.9518906082621517</v>
      </c>
      <c r="S322" s="30" t="n">
        <v>0.04169660246361195</v>
      </c>
      <c r="T322" s="30" t="n">
        <v>0.006412789274236485</v>
      </c>
      <c r="U322" s="31">
        <f>ABS(E322-$G$6)</f>
        <v/>
      </c>
      <c r="V322" s="31">
        <f>ABS(E322-$G$7)</f>
        <v/>
      </c>
      <c r="W322" s="31">
        <f>ABS(E322-$G$8)</f>
        <v/>
      </c>
      <c r="X322" s="14">
        <f>IF(R322&gt;=MAX(S322,T322), "Hemat", IF(S322&gt;=T322, "Balanced", "Premium"))</f>
        <v/>
      </c>
    </row>
    <row r="323">
      <c r="A323" s="14" t="n">
        <v>312</v>
      </c>
      <c r="B323" s="7" t="inlineStr">
        <is>
          <t>Nasi Bakar Mang Yoyok</t>
        </is>
      </c>
      <c r="C323" s="26" t="n">
        <v>-7.8782896</v>
      </c>
      <c r="D323" s="26" t="n">
        <v>112.5510321</v>
      </c>
      <c r="E323" s="21" t="n">
        <v>15000</v>
      </c>
      <c r="F323" s="27" t="n">
        <v>4.6</v>
      </c>
      <c r="G323" s="28" t="n">
        <v>320</v>
      </c>
      <c r="H323" s="14" t="inlineStr">
        <is>
          <t>Wisata Umum</t>
        </is>
      </c>
      <c r="I323" s="29">
        <f>6371 * 2 * ASIN(SQRT(SIN(RADIANS((C323) - INDEX('Dataset_Wisata'!$C$12:$C$622, MATCH('Dashboard'!$C$9, 'Dataset_Wisata'!$A$12:$A$622, 0)))/2)^2 + COS(RADIANS(INDEX('Dataset_Wisata'!$C$12:$C$622, MATCH('Dashboard'!$C$9, 'Dataset_Wisata'!$A$12:$A$622, 0)))) * COS(RADIANS(C323)) * SIN(RADIANS((D323) - INDEX('Dataset_Wisata'!$D$12:$D$622, MATCH('Dashboard'!$C$9, 'Dataset_Wisata'!$A$12:$A$622, 0)))/2)^2)) * 1.3</f>
        <v/>
      </c>
      <c r="J323" s="21">
        <f>ROUND(I323 * IF('Dashboard'!$C$6&lt;=1, 2250, IF('Dashboard'!$C$6&lt;=4, 5150, 6000)), 0)</f>
        <v/>
      </c>
      <c r="K323" s="30" t="n">
        <v>0.9686283169848018</v>
      </c>
      <c r="L323" s="30" t="n">
        <v>0.02872990537067274</v>
      </c>
      <c r="M323" s="30" t="n">
        <v>0.002641777644525457</v>
      </c>
      <c r="N323" s="31">
        <f>ABS(E323-$F$6)</f>
        <v/>
      </c>
      <c r="O323" s="31">
        <f>ABS(E323-$F$7)</f>
        <v/>
      </c>
      <c r="P323" s="31">
        <f>ABS(E323-$F$8)</f>
        <v/>
      </c>
      <c r="Q323" s="14">
        <f>IF(K323&gt;=MAX(L323,M323), "Hemat", IF(L323&gt;=M323, "Balanced", "Premium"))</f>
        <v/>
      </c>
      <c r="R323" s="30" t="n">
        <v>0.9686282798936615</v>
      </c>
      <c r="S323" s="30" t="n">
        <v>0.02872993996961344</v>
      </c>
      <c r="T323" s="30" t="n">
        <v>0.002641780136725144</v>
      </c>
      <c r="U323" s="31">
        <f>ABS(E323-$G$6)</f>
        <v/>
      </c>
      <c r="V323" s="31">
        <f>ABS(E323-$G$7)</f>
        <v/>
      </c>
      <c r="W323" s="31">
        <f>ABS(E323-$G$8)</f>
        <v/>
      </c>
      <c r="X323" s="14">
        <f>IF(R323&gt;=MAX(S323,T323), "Hemat", IF(S323&gt;=T323, "Balanced", "Premium"))</f>
        <v/>
      </c>
    </row>
    <row r="324">
      <c r="A324" s="14" t="n">
        <v>313</v>
      </c>
      <c r="B324" s="7" t="inlineStr">
        <is>
          <t>Warung Podho Moro</t>
        </is>
      </c>
      <c r="C324" s="26" t="n">
        <v>-7.8641798</v>
      </c>
      <c r="D324" s="26" t="n">
        <v>112.5526352</v>
      </c>
      <c r="E324" s="21" t="n">
        <v>10000</v>
      </c>
      <c r="F324" s="27" t="n">
        <v>4.7</v>
      </c>
      <c r="G324" s="28" t="n">
        <v>31</v>
      </c>
      <c r="H324" s="14" t="inlineStr">
        <is>
          <t>Warung Podho Moro</t>
        </is>
      </c>
      <c r="I324" s="29">
        <f>6371 * 2 * ASIN(SQRT(SIN(RADIANS((C324) - INDEX('Dataset_Wisata'!$C$12:$C$622, MATCH('Dashboard'!$C$9, 'Dataset_Wisata'!$A$12:$A$622, 0)))/2)^2 + COS(RADIANS(INDEX('Dataset_Wisata'!$C$12:$C$622, MATCH('Dashboard'!$C$9, 'Dataset_Wisata'!$A$12:$A$622, 0)))) * COS(RADIANS(C324)) * SIN(RADIANS((D324) - INDEX('Dataset_Wisata'!$D$12:$D$622, MATCH('Dashboard'!$C$9, 'Dataset_Wisata'!$A$12:$A$622, 0)))/2)^2)) * 1.3</f>
        <v/>
      </c>
      <c r="J324" s="21">
        <f>ROUND(I324 * IF('Dashboard'!$C$6&lt;=1, 2250, IF('Dashboard'!$C$6&lt;=4, 5150, 6000)), 0)</f>
        <v/>
      </c>
      <c r="K324" s="30" t="n">
        <v>0.9518906050943107</v>
      </c>
      <c r="L324" s="30" t="n">
        <v>0.04169660451397377</v>
      </c>
      <c r="M324" s="30" t="n">
        <v>0.006412790391715545</v>
      </c>
      <c r="N324" s="31">
        <f>ABS(E324-$F$6)</f>
        <v/>
      </c>
      <c r="O324" s="31">
        <f>ABS(E324-$F$7)</f>
        <v/>
      </c>
      <c r="P324" s="31">
        <f>ABS(E324-$F$8)</f>
        <v/>
      </c>
      <c r="Q324" s="14">
        <f>IF(K324&gt;=MAX(L324,M324), "Hemat", IF(L324&gt;=M324, "Balanced", "Premium"))</f>
        <v/>
      </c>
      <c r="R324" s="30" t="n">
        <v>0.9518906082621517</v>
      </c>
      <c r="S324" s="30" t="n">
        <v>0.04169660246361195</v>
      </c>
      <c r="T324" s="30" t="n">
        <v>0.006412789274236485</v>
      </c>
      <c r="U324" s="31">
        <f>ABS(E324-$G$6)</f>
        <v/>
      </c>
      <c r="V324" s="31">
        <f>ABS(E324-$G$7)</f>
        <v/>
      </c>
      <c r="W324" s="31">
        <f>ABS(E324-$G$8)</f>
        <v/>
      </c>
      <c r="X324" s="14">
        <f>IF(R324&gt;=MAX(S324,T324), "Hemat", IF(S324&gt;=T324, "Balanced", "Premium"))</f>
        <v/>
      </c>
    </row>
    <row r="325">
      <c r="A325" s="14" t="n">
        <v>314</v>
      </c>
      <c r="B325" s="7" t="inlineStr">
        <is>
          <t>Dapur Nick's</t>
        </is>
      </c>
      <c r="C325" s="26" t="n">
        <v>-7.8637086</v>
      </c>
      <c r="D325" s="26" t="n">
        <v>112.5532502</v>
      </c>
      <c r="E325" s="21" t="n">
        <v>12000</v>
      </c>
      <c r="F325" s="27" t="n">
        <v>4.6</v>
      </c>
      <c r="G325" s="28" t="n">
        <v>52</v>
      </c>
      <c r="H325" s="14" t="inlineStr">
        <is>
          <t>Wisata Umum</t>
        </is>
      </c>
      <c r="I325" s="29">
        <f>6371 * 2 * ASIN(SQRT(SIN(RADIANS((C325) - INDEX('Dataset_Wisata'!$C$12:$C$622, MATCH('Dashboard'!$C$9, 'Dataset_Wisata'!$A$12:$A$622, 0)))/2)^2 + COS(RADIANS(INDEX('Dataset_Wisata'!$C$12:$C$622, MATCH('Dashboard'!$C$9, 'Dataset_Wisata'!$A$12:$A$622, 0)))) * COS(RADIANS(C325)) * SIN(RADIANS((D325) - INDEX('Dataset_Wisata'!$D$12:$D$622, MATCH('Dashboard'!$C$9, 'Dataset_Wisata'!$A$12:$A$622, 0)))/2)^2)) * 1.3</f>
        <v/>
      </c>
      <c r="J325" s="21">
        <f>ROUND(I325 * IF('Dashboard'!$C$6&lt;=1, 2250, IF('Dashboard'!$C$6&lt;=4, 5150, 6000)), 0)</f>
        <v/>
      </c>
      <c r="K325" s="30" t="n">
        <v>0.9907459480940729</v>
      </c>
      <c r="L325" s="30" t="n">
        <v>0.008195110232283047</v>
      </c>
      <c r="M325" s="30" t="n">
        <v>0.001058941673643979</v>
      </c>
      <c r="N325" s="31">
        <f>ABS(E325-$F$6)</f>
        <v/>
      </c>
      <c r="O325" s="31">
        <f>ABS(E325-$F$7)</f>
        <v/>
      </c>
      <c r="P325" s="31">
        <f>ABS(E325-$F$8)</f>
        <v/>
      </c>
      <c r="Q325" s="14">
        <f>IF(K325&gt;=MAX(L325,M325), "Hemat", IF(L325&gt;=M325, "Balanced", "Premium"))</f>
        <v/>
      </c>
      <c r="R325" s="30" t="n">
        <v>0.9907459543354936</v>
      </c>
      <c r="S325" s="30" t="n">
        <v>0.008195104860105683</v>
      </c>
      <c r="T325" s="30" t="n">
        <v>0.0010589408044008</v>
      </c>
      <c r="U325" s="31">
        <f>ABS(E325-$G$6)</f>
        <v/>
      </c>
      <c r="V325" s="31">
        <f>ABS(E325-$G$7)</f>
        <v/>
      </c>
      <c r="W325" s="31">
        <f>ABS(E325-$G$8)</f>
        <v/>
      </c>
      <c r="X325" s="14">
        <f>IF(R325&gt;=MAX(S325,T325), "Hemat", IF(S325&gt;=T325, "Balanced", "Premium"))</f>
        <v/>
      </c>
    </row>
    <row r="326">
      <c r="A326" s="14" t="n">
        <v>315</v>
      </c>
      <c r="B326" s="7" t="inlineStr">
        <is>
          <t>Lalapan Nasi Tempong Punten</t>
        </is>
      </c>
      <c r="C326" s="26" t="n">
        <v>-7.8390926</v>
      </c>
      <c r="D326" s="26" t="n">
        <v>112.5281078</v>
      </c>
      <c r="E326" s="21" t="n">
        <v>17000</v>
      </c>
      <c r="F326" s="27" t="n">
        <v>4.6</v>
      </c>
      <c r="G326" s="28" t="n">
        <v>109</v>
      </c>
      <c r="H326" s="14" t="inlineStr">
        <is>
          <t>Wisata Umum</t>
        </is>
      </c>
      <c r="I326" s="29">
        <f>6371 * 2 * ASIN(SQRT(SIN(RADIANS((C326) - INDEX('Dataset_Wisata'!$C$12:$C$622, MATCH('Dashboard'!$C$9, 'Dataset_Wisata'!$A$12:$A$622, 0)))/2)^2 + COS(RADIANS(INDEX('Dataset_Wisata'!$C$12:$C$622, MATCH('Dashboard'!$C$9, 'Dataset_Wisata'!$A$12:$A$622, 0)))) * COS(RADIANS(C326)) * SIN(RADIANS((D326) - INDEX('Dataset_Wisata'!$D$12:$D$622, MATCH('Dashboard'!$C$9, 'Dataset_Wisata'!$A$12:$A$622, 0)))/2)^2)) * 1.3</f>
        <v/>
      </c>
      <c r="J326" s="21">
        <f>ROUND(I326 * IF('Dashboard'!$C$6&lt;=1, 2250, IF('Dashboard'!$C$6&lt;=4, 5150, 6000)), 0)</f>
        <v/>
      </c>
      <c r="K326" s="30" t="n">
        <v>0.8205766965551228</v>
      </c>
      <c r="L326" s="30" t="n">
        <v>0.1680685555538888</v>
      </c>
      <c r="M326" s="30" t="n">
        <v>0.01135474789098826</v>
      </c>
      <c r="N326" s="31">
        <f>ABS(E326-$F$6)</f>
        <v/>
      </c>
      <c r="O326" s="31">
        <f>ABS(E326-$F$7)</f>
        <v/>
      </c>
      <c r="P326" s="31">
        <f>ABS(E326-$F$8)</f>
        <v/>
      </c>
      <c r="Q326" s="14">
        <f>IF(K326&gt;=MAX(L326,M326), "Hemat", IF(L326&gt;=M326, "Balanced", "Premium"))</f>
        <v/>
      </c>
      <c r="R326" s="30" t="n">
        <v>0.8205765551569555</v>
      </c>
      <c r="S326" s="30" t="n">
        <v>0.1680686919268015</v>
      </c>
      <c r="T326" s="30" t="n">
        <v>0.01135475291624307</v>
      </c>
      <c r="U326" s="31">
        <f>ABS(E326-$G$6)</f>
        <v/>
      </c>
      <c r="V326" s="31">
        <f>ABS(E326-$G$7)</f>
        <v/>
      </c>
      <c r="W326" s="31">
        <f>ABS(E326-$G$8)</f>
        <v/>
      </c>
      <c r="X326" s="14">
        <f>IF(R326&gt;=MAX(S326,T326), "Hemat", IF(S326&gt;=T326, "Balanced", "Premium"))</f>
        <v/>
      </c>
    </row>
    <row r="327">
      <c r="A327" s="14" t="n">
        <v>316</v>
      </c>
      <c r="B327" s="7" t="inlineStr">
        <is>
          <t>Warung Aziz</t>
        </is>
      </c>
      <c r="C327" s="26" t="n">
        <v>-7.8641264</v>
      </c>
      <c r="D327" s="26" t="n">
        <v>112.5563442</v>
      </c>
      <c r="E327" s="21" t="n">
        <v>10000</v>
      </c>
      <c r="F327" s="27" t="n">
        <v>4.5</v>
      </c>
      <c r="G327" s="28" t="n">
        <v>168</v>
      </c>
      <c r="H327" s="14" t="inlineStr">
        <is>
          <t>Warung Aziz</t>
        </is>
      </c>
      <c r="I327" s="29">
        <f>6371 * 2 * ASIN(SQRT(SIN(RADIANS((C327) - INDEX('Dataset_Wisata'!$C$12:$C$622, MATCH('Dashboard'!$C$9, 'Dataset_Wisata'!$A$12:$A$622, 0)))/2)^2 + COS(RADIANS(INDEX('Dataset_Wisata'!$C$12:$C$622, MATCH('Dashboard'!$C$9, 'Dataset_Wisata'!$A$12:$A$622, 0)))) * COS(RADIANS(C327)) * SIN(RADIANS((D327) - INDEX('Dataset_Wisata'!$D$12:$D$622, MATCH('Dashboard'!$C$9, 'Dataset_Wisata'!$A$12:$A$622, 0)))/2)^2)) * 1.3</f>
        <v/>
      </c>
      <c r="J327" s="21">
        <f>ROUND(I327 * IF('Dashboard'!$C$6&lt;=1, 2250, IF('Dashboard'!$C$6&lt;=4, 5150, 6000)), 0)</f>
        <v/>
      </c>
      <c r="K327" s="30" t="n">
        <v>0.9518906050943107</v>
      </c>
      <c r="L327" s="30" t="n">
        <v>0.04169660451397377</v>
      </c>
      <c r="M327" s="30" t="n">
        <v>0.006412790391715545</v>
      </c>
      <c r="N327" s="31">
        <f>ABS(E327-$F$6)</f>
        <v/>
      </c>
      <c r="O327" s="31">
        <f>ABS(E327-$F$7)</f>
        <v/>
      </c>
      <c r="P327" s="31">
        <f>ABS(E327-$F$8)</f>
        <v/>
      </c>
      <c r="Q327" s="14">
        <f>IF(K327&gt;=MAX(L327,M327), "Hemat", IF(L327&gt;=M327, "Balanced", "Premium"))</f>
        <v/>
      </c>
      <c r="R327" s="30" t="n">
        <v>0.9518906082621517</v>
      </c>
      <c r="S327" s="30" t="n">
        <v>0.04169660246361195</v>
      </c>
      <c r="T327" s="30" t="n">
        <v>0.006412789274236485</v>
      </c>
      <c r="U327" s="31">
        <f>ABS(E327-$G$6)</f>
        <v/>
      </c>
      <c r="V327" s="31">
        <f>ABS(E327-$G$7)</f>
        <v/>
      </c>
      <c r="W327" s="31">
        <f>ABS(E327-$G$8)</f>
        <v/>
      </c>
      <c r="X327" s="14">
        <f>IF(R327&gt;=MAX(S327,T327), "Hemat", IF(S327&gt;=T327, "Balanced", "Premium"))</f>
        <v/>
      </c>
    </row>
    <row r="328">
      <c r="A328" s="14" t="n">
        <v>317</v>
      </c>
      <c r="B328" s="7" t="inlineStr">
        <is>
          <t>Warung Nasi Jagung/Sego Empog Bu Wakini</t>
        </is>
      </c>
      <c r="C328" s="26" t="n">
        <v>-7.8598763</v>
      </c>
      <c r="D328" s="26" t="n">
        <v>112.549383</v>
      </c>
      <c r="E328" s="21" t="n">
        <v>8000</v>
      </c>
      <c r="F328" s="27" t="n">
        <v>4.4</v>
      </c>
      <c r="G328" s="28" t="n">
        <v>1455</v>
      </c>
      <c r="H328" s="14" t="inlineStr">
        <is>
          <t>Wisata Umum</t>
        </is>
      </c>
      <c r="I328" s="29">
        <f>6371 * 2 * ASIN(SQRT(SIN(RADIANS((C328) - INDEX('Dataset_Wisata'!$C$12:$C$622, MATCH('Dashboard'!$C$9, 'Dataset_Wisata'!$A$12:$A$622, 0)))/2)^2 + COS(RADIANS(INDEX('Dataset_Wisata'!$C$12:$C$622, MATCH('Dashboard'!$C$9, 'Dataset_Wisata'!$A$12:$A$622, 0)))) * COS(RADIANS(C328)) * SIN(RADIANS((D328) - INDEX('Dataset_Wisata'!$D$12:$D$622, MATCH('Dashboard'!$C$9, 'Dataset_Wisata'!$A$12:$A$622, 0)))/2)^2)) * 1.3</f>
        <v/>
      </c>
      <c r="J328" s="21">
        <f>ROUND(I328 * IF('Dashboard'!$C$6&lt;=1, 2250, IF('Dashboard'!$C$6&lt;=4, 5150, 6000)), 0)</f>
        <v/>
      </c>
      <c r="K328" s="30" t="n">
        <v>0.9039388019808103</v>
      </c>
      <c r="L328" s="30" t="n">
        <v>0.0815580567645619</v>
      </c>
      <c r="M328" s="30" t="n">
        <v>0.01450314125462772</v>
      </c>
      <c r="N328" s="31">
        <f>ABS(E328-$F$6)</f>
        <v/>
      </c>
      <c r="O328" s="31">
        <f>ABS(E328-$F$7)</f>
        <v/>
      </c>
      <c r="P328" s="31">
        <f>ABS(E328-$F$8)</f>
        <v/>
      </c>
      <c r="Q328" s="14">
        <f>IF(K328&gt;=MAX(L328,M328), "Hemat", IF(L328&gt;=M328, "Balanced", "Premium"))</f>
        <v/>
      </c>
      <c r="R328" s="30" t="n">
        <v>0.9039387979026794</v>
      </c>
      <c r="S328" s="30" t="n">
        <v>0.08155806140566645</v>
      </c>
      <c r="T328" s="30" t="n">
        <v>0.01450314069165419</v>
      </c>
      <c r="U328" s="31">
        <f>ABS(E328-$G$6)</f>
        <v/>
      </c>
      <c r="V328" s="31">
        <f>ABS(E328-$G$7)</f>
        <v/>
      </c>
      <c r="W328" s="31">
        <f>ABS(E328-$G$8)</f>
        <v/>
      </c>
      <c r="X328" s="14">
        <f>IF(R328&gt;=MAX(S328,T328), "Hemat", IF(S328&gt;=T328, "Balanced", "Premium"))</f>
        <v/>
      </c>
    </row>
    <row r="329">
      <c r="A329" s="14" t="n">
        <v>318</v>
      </c>
      <c r="B329" s="7" t="inlineStr">
        <is>
          <t>Warung Soto Daging Sumber Rejeki</t>
        </is>
      </c>
      <c r="C329" s="26" t="n">
        <v>-7.864044</v>
      </c>
      <c r="D329" s="26" t="n">
        <v>112.555764</v>
      </c>
      <c r="E329" s="21" t="n">
        <v>24000</v>
      </c>
      <c r="F329" s="27" t="n">
        <v>4.5</v>
      </c>
      <c r="G329" s="28" t="n">
        <v>54</v>
      </c>
      <c r="H329" s="14" t="inlineStr">
        <is>
          <t>Warung Soto Daging Sumber Rejeki</t>
        </is>
      </c>
      <c r="I329" s="29">
        <f>6371 * 2 * ASIN(SQRT(SIN(RADIANS((C329) - INDEX('Dataset_Wisata'!$C$12:$C$622, MATCH('Dashboard'!$C$9, 'Dataset_Wisata'!$A$12:$A$622, 0)))/2)^2 + COS(RADIANS(INDEX('Dataset_Wisata'!$C$12:$C$622, MATCH('Dashboard'!$C$9, 'Dataset_Wisata'!$A$12:$A$622, 0)))) * COS(RADIANS(C329)) * SIN(RADIANS((D329) - INDEX('Dataset_Wisata'!$D$12:$D$622, MATCH('Dashboard'!$C$9, 'Dataset_Wisata'!$A$12:$A$622, 0)))/2)^2)) * 1.3</f>
        <v/>
      </c>
      <c r="J329" s="21">
        <f>ROUND(I329 * IF('Dashboard'!$C$6&lt;=1, 2250, IF('Dashboard'!$C$6&lt;=4, 5150, 6000)), 0)</f>
        <v/>
      </c>
      <c r="K329" s="30" t="n">
        <v>0.01566919209799599</v>
      </c>
      <c r="L329" s="30" t="n">
        <v>0.9814549383152572</v>
      </c>
      <c r="M329" s="30" t="n">
        <v>0.002875869586746823</v>
      </c>
      <c r="N329" s="31">
        <f>ABS(E329-$F$6)</f>
        <v/>
      </c>
      <c r="O329" s="31">
        <f>ABS(E329-$F$7)</f>
        <v/>
      </c>
      <c r="P329" s="31">
        <f>ABS(E329-$F$8)</f>
        <v/>
      </c>
      <c r="Q329" s="14">
        <f>IF(K329&gt;=MAX(L329,M329), "Hemat", IF(L329&gt;=M329, "Balanced", "Premium"))</f>
        <v/>
      </c>
      <c r="R329" s="30" t="n">
        <v>0.01566912962873779</v>
      </c>
      <c r="S329" s="30" t="n">
        <v>0.9814550109006157</v>
      </c>
      <c r="T329" s="30" t="n">
        <v>0.002875859470646487</v>
      </c>
      <c r="U329" s="31">
        <f>ABS(E329-$G$6)</f>
        <v/>
      </c>
      <c r="V329" s="31">
        <f>ABS(E329-$G$7)</f>
        <v/>
      </c>
      <c r="W329" s="31">
        <f>ABS(E329-$G$8)</f>
        <v/>
      </c>
      <c r="X329" s="14">
        <f>IF(R329&gt;=MAX(S329,T329), "Hemat", IF(S329&gt;=T329, "Balanced", "Premium"))</f>
        <v/>
      </c>
    </row>
    <row r="330">
      <c r="A330" s="14" t="n">
        <v>319</v>
      </c>
      <c r="B330" s="7" t="inlineStr">
        <is>
          <t>Warung Bu Sri Manan (Buk Chie)</t>
        </is>
      </c>
      <c r="C330" s="26" t="n">
        <v>-8.2233278</v>
      </c>
      <c r="D330" s="26" t="n">
        <v>112.6020472</v>
      </c>
      <c r="E330" s="21" t="n">
        <v>13750</v>
      </c>
      <c r="F330" s="27" t="n">
        <v>4.5</v>
      </c>
      <c r="G330" s="28" t="n">
        <v>83</v>
      </c>
      <c r="H330" s="14" t="inlineStr">
        <is>
          <t>Wisata Umum</t>
        </is>
      </c>
      <c r="I330" s="29">
        <f>6371 * 2 * ASIN(SQRT(SIN(RADIANS((C330) - INDEX('Dataset_Wisata'!$C$12:$C$622, MATCH('Dashboard'!$C$9, 'Dataset_Wisata'!$A$12:$A$622, 0)))/2)^2 + COS(RADIANS(INDEX('Dataset_Wisata'!$C$12:$C$622, MATCH('Dashboard'!$C$9, 'Dataset_Wisata'!$A$12:$A$622, 0)))) * COS(RADIANS(C330)) * SIN(RADIANS((D330) - INDEX('Dataset_Wisata'!$D$12:$D$622, MATCH('Dashboard'!$C$9, 'Dataset_Wisata'!$A$12:$A$622, 0)))/2)^2)) * 1.3</f>
        <v/>
      </c>
      <c r="J330" s="21">
        <f>ROUND(I330 * IF('Dashboard'!$C$6&lt;=1, 2250, IF('Dashboard'!$C$6&lt;=4, 5150, 6000)), 0)</f>
        <v/>
      </c>
      <c r="K330" s="30" t="n">
        <v>0.9976577224486242</v>
      </c>
      <c r="L330" s="30" t="n">
        <v>0.00211498454547459</v>
      </c>
      <c r="M330" s="30" t="n">
        <v>0.0002272930059012017</v>
      </c>
      <c r="N330" s="31">
        <f>ABS(E330-$F$6)</f>
        <v/>
      </c>
      <c r="O330" s="31">
        <f>ABS(E330-$F$7)</f>
        <v/>
      </c>
      <c r="P330" s="31">
        <f>ABS(E330-$F$8)</f>
        <v/>
      </c>
      <c r="Q330" s="14">
        <f>IF(K330&gt;=MAX(L330,M330), "Hemat", IF(L330&gt;=M330, "Balanced", "Premium"))</f>
        <v/>
      </c>
      <c r="R330" s="30" t="n">
        <v>0.9976577157667134</v>
      </c>
      <c r="S330" s="30" t="n">
        <v>0.002114990622939545</v>
      </c>
      <c r="T330" s="30" t="n">
        <v>0.0002272936103471369</v>
      </c>
      <c r="U330" s="31">
        <f>ABS(E330-$G$6)</f>
        <v/>
      </c>
      <c r="V330" s="31">
        <f>ABS(E330-$G$7)</f>
        <v/>
      </c>
      <c r="W330" s="31">
        <f>ABS(E330-$G$8)</f>
        <v/>
      </c>
      <c r="X330" s="14">
        <f>IF(R330&gt;=MAX(S330,T330), "Hemat", IF(S330&gt;=T330, "Balanced", "Premium"))</f>
        <v/>
      </c>
    </row>
    <row r="331">
      <c r="A331" s="14" t="n">
        <v>320</v>
      </c>
      <c r="B331" s="7" t="inlineStr">
        <is>
          <t>Warung Makan Sari Rasa</t>
        </is>
      </c>
      <c r="C331" s="26" t="n">
        <v>-8.2290752</v>
      </c>
      <c r="D331" s="26" t="n">
        <v>112.5983743</v>
      </c>
      <c r="E331" s="21" t="n">
        <v>31200</v>
      </c>
      <c r="F331" s="27" t="n">
        <v>4.3</v>
      </c>
      <c r="G331" s="28" t="n">
        <v>125</v>
      </c>
      <c r="H331" s="14" t="inlineStr">
        <is>
          <t>Warung Makan Sari Rasa</t>
        </is>
      </c>
      <c r="I331" s="29">
        <f>6371 * 2 * ASIN(SQRT(SIN(RADIANS((C331) - INDEX('Dataset_Wisata'!$C$12:$C$622, MATCH('Dashboard'!$C$9, 'Dataset_Wisata'!$A$12:$A$622, 0)))/2)^2 + COS(RADIANS(INDEX('Dataset_Wisata'!$C$12:$C$622, MATCH('Dashboard'!$C$9, 'Dataset_Wisata'!$A$12:$A$622, 0)))) * COS(RADIANS(C331)) * SIN(RADIANS((D331) - INDEX('Dataset_Wisata'!$D$12:$D$622, MATCH('Dashboard'!$C$9, 'Dataset_Wisata'!$A$12:$A$622, 0)))/2)^2)) * 1.3</f>
        <v/>
      </c>
      <c r="J331" s="21">
        <f>ROUND(I331 * IF('Dashboard'!$C$6&lt;=1, 2250, IF('Dashboard'!$C$6&lt;=4, 5150, 6000)), 0)</f>
        <v/>
      </c>
      <c r="K331" s="30" t="n">
        <v>0.08700419034196676</v>
      </c>
      <c r="L331" s="30" t="n">
        <v>0.8258847035117979</v>
      </c>
      <c r="M331" s="30" t="n">
        <v>0.08711110614623536</v>
      </c>
      <c r="N331" s="31">
        <f>ABS(E331-$F$6)</f>
        <v/>
      </c>
      <c r="O331" s="31">
        <f>ABS(E331-$F$7)</f>
        <v/>
      </c>
      <c r="P331" s="31">
        <f>ABS(E331-$F$8)</f>
        <v/>
      </c>
      <c r="Q331" s="14">
        <f>IF(K331&gt;=MAX(L331,M331), "Hemat", IF(L331&gt;=M331, "Balanced", "Premium"))</f>
        <v/>
      </c>
      <c r="R331" s="30" t="n">
        <v>0.08700424702882918</v>
      </c>
      <c r="S331" s="30" t="n">
        <v>0.8258845411886171</v>
      </c>
      <c r="T331" s="30" t="n">
        <v>0.08711121178255381</v>
      </c>
      <c r="U331" s="31">
        <f>ABS(E331-$G$6)</f>
        <v/>
      </c>
      <c r="V331" s="31">
        <f>ABS(E331-$G$7)</f>
        <v/>
      </c>
      <c r="W331" s="31">
        <f>ABS(E331-$G$8)</f>
        <v/>
      </c>
      <c r="X331" s="14">
        <f>IF(R331&gt;=MAX(S331,T331), "Hemat", IF(S331&gt;=T331, "Balanced", "Premium"))</f>
        <v/>
      </c>
    </row>
    <row r="332">
      <c r="A332" s="14" t="n">
        <v>321</v>
      </c>
      <c r="B332" s="7" t="inlineStr">
        <is>
          <t>Warung Vespa</t>
        </is>
      </c>
      <c r="C332" s="26" t="n">
        <v>-8.2300556</v>
      </c>
      <c r="D332" s="26" t="n">
        <v>112.5982924</v>
      </c>
      <c r="E332" s="21" t="n">
        <v>15000</v>
      </c>
      <c r="F332" s="27" t="n">
        <v>4.6</v>
      </c>
      <c r="G332" s="28" t="n">
        <v>25</v>
      </c>
      <c r="H332" s="14" t="inlineStr">
        <is>
          <t>Warung Vespa</t>
        </is>
      </c>
      <c r="I332" s="29">
        <f>6371 * 2 * ASIN(SQRT(SIN(RADIANS((C332) - INDEX('Dataset_Wisata'!$C$12:$C$622, MATCH('Dashboard'!$C$9, 'Dataset_Wisata'!$A$12:$A$622, 0)))/2)^2 + COS(RADIANS(INDEX('Dataset_Wisata'!$C$12:$C$622, MATCH('Dashboard'!$C$9, 'Dataset_Wisata'!$A$12:$A$622, 0)))) * COS(RADIANS(C332)) * SIN(RADIANS((D332) - INDEX('Dataset_Wisata'!$D$12:$D$622, MATCH('Dashboard'!$C$9, 'Dataset_Wisata'!$A$12:$A$622, 0)))/2)^2)) * 1.3</f>
        <v/>
      </c>
      <c r="J332" s="21">
        <f>ROUND(I332 * IF('Dashboard'!$C$6&lt;=1, 2250, IF('Dashboard'!$C$6&lt;=4, 5150, 6000)), 0)</f>
        <v/>
      </c>
      <c r="K332" s="30" t="n">
        <v>0.9686283169848018</v>
      </c>
      <c r="L332" s="30" t="n">
        <v>0.02872990537067274</v>
      </c>
      <c r="M332" s="30" t="n">
        <v>0.002641777644525457</v>
      </c>
      <c r="N332" s="31">
        <f>ABS(E332-$F$6)</f>
        <v/>
      </c>
      <c r="O332" s="31">
        <f>ABS(E332-$F$7)</f>
        <v/>
      </c>
      <c r="P332" s="31">
        <f>ABS(E332-$F$8)</f>
        <v/>
      </c>
      <c r="Q332" s="14">
        <f>IF(K332&gt;=MAX(L332,M332), "Hemat", IF(L332&gt;=M332, "Balanced", "Premium"))</f>
        <v/>
      </c>
      <c r="R332" s="30" t="n">
        <v>0.9686282798936615</v>
      </c>
      <c r="S332" s="30" t="n">
        <v>0.02872993996961344</v>
      </c>
      <c r="T332" s="30" t="n">
        <v>0.002641780136725144</v>
      </c>
      <c r="U332" s="31">
        <f>ABS(E332-$G$6)</f>
        <v/>
      </c>
      <c r="V332" s="31">
        <f>ABS(E332-$G$7)</f>
        <v/>
      </c>
      <c r="W332" s="31">
        <f>ABS(E332-$G$8)</f>
        <v/>
      </c>
      <c r="X332" s="14">
        <f>IF(R332&gt;=MAX(S332,T332), "Hemat", IF(S332&gt;=T332, "Balanced", "Premium"))</f>
        <v/>
      </c>
    </row>
    <row r="333">
      <c r="A333" s="14" t="n">
        <v>322</v>
      </c>
      <c r="B333" s="7" t="inlineStr">
        <is>
          <t>Bakso Telon Cak To</t>
        </is>
      </c>
      <c r="C333" s="26" t="n">
        <v>-8.2293881</v>
      </c>
      <c r="D333" s="26" t="n">
        <v>112.5990883</v>
      </c>
      <c r="E333" s="21" t="n">
        <v>6000</v>
      </c>
      <c r="F333" s="27" t="n">
        <v>4.4</v>
      </c>
      <c r="G333" s="28" t="n">
        <v>172</v>
      </c>
      <c r="H333" s="14" t="inlineStr">
        <is>
          <t>Wisata Umum</t>
        </is>
      </c>
      <c r="I333" s="29">
        <f>6371 * 2 * ASIN(SQRT(SIN(RADIANS((C333) - INDEX('Dataset_Wisata'!$C$12:$C$622, MATCH('Dashboard'!$C$9, 'Dataset_Wisata'!$A$12:$A$622, 0)))/2)^2 + COS(RADIANS(INDEX('Dataset_Wisata'!$C$12:$C$622, MATCH('Dashboard'!$C$9, 'Dataset_Wisata'!$A$12:$A$622, 0)))) * COS(RADIANS(C333)) * SIN(RADIANS((D333) - INDEX('Dataset_Wisata'!$D$12:$D$622, MATCH('Dashboard'!$C$9, 'Dataset_Wisata'!$A$12:$A$622, 0)))/2)^2)) * 1.3</f>
        <v/>
      </c>
      <c r="J333" s="21">
        <f>ROUND(I333 * IF('Dashboard'!$C$6&lt;=1, 2250, IF('Dashboard'!$C$6&lt;=4, 5150, 6000)), 0)</f>
        <v/>
      </c>
      <c r="K333" s="30" t="n">
        <v>0.8570515062724777</v>
      </c>
      <c r="L333" s="30" t="n">
        <v>0.11901089820045</v>
      </c>
      <c r="M333" s="30" t="n">
        <v>0.02393759552707219</v>
      </c>
      <c r="N333" s="31">
        <f>ABS(E333-$F$6)</f>
        <v/>
      </c>
      <c r="O333" s="31">
        <f>ABS(E333-$F$7)</f>
        <v/>
      </c>
      <c r="P333" s="31">
        <f>ABS(E333-$F$8)</f>
        <v/>
      </c>
      <c r="Q333" s="14">
        <f>IF(K333&gt;=MAX(L333,M333), "Hemat", IF(L333&gt;=M333, "Balanced", "Premium"))</f>
        <v/>
      </c>
      <c r="R333" s="30" t="n">
        <v>0.8570514957556834</v>
      </c>
      <c r="S333" s="30" t="n">
        <v>0.1190109084243033</v>
      </c>
      <c r="T333" s="30" t="n">
        <v>0.02393759582001326</v>
      </c>
      <c r="U333" s="31">
        <f>ABS(E333-$G$6)</f>
        <v/>
      </c>
      <c r="V333" s="31">
        <f>ABS(E333-$G$7)</f>
        <v/>
      </c>
      <c r="W333" s="31">
        <f>ABS(E333-$G$8)</f>
        <v/>
      </c>
      <c r="X333" s="14">
        <f>IF(R333&gt;=MAX(S333,T333), "Hemat", IF(S333&gt;=T333, "Balanced", "Premium"))</f>
        <v/>
      </c>
    </row>
    <row r="334">
      <c r="A334" s="14" t="n">
        <v>323</v>
      </c>
      <c r="B334" s="7" t="inlineStr">
        <is>
          <t>warung mbok mampir</t>
        </is>
      </c>
      <c r="C334" s="26" t="n">
        <v>-8.157453500000001</v>
      </c>
      <c r="D334" s="26" t="n">
        <v>112.5776874</v>
      </c>
      <c r="E334" s="21" t="n">
        <v>6000</v>
      </c>
      <c r="F334" s="27" t="n">
        <v>4.9</v>
      </c>
      <c r="G334" s="28" t="n">
        <v>95</v>
      </c>
      <c r="H334" s="14" t="inlineStr">
        <is>
          <t>warung mbok mampir</t>
        </is>
      </c>
      <c r="I334" s="29">
        <f>6371 * 2 * ASIN(SQRT(SIN(RADIANS((C334) - INDEX('Dataset_Wisata'!$C$12:$C$622, MATCH('Dashboard'!$C$9, 'Dataset_Wisata'!$A$12:$A$622, 0)))/2)^2 + COS(RADIANS(INDEX('Dataset_Wisata'!$C$12:$C$622, MATCH('Dashboard'!$C$9, 'Dataset_Wisata'!$A$12:$A$622, 0)))) * COS(RADIANS(C334)) * SIN(RADIANS((D334) - INDEX('Dataset_Wisata'!$D$12:$D$622, MATCH('Dashboard'!$C$9, 'Dataset_Wisata'!$A$12:$A$622, 0)))/2)^2)) * 1.3</f>
        <v/>
      </c>
      <c r="J334" s="21">
        <f>ROUND(I334 * IF('Dashboard'!$C$6&lt;=1, 2250, IF('Dashboard'!$C$6&lt;=4, 5150, 6000)), 0)</f>
        <v/>
      </c>
      <c r="K334" s="30" t="n">
        <v>0.8570515062724777</v>
      </c>
      <c r="L334" s="30" t="n">
        <v>0.11901089820045</v>
      </c>
      <c r="M334" s="30" t="n">
        <v>0.02393759552707219</v>
      </c>
      <c r="N334" s="31">
        <f>ABS(E334-$F$6)</f>
        <v/>
      </c>
      <c r="O334" s="31">
        <f>ABS(E334-$F$7)</f>
        <v/>
      </c>
      <c r="P334" s="31">
        <f>ABS(E334-$F$8)</f>
        <v/>
      </c>
      <c r="Q334" s="14">
        <f>IF(K334&gt;=MAX(L334,M334), "Hemat", IF(L334&gt;=M334, "Balanced", "Premium"))</f>
        <v/>
      </c>
      <c r="R334" s="30" t="n">
        <v>0.8570514957556834</v>
      </c>
      <c r="S334" s="30" t="n">
        <v>0.1190109084243033</v>
      </c>
      <c r="T334" s="30" t="n">
        <v>0.02393759582001326</v>
      </c>
      <c r="U334" s="31">
        <f>ABS(E334-$G$6)</f>
        <v/>
      </c>
      <c r="V334" s="31">
        <f>ABS(E334-$G$7)</f>
        <v/>
      </c>
      <c r="W334" s="31">
        <f>ABS(E334-$G$8)</f>
        <v/>
      </c>
      <c r="X334" s="14">
        <f>IF(R334&gt;=MAX(S334,T334), "Hemat", IF(S334&gt;=T334, "Balanced", "Premium"))</f>
        <v/>
      </c>
    </row>
    <row r="335">
      <c r="A335" s="14" t="n">
        <v>324</v>
      </c>
      <c r="B335" s="7" t="inlineStr">
        <is>
          <t>Kampung Iwak 3M</t>
        </is>
      </c>
      <c r="C335" s="26" t="n">
        <v>-8.1837368</v>
      </c>
      <c r="D335" s="26" t="n">
        <v>112.5804818</v>
      </c>
      <c r="E335" s="21" t="n">
        <v>10000</v>
      </c>
      <c r="F335" s="27" t="n">
        <v>4.2</v>
      </c>
      <c r="G335" s="28" t="n">
        <v>2523</v>
      </c>
      <c r="H335" s="14" t="inlineStr">
        <is>
          <t>Wisata Umum</t>
        </is>
      </c>
      <c r="I335" s="29">
        <f>6371 * 2 * ASIN(SQRT(SIN(RADIANS((C335) - INDEX('Dataset_Wisata'!$C$12:$C$622, MATCH('Dashboard'!$C$9, 'Dataset_Wisata'!$A$12:$A$622, 0)))/2)^2 + COS(RADIANS(INDEX('Dataset_Wisata'!$C$12:$C$622, MATCH('Dashboard'!$C$9, 'Dataset_Wisata'!$A$12:$A$622, 0)))) * COS(RADIANS(C335)) * SIN(RADIANS((D335) - INDEX('Dataset_Wisata'!$D$12:$D$622, MATCH('Dashboard'!$C$9, 'Dataset_Wisata'!$A$12:$A$622, 0)))/2)^2)) * 1.3</f>
        <v/>
      </c>
      <c r="J335" s="21">
        <f>ROUND(I335 * IF('Dashboard'!$C$6&lt;=1, 2250, IF('Dashboard'!$C$6&lt;=4, 5150, 6000)), 0)</f>
        <v/>
      </c>
      <c r="K335" s="30" t="n">
        <v>0.9518906050943107</v>
      </c>
      <c r="L335" s="30" t="n">
        <v>0.04169660451397377</v>
      </c>
      <c r="M335" s="30" t="n">
        <v>0.006412790391715545</v>
      </c>
      <c r="N335" s="31">
        <f>ABS(E335-$F$6)</f>
        <v/>
      </c>
      <c r="O335" s="31">
        <f>ABS(E335-$F$7)</f>
        <v/>
      </c>
      <c r="P335" s="31">
        <f>ABS(E335-$F$8)</f>
        <v/>
      </c>
      <c r="Q335" s="14">
        <f>IF(K335&gt;=MAX(L335,M335), "Hemat", IF(L335&gt;=M335, "Balanced", "Premium"))</f>
        <v/>
      </c>
      <c r="R335" s="30" t="n">
        <v>0.9518906082621517</v>
      </c>
      <c r="S335" s="30" t="n">
        <v>0.04169660246361195</v>
      </c>
      <c r="T335" s="30" t="n">
        <v>0.006412789274236485</v>
      </c>
      <c r="U335" s="31">
        <f>ABS(E335-$G$6)</f>
        <v/>
      </c>
      <c r="V335" s="31">
        <f>ABS(E335-$G$7)</f>
        <v/>
      </c>
      <c r="W335" s="31">
        <f>ABS(E335-$G$8)</f>
        <v/>
      </c>
      <c r="X335" s="14">
        <f>IF(R335&gt;=MAX(S335,T335), "Hemat", IF(S335&gt;=T335, "Balanced", "Premium"))</f>
        <v/>
      </c>
    </row>
    <row r="336">
      <c r="A336" s="14" t="n">
        <v>325</v>
      </c>
      <c r="B336" s="7" t="inlineStr">
        <is>
          <t>Warung Pojok Kauman Est.2004</t>
        </is>
      </c>
      <c r="C336" s="26" t="n">
        <v>-8.131347999999999</v>
      </c>
      <c r="D336" s="26" t="n">
        <v>112.574738</v>
      </c>
      <c r="E336" s="21" t="n">
        <v>7000</v>
      </c>
      <c r="F336" s="27" t="n">
        <v>4.6</v>
      </c>
      <c r="G336" s="28" t="n">
        <v>386</v>
      </c>
      <c r="H336" s="14" t="inlineStr">
        <is>
          <t>Warung Pojok Kauman Est.2004</t>
        </is>
      </c>
      <c r="I336" s="29">
        <f>6371 * 2 * ASIN(SQRT(SIN(RADIANS((C336) - INDEX('Dataset_Wisata'!$C$12:$C$622, MATCH('Dashboard'!$C$9, 'Dataset_Wisata'!$A$12:$A$622, 0)))/2)^2 + COS(RADIANS(INDEX('Dataset_Wisata'!$C$12:$C$622, MATCH('Dashboard'!$C$9, 'Dataset_Wisata'!$A$12:$A$622, 0)))) * COS(RADIANS(C336)) * SIN(RADIANS((D336) - INDEX('Dataset_Wisata'!$D$12:$D$622, MATCH('Dashboard'!$C$9, 'Dataset_Wisata'!$A$12:$A$622, 0)))/2)^2)) * 1.3</f>
        <v/>
      </c>
      <c r="J336" s="21">
        <f>ROUND(I336 * IF('Dashboard'!$C$6&lt;=1, 2250, IF('Dashboard'!$C$6&lt;=4, 5150, 6000)), 0)</f>
        <v/>
      </c>
      <c r="K336" s="30" t="n">
        <v>0.8800610026243881</v>
      </c>
      <c r="L336" s="30" t="n">
        <v>0.1008247459749515</v>
      </c>
      <c r="M336" s="30" t="n">
        <v>0.01911425140066042</v>
      </c>
      <c r="N336" s="31">
        <f>ABS(E336-$F$6)</f>
        <v/>
      </c>
      <c r="O336" s="31">
        <f>ABS(E336-$F$7)</f>
        <v/>
      </c>
      <c r="P336" s="31">
        <f>ABS(E336-$F$8)</f>
        <v/>
      </c>
      <c r="Q336" s="14">
        <f>IF(K336&gt;=MAX(L336,M336), "Hemat", IF(L336&gt;=M336, "Balanced", "Premium"))</f>
        <v/>
      </c>
      <c r="R336" s="30" t="n">
        <v>0.8800609951219469</v>
      </c>
      <c r="S336" s="30" t="n">
        <v>0.1008247536305651</v>
      </c>
      <c r="T336" s="30" t="n">
        <v>0.019114251247488</v>
      </c>
      <c r="U336" s="31">
        <f>ABS(E336-$G$6)</f>
        <v/>
      </c>
      <c r="V336" s="31">
        <f>ABS(E336-$G$7)</f>
        <v/>
      </c>
      <c r="W336" s="31">
        <f>ABS(E336-$G$8)</f>
        <v/>
      </c>
      <c r="X336" s="14">
        <f>IF(R336&gt;=MAX(S336,T336), "Hemat", IF(S336&gt;=T336, "Balanced", "Premium"))</f>
        <v/>
      </c>
    </row>
    <row r="337">
      <c r="A337" s="14" t="n">
        <v>326</v>
      </c>
      <c r="B337" s="7" t="inlineStr">
        <is>
          <t>Warung Gunung</t>
        </is>
      </c>
      <c r="C337" s="26" t="n">
        <v>-8.135786700000001</v>
      </c>
      <c r="D337" s="26" t="n">
        <v>112.5728049</v>
      </c>
      <c r="E337" s="21" t="n">
        <v>5000</v>
      </c>
      <c r="F337" s="27" t="n">
        <v>4.4</v>
      </c>
      <c r="G337" s="28" t="n">
        <v>161</v>
      </c>
      <c r="H337" s="14" t="inlineStr">
        <is>
          <t>Warung Gunung</t>
        </is>
      </c>
      <c r="I337" s="29">
        <f>6371 * 2 * ASIN(SQRT(SIN(RADIANS((C337) - INDEX('Dataset_Wisata'!$C$12:$C$622, MATCH('Dashboard'!$C$9, 'Dataset_Wisata'!$A$12:$A$622, 0)))/2)^2 + COS(RADIANS(INDEX('Dataset_Wisata'!$C$12:$C$622, MATCH('Dashboard'!$C$9, 'Dataset_Wisata'!$A$12:$A$622, 0)))) * COS(RADIANS(C337)) * SIN(RADIANS((D337) - INDEX('Dataset_Wisata'!$D$12:$D$622, MATCH('Dashboard'!$C$9, 'Dataset_Wisata'!$A$12:$A$622, 0)))/2)^2)) * 1.3</f>
        <v/>
      </c>
      <c r="J337" s="21">
        <f>ROUND(I337 * IF('Dashboard'!$C$6&lt;=1, 2250, IF('Dashboard'!$C$6&lt;=4, 5150, 6000)), 0)</f>
        <v/>
      </c>
      <c r="K337" s="30" t="n">
        <v>0.8351711450363791</v>
      </c>
      <c r="L337" s="30" t="n">
        <v>0.1359421607956553</v>
      </c>
      <c r="M337" s="30" t="n">
        <v>0.02888669416796556</v>
      </c>
      <c r="N337" s="31">
        <f>ABS(E337-$F$6)</f>
        <v/>
      </c>
      <c r="O337" s="31">
        <f>ABS(E337-$F$7)</f>
        <v/>
      </c>
      <c r="P337" s="31">
        <f>ABS(E337-$F$8)</f>
        <v/>
      </c>
      <c r="Q337" s="14">
        <f>IF(K337&gt;=MAX(L337,M337), "Hemat", IF(L337&gt;=M337, "Balanced", "Premium"))</f>
        <v/>
      </c>
      <c r="R337" s="30" t="n">
        <v>0.8351711319538849</v>
      </c>
      <c r="S337" s="30" t="n">
        <v>0.1359421731258753</v>
      </c>
      <c r="T337" s="30" t="n">
        <v>0.02888669492023966</v>
      </c>
      <c r="U337" s="31">
        <f>ABS(E337-$G$6)</f>
        <v/>
      </c>
      <c r="V337" s="31">
        <f>ABS(E337-$G$7)</f>
        <v/>
      </c>
      <c r="W337" s="31">
        <f>ABS(E337-$G$8)</f>
        <v/>
      </c>
      <c r="X337" s="14">
        <f>IF(R337&gt;=MAX(S337,T337), "Hemat", IF(S337&gt;=T337, "Balanced", "Premium"))</f>
        <v/>
      </c>
    </row>
    <row r="338">
      <c r="A338" s="14" t="n">
        <v>327</v>
      </c>
      <c r="B338" s="7" t="inlineStr">
        <is>
          <t>Kagumi Cafe</t>
        </is>
      </c>
      <c r="C338" s="26" t="n">
        <v>-8.1501427</v>
      </c>
      <c r="D338" s="26" t="n">
        <v>112.5785893</v>
      </c>
      <c r="E338" s="21" t="n">
        <v>25000</v>
      </c>
      <c r="F338" s="27" t="n">
        <v>4.7</v>
      </c>
      <c r="G338" s="28" t="n">
        <v>124</v>
      </c>
      <c r="H338" s="14" t="inlineStr">
        <is>
          <t>Wisata Umum</t>
        </is>
      </c>
      <c r="I338" s="29">
        <f>6371 * 2 * ASIN(SQRT(SIN(RADIANS((C338) - INDEX('Dataset_Wisata'!$C$12:$C$622, MATCH('Dashboard'!$C$9, 'Dataset_Wisata'!$A$12:$A$622, 0)))/2)^2 + COS(RADIANS(INDEX('Dataset_Wisata'!$C$12:$C$622, MATCH('Dashboard'!$C$9, 'Dataset_Wisata'!$A$12:$A$622, 0)))) * COS(RADIANS(C338)) * SIN(RADIANS((D338) - INDEX('Dataset_Wisata'!$D$12:$D$622, MATCH('Dashboard'!$C$9, 'Dataset_Wisata'!$A$12:$A$622, 0)))/2)^2)) * 1.3</f>
        <v/>
      </c>
      <c r="J338" s="21">
        <f>ROUND(I338 * IF('Dashboard'!$C$6&lt;=1, 2250, IF('Dashboard'!$C$6&lt;=4, 5150, 6000)), 0)</f>
        <v/>
      </c>
      <c r="K338" s="30" t="n">
        <v>0.0009460509590550509</v>
      </c>
      <c r="L338" s="30" t="n">
        <v>0.9988291129147837</v>
      </c>
      <c r="M338" s="30" t="n">
        <v>0.0002248361261612175</v>
      </c>
      <c r="N338" s="31">
        <f>ABS(E338-$F$6)</f>
        <v/>
      </c>
      <c r="O338" s="31">
        <f>ABS(E338-$F$7)</f>
        <v/>
      </c>
      <c r="P338" s="31">
        <f>ABS(E338-$F$8)</f>
        <v/>
      </c>
      <c r="Q338" s="14">
        <f>IF(K338&gt;=MAX(L338,M338), "Hemat", IF(L338&gt;=M338, "Balanced", "Premium"))</f>
        <v/>
      </c>
      <c r="R338" s="30" t="n">
        <v>0.0009460368639408893</v>
      </c>
      <c r="S338" s="30" t="n">
        <v>0.998829130253259</v>
      </c>
      <c r="T338" s="30" t="n">
        <v>0.0002248328828000856</v>
      </c>
      <c r="U338" s="31">
        <f>ABS(E338-$G$6)</f>
        <v/>
      </c>
      <c r="V338" s="31">
        <f>ABS(E338-$G$7)</f>
        <v/>
      </c>
      <c r="W338" s="31">
        <f>ABS(E338-$G$8)</f>
        <v/>
      </c>
      <c r="X338" s="14">
        <f>IF(R338&gt;=MAX(S338,T338), "Hemat", IF(S338&gt;=T338, "Balanced", "Premium"))</f>
        <v/>
      </c>
    </row>
    <row r="339">
      <c r="A339" s="14" t="n">
        <v>328</v>
      </c>
      <c r="B339" s="7" t="inlineStr">
        <is>
          <t>Mie Setan Noodle N Dimsum - Cabang Kepanjen</t>
        </is>
      </c>
      <c r="C339" s="26" t="n">
        <v>-8.133006</v>
      </c>
      <c r="D339" s="26" t="n">
        <v>112.5723398</v>
      </c>
      <c r="E339" s="21" t="n">
        <v>16250</v>
      </c>
      <c r="F339" s="27" t="n">
        <v>4</v>
      </c>
      <c r="G339" s="28" t="n">
        <v>1332</v>
      </c>
      <c r="H339" s="14" t="inlineStr">
        <is>
          <t>Wisata Umum</t>
        </is>
      </c>
      <c r="I339" s="29">
        <f>6371 * 2 * ASIN(SQRT(SIN(RADIANS((C339) - INDEX('Dataset_Wisata'!$C$12:$C$622, MATCH('Dashboard'!$C$9, 'Dataset_Wisata'!$A$12:$A$622, 0)))/2)^2 + COS(RADIANS(INDEX('Dataset_Wisata'!$C$12:$C$622, MATCH('Dashboard'!$C$9, 'Dataset_Wisata'!$A$12:$A$622, 0)))) * COS(RADIANS(C339)) * SIN(RADIANS((D339) - INDEX('Dataset_Wisata'!$D$12:$D$622, MATCH('Dashboard'!$C$9, 'Dataset_Wisata'!$A$12:$A$622, 0)))/2)^2)) * 1.3</f>
        <v/>
      </c>
      <c r="J339" s="21">
        <f>ROUND(I339 * IF('Dashboard'!$C$6&lt;=1, 2250, IF('Dashboard'!$C$6&lt;=4, 5150, 6000)), 0)</f>
        <v/>
      </c>
      <c r="K339" s="30" t="n">
        <v>0.8933385441841105</v>
      </c>
      <c r="L339" s="30" t="n">
        <v>0.09907171966203167</v>
      </c>
      <c r="M339" s="30" t="n">
        <v>0.007589736153857942</v>
      </c>
      <c r="N339" s="31">
        <f>ABS(E339-$F$6)</f>
        <v/>
      </c>
      <c r="O339" s="31">
        <f>ABS(E339-$F$7)</f>
        <v/>
      </c>
      <c r="P339" s="31">
        <f>ABS(E339-$F$8)</f>
        <v/>
      </c>
      <c r="Q339" s="14">
        <f>IF(K339&gt;=MAX(L339,M339), "Hemat", IF(L339&gt;=M339, "Balanced", "Premium"))</f>
        <v/>
      </c>
      <c r="R339" s="30" t="n">
        <v>0.8933384496267154</v>
      </c>
      <c r="S339" s="30" t="n">
        <v>0.09907180976251817</v>
      </c>
      <c r="T339" s="30" t="n">
        <v>0.007589740610766537</v>
      </c>
      <c r="U339" s="31">
        <f>ABS(E339-$G$6)</f>
        <v/>
      </c>
      <c r="V339" s="31">
        <f>ABS(E339-$G$7)</f>
        <v/>
      </c>
      <c r="W339" s="31">
        <f>ABS(E339-$G$8)</f>
        <v/>
      </c>
      <c r="X339" s="14">
        <f>IF(R339&gt;=MAX(S339,T339), "Hemat", IF(S339&gt;=T339, "Balanced", "Premium"))</f>
        <v/>
      </c>
    </row>
    <row r="340">
      <c r="A340" s="14" t="n">
        <v>329</v>
      </c>
      <c r="B340" s="7" t="inlineStr">
        <is>
          <t>WARUNG AYAM GEPREK AMBER PENARUKAN KEPANJEN</t>
        </is>
      </c>
      <c r="C340" s="26" t="n">
        <v>-8.1383437</v>
      </c>
      <c r="D340" s="26" t="n">
        <v>112.5796214</v>
      </c>
      <c r="E340" s="21" t="n">
        <v>14990</v>
      </c>
      <c r="F340" s="27" t="n">
        <v>4.6</v>
      </c>
      <c r="G340" s="28" t="n">
        <v>40</v>
      </c>
      <c r="H340" s="14" t="inlineStr">
        <is>
          <t>Wisata Umum</t>
        </is>
      </c>
      <c r="I340" s="29">
        <f>6371 * 2 * ASIN(SQRT(SIN(RADIANS((C340) - INDEX('Dataset_Wisata'!$C$12:$C$622, MATCH('Dashboard'!$C$9, 'Dataset_Wisata'!$A$12:$A$622, 0)))/2)^2 + COS(RADIANS(INDEX('Dataset_Wisata'!$C$12:$C$622, MATCH('Dashboard'!$C$9, 'Dataset_Wisata'!$A$12:$A$622, 0)))) * COS(RADIANS(C340)) * SIN(RADIANS((D340) - INDEX('Dataset_Wisata'!$D$12:$D$622, MATCH('Dashboard'!$C$9, 'Dataset_Wisata'!$A$12:$A$622, 0)))/2)^2)) * 1.3</f>
        <v/>
      </c>
      <c r="J340" s="21">
        <f>ROUND(I340 * IF('Dashboard'!$C$6&lt;=1, 2250, IF('Dashboard'!$C$6&lt;=4, 5150, 6000)), 0)</f>
        <v/>
      </c>
      <c r="K340" s="30" t="n">
        <v>0.9690225726908546</v>
      </c>
      <c r="L340" s="30" t="n">
        <v>0.02836563726005379</v>
      </c>
      <c r="M340" s="30" t="n">
        <v>0.002611790049091595</v>
      </c>
      <c r="N340" s="31">
        <f>ABS(E340-$F$6)</f>
        <v/>
      </c>
      <c r="O340" s="31">
        <f>ABS(E340-$F$7)</f>
        <v/>
      </c>
      <c r="P340" s="31">
        <f>ABS(E340-$F$8)</f>
        <v/>
      </c>
      <c r="Q340" s="14">
        <f>IF(K340&gt;=MAX(L340,M340), "Hemat", IF(L340&gt;=M340, "Balanced", "Premium"))</f>
        <v/>
      </c>
      <c r="R340" s="30" t="n">
        <v>0.9690225359431544</v>
      </c>
      <c r="S340" s="30" t="n">
        <v>0.02836567153241397</v>
      </c>
      <c r="T340" s="30" t="n">
        <v>0.002611792524431668</v>
      </c>
      <c r="U340" s="31">
        <f>ABS(E340-$G$6)</f>
        <v/>
      </c>
      <c r="V340" s="31">
        <f>ABS(E340-$G$7)</f>
        <v/>
      </c>
      <c r="W340" s="31">
        <f>ABS(E340-$G$8)</f>
        <v/>
      </c>
      <c r="X340" s="14">
        <f>IF(R340&gt;=MAX(S340,T340), "Hemat", IF(S340&gt;=T340, "Balanced", "Premium"))</f>
        <v/>
      </c>
    </row>
    <row r="341">
      <c r="A341" s="14" t="n">
        <v>330</v>
      </c>
      <c r="B341" s="7" t="inlineStr">
        <is>
          <t>Warung Pak Untung Mbureng</t>
        </is>
      </c>
      <c r="C341" s="26" t="n">
        <v>-8.157147</v>
      </c>
      <c r="D341" s="26" t="n">
        <v>112.5951827</v>
      </c>
      <c r="E341" s="21" t="n">
        <v>10000</v>
      </c>
      <c r="F341" s="27" t="n">
        <v>3.8</v>
      </c>
      <c r="G341" s="28" t="n">
        <v>207</v>
      </c>
      <c r="H341" s="14" t="inlineStr">
        <is>
          <t>Warung Pak Untung Mbureng</t>
        </is>
      </c>
      <c r="I341" s="29">
        <f>6371 * 2 * ASIN(SQRT(SIN(RADIANS((C341) - INDEX('Dataset_Wisata'!$C$12:$C$622, MATCH('Dashboard'!$C$9, 'Dataset_Wisata'!$A$12:$A$622, 0)))/2)^2 + COS(RADIANS(INDEX('Dataset_Wisata'!$C$12:$C$622, MATCH('Dashboard'!$C$9, 'Dataset_Wisata'!$A$12:$A$622, 0)))) * COS(RADIANS(C341)) * SIN(RADIANS((D341) - INDEX('Dataset_Wisata'!$D$12:$D$622, MATCH('Dashboard'!$C$9, 'Dataset_Wisata'!$A$12:$A$622, 0)))/2)^2)) * 1.3</f>
        <v/>
      </c>
      <c r="J341" s="21">
        <f>ROUND(I341 * IF('Dashboard'!$C$6&lt;=1, 2250, IF('Dashboard'!$C$6&lt;=4, 5150, 6000)), 0)</f>
        <v/>
      </c>
      <c r="K341" s="30" t="n">
        <v>0.9518906050943107</v>
      </c>
      <c r="L341" s="30" t="n">
        <v>0.04169660451397377</v>
      </c>
      <c r="M341" s="30" t="n">
        <v>0.006412790391715545</v>
      </c>
      <c r="N341" s="31">
        <f>ABS(E341-$F$6)</f>
        <v/>
      </c>
      <c r="O341" s="31">
        <f>ABS(E341-$F$7)</f>
        <v/>
      </c>
      <c r="P341" s="31">
        <f>ABS(E341-$F$8)</f>
        <v/>
      </c>
      <c r="Q341" s="14">
        <f>IF(K341&gt;=MAX(L341,M341), "Hemat", IF(L341&gt;=M341, "Balanced", "Premium"))</f>
        <v/>
      </c>
      <c r="R341" s="30" t="n">
        <v>0.9518906082621517</v>
      </c>
      <c r="S341" s="30" t="n">
        <v>0.04169660246361195</v>
      </c>
      <c r="T341" s="30" t="n">
        <v>0.006412789274236485</v>
      </c>
      <c r="U341" s="31">
        <f>ABS(E341-$G$6)</f>
        <v/>
      </c>
      <c r="V341" s="31">
        <f>ABS(E341-$G$7)</f>
        <v/>
      </c>
      <c r="W341" s="31">
        <f>ABS(E341-$G$8)</f>
        <v/>
      </c>
      <c r="X341" s="14">
        <f>IF(R341&gt;=MAX(S341,T341), "Hemat", IF(S341&gt;=T341, "Balanced", "Premium"))</f>
        <v/>
      </c>
    </row>
    <row r="342">
      <c r="A342" s="14" t="n">
        <v>331</v>
      </c>
      <c r="B342" s="7" t="inlineStr">
        <is>
          <t>Soto Babat Madura p.sodiq</t>
        </is>
      </c>
      <c r="C342" s="26" t="n">
        <v>-8.137122099999999</v>
      </c>
      <c r="D342" s="26" t="n">
        <v>112.578429</v>
      </c>
      <c r="E342" s="21" t="n">
        <v>7000</v>
      </c>
      <c r="F342" s="27" t="n">
        <v>4.5</v>
      </c>
      <c r="G342" s="28" t="n">
        <v>208</v>
      </c>
      <c r="H342" s="14" t="inlineStr">
        <is>
          <t>Wisata Umum</t>
        </is>
      </c>
      <c r="I342" s="29">
        <f>6371 * 2 * ASIN(SQRT(SIN(RADIANS((C342) - INDEX('Dataset_Wisata'!$C$12:$C$622, MATCH('Dashboard'!$C$9, 'Dataset_Wisata'!$A$12:$A$622, 0)))/2)^2 + COS(RADIANS(INDEX('Dataset_Wisata'!$C$12:$C$622, MATCH('Dashboard'!$C$9, 'Dataset_Wisata'!$A$12:$A$622, 0)))) * COS(RADIANS(C342)) * SIN(RADIANS((D342) - INDEX('Dataset_Wisata'!$D$12:$D$622, MATCH('Dashboard'!$C$9, 'Dataset_Wisata'!$A$12:$A$622, 0)))/2)^2)) * 1.3</f>
        <v/>
      </c>
      <c r="J342" s="21">
        <f>ROUND(I342 * IF('Dashboard'!$C$6&lt;=1, 2250, IF('Dashboard'!$C$6&lt;=4, 5150, 6000)), 0)</f>
        <v/>
      </c>
      <c r="K342" s="30" t="n">
        <v>0.8800610026243881</v>
      </c>
      <c r="L342" s="30" t="n">
        <v>0.1008247459749515</v>
      </c>
      <c r="M342" s="30" t="n">
        <v>0.01911425140066042</v>
      </c>
      <c r="N342" s="31">
        <f>ABS(E342-$F$6)</f>
        <v/>
      </c>
      <c r="O342" s="31">
        <f>ABS(E342-$F$7)</f>
        <v/>
      </c>
      <c r="P342" s="31">
        <f>ABS(E342-$F$8)</f>
        <v/>
      </c>
      <c r="Q342" s="14">
        <f>IF(K342&gt;=MAX(L342,M342), "Hemat", IF(L342&gt;=M342, "Balanced", "Premium"))</f>
        <v/>
      </c>
      <c r="R342" s="30" t="n">
        <v>0.8800609951219469</v>
      </c>
      <c r="S342" s="30" t="n">
        <v>0.1008247536305651</v>
      </c>
      <c r="T342" s="30" t="n">
        <v>0.019114251247488</v>
      </c>
      <c r="U342" s="31">
        <f>ABS(E342-$G$6)</f>
        <v/>
      </c>
      <c r="V342" s="31">
        <f>ABS(E342-$G$7)</f>
        <v/>
      </c>
      <c r="W342" s="31">
        <f>ABS(E342-$G$8)</f>
        <v/>
      </c>
      <c r="X342" s="14">
        <f>IF(R342&gt;=MAX(S342,T342), "Hemat", IF(S342&gt;=T342, "Balanced", "Premium"))</f>
        <v/>
      </c>
    </row>
    <row r="343">
      <c r="A343" s="14" t="n">
        <v>332</v>
      </c>
      <c r="B343" s="7" t="inlineStr">
        <is>
          <t>Gunung Resto &amp; Cafe</t>
        </is>
      </c>
      <c r="C343" s="26" t="n">
        <v>-8.146804299999999</v>
      </c>
      <c r="D343" s="26" t="n">
        <v>112.5827184</v>
      </c>
      <c r="E343" s="21" t="n">
        <v>10000</v>
      </c>
      <c r="F343" s="27" t="n">
        <v>4.5</v>
      </c>
      <c r="G343" s="28" t="n">
        <v>38</v>
      </c>
      <c r="H343" s="14" t="inlineStr">
        <is>
          <t>Gunung Resto &amp; Cafe</t>
        </is>
      </c>
      <c r="I343" s="29">
        <f>6371 * 2 * ASIN(SQRT(SIN(RADIANS((C343) - INDEX('Dataset_Wisata'!$C$12:$C$622, MATCH('Dashboard'!$C$9, 'Dataset_Wisata'!$A$12:$A$622, 0)))/2)^2 + COS(RADIANS(INDEX('Dataset_Wisata'!$C$12:$C$622, MATCH('Dashboard'!$C$9, 'Dataset_Wisata'!$A$12:$A$622, 0)))) * COS(RADIANS(C343)) * SIN(RADIANS((D343) - INDEX('Dataset_Wisata'!$D$12:$D$622, MATCH('Dashboard'!$C$9, 'Dataset_Wisata'!$A$12:$A$622, 0)))/2)^2)) * 1.3</f>
        <v/>
      </c>
      <c r="J343" s="21">
        <f>ROUND(I343 * IF('Dashboard'!$C$6&lt;=1, 2250, IF('Dashboard'!$C$6&lt;=4, 5150, 6000)), 0)</f>
        <v/>
      </c>
      <c r="K343" s="30" t="n">
        <v>0.9518906050943107</v>
      </c>
      <c r="L343" s="30" t="n">
        <v>0.04169660451397377</v>
      </c>
      <c r="M343" s="30" t="n">
        <v>0.006412790391715545</v>
      </c>
      <c r="N343" s="31">
        <f>ABS(E343-$F$6)</f>
        <v/>
      </c>
      <c r="O343" s="31">
        <f>ABS(E343-$F$7)</f>
        <v/>
      </c>
      <c r="P343" s="31">
        <f>ABS(E343-$F$8)</f>
        <v/>
      </c>
      <c r="Q343" s="14">
        <f>IF(K343&gt;=MAX(L343,M343), "Hemat", IF(L343&gt;=M343, "Balanced", "Premium"))</f>
        <v/>
      </c>
      <c r="R343" s="30" t="n">
        <v>0.9518906082621517</v>
      </c>
      <c r="S343" s="30" t="n">
        <v>0.04169660246361195</v>
      </c>
      <c r="T343" s="30" t="n">
        <v>0.006412789274236485</v>
      </c>
      <c r="U343" s="31">
        <f>ABS(E343-$G$6)</f>
        <v/>
      </c>
      <c r="V343" s="31">
        <f>ABS(E343-$G$7)</f>
        <v/>
      </c>
      <c r="W343" s="31">
        <f>ABS(E343-$G$8)</f>
        <v/>
      </c>
      <c r="X343" s="14">
        <f>IF(R343&gt;=MAX(S343,T343), "Hemat", IF(S343&gt;=T343, "Balanced", "Premium"))</f>
        <v/>
      </c>
    </row>
    <row r="344">
      <c r="A344" s="14" t="n">
        <v>333</v>
      </c>
      <c r="B344" s="7" t="inlineStr">
        <is>
          <t>Nasi Pecel Ndoweh Batu malang</t>
        </is>
      </c>
      <c r="C344" s="26" t="n">
        <v>-7.8571698</v>
      </c>
      <c r="D344" s="26" t="n">
        <v>112.5386236</v>
      </c>
      <c r="E344" s="21" t="n">
        <v>13500</v>
      </c>
      <c r="F344" s="27" t="n">
        <v>4.9</v>
      </c>
      <c r="G344" s="28" t="n">
        <v>34</v>
      </c>
      <c r="H344" s="14" t="inlineStr">
        <is>
          <t>Wisata Umum</t>
        </is>
      </c>
      <c r="I344" s="29">
        <f>6371 * 2 * ASIN(SQRT(SIN(RADIANS((C344) - INDEX('Dataset_Wisata'!$C$12:$C$622, MATCH('Dashboard'!$C$9, 'Dataset_Wisata'!$A$12:$A$622, 0)))/2)^2 + COS(RADIANS(INDEX('Dataset_Wisata'!$C$12:$C$622, MATCH('Dashboard'!$C$9, 'Dataset_Wisata'!$A$12:$A$622, 0)))) * COS(RADIANS(C344)) * SIN(RADIANS((D344) - INDEX('Dataset_Wisata'!$D$12:$D$622, MATCH('Dashboard'!$C$9, 'Dataset_Wisata'!$A$12:$A$622, 0)))/2)^2)) * 1.3</f>
        <v/>
      </c>
      <c r="J344" s="21">
        <f>ROUND(I344 * IF('Dashboard'!$C$6&lt;=1, 2250, IF('Dashboard'!$C$6&lt;=4, 5150, 6000)), 0)</f>
        <v/>
      </c>
      <c r="K344" s="30" t="n">
        <v>0.9993608169528668</v>
      </c>
      <c r="L344" s="30" t="n">
        <v>0.0005755405742947694</v>
      </c>
      <c r="M344" s="30" t="n">
        <v>6.36424728383445e-05</v>
      </c>
      <c r="N344" s="31">
        <f>ABS(E344-$F$6)</f>
        <v/>
      </c>
      <c r="O344" s="31">
        <f>ABS(E344-$F$7)</f>
        <v/>
      </c>
      <c r="P344" s="31">
        <f>ABS(E344-$F$8)</f>
        <v/>
      </c>
      <c r="Q344" s="14">
        <f>IF(K344&gt;=MAX(L344,M344), "Hemat", IF(L344&gt;=M344, "Balanced", "Premium"))</f>
        <v/>
      </c>
      <c r="R344" s="30" t="n">
        <v>0.9993608137761221</v>
      </c>
      <c r="S344" s="30" t="n">
        <v>0.0005755434465521912</v>
      </c>
      <c r="T344" s="30" t="n">
        <v>6.364277732570516e-05</v>
      </c>
      <c r="U344" s="31">
        <f>ABS(E344-$G$6)</f>
        <v/>
      </c>
      <c r="V344" s="31">
        <f>ABS(E344-$G$7)</f>
        <v/>
      </c>
      <c r="W344" s="31">
        <f>ABS(E344-$G$8)</f>
        <v/>
      </c>
      <c r="X344" s="14">
        <f>IF(R344&gt;=MAX(S344,T344), "Hemat", IF(S344&gt;=T344, "Balanced", "Premium"))</f>
        <v/>
      </c>
    </row>
    <row r="345">
      <c r="A345" s="14" t="n">
        <v>334</v>
      </c>
      <c r="B345" s="7" t="inlineStr">
        <is>
          <t>Wangsa Rasa Eatery</t>
        </is>
      </c>
      <c r="C345" s="26" t="n">
        <v>-7.8643754</v>
      </c>
      <c r="D345" s="26" t="n">
        <v>112.5427672</v>
      </c>
      <c r="E345" s="21" t="n">
        <v>7000</v>
      </c>
      <c r="F345" s="27" t="n">
        <v>5</v>
      </c>
      <c r="G345" s="28" t="n">
        <v>27</v>
      </c>
      <c r="H345" s="14" t="inlineStr">
        <is>
          <t>Wisata Umum</t>
        </is>
      </c>
      <c r="I345" s="29">
        <f>6371 * 2 * ASIN(SQRT(SIN(RADIANS((C345) - INDEX('Dataset_Wisata'!$C$12:$C$622, MATCH('Dashboard'!$C$9, 'Dataset_Wisata'!$A$12:$A$622, 0)))/2)^2 + COS(RADIANS(INDEX('Dataset_Wisata'!$C$12:$C$622, MATCH('Dashboard'!$C$9, 'Dataset_Wisata'!$A$12:$A$622, 0)))) * COS(RADIANS(C345)) * SIN(RADIANS((D345) - INDEX('Dataset_Wisata'!$D$12:$D$622, MATCH('Dashboard'!$C$9, 'Dataset_Wisata'!$A$12:$A$622, 0)))/2)^2)) * 1.3</f>
        <v/>
      </c>
      <c r="J345" s="21">
        <f>ROUND(I345 * IF('Dashboard'!$C$6&lt;=1, 2250, IF('Dashboard'!$C$6&lt;=4, 5150, 6000)), 0)</f>
        <v/>
      </c>
      <c r="K345" s="30" t="n">
        <v>0.8800610026243881</v>
      </c>
      <c r="L345" s="30" t="n">
        <v>0.1008247459749515</v>
      </c>
      <c r="M345" s="30" t="n">
        <v>0.01911425140066042</v>
      </c>
      <c r="N345" s="31">
        <f>ABS(E345-$F$6)</f>
        <v/>
      </c>
      <c r="O345" s="31">
        <f>ABS(E345-$F$7)</f>
        <v/>
      </c>
      <c r="P345" s="31">
        <f>ABS(E345-$F$8)</f>
        <v/>
      </c>
      <c r="Q345" s="14">
        <f>IF(K345&gt;=MAX(L345,M345), "Hemat", IF(L345&gt;=M345, "Balanced", "Premium"))</f>
        <v/>
      </c>
      <c r="R345" s="30" t="n">
        <v>0.8800609951219469</v>
      </c>
      <c r="S345" s="30" t="n">
        <v>0.1008247536305651</v>
      </c>
      <c r="T345" s="30" t="n">
        <v>0.019114251247488</v>
      </c>
      <c r="U345" s="31">
        <f>ABS(E345-$G$6)</f>
        <v/>
      </c>
      <c r="V345" s="31">
        <f>ABS(E345-$G$7)</f>
        <v/>
      </c>
      <c r="W345" s="31">
        <f>ABS(E345-$G$8)</f>
        <v/>
      </c>
      <c r="X345" s="14">
        <f>IF(R345&gt;=MAX(S345,T345), "Hemat", IF(S345&gt;=T345, "Balanced", "Premium"))</f>
        <v/>
      </c>
    </row>
    <row r="346">
      <c r="A346" s="14" t="n">
        <v>335</v>
      </c>
      <c r="B346" s="7" t="inlineStr">
        <is>
          <t>J Seafood</t>
        </is>
      </c>
      <c r="C346" s="26" t="n">
        <v>-7.8644075</v>
      </c>
      <c r="D346" s="26" t="n">
        <v>112.5371194</v>
      </c>
      <c r="E346" s="21" t="n">
        <v>30000</v>
      </c>
      <c r="F346" s="27" t="n">
        <v>4.4</v>
      </c>
      <c r="G346" s="28" t="n">
        <v>58</v>
      </c>
      <c r="H346" s="14" t="inlineStr">
        <is>
          <t>Wisata Umum</t>
        </is>
      </c>
      <c r="I346" s="29">
        <f>6371 * 2 * ASIN(SQRT(SIN(RADIANS((C346) - INDEX('Dataset_Wisata'!$C$12:$C$622, MATCH('Dashboard'!$C$9, 'Dataset_Wisata'!$A$12:$A$622, 0)))/2)^2 + COS(RADIANS(INDEX('Dataset_Wisata'!$C$12:$C$622, MATCH('Dashboard'!$C$9, 'Dataset_Wisata'!$A$12:$A$622, 0)))) * COS(RADIANS(C346)) * SIN(RADIANS((D346) - INDEX('Dataset_Wisata'!$D$12:$D$622, MATCH('Dashboard'!$C$9, 'Dataset_Wisata'!$A$12:$A$622, 0)))/2)^2)) * 1.3</f>
        <v/>
      </c>
      <c r="J346" s="21">
        <f>ROUND(I346 * IF('Dashboard'!$C$6&lt;=1, 2250, IF('Dashboard'!$C$6&lt;=4, 5150, 6000)), 0)</f>
        <v/>
      </c>
      <c r="K346" s="30" t="n">
        <v>0.06726312231076584</v>
      </c>
      <c r="L346" s="30" t="n">
        <v>0.8811909885629753</v>
      </c>
      <c r="M346" s="30" t="n">
        <v>0.05154588912625897</v>
      </c>
      <c r="N346" s="31">
        <f>ABS(E346-$F$6)</f>
        <v/>
      </c>
      <c r="O346" s="31">
        <f>ABS(E346-$F$7)</f>
        <v/>
      </c>
      <c r="P346" s="31">
        <f>ABS(E346-$F$8)</f>
        <v/>
      </c>
      <c r="Q346" s="14">
        <f>IF(K346&gt;=MAX(L346,M346), "Hemat", IF(L346&gt;=M346, "Balanced", "Premium"))</f>
        <v/>
      </c>
      <c r="R346" s="30" t="n">
        <v>0.06726318452674353</v>
      </c>
      <c r="S346" s="30" t="n">
        <v>0.8811908510588695</v>
      </c>
      <c r="T346" s="30" t="n">
        <v>0.05154596441438693</v>
      </c>
      <c r="U346" s="31">
        <f>ABS(E346-$G$6)</f>
        <v/>
      </c>
      <c r="V346" s="31">
        <f>ABS(E346-$G$7)</f>
        <v/>
      </c>
      <c r="W346" s="31">
        <f>ABS(E346-$G$8)</f>
        <v/>
      </c>
      <c r="X346" s="14">
        <f>IF(R346&gt;=MAX(S346,T346), "Hemat", IF(S346&gt;=T346, "Balanced", "Premium"))</f>
        <v/>
      </c>
    </row>
    <row r="347">
      <c r="A347" s="14" t="n">
        <v>336</v>
      </c>
      <c r="B347" s="7" t="inlineStr">
        <is>
          <t>Warung Kembar Jaya Seafood</t>
        </is>
      </c>
      <c r="C347" s="26" t="n">
        <v>-8.4284617</v>
      </c>
      <c r="D347" s="26" t="n">
        <v>112.6351019</v>
      </c>
      <c r="E347" s="21" t="n">
        <v>18000</v>
      </c>
      <c r="F347" s="27" t="n">
        <v>4.8</v>
      </c>
      <c r="G347" s="28" t="n">
        <v>28</v>
      </c>
      <c r="H347" s="14" t="inlineStr">
        <is>
          <t>Warung Kembar Jaya Seafood</t>
        </is>
      </c>
      <c r="I347" s="29">
        <f>6371 * 2 * ASIN(SQRT(SIN(RADIANS((C347) - INDEX('Dataset_Wisata'!$C$12:$C$622, MATCH('Dashboard'!$C$9, 'Dataset_Wisata'!$A$12:$A$622, 0)))/2)^2 + COS(RADIANS(INDEX('Dataset_Wisata'!$C$12:$C$622, MATCH('Dashboard'!$C$9, 'Dataset_Wisata'!$A$12:$A$622, 0)))) * COS(RADIANS(C347)) * SIN(RADIANS((D347) - INDEX('Dataset_Wisata'!$D$12:$D$622, MATCH('Dashboard'!$C$9, 'Dataset_Wisata'!$A$12:$A$622, 0)))/2)^2)) * 1.3</f>
        <v/>
      </c>
      <c r="J347" s="21">
        <f>ROUND(I347 * IF('Dashboard'!$C$6&lt;=1, 2250, IF('Dashboard'!$C$6&lt;=4, 5150, 6000)), 0)</f>
        <v/>
      </c>
      <c r="K347" s="30" t="n">
        <v>0.6916251733659831</v>
      </c>
      <c r="L347" s="30" t="n">
        <v>0.2920817970297536</v>
      </c>
      <c r="M347" s="30" t="n">
        <v>0.01629302960426341</v>
      </c>
      <c r="N347" s="31">
        <f>ABS(E347-$F$6)</f>
        <v/>
      </c>
      <c r="O347" s="31">
        <f>ABS(E347-$F$7)</f>
        <v/>
      </c>
      <c r="P347" s="31">
        <f>ABS(E347-$F$8)</f>
        <v/>
      </c>
      <c r="Q347" s="14">
        <f>IF(K347&gt;=MAX(L347,M347), "Hemat", IF(L347&gt;=M347, "Balanced", "Premium"))</f>
        <v/>
      </c>
      <c r="R347" s="30" t="n">
        <v>0.6916249652211897</v>
      </c>
      <c r="S347" s="30" t="n">
        <v>0.2920820010799081</v>
      </c>
      <c r="T347" s="30" t="n">
        <v>0.01629303369890229</v>
      </c>
      <c r="U347" s="31">
        <f>ABS(E347-$G$6)</f>
        <v/>
      </c>
      <c r="V347" s="31">
        <f>ABS(E347-$G$7)</f>
        <v/>
      </c>
      <c r="W347" s="31">
        <f>ABS(E347-$G$8)</f>
        <v/>
      </c>
      <c r="X347" s="14">
        <f>IF(R347&gt;=MAX(S347,T347), "Hemat", IF(S347&gt;=T347, "Balanced", "Premium"))</f>
        <v/>
      </c>
    </row>
    <row r="348">
      <c r="A348" s="14" t="n">
        <v>337</v>
      </c>
      <c r="B348" s="7" t="inlineStr">
        <is>
          <t>WARUNG PAK UNTUNG SANAN REJO</t>
        </is>
      </c>
      <c r="C348" s="26" t="n">
        <v>-8.1523871</v>
      </c>
      <c r="D348" s="26" t="n">
        <v>112.7191724</v>
      </c>
      <c r="E348" s="21" t="n">
        <v>10000</v>
      </c>
      <c r="F348" s="27" t="n">
        <v>4.4</v>
      </c>
      <c r="G348" s="28" t="n">
        <v>1047</v>
      </c>
      <c r="H348" s="14" t="inlineStr">
        <is>
          <t>WARUNG PAK UNTUNG SANAN REJO</t>
        </is>
      </c>
      <c r="I348" s="29">
        <f>6371 * 2 * ASIN(SQRT(SIN(RADIANS((C348) - INDEX('Dataset_Wisata'!$C$12:$C$622, MATCH('Dashboard'!$C$9, 'Dataset_Wisata'!$A$12:$A$622, 0)))/2)^2 + COS(RADIANS(INDEX('Dataset_Wisata'!$C$12:$C$622, MATCH('Dashboard'!$C$9, 'Dataset_Wisata'!$A$12:$A$622, 0)))) * COS(RADIANS(C348)) * SIN(RADIANS((D348) - INDEX('Dataset_Wisata'!$D$12:$D$622, MATCH('Dashboard'!$C$9, 'Dataset_Wisata'!$A$12:$A$622, 0)))/2)^2)) * 1.3</f>
        <v/>
      </c>
      <c r="J348" s="21">
        <f>ROUND(I348 * IF('Dashboard'!$C$6&lt;=1, 2250, IF('Dashboard'!$C$6&lt;=4, 5150, 6000)), 0)</f>
        <v/>
      </c>
      <c r="K348" s="30" t="n">
        <v>0.9518906050943107</v>
      </c>
      <c r="L348" s="30" t="n">
        <v>0.04169660451397377</v>
      </c>
      <c r="M348" s="30" t="n">
        <v>0.006412790391715545</v>
      </c>
      <c r="N348" s="31">
        <f>ABS(E348-$F$6)</f>
        <v/>
      </c>
      <c r="O348" s="31">
        <f>ABS(E348-$F$7)</f>
        <v/>
      </c>
      <c r="P348" s="31">
        <f>ABS(E348-$F$8)</f>
        <v/>
      </c>
      <c r="Q348" s="14">
        <f>IF(K348&gt;=MAX(L348,M348), "Hemat", IF(L348&gt;=M348, "Balanced", "Premium"))</f>
        <v/>
      </c>
      <c r="R348" s="30" t="n">
        <v>0.9518906082621517</v>
      </c>
      <c r="S348" s="30" t="n">
        <v>0.04169660246361195</v>
      </c>
      <c r="T348" s="30" t="n">
        <v>0.006412789274236485</v>
      </c>
      <c r="U348" s="31">
        <f>ABS(E348-$G$6)</f>
        <v/>
      </c>
      <c r="V348" s="31">
        <f>ABS(E348-$G$7)</f>
        <v/>
      </c>
      <c r="W348" s="31">
        <f>ABS(E348-$G$8)</f>
        <v/>
      </c>
      <c r="X348" s="14">
        <f>IF(R348&gt;=MAX(S348,T348), "Hemat", IF(S348&gt;=T348, "Balanced", "Premium"))</f>
        <v/>
      </c>
    </row>
    <row r="349">
      <c r="A349" s="14" t="n">
        <v>338</v>
      </c>
      <c r="B349" s="7" t="inlineStr">
        <is>
          <t>Bakso Pak Dam</t>
        </is>
      </c>
      <c r="C349" s="26" t="n">
        <v>-8.064280500000001</v>
      </c>
      <c r="D349" s="26" t="n">
        <v>112.6124183</v>
      </c>
      <c r="E349" s="21" t="n">
        <v>10000</v>
      </c>
      <c r="F349" s="27" t="n">
        <v>4.7</v>
      </c>
      <c r="G349" s="28" t="n">
        <v>115</v>
      </c>
      <c r="H349" s="14" t="inlineStr">
        <is>
          <t>Wisata Umum</t>
        </is>
      </c>
      <c r="I349" s="29">
        <f>6371 * 2 * ASIN(SQRT(SIN(RADIANS((C349) - INDEX('Dataset_Wisata'!$C$12:$C$622, MATCH('Dashboard'!$C$9, 'Dataset_Wisata'!$A$12:$A$622, 0)))/2)^2 + COS(RADIANS(INDEX('Dataset_Wisata'!$C$12:$C$622, MATCH('Dashboard'!$C$9, 'Dataset_Wisata'!$A$12:$A$622, 0)))) * COS(RADIANS(C349)) * SIN(RADIANS((D349) - INDEX('Dataset_Wisata'!$D$12:$D$622, MATCH('Dashboard'!$C$9, 'Dataset_Wisata'!$A$12:$A$622, 0)))/2)^2)) * 1.3</f>
        <v/>
      </c>
      <c r="J349" s="21">
        <f>ROUND(I349 * IF('Dashboard'!$C$6&lt;=1, 2250, IF('Dashboard'!$C$6&lt;=4, 5150, 6000)), 0)</f>
        <v/>
      </c>
      <c r="K349" s="30" t="n">
        <v>0.9518906050943107</v>
      </c>
      <c r="L349" s="30" t="n">
        <v>0.04169660451397377</v>
      </c>
      <c r="M349" s="30" t="n">
        <v>0.006412790391715545</v>
      </c>
      <c r="N349" s="31">
        <f>ABS(E349-$F$6)</f>
        <v/>
      </c>
      <c r="O349" s="31">
        <f>ABS(E349-$F$7)</f>
        <v/>
      </c>
      <c r="P349" s="31">
        <f>ABS(E349-$F$8)</f>
        <v/>
      </c>
      <c r="Q349" s="14">
        <f>IF(K349&gt;=MAX(L349,M349), "Hemat", IF(L349&gt;=M349, "Balanced", "Premium"))</f>
        <v/>
      </c>
      <c r="R349" s="30" t="n">
        <v>0.9518906082621517</v>
      </c>
      <c r="S349" s="30" t="n">
        <v>0.04169660246361195</v>
      </c>
      <c r="T349" s="30" t="n">
        <v>0.006412789274236485</v>
      </c>
      <c r="U349" s="31">
        <f>ABS(E349-$G$6)</f>
        <v/>
      </c>
      <c r="V349" s="31">
        <f>ABS(E349-$G$7)</f>
        <v/>
      </c>
      <c r="W349" s="31">
        <f>ABS(E349-$G$8)</f>
        <v/>
      </c>
      <c r="X349" s="14">
        <f>IF(R349&gt;=MAX(S349,T349), "Hemat", IF(S349&gt;=T349, "Balanced", "Premium"))</f>
        <v/>
      </c>
    </row>
    <row r="350">
      <c r="A350" s="14" t="n">
        <v>339</v>
      </c>
      <c r="B350" s="7" t="inlineStr">
        <is>
          <t>Happy Durian - Durian Coffee and Eatery</t>
        </is>
      </c>
      <c r="C350" s="26" t="n">
        <v>-8.064947200000001</v>
      </c>
      <c r="D350" s="26" t="n">
        <v>112.617872</v>
      </c>
      <c r="E350" s="21" t="n">
        <v>40000</v>
      </c>
      <c r="F350" s="27" t="n">
        <v>4.4</v>
      </c>
      <c r="G350" s="28" t="n">
        <v>3198</v>
      </c>
      <c r="H350" s="14" t="inlineStr">
        <is>
          <t>Restoran · Jl. Cerme No.1</t>
        </is>
      </c>
      <c r="I350" s="29">
        <f>6371 * 2 * ASIN(SQRT(SIN(RADIANS((C350) - INDEX('Dataset_Wisata'!$C$12:$C$622, MATCH('Dashboard'!$C$9, 'Dataset_Wisata'!$A$12:$A$622, 0)))/2)^2 + COS(RADIANS(INDEX('Dataset_Wisata'!$C$12:$C$622, MATCH('Dashboard'!$C$9, 'Dataset_Wisata'!$A$12:$A$622, 0)))) * COS(RADIANS(C350)) * SIN(RADIANS((D350) - INDEX('Dataset_Wisata'!$D$12:$D$622, MATCH('Dashboard'!$C$9, 'Dataset_Wisata'!$A$12:$A$622, 0)))/2)^2)) * 1.3</f>
        <v/>
      </c>
      <c r="J350" s="21">
        <f>ROUND(I350 * IF('Dashboard'!$C$6&lt;=1, 2250, IF('Dashboard'!$C$6&lt;=4, 5150, 6000)), 0)</f>
        <v/>
      </c>
      <c r="K350" s="30" t="n">
        <v>0.0776795469859529</v>
      </c>
      <c r="L350" s="30" t="n">
        <v>0.2601098675212827</v>
      </c>
      <c r="M350" s="30" t="n">
        <v>0.6622105854927643</v>
      </c>
      <c r="N350" s="31">
        <f>ABS(E350-$F$6)</f>
        <v/>
      </c>
      <c r="O350" s="31">
        <f>ABS(E350-$F$7)</f>
        <v/>
      </c>
      <c r="P350" s="31">
        <f>ABS(E350-$F$8)</f>
        <v/>
      </c>
      <c r="Q350" s="14">
        <f>IF(K350&gt;=MAX(L350,M350), "Hemat", IF(L350&gt;=M350, "Balanced", "Premium"))</f>
        <v/>
      </c>
      <c r="R350" s="30" t="n">
        <v>0.07767950163279673</v>
      </c>
      <c r="S350" s="30" t="n">
        <v>0.2601096327813378</v>
      </c>
      <c r="T350" s="30" t="n">
        <v>0.6622108655858654</v>
      </c>
      <c r="U350" s="31">
        <f>ABS(E350-$G$6)</f>
        <v/>
      </c>
      <c r="V350" s="31">
        <f>ABS(E350-$G$7)</f>
        <v/>
      </c>
      <c r="W350" s="31">
        <f>ABS(E350-$G$8)</f>
        <v/>
      </c>
      <c r="X350" s="14">
        <f>IF(R350&gt;=MAX(S350,T350), "Hemat", IF(S350&gt;=T350, "Balanced", "Premium"))</f>
        <v/>
      </c>
    </row>
    <row r="351">
      <c r="A351" s="14" t="n">
        <v>340</v>
      </c>
      <c r="B351" s="7" t="inlineStr">
        <is>
          <t>Bakso Solo Cabang Kepanjen</t>
        </is>
      </c>
      <c r="C351" s="26" t="n">
        <v>-8.052349400000001</v>
      </c>
      <c r="D351" s="26" t="n">
        <v>112.6272338</v>
      </c>
      <c r="E351" s="21" t="n">
        <v>6000</v>
      </c>
      <c r="F351" s="27" t="n">
        <v>4.5</v>
      </c>
      <c r="G351" s="28" t="n">
        <v>247</v>
      </c>
      <c r="H351" s="14" t="inlineStr">
        <is>
          <t>Wisata Umum</t>
        </is>
      </c>
      <c r="I351" s="29">
        <f>6371 * 2 * ASIN(SQRT(SIN(RADIANS((C351) - INDEX('Dataset_Wisata'!$C$12:$C$622, MATCH('Dashboard'!$C$9, 'Dataset_Wisata'!$A$12:$A$622, 0)))/2)^2 + COS(RADIANS(INDEX('Dataset_Wisata'!$C$12:$C$622, MATCH('Dashboard'!$C$9, 'Dataset_Wisata'!$A$12:$A$622, 0)))) * COS(RADIANS(C351)) * SIN(RADIANS((D351) - INDEX('Dataset_Wisata'!$D$12:$D$622, MATCH('Dashboard'!$C$9, 'Dataset_Wisata'!$A$12:$A$622, 0)))/2)^2)) * 1.3</f>
        <v/>
      </c>
      <c r="J351" s="21">
        <f>ROUND(I351 * IF('Dashboard'!$C$6&lt;=1, 2250, IF('Dashboard'!$C$6&lt;=4, 5150, 6000)), 0)</f>
        <v/>
      </c>
      <c r="K351" s="30" t="n">
        <v>0.8570515062724777</v>
      </c>
      <c r="L351" s="30" t="n">
        <v>0.11901089820045</v>
      </c>
      <c r="M351" s="30" t="n">
        <v>0.02393759552707219</v>
      </c>
      <c r="N351" s="31">
        <f>ABS(E351-$F$6)</f>
        <v/>
      </c>
      <c r="O351" s="31">
        <f>ABS(E351-$F$7)</f>
        <v/>
      </c>
      <c r="P351" s="31">
        <f>ABS(E351-$F$8)</f>
        <v/>
      </c>
      <c r="Q351" s="14">
        <f>IF(K351&gt;=MAX(L351,M351), "Hemat", IF(L351&gt;=M351, "Balanced", "Premium"))</f>
        <v/>
      </c>
      <c r="R351" s="30" t="n">
        <v>0.8570514957556834</v>
      </c>
      <c r="S351" s="30" t="n">
        <v>0.1190109084243033</v>
      </c>
      <c r="T351" s="30" t="n">
        <v>0.02393759582001326</v>
      </c>
      <c r="U351" s="31">
        <f>ABS(E351-$G$6)</f>
        <v/>
      </c>
      <c r="V351" s="31">
        <f>ABS(E351-$G$7)</f>
        <v/>
      </c>
      <c r="W351" s="31">
        <f>ABS(E351-$G$8)</f>
        <v/>
      </c>
      <c r="X351" s="14">
        <f>IF(R351&gt;=MAX(S351,T351), "Hemat", IF(S351&gt;=T351, "Balanced", "Premium"))</f>
        <v/>
      </c>
    </row>
    <row r="352">
      <c r="A352" s="14" t="n">
        <v>341</v>
      </c>
      <c r="B352" s="7" t="inlineStr">
        <is>
          <t>Depot pecel sukun cabang sukun depan pom</t>
        </is>
      </c>
      <c r="C352" s="26" t="n">
        <v>-8.0192608</v>
      </c>
      <c r="D352" s="26" t="n">
        <v>112.6186284</v>
      </c>
      <c r="E352" s="21" t="n">
        <v>24900</v>
      </c>
      <c r="F352" s="27" t="n">
        <v>4.4</v>
      </c>
      <c r="G352" s="28" t="n">
        <v>619</v>
      </c>
      <c r="H352" s="14" t="inlineStr">
        <is>
          <t>Restoran · </t>
        </is>
      </c>
      <c r="I352" s="29">
        <f>6371 * 2 * ASIN(SQRT(SIN(RADIANS((C352) - INDEX('Dataset_Wisata'!$C$12:$C$622, MATCH('Dashboard'!$C$9, 'Dataset_Wisata'!$A$12:$A$622, 0)))/2)^2 + COS(RADIANS(INDEX('Dataset_Wisata'!$C$12:$C$622, MATCH('Dashboard'!$C$9, 'Dataset_Wisata'!$A$12:$A$622, 0)))) * COS(RADIANS(C352)) * SIN(RADIANS((D352) - INDEX('Dataset_Wisata'!$D$12:$D$622, MATCH('Dashboard'!$C$9, 'Dataset_Wisata'!$A$12:$A$622, 0)))/2)^2)) * 1.3</f>
        <v/>
      </c>
      <c r="J352" s="21">
        <f>ROUND(I352 * IF('Dashboard'!$C$6&lt;=1, 2250, IF('Dashboard'!$C$6&lt;=4, 5150, 6000)), 0)</f>
        <v/>
      </c>
      <c r="K352" s="30" t="n">
        <v>0.001564944769219099</v>
      </c>
      <c r="L352" s="30" t="n">
        <v>0.9980724259030516</v>
      </c>
      <c r="M352" s="30" t="n">
        <v>0.0003626293277293506</v>
      </c>
      <c r="N352" s="31">
        <f>ABS(E352-$F$6)</f>
        <v/>
      </c>
      <c r="O352" s="31">
        <f>ABS(E352-$F$7)</f>
        <v/>
      </c>
      <c r="P352" s="31">
        <f>ABS(E352-$F$8)</f>
        <v/>
      </c>
      <c r="Q352" s="14">
        <f>IF(K352&gt;=MAX(L352,M352), "Hemat", IF(L352&gt;=M352, "Balanced", "Premium"))</f>
        <v/>
      </c>
      <c r="R352" s="30" t="n">
        <v>0.00156492646773749</v>
      </c>
      <c r="S352" s="30" t="n">
        <v>0.9980724482738718</v>
      </c>
      <c r="T352" s="30" t="n">
        <v>0.000362625258390804</v>
      </c>
      <c r="U352" s="31">
        <f>ABS(E352-$G$6)</f>
        <v/>
      </c>
      <c r="V352" s="31">
        <f>ABS(E352-$G$7)</f>
        <v/>
      </c>
      <c r="W352" s="31">
        <f>ABS(E352-$G$8)</f>
        <v/>
      </c>
      <c r="X352" s="14">
        <f>IF(R352&gt;=MAX(S352,T352), "Hemat", IF(S352&gt;=T352, "Balanced", "Premium"))</f>
        <v/>
      </c>
    </row>
    <row r="353">
      <c r="A353" s="14" t="n">
        <v>342</v>
      </c>
      <c r="B353" s="7" t="inlineStr">
        <is>
          <t>Warung Sari Rasa "Cak Nyun"</t>
        </is>
      </c>
      <c r="C353" s="26" t="n">
        <v>-8.0366765</v>
      </c>
      <c r="D353" s="26" t="n">
        <v>112.6269226</v>
      </c>
      <c r="E353" s="21" t="n">
        <v>9000</v>
      </c>
      <c r="F353" s="27" t="n">
        <v>4.6</v>
      </c>
      <c r="G353" s="28" t="n">
        <v>24</v>
      </c>
      <c r="H353" s="14" t="inlineStr">
        <is>
          <t>Warung Sari Rasa "Cak Nyun"</t>
        </is>
      </c>
      <c r="I353" s="29">
        <f>6371 * 2 * ASIN(SQRT(SIN(RADIANS((C353) - INDEX('Dataset_Wisata'!$C$12:$C$622, MATCH('Dashboard'!$C$9, 'Dataset_Wisata'!$A$12:$A$622, 0)))/2)^2 + COS(RADIANS(INDEX('Dataset_Wisata'!$C$12:$C$622, MATCH('Dashboard'!$C$9, 'Dataset_Wisata'!$A$12:$A$622, 0)))) * COS(RADIANS(C353)) * SIN(RADIANS((D353) - INDEX('Dataset_Wisata'!$D$12:$D$622, MATCH('Dashboard'!$C$9, 'Dataset_Wisata'!$A$12:$A$622, 0)))/2)^2)) * 1.3</f>
        <v/>
      </c>
      <c r="J353" s="21">
        <f>ROUND(I353 * IF('Dashboard'!$C$6&lt;=1, 2250, IF('Dashboard'!$C$6&lt;=4, 5150, 6000)), 0)</f>
        <v/>
      </c>
      <c r="K353" s="30" t="n">
        <v>0.928180477824419</v>
      </c>
      <c r="L353" s="30" t="n">
        <v>0.06160046714170742</v>
      </c>
      <c r="M353" s="30" t="n">
        <v>0.01021905503387346</v>
      </c>
      <c r="N353" s="31">
        <f>ABS(E353-$F$6)</f>
        <v/>
      </c>
      <c r="O353" s="31">
        <f>ABS(E353-$F$7)</f>
        <v/>
      </c>
      <c r="P353" s="31">
        <f>ABS(E353-$F$8)</f>
        <v/>
      </c>
      <c r="Q353" s="14">
        <f>IF(K353&gt;=MAX(L353,M353), "Hemat", IF(L353&gt;=M353, "Balanced", "Premium"))</f>
        <v/>
      </c>
      <c r="R353" s="30" t="n">
        <v>0.9281804774269427</v>
      </c>
      <c r="S353" s="30" t="n">
        <v>0.06160046844072192</v>
      </c>
      <c r="T353" s="30" t="n">
        <v>0.01021905413233554</v>
      </c>
      <c r="U353" s="31">
        <f>ABS(E353-$G$6)</f>
        <v/>
      </c>
      <c r="V353" s="31">
        <f>ABS(E353-$G$7)</f>
        <v/>
      </c>
      <c r="W353" s="31">
        <f>ABS(E353-$G$8)</f>
        <v/>
      </c>
      <c r="X353" s="14">
        <f>IF(R353&gt;=MAX(S353,T353), "Hemat", IF(S353&gt;=T353, "Balanced", "Premium"))</f>
        <v/>
      </c>
    </row>
    <row r="354">
      <c r="A354" s="14" t="n">
        <v>343</v>
      </c>
      <c r="B354" s="7" t="inlineStr">
        <is>
          <t>Warung Pondok Damai</t>
        </is>
      </c>
      <c r="C354" s="26" t="n">
        <v>-8.0109548</v>
      </c>
      <c r="D354" s="26" t="n">
        <v>112.6114156</v>
      </c>
      <c r="E354" s="21" t="n">
        <v>17500</v>
      </c>
      <c r="F354" s="27" t="n">
        <v>4.5</v>
      </c>
      <c r="G354" s="28" t="n">
        <v>1234</v>
      </c>
      <c r="H354" s="14" t="inlineStr">
        <is>
          <t>Warung Pondok Damai</t>
        </is>
      </c>
      <c r="I354" s="29">
        <f>6371 * 2 * ASIN(SQRT(SIN(RADIANS((C354) - INDEX('Dataset_Wisata'!$C$12:$C$622, MATCH('Dashboard'!$C$9, 'Dataset_Wisata'!$A$12:$A$622, 0)))/2)^2 + COS(RADIANS(INDEX('Dataset_Wisata'!$C$12:$C$622, MATCH('Dashboard'!$C$9, 'Dataset_Wisata'!$A$12:$A$622, 0)))) * COS(RADIANS(C354)) * SIN(RADIANS((D354) - INDEX('Dataset_Wisata'!$D$12:$D$622, MATCH('Dashboard'!$C$9, 'Dataset_Wisata'!$A$12:$A$622, 0)))/2)^2)) * 1.3</f>
        <v/>
      </c>
      <c r="J354" s="21">
        <f>ROUND(I354 * IF('Dashboard'!$C$6&lt;=1, 2250, IF('Dashboard'!$C$6&lt;=4, 5150, 6000)), 0)</f>
        <v/>
      </c>
      <c r="K354" s="30" t="n">
        <v>0.7603071924879298</v>
      </c>
      <c r="L354" s="30" t="n">
        <v>0.2257795038870261</v>
      </c>
      <c r="M354" s="30" t="n">
        <v>0.0139133036250441</v>
      </c>
      <c r="N354" s="31">
        <f>ABS(E354-$F$6)</f>
        <v/>
      </c>
      <c r="O354" s="31">
        <f>ABS(E354-$F$7)</f>
        <v/>
      </c>
      <c r="P354" s="31">
        <f>ABS(E354-$F$8)</f>
        <v/>
      </c>
      <c r="Q354" s="14">
        <f>IF(K354&gt;=MAX(L354,M354), "Hemat", IF(L354&gt;=M354, "Balanced", "Premium"))</f>
        <v/>
      </c>
      <c r="R354" s="30" t="n">
        <v>0.7603070173234607</v>
      </c>
      <c r="S354" s="30" t="n">
        <v>0.2257796741964144</v>
      </c>
      <c r="T354" s="30" t="n">
        <v>0.01391330848012476</v>
      </c>
      <c r="U354" s="31">
        <f>ABS(E354-$G$6)</f>
        <v/>
      </c>
      <c r="V354" s="31">
        <f>ABS(E354-$G$7)</f>
        <v/>
      </c>
      <c r="W354" s="31">
        <f>ABS(E354-$G$8)</f>
        <v/>
      </c>
      <c r="X354" s="14">
        <f>IF(R354&gt;=MAX(S354,T354), "Hemat", IF(S354&gt;=T354, "Balanced", "Premium"))</f>
        <v/>
      </c>
    </row>
    <row r="355">
      <c r="A355" s="14" t="n">
        <v>344</v>
      </c>
      <c r="B355" s="7" t="inlineStr">
        <is>
          <t>Warung IJO KBA</t>
        </is>
      </c>
      <c r="C355" s="26" t="n">
        <v>-8.0313172</v>
      </c>
      <c r="D355" s="26" t="n">
        <v>112.613942</v>
      </c>
      <c r="E355" s="21" t="n">
        <v>10000</v>
      </c>
      <c r="F355" s="27" t="n">
        <v>4.3</v>
      </c>
      <c r="G355" s="28" t="n">
        <v>27</v>
      </c>
      <c r="H355" s="14" t="inlineStr">
        <is>
          <t>Warung IJO KBA</t>
        </is>
      </c>
      <c r="I355" s="29">
        <f>6371 * 2 * ASIN(SQRT(SIN(RADIANS((C355) - INDEX('Dataset_Wisata'!$C$12:$C$622, MATCH('Dashboard'!$C$9, 'Dataset_Wisata'!$A$12:$A$622, 0)))/2)^2 + COS(RADIANS(INDEX('Dataset_Wisata'!$C$12:$C$622, MATCH('Dashboard'!$C$9, 'Dataset_Wisata'!$A$12:$A$622, 0)))) * COS(RADIANS(C355)) * SIN(RADIANS((D355) - INDEX('Dataset_Wisata'!$D$12:$D$622, MATCH('Dashboard'!$C$9, 'Dataset_Wisata'!$A$12:$A$622, 0)))/2)^2)) * 1.3</f>
        <v/>
      </c>
      <c r="J355" s="21">
        <f>ROUND(I355 * IF('Dashboard'!$C$6&lt;=1, 2250, IF('Dashboard'!$C$6&lt;=4, 5150, 6000)), 0)</f>
        <v/>
      </c>
      <c r="K355" s="30" t="n">
        <v>0.9518906050943107</v>
      </c>
      <c r="L355" s="30" t="n">
        <v>0.04169660451397377</v>
      </c>
      <c r="M355" s="30" t="n">
        <v>0.006412790391715545</v>
      </c>
      <c r="N355" s="31">
        <f>ABS(E355-$F$6)</f>
        <v/>
      </c>
      <c r="O355" s="31">
        <f>ABS(E355-$F$7)</f>
        <v/>
      </c>
      <c r="P355" s="31">
        <f>ABS(E355-$F$8)</f>
        <v/>
      </c>
      <c r="Q355" s="14">
        <f>IF(K355&gt;=MAX(L355,M355), "Hemat", IF(L355&gt;=M355, "Balanced", "Premium"))</f>
        <v/>
      </c>
      <c r="R355" s="30" t="n">
        <v>0.9518906082621517</v>
      </c>
      <c r="S355" s="30" t="n">
        <v>0.04169660246361195</v>
      </c>
      <c r="T355" s="30" t="n">
        <v>0.006412789274236485</v>
      </c>
      <c r="U355" s="31">
        <f>ABS(E355-$G$6)</f>
        <v/>
      </c>
      <c r="V355" s="31">
        <f>ABS(E355-$G$7)</f>
        <v/>
      </c>
      <c r="W355" s="31">
        <f>ABS(E355-$G$8)</f>
        <v/>
      </c>
      <c r="X355" s="14">
        <f>IF(R355&gt;=MAX(S355,T355), "Hemat", IF(S355&gt;=T355, "Balanced", "Premium"))</f>
        <v/>
      </c>
    </row>
    <row r="356">
      <c r="A356" s="14" t="n">
        <v>345</v>
      </c>
      <c r="B356" s="7" t="inlineStr">
        <is>
          <t>Restoran Indogrosir Malang</t>
        </is>
      </c>
      <c r="C356" s="26" t="n">
        <v>-8.019429499999999</v>
      </c>
      <c r="D356" s="26" t="n">
        <v>112.618686</v>
      </c>
      <c r="E356" s="21" t="n">
        <v>13000</v>
      </c>
      <c r="F356" s="27" t="n">
        <v>4.4</v>
      </c>
      <c r="G356" s="28" t="n">
        <v>1442</v>
      </c>
      <c r="H356" s="14" t="inlineStr">
        <is>
          <t>Restoran Indogrosir Malang</t>
        </is>
      </c>
      <c r="I356" s="29">
        <f>6371 * 2 * ASIN(SQRT(SIN(RADIANS((C356) - INDEX('Dataset_Wisata'!$C$12:$C$622, MATCH('Dashboard'!$C$9, 'Dataset_Wisata'!$A$12:$A$622, 0)))/2)^2 + COS(RADIANS(INDEX('Dataset_Wisata'!$C$12:$C$622, MATCH('Dashboard'!$C$9, 'Dataset_Wisata'!$A$12:$A$622, 0)))) * COS(RADIANS(C356)) * SIN(RADIANS((D356) - INDEX('Dataset_Wisata'!$D$12:$D$622, MATCH('Dashboard'!$C$9, 'Dataset_Wisata'!$A$12:$A$622, 0)))/2)^2)) * 1.3</f>
        <v/>
      </c>
      <c r="J356" s="21">
        <f>ROUND(I356 * IF('Dashboard'!$C$6&lt;=1, 2250, IF('Dashboard'!$C$6&lt;=4, 5150, 6000)), 0)</f>
        <v/>
      </c>
      <c r="K356" s="30" t="n">
        <v>0.9996613401455278</v>
      </c>
      <c r="L356" s="30" t="n">
        <v>0.0003032413982241428</v>
      </c>
      <c r="M356" s="30" t="n">
        <v>3.541845624800055e-05</v>
      </c>
      <c r="N356" s="31">
        <f>ABS(E356-$F$6)</f>
        <v/>
      </c>
      <c r="O356" s="31">
        <f>ABS(E356-$F$7)</f>
        <v/>
      </c>
      <c r="P356" s="31">
        <f>ABS(E356-$F$8)</f>
        <v/>
      </c>
      <c r="Q356" s="14">
        <f>IF(K356&gt;=MAX(L356,M356), "Hemat", IF(L356&gt;=M356, "Balanced", "Premium"))</f>
        <v/>
      </c>
      <c r="R356" s="30" t="n">
        <v>0.9996613420378273</v>
      </c>
      <c r="S356" s="30" t="n">
        <v>0.0003032397098959421</v>
      </c>
      <c r="T356" s="30" t="n">
        <v>3.541825227674828e-05</v>
      </c>
      <c r="U356" s="31">
        <f>ABS(E356-$G$6)</f>
        <v/>
      </c>
      <c r="V356" s="31">
        <f>ABS(E356-$G$7)</f>
        <v/>
      </c>
      <c r="W356" s="31">
        <f>ABS(E356-$G$8)</f>
        <v/>
      </c>
      <c r="X356" s="14">
        <f>IF(R356&gt;=MAX(S356,T356), "Hemat", IF(S356&gt;=T356, "Balanced", "Premium"))</f>
        <v/>
      </c>
    </row>
    <row r="357">
      <c r="A357" s="14" t="n">
        <v>346</v>
      </c>
      <c r="B357" s="7" t="inlineStr">
        <is>
          <t>Joglo Taman Desa</t>
        </is>
      </c>
      <c r="C357" s="26" t="n">
        <v>-8.013529999999999</v>
      </c>
      <c r="D357" s="26" t="n">
        <v>112.6119413</v>
      </c>
      <c r="E357" s="21" t="n">
        <v>30000</v>
      </c>
      <c r="F357" s="27" t="n">
        <v>4.8</v>
      </c>
      <c r="G357" s="28" t="n">
        <v>2218</v>
      </c>
      <c r="H357" s="14" t="inlineStr">
        <is>
          <t>Joglo Taman Desa</t>
        </is>
      </c>
      <c r="I357" s="29">
        <f>6371 * 2 * ASIN(SQRT(SIN(RADIANS((C357) - INDEX('Dataset_Wisata'!$C$12:$C$622, MATCH('Dashboard'!$C$9, 'Dataset_Wisata'!$A$12:$A$622, 0)))/2)^2 + COS(RADIANS(INDEX('Dataset_Wisata'!$C$12:$C$622, MATCH('Dashboard'!$C$9, 'Dataset_Wisata'!$A$12:$A$622, 0)))) * COS(RADIANS(C357)) * SIN(RADIANS((D357) - INDEX('Dataset_Wisata'!$D$12:$D$622, MATCH('Dashboard'!$C$9, 'Dataset_Wisata'!$A$12:$A$622, 0)))/2)^2)) * 1.3</f>
        <v/>
      </c>
      <c r="J357" s="21">
        <f>ROUND(I357 * IF('Dashboard'!$C$6&lt;=1, 2250, IF('Dashboard'!$C$6&lt;=4, 5150, 6000)), 0)</f>
        <v/>
      </c>
      <c r="K357" s="30" t="n">
        <v>0.06726312231076584</v>
      </c>
      <c r="L357" s="30" t="n">
        <v>0.8811909885629753</v>
      </c>
      <c r="M357" s="30" t="n">
        <v>0.05154588912625897</v>
      </c>
      <c r="N357" s="31">
        <f>ABS(E357-$F$6)</f>
        <v/>
      </c>
      <c r="O357" s="31">
        <f>ABS(E357-$F$7)</f>
        <v/>
      </c>
      <c r="P357" s="31">
        <f>ABS(E357-$F$8)</f>
        <v/>
      </c>
      <c r="Q357" s="14">
        <f>IF(K357&gt;=MAX(L357,M357), "Hemat", IF(L357&gt;=M357, "Balanced", "Premium"))</f>
        <v/>
      </c>
      <c r="R357" s="30" t="n">
        <v>0.06726318452674353</v>
      </c>
      <c r="S357" s="30" t="n">
        <v>0.8811908510588695</v>
      </c>
      <c r="T357" s="30" t="n">
        <v>0.05154596441438693</v>
      </c>
      <c r="U357" s="31">
        <f>ABS(E357-$G$6)</f>
        <v/>
      </c>
      <c r="V357" s="31">
        <f>ABS(E357-$G$7)</f>
        <v/>
      </c>
      <c r="W357" s="31">
        <f>ABS(E357-$G$8)</f>
        <v/>
      </c>
      <c r="X357" s="14">
        <f>IF(R357&gt;=MAX(S357,T357), "Hemat", IF(S357&gt;=T357, "Balanced", "Premium"))</f>
        <v/>
      </c>
    </row>
    <row r="358">
      <c r="A358" s="14" t="n">
        <v>347</v>
      </c>
      <c r="B358" s="7" t="inlineStr">
        <is>
          <t>BEBEK MLONGSENG</t>
        </is>
      </c>
      <c r="C358" s="26" t="n">
        <v>-7.988731</v>
      </c>
      <c r="D358" s="26" t="n">
        <v>112.5927555</v>
      </c>
      <c r="E358" s="21" t="n">
        <v>12000</v>
      </c>
      <c r="F358" s="27" t="n">
        <v>4.7</v>
      </c>
      <c r="G358" s="28" t="n">
        <v>35</v>
      </c>
      <c r="H358" s="14" t="inlineStr">
        <is>
          <t>Wisata Umum</t>
        </is>
      </c>
      <c r="I358" s="29">
        <f>6371 * 2 * ASIN(SQRT(SIN(RADIANS((C358) - INDEX('Dataset_Wisata'!$C$12:$C$622, MATCH('Dashboard'!$C$9, 'Dataset_Wisata'!$A$12:$A$622, 0)))/2)^2 + COS(RADIANS(INDEX('Dataset_Wisata'!$C$12:$C$622, MATCH('Dashboard'!$C$9, 'Dataset_Wisata'!$A$12:$A$622, 0)))) * COS(RADIANS(C358)) * SIN(RADIANS((D358) - INDEX('Dataset_Wisata'!$D$12:$D$622, MATCH('Dashboard'!$C$9, 'Dataset_Wisata'!$A$12:$A$622, 0)))/2)^2)) * 1.3</f>
        <v/>
      </c>
      <c r="J358" s="21">
        <f>ROUND(I358 * IF('Dashboard'!$C$6&lt;=1, 2250, IF('Dashboard'!$C$6&lt;=4, 5150, 6000)), 0)</f>
        <v/>
      </c>
      <c r="K358" s="30" t="n">
        <v>0.9907459480940729</v>
      </c>
      <c r="L358" s="30" t="n">
        <v>0.008195110232283047</v>
      </c>
      <c r="M358" s="30" t="n">
        <v>0.001058941673643979</v>
      </c>
      <c r="N358" s="31">
        <f>ABS(E358-$F$6)</f>
        <v/>
      </c>
      <c r="O358" s="31">
        <f>ABS(E358-$F$7)</f>
        <v/>
      </c>
      <c r="P358" s="31">
        <f>ABS(E358-$F$8)</f>
        <v/>
      </c>
      <c r="Q358" s="14">
        <f>IF(K358&gt;=MAX(L358,M358), "Hemat", IF(L358&gt;=M358, "Balanced", "Premium"))</f>
        <v/>
      </c>
      <c r="R358" s="30" t="n">
        <v>0.9907459543354936</v>
      </c>
      <c r="S358" s="30" t="n">
        <v>0.008195104860105683</v>
      </c>
      <c r="T358" s="30" t="n">
        <v>0.0010589408044008</v>
      </c>
      <c r="U358" s="31">
        <f>ABS(E358-$G$6)</f>
        <v/>
      </c>
      <c r="V358" s="31">
        <f>ABS(E358-$G$7)</f>
        <v/>
      </c>
      <c r="W358" s="31">
        <f>ABS(E358-$G$8)</f>
        <v/>
      </c>
      <c r="X358" s="14">
        <f>IF(R358&gt;=MAX(S358,T358), "Hemat", IF(S358&gt;=T358, "Balanced", "Premium"))</f>
        <v/>
      </c>
    </row>
    <row r="359">
      <c r="A359" s="14" t="n">
        <v>348</v>
      </c>
      <c r="B359" s="7" t="inlineStr">
        <is>
          <t>Geprek Kak Rose - Sukun</t>
        </is>
      </c>
      <c r="C359" s="26" t="n">
        <v>-7.9968136</v>
      </c>
      <c r="D359" s="26" t="n">
        <v>112.6192235</v>
      </c>
      <c r="E359" s="21" t="n">
        <v>14750</v>
      </c>
      <c r="F359" s="27" t="n">
        <v>3.6</v>
      </c>
      <c r="G359" s="28" t="n">
        <v>653</v>
      </c>
      <c r="H359" s="14" t="inlineStr">
        <is>
          <t>Wisata Umum</t>
        </is>
      </c>
      <c r="I359" s="29">
        <f>6371 * 2 * ASIN(SQRT(SIN(RADIANS((C359) - INDEX('Dataset_Wisata'!$C$12:$C$622, MATCH('Dashboard'!$C$9, 'Dataset_Wisata'!$A$12:$A$622, 0)))/2)^2 + COS(RADIANS(INDEX('Dataset_Wisata'!$C$12:$C$622, MATCH('Dashboard'!$C$9, 'Dataset_Wisata'!$A$12:$A$622, 0)))) * COS(RADIANS(C359)) * SIN(RADIANS((D359) - INDEX('Dataset_Wisata'!$D$12:$D$622, MATCH('Dashboard'!$C$9, 'Dataset_Wisata'!$A$12:$A$622, 0)))/2)^2)) * 1.3</f>
        <v/>
      </c>
      <c r="J359" s="21">
        <f>ROUND(I359 * IF('Dashboard'!$C$6&lt;=1, 2250, IF('Dashboard'!$C$6&lt;=4, 5150, 6000)), 0)</f>
        <v/>
      </c>
      <c r="K359" s="30" t="n">
        <v>0.9776135099573253</v>
      </c>
      <c r="L359" s="30" t="n">
        <v>0.02044341177811903</v>
      </c>
      <c r="M359" s="30" t="n">
        <v>0.001943078264555642</v>
      </c>
      <c r="N359" s="31">
        <f>ABS(E359-$F$6)</f>
        <v/>
      </c>
      <c r="O359" s="31">
        <f>ABS(E359-$F$7)</f>
        <v/>
      </c>
      <c r="P359" s="31">
        <f>ABS(E359-$F$8)</f>
        <v/>
      </c>
      <c r="Q359" s="14">
        <f>IF(K359&gt;=MAX(L359,M359), "Hemat", IF(L359&gt;=M359, "Balanced", "Premium"))</f>
        <v/>
      </c>
      <c r="R359" s="30" t="n">
        <v>0.9776134809238519</v>
      </c>
      <c r="S359" s="30" t="n">
        <v>0.02044343873618453</v>
      </c>
      <c r="T359" s="30" t="n">
        <v>0.001943080339963507</v>
      </c>
      <c r="U359" s="31">
        <f>ABS(E359-$G$6)</f>
        <v/>
      </c>
      <c r="V359" s="31">
        <f>ABS(E359-$G$7)</f>
        <v/>
      </c>
      <c r="W359" s="31">
        <f>ABS(E359-$G$8)</f>
        <v/>
      </c>
      <c r="X359" s="14">
        <f>IF(R359&gt;=MAX(S359,T359), "Hemat", IF(S359&gt;=T359, "Balanced", "Premium"))</f>
        <v/>
      </c>
    </row>
    <row r="360">
      <c r="A360" s="14" t="n">
        <v>349</v>
      </c>
      <c r="B360" s="7" t="inlineStr">
        <is>
          <t>Ampera Talago Baru</t>
        </is>
      </c>
      <c r="C360" s="26" t="n">
        <v>-7.9838361</v>
      </c>
      <c r="D360" s="26" t="n">
        <v>112.6249735</v>
      </c>
      <c r="E360" s="21" t="n">
        <v>20000</v>
      </c>
      <c r="F360" s="27" t="n">
        <v>4.2</v>
      </c>
      <c r="G360" s="28" t="n">
        <v>341</v>
      </c>
      <c r="H360" s="14" t="inlineStr">
        <is>
          <t>Wisata Umum</t>
        </is>
      </c>
      <c r="I360" s="29">
        <f>6371 * 2 * ASIN(SQRT(SIN(RADIANS((C360) - INDEX('Dataset_Wisata'!$C$12:$C$622, MATCH('Dashboard'!$C$9, 'Dataset_Wisata'!$A$12:$A$622, 0)))/2)^2 + COS(RADIANS(INDEX('Dataset_Wisata'!$C$12:$C$622, MATCH('Dashboard'!$C$9, 'Dataset_Wisata'!$A$12:$A$622, 0)))) * COS(RADIANS(C360)) * SIN(RADIANS((D360) - INDEX('Dataset_Wisata'!$D$12:$D$622, MATCH('Dashboard'!$C$9, 'Dataset_Wisata'!$A$12:$A$622, 0)))/2)^2)) * 1.3</f>
        <v/>
      </c>
      <c r="J360" s="21">
        <f>ROUND(I360 * IF('Dashboard'!$C$6&lt;=1, 2250, IF('Dashboard'!$C$6&lt;=4, 5150, 6000)), 0)</f>
        <v/>
      </c>
      <c r="K360" s="30" t="n">
        <v>0.3766864462048385</v>
      </c>
      <c r="L360" s="30" t="n">
        <v>0.6029404273516955</v>
      </c>
      <c r="M360" s="30" t="n">
        <v>0.02037312644346593</v>
      </c>
      <c r="N360" s="31">
        <f>ABS(E360-$F$6)</f>
        <v/>
      </c>
      <c r="O360" s="31">
        <f>ABS(E360-$F$7)</f>
        <v/>
      </c>
      <c r="P360" s="31">
        <f>ABS(E360-$F$8)</f>
        <v/>
      </c>
      <c r="Q360" s="14">
        <f>IF(K360&gt;=MAX(L360,M360), "Hemat", IF(L360&gt;=M360, "Balanced", "Premium"))</f>
        <v/>
      </c>
      <c r="R360" s="30" t="n">
        <v>0.3766861717192874</v>
      </c>
      <c r="S360" s="30" t="n">
        <v>0.6029407066601674</v>
      </c>
      <c r="T360" s="30" t="n">
        <v>0.02037312162054524</v>
      </c>
      <c r="U360" s="31">
        <f>ABS(E360-$G$6)</f>
        <v/>
      </c>
      <c r="V360" s="31">
        <f>ABS(E360-$G$7)</f>
        <v/>
      </c>
      <c r="W360" s="31">
        <f>ABS(E360-$G$8)</f>
        <v/>
      </c>
      <c r="X360" s="14">
        <f>IF(R360&gt;=MAX(S360,T360), "Hemat", IF(S360&gt;=T360, "Balanced", "Premium"))</f>
        <v/>
      </c>
    </row>
    <row r="361">
      <c r="A361" s="14" t="n">
        <v>350</v>
      </c>
      <c r="B361" s="7" t="inlineStr">
        <is>
          <t>Depot Kurnia Ria Ning Sul</t>
        </is>
      </c>
      <c r="C361" s="26" t="n">
        <v>-7.9752241</v>
      </c>
      <c r="D361" s="26" t="n">
        <v>112.6369285</v>
      </c>
      <c r="E361" s="21" t="n">
        <v>37500</v>
      </c>
      <c r="F361" s="27" t="n">
        <v>4.5</v>
      </c>
      <c r="G361" s="28" t="n">
        <v>110</v>
      </c>
      <c r="H361" s="14" t="inlineStr">
        <is>
          <t>Wisata Umum</t>
        </is>
      </c>
      <c r="I361" s="29">
        <f>6371 * 2 * ASIN(SQRT(SIN(RADIANS((C361) - INDEX('Dataset_Wisata'!$C$12:$C$622, MATCH('Dashboard'!$C$9, 'Dataset_Wisata'!$A$12:$A$622, 0)))/2)^2 + COS(RADIANS(INDEX('Dataset_Wisata'!$C$12:$C$622, MATCH('Dashboard'!$C$9, 'Dataset_Wisata'!$A$12:$A$622, 0)))) * COS(RADIANS(C361)) * SIN(RADIANS((D361) - INDEX('Dataset_Wisata'!$D$12:$D$622, MATCH('Dashboard'!$C$9, 'Dataset_Wisata'!$A$12:$A$622, 0)))/2)^2)) * 1.3</f>
        <v/>
      </c>
      <c r="J361" s="21">
        <f>ROUND(I361 * IF('Dashboard'!$C$6&lt;=1, 2250, IF('Dashboard'!$C$6&lt;=4, 5150, 6000)), 0)</f>
        <v/>
      </c>
      <c r="K361" s="30" t="n">
        <v>0.1071700718704302</v>
      </c>
      <c r="L361" s="30" t="n">
        <v>0.429035381367849</v>
      </c>
      <c r="M361" s="30" t="n">
        <v>0.4637945467617208</v>
      </c>
      <c r="N361" s="31">
        <f>ABS(E361-$F$6)</f>
        <v/>
      </c>
      <c r="O361" s="31">
        <f>ABS(E361-$F$7)</f>
        <v/>
      </c>
      <c r="P361" s="31">
        <f>ABS(E361-$F$8)</f>
        <v/>
      </c>
      <c r="Q361" s="14">
        <f>IF(K361&gt;=MAX(L361,M361), "Hemat", IF(L361&gt;=M361, "Balanced", "Premium"))</f>
        <v/>
      </c>
      <c r="R361" s="30" t="n">
        <v>0.1071700496792662</v>
      </c>
      <c r="S361" s="30" t="n">
        <v>0.4290351255425581</v>
      </c>
      <c r="T361" s="30" t="n">
        <v>0.4637948247781756</v>
      </c>
      <c r="U361" s="31">
        <f>ABS(E361-$G$6)</f>
        <v/>
      </c>
      <c r="V361" s="31">
        <f>ABS(E361-$G$7)</f>
        <v/>
      </c>
      <c r="W361" s="31">
        <f>ABS(E361-$G$8)</f>
        <v/>
      </c>
      <c r="X361" s="14">
        <f>IF(R361&gt;=MAX(S361,T361), "Hemat", IF(S361&gt;=T361, "Balanced", "Premium"))</f>
        <v/>
      </c>
    </row>
    <row r="362">
      <c r="A362" s="14" t="n">
        <v>351</v>
      </c>
      <c r="B362" s="7" t="inlineStr">
        <is>
          <t>Depot "Janur Kuning"</t>
        </is>
      </c>
      <c r="C362" s="26" t="n">
        <v>-7.9505172</v>
      </c>
      <c r="D362" s="26" t="n">
        <v>112.6395865</v>
      </c>
      <c r="E362" s="21" t="n">
        <v>21500</v>
      </c>
      <c r="F362" s="27" t="n">
        <v>4.4</v>
      </c>
      <c r="G362" s="28" t="n">
        <v>1344</v>
      </c>
      <c r="H362" s="14" t="inlineStr">
        <is>
          <t>Wisata Umum</t>
        </is>
      </c>
      <c r="I362" s="29">
        <f>6371 * 2 * ASIN(SQRT(SIN(RADIANS((C362) - INDEX('Dataset_Wisata'!$C$12:$C$622, MATCH('Dashboard'!$C$9, 'Dataset_Wisata'!$A$12:$A$622, 0)))/2)^2 + COS(RADIANS(INDEX('Dataset_Wisata'!$C$12:$C$622, MATCH('Dashboard'!$C$9, 'Dataset_Wisata'!$A$12:$A$622, 0)))) * COS(RADIANS(C362)) * SIN(RADIANS((D362) - INDEX('Dataset_Wisata'!$D$12:$D$622, MATCH('Dashboard'!$C$9, 'Dataset_Wisata'!$A$12:$A$622, 0)))/2)^2)) * 1.3</f>
        <v/>
      </c>
      <c r="J362" s="21">
        <f>ROUND(I362 * IF('Dashboard'!$C$6&lt;=1, 2250, IF('Dashboard'!$C$6&lt;=4, 5150, 6000)), 0)</f>
        <v/>
      </c>
      <c r="K362" s="30" t="n">
        <v>0.175753577330791</v>
      </c>
      <c r="L362" s="30" t="n">
        <v>0.80849487551433</v>
      </c>
      <c r="M362" s="30" t="n">
        <v>0.015751547154879</v>
      </c>
      <c r="N362" s="31">
        <f>ABS(E362-$F$6)</f>
        <v/>
      </c>
      <c r="O362" s="31">
        <f>ABS(E362-$F$7)</f>
        <v/>
      </c>
      <c r="P362" s="31">
        <f>ABS(E362-$F$8)</f>
        <v/>
      </c>
      <c r="Q362" s="14">
        <f>IF(K362&gt;=MAX(L362,M362), "Hemat", IF(L362&gt;=M362, "Balanced", "Premium"))</f>
        <v/>
      </c>
      <c r="R362" s="30" t="n">
        <v>0.1757533562963015</v>
      </c>
      <c r="S362" s="30" t="n">
        <v>0.8084951088955854</v>
      </c>
      <c r="T362" s="30" t="n">
        <v>0.01575153480811302</v>
      </c>
      <c r="U362" s="31">
        <f>ABS(E362-$G$6)</f>
        <v/>
      </c>
      <c r="V362" s="31">
        <f>ABS(E362-$G$7)</f>
        <v/>
      </c>
      <c r="W362" s="31">
        <f>ABS(E362-$G$8)</f>
        <v/>
      </c>
      <c r="X362" s="14">
        <f>IF(R362&gt;=MAX(S362,T362), "Hemat", IF(S362&gt;=T362, "Balanced", "Premium"))</f>
        <v/>
      </c>
    </row>
    <row r="363">
      <c r="A363" s="14" t="n">
        <v>352</v>
      </c>
      <c r="B363" s="7" t="inlineStr">
        <is>
          <t>Depot Rujak Cingur Mentawai</t>
        </is>
      </c>
      <c r="C363" s="26" t="n">
        <v>-7.99121</v>
      </c>
      <c r="D363" s="26" t="n">
        <v>112.62703</v>
      </c>
      <c r="E363" s="21" t="n">
        <v>25000</v>
      </c>
      <c r="F363" s="27" t="n">
        <v>4.4</v>
      </c>
      <c r="G363" s="28" t="n">
        <v>194</v>
      </c>
      <c r="H363" s="14" t="inlineStr">
        <is>
          <t>Restoran · Jl. Mentawai No.56</t>
        </is>
      </c>
      <c r="I363" s="29">
        <f>6371 * 2 * ASIN(SQRT(SIN(RADIANS((C363) - INDEX('Dataset_Wisata'!$C$12:$C$622, MATCH('Dashboard'!$C$9, 'Dataset_Wisata'!$A$12:$A$622, 0)))/2)^2 + COS(RADIANS(INDEX('Dataset_Wisata'!$C$12:$C$622, MATCH('Dashboard'!$C$9, 'Dataset_Wisata'!$A$12:$A$622, 0)))) * COS(RADIANS(C363)) * SIN(RADIANS((D363) - INDEX('Dataset_Wisata'!$D$12:$D$622, MATCH('Dashboard'!$C$9, 'Dataset_Wisata'!$A$12:$A$622, 0)))/2)^2)) * 1.3</f>
        <v/>
      </c>
      <c r="J363" s="21">
        <f>ROUND(I363 * IF('Dashboard'!$C$6&lt;=1, 2250, IF('Dashboard'!$C$6&lt;=4, 5150, 6000)), 0)</f>
        <v/>
      </c>
      <c r="K363" s="30" t="n">
        <v>0.0009460509590550509</v>
      </c>
      <c r="L363" s="30" t="n">
        <v>0.9988291129147837</v>
      </c>
      <c r="M363" s="30" t="n">
        <v>0.0002248361261612175</v>
      </c>
      <c r="N363" s="31">
        <f>ABS(E363-$F$6)</f>
        <v/>
      </c>
      <c r="O363" s="31">
        <f>ABS(E363-$F$7)</f>
        <v/>
      </c>
      <c r="P363" s="31">
        <f>ABS(E363-$F$8)</f>
        <v/>
      </c>
      <c r="Q363" s="14">
        <f>IF(K363&gt;=MAX(L363,M363), "Hemat", IF(L363&gt;=M363, "Balanced", "Premium"))</f>
        <v/>
      </c>
      <c r="R363" s="30" t="n">
        <v>0.0009460368639408893</v>
      </c>
      <c r="S363" s="30" t="n">
        <v>0.998829130253259</v>
      </c>
      <c r="T363" s="30" t="n">
        <v>0.0002248328828000856</v>
      </c>
      <c r="U363" s="31">
        <f>ABS(E363-$G$6)</f>
        <v/>
      </c>
      <c r="V363" s="31">
        <f>ABS(E363-$G$7)</f>
        <v/>
      </c>
      <c r="W363" s="31">
        <f>ABS(E363-$G$8)</f>
        <v/>
      </c>
      <c r="X363" s="14">
        <f>IF(R363&gt;=MAX(S363,T363), "Hemat", IF(S363&gt;=T363, "Balanced", "Premium"))</f>
        <v/>
      </c>
    </row>
    <row r="364">
      <c r="A364" s="14" t="n">
        <v>353</v>
      </c>
      <c r="B364" s="7" t="inlineStr">
        <is>
          <t>Warung Orem-Orem H.Abdul Manan</t>
        </is>
      </c>
      <c r="C364" s="26" t="n">
        <v>-7.9913531</v>
      </c>
      <c r="D364" s="26" t="n">
        <v>112.6292272</v>
      </c>
      <c r="E364" s="21" t="n">
        <v>8000</v>
      </c>
      <c r="F364" s="27" t="n">
        <v>4.6</v>
      </c>
      <c r="G364" s="28" t="n">
        <v>98</v>
      </c>
      <c r="H364" s="14" t="inlineStr">
        <is>
          <t>Warung Orem-Orem H.Abdul Manan</t>
        </is>
      </c>
      <c r="I364" s="29">
        <f>6371 * 2 * ASIN(SQRT(SIN(RADIANS((C364) - INDEX('Dataset_Wisata'!$C$12:$C$622, MATCH('Dashboard'!$C$9, 'Dataset_Wisata'!$A$12:$A$622, 0)))/2)^2 + COS(RADIANS(INDEX('Dataset_Wisata'!$C$12:$C$622, MATCH('Dashboard'!$C$9, 'Dataset_Wisata'!$A$12:$A$622, 0)))) * COS(RADIANS(C364)) * SIN(RADIANS((D364) - INDEX('Dataset_Wisata'!$D$12:$D$622, MATCH('Dashboard'!$C$9, 'Dataset_Wisata'!$A$12:$A$622, 0)))/2)^2)) * 1.3</f>
        <v/>
      </c>
      <c r="J364" s="21">
        <f>ROUND(I364 * IF('Dashboard'!$C$6&lt;=1, 2250, IF('Dashboard'!$C$6&lt;=4, 5150, 6000)), 0)</f>
        <v/>
      </c>
      <c r="K364" s="30" t="n">
        <v>0.9039388019808103</v>
      </c>
      <c r="L364" s="30" t="n">
        <v>0.0815580567645619</v>
      </c>
      <c r="M364" s="30" t="n">
        <v>0.01450314125462772</v>
      </c>
      <c r="N364" s="31">
        <f>ABS(E364-$F$6)</f>
        <v/>
      </c>
      <c r="O364" s="31">
        <f>ABS(E364-$F$7)</f>
        <v/>
      </c>
      <c r="P364" s="31">
        <f>ABS(E364-$F$8)</f>
        <v/>
      </c>
      <c r="Q364" s="14">
        <f>IF(K364&gt;=MAX(L364,M364), "Hemat", IF(L364&gt;=M364, "Balanced", "Premium"))</f>
        <v/>
      </c>
      <c r="R364" s="30" t="n">
        <v>0.9039387979026794</v>
      </c>
      <c r="S364" s="30" t="n">
        <v>0.08155806140566645</v>
      </c>
      <c r="T364" s="30" t="n">
        <v>0.01450314069165419</v>
      </c>
      <c r="U364" s="31">
        <f>ABS(E364-$G$6)</f>
        <v/>
      </c>
      <c r="V364" s="31">
        <f>ABS(E364-$G$7)</f>
        <v/>
      </c>
      <c r="W364" s="31">
        <f>ABS(E364-$G$8)</f>
        <v/>
      </c>
      <c r="X364" s="14">
        <f>IF(R364&gt;=MAX(S364,T364), "Hemat", IF(S364&gt;=T364, "Balanced", "Premium"))</f>
        <v/>
      </c>
    </row>
    <row r="365">
      <c r="A365" s="14" t="n">
        <v>354</v>
      </c>
      <c r="B365" s="7" t="inlineStr">
        <is>
          <t>Warung Nasi Soto Gule Rawon Sawahan</t>
        </is>
      </c>
      <c r="C365" s="26" t="n">
        <v>-7.9858035</v>
      </c>
      <c r="D365" s="26" t="n">
        <v>112.626461</v>
      </c>
      <c r="E365" s="21" t="n">
        <v>19000</v>
      </c>
      <c r="F365" s="27" t="n">
        <v>4.6</v>
      </c>
      <c r="G365" s="28" t="n">
        <v>163</v>
      </c>
      <c r="H365" s="14" t="inlineStr">
        <is>
          <t>Wisata Umum</t>
        </is>
      </c>
      <c r="I365" s="29">
        <f>6371 * 2 * ASIN(SQRT(SIN(RADIANS((C365) - INDEX('Dataset_Wisata'!$C$12:$C$622, MATCH('Dashboard'!$C$9, 'Dataset_Wisata'!$A$12:$A$622, 0)))/2)^2 + COS(RADIANS(INDEX('Dataset_Wisata'!$C$12:$C$622, MATCH('Dashboard'!$C$9, 'Dataset_Wisata'!$A$12:$A$622, 0)))) * COS(RADIANS(C365)) * SIN(RADIANS((D365) - INDEX('Dataset_Wisata'!$D$12:$D$622, MATCH('Dashboard'!$C$9, 'Dataset_Wisata'!$A$12:$A$622, 0)))/2)^2)) * 1.3</f>
        <v/>
      </c>
      <c r="J365" s="21">
        <f>ROUND(I365 * IF('Dashboard'!$C$6&lt;=1, 2250, IF('Dashboard'!$C$6&lt;=4, 5150, 6000)), 0)</f>
        <v/>
      </c>
      <c r="K365" s="30" t="n">
        <v>0.5366761769981572</v>
      </c>
      <c r="L365" s="30" t="n">
        <v>0.4435988772155322</v>
      </c>
      <c r="M365" s="30" t="n">
        <v>0.01972494578631066</v>
      </c>
      <c r="N365" s="31">
        <f>ABS(E365-$F$6)</f>
        <v/>
      </c>
      <c r="O365" s="31">
        <f>ABS(E365-$F$7)</f>
        <v/>
      </c>
      <c r="P365" s="31">
        <f>ABS(E365-$F$8)</f>
        <v/>
      </c>
      <c r="Q365" s="14">
        <f>IF(K365&gt;=MAX(L365,M365), "Hemat", IF(L365&gt;=M365, "Balanced", "Premium"))</f>
        <v/>
      </c>
      <c r="R365" s="30" t="n">
        <v>0.5366759174130455</v>
      </c>
      <c r="S365" s="30" t="n">
        <v>0.443599136184954</v>
      </c>
      <c r="T365" s="30" t="n">
        <v>0.01972494640200039</v>
      </c>
      <c r="U365" s="31">
        <f>ABS(E365-$G$6)</f>
        <v/>
      </c>
      <c r="V365" s="31">
        <f>ABS(E365-$G$7)</f>
        <v/>
      </c>
      <c r="W365" s="31">
        <f>ABS(E365-$G$8)</f>
        <v/>
      </c>
      <c r="X365" s="14">
        <f>IF(R365&gt;=MAX(S365,T365), "Hemat", IF(S365&gt;=T365, "Balanced", "Premium"))</f>
        <v/>
      </c>
    </row>
    <row r="366">
      <c r="A366" s="14" t="n">
        <v>355</v>
      </c>
      <c r="B366" s="7" t="inlineStr">
        <is>
          <t>Kupang Lontong</t>
        </is>
      </c>
      <c r="C366" s="26" t="n">
        <v>-7.996429</v>
      </c>
      <c r="D366" s="26" t="n">
        <v>112.6196084</v>
      </c>
      <c r="E366" s="21" t="n">
        <v>15000</v>
      </c>
      <c r="F366" s="27" t="n">
        <v>4.4</v>
      </c>
      <c r="G366" s="28" t="n">
        <v>254</v>
      </c>
      <c r="H366" s="14" t="inlineStr">
        <is>
          <t>Wisata Umum</t>
        </is>
      </c>
      <c r="I366" s="29">
        <f>6371 * 2 * ASIN(SQRT(SIN(RADIANS((C366) - INDEX('Dataset_Wisata'!$C$12:$C$622, MATCH('Dashboard'!$C$9, 'Dataset_Wisata'!$A$12:$A$622, 0)))/2)^2 + COS(RADIANS(INDEX('Dataset_Wisata'!$C$12:$C$622, MATCH('Dashboard'!$C$9, 'Dataset_Wisata'!$A$12:$A$622, 0)))) * COS(RADIANS(C366)) * SIN(RADIANS((D366) - INDEX('Dataset_Wisata'!$D$12:$D$622, MATCH('Dashboard'!$C$9, 'Dataset_Wisata'!$A$12:$A$622, 0)))/2)^2)) * 1.3</f>
        <v/>
      </c>
      <c r="J366" s="21">
        <f>ROUND(I366 * IF('Dashboard'!$C$6&lt;=1, 2250, IF('Dashboard'!$C$6&lt;=4, 5150, 6000)), 0)</f>
        <v/>
      </c>
      <c r="K366" s="30" t="n">
        <v>0.9686283169848018</v>
      </c>
      <c r="L366" s="30" t="n">
        <v>0.02872990537067274</v>
      </c>
      <c r="M366" s="30" t="n">
        <v>0.002641777644525457</v>
      </c>
      <c r="N366" s="31">
        <f>ABS(E366-$F$6)</f>
        <v/>
      </c>
      <c r="O366" s="31">
        <f>ABS(E366-$F$7)</f>
        <v/>
      </c>
      <c r="P366" s="31">
        <f>ABS(E366-$F$8)</f>
        <v/>
      </c>
      <c r="Q366" s="14">
        <f>IF(K366&gt;=MAX(L366,M366), "Hemat", IF(L366&gt;=M366, "Balanced", "Premium"))</f>
        <v/>
      </c>
      <c r="R366" s="30" t="n">
        <v>0.9686282798936615</v>
      </c>
      <c r="S366" s="30" t="n">
        <v>0.02872993996961344</v>
      </c>
      <c r="T366" s="30" t="n">
        <v>0.002641780136725144</v>
      </c>
      <c r="U366" s="31">
        <f>ABS(E366-$G$6)</f>
        <v/>
      </c>
      <c r="V366" s="31">
        <f>ABS(E366-$G$7)</f>
        <v/>
      </c>
      <c r="W366" s="31">
        <f>ABS(E366-$G$8)</f>
        <v/>
      </c>
      <c r="X366" s="14">
        <f>IF(R366&gt;=MAX(S366,T366), "Hemat", IF(S366&gt;=T366, "Balanced", "Premium"))</f>
        <v/>
      </c>
    </row>
    <row r="367">
      <c r="A367" s="14" t="n">
        <v>356</v>
      </c>
      <c r="B367" s="7" t="inlineStr">
        <is>
          <t>Nasi Pecel Mbak Pur</t>
        </is>
      </c>
      <c r="C367" s="26" t="n">
        <v>-7.9956657</v>
      </c>
      <c r="D367" s="26" t="n">
        <v>112.6259874</v>
      </c>
      <c r="E367" s="21" t="n">
        <v>15000</v>
      </c>
      <c r="F367" s="27" t="n">
        <v>4.6</v>
      </c>
      <c r="G367" s="28" t="n">
        <v>709</v>
      </c>
      <c r="H367" s="14" t="inlineStr">
        <is>
          <t>Wisata Umum</t>
        </is>
      </c>
      <c r="I367" s="29">
        <f>6371 * 2 * ASIN(SQRT(SIN(RADIANS((C367) - INDEX('Dataset_Wisata'!$C$12:$C$622, MATCH('Dashboard'!$C$9, 'Dataset_Wisata'!$A$12:$A$622, 0)))/2)^2 + COS(RADIANS(INDEX('Dataset_Wisata'!$C$12:$C$622, MATCH('Dashboard'!$C$9, 'Dataset_Wisata'!$A$12:$A$622, 0)))) * COS(RADIANS(C367)) * SIN(RADIANS((D367) - INDEX('Dataset_Wisata'!$D$12:$D$622, MATCH('Dashboard'!$C$9, 'Dataset_Wisata'!$A$12:$A$622, 0)))/2)^2)) * 1.3</f>
        <v/>
      </c>
      <c r="J367" s="21">
        <f>ROUND(I367 * IF('Dashboard'!$C$6&lt;=1, 2250, IF('Dashboard'!$C$6&lt;=4, 5150, 6000)), 0)</f>
        <v/>
      </c>
      <c r="K367" s="30" t="n">
        <v>0.9686283169848018</v>
      </c>
      <c r="L367" s="30" t="n">
        <v>0.02872990537067274</v>
      </c>
      <c r="M367" s="30" t="n">
        <v>0.002641777644525457</v>
      </c>
      <c r="N367" s="31">
        <f>ABS(E367-$F$6)</f>
        <v/>
      </c>
      <c r="O367" s="31">
        <f>ABS(E367-$F$7)</f>
        <v/>
      </c>
      <c r="P367" s="31">
        <f>ABS(E367-$F$8)</f>
        <v/>
      </c>
      <c r="Q367" s="14">
        <f>IF(K367&gt;=MAX(L367,M367), "Hemat", IF(L367&gt;=M367, "Balanced", "Premium"))</f>
        <v/>
      </c>
      <c r="R367" s="30" t="n">
        <v>0.9686282798936615</v>
      </c>
      <c r="S367" s="30" t="n">
        <v>0.02872993996961344</v>
      </c>
      <c r="T367" s="30" t="n">
        <v>0.002641780136725144</v>
      </c>
      <c r="U367" s="31">
        <f>ABS(E367-$G$6)</f>
        <v/>
      </c>
      <c r="V367" s="31">
        <f>ABS(E367-$G$7)</f>
        <v/>
      </c>
      <c r="W367" s="31">
        <f>ABS(E367-$G$8)</f>
        <v/>
      </c>
      <c r="X367" s="14">
        <f>IF(R367&gt;=MAX(S367,T367), "Hemat", IF(S367&gt;=T367, "Balanced", "Premium"))</f>
        <v/>
      </c>
    </row>
    <row r="368">
      <c r="A368" s="14" t="n">
        <v>357</v>
      </c>
      <c r="B368" s="7" t="inlineStr">
        <is>
          <t>Kashmir Kedai</t>
        </is>
      </c>
      <c r="C368" s="26" t="n">
        <v>-7.9936246</v>
      </c>
      <c r="D368" s="26" t="n">
        <v>112.6205891</v>
      </c>
      <c r="E368" s="21" t="n">
        <v>47700</v>
      </c>
      <c r="F368" s="27" t="n">
        <v>4.8</v>
      </c>
      <c r="G368" s="28" t="n">
        <v>94</v>
      </c>
      <c r="H368" s="14" t="inlineStr">
        <is>
          <t>Restoran · Jl. S. Supriadi</t>
        </is>
      </c>
      <c r="I368" s="29">
        <f>6371 * 2 * ASIN(SQRT(SIN(RADIANS((C368) - INDEX('Dataset_Wisata'!$C$12:$C$622, MATCH('Dashboard'!$C$9, 'Dataset_Wisata'!$A$12:$A$622, 0)))/2)^2 + COS(RADIANS(INDEX('Dataset_Wisata'!$C$12:$C$622, MATCH('Dashboard'!$C$9, 'Dataset_Wisata'!$A$12:$A$622, 0)))) * COS(RADIANS(C368)) * SIN(RADIANS((D368) - INDEX('Dataset_Wisata'!$D$12:$D$622, MATCH('Dashboard'!$C$9, 'Dataset_Wisata'!$A$12:$A$622, 0)))/2)^2)) * 1.3</f>
        <v/>
      </c>
      <c r="J368" s="21">
        <f>ROUND(I368 * IF('Dashboard'!$C$6&lt;=1, 2250, IF('Dashboard'!$C$6&lt;=4, 5150, 6000)), 0)</f>
        <v/>
      </c>
      <c r="K368" s="30" t="n">
        <v>0.001814915297145262</v>
      </c>
      <c r="L368" s="30" t="n">
        <v>0.004325605109376635</v>
      </c>
      <c r="M368" s="30" t="n">
        <v>0.9938594795934781</v>
      </c>
      <c r="N368" s="31">
        <f>ABS(E368-$F$6)</f>
        <v/>
      </c>
      <c r="O368" s="31">
        <f>ABS(E368-$F$7)</f>
        <v/>
      </c>
      <c r="P368" s="31">
        <f>ABS(E368-$F$8)</f>
        <v/>
      </c>
      <c r="Q368" s="14">
        <f>IF(K368&gt;=MAX(L368,M368), "Hemat", IF(L368&gt;=M368, "Balanced", "Premium"))</f>
        <v/>
      </c>
      <c r="R368" s="30" t="n">
        <v>0.001814904467803216</v>
      </c>
      <c r="S368" s="30" t="n">
        <v>0.004325578421343447</v>
      </c>
      <c r="T368" s="30" t="n">
        <v>0.9938595171108533</v>
      </c>
      <c r="U368" s="31">
        <f>ABS(E368-$G$6)</f>
        <v/>
      </c>
      <c r="V368" s="31">
        <f>ABS(E368-$G$7)</f>
        <v/>
      </c>
      <c r="W368" s="31">
        <f>ABS(E368-$G$8)</f>
        <v/>
      </c>
      <c r="X368" s="14">
        <f>IF(R368&gt;=MAX(S368,T368), "Hemat", IF(S368&gt;=T368, "Balanced", "Premium"))</f>
        <v/>
      </c>
    </row>
    <row r="369">
      <c r="A369" s="14" t="n">
        <v>358</v>
      </c>
      <c r="B369" s="7" t="inlineStr">
        <is>
          <t>Depot Manado Prilia Malang</t>
        </is>
      </c>
      <c r="C369" s="26" t="n">
        <v>-7.9703841</v>
      </c>
      <c r="D369" s="26" t="n">
        <v>112.6100539</v>
      </c>
      <c r="E369" s="21" t="n">
        <v>26000</v>
      </c>
      <c r="F369" s="27" t="n">
        <v>4.8</v>
      </c>
      <c r="G369" s="28" t="n">
        <v>36</v>
      </c>
      <c r="H369" s="14" t="inlineStr">
        <is>
          <t>Wisata Umum</t>
        </is>
      </c>
      <c r="I369" s="29">
        <f>6371 * 2 * ASIN(SQRT(SIN(RADIANS((C369) - INDEX('Dataset_Wisata'!$C$12:$C$622, MATCH('Dashboard'!$C$9, 'Dataset_Wisata'!$A$12:$A$622, 0)))/2)^2 + COS(RADIANS(INDEX('Dataset_Wisata'!$C$12:$C$622, MATCH('Dashboard'!$C$9, 'Dataset_Wisata'!$A$12:$A$622, 0)))) * COS(RADIANS(C369)) * SIN(RADIANS((D369) - INDEX('Dataset_Wisata'!$D$12:$D$622, MATCH('Dashboard'!$C$9, 'Dataset_Wisata'!$A$12:$A$622, 0)))/2)^2)) * 1.3</f>
        <v/>
      </c>
      <c r="J369" s="21">
        <f>ROUND(I369 * IF('Dashboard'!$C$6&lt;=1, 2250, IF('Dashboard'!$C$6&lt;=4, 5150, 6000)), 0)</f>
        <v/>
      </c>
      <c r="K369" s="30" t="n">
        <v>0.002476983268680901</v>
      </c>
      <c r="L369" s="30" t="n">
        <v>0.9967691156825158</v>
      </c>
      <c r="M369" s="30" t="n">
        <v>0.0007539010488032482</v>
      </c>
      <c r="N369" s="31">
        <f>ABS(E369-$F$6)</f>
        <v/>
      </c>
      <c r="O369" s="31">
        <f>ABS(E369-$F$7)</f>
        <v/>
      </c>
      <c r="P369" s="31">
        <f>ABS(E369-$F$8)</f>
        <v/>
      </c>
      <c r="Q369" s="14">
        <f>IF(K369&gt;=MAX(L369,M369), "Hemat", IF(L369&gt;=M369, "Balanced", "Premium"))</f>
        <v/>
      </c>
      <c r="R369" s="30" t="n">
        <v>0.002477003822259736</v>
      </c>
      <c r="S369" s="30" t="n">
        <v>0.9967690885108879</v>
      </c>
      <c r="T369" s="30" t="n">
        <v>0.0007539076668522673</v>
      </c>
      <c r="U369" s="31">
        <f>ABS(E369-$G$6)</f>
        <v/>
      </c>
      <c r="V369" s="31">
        <f>ABS(E369-$G$7)</f>
        <v/>
      </c>
      <c r="W369" s="31">
        <f>ABS(E369-$G$8)</f>
        <v/>
      </c>
      <c r="X369" s="14">
        <f>IF(R369&gt;=MAX(S369,T369), "Hemat", IF(S369&gt;=T369, "Balanced", "Premium"))</f>
        <v/>
      </c>
    </row>
    <row r="370">
      <c r="A370" s="14" t="n">
        <v>359</v>
      </c>
      <c r="B370" s="7" t="inlineStr">
        <is>
          <t>Veggie Kitchen Malang (Vegetarian Food)</t>
        </is>
      </c>
      <c r="C370" s="26" t="n">
        <v>-7.9835078</v>
      </c>
      <c r="D370" s="26" t="n">
        <v>112.6151563</v>
      </c>
      <c r="E370" s="21" t="n">
        <v>55377</v>
      </c>
      <c r="F370" s="27" t="n">
        <v>4.7</v>
      </c>
      <c r="G370" s="28" t="n">
        <v>102</v>
      </c>
      <c r="H370" s="14" t="inlineStr">
        <is>
          <t>Wisata Umum</t>
        </is>
      </c>
      <c r="I370" s="29">
        <f>6371 * 2 * ASIN(SQRT(SIN(RADIANS((C370) - INDEX('Dataset_Wisata'!$C$12:$C$622, MATCH('Dashboard'!$C$9, 'Dataset_Wisata'!$A$12:$A$622, 0)))/2)^2 + COS(RADIANS(INDEX('Dataset_Wisata'!$C$12:$C$622, MATCH('Dashboard'!$C$9, 'Dataset_Wisata'!$A$12:$A$622, 0)))) * COS(RADIANS(C370)) * SIN(RADIANS((D370) - INDEX('Dataset_Wisata'!$D$12:$D$622, MATCH('Dashboard'!$C$9, 'Dataset_Wisata'!$A$12:$A$622, 0)))/2)^2)) * 1.3</f>
        <v/>
      </c>
      <c r="J370" s="21">
        <f>ROUND(I370 * IF('Dashboard'!$C$6&lt;=1, 2250, IF('Dashboard'!$C$6&lt;=4, 5150, 6000)), 0)</f>
        <v/>
      </c>
      <c r="K370" s="30" t="n">
        <v>0.02033889916517236</v>
      </c>
      <c r="L370" s="30" t="n">
        <v>0.04013344341025096</v>
      </c>
      <c r="M370" s="30" t="n">
        <v>0.9395276574245767</v>
      </c>
      <c r="N370" s="31">
        <f>ABS(E370-$F$6)</f>
        <v/>
      </c>
      <c r="O370" s="31">
        <f>ABS(E370-$F$7)</f>
        <v/>
      </c>
      <c r="P370" s="31">
        <f>ABS(E370-$F$8)</f>
        <v/>
      </c>
      <c r="Q370" s="14">
        <f>IF(K370&gt;=MAX(L370,M370), "Hemat", IF(L370&gt;=M370, "Balanced", "Premium"))</f>
        <v/>
      </c>
      <c r="R370" s="30" t="n">
        <v>0.02033892578769444</v>
      </c>
      <c r="S370" s="30" t="n">
        <v>0.04013348999267189</v>
      </c>
      <c r="T370" s="30" t="n">
        <v>0.9395275842196337</v>
      </c>
      <c r="U370" s="31">
        <f>ABS(E370-$G$6)</f>
        <v/>
      </c>
      <c r="V370" s="31">
        <f>ABS(E370-$G$7)</f>
        <v/>
      </c>
      <c r="W370" s="31">
        <f>ABS(E370-$G$8)</f>
        <v/>
      </c>
      <c r="X370" s="14">
        <f>IF(R370&gt;=MAX(S370,T370), "Hemat", IF(S370&gt;=T370, "Balanced", "Premium"))</f>
        <v/>
      </c>
    </row>
    <row r="371">
      <c r="A371" s="14" t="n">
        <v>360</v>
      </c>
      <c r="B371" s="7" t="inlineStr">
        <is>
          <t>Dapoer Cobek</t>
        </is>
      </c>
      <c r="C371" s="26" t="n">
        <v>-7.9578751</v>
      </c>
      <c r="D371" s="26" t="n">
        <v>112.6088129</v>
      </c>
      <c r="E371" s="21" t="n">
        <v>24300</v>
      </c>
      <c r="F371" s="27" t="n">
        <v>4.6</v>
      </c>
      <c r="G371" s="28" t="n">
        <v>2420</v>
      </c>
      <c r="H371" s="14" t="inlineStr">
        <is>
          <t>Wisata Umum</t>
        </is>
      </c>
      <c r="I371" s="29">
        <f>6371 * 2 * ASIN(SQRT(SIN(RADIANS((C371) - INDEX('Dataset_Wisata'!$C$12:$C$622, MATCH('Dashboard'!$C$9, 'Dataset_Wisata'!$A$12:$A$622, 0)))/2)^2 + COS(RADIANS(INDEX('Dataset_Wisata'!$C$12:$C$622, MATCH('Dashboard'!$C$9, 'Dataset_Wisata'!$A$12:$A$622, 0)))) * COS(RADIANS(C371)) * SIN(RADIANS((D371) - INDEX('Dataset_Wisata'!$D$12:$D$622, MATCH('Dashboard'!$C$9, 'Dataset_Wisata'!$A$12:$A$622, 0)))/2)^2)) * 1.3</f>
        <v/>
      </c>
      <c r="J371" s="21">
        <f>ROUND(I371 * IF('Dashboard'!$C$6&lt;=1, 2250, IF('Dashboard'!$C$6&lt;=4, 5150, 6000)), 0)</f>
        <v/>
      </c>
      <c r="K371" s="30" t="n">
        <v>0.009090848974277494</v>
      </c>
      <c r="L371" s="30" t="n">
        <v>0.9891037563375361</v>
      </c>
      <c r="M371" s="30" t="n">
        <v>0.001805394688186516</v>
      </c>
      <c r="N371" s="31">
        <f>ABS(E371-$F$6)</f>
        <v/>
      </c>
      <c r="O371" s="31">
        <f>ABS(E371-$F$7)</f>
        <v/>
      </c>
      <c r="P371" s="31">
        <f>ABS(E371-$F$8)</f>
        <v/>
      </c>
      <c r="Q371" s="14">
        <f>IF(K371&gt;=MAX(L371,M371), "Hemat", IF(L371&gt;=M371, "Balanced", "Premium"))</f>
        <v/>
      </c>
      <c r="R371" s="30" t="n">
        <v>0.00909080247913983</v>
      </c>
      <c r="S371" s="30" t="n">
        <v>0.9891038112175647</v>
      </c>
      <c r="T371" s="30" t="n">
        <v>0.001805386303295378</v>
      </c>
      <c r="U371" s="31">
        <f>ABS(E371-$G$6)</f>
        <v/>
      </c>
      <c r="V371" s="31">
        <f>ABS(E371-$G$7)</f>
        <v/>
      </c>
      <c r="W371" s="31">
        <f>ABS(E371-$G$8)</f>
        <v/>
      </c>
      <c r="X371" s="14">
        <f>IF(R371&gt;=MAX(S371,T371), "Hemat", IF(S371&gt;=T371, "Balanced", "Premium"))</f>
        <v/>
      </c>
    </row>
    <row r="372">
      <c r="A372" s="14" t="n">
        <v>361</v>
      </c>
      <c r="B372" s="7" t="inlineStr">
        <is>
          <t>Warung Prasmanan Ayah 24 jam</t>
        </is>
      </c>
      <c r="C372" s="26" t="n">
        <v>-7.9568637</v>
      </c>
      <c r="D372" s="26" t="n">
        <v>112.6057936</v>
      </c>
      <c r="E372" s="21" t="n">
        <v>9000</v>
      </c>
      <c r="F372" s="27" t="n">
        <v>4.3</v>
      </c>
      <c r="G372" s="28" t="n">
        <v>630</v>
      </c>
      <c r="H372" s="14" t="inlineStr">
        <is>
          <t>Warung Prasmanan Ayah 24 jam</t>
        </is>
      </c>
      <c r="I372" s="29">
        <f>6371 * 2 * ASIN(SQRT(SIN(RADIANS((C372) - INDEX('Dataset_Wisata'!$C$12:$C$622, MATCH('Dashboard'!$C$9, 'Dataset_Wisata'!$A$12:$A$622, 0)))/2)^2 + COS(RADIANS(INDEX('Dataset_Wisata'!$C$12:$C$622, MATCH('Dashboard'!$C$9, 'Dataset_Wisata'!$A$12:$A$622, 0)))) * COS(RADIANS(C372)) * SIN(RADIANS((D372) - INDEX('Dataset_Wisata'!$D$12:$D$622, MATCH('Dashboard'!$C$9, 'Dataset_Wisata'!$A$12:$A$622, 0)))/2)^2)) * 1.3</f>
        <v/>
      </c>
      <c r="J372" s="21">
        <f>ROUND(I372 * IF('Dashboard'!$C$6&lt;=1, 2250, IF('Dashboard'!$C$6&lt;=4, 5150, 6000)), 0)</f>
        <v/>
      </c>
      <c r="K372" s="30" t="n">
        <v>0.928180477824419</v>
      </c>
      <c r="L372" s="30" t="n">
        <v>0.06160046714170742</v>
      </c>
      <c r="M372" s="30" t="n">
        <v>0.01021905503387346</v>
      </c>
      <c r="N372" s="31">
        <f>ABS(E372-$F$6)</f>
        <v/>
      </c>
      <c r="O372" s="31">
        <f>ABS(E372-$F$7)</f>
        <v/>
      </c>
      <c r="P372" s="31">
        <f>ABS(E372-$F$8)</f>
        <v/>
      </c>
      <c r="Q372" s="14">
        <f>IF(K372&gt;=MAX(L372,M372), "Hemat", IF(L372&gt;=M372, "Balanced", "Premium"))</f>
        <v/>
      </c>
      <c r="R372" s="30" t="n">
        <v>0.9281804774269427</v>
      </c>
      <c r="S372" s="30" t="n">
        <v>0.06160046844072192</v>
      </c>
      <c r="T372" s="30" t="n">
        <v>0.01021905413233554</v>
      </c>
      <c r="U372" s="31">
        <f>ABS(E372-$G$6)</f>
        <v/>
      </c>
      <c r="V372" s="31">
        <f>ABS(E372-$G$7)</f>
        <v/>
      </c>
      <c r="W372" s="31">
        <f>ABS(E372-$G$8)</f>
        <v/>
      </c>
      <c r="X372" s="14">
        <f>IF(R372&gt;=MAX(S372,T372), "Hemat", IF(S372&gt;=T372, "Balanced", "Premium"))</f>
        <v/>
      </c>
    </row>
    <row r="373">
      <c r="A373" s="14" t="n">
        <v>362</v>
      </c>
      <c r="B373" s="7" t="inlineStr">
        <is>
          <t>Warung DJURAGAN</t>
        </is>
      </c>
      <c r="C373" s="26" t="n">
        <v>-7.9579026</v>
      </c>
      <c r="D373" s="26" t="n">
        <v>112.6082903</v>
      </c>
      <c r="E373" s="21" t="n">
        <v>7000</v>
      </c>
      <c r="F373" s="27" t="n">
        <v>4.9</v>
      </c>
      <c r="G373" s="28" t="n">
        <v>2080</v>
      </c>
      <c r="H373" s="14" t="inlineStr">
        <is>
          <t>Warung DJURAGAN</t>
        </is>
      </c>
      <c r="I373" s="29">
        <f>6371 * 2 * ASIN(SQRT(SIN(RADIANS((C373) - INDEX('Dataset_Wisata'!$C$12:$C$622, MATCH('Dashboard'!$C$9, 'Dataset_Wisata'!$A$12:$A$622, 0)))/2)^2 + COS(RADIANS(INDEX('Dataset_Wisata'!$C$12:$C$622, MATCH('Dashboard'!$C$9, 'Dataset_Wisata'!$A$12:$A$622, 0)))) * COS(RADIANS(C373)) * SIN(RADIANS((D373) - INDEX('Dataset_Wisata'!$D$12:$D$622, MATCH('Dashboard'!$C$9, 'Dataset_Wisata'!$A$12:$A$622, 0)))/2)^2)) * 1.3</f>
        <v/>
      </c>
      <c r="J373" s="21">
        <f>ROUND(I373 * IF('Dashboard'!$C$6&lt;=1, 2250, IF('Dashboard'!$C$6&lt;=4, 5150, 6000)), 0)</f>
        <v/>
      </c>
      <c r="K373" s="30" t="n">
        <v>0.8800610026243881</v>
      </c>
      <c r="L373" s="30" t="n">
        <v>0.1008247459749515</v>
      </c>
      <c r="M373" s="30" t="n">
        <v>0.01911425140066042</v>
      </c>
      <c r="N373" s="31">
        <f>ABS(E373-$F$6)</f>
        <v/>
      </c>
      <c r="O373" s="31">
        <f>ABS(E373-$F$7)</f>
        <v/>
      </c>
      <c r="P373" s="31">
        <f>ABS(E373-$F$8)</f>
        <v/>
      </c>
      <c r="Q373" s="14">
        <f>IF(K373&gt;=MAX(L373,M373), "Hemat", IF(L373&gt;=M373, "Balanced", "Premium"))</f>
        <v/>
      </c>
      <c r="R373" s="30" t="n">
        <v>0.8800609951219469</v>
      </c>
      <c r="S373" s="30" t="n">
        <v>0.1008247536305651</v>
      </c>
      <c r="T373" s="30" t="n">
        <v>0.019114251247488</v>
      </c>
      <c r="U373" s="31">
        <f>ABS(E373-$G$6)</f>
        <v/>
      </c>
      <c r="V373" s="31">
        <f>ABS(E373-$G$7)</f>
        <v/>
      </c>
      <c r="W373" s="31">
        <f>ABS(E373-$G$8)</f>
        <v/>
      </c>
      <c r="X373" s="14">
        <f>IF(R373&gt;=MAX(S373,T373), "Hemat", IF(S373&gt;=T373, "Balanced", "Premium"))</f>
        <v/>
      </c>
    </row>
    <row r="374">
      <c r="A374" s="14" t="n">
        <v>363</v>
      </c>
      <c r="B374" s="7" t="inlineStr">
        <is>
          <t>Dapur 93</t>
        </is>
      </c>
      <c r="C374" s="26" t="n">
        <v>-7.9568579</v>
      </c>
      <c r="D374" s="26" t="n">
        <v>112.6278243</v>
      </c>
      <c r="E374" s="21" t="n">
        <v>28000</v>
      </c>
      <c r="F374" s="27" t="n">
        <v>4.5</v>
      </c>
      <c r="G374" s="28" t="n">
        <v>1730</v>
      </c>
      <c r="H374" s="14" t="inlineStr">
        <is>
          <t>Wisata Umum</t>
        </is>
      </c>
      <c r="I374" s="29">
        <f>6371 * 2 * ASIN(SQRT(SIN(RADIANS((C374) - INDEX('Dataset_Wisata'!$C$12:$C$622, MATCH('Dashboard'!$C$9, 'Dataset_Wisata'!$A$12:$A$622, 0)))/2)^2 + COS(RADIANS(INDEX('Dataset_Wisata'!$C$12:$C$622, MATCH('Dashboard'!$C$9, 'Dataset_Wisata'!$A$12:$A$622, 0)))) * COS(RADIANS(C374)) * SIN(RADIANS((D374) - INDEX('Dataset_Wisata'!$D$12:$D$622, MATCH('Dashboard'!$C$9, 'Dataset_Wisata'!$A$12:$A$622, 0)))/2)^2)) * 1.3</f>
        <v/>
      </c>
      <c r="J374" s="21">
        <f>ROUND(I374 * IF('Dashboard'!$C$6&lt;=1, 2250, IF('Dashboard'!$C$6&lt;=4, 5150, 6000)), 0)</f>
        <v/>
      </c>
      <c r="K374" s="30" t="n">
        <v>0.03038188564948578</v>
      </c>
      <c r="L374" s="30" t="n">
        <v>0.954804959181367</v>
      </c>
      <c r="M374" s="30" t="n">
        <v>0.01481315516914707</v>
      </c>
      <c r="N374" s="31">
        <f>ABS(E374-$F$6)</f>
        <v/>
      </c>
      <c r="O374" s="31">
        <f>ABS(E374-$F$7)</f>
        <v/>
      </c>
      <c r="P374" s="31">
        <f>ABS(E374-$F$8)</f>
        <v/>
      </c>
      <c r="Q374" s="14">
        <f>IF(K374&gt;=MAX(L374,M374), "Hemat", IF(L374&gt;=M374, "Balanced", "Premium"))</f>
        <v/>
      </c>
      <c r="R374" s="30" t="n">
        <v>0.03038194195482316</v>
      </c>
      <c r="S374" s="30" t="n">
        <v>0.954804867976345</v>
      </c>
      <c r="T374" s="30" t="n">
        <v>0.01481319006883185</v>
      </c>
      <c r="U374" s="31">
        <f>ABS(E374-$G$6)</f>
        <v/>
      </c>
      <c r="V374" s="31">
        <f>ABS(E374-$G$7)</f>
        <v/>
      </c>
      <c r="W374" s="31">
        <f>ABS(E374-$G$8)</f>
        <v/>
      </c>
      <c r="X374" s="14">
        <f>IF(R374&gt;=MAX(S374,T374), "Hemat", IF(S374&gt;=T374, "Balanced", "Premium"))</f>
        <v/>
      </c>
    </row>
    <row r="375">
      <c r="A375" s="14" t="n">
        <v>364</v>
      </c>
      <c r="B375" s="7" t="inlineStr">
        <is>
          <t>Depot Widari</t>
        </is>
      </c>
      <c r="C375" s="26" t="n">
        <v>-7.9754065</v>
      </c>
      <c r="D375" s="26" t="n">
        <v>112.619517</v>
      </c>
      <c r="E375" s="21" t="n">
        <v>50600</v>
      </c>
      <c r="F375" s="27" t="n">
        <v>4.6</v>
      </c>
      <c r="G375" s="28" t="n">
        <v>788</v>
      </c>
      <c r="H375" s="14" t="inlineStr">
        <is>
          <t>Wisata Umum</t>
        </is>
      </c>
      <c r="I375" s="29">
        <f>6371 * 2 * ASIN(SQRT(SIN(RADIANS((C375) - INDEX('Dataset_Wisata'!$C$12:$C$622, MATCH('Dashboard'!$C$9, 'Dataset_Wisata'!$A$12:$A$622, 0)))/2)^2 + COS(RADIANS(INDEX('Dataset_Wisata'!$C$12:$C$622, MATCH('Dashboard'!$C$9, 'Dataset_Wisata'!$A$12:$A$622, 0)))) * COS(RADIANS(C375)) * SIN(RADIANS((D375) - INDEX('Dataset_Wisata'!$D$12:$D$622, MATCH('Dashboard'!$C$9, 'Dataset_Wisata'!$A$12:$A$622, 0)))/2)^2)) * 1.3</f>
        <v/>
      </c>
      <c r="J375" s="21">
        <f>ROUND(I375 * IF('Dashboard'!$C$6&lt;=1, 2250, IF('Dashboard'!$C$6&lt;=4, 5150, 6000)), 0)</f>
        <v/>
      </c>
      <c r="K375" s="30" t="n">
        <v>0.00144895566679074</v>
      </c>
      <c r="L375" s="30" t="n">
        <v>0.003179480587729936</v>
      </c>
      <c r="M375" s="30" t="n">
        <v>0.9953715637454792</v>
      </c>
      <c r="N375" s="31">
        <f>ABS(E375-$F$6)</f>
        <v/>
      </c>
      <c r="O375" s="31">
        <f>ABS(E375-$F$7)</f>
        <v/>
      </c>
      <c r="P375" s="31">
        <f>ABS(E375-$F$8)</f>
        <v/>
      </c>
      <c r="Q375" s="14">
        <f>IF(K375&gt;=MAX(L375,M375), "Hemat", IF(L375&gt;=M375, "Balanced", "Premium"))</f>
        <v/>
      </c>
      <c r="R375" s="30" t="n">
        <v>0.001448964509129371</v>
      </c>
      <c r="S375" s="30" t="n">
        <v>0.003179499424094571</v>
      </c>
      <c r="T375" s="30" t="n">
        <v>0.9953715360667761</v>
      </c>
      <c r="U375" s="31">
        <f>ABS(E375-$G$6)</f>
        <v/>
      </c>
      <c r="V375" s="31">
        <f>ABS(E375-$G$7)</f>
        <v/>
      </c>
      <c r="W375" s="31">
        <f>ABS(E375-$G$8)</f>
        <v/>
      </c>
      <c r="X375" s="14">
        <f>IF(R375&gt;=MAX(S375,T375), "Hemat", IF(S375&gt;=T375, "Balanced", "Premium"))</f>
        <v/>
      </c>
    </row>
    <row r="376">
      <c r="A376" s="14" t="n">
        <v>365</v>
      </c>
      <c r="B376" s="7" t="inlineStr">
        <is>
          <t>Rumah Makan Prasmanan Bu Marni</t>
        </is>
      </c>
      <c r="C376" s="26" t="n">
        <v>-7.9631957</v>
      </c>
      <c r="D376" s="26" t="n">
        <v>112.613541</v>
      </c>
      <c r="E376" s="21" t="n">
        <v>15000</v>
      </c>
      <c r="F376" s="27" t="n">
        <v>3.7</v>
      </c>
      <c r="G376" s="28" t="n">
        <v>520</v>
      </c>
      <c r="H376" s="14" t="inlineStr">
        <is>
          <t>Wisata Umum</t>
        </is>
      </c>
      <c r="I376" s="29">
        <f>6371 * 2 * ASIN(SQRT(SIN(RADIANS((C376) - INDEX('Dataset_Wisata'!$C$12:$C$622, MATCH('Dashboard'!$C$9, 'Dataset_Wisata'!$A$12:$A$622, 0)))/2)^2 + COS(RADIANS(INDEX('Dataset_Wisata'!$C$12:$C$622, MATCH('Dashboard'!$C$9, 'Dataset_Wisata'!$A$12:$A$622, 0)))) * COS(RADIANS(C376)) * SIN(RADIANS((D376) - INDEX('Dataset_Wisata'!$D$12:$D$622, MATCH('Dashboard'!$C$9, 'Dataset_Wisata'!$A$12:$A$622, 0)))/2)^2)) * 1.3</f>
        <v/>
      </c>
      <c r="J376" s="21">
        <f>ROUND(I376 * IF('Dashboard'!$C$6&lt;=1, 2250, IF('Dashboard'!$C$6&lt;=4, 5150, 6000)), 0)</f>
        <v/>
      </c>
      <c r="K376" s="30" t="n">
        <v>0.9686283169848018</v>
      </c>
      <c r="L376" s="30" t="n">
        <v>0.02872990537067274</v>
      </c>
      <c r="M376" s="30" t="n">
        <v>0.002641777644525457</v>
      </c>
      <c r="N376" s="31">
        <f>ABS(E376-$F$6)</f>
        <v/>
      </c>
      <c r="O376" s="31">
        <f>ABS(E376-$F$7)</f>
        <v/>
      </c>
      <c r="P376" s="31">
        <f>ABS(E376-$F$8)</f>
        <v/>
      </c>
      <c r="Q376" s="14">
        <f>IF(K376&gt;=MAX(L376,M376), "Hemat", IF(L376&gt;=M376, "Balanced", "Premium"))</f>
        <v/>
      </c>
      <c r="R376" s="30" t="n">
        <v>0.9686282798936615</v>
      </c>
      <c r="S376" s="30" t="n">
        <v>0.02872993996961344</v>
      </c>
      <c r="T376" s="30" t="n">
        <v>0.002641780136725144</v>
      </c>
      <c r="U376" s="31">
        <f>ABS(E376-$G$6)</f>
        <v/>
      </c>
      <c r="V376" s="31">
        <f>ABS(E376-$G$7)</f>
        <v/>
      </c>
      <c r="W376" s="31">
        <f>ABS(E376-$G$8)</f>
        <v/>
      </c>
      <c r="X376" s="14">
        <f>IF(R376&gt;=MAX(S376,T376), "Hemat", IF(S376&gt;=T376, "Balanced", "Premium"))</f>
        <v/>
      </c>
    </row>
    <row r="377">
      <c r="A377" s="14" t="n">
        <v>366</v>
      </c>
      <c r="B377" s="7" t="inlineStr">
        <is>
          <t>Rumah makan nyaman onggu</t>
        </is>
      </c>
      <c r="C377" s="26" t="n">
        <v>-7.960815</v>
      </c>
      <c r="D377" s="26" t="n">
        <v>112.6137334</v>
      </c>
      <c r="E377" s="21" t="n">
        <v>20000</v>
      </c>
      <c r="F377" s="27" t="n">
        <v>4.7</v>
      </c>
      <c r="G377" s="28" t="n">
        <v>181</v>
      </c>
      <c r="H377" s="14" t="inlineStr">
        <is>
          <t>Wisata Umum</t>
        </is>
      </c>
      <c r="I377" s="29">
        <f>6371 * 2 * ASIN(SQRT(SIN(RADIANS((C377) - INDEX('Dataset_Wisata'!$C$12:$C$622, MATCH('Dashboard'!$C$9, 'Dataset_Wisata'!$A$12:$A$622, 0)))/2)^2 + COS(RADIANS(INDEX('Dataset_Wisata'!$C$12:$C$622, MATCH('Dashboard'!$C$9, 'Dataset_Wisata'!$A$12:$A$622, 0)))) * COS(RADIANS(C377)) * SIN(RADIANS((D377) - INDEX('Dataset_Wisata'!$D$12:$D$622, MATCH('Dashboard'!$C$9, 'Dataset_Wisata'!$A$12:$A$622, 0)))/2)^2)) * 1.3</f>
        <v/>
      </c>
      <c r="J377" s="21">
        <f>ROUND(I377 * IF('Dashboard'!$C$6&lt;=1, 2250, IF('Dashboard'!$C$6&lt;=4, 5150, 6000)), 0)</f>
        <v/>
      </c>
      <c r="K377" s="30" t="n">
        <v>0.3766864462048385</v>
      </c>
      <c r="L377" s="30" t="n">
        <v>0.6029404273516955</v>
      </c>
      <c r="M377" s="30" t="n">
        <v>0.02037312644346593</v>
      </c>
      <c r="N377" s="31">
        <f>ABS(E377-$F$6)</f>
        <v/>
      </c>
      <c r="O377" s="31">
        <f>ABS(E377-$F$7)</f>
        <v/>
      </c>
      <c r="P377" s="31">
        <f>ABS(E377-$F$8)</f>
        <v/>
      </c>
      <c r="Q377" s="14">
        <f>IF(K377&gt;=MAX(L377,M377), "Hemat", IF(L377&gt;=M377, "Balanced", "Premium"))</f>
        <v/>
      </c>
      <c r="R377" s="30" t="n">
        <v>0.3766861717192874</v>
      </c>
      <c r="S377" s="30" t="n">
        <v>0.6029407066601674</v>
      </c>
      <c r="T377" s="30" t="n">
        <v>0.02037312162054524</v>
      </c>
      <c r="U377" s="31">
        <f>ABS(E377-$G$6)</f>
        <v/>
      </c>
      <c r="V377" s="31">
        <f>ABS(E377-$G$7)</f>
        <v/>
      </c>
      <c r="W377" s="31">
        <f>ABS(E377-$G$8)</f>
        <v/>
      </c>
      <c r="X377" s="14">
        <f>IF(R377&gt;=MAX(S377,T377), "Hemat", IF(S377&gt;=T377, "Balanced", "Premium"))</f>
        <v/>
      </c>
    </row>
    <row r="378">
      <c r="A378" s="14" t="n">
        <v>367</v>
      </c>
      <c r="B378" s="7" t="inlineStr">
        <is>
          <t>Rumah Makan Pecel Kawi Hj Musilah Asli 1975</t>
        </is>
      </c>
      <c r="C378" s="26" t="n">
        <v>-7.9757225</v>
      </c>
      <c r="D378" s="26" t="n">
        <v>112.6200297</v>
      </c>
      <c r="E378" s="21" t="n">
        <v>12500</v>
      </c>
      <c r="F378" s="27" t="n">
        <v>4.3</v>
      </c>
      <c r="G378" s="28" t="n">
        <v>5814</v>
      </c>
      <c r="H378" s="14" t="inlineStr">
        <is>
          <t>Wisata Umum</t>
        </is>
      </c>
      <c r="I378" s="29">
        <f>6371 * 2 * ASIN(SQRT(SIN(RADIANS((C378) - INDEX('Dataset_Wisata'!$C$12:$C$622, MATCH('Dashboard'!$C$9, 'Dataset_Wisata'!$A$12:$A$622, 0)))/2)^2 + COS(RADIANS(INDEX('Dataset_Wisata'!$C$12:$C$622, MATCH('Dashboard'!$C$9, 'Dataset_Wisata'!$A$12:$A$622, 0)))) * COS(RADIANS(C378)) * SIN(RADIANS((D378) - INDEX('Dataset_Wisata'!$D$12:$D$622, MATCH('Dashboard'!$C$9, 'Dataset_Wisata'!$A$12:$A$622, 0)))/2)^2)) * 1.3</f>
        <v/>
      </c>
      <c r="J378" s="21">
        <f>ROUND(I378 * IF('Dashboard'!$C$6&lt;=1, 2250, IF('Dashboard'!$C$6&lt;=4, 5150, 6000)), 0)</f>
        <v/>
      </c>
      <c r="K378" s="30" t="n">
        <v>0.9965388956324384</v>
      </c>
      <c r="L378" s="30" t="n">
        <v>0.003081977430114359</v>
      </c>
      <c r="M378" s="30" t="n">
        <v>0.0003791269374473433</v>
      </c>
      <c r="N378" s="31">
        <f>ABS(E378-$F$6)</f>
        <v/>
      </c>
      <c r="O378" s="31">
        <f>ABS(E378-$F$7)</f>
        <v/>
      </c>
      <c r="P378" s="31">
        <f>ABS(E378-$F$8)</f>
        <v/>
      </c>
      <c r="Q378" s="14">
        <f>IF(K378&gt;=MAX(L378,M378), "Hemat", IF(L378&gt;=M378, "Balanced", "Premium"))</f>
        <v/>
      </c>
      <c r="R378" s="30" t="n">
        <v>0.9965389004929521</v>
      </c>
      <c r="S378" s="30" t="n">
        <v>0.003081973162016532</v>
      </c>
      <c r="T378" s="30" t="n">
        <v>0.0003791263450314348</v>
      </c>
      <c r="U378" s="31">
        <f>ABS(E378-$G$6)</f>
        <v/>
      </c>
      <c r="V378" s="31">
        <f>ABS(E378-$G$7)</f>
        <v/>
      </c>
      <c r="W378" s="31">
        <f>ABS(E378-$G$8)</f>
        <v/>
      </c>
      <c r="X378" s="14">
        <f>IF(R378&gt;=MAX(S378,T378), "Hemat", IF(S378&gt;=T378, "Balanced", "Premium"))</f>
        <v/>
      </c>
    </row>
    <row r="379">
      <c r="A379" s="14" t="n">
        <v>368</v>
      </c>
      <c r="B379" s="7" t="inlineStr">
        <is>
          <t>Waroeng Sampah</t>
        </is>
      </c>
      <c r="C379" s="26" t="n">
        <v>-7.9580759</v>
      </c>
      <c r="D379" s="26" t="n">
        <v>112.6202464</v>
      </c>
      <c r="E379" s="21" t="n">
        <v>9000</v>
      </c>
      <c r="F379" s="27" t="n">
        <v>4.9</v>
      </c>
      <c r="G379" s="28" t="n">
        <v>76</v>
      </c>
      <c r="H379" s="14" t="inlineStr">
        <is>
          <t>Wisata Umum</t>
        </is>
      </c>
      <c r="I379" s="29">
        <f>6371 * 2 * ASIN(SQRT(SIN(RADIANS((C379) - INDEX('Dataset_Wisata'!$C$12:$C$622, MATCH('Dashboard'!$C$9, 'Dataset_Wisata'!$A$12:$A$622, 0)))/2)^2 + COS(RADIANS(INDEX('Dataset_Wisata'!$C$12:$C$622, MATCH('Dashboard'!$C$9, 'Dataset_Wisata'!$A$12:$A$622, 0)))) * COS(RADIANS(C379)) * SIN(RADIANS((D379) - INDEX('Dataset_Wisata'!$D$12:$D$622, MATCH('Dashboard'!$C$9, 'Dataset_Wisata'!$A$12:$A$622, 0)))/2)^2)) * 1.3</f>
        <v/>
      </c>
      <c r="J379" s="21">
        <f>ROUND(I379 * IF('Dashboard'!$C$6&lt;=1, 2250, IF('Dashboard'!$C$6&lt;=4, 5150, 6000)), 0)</f>
        <v/>
      </c>
      <c r="K379" s="30" t="n">
        <v>0.928180477824419</v>
      </c>
      <c r="L379" s="30" t="n">
        <v>0.06160046714170742</v>
      </c>
      <c r="M379" s="30" t="n">
        <v>0.01021905503387346</v>
      </c>
      <c r="N379" s="31">
        <f>ABS(E379-$F$6)</f>
        <v/>
      </c>
      <c r="O379" s="31">
        <f>ABS(E379-$F$7)</f>
        <v/>
      </c>
      <c r="P379" s="31">
        <f>ABS(E379-$F$8)</f>
        <v/>
      </c>
      <c r="Q379" s="14">
        <f>IF(K379&gt;=MAX(L379,M379), "Hemat", IF(L379&gt;=M379, "Balanced", "Premium"))</f>
        <v/>
      </c>
      <c r="R379" s="30" t="n">
        <v>0.9281804774269427</v>
      </c>
      <c r="S379" s="30" t="n">
        <v>0.06160046844072192</v>
      </c>
      <c r="T379" s="30" t="n">
        <v>0.01021905413233554</v>
      </c>
      <c r="U379" s="31">
        <f>ABS(E379-$G$6)</f>
        <v/>
      </c>
      <c r="V379" s="31">
        <f>ABS(E379-$G$7)</f>
        <v/>
      </c>
      <c r="W379" s="31">
        <f>ABS(E379-$G$8)</f>
        <v/>
      </c>
      <c r="X379" s="14">
        <f>IF(R379&gt;=MAX(S379,T379), "Hemat", IF(S379&gt;=T379, "Balanced", "Premium"))</f>
        <v/>
      </c>
    </row>
    <row r="380">
      <c r="A380" s="14" t="n">
        <v>369</v>
      </c>
      <c r="B380" s="7" t="inlineStr">
        <is>
          <t>Depot Lumayan</t>
        </is>
      </c>
      <c r="C380" s="26" t="n">
        <v>-7.9566628</v>
      </c>
      <c r="D380" s="26" t="n">
        <v>112.6306818</v>
      </c>
      <c r="E380" s="21" t="n">
        <v>11750</v>
      </c>
      <c r="F380" s="27" t="n">
        <v>4.6</v>
      </c>
      <c r="G380" s="28" t="n">
        <v>134</v>
      </c>
      <c r="H380" s="14" t="inlineStr">
        <is>
          <t>Wisata Umum</t>
        </is>
      </c>
      <c r="I380" s="29">
        <f>6371 * 2 * ASIN(SQRT(SIN(RADIANS((C380) - INDEX('Dataset_Wisata'!$C$12:$C$622, MATCH('Dashboard'!$C$9, 'Dataset_Wisata'!$A$12:$A$622, 0)))/2)^2 + COS(RADIANS(INDEX('Dataset_Wisata'!$C$12:$C$622, MATCH('Dashboard'!$C$9, 'Dataset_Wisata'!$A$12:$A$622, 0)))) * COS(RADIANS(C380)) * SIN(RADIANS((D380) - INDEX('Dataset_Wisata'!$D$12:$D$622, MATCH('Dashboard'!$C$9, 'Dataset_Wisata'!$A$12:$A$622, 0)))/2)^2)) * 1.3</f>
        <v/>
      </c>
      <c r="J380" s="21">
        <f>ROUND(I380 * IF('Dashboard'!$C$6&lt;=1, 2250, IF('Dashboard'!$C$6&lt;=4, 5150, 6000)), 0)</f>
        <v/>
      </c>
      <c r="K380" s="30" t="n">
        <v>0.9870496669289139</v>
      </c>
      <c r="L380" s="30" t="n">
        <v>0.01143708280684991</v>
      </c>
      <c r="M380" s="30" t="n">
        <v>0.001513250264236163</v>
      </c>
      <c r="N380" s="31">
        <f>ABS(E380-$F$6)</f>
        <v/>
      </c>
      <c r="O380" s="31">
        <f>ABS(E380-$F$7)</f>
        <v/>
      </c>
      <c r="P380" s="31">
        <f>ABS(E380-$F$8)</f>
        <v/>
      </c>
      <c r="Q380" s="14">
        <f>IF(K380&gt;=MAX(L380,M380), "Hemat", IF(L380&gt;=M380, "Balanced", "Premium"))</f>
        <v/>
      </c>
      <c r="R380" s="30" t="n">
        <v>0.9870496734017057</v>
      </c>
      <c r="S380" s="30" t="n">
        <v>0.01143707730359993</v>
      </c>
      <c r="T380" s="30" t="n">
        <v>0.00151324929469438</v>
      </c>
      <c r="U380" s="31">
        <f>ABS(E380-$G$6)</f>
        <v/>
      </c>
      <c r="V380" s="31">
        <f>ABS(E380-$G$7)</f>
        <v/>
      </c>
      <c r="W380" s="31">
        <f>ABS(E380-$G$8)</f>
        <v/>
      </c>
      <c r="X380" s="14">
        <f>IF(R380&gt;=MAX(S380,T380), "Hemat", IF(S380&gt;=T380, "Balanced", "Premium"))</f>
        <v/>
      </c>
    </row>
    <row r="381">
      <c r="A381" s="14" t="n">
        <v>370</v>
      </c>
      <c r="B381" s="7" t="inlineStr">
        <is>
          <t>orem-orem AREMA</t>
        </is>
      </c>
      <c r="C381" s="26" t="n">
        <v>-7.9680927</v>
      </c>
      <c r="D381" s="26" t="n">
        <v>112.613661</v>
      </c>
      <c r="E381" s="21" t="n">
        <v>21500</v>
      </c>
      <c r="F381" s="27" t="n">
        <v>4.6</v>
      </c>
      <c r="G381" s="28" t="n">
        <v>1058</v>
      </c>
      <c r="H381" s="14" t="inlineStr">
        <is>
          <t>Wisata Umum</t>
        </is>
      </c>
      <c r="I381" s="29">
        <f>6371 * 2 * ASIN(SQRT(SIN(RADIANS((C381) - INDEX('Dataset_Wisata'!$C$12:$C$622, MATCH('Dashboard'!$C$9, 'Dataset_Wisata'!$A$12:$A$622, 0)))/2)^2 + COS(RADIANS(INDEX('Dataset_Wisata'!$C$12:$C$622, MATCH('Dashboard'!$C$9, 'Dataset_Wisata'!$A$12:$A$622, 0)))) * COS(RADIANS(C381)) * SIN(RADIANS((D381) - INDEX('Dataset_Wisata'!$D$12:$D$622, MATCH('Dashboard'!$C$9, 'Dataset_Wisata'!$A$12:$A$622, 0)))/2)^2)) * 1.3</f>
        <v/>
      </c>
      <c r="J381" s="21">
        <f>ROUND(I381 * IF('Dashboard'!$C$6&lt;=1, 2250, IF('Dashboard'!$C$6&lt;=4, 5150, 6000)), 0)</f>
        <v/>
      </c>
      <c r="K381" s="30" t="n">
        <v>0.175753577330791</v>
      </c>
      <c r="L381" s="30" t="n">
        <v>0.80849487551433</v>
      </c>
      <c r="M381" s="30" t="n">
        <v>0.015751547154879</v>
      </c>
      <c r="N381" s="31">
        <f>ABS(E381-$F$6)</f>
        <v/>
      </c>
      <c r="O381" s="31">
        <f>ABS(E381-$F$7)</f>
        <v/>
      </c>
      <c r="P381" s="31">
        <f>ABS(E381-$F$8)</f>
        <v/>
      </c>
      <c r="Q381" s="14">
        <f>IF(K381&gt;=MAX(L381,M381), "Hemat", IF(L381&gt;=M381, "Balanced", "Premium"))</f>
        <v/>
      </c>
      <c r="R381" s="30" t="n">
        <v>0.1757533562963015</v>
      </c>
      <c r="S381" s="30" t="n">
        <v>0.8084951088955854</v>
      </c>
      <c r="T381" s="30" t="n">
        <v>0.01575153480811302</v>
      </c>
      <c r="U381" s="31">
        <f>ABS(E381-$G$6)</f>
        <v/>
      </c>
      <c r="V381" s="31">
        <f>ABS(E381-$G$7)</f>
        <v/>
      </c>
      <c r="W381" s="31">
        <f>ABS(E381-$G$8)</f>
        <v/>
      </c>
      <c r="X381" s="14">
        <f>IF(R381&gt;=MAX(S381,T381), "Hemat", IF(S381&gt;=T381, "Balanced", "Premium"))</f>
        <v/>
      </c>
    </row>
    <row r="382">
      <c r="A382" s="14" t="n">
        <v>371</v>
      </c>
      <c r="B382" s="7" t="inlineStr">
        <is>
          <t>Pondok Desa</t>
        </is>
      </c>
      <c r="C382" s="26" t="n">
        <v>-7.977038</v>
      </c>
      <c r="D382" s="26" t="n">
        <v>112.623803</v>
      </c>
      <c r="E382" s="21" t="n">
        <v>35000</v>
      </c>
      <c r="F382" s="27" t="n">
        <v>4.8</v>
      </c>
      <c r="G382" s="28" t="n">
        <v>3335</v>
      </c>
      <c r="H382" s="14" t="inlineStr">
        <is>
          <t>Wisata Umum</t>
        </is>
      </c>
      <c r="I382" s="29">
        <f>6371 * 2 * ASIN(SQRT(SIN(RADIANS((C382) - INDEX('Dataset_Wisata'!$C$12:$C$622, MATCH('Dashboard'!$C$9, 'Dataset_Wisata'!$A$12:$A$622, 0)))/2)^2 + COS(RADIANS(INDEX('Dataset_Wisata'!$C$12:$C$622, MATCH('Dashboard'!$C$9, 'Dataset_Wisata'!$A$12:$A$622, 0)))) * COS(RADIANS(C382)) * SIN(RADIANS((D382) - INDEX('Dataset_Wisata'!$D$12:$D$622, MATCH('Dashboard'!$C$9, 'Dataset_Wisata'!$A$12:$A$622, 0)))/2)^2)) * 1.3</f>
        <v/>
      </c>
      <c r="J382" s="21">
        <f>ROUND(I382 * IF('Dashboard'!$C$6&lt;=1, 2250, IF('Dashboard'!$C$6&lt;=4, 5150, 6000)), 0)</f>
        <v/>
      </c>
      <c r="K382" s="30" t="n">
        <v>0.1180363738016001</v>
      </c>
      <c r="L382" s="30" t="n">
        <v>0.6031234159427236</v>
      </c>
      <c r="M382" s="30" t="n">
        <v>0.2788402102556763</v>
      </c>
      <c r="N382" s="31">
        <f>ABS(E382-$F$6)</f>
        <v/>
      </c>
      <c r="O382" s="31">
        <f>ABS(E382-$F$7)</f>
        <v/>
      </c>
      <c r="P382" s="31">
        <f>ABS(E382-$F$8)</f>
        <v/>
      </c>
      <c r="Q382" s="14">
        <f>IF(K382&gt;=MAX(L382,M382), "Hemat", IF(L382&gt;=M382, "Balanced", "Premium"))</f>
        <v/>
      </c>
      <c r="R382" s="30" t="n">
        <v>0.1180363868732592</v>
      </c>
      <c r="S382" s="30" t="n">
        <v>0.6031231824504402</v>
      </c>
      <c r="T382" s="30" t="n">
        <v>0.2788404306763005</v>
      </c>
      <c r="U382" s="31">
        <f>ABS(E382-$G$6)</f>
        <v/>
      </c>
      <c r="V382" s="31">
        <f>ABS(E382-$G$7)</f>
        <v/>
      </c>
      <c r="W382" s="31">
        <f>ABS(E382-$G$8)</f>
        <v/>
      </c>
      <c r="X382" s="14">
        <f>IF(R382&gt;=MAX(S382,T382), "Hemat", IF(S382&gt;=T382, "Balanced", "Premium"))</f>
        <v/>
      </c>
    </row>
    <row r="383">
      <c r="A383" s="14" t="n">
        <v>372</v>
      </c>
      <c r="B383" s="7" t="inlineStr">
        <is>
          <t>Piring Asia</t>
        </is>
      </c>
      <c r="C383" s="26" t="n">
        <v>-7.9724354</v>
      </c>
      <c r="D383" s="26" t="n">
        <v>112.6196354</v>
      </c>
      <c r="E383" s="21" t="n">
        <v>27700</v>
      </c>
      <c r="F383" s="27" t="n">
        <v>4.6</v>
      </c>
      <c r="G383" s="28" t="n">
        <v>2600</v>
      </c>
      <c r="H383" s="14" t="inlineStr">
        <is>
          <t>Wisata Umum</t>
        </is>
      </c>
      <c r="I383" s="29">
        <f>6371 * 2 * ASIN(SQRT(SIN(RADIANS((C383) - INDEX('Dataset_Wisata'!$C$12:$C$622, MATCH('Dashboard'!$C$9, 'Dataset_Wisata'!$A$12:$A$622, 0)))/2)^2 + COS(RADIANS(INDEX('Dataset_Wisata'!$C$12:$C$622, MATCH('Dashboard'!$C$9, 'Dataset_Wisata'!$A$12:$A$622, 0)))) * COS(RADIANS(C383)) * SIN(RADIANS((D383) - INDEX('Dataset_Wisata'!$D$12:$D$622, MATCH('Dashboard'!$C$9, 'Dataset_Wisata'!$A$12:$A$622, 0)))/2)^2)) * 1.3</f>
        <v/>
      </c>
      <c r="J383" s="21">
        <f>ROUND(I383 * IF('Dashboard'!$C$6&lt;=1, 2250, IF('Dashboard'!$C$6&lt;=4, 5150, 6000)), 0)</f>
        <v/>
      </c>
      <c r="K383" s="30" t="n">
        <v>0.02508805314986514</v>
      </c>
      <c r="L383" s="30" t="n">
        <v>0.963497010944855</v>
      </c>
      <c r="M383" s="30" t="n">
        <v>0.01141493590528001</v>
      </c>
      <c r="N383" s="31">
        <f>ABS(E383-$F$6)</f>
        <v/>
      </c>
      <c r="O383" s="31">
        <f>ABS(E383-$F$7)</f>
        <v/>
      </c>
      <c r="P383" s="31">
        <f>ABS(E383-$F$8)</f>
        <v/>
      </c>
      <c r="Q383" s="14">
        <f>IF(K383&gt;=MAX(L383,M383), "Hemat", IF(L383&gt;=M383, "Balanced", "Premium"))</f>
        <v/>
      </c>
      <c r="R383" s="30" t="n">
        <v>0.0250881063870763</v>
      </c>
      <c r="S383" s="30" t="n">
        <v>0.963496927791806</v>
      </c>
      <c r="T383" s="30" t="n">
        <v>0.01141496582111779</v>
      </c>
      <c r="U383" s="31">
        <f>ABS(E383-$G$6)</f>
        <v/>
      </c>
      <c r="V383" s="31">
        <f>ABS(E383-$G$7)</f>
        <v/>
      </c>
      <c r="W383" s="31">
        <f>ABS(E383-$G$8)</f>
        <v/>
      </c>
      <c r="X383" s="14">
        <f>IF(R383&gt;=MAX(S383,T383), "Hemat", IF(S383&gt;=T383, "Balanced", "Premium"))</f>
        <v/>
      </c>
    </row>
    <row r="384">
      <c r="A384" s="14" t="n">
        <v>373</v>
      </c>
      <c r="B384" s="7" t="inlineStr">
        <is>
          <t>Lodeh Porong</t>
        </is>
      </c>
      <c r="C384" s="26" t="n">
        <v>-7.9750888</v>
      </c>
      <c r="D384" s="26" t="n">
        <v>112.6185958</v>
      </c>
      <c r="E384" s="21" t="n">
        <v>15000</v>
      </c>
      <c r="F384" s="27" t="n">
        <v>4.3</v>
      </c>
      <c r="G384" s="28" t="n">
        <v>174</v>
      </c>
      <c r="H384" s="14" t="inlineStr">
        <is>
          <t>Wisata Umum</t>
        </is>
      </c>
      <c r="I384" s="29">
        <f>6371 * 2 * ASIN(SQRT(SIN(RADIANS((C384) - INDEX('Dataset_Wisata'!$C$12:$C$622, MATCH('Dashboard'!$C$9, 'Dataset_Wisata'!$A$12:$A$622, 0)))/2)^2 + COS(RADIANS(INDEX('Dataset_Wisata'!$C$12:$C$622, MATCH('Dashboard'!$C$9, 'Dataset_Wisata'!$A$12:$A$622, 0)))) * COS(RADIANS(C384)) * SIN(RADIANS((D384) - INDEX('Dataset_Wisata'!$D$12:$D$622, MATCH('Dashboard'!$C$9, 'Dataset_Wisata'!$A$12:$A$622, 0)))/2)^2)) * 1.3</f>
        <v/>
      </c>
      <c r="J384" s="21">
        <f>ROUND(I384 * IF('Dashboard'!$C$6&lt;=1, 2250, IF('Dashboard'!$C$6&lt;=4, 5150, 6000)), 0)</f>
        <v/>
      </c>
      <c r="K384" s="30" t="n">
        <v>0.9686283169848018</v>
      </c>
      <c r="L384" s="30" t="n">
        <v>0.02872990537067274</v>
      </c>
      <c r="M384" s="30" t="n">
        <v>0.002641777644525457</v>
      </c>
      <c r="N384" s="31">
        <f>ABS(E384-$F$6)</f>
        <v/>
      </c>
      <c r="O384" s="31">
        <f>ABS(E384-$F$7)</f>
        <v/>
      </c>
      <c r="P384" s="31">
        <f>ABS(E384-$F$8)</f>
        <v/>
      </c>
      <c r="Q384" s="14">
        <f>IF(K384&gt;=MAX(L384,M384), "Hemat", IF(L384&gt;=M384, "Balanced", "Premium"))</f>
        <v/>
      </c>
      <c r="R384" s="30" t="n">
        <v>0.9686282798936615</v>
      </c>
      <c r="S384" s="30" t="n">
        <v>0.02872993996961344</v>
      </c>
      <c r="T384" s="30" t="n">
        <v>0.002641780136725144</v>
      </c>
      <c r="U384" s="31">
        <f>ABS(E384-$G$6)</f>
        <v/>
      </c>
      <c r="V384" s="31">
        <f>ABS(E384-$G$7)</f>
        <v/>
      </c>
      <c r="W384" s="31">
        <f>ABS(E384-$G$8)</f>
        <v/>
      </c>
      <c r="X384" s="14">
        <f>IF(R384&gt;=MAX(S384,T384), "Hemat", IF(S384&gt;=T384, "Balanced", "Premium"))</f>
        <v/>
      </c>
    </row>
    <row r="385">
      <c r="A385" s="14" t="n">
        <v>374</v>
      </c>
      <c r="B385" s="7" t="inlineStr">
        <is>
          <t>Sego Tempong by Cak Uut</t>
        </is>
      </c>
      <c r="C385" s="26" t="n">
        <v>-7.979235</v>
      </c>
      <c r="D385" s="26" t="n">
        <v>112.6313864</v>
      </c>
      <c r="E385" s="21" t="n">
        <v>39000</v>
      </c>
      <c r="F385" s="27" t="n">
        <v>4.6</v>
      </c>
      <c r="G385" s="28" t="n">
        <v>1884</v>
      </c>
      <c r="H385" s="14" t="inlineStr">
        <is>
          <t>Wisata Umum</t>
        </is>
      </c>
      <c r="I385" s="29">
        <f>6371 * 2 * ASIN(SQRT(SIN(RADIANS((C385) - INDEX('Dataset_Wisata'!$C$12:$C$622, MATCH('Dashboard'!$C$9, 'Dataset_Wisata'!$A$12:$A$622, 0)))/2)^2 + COS(RADIANS(INDEX('Dataset_Wisata'!$C$12:$C$622, MATCH('Dashboard'!$C$9, 'Dataset_Wisata'!$A$12:$A$622, 0)))) * COS(RADIANS(C385)) * SIN(RADIANS((D385) - INDEX('Dataset_Wisata'!$D$12:$D$622, MATCH('Dashboard'!$C$9, 'Dataset_Wisata'!$A$12:$A$622, 0)))/2)^2)) * 1.3</f>
        <v/>
      </c>
      <c r="J385" s="21">
        <f>ROUND(I385 * IF('Dashboard'!$C$6&lt;=1, 2250, IF('Dashboard'!$C$6&lt;=4, 5150, 6000)), 0)</f>
        <v/>
      </c>
      <c r="K385" s="30" t="n">
        <v>0.09092231479680435</v>
      </c>
      <c r="L385" s="30" t="n">
        <v>0.3250396123315116</v>
      </c>
      <c r="M385" s="30" t="n">
        <v>0.5840380728716841</v>
      </c>
      <c r="N385" s="31">
        <f>ABS(E385-$F$6)</f>
        <v/>
      </c>
      <c r="O385" s="31">
        <f>ABS(E385-$F$7)</f>
        <v/>
      </c>
      <c r="P385" s="31">
        <f>ABS(E385-$F$8)</f>
        <v/>
      </c>
      <c r="Q385" s="14">
        <f>IF(K385&gt;=MAX(L385,M385), "Hemat", IF(L385&gt;=M385, "Balanced", "Premium"))</f>
        <v/>
      </c>
      <c r="R385" s="30" t="n">
        <v>0.09092227639248113</v>
      </c>
      <c r="S385" s="30" t="n">
        <v>0.3250393633407146</v>
      </c>
      <c r="T385" s="30" t="n">
        <v>0.5840383602668042</v>
      </c>
      <c r="U385" s="31">
        <f>ABS(E385-$G$6)</f>
        <v/>
      </c>
      <c r="V385" s="31">
        <f>ABS(E385-$G$7)</f>
        <v/>
      </c>
      <c r="W385" s="31">
        <f>ABS(E385-$G$8)</f>
        <v/>
      </c>
      <c r="X385" s="14">
        <f>IF(R385&gt;=MAX(S385,T385), "Hemat", IF(S385&gt;=T385, "Balanced", "Premium"))</f>
        <v/>
      </c>
    </row>
    <row r="386">
      <c r="A386" s="14" t="n">
        <v>375</v>
      </c>
      <c r="B386" s="7" t="inlineStr">
        <is>
          <t>Kauri kitchen</t>
        </is>
      </c>
      <c r="C386" s="26" t="n">
        <v>-7.9594245</v>
      </c>
      <c r="D386" s="26" t="n">
        <v>112.5992133</v>
      </c>
      <c r="E386" s="21" t="n">
        <v>41400</v>
      </c>
      <c r="F386" s="27" t="n">
        <v>4.6</v>
      </c>
      <c r="G386" s="28" t="n">
        <v>384</v>
      </c>
      <c r="H386" s="14" t="inlineStr">
        <is>
          <t>Wisata Umum</t>
        </is>
      </c>
      <c r="I386" s="29">
        <f>6371 * 2 * ASIN(SQRT(SIN(RADIANS((C386) - INDEX('Dataset_Wisata'!$C$12:$C$622, MATCH('Dashboard'!$C$9, 'Dataset_Wisata'!$A$12:$A$622, 0)))/2)^2 + COS(RADIANS(INDEX('Dataset_Wisata'!$C$12:$C$622, MATCH('Dashboard'!$C$9, 'Dataset_Wisata'!$A$12:$A$622, 0)))) * COS(RADIANS(C386)) * SIN(RADIANS((D386) - INDEX('Dataset_Wisata'!$D$12:$D$622, MATCH('Dashboard'!$C$9, 'Dataset_Wisata'!$A$12:$A$622, 0)))/2)^2)) * 1.3</f>
        <v/>
      </c>
      <c r="J386" s="21">
        <f>ROUND(I386 * IF('Dashboard'!$C$6&lt;=1, 2250, IF('Dashboard'!$C$6&lt;=4, 5150, 6000)), 0)</f>
        <v/>
      </c>
      <c r="K386" s="30" t="n">
        <v>0.05802445470773969</v>
      </c>
      <c r="L386" s="30" t="n">
        <v>0.1792148611871766</v>
      </c>
      <c r="M386" s="30" t="n">
        <v>0.7627606841050837</v>
      </c>
      <c r="N386" s="31">
        <f>ABS(E386-$F$6)</f>
        <v/>
      </c>
      <c r="O386" s="31">
        <f>ABS(E386-$F$7)</f>
        <v/>
      </c>
      <c r="P386" s="31">
        <f>ABS(E386-$F$8)</f>
        <v/>
      </c>
      <c r="Q386" s="14">
        <f>IF(K386&gt;=MAX(L386,M386), "Hemat", IF(L386&gt;=M386, "Balanced", "Premium"))</f>
        <v/>
      </c>
      <c r="R386" s="30" t="n">
        <v>0.0580244056180742</v>
      </c>
      <c r="S386" s="30" t="n">
        <v>0.1792146577779321</v>
      </c>
      <c r="T386" s="30" t="n">
        <v>0.7627609366039937</v>
      </c>
      <c r="U386" s="31">
        <f>ABS(E386-$G$6)</f>
        <v/>
      </c>
      <c r="V386" s="31">
        <f>ABS(E386-$G$7)</f>
        <v/>
      </c>
      <c r="W386" s="31">
        <f>ABS(E386-$G$8)</f>
        <v/>
      </c>
      <c r="X386" s="14">
        <f>IF(R386&gt;=MAX(S386,T386), "Hemat", IF(S386&gt;=T386, "Balanced", "Premium"))</f>
        <v/>
      </c>
    </row>
    <row r="387">
      <c r="A387" s="14" t="n">
        <v>376</v>
      </c>
      <c r="B387" s="7" t="inlineStr">
        <is>
          <t>Lesehan Bambu1</t>
        </is>
      </c>
      <c r="C387" s="26" t="n">
        <v>-7.957122</v>
      </c>
      <c r="D387" s="26" t="n">
        <v>112.6125086</v>
      </c>
      <c r="E387" s="21" t="n">
        <v>13000</v>
      </c>
      <c r="F387" s="27" t="n">
        <v>4.3</v>
      </c>
      <c r="G387" s="28" t="n">
        <v>1545</v>
      </c>
      <c r="H387" s="14" t="inlineStr">
        <is>
          <t>Wisata Umum</t>
        </is>
      </c>
      <c r="I387" s="29">
        <f>6371 * 2 * ASIN(SQRT(SIN(RADIANS((C387) - INDEX('Dataset_Wisata'!$C$12:$C$622, MATCH('Dashboard'!$C$9, 'Dataset_Wisata'!$A$12:$A$622, 0)))/2)^2 + COS(RADIANS(INDEX('Dataset_Wisata'!$C$12:$C$622, MATCH('Dashboard'!$C$9, 'Dataset_Wisata'!$A$12:$A$622, 0)))) * COS(RADIANS(C387)) * SIN(RADIANS((D387) - INDEX('Dataset_Wisata'!$D$12:$D$622, MATCH('Dashboard'!$C$9, 'Dataset_Wisata'!$A$12:$A$622, 0)))/2)^2)) * 1.3</f>
        <v/>
      </c>
      <c r="J387" s="21">
        <f>ROUND(I387 * IF('Dashboard'!$C$6&lt;=1, 2250, IF('Dashboard'!$C$6&lt;=4, 5150, 6000)), 0)</f>
        <v/>
      </c>
      <c r="K387" s="30" t="n">
        <v>0.9996613401455278</v>
      </c>
      <c r="L387" s="30" t="n">
        <v>0.0003032413982241428</v>
      </c>
      <c r="M387" s="30" t="n">
        <v>3.541845624800055e-05</v>
      </c>
      <c r="N387" s="31">
        <f>ABS(E387-$F$6)</f>
        <v/>
      </c>
      <c r="O387" s="31">
        <f>ABS(E387-$F$7)</f>
        <v/>
      </c>
      <c r="P387" s="31">
        <f>ABS(E387-$F$8)</f>
        <v/>
      </c>
      <c r="Q387" s="14">
        <f>IF(K387&gt;=MAX(L387,M387), "Hemat", IF(L387&gt;=M387, "Balanced", "Premium"))</f>
        <v/>
      </c>
      <c r="R387" s="30" t="n">
        <v>0.9996613420378273</v>
      </c>
      <c r="S387" s="30" t="n">
        <v>0.0003032397098959421</v>
      </c>
      <c r="T387" s="30" t="n">
        <v>3.541825227674828e-05</v>
      </c>
      <c r="U387" s="31">
        <f>ABS(E387-$G$6)</f>
        <v/>
      </c>
      <c r="V387" s="31">
        <f>ABS(E387-$G$7)</f>
        <v/>
      </c>
      <c r="W387" s="31">
        <f>ABS(E387-$G$8)</f>
        <v/>
      </c>
      <c r="X387" s="14">
        <f>IF(R387&gt;=MAX(S387,T387), "Hemat", IF(S387&gt;=T387, "Balanced", "Premium"))</f>
        <v/>
      </c>
    </row>
    <row r="388">
      <c r="A388" s="14" t="n">
        <v>377</v>
      </c>
      <c r="B388" s="7" t="inlineStr">
        <is>
          <t>Warung Meme</t>
        </is>
      </c>
      <c r="C388" s="26" t="n">
        <v>-7.9662515</v>
      </c>
      <c r="D388" s="26" t="n">
        <v>112.6106814</v>
      </c>
      <c r="E388" s="21" t="n">
        <v>17000</v>
      </c>
      <c r="F388" s="27" t="n">
        <v>4.7</v>
      </c>
      <c r="G388" s="28" t="n">
        <v>49</v>
      </c>
      <c r="H388" s="14" t="inlineStr">
        <is>
          <t>Warung Meme</t>
        </is>
      </c>
      <c r="I388" s="29">
        <f>6371 * 2 * ASIN(SQRT(SIN(RADIANS((C388) - INDEX('Dataset_Wisata'!$C$12:$C$622, MATCH('Dashboard'!$C$9, 'Dataset_Wisata'!$A$12:$A$622, 0)))/2)^2 + COS(RADIANS(INDEX('Dataset_Wisata'!$C$12:$C$622, MATCH('Dashboard'!$C$9, 'Dataset_Wisata'!$A$12:$A$622, 0)))) * COS(RADIANS(C388)) * SIN(RADIANS((D388) - INDEX('Dataset_Wisata'!$D$12:$D$622, MATCH('Dashboard'!$C$9, 'Dataset_Wisata'!$A$12:$A$622, 0)))/2)^2)) * 1.3</f>
        <v/>
      </c>
      <c r="J388" s="21">
        <f>ROUND(I388 * IF('Dashboard'!$C$6&lt;=1, 2250, IF('Dashboard'!$C$6&lt;=4, 5150, 6000)), 0)</f>
        <v/>
      </c>
      <c r="K388" s="30" t="n">
        <v>0.8205766965551228</v>
      </c>
      <c r="L388" s="30" t="n">
        <v>0.1680685555538888</v>
      </c>
      <c r="M388" s="30" t="n">
        <v>0.01135474789098826</v>
      </c>
      <c r="N388" s="31">
        <f>ABS(E388-$F$6)</f>
        <v/>
      </c>
      <c r="O388" s="31">
        <f>ABS(E388-$F$7)</f>
        <v/>
      </c>
      <c r="P388" s="31">
        <f>ABS(E388-$F$8)</f>
        <v/>
      </c>
      <c r="Q388" s="14">
        <f>IF(K388&gt;=MAX(L388,M388), "Hemat", IF(L388&gt;=M388, "Balanced", "Premium"))</f>
        <v/>
      </c>
      <c r="R388" s="30" t="n">
        <v>0.8205765551569555</v>
      </c>
      <c r="S388" s="30" t="n">
        <v>0.1680686919268015</v>
      </c>
      <c r="T388" s="30" t="n">
        <v>0.01135475291624307</v>
      </c>
      <c r="U388" s="31">
        <f>ABS(E388-$G$6)</f>
        <v/>
      </c>
      <c r="V388" s="31">
        <f>ABS(E388-$G$7)</f>
        <v/>
      </c>
      <c r="W388" s="31">
        <f>ABS(E388-$G$8)</f>
        <v/>
      </c>
      <c r="X388" s="14">
        <f>IF(R388&gt;=MAX(S388,T388), "Hemat", IF(S388&gt;=T388, "Balanced", "Premium"))</f>
        <v/>
      </c>
    </row>
    <row r="389">
      <c r="A389" s="14" t="n">
        <v>378</v>
      </c>
      <c r="B389" s="7" t="inlineStr">
        <is>
          <t>Ayam Panggang Mbak SRI ono D / H (Nyik Sun) Kayutangan</t>
        </is>
      </c>
      <c r="C389" s="26" t="n">
        <v>-7.9771098</v>
      </c>
      <c r="D389" s="26" t="n">
        <v>112.6248904</v>
      </c>
      <c r="E389" s="21" t="n">
        <v>21000</v>
      </c>
      <c r="F389" s="27" t="n">
        <v>4.3</v>
      </c>
      <c r="G389" s="28" t="n">
        <v>611</v>
      </c>
      <c r="H389" s="14" t="inlineStr">
        <is>
          <t>Wisata Umum</t>
        </is>
      </c>
      <c r="I389" s="29">
        <f>6371 * 2 * ASIN(SQRT(SIN(RADIANS((C389) - INDEX('Dataset_Wisata'!$C$12:$C$622, MATCH('Dashboard'!$C$9, 'Dataset_Wisata'!$A$12:$A$622, 0)))/2)^2 + COS(RADIANS(INDEX('Dataset_Wisata'!$C$12:$C$622, MATCH('Dashboard'!$C$9, 'Dataset_Wisata'!$A$12:$A$622, 0)))) * COS(RADIANS(C389)) * SIN(RADIANS((D389) - INDEX('Dataset_Wisata'!$D$12:$D$622, MATCH('Dashboard'!$C$9, 'Dataset_Wisata'!$A$12:$A$622, 0)))/2)^2)) * 1.3</f>
        <v/>
      </c>
      <c r="J389" s="21">
        <f>ROUND(I389 * IF('Dashboard'!$C$6&lt;=1, 2250, IF('Dashboard'!$C$6&lt;=4, 5150, 6000)), 0)</f>
        <v/>
      </c>
      <c r="K389" s="30" t="n">
        <v>0.2347222334369035</v>
      </c>
      <c r="L389" s="30" t="n">
        <v>0.7473572719448701</v>
      </c>
      <c r="M389" s="30" t="n">
        <v>0.01792049461822643</v>
      </c>
      <c r="N389" s="31">
        <f>ABS(E389-$F$6)</f>
        <v/>
      </c>
      <c r="O389" s="31">
        <f>ABS(E389-$F$7)</f>
        <v/>
      </c>
      <c r="P389" s="31">
        <f>ABS(E389-$F$8)</f>
        <v/>
      </c>
      <c r="Q389" s="14">
        <f>IF(K389&gt;=MAX(L389,M389), "Hemat", IF(L389&gt;=M389, "Balanced", "Premium"))</f>
        <v/>
      </c>
      <c r="R389" s="30" t="n">
        <v>0.2347219863641389</v>
      </c>
      <c r="S389" s="30" t="n">
        <v>0.7473575293118924</v>
      </c>
      <c r="T389" s="30" t="n">
        <v>0.0179204843239686</v>
      </c>
      <c r="U389" s="31">
        <f>ABS(E389-$G$6)</f>
        <v/>
      </c>
      <c r="V389" s="31">
        <f>ABS(E389-$G$7)</f>
        <v/>
      </c>
      <c r="W389" s="31">
        <f>ABS(E389-$G$8)</f>
        <v/>
      </c>
      <c r="X389" s="14">
        <f>IF(R389&gt;=MAX(S389,T389), "Hemat", IF(S389&gt;=T389, "Balanced", "Premium"))</f>
        <v/>
      </c>
    </row>
    <row r="390">
      <c r="A390" s="14" t="n">
        <v>379</v>
      </c>
      <c r="B390" s="7" t="inlineStr">
        <is>
          <t>Warung Barokah 10</t>
        </is>
      </c>
      <c r="C390" s="26" t="n">
        <v>-7.962844</v>
      </c>
      <c r="D390" s="26" t="n">
        <v>112.606945</v>
      </c>
      <c r="E390" s="21" t="n">
        <v>10000</v>
      </c>
      <c r="F390" s="27" t="n">
        <v>4.3</v>
      </c>
      <c r="G390" s="28" t="n">
        <v>511</v>
      </c>
      <c r="H390" s="14" t="inlineStr">
        <is>
          <t>Warung Barokah 10</t>
        </is>
      </c>
      <c r="I390" s="29">
        <f>6371 * 2 * ASIN(SQRT(SIN(RADIANS((C390) - INDEX('Dataset_Wisata'!$C$12:$C$622, MATCH('Dashboard'!$C$9, 'Dataset_Wisata'!$A$12:$A$622, 0)))/2)^2 + COS(RADIANS(INDEX('Dataset_Wisata'!$C$12:$C$622, MATCH('Dashboard'!$C$9, 'Dataset_Wisata'!$A$12:$A$622, 0)))) * COS(RADIANS(C390)) * SIN(RADIANS((D390) - INDEX('Dataset_Wisata'!$D$12:$D$622, MATCH('Dashboard'!$C$9, 'Dataset_Wisata'!$A$12:$A$622, 0)))/2)^2)) * 1.3</f>
        <v/>
      </c>
      <c r="J390" s="21">
        <f>ROUND(I390 * IF('Dashboard'!$C$6&lt;=1, 2250, IF('Dashboard'!$C$6&lt;=4, 5150, 6000)), 0)</f>
        <v/>
      </c>
      <c r="K390" s="30" t="n">
        <v>0.9518906050943107</v>
      </c>
      <c r="L390" s="30" t="n">
        <v>0.04169660451397377</v>
      </c>
      <c r="M390" s="30" t="n">
        <v>0.006412790391715545</v>
      </c>
      <c r="N390" s="31">
        <f>ABS(E390-$F$6)</f>
        <v/>
      </c>
      <c r="O390" s="31">
        <f>ABS(E390-$F$7)</f>
        <v/>
      </c>
      <c r="P390" s="31">
        <f>ABS(E390-$F$8)</f>
        <v/>
      </c>
      <c r="Q390" s="14">
        <f>IF(K390&gt;=MAX(L390,M390), "Hemat", IF(L390&gt;=M390, "Balanced", "Premium"))</f>
        <v/>
      </c>
      <c r="R390" s="30" t="n">
        <v>0.9518906082621517</v>
      </c>
      <c r="S390" s="30" t="n">
        <v>0.04169660246361195</v>
      </c>
      <c r="T390" s="30" t="n">
        <v>0.006412789274236485</v>
      </c>
      <c r="U390" s="31">
        <f>ABS(E390-$G$6)</f>
        <v/>
      </c>
      <c r="V390" s="31">
        <f>ABS(E390-$G$7)</f>
        <v/>
      </c>
      <c r="W390" s="31">
        <f>ABS(E390-$G$8)</f>
        <v/>
      </c>
      <c r="X390" s="14">
        <f>IF(R390&gt;=MAX(S390,T390), "Hemat", IF(S390&gt;=T390, "Balanced", "Premium"))</f>
        <v/>
      </c>
    </row>
    <row r="391">
      <c r="A391" s="14" t="n">
        <v>380</v>
      </c>
      <c r="B391" s="7" t="inlineStr">
        <is>
          <t>Warung Sholawat Nasi Bhuk Hj. Saudah</t>
        </is>
      </c>
      <c r="C391" s="26" t="n">
        <v>-7.9756041</v>
      </c>
      <c r="D391" s="26" t="n">
        <v>112.6197506</v>
      </c>
      <c r="E391" s="21" t="n">
        <v>44000</v>
      </c>
      <c r="F391" s="27" t="n">
        <v>4.1</v>
      </c>
      <c r="G391" s="28" t="n">
        <v>554</v>
      </c>
      <c r="H391" s="14" t="inlineStr">
        <is>
          <t>Wisata Umum</t>
        </is>
      </c>
      <c r="I391" s="29">
        <f>6371 * 2 * ASIN(SQRT(SIN(RADIANS((C391) - INDEX('Dataset_Wisata'!$C$12:$C$622, MATCH('Dashboard'!$C$9, 'Dataset_Wisata'!$A$12:$A$622, 0)))/2)^2 + COS(RADIANS(INDEX('Dataset_Wisata'!$C$12:$C$622, MATCH('Dashboard'!$C$9, 'Dataset_Wisata'!$A$12:$A$622, 0)))) * COS(RADIANS(C391)) * SIN(RADIANS((D391) - INDEX('Dataset_Wisata'!$D$12:$D$622, MATCH('Dashboard'!$C$9, 'Dataset_Wisata'!$A$12:$A$622, 0)))/2)^2)) * 1.3</f>
        <v/>
      </c>
      <c r="J391" s="21">
        <f>ROUND(I391 * IF('Dashboard'!$C$6&lt;=1, 2250, IF('Dashboard'!$C$6&lt;=4, 5150, 6000)), 0)</f>
        <v/>
      </c>
      <c r="K391" s="30" t="n">
        <v>0.02555300043044052</v>
      </c>
      <c r="L391" s="30" t="n">
        <v>0.06971794038775497</v>
      </c>
      <c r="M391" s="30" t="n">
        <v>0.9047290591818045</v>
      </c>
      <c r="N391" s="31">
        <f>ABS(E391-$F$6)</f>
        <v/>
      </c>
      <c r="O391" s="31">
        <f>ABS(E391-$F$7)</f>
        <v/>
      </c>
      <c r="P391" s="31">
        <f>ABS(E391-$F$8)</f>
        <v/>
      </c>
      <c r="Q391" s="14">
        <f>IF(K391&gt;=MAX(L391,M391), "Hemat", IF(L391&gt;=M391, "Balanced", "Premium"))</f>
        <v/>
      </c>
      <c r="R391" s="30" t="n">
        <v>0.02555296060457739</v>
      </c>
      <c r="S391" s="30" t="n">
        <v>0.06971781456747402</v>
      </c>
      <c r="T391" s="30" t="n">
        <v>0.9047292248279486</v>
      </c>
      <c r="U391" s="31">
        <f>ABS(E391-$G$6)</f>
        <v/>
      </c>
      <c r="V391" s="31">
        <f>ABS(E391-$G$7)</f>
        <v/>
      </c>
      <c r="W391" s="31">
        <f>ABS(E391-$G$8)</f>
        <v/>
      </c>
      <c r="X391" s="14">
        <f>IF(R391&gt;=MAX(S391,T391), "Hemat", IF(S391&gt;=T391, "Balanced", "Premium"))</f>
        <v/>
      </c>
    </row>
    <row r="392">
      <c r="A392" s="14" t="n">
        <v>381</v>
      </c>
      <c r="B392" s="7" t="inlineStr">
        <is>
          <t>The Arbanat Kitchen Cafe Lounge</t>
        </is>
      </c>
      <c r="C392" s="26" t="n">
        <v>-7.9721959</v>
      </c>
      <c r="D392" s="26" t="n">
        <v>112.6071336</v>
      </c>
      <c r="E392" s="21" t="n">
        <v>46000</v>
      </c>
      <c r="F392" s="27" t="n">
        <v>4.5</v>
      </c>
      <c r="G392" s="28" t="n">
        <v>2798</v>
      </c>
      <c r="H392" s="14" t="inlineStr">
        <is>
          <t>Wisata Umum</t>
        </is>
      </c>
      <c r="I392" s="29">
        <f>6371 * 2 * ASIN(SQRT(SIN(RADIANS((C392) - INDEX('Dataset_Wisata'!$C$12:$C$622, MATCH('Dashboard'!$C$9, 'Dataset_Wisata'!$A$12:$A$622, 0)))/2)^2 + COS(RADIANS(INDEX('Dataset_Wisata'!$C$12:$C$622, MATCH('Dashboard'!$C$9, 'Dataset_Wisata'!$A$12:$A$622, 0)))) * COS(RADIANS(C392)) * SIN(RADIANS((D392) - INDEX('Dataset_Wisata'!$D$12:$D$622, MATCH('Dashboard'!$C$9, 'Dataset_Wisata'!$A$12:$A$622, 0)))/2)^2)) * 1.3</f>
        <v/>
      </c>
      <c r="J392" s="21">
        <f>ROUND(I392 * IF('Dashboard'!$C$6&lt;=1, 2250, IF('Dashboard'!$C$6&lt;=4, 5150, 6000)), 0)</f>
        <v/>
      </c>
      <c r="K392" s="30" t="n">
        <v>0.009071211782422544</v>
      </c>
      <c r="L392" s="30" t="n">
        <v>0.02289290286490446</v>
      </c>
      <c r="M392" s="30" t="n">
        <v>0.9680358853526729</v>
      </c>
      <c r="N392" s="31">
        <f>ABS(E392-$F$6)</f>
        <v/>
      </c>
      <c r="O392" s="31">
        <f>ABS(E392-$F$7)</f>
        <v/>
      </c>
      <c r="P392" s="31">
        <f>ABS(E392-$F$8)</f>
        <v/>
      </c>
      <c r="Q392" s="14">
        <f>IF(K392&gt;=MAX(L392,M392), "Hemat", IF(L392&gt;=M392, "Balanced", "Premium"))</f>
        <v/>
      </c>
      <c r="R392" s="30" t="n">
        <v>0.009071187151241755</v>
      </c>
      <c r="S392" s="30" t="n">
        <v>0.02289283564914445</v>
      </c>
      <c r="T392" s="30" t="n">
        <v>0.9680359771996138</v>
      </c>
      <c r="U392" s="31">
        <f>ABS(E392-$G$6)</f>
        <v/>
      </c>
      <c r="V392" s="31">
        <f>ABS(E392-$G$7)</f>
        <v/>
      </c>
      <c r="W392" s="31">
        <f>ABS(E392-$G$8)</f>
        <v/>
      </c>
      <c r="X392" s="14">
        <f>IF(R392&gt;=MAX(S392,T392), "Hemat", IF(S392&gt;=T392, "Balanced", "Premium"))</f>
        <v/>
      </c>
    </row>
    <row r="393">
      <c r="A393" s="14" t="n">
        <v>382</v>
      </c>
      <c r="B393" s="7" t="inlineStr">
        <is>
          <t>RJB - Rumah Jagal Bapa</t>
        </is>
      </c>
      <c r="C393" s="26" t="n">
        <v>-7.9622471</v>
      </c>
      <c r="D393" s="26" t="n">
        <v>112.60029</v>
      </c>
      <c r="E393" s="21" t="n">
        <v>90000</v>
      </c>
      <c r="F393" s="27" t="n">
        <v>4.5</v>
      </c>
      <c r="G393" s="28" t="n">
        <v>501</v>
      </c>
      <c r="H393" s="14" t="inlineStr">
        <is>
          <t>Wisata Umum</t>
        </is>
      </c>
      <c r="I393" s="29">
        <f>6371 * 2 * ASIN(SQRT(SIN(RADIANS((C393) - INDEX('Dataset_Wisata'!$C$12:$C$622, MATCH('Dashboard'!$C$9, 'Dataset_Wisata'!$A$12:$A$622, 0)))/2)^2 + COS(RADIANS(INDEX('Dataset_Wisata'!$C$12:$C$622, MATCH('Dashboard'!$C$9, 'Dataset_Wisata'!$A$12:$A$622, 0)))) * COS(RADIANS(C393)) * SIN(RADIANS((D393) - INDEX('Dataset_Wisata'!$D$12:$D$622, MATCH('Dashboard'!$C$9, 'Dataset_Wisata'!$A$12:$A$622, 0)))/2)^2)) * 1.3</f>
        <v/>
      </c>
      <c r="J393" s="21">
        <f>ROUND(I393 * IF('Dashboard'!$C$6&lt;=1, 2250, IF('Dashboard'!$C$6&lt;=4, 5150, 6000)), 0)</f>
        <v/>
      </c>
      <c r="K393" s="30" t="n">
        <v>0.1681110797471914</v>
      </c>
      <c r="L393" s="30" t="n">
        <v>0.2372350751859417</v>
      </c>
      <c r="M393" s="30" t="n">
        <v>0.594653845066867</v>
      </c>
      <c r="N393" s="31">
        <f>ABS(E393-$F$6)</f>
        <v/>
      </c>
      <c r="O393" s="31">
        <f>ABS(E393-$F$7)</f>
        <v/>
      </c>
      <c r="P393" s="31">
        <f>ABS(E393-$F$8)</f>
        <v/>
      </c>
      <c r="Q393" s="14">
        <f>IF(K393&gt;=MAX(L393,M393), "Hemat", IF(L393&gt;=M393, "Balanced", "Premium"))</f>
        <v/>
      </c>
      <c r="R393" s="30" t="n">
        <v>0.1681111022377549</v>
      </c>
      <c r="S393" s="30" t="n">
        <v>0.2372350912085326</v>
      </c>
      <c r="T393" s="30" t="n">
        <v>0.5946538065537126</v>
      </c>
      <c r="U393" s="31">
        <f>ABS(E393-$G$6)</f>
        <v/>
      </c>
      <c r="V393" s="31">
        <f>ABS(E393-$G$7)</f>
        <v/>
      </c>
      <c r="W393" s="31">
        <f>ABS(E393-$G$8)</f>
        <v/>
      </c>
      <c r="X393" s="14">
        <f>IF(R393&gt;=MAX(S393,T393), "Hemat", IF(S393&gt;=T393, "Balanced", "Premium"))</f>
        <v/>
      </c>
    </row>
    <row r="394">
      <c r="A394" s="14" t="n">
        <v>383</v>
      </c>
      <c r="B394" s="7" t="inlineStr">
        <is>
          <t>Warung Bu Marni Prasmanan</t>
        </is>
      </c>
      <c r="C394" s="26" t="n">
        <v>-7.9411244</v>
      </c>
      <c r="D394" s="26" t="n">
        <v>112.6233193</v>
      </c>
      <c r="E394" s="21" t="n">
        <v>15000</v>
      </c>
      <c r="F394" s="27" t="n">
        <v>4.1</v>
      </c>
      <c r="G394" s="28" t="n">
        <v>1228</v>
      </c>
      <c r="H394" s="14" t="inlineStr">
        <is>
          <t>Warung Bu Marni Prasmanan</t>
        </is>
      </c>
      <c r="I394" s="29">
        <f>6371 * 2 * ASIN(SQRT(SIN(RADIANS((C394) - INDEX('Dataset_Wisata'!$C$12:$C$622, MATCH('Dashboard'!$C$9, 'Dataset_Wisata'!$A$12:$A$622, 0)))/2)^2 + COS(RADIANS(INDEX('Dataset_Wisata'!$C$12:$C$622, MATCH('Dashboard'!$C$9, 'Dataset_Wisata'!$A$12:$A$622, 0)))) * COS(RADIANS(C394)) * SIN(RADIANS((D394) - INDEX('Dataset_Wisata'!$D$12:$D$622, MATCH('Dashboard'!$C$9, 'Dataset_Wisata'!$A$12:$A$622, 0)))/2)^2)) * 1.3</f>
        <v/>
      </c>
      <c r="J394" s="21">
        <f>ROUND(I394 * IF('Dashboard'!$C$6&lt;=1, 2250, IF('Dashboard'!$C$6&lt;=4, 5150, 6000)), 0)</f>
        <v/>
      </c>
      <c r="K394" s="30" t="n">
        <v>0.9686283169848018</v>
      </c>
      <c r="L394" s="30" t="n">
        <v>0.02872990537067274</v>
      </c>
      <c r="M394" s="30" t="n">
        <v>0.002641777644525457</v>
      </c>
      <c r="N394" s="31">
        <f>ABS(E394-$F$6)</f>
        <v/>
      </c>
      <c r="O394" s="31">
        <f>ABS(E394-$F$7)</f>
        <v/>
      </c>
      <c r="P394" s="31">
        <f>ABS(E394-$F$8)</f>
        <v/>
      </c>
      <c r="Q394" s="14">
        <f>IF(K394&gt;=MAX(L394,M394), "Hemat", IF(L394&gt;=M394, "Balanced", "Premium"))</f>
        <v/>
      </c>
      <c r="R394" s="30" t="n">
        <v>0.9686282798936615</v>
      </c>
      <c r="S394" s="30" t="n">
        <v>0.02872993996961344</v>
      </c>
      <c r="T394" s="30" t="n">
        <v>0.002641780136725144</v>
      </c>
      <c r="U394" s="31">
        <f>ABS(E394-$G$6)</f>
        <v/>
      </c>
      <c r="V394" s="31">
        <f>ABS(E394-$G$7)</f>
        <v/>
      </c>
      <c r="W394" s="31">
        <f>ABS(E394-$G$8)</f>
        <v/>
      </c>
      <c r="X394" s="14">
        <f>IF(R394&gt;=MAX(S394,T394), "Hemat", IF(S394&gt;=T394, "Balanced", "Premium"))</f>
        <v/>
      </c>
    </row>
    <row r="395">
      <c r="A395" s="14" t="n">
        <v>384</v>
      </c>
      <c r="B395" s="7" t="inlineStr">
        <is>
          <t>Warung Prasmanan Andong</t>
        </is>
      </c>
      <c r="C395" s="26" t="n">
        <v>-7.949006</v>
      </c>
      <c r="D395" s="26" t="n">
        <v>112.618743</v>
      </c>
      <c r="E395" s="21" t="n">
        <v>8500</v>
      </c>
      <c r="F395" s="27" t="n">
        <v>4.5</v>
      </c>
      <c r="G395" s="28" t="n">
        <v>609</v>
      </c>
      <c r="H395" s="14" t="inlineStr">
        <is>
          <t>Warung Prasmanan Andong</t>
        </is>
      </c>
      <c r="I395" s="29">
        <f>6371 * 2 * ASIN(SQRT(SIN(RADIANS((C395) - INDEX('Dataset_Wisata'!$C$12:$C$622, MATCH('Dashboard'!$C$9, 'Dataset_Wisata'!$A$12:$A$622, 0)))/2)^2 + COS(RADIANS(INDEX('Dataset_Wisata'!$C$12:$C$622, MATCH('Dashboard'!$C$9, 'Dataset_Wisata'!$A$12:$A$622, 0)))) * COS(RADIANS(C395)) * SIN(RADIANS((D395) - INDEX('Dataset_Wisata'!$D$12:$D$622, MATCH('Dashboard'!$C$9, 'Dataset_Wisata'!$A$12:$A$622, 0)))/2)^2)) * 1.3</f>
        <v/>
      </c>
      <c r="J395" s="21">
        <f>ROUND(I395 * IF('Dashboard'!$C$6&lt;=1, 2250, IF('Dashboard'!$C$6&lt;=4, 5150, 6000)), 0)</f>
        <v/>
      </c>
      <c r="K395" s="30" t="n">
        <v>0.9160587721709752</v>
      </c>
      <c r="L395" s="30" t="n">
        <v>0.07162949400807068</v>
      </c>
      <c r="M395" s="30" t="n">
        <v>0.01231173382095428</v>
      </c>
      <c r="N395" s="31">
        <f>ABS(E395-$F$6)</f>
        <v/>
      </c>
      <c r="O395" s="31">
        <f>ABS(E395-$F$7)</f>
        <v/>
      </c>
      <c r="P395" s="31">
        <f>ABS(E395-$F$8)</f>
        <v/>
      </c>
      <c r="Q395" s="14">
        <f>IF(K395&gt;=MAX(L395,M395), "Hemat", IF(L395&gt;=M395, "Balanced", "Premium"))</f>
        <v/>
      </c>
      <c r="R395" s="30" t="n">
        <v>0.9160587699176295</v>
      </c>
      <c r="S395" s="30" t="n">
        <v>0.0716294970053437</v>
      </c>
      <c r="T395" s="30" t="n">
        <v>0.01231173307702687</v>
      </c>
      <c r="U395" s="31">
        <f>ABS(E395-$G$6)</f>
        <v/>
      </c>
      <c r="V395" s="31">
        <f>ABS(E395-$G$7)</f>
        <v/>
      </c>
      <c r="W395" s="31">
        <f>ABS(E395-$G$8)</f>
        <v/>
      </c>
      <c r="X395" s="14">
        <f>IF(R395&gt;=MAX(S395,T395), "Hemat", IF(S395&gt;=T395, "Balanced", "Premium"))</f>
        <v/>
      </c>
    </row>
    <row r="396">
      <c r="A396" s="14" t="n">
        <v>385</v>
      </c>
      <c r="B396" s="7" t="inlineStr">
        <is>
          <t>Depot 200</t>
        </is>
      </c>
      <c r="C396" s="26" t="n">
        <v>-7.9372434</v>
      </c>
      <c r="D396" s="26" t="n">
        <v>112.60608</v>
      </c>
      <c r="E396" s="21" t="n">
        <v>19000</v>
      </c>
      <c r="F396" s="27" t="n">
        <v>4.5</v>
      </c>
      <c r="G396" s="28" t="n">
        <v>395</v>
      </c>
      <c r="H396" s="14" t="inlineStr">
        <is>
          <t>Wisata Umum</t>
        </is>
      </c>
      <c r="I396" s="29">
        <f>6371 * 2 * ASIN(SQRT(SIN(RADIANS((C396) - INDEX('Dataset_Wisata'!$C$12:$C$622, MATCH('Dashboard'!$C$9, 'Dataset_Wisata'!$A$12:$A$622, 0)))/2)^2 + COS(RADIANS(INDEX('Dataset_Wisata'!$C$12:$C$622, MATCH('Dashboard'!$C$9, 'Dataset_Wisata'!$A$12:$A$622, 0)))) * COS(RADIANS(C396)) * SIN(RADIANS((D396) - INDEX('Dataset_Wisata'!$D$12:$D$622, MATCH('Dashboard'!$C$9, 'Dataset_Wisata'!$A$12:$A$622, 0)))/2)^2)) * 1.3</f>
        <v/>
      </c>
      <c r="J396" s="21">
        <f>ROUND(I396 * IF('Dashboard'!$C$6&lt;=1, 2250, IF('Dashboard'!$C$6&lt;=4, 5150, 6000)), 0)</f>
        <v/>
      </c>
      <c r="K396" s="30" t="n">
        <v>0.5366761769981572</v>
      </c>
      <c r="L396" s="30" t="n">
        <v>0.4435988772155322</v>
      </c>
      <c r="M396" s="30" t="n">
        <v>0.01972494578631066</v>
      </c>
      <c r="N396" s="31">
        <f>ABS(E396-$F$6)</f>
        <v/>
      </c>
      <c r="O396" s="31">
        <f>ABS(E396-$F$7)</f>
        <v/>
      </c>
      <c r="P396" s="31">
        <f>ABS(E396-$F$8)</f>
        <v/>
      </c>
      <c r="Q396" s="14">
        <f>IF(K396&gt;=MAX(L396,M396), "Hemat", IF(L396&gt;=M396, "Balanced", "Premium"))</f>
        <v/>
      </c>
      <c r="R396" s="30" t="n">
        <v>0.5366759174130455</v>
      </c>
      <c r="S396" s="30" t="n">
        <v>0.443599136184954</v>
      </c>
      <c r="T396" s="30" t="n">
        <v>0.01972494640200039</v>
      </c>
      <c r="U396" s="31">
        <f>ABS(E396-$G$6)</f>
        <v/>
      </c>
      <c r="V396" s="31">
        <f>ABS(E396-$G$7)</f>
        <v/>
      </c>
      <c r="W396" s="31">
        <f>ABS(E396-$G$8)</f>
        <v/>
      </c>
      <c r="X396" s="14">
        <f>IF(R396&gt;=MAX(S396,T396), "Hemat", IF(S396&gt;=T396, "Balanced", "Premium"))</f>
        <v/>
      </c>
    </row>
    <row r="397">
      <c r="A397" s="14" t="n">
        <v>386</v>
      </c>
      <c r="B397" s="7" t="inlineStr">
        <is>
          <t>Gudla - Gudang Lauk</t>
        </is>
      </c>
      <c r="C397" s="26" t="n">
        <v>-7.9449276</v>
      </c>
      <c r="D397" s="26" t="n">
        <v>112.6288876</v>
      </c>
      <c r="E397" s="21" t="n">
        <v>14400</v>
      </c>
      <c r="F397" s="27" t="n">
        <v>4.5</v>
      </c>
      <c r="G397" s="28" t="n">
        <v>466</v>
      </c>
      <c r="H397" s="14" t="inlineStr">
        <is>
          <t>Wisata Umum</t>
        </is>
      </c>
      <c r="I397" s="29">
        <f>6371 * 2 * ASIN(SQRT(SIN(RADIANS((C397) - INDEX('Dataset_Wisata'!$C$12:$C$622, MATCH('Dashboard'!$C$9, 'Dataset_Wisata'!$A$12:$A$622, 0)))/2)^2 + COS(RADIANS(INDEX('Dataset_Wisata'!$C$12:$C$622, MATCH('Dashboard'!$C$9, 'Dataset_Wisata'!$A$12:$A$622, 0)))) * COS(RADIANS(C397)) * SIN(RADIANS((D397) - INDEX('Dataset_Wisata'!$D$12:$D$622, MATCH('Dashboard'!$C$9, 'Dataset_Wisata'!$A$12:$A$622, 0)))/2)^2)) * 1.3</f>
        <v/>
      </c>
      <c r="J397" s="21">
        <f>ROUND(I397 * IF('Dashboard'!$C$6&lt;=1, 2250, IF('Dashboard'!$C$6&lt;=4, 5150, 6000)), 0)</f>
        <v/>
      </c>
      <c r="K397" s="30" t="n">
        <v>0.9873240566394554</v>
      </c>
      <c r="L397" s="30" t="n">
        <v>0.01153000079091936</v>
      </c>
      <c r="M397" s="30" t="n">
        <v>0.00114594256962525</v>
      </c>
      <c r="N397" s="31">
        <f>ABS(E397-$F$6)</f>
        <v/>
      </c>
      <c r="O397" s="31">
        <f>ABS(E397-$F$7)</f>
        <v/>
      </c>
      <c r="P397" s="31">
        <f>ABS(E397-$F$8)</f>
        <v/>
      </c>
      <c r="Q397" s="14">
        <f>IF(K397&gt;=MAX(L397,M397), "Hemat", IF(L397&gt;=M397, "Balanced", "Premium"))</f>
        <v/>
      </c>
      <c r="R397" s="30" t="n">
        <v>0.9873240371200157</v>
      </c>
      <c r="S397" s="30" t="n">
        <v>0.01153001879276005</v>
      </c>
      <c r="T397" s="30" t="n">
        <v>0.001145944087224303</v>
      </c>
      <c r="U397" s="31">
        <f>ABS(E397-$G$6)</f>
        <v/>
      </c>
      <c r="V397" s="31">
        <f>ABS(E397-$G$7)</f>
        <v/>
      </c>
      <c r="W397" s="31">
        <f>ABS(E397-$G$8)</f>
        <v/>
      </c>
      <c r="X397" s="14">
        <f>IF(R397&gt;=MAX(S397,T397), "Hemat", IF(S397&gt;=T397, "Balanced", "Premium"))</f>
        <v/>
      </c>
    </row>
    <row r="398">
      <c r="A398" s="14" t="n">
        <v>387</v>
      </c>
      <c r="B398" s="7" t="inlineStr">
        <is>
          <t>Kedai Pakcik Abin - Melayu Food &amp; Drink</t>
        </is>
      </c>
      <c r="C398" s="26" t="n">
        <v>-7.9445414</v>
      </c>
      <c r="D398" s="26" t="n">
        <v>112.627889</v>
      </c>
      <c r="E398" s="21" t="n">
        <v>26675</v>
      </c>
      <c r="F398" s="27" t="n">
        <v>4.4</v>
      </c>
      <c r="G398" s="28" t="n">
        <v>2754</v>
      </c>
      <c r="H398" s="14" t="inlineStr">
        <is>
          <t>Wisata Umum</t>
        </is>
      </c>
      <c r="I398" s="29">
        <f>6371 * 2 * ASIN(SQRT(SIN(RADIANS((C398) - INDEX('Dataset_Wisata'!$C$12:$C$622, MATCH('Dashboard'!$C$9, 'Dataset_Wisata'!$A$12:$A$622, 0)))/2)^2 + COS(RADIANS(INDEX('Dataset_Wisata'!$C$12:$C$622, MATCH('Dashboard'!$C$9, 'Dataset_Wisata'!$A$12:$A$622, 0)))) * COS(RADIANS(C398)) * SIN(RADIANS((D398) - INDEX('Dataset_Wisata'!$D$12:$D$622, MATCH('Dashboard'!$C$9, 'Dataset_Wisata'!$A$12:$A$622, 0)))/2)^2)) * 1.3</f>
        <v/>
      </c>
      <c r="J398" s="21">
        <f>ROUND(I398 * IF('Dashboard'!$C$6&lt;=1, 2250, IF('Dashboard'!$C$6&lt;=4, 5150, 6000)), 0)</f>
        <v/>
      </c>
      <c r="K398" s="30" t="n">
        <v>0.00938504690416298</v>
      </c>
      <c r="L398" s="30" t="n">
        <v>0.987256081223416</v>
      </c>
      <c r="M398" s="30" t="n">
        <v>0.003358871872421152</v>
      </c>
      <c r="N398" s="31">
        <f>ABS(E398-$F$6)</f>
        <v/>
      </c>
      <c r="O398" s="31">
        <f>ABS(E398-$F$7)</f>
        <v/>
      </c>
      <c r="P398" s="31">
        <f>ABS(E398-$F$8)</f>
        <v/>
      </c>
      <c r="Q398" s="14">
        <f>IF(K398&gt;=MAX(L398,M398), "Hemat", IF(L398&gt;=M398, "Balanced", "Premium"))</f>
        <v/>
      </c>
      <c r="R398" s="30" t="n">
        <v>0.009385083914146775</v>
      </c>
      <c r="S398" s="30" t="n">
        <v>0.9872560293323026</v>
      </c>
      <c r="T398" s="30" t="n">
        <v>0.003358886753550744</v>
      </c>
      <c r="U398" s="31">
        <f>ABS(E398-$G$6)</f>
        <v/>
      </c>
      <c r="V398" s="31">
        <f>ABS(E398-$G$7)</f>
        <v/>
      </c>
      <c r="W398" s="31">
        <f>ABS(E398-$G$8)</f>
        <v/>
      </c>
      <c r="X398" s="14">
        <f>IF(R398&gt;=MAX(S398,T398), "Hemat", IF(S398&gt;=T398, "Balanced", "Premium"))</f>
        <v/>
      </c>
    </row>
    <row r="399">
      <c r="A399" s="14" t="n">
        <v>388</v>
      </c>
      <c r="B399" s="7" t="inlineStr">
        <is>
          <t>Warung TEMA</t>
        </is>
      </c>
      <c r="C399" s="26" t="n">
        <v>-7.9446846</v>
      </c>
      <c r="D399" s="26" t="n">
        <v>112.6190566</v>
      </c>
      <c r="E399" s="21" t="n">
        <v>16500</v>
      </c>
      <c r="F399" s="27" t="n">
        <v>4.7</v>
      </c>
      <c r="G399" s="28" t="n">
        <v>515</v>
      </c>
      <c r="H399" s="14" t="inlineStr">
        <is>
          <t>Warung TEMA</t>
        </is>
      </c>
      <c r="I399" s="29">
        <f>6371 * 2 * ASIN(SQRT(SIN(RADIANS((C399) - INDEX('Dataset_Wisata'!$C$12:$C$622, MATCH('Dashboard'!$C$9, 'Dataset_Wisata'!$A$12:$A$622, 0)))/2)^2 + COS(RADIANS(INDEX('Dataset_Wisata'!$C$12:$C$622, MATCH('Dashboard'!$C$9, 'Dataset_Wisata'!$A$12:$A$622, 0)))) * COS(RADIANS(C399)) * SIN(RADIANS((D399) - INDEX('Dataset_Wisata'!$D$12:$D$622, MATCH('Dashboard'!$C$9, 'Dataset_Wisata'!$A$12:$A$622, 0)))/2)^2)) * 1.3</f>
        <v/>
      </c>
      <c r="J399" s="21">
        <f>ROUND(I399 * IF('Dashboard'!$C$6&lt;=1, 2250, IF('Dashboard'!$C$6&lt;=4, 5150, 6000)), 0)</f>
        <v/>
      </c>
      <c r="K399" s="30" t="n">
        <v>0.8714863278851296</v>
      </c>
      <c r="L399" s="30" t="n">
        <v>0.1197061829079762</v>
      </c>
      <c r="M399" s="30" t="n">
        <v>0.008807489206894295</v>
      </c>
      <c r="N399" s="31">
        <f>ABS(E399-$F$6)</f>
        <v/>
      </c>
      <c r="O399" s="31">
        <f>ABS(E399-$F$7)</f>
        <v/>
      </c>
      <c r="P399" s="31">
        <f>ABS(E399-$F$8)</f>
        <v/>
      </c>
      <c r="Q399" s="14">
        <f>IF(K399&gt;=MAX(L399,M399), "Hemat", IF(L399&gt;=M399, "Balanced", "Premium"))</f>
        <v/>
      </c>
      <c r="R399" s="30" t="n">
        <v>0.8714862185289194</v>
      </c>
      <c r="S399" s="30" t="n">
        <v>0.1197062875326776</v>
      </c>
      <c r="T399" s="30" t="n">
        <v>0.008807493938402942</v>
      </c>
      <c r="U399" s="31">
        <f>ABS(E399-$G$6)</f>
        <v/>
      </c>
      <c r="V399" s="31">
        <f>ABS(E399-$G$7)</f>
        <v/>
      </c>
      <c r="W399" s="31">
        <f>ABS(E399-$G$8)</f>
        <v/>
      </c>
      <c r="X399" s="14">
        <f>IF(R399&gt;=MAX(S399,T399), "Hemat", IF(S399&gt;=T399, "Balanced", "Premium"))</f>
        <v/>
      </c>
    </row>
    <row r="400">
      <c r="A400" s="14" t="n">
        <v>389</v>
      </c>
      <c r="B400" s="7" t="inlineStr">
        <is>
          <t>Rawon Cak Wot</t>
        </is>
      </c>
      <c r="C400" s="26" t="n">
        <v>-7.9442772</v>
      </c>
      <c r="D400" s="26" t="n">
        <v>112.6194422</v>
      </c>
      <c r="E400" s="21" t="n">
        <v>14000</v>
      </c>
      <c r="F400" s="27" t="n">
        <v>4.4</v>
      </c>
      <c r="G400" s="28" t="n">
        <v>226</v>
      </c>
      <c r="H400" s="14" t="inlineStr">
        <is>
          <t>Wisata Umum</t>
        </is>
      </c>
      <c r="I400" s="29">
        <f>6371 * 2 * ASIN(SQRT(SIN(RADIANS((C400) - INDEX('Dataset_Wisata'!$C$12:$C$622, MATCH('Dashboard'!$C$9, 'Dataset_Wisata'!$A$12:$A$622, 0)))/2)^2 + COS(RADIANS(INDEX('Dataset_Wisata'!$C$12:$C$622, MATCH('Dashboard'!$C$9, 'Dataset_Wisata'!$A$12:$A$622, 0)))) * COS(RADIANS(C400)) * SIN(RADIANS((D400) - INDEX('Dataset_Wisata'!$D$12:$D$622, MATCH('Dashboard'!$C$9, 'Dataset_Wisata'!$A$12:$A$622, 0)))/2)^2)) * 1.3</f>
        <v/>
      </c>
      <c r="J400" s="21">
        <f>ROUND(I400 * IF('Dashboard'!$C$6&lt;=1, 2250, IF('Dashboard'!$C$6&lt;=4, 5150, 6000)), 0)</f>
        <v/>
      </c>
      <c r="K400" s="30" t="n">
        <v>0.9947609318027544</v>
      </c>
      <c r="L400" s="30" t="n">
        <v>0.004743992866447784</v>
      </c>
      <c r="M400" s="30" t="n">
        <v>0.0004950753307978607</v>
      </c>
      <c r="N400" s="31">
        <f>ABS(E400-$F$6)</f>
        <v/>
      </c>
      <c r="O400" s="31">
        <f>ABS(E400-$F$7)</f>
        <v/>
      </c>
      <c r="P400" s="31">
        <f>ABS(E400-$F$8)</f>
        <v/>
      </c>
      <c r="Q400" s="14">
        <f>IF(K400&gt;=MAX(L400,M400), "Hemat", IF(L400&gt;=M400, "Balanced", "Premium"))</f>
        <v/>
      </c>
      <c r="R400" s="30" t="n">
        <v>0.9947609208632797</v>
      </c>
      <c r="S400" s="30" t="n">
        <v>0.004744002871971992</v>
      </c>
      <c r="T400" s="30" t="n">
        <v>0.0004950762647482733</v>
      </c>
      <c r="U400" s="31">
        <f>ABS(E400-$G$6)</f>
        <v/>
      </c>
      <c r="V400" s="31">
        <f>ABS(E400-$G$7)</f>
        <v/>
      </c>
      <c r="W400" s="31">
        <f>ABS(E400-$G$8)</f>
        <v/>
      </c>
      <c r="X400" s="14">
        <f>IF(R400&gt;=MAX(S400,T400), "Hemat", IF(S400&gt;=T400, "Balanced", "Premium"))</f>
        <v/>
      </c>
    </row>
    <row r="401">
      <c r="A401" s="14" t="n">
        <v>390</v>
      </c>
      <c r="B401" s="7" t="inlineStr">
        <is>
          <t>Warung Pagi</t>
        </is>
      </c>
      <c r="C401" s="26" t="n">
        <v>-7.9439807</v>
      </c>
      <c r="D401" s="26" t="n">
        <v>112.6102536</v>
      </c>
      <c r="E401" s="21" t="n">
        <v>8000</v>
      </c>
      <c r="F401" s="27" t="n">
        <v>3.9</v>
      </c>
      <c r="G401" s="28" t="n">
        <v>357</v>
      </c>
      <c r="H401" s="14" t="inlineStr">
        <is>
          <t>Warung Pagi</t>
        </is>
      </c>
      <c r="I401" s="29">
        <f>6371 * 2 * ASIN(SQRT(SIN(RADIANS((C401) - INDEX('Dataset_Wisata'!$C$12:$C$622, MATCH('Dashboard'!$C$9, 'Dataset_Wisata'!$A$12:$A$622, 0)))/2)^2 + COS(RADIANS(INDEX('Dataset_Wisata'!$C$12:$C$622, MATCH('Dashboard'!$C$9, 'Dataset_Wisata'!$A$12:$A$622, 0)))) * COS(RADIANS(C401)) * SIN(RADIANS((D401) - INDEX('Dataset_Wisata'!$D$12:$D$622, MATCH('Dashboard'!$C$9, 'Dataset_Wisata'!$A$12:$A$622, 0)))/2)^2)) * 1.3</f>
        <v/>
      </c>
      <c r="J401" s="21">
        <f>ROUND(I401 * IF('Dashboard'!$C$6&lt;=1, 2250, IF('Dashboard'!$C$6&lt;=4, 5150, 6000)), 0)</f>
        <v/>
      </c>
      <c r="K401" s="30" t="n">
        <v>0.9039388019808103</v>
      </c>
      <c r="L401" s="30" t="n">
        <v>0.0815580567645619</v>
      </c>
      <c r="M401" s="30" t="n">
        <v>0.01450314125462772</v>
      </c>
      <c r="N401" s="31">
        <f>ABS(E401-$F$6)</f>
        <v/>
      </c>
      <c r="O401" s="31">
        <f>ABS(E401-$F$7)</f>
        <v/>
      </c>
      <c r="P401" s="31">
        <f>ABS(E401-$F$8)</f>
        <v/>
      </c>
      <c r="Q401" s="14">
        <f>IF(K401&gt;=MAX(L401,M401), "Hemat", IF(L401&gt;=M401, "Balanced", "Premium"))</f>
        <v/>
      </c>
      <c r="R401" s="30" t="n">
        <v>0.9039387979026794</v>
      </c>
      <c r="S401" s="30" t="n">
        <v>0.08155806140566645</v>
      </c>
      <c r="T401" s="30" t="n">
        <v>0.01450314069165419</v>
      </c>
      <c r="U401" s="31">
        <f>ABS(E401-$G$6)</f>
        <v/>
      </c>
      <c r="V401" s="31">
        <f>ABS(E401-$G$7)</f>
        <v/>
      </c>
      <c r="W401" s="31">
        <f>ABS(E401-$G$8)</f>
        <v/>
      </c>
      <c r="X401" s="14">
        <f>IF(R401&gt;=MAX(S401,T401), "Hemat", IF(S401&gt;=T401, "Balanced", "Premium"))</f>
        <v/>
      </c>
    </row>
    <row r="402">
      <c r="A402" s="14" t="n">
        <v>391</v>
      </c>
      <c r="B402" s="7" t="inlineStr">
        <is>
          <t>Warung Dkeprek</t>
        </is>
      </c>
      <c r="C402" s="26" t="n">
        <v>-7.9489346</v>
      </c>
      <c r="D402" s="26" t="n">
        <v>112.6114503</v>
      </c>
      <c r="E402" s="21" t="n">
        <v>21250</v>
      </c>
      <c r="F402" s="27" t="n">
        <v>4.5</v>
      </c>
      <c r="G402" s="28" t="n">
        <v>1186</v>
      </c>
      <c r="H402" s="14" t="inlineStr">
        <is>
          <t>Warung Dkeprek</t>
        </is>
      </c>
      <c r="I402" s="29">
        <f>6371 * 2 * ASIN(SQRT(SIN(RADIANS((C402) - INDEX('Dataset_Wisata'!$C$12:$C$622, MATCH('Dashboard'!$C$9, 'Dataset_Wisata'!$A$12:$A$622, 0)))/2)^2 + COS(RADIANS(INDEX('Dataset_Wisata'!$C$12:$C$622, MATCH('Dashboard'!$C$9, 'Dataset_Wisata'!$A$12:$A$622, 0)))) * COS(RADIANS(C402)) * SIN(RADIANS((D402) - INDEX('Dataset_Wisata'!$D$12:$D$622, MATCH('Dashboard'!$C$9, 'Dataset_Wisata'!$A$12:$A$622, 0)))/2)^2)) * 1.3</f>
        <v/>
      </c>
      <c r="J402" s="21">
        <f>ROUND(I402 * IF('Dashboard'!$C$6&lt;=1, 2250, IF('Dashboard'!$C$6&lt;=4, 5150, 6000)), 0)</f>
        <v/>
      </c>
      <c r="K402" s="30" t="n">
        <v>0.2041033165417085</v>
      </c>
      <c r="L402" s="30" t="n">
        <v>0.778998371679411</v>
      </c>
      <c r="M402" s="30" t="n">
        <v>0.0168983117788804</v>
      </c>
      <c r="N402" s="31">
        <f>ABS(E402-$F$6)</f>
        <v/>
      </c>
      <c r="O402" s="31">
        <f>ABS(E402-$F$7)</f>
        <v/>
      </c>
      <c r="P402" s="31">
        <f>ABS(E402-$F$8)</f>
        <v/>
      </c>
      <c r="Q402" s="14">
        <f>IF(K402&gt;=MAX(L402,M402), "Hemat", IF(L402&gt;=M402, "Balanced", "Premium"))</f>
        <v/>
      </c>
      <c r="R402" s="30" t="n">
        <v>0.2041030817097721</v>
      </c>
      <c r="S402" s="30" t="n">
        <v>0.7789986179134805</v>
      </c>
      <c r="T402" s="30" t="n">
        <v>0.01689830037674728</v>
      </c>
      <c r="U402" s="31">
        <f>ABS(E402-$G$6)</f>
        <v/>
      </c>
      <c r="V402" s="31">
        <f>ABS(E402-$G$7)</f>
        <v/>
      </c>
      <c r="W402" s="31">
        <f>ABS(E402-$G$8)</f>
        <v/>
      </c>
      <c r="X402" s="14">
        <f>IF(R402&gt;=MAX(S402,T402), "Hemat", IF(S402&gt;=T402, "Balanced", "Premium"))</f>
        <v/>
      </c>
    </row>
    <row r="403">
      <c r="A403" s="14" t="n">
        <v>392</v>
      </c>
      <c r="B403" s="7" t="inlineStr">
        <is>
          <t>Depot Ijo</t>
        </is>
      </c>
      <c r="C403" s="26" t="n">
        <v>-7.962314</v>
      </c>
      <c r="D403" s="26" t="n">
        <v>112.6311314</v>
      </c>
      <c r="E403" s="21" t="n">
        <v>22000</v>
      </c>
      <c r="F403" s="27" t="n">
        <v>4.8</v>
      </c>
      <c r="G403" s="28" t="n">
        <v>36</v>
      </c>
      <c r="H403" s="14" t="inlineStr">
        <is>
          <t>Wisata Umum</t>
        </is>
      </c>
      <c r="I403" s="29">
        <f>6371 * 2 * ASIN(SQRT(SIN(RADIANS((C403) - INDEX('Dataset_Wisata'!$C$12:$C$622, MATCH('Dashboard'!$C$9, 'Dataset_Wisata'!$A$12:$A$622, 0)))/2)^2 + COS(RADIANS(INDEX('Dataset_Wisata'!$C$12:$C$622, MATCH('Dashboard'!$C$9, 'Dataset_Wisata'!$A$12:$A$622, 0)))) * COS(RADIANS(C403)) * SIN(RADIANS((D403) - INDEX('Dataset_Wisata'!$D$12:$D$622, MATCH('Dashboard'!$C$9, 'Dataset_Wisata'!$A$12:$A$622, 0)))/2)^2)) * 1.3</f>
        <v/>
      </c>
      <c r="J403" s="21">
        <f>ROUND(I403 * IF('Dashboard'!$C$6&lt;=1, 2250, IF('Dashboard'!$C$6&lt;=4, 5150, 6000)), 0)</f>
        <v/>
      </c>
      <c r="K403" s="30" t="n">
        <v>0.1261169361072687</v>
      </c>
      <c r="L403" s="30" t="n">
        <v>0.8607026272442547</v>
      </c>
      <c r="M403" s="30" t="n">
        <v>0.01318043664847662</v>
      </c>
      <c r="N403" s="31">
        <f>ABS(E403-$F$6)</f>
        <v/>
      </c>
      <c r="O403" s="31">
        <f>ABS(E403-$F$7)</f>
        <v/>
      </c>
      <c r="P403" s="31">
        <f>ABS(E403-$F$8)</f>
        <v/>
      </c>
      <c r="Q403" s="14">
        <f>IF(K403&gt;=MAX(L403,M403), "Hemat", IF(L403&gt;=M403, "Balanced", "Premium"))</f>
        <v/>
      </c>
      <c r="R403" s="30" t="n">
        <v>0.126116746000083</v>
      </c>
      <c r="S403" s="30" t="n">
        <v>0.8607028310146635</v>
      </c>
      <c r="T403" s="30" t="n">
        <v>0.01318042298525341</v>
      </c>
      <c r="U403" s="31">
        <f>ABS(E403-$G$6)</f>
        <v/>
      </c>
      <c r="V403" s="31">
        <f>ABS(E403-$G$7)</f>
        <v/>
      </c>
      <c r="W403" s="31">
        <f>ABS(E403-$G$8)</f>
        <v/>
      </c>
      <c r="X403" s="14">
        <f>IF(R403&gt;=MAX(S403,T403), "Hemat", IF(S403&gt;=T403, "Balanced", "Premium"))</f>
        <v/>
      </c>
    </row>
    <row r="404">
      <c r="A404" s="14" t="n">
        <v>393</v>
      </c>
      <c r="B404" s="7" t="inlineStr">
        <is>
          <t>Warung Makan Pawon Sasak Lombok</t>
        </is>
      </c>
      <c r="C404" s="26" t="n">
        <v>-7.9206535</v>
      </c>
      <c r="D404" s="26" t="n">
        <v>112.5942866</v>
      </c>
      <c r="E404" s="21" t="n">
        <v>13250</v>
      </c>
      <c r="F404" s="27" t="n">
        <v>4.6</v>
      </c>
      <c r="G404" s="28" t="n">
        <v>136</v>
      </c>
      <c r="H404" s="14" t="inlineStr">
        <is>
          <t>Warung Makan Pawon Sasak Lombok</t>
        </is>
      </c>
      <c r="I404" s="29">
        <f>6371 * 2 * ASIN(SQRT(SIN(RADIANS((C404) - INDEX('Dataset_Wisata'!$C$12:$C$622, MATCH('Dashboard'!$C$9, 'Dataset_Wisata'!$A$12:$A$622, 0)))/2)^2 + COS(RADIANS(INDEX('Dataset_Wisata'!$C$12:$C$622, MATCH('Dashboard'!$C$9, 'Dataset_Wisata'!$A$12:$A$622, 0)))) * COS(RADIANS(C404)) * SIN(RADIANS((D404) - INDEX('Dataset_Wisata'!$D$12:$D$622, MATCH('Dashboard'!$C$9, 'Dataset_Wisata'!$A$12:$A$622, 0)))/2)^2)) * 1.3</f>
        <v/>
      </c>
      <c r="J404" s="21">
        <f>ROUND(I404 * IF('Dashboard'!$C$6&lt;=1, 2250, IF('Dashboard'!$C$6&lt;=4, 5150, 6000)), 0)</f>
        <v/>
      </c>
      <c r="K404" s="30" t="n">
        <v>0.9999908697153659</v>
      </c>
      <c r="L404" s="30" t="n">
        <v>8.198232201142681e-06</v>
      </c>
      <c r="M404" s="30" t="n">
        <v>9.320524329763178e-07</v>
      </c>
      <c r="N404" s="31">
        <f>ABS(E404-$F$6)</f>
        <v/>
      </c>
      <c r="O404" s="31">
        <f>ABS(E404-$F$7)</f>
        <v/>
      </c>
      <c r="P404" s="31">
        <f>ABS(E404-$F$8)</f>
        <v/>
      </c>
      <c r="Q404" s="14">
        <f>IF(K404&gt;=MAX(L404,M404), "Hemat", IF(L404&gt;=M404, "Balanced", "Premium"))</f>
        <v/>
      </c>
      <c r="R404" s="30" t="n">
        <v>0.9999908693711771</v>
      </c>
      <c r="S404" s="30" t="n">
        <v>8.19854142010164e-06</v>
      </c>
      <c r="T404" s="30" t="n">
        <v>9.320874028244642e-07</v>
      </c>
      <c r="U404" s="31">
        <f>ABS(E404-$G$6)</f>
        <v/>
      </c>
      <c r="V404" s="31">
        <f>ABS(E404-$G$7)</f>
        <v/>
      </c>
      <c r="W404" s="31">
        <f>ABS(E404-$G$8)</f>
        <v/>
      </c>
      <c r="X404" s="14">
        <f>IF(R404&gt;=MAX(S404,T404), "Hemat", IF(S404&gt;=T404, "Balanced", "Premium"))</f>
        <v/>
      </c>
    </row>
    <row r="405">
      <c r="A405" s="14" t="n">
        <v>394</v>
      </c>
      <c r="B405" s="7" t="inlineStr">
        <is>
          <t>Bukit Delight</t>
        </is>
      </c>
      <c r="C405" s="26" t="n">
        <v>-7.9389171</v>
      </c>
      <c r="D405" s="26" t="n">
        <v>112.5903116</v>
      </c>
      <c r="E405" s="21" t="n">
        <v>24000</v>
      </c>
      <c r="F405" s="27" t="n">
        <v>4.5</v>
      </c>
      <c r="G405" s="28" t="n">
        <v>5652</v>
      </c>
      <c r="H405" s="14" t="inlineStr">
        <is>
          <t>Wisata Umum</t>
        </is>
      </c>
      <c r="I405" s="29">
        <f>6371 * 2 * ASIN(SQRT(SIN(RADIANS((C405) - INDEX('Dataset_Wisata'!$C$12:$C$622, MATCH('Dashboard'!$C$9, 'Dataset_Wisata'!$A$12:$A$622, 0)))/2)^2 + COS(RADIANS(INDEX('Dataset_Wisata'!$C$12:$C$622, MATCH('Dashboard'!$C$9, 'Dataset_Wisata'!$A$12:$A$622, 0)))) * COS(RADIANS(C405)) * SIN(RADIANS((D405) - INDEX('Dataset_Wisata'!$D$12:$D$622, MATCH('Dashboard'!$C$9, 'Dataset_Wisata'!$A$12:$A$622, 0)))/2)^2)) * 1.3</f>
        <v/>
      </c>
      <c r="J405" s="21">
        <f>ROUND(I405 * IF('Dashboard'!$C$6&lt;=1, 2250, IF('Dashboard'!$C$6&lt;=4, 5150, 6000)), 0)</f>
        <v/>
      </c>
      <c r="K405" s="30" t="n">
        <v>0.01566919209799599</v>
      </c>
      <c r="L405" s="30" t="n">
        <v>0.9814549383152572</v>
      </c>
      <c r="M405" s="30" t="n">
        <v>0.002875869586746823</v>
      </c>
      <c r="N405" s="31">
        <f>ABS(E405-$F$6)</f>
        <v/>
      </c>
      <c r="O405" s="31">
        <f>ABS(E405-$F$7)</f>
        <v/>
      </c>
      <c r="P405" s="31">
        <f>ABS(E405-$F$8)</f>
        <v/>
      </c>
      <c r="Q405" s="14">
        <f>IF(K405&gt;=MAX(L405,M405), "Hemat", IF(L405&gt;=M405, "Balanced", "Premium"))</f>
        <v/>
      </c>
      <c r="R405" s="30" t="n">
        <v>0.01566912962873779</v>
      </c>
      <c r="S405" s="30" t="n">
        <v>0.9814550109006157</v>
      </c>
      <c r="T405" s="30" t="n">
        <v>0.002875859470646487</v>
      </c>
      <c r="U405" s="31">
        <f>ABS(E405-$G$6)</f>
        <v/>
      </c>
      <c r="V405" s="31">
        <f>ABS(E405-$G$7)</f>
        <v/>
      </c>
      <c r="W405" s="31">
        <f>ABS(E405-$G$8)</f>
        <v/>
      </c>
      <c r="X405" s="14">
        <f>IF(R405&gt;=MAX(S405,T405), "Hemat", IF(S405&gt;=T405, "Balanced", "Premium"))</f>
        <v/>
      </c>
    </row>
    <row r="406">
      <c r="A406" s="14" t="n">
        <v>395</v>
      </c>
      <c r="B406" s="7" t="inlineStr">
        <is>
          <t>Warung Mak Par</t>
        </is>
      </c>
      <c r="C406" s="26" t="n">
        <v>-7.9423788</v>
      </c>
      <c r="D406" s="26" t="n">
        <v>112.5971231</v>
      </c>
      <c r="E406" s="21" t="n">
        <v>11250</v>
      </c>
      <c r="F406" s="27" t="n">
        <v>4.6</v>
      </c>
      <c r="G406" s="28" t="n">
        <v>1702</v>
      </c>
      <c r="H406" s="14" t="inlineStr">
        <is>
          <t>Warung Mak Par</t>
        </is>
      </c>
      <c r="I406" s="29">
        <f>6371 * 2 * ASIN(SQRT(SIN(RADIANS((C406) - INDEX('Dataset_Wisata'!$C$12:$C$622, MATCH('Dashboard'!$C$9, 'Dataset_Wisata'!$A$12:$A$622, 0)))/2)^2 + COS(RADIANS(INDEX('Dataset_Wisata'!$C$12:$C$622, MATCH('Dashboard'!$C$9, 'Dataset_Wisata'!$A$12:$A$622, 0)))) * COS(RADIANS(C406)) * SIN(RADIANS((D406) - INDEX('Dataset_Wisata'!$D$12:$D$622, MATCH('Dashboard'!$C$9, 'Dataset_Wisata'!$A$12:$A$622, 0)))/2)^2)) * 1.3</f>
        <v/>
      </c>
      <c r="J406" s="21">
        <f>ROUND(I406 * IF('Dashboard'!$C$6&lt;=1, 2250, IF('Dashboard'!$C$6&lt;=4, 5150, 6000)), 0)</f>
        <v/>
      </c>
      <c r="K406" s="30" t="n">
        <v>0.9783982477961276</v>
      </c>
      <c r="L406" s="30" t="n">
        <v>0.01897413971805154</v>
      </c>
      <c r="M406" s="30" t="n">
        <v>0.002627612485820865</v>
      </c>
      <c r="N406" s="31">
        <f>ABS(E406-$F$6)</f>
        <v/>
      </c>
      <c r="O406" s="31">
        <f>ABS(E406-$F$7)</f>
        <v/>
      </c>
      <c r="P406" s="31">
        <f>ABS(E406-$F$8)</f>
        <v/>
      </c>
      <c r="Q406" s="14">
        <f>IF(K406&gt;=MAX(L406,M406), "Hemat", IF(L406&gt;=M406, "Balanced", "Premium"))</f>
        <v/>
      </c>
      <c r="R406" s="30" t="n">
        <v>0.9783982540382206</v>
      </c>
      <c r="S406" s="30" t="n">
        <v>0.01897413457831565</v>
      </c>
      <c r="T406" s="30" t="n">
        <v>0.002627611383463898</v>
      </c>
      <c r="U406" s="31">
        <f>ABS(E406-$G$6)</f>
        <v/>
      </c>
      <c r="V406" s="31">
        <f>ABS(E406-$G$7)</f>
        <v/>
      </c>
      <c r="W406" s="31">
        <f>ABS(E406-$G$8)</f>
        <v/>
      </c>
      <c r="X406" s="14">
        <f>IF(R406&gt;=MAX(S406,T406), "Hemat", IF(S406&gt;=T406, "Balanced", "Premium"))</f>
        <v/>
      </c>
    </row>
    <row r="407">
      <c r="A407" s="14" t="n">
        <v>396</v>
      </c>
      <c r="B407" s="7" t="inlineStr">
        <is>
          <t>Warung Nasi Bu Pah</t>
        </is>
      </c>
      <c r="C407" s="26" t="n">
        <v>-7.9479565</v>
      </c>
      <c r="D407" s="26" t="n">
        <v>112.6088939</v>
      </c>
      <c r="E407" s="21" t="n">
        <v>15500</v>
      </c>
      <c r="F407" s="27" t="n">
        <v>4.8</v>
      </c>
      <c r="G407" s="28" t="n">
        <v>135</v>
      </c>
      <c r="H407" s="14" t="inlineStr">
        <is>
          <t>Warung Nasi Bu Pah</t>
        </is>
      </c>
      <c r="I407" s="29">
        <f>6371 * 2 * ASIN(SQRT(SIN(RADIANS((C407) - INDEX('Dataset_Wisata'!$C$12:$C$622, MATCH('Dashboard'!$C$9, 'Dataset_Wisata'!$A$12:$A$622, 0)))/2)^2 + COS(RADIANS(INDEX('Dataset_Wisata'!$C$12:$C$622, MATCH('Dashboard'!$C$9, 'Dataset_Wisata'!$A$12:$A$622, 0)))) * COS(RADIANS(C407)) * SIN(RADIANS((D407) - INDEX('Dataset_Wisata'!$D$12:$D$622, MATCH('Dashboard'!$C$9, 'Dataset_Wisata'!$A$12:$A$622, 0)))/2)^2)) * 1.3</f>
        <v/>
      </c>
      <c r="J407" s="21">
        <f>ROUND(I407 * IF('Dashboard'!$C$6&lt;=1, 2250, IF('Dashboard'!$C$6&lt;=4, 5150, 6000)), 0)</f>
        <v/>
      </c>
      <c r="K407" s="30" t="n">
        <v>0.9449432442408515</v>
      </c>
      <c r="L407" s="30" t="n">
        <v>0.05070687831140908</v>
      </c>
      <c r="M407" s="30" t="n">
        <v>0.004349877447739512</v>
      </c>
      <c r="N407" s="31">
        <f>ABS(E407-$F$6)</f>
        <v/>
      </c>
      <c r="O407" s="31">
        <f>ABS(E407-$F$7)</f>
        <v/>
      </c>
      <c r="P407" s="31">
        <f>ABS(E407-$F$8)</f>
        <v/>
      </c>
      <c r="Q407" s="14">
        <f>IF(K407&gt;=MAX(L407,M407), "Hemat", IF(L407&gt;=M407, "Balanced", "Premium"))</f>
        <v/>
      </c>
      <c r="R407" s="30" t="n">
        <v>0.944943187640449</v>
      </c>
      <c r="S407" s="30" t="n">
        <v>0.05070693157515045</v>
      </c>
      <c r="T407" s="30" t="n">
        <v>0.004349880784400502</v>
      </c>
      <c r="U407" s="31">
        <f>ABS(E407-$G$6)</f>
        <v/>
      </c>
      <c r="V407" s="31">
        <f>ABS(E407-$G$7)</f>
        <v/>
      </c>
      <c r="W407" s="31">
        <f>ABS(E407-$G$8)</f>
        <v/>
      </c>
      <c r="X407" s="14">
        <f>IF(R407&gt;=MAX(S407,T407), "Hemat", IF(S407&gt;=T407, "Balanced", "Premium"))</f>
        <v/>
      </c>
    </row>
    <row r="408">
      <c r="A408" s="14" t="n">
        <v>397</v>
      </c>
      <c r="B408" s="7" t="inlineStr">
        <is>
          <t>Depot Mentari</t>
        </is>
      </c>
      <c r="C408" s="26" t="n">
        <v>-7.9387725</v>
      </c>
      <c r="D408" s="26" t="n">
        <v>112.6333279</v>
      </c>
      <c r="E408" s="21" t="n">
        <v>25000</v>
      </c>
      <c r="F408" s="27" t="n">
        <v>4.4</v>
      </c>
      <c r="G408" s="28" t="n">
        <v>119</v>
      </c>
      <c r="H408" s="14" t="inlineStr">
        <is>
          <t>Wisata Umum</t>
        </is>
      </c>
      <c r="I408" s="29">
        <f>6371 * 2 * ASIN(SQRT(SIN(RADIANS((C408) - INDEX('Dataset_Wisata'!$C$12:$C$622, MATCH('Dashboard'!$C$9, 'Dataset_Wisata'!$A$12:$A$622, 0)))/2)^2 + COS(RADIANS(INDEX('Dataset_Wisata'!$C$12:$C$622, MATCH('Dashboard'!$C$9, 'Dataset_Wisata'!$A$12:$A$622, 0)))) * COS(RADIANS(C408)) * SIN(RADIANS((D408) - INDEX('Dataset_Wisata'!$D$12:$D$622, MATCH('Dashboard'!$C$9, 'Dataset_Wisata'!$A$12:$A$622, 0)))/2)^2)) * 1.3</f>
        <v/>
      </c>
      <c r="J408" s="21">
        <f>ROUND(I408 * IF('Dashboard'!$C$6&lt;=1, 2250, IF('Dashboard'!$C$6&lt;=4, 5150, 6000)), 0)</f>
        <v/>
      </c>
      <c r="K408" s="30" t="n">
        <v>0.0009460509590550509</v>
      </c>
      <c r="L408" s="30" t="n">
        <v>0.9988291129147837</v>
      </c>
      <c r="M408" s="30" t="n">
        <v>0.0002248361261612175</v>
      </c>
      <c r="N408" s="31">
        <f>ABS(E408-$F$6)</f>
        <v/>
      </c>
      <c r="O408" s="31">
        <f>ABS(E408-$F$7)</f>
        <v/>
      </c>
      <c r="P408" s="31">
        <f>ABS(E408-$F$8)</f>
        <v/>
      </c>
      <c r="Q408" s="14">
        <f>IF(K408&gt;=MAX(L408,M408), "Hemat", IF(L408&gt;=M408, "Balanced", "Premium"))</f>
        <v/>
      </c>
      <c r="R408" s="30" t="n">
        <v>0.0009460368639408893</v>
      </c>
      <c r="S408" s="30" t="n">
        <v>0.998829130253259</v>
      </c>
      <c r="T408" s="30" t="n">
        <v>0.0002248328828000856</v>
      </c>
      <c r="U408" s="31">
        <f>ABS(E408-$G$6)</f>
        <v/>
      </c>
      <c r="V408" s="31">
        <f>ABS(E408-$G$7)</f>
        <v/>
      </c>
      <c r="W408" s="31">
        <f>ABS(E408-$G$8)</f>
        <v/>
      </c>
      <c r="X408" s="14">
        <f>IF(R408&gt;=MAX(S408,T408), "Hemat", IF(S408&gt;=T408, "Balanced", "Premium"))</f>
        <v/>
      </c>
    </row>
    <row r="409">
      <c r="A409" s="14" t="n">
        <v>398</v>
      </c>
      <c r="B409" s="7" t="inlineStr">
        <is>
          <t>Warung Dacil</t>
        </is>
      </c>
      <c r="C409" s="26" t="n">
        <v>-7.9502328</v>
      </c>
      <c r="D409" s="26" t="n">
        <v>112.6110715</v>
      </c>
      <c r="E409" s="21" t="n">
        <v>15500</v>
      </c>
      <c r="F409" s="27" t="n">
        <v>4.2</v>
      </c>
      <c r="G409" s="28" t="n">
        <v>600</v>
      </c>
      <c r="H409" s="14" t="inlineStr">
        <is>
          <t>Warung Dacil</t>
        </is>
      </c>
      <c r="I409" s="29">
        <f>6371 * 2 * ASIN(SQRT(SIN(RADIANS((C409) - INDEX('Dataset_Wisata'!$C$12:$C$622, MATCH('Dashboard'!$C$9, 'Dataset_Wisata'!$A$12:$A$622, 0)))/2)^2 + COS(RADIANS(INDEX('Dataset_Wisata'!$C$12:$C$622, MATCH('Dashboard'!$C$9, 'Dataset_Wisata'!$A$12:$A$622, 0)))) * COS(RADIANS(C409)) * SIN(RADIANS((D409) - INDEX('Dataset_Wisata'!$D$12:$D$622, MATCH('Dashboard'!$C$9, 'Dataset_Wisata'!$A$12:$A$622, 0)))/2)^2)) * 1.3</f>
        <v/>
      </c>
      <c r="J409" s="21">
        <f>ROUND(I409 * IF('Dashboard'!$C$6&lt;=1, 2250, IF('Dashboard'!$C$6&lt;=4, 5150, 6000)), 0)</f>
        <v/>
      </c>
      <c r="K409" s="30" t="n">
        <v>0.9449432442408515</v>
      </c>
      <c r="L409" s="30" t="n">
        <v>0.05070687831140908</v>
      </c>
      <c r="M409" s="30" t="n">
        <v>0.004349877447739512</v>
      </c>
      <c r="N409" s="31">
        <f>ABS(E409-$F$6)</f>
        <v/>
      </c>
      <c r="O409" s="31">
        <f>ABS(E409-$F$7)</f>
        <v/>
      </c>
      <c r="P409" s="31">
        <f>ABS(E409-$F$8)</f>
        <v/>
      </c>
      <c r="Q409" s="14">
        <f>IF(K409&gt;=MAX(L409,M409), "Hemat", IF(L409&gt;=M409, "Balanced", "Premium"))</f>
        <v/>
      </c>
      <c r="R409" s="30" t="n">
        <v>0.944943187640449</v>
      </c>
      <c r="S409" s="30" t="n">
        <v>0.05070693157515045</v>
      </c>
      <c r="T409" s="30" t="n">
        <v>0.004349880784400502</v>
      </c>
      <c r="U409" s="31">
        <f>ABS(E409-$G$6)</f>
        <v/>
      </c>
      <c r="V409" s="31">
        <f>ABS(E409-$G$7)</f>
        <v/>
      </c>
      <c r="W409" s="31">
        <f>ABS(E409-$G$8)</f>
        <v/>
      </c>
      <c r="X409" s="14">
        <f>IF(R409&gt;=MAX(S409,T409), "Hemat", IF(S409&gt;=T409, "Balanced", "Premium"))</f>
        <v/>
      </c>
    </row>
    <row r="410">
      <c r="A410" s="14" t="n">
        <v>399</v>
      </c>
      <c r="B410" s="7" t="inlineStr">
        <is>
          <t>WARUNG LPI , Catering murah malang</t>
        </is>
      </c>
      <c r="C410" s="26" t="n">
        <v>-7.9487187</v>
      </c>
      <c r="D410" s="26" t="n">
        <v>112.6106684</v>
      </c>
      <c r="E410" s="21" t="n">
        <v>15000</v>
      </c>
      <c r="F410" s="27" t="n">
        <v>4.8</v>
      </c>
      <c r="G410" s="28" t="n">
        <v>53</v>
      </c>
      <c r="H410" s="14" t="inlineStr">
        <is>
          <t>Wisata Umum</t>
        </is>
      </c>
      <c r="I410" s="29">
        <f>6371 * 2 * ASIN(SQRT(SIN(RADIANS((C410) - INDEX('Dataset_Wisata'!$C$12:$C$622, MATCH('Dashboard'!$C$9, 'Dataset_Wisata'!$A$12:$A$622, 0)))/2)^2 + COS(RADIANS(INDEX('Dataset_Wisata'!$C$12:$C$622, MATCH('Dashboard'!$C$9, 'Dataset_Wisata'!$A$12:$A$622, 0)))) * COS(RADIANS(C410)) * SIN(RADIANS((D410) - INDEX('Dataset_Wisata'!$D$12:$D$622, MATCH('Dashboard'!$C$9, 'Dataset_Wisata'!$A$12:$A$622, 0)))/2)^2)) * 1.3</f>
        <v/>
      </c>
      <c r="J410" s="21">
        <f>ROUND(I410 * IF('Dashboard'!$C$6&lt;=1, 2250, IF('Dashboard'!$C$6&lt;=4, 5150, 6000)), 0)</f>
        <v/>
      </c>
      <c r="K410" s="30" t="n">
        <v>0.9686283169848018</v>
      </c>
      <c r="L410" s="30" t="n">
        <v>0.02872990537067274</v>
      </c>
      <c r="M410" s="30" t="n">
        <v>0.002641777644525457</v>
      </c>
      <c r="N410" s="31">
        <f>ABS(E410-$F$6)</f>
        <v/>
      </c>
      <c r="O410" s="31">
        <f>ABS(E410-$F$7)</f>
        <v/>
      </c>
      <c r="P410" s="31">
        <f>ABS(E410-$F$8)</f>
        <v/>
      </c>
      <c r="Q410" s="14">
        <f>IF(K410&gt;=MAX(L410,M410), "Hemat", IF(L410&gt;=M410, "Balanced", "Premium"))</f>
        <v/>
      </c>
      <c r="R410" s="30" t="n">
        <v>0.9686282798936615</v>
      </c>
      <c r="S410" s="30" t="n">
        <v>0.02872993996961344</v>
      </c>
      <c r="T410" s="30" t="n">
        <v>0.002641780136725144</v>
      </c>
      <c r="U410" s="31">
        <f>ABS(E410-$G$6)</f>
        <v/>
      </c>
      <c r="V410" s="31">
        <f>ABS(E410-$G$7)</f>
        <v/>
      </c>
      <c r="W410" s="31">
        <f>ABS(E410-$G$8)</f>
        <v/>
      </c>
      <c r="X410" s="14">
        <f>IF(R410&gt;=MAX(S410,T410), "Hemat", IF(S410&gt;=T410, "Balanced", "Premium"))</f>
        <v/>
      </c>
    </row>
    <row r="411">
      <c r="A411" s="14" t="n">
        <v>400</v>
      </c>
      <c r="B411" s="7" t="inlineStr">
        <is>
          <t>Warung Makan by Arjuna</t>
        </is>
      </c>
      <c r="C411" s="26" t="n">
        <v>-7.9271353</v>
      </c>
      <c r="D411" s="26" t="n">
        <v>112.591653</v>
      </c>
      <c r="E411" s="21" t="n">
        <v>10500</v>
      </c>
      <c r="F411" s="27" t="n">
        <v>4.8</v>
      </c>
      <c r="G411" s="28" t="n">
        <v>56</v>
      </c>
      <c r="H411" s="14" t="inlineStr">
        <is>
          <t>Warung Makan by Arjuna</t>
        </is>
      </c>
      <c r="I411" s="29">
        <f>6371 * 2 * ASIN(SQRT(SIN(RADIANS((C411) - INDEX('Dataset_Wisata'!$C$12:$C$622, MATCH('Dashboard'!$C$9, 'Dataset_Wisata'!$A$12:$A$622, 0)))/2)^2 + COS(RADIANS(INDEX('Dataset_Wisata'!$C$12:$C$622, MATCH('Dashboard'!$C$9, 'Dataset_Wisata'!$A$12:$A$622, 0)))) * COS(RADIANS(C411)) * SIN(RADIANS((D411) - INDEX('Dataset_Wisata'!$D$12:$D$622, MATCH('Dashboard'!$C$9, 'Dataset_Wisata'!$A$12:$A$622, 0)))/2)^2)) * 1.3</f>
        <v/>
      </c>
      <c r="J411" s="21">
        <f>ROUND(I411 * IF('Dashboard'!$C$6&lt;=1, 2250, IF('Dashboard'!$C$6&lt;=4, 5150, 6000)), 0)</f>
        <v/>
      </c>
      <c r="K411" s="30" t="n">
        <v>0.9631066912928858</v>
      </c>
      <c r="L411" s="30" t="n">
        <v>0.0321455821344861</v>
      </c>
      <c r="M411" s="30" t="n">
        <v>0.004747726572627954</v>
      </c>
      <c r="N411" s="31">
        <f>ABS(E411-$F$6)</f>
        <v/>
      </c>
      <c r="O411" s="31">
        <f>ABS(E411-$F$7)</f>
        <v/>
      </c>
      <c r="P411" s="31">
        <f>ABS(E411-$F$8)</f>
        <v/>
      </c>
      <c r="Q411" s="14">
        <f>IF(K411&gt;=MAX(L411,M411), "Hemat", IF(L411&gt;=M411, "Balanced", "Premium"))</f>
        <v/>
      </c>
      <c r="R411" s="30" t="n">
        <v>0.963106695983622</v>
      </c>
      <c r="S411" s="30" t="n">
        <v>0.03214557860147575</v>
      </c>
      <c r="T411" s="30" t="n">
        <v>0.004747725414902122</v>
      </c>
      <c r="U411" s="31">
        <f>ABS(E411-$G$6)</f>
        <v/>
      </c>
      <c r="V411" s="31">
        <f>ABS(E411-$G$7)</f>
        <v/>
      </c>
      <c r="W411" s="31">
        <f>ABS(E411-$G$8)</f>
        <v/>
      </c>
      <c r="X411" s="14">
        <f>IF(R411&gt;=MAX(S411,T411), "Hemat", IF(S411&gt;=T411, "Balanced", "Premium"))</f>
        <v/>
      </c>
    </row>
    <row r="412">
      <c r="A412" s="14" t="n">
        <v>401</v>
      </c>
      <c r="B412" s="7" t="inlineStr">
        <is>
          <t>Dapur Enak Eco-Cab. Karangploso</t>
        </is>
      </c>
      <c r="C412" s="26" t="n">
        <v>-7.9078796</v>
      </c>
      <c r="D412" s="26" t="n">
        <v>112.616241</v>
      </c>
      <c r="E412" s="21" t="n">
        <v>19500</v>
      </c>
      <c r="F412" s="27" t="n">
        <v>4.5</v>
      </c>
      <c r="G412" s="28" t="n">
        <v>777</v>
      </c>
      <c r="H412" s="14" t="inlineStr">
        <is>
          <t>Wisata Umum</t>
        </is>
      </c>
      <c r="I412" s="29">
        <f>6371 * 2 * ASIN(SQRT(SIN(RADIANS((C412) - INDEX('Dataset_Wisata'!$C$12:$C$622, MATCH('Dashboard'!$C$9, 'Dataset_Wisata'!$A$12:$A$622, 0)))/2)^2 + COS(RADIANS(INDEX('Dataset_Wisata'!$C$12:$C$622, MATCH('Dashboard'!$C$9, 'Dataset_Wisata'!$A$12:$A$622, 0)))) * COS(RADIANS(C412)) * SIN(RADIANS((D412) - INDEX('Dataset_Wisata'!$D$12:$D$622, MATCH('Dashboard'!$C$9, 'Dataset_Wisata'!$A$12:$A$622, 0)))/2)^2)) * 1.3</f>
        <v/>
      </c>
      <c r="J412" s="21">
        <f>ROUND(I412 * IF('Dashboard'!$C$6&lt;=1, 2250, IF('Dashboard'!$C$6&lt;=4, 5150, 6000)), 0)</f>
        <v/>
      </c>
      <c r="K412" s="30" t="n">
        <v>0.4557889535565174</v>
      </c>
      <c r="L412" s="30" t="n">
        <v>0.5237659720581146</v>
      </c>
      <c r="M412" s="30" t="n">
        <v>0.02044507438536788</v>
      </c>
      <c r="N412" s="31">
        <f>ABS(E412-$F$6)</f>
        <v/>
      </c>
      <c r="O412" s="31">
        <f>ABS(E412-$F$7)</f>
        <v/>
      </c>
      <c r="P412" s="31">
        <f>ABS(E412-$F$8)</f>
        <v/>
      </c>
      <c r="Q412" s="14">
        <f>IF(K412&gt;=MAX(L412,M412), "Hemat", IF(L412&gt;=M412, "Balanced", "Premium"))</f>
        <v/>
      </c>
      <c r="R412" s="30" t="n">
        <v>0.4557886811023241</v>
      </c>
      <c r="S412" s="30" t="n">
        <v>0.523766246469491</v>
      </c>
      <c r="T412" s="30" t="n">
        <v>0.02044507242818502</v>
      </c>
      <c r="U412" s="31">
        <f>ABS(E412-$G$6)</f>
        <v/>
      </c>
      <c r="V412" s="31">
        <f>ABS(E412-$G$7)</f>
        <v/>
      </c>
      <c r="W412" s="31">
        <f>ABS(E412-$G$8)</f>
        <v/>
      </c>
      <c r="X412" s="14">
        <f>IF(R412&gt;=MAX(S412,T412), "Hemat", IF(S412&gt;=T412, "Balanced", "Premium"))</f>
        <v/>
      </c>
    </row>
    <row r="413">
      <c r="A413" s="14" t="n">
        <v>402</v>
      </c>
      <c r="B413" s="7" t="inlineStr">
        <is>
          <t>Warung Nasi Dermo 42</t>
        </is>
      </c>
      <c r="C413" s="26" t="n">
        <v>-7.9254403</v>
      </c>
      <c r="D413" s="26" t="n">
        <v>112.5885162</v>
      </c>
      <c r="E413" s="21" t="n">
        <v>10000</v>
      </c>
      <c r="F413" s="27" t="n">
        <v>4.7</v>
      </c>
      <c r="G413" s="28" t="n">
        <v>668</v>
      </c>
      <c r="H413" s="14" t="inlineStr">
        <is>
          <t>Warung Nasi Dermo 42</t>
        </is>
      </c>
      <c r="I413" s="29">
        <f>6371 * 2 * ASIN(SQRT(SIN(RADIANS((C413) - INDEX('Dataset_Wisata'!$C$12:$C$622, MATCH('Dashboard'!$C$9, 'Dataset_Wisata'!$A$12:$A$622, 0)))/2)^2 + COS(RADIANS(INDEX('Dataset_Wisata'!$C$12:$C$622, MATCH('Dashboard'!$C$9, 'Dataset_Wisata'!$A$12:$A$622, 0)))) * COS(RADIANS(C413)) * SIN(RADIANS((D413) - INDEX('Dataset_Wisata'!$D$12:$D$622, MATCH('Dashboard'!$C$9, 'Dataset_Wisata'!$A$12:$A$622, 0)))/2)^2)) * 1.3</f>
        <v/>
      </c>
      <c r="J413" s="21">
        <f>ROUND(I413 * IF('Dashboard'!$C$6&lt;=1, 2250, IF('Dashboard'!$C$6&lt;=4, 5150, 6000)), 0)</f>
        <v/>
      </c>
      <c r="K413" s="30" t="n">
        <v>0.9518906050943107</v>
      </c>
      <c r="L413" s="30" t="n">
        <v>0.04169660451397377</v>
      </c>
      <c r="M413" s="30" t="n">
        <v>0.006412790391715545</v>
      </c>
      <c r="N413" s="31">
        <f>ABS(E413-$F$6)</f>
        <v/>
      </c>
      <c r="O413" s="31">
        <f>ABS(E413-$F$7)</f>
        <v/>
      </c>
      <c r="P413" s="31">
        <f>ABS(E413-$F$8)</f>
        <v/>
      </c>
      <c r="Q413" s="14">
        <f>IF(K413&gt;=MAX(L413,M413), "Hemat", IF(L413&gt;=M413, "Balanced", "Premium"))</f>
        <v/>
      </c>
      <c r="R413" s="30" t="n">
        <v>0.9518906082621517</v>
      </c>
      <c r="S413" s="30" t="n">
        <v>0.04169660246361195</v>
      </c>
      <c r="T413" s="30" t="n">
        <v>0.006412789274236485</v>
      </c>
      <c r="U413" s="31">
        <f>ABS(E413-$G$6)</f>
        <v/>
      </c>
      <c r="V413" s="31">
        <f>ABS(E413-$G$7)</f>
        <v/>
      </c>
      <c r="W413" s="31">
        <f>ABS(E413-$G$8)</f>
        <v/>
      </c>
      <c r="X413" s="14">
        <f>IF(R413&gt;=MAX(S413,T413), "Hemat", IF(S413&gt;=T413, "Balanced", "Premium"))</f>
        <v/>
      </c>
    </row>
    <row r="414">
      <c r="A414" s="14" t="n">
        <v>403</v>
      </c>
      <c r="B414" s="7" t="inlineStr">
        <is>
          <t>Warteg Sari Rasa</t>
        </is>
      </c>
      <c r="C414" s="26" t="n">
        <v>-7.9448281</v>
      </c>
      <c r="D414" s="26" t="n">
        <v>112.6067841</v>
      </c>
      <c r="E414" s="21" t="n">
        <v>8600</v>
      </c>
      <c r="F414" s="27" t="n">
        <v>4.6</v>
      </c>
      <c r="G414" s="28" t="n">
        <v>797</v>
      </c>
      <c r="H414" s="14" t="inlineStr">
        <is>
          <t>Wisata Umum</t>
        </is>
      </c>
      <c r="I414" s="29">
        <f>6371 * 2 * ASIN(SQRT(SIN(RADIANS((C414) - INDEX('Dataset_Wisata'!$C$12:$C$622, MATCH('Dashboard'!$C$9, 'Dataset_Wisata'!$A$12:$A$622, 0)))/2)^2 + COS(RADIANS(INDEX('Dataset_Wisata'!$C$12:$C$622, MATCH('Dashboard'!$C$9, 'Dataset_Wisata'!$A$12:$A$622, 0)))) * COS(RADIANS(C414)) * SIN(RADIANS((D414) - INDEX('Dataset_Wisata'!$D$12:$D$622, MATCH('Dashboard'!$C$9, 'Dataset_Wisata'!$A$12:$A$622, 0)))/2)^2)) * 1.3</f>
        <v/>
      </c>
      <c r="J414" s="21">
        <f>ROUND(I414 * IF('Dashboard'!$C$6&lt;=1, 2250, IF('Dashboard'!$C$6&lt;=4, 5150, 6000)), 0)</f>
        <v/>
      </c>
      <c r="K414" s="30" t="n">
        <v>0.9184865057136523</v>
      </c>
      <c r="L414" s="30" t="n">
        <v>0.06962879810939375</v>
      </c>
      <c r="M414" s="30" t="n">
        <v>0.01188469617695392</v>
      </c>
      <c r="N414" s="31">
        <f>ABS(E414-$F$6)</f>
        <v/>
      </c>
      <c r="O414" s="31">
        <f>ABS(E414-$F$7)</f>
        <v/>
      </c>
      <c r="P414" s="31">
        <f>ABS(E414-$F$8)</f>
        <v/>
      </c>
      <c r="Q414" s="14">
        <f>IF(K414&gt;=MAX(L414,M414), "Hemat", IF(L414&gt;=M414, "Balanced", "Premium"))</f>
        <v/>
      </c>
      <c r="R414" s="30" t="n">
        <v>0.918486503830433</v>
      </c>
      <c r="S414" s="30" t="n">
        <v>0.06962880077013524</v>
      </c>
      <c r="T414" s="30" t="n">
        <v>0.01188469539943176</v>
      </c>
      <c r="U414" s="31">
        <f>ABS(E414-$G$6)</f>
        <v/>
      </c>
      <c r="V414" s="31">
        <f>ABS(E414-$G$7)</f>
        <v/>
      </c>
      <c r="W414" s="31">
        <f>ABS(E414-$G$8)</f>
        <v/>
      </c>
      <c r="X414" s="14">
        <f>IF(R414&gt;=MAX(S414,T414), "Hemat", IF(S414&gt;=T414, "Balanced", "Premium"))</f>
        <v/>
      </c>
    </row>
    <row r="415">
      <c r="A415" s="14" t="n">
        <v>404</v>
      </c>
      <c r="B415" s="7" t="inlineStr">
        <is>
          <t>Dapur Sajen Cafe Resto Tempat makan enak Resto keluarga Pizza Enak</t>
        </is>
      </c>
      <c r="C415" s="26" t="n">
        <v>-7.9523757</v>
      </c>
      <c r="D415" s="26" t="n">
        <v>112.603373</v>
      </c>
      <c r="E415" s="21" t="n">
        <v>20250</v>
      </c>
      <c r="F415" s="27" t="n">
        <v>4.8</v>
      </c>
      <c r="G415" s="28" t="n">
        <v>53</v>
      </c>
      <c r="H415" s="14" t="inlineStr">
        <is>
          <t>Wisata Umum</t>
        </is>
      </c>
      <c r="I415" s="29">
        <f>6371 * 2 * ASIN(SQRT(SIN(RADIANS((C415) - INDEX('Dataset_Wisata'!$C$12:$C$622, MATCH('Dashboard'!$C$9, 'Dataset_Wisata'!$A$12:$A$622, 0)))/2)^2 + COS(RADIANS(INDEX('Dataset_Wisata'!$C$12:$C$622, MATCH('Dashboard'!$C$9, 'Dataset_Wisata'!$A$12:$A$622, 0)))) * COS(RADIANS(C415)) * SIN(RADIANS((D415) - INDEX('Dataset_Wisata'!$D$12:$D$622, MATCH('Dashboard'!$C$9, 'Dataset_Wisata'!$A$12:$A$622, 0)))/2)^2)) * 1.3</f>
        <v/>
      </c>
      <c r="J415" s="21">
        <f>ROUND(I415 * IF('Dashboard'!$C$6&lt;=1, 2250, IF('Dashboard'!$C$6&lt;=4, 5150, 6000)), 0)</f>
        <v/>
      </c>
      <c r="K415" s="30" t="n">
        <v>0.3387156054547819</v>
      </c>
      <c r="L415" s="30" t="n">
        <v>0.64124806419987</v>
      </c>
      <c r="M415" s="30" t="n">
        <v>0.02003633034534833</v>
      </c>
      <c r="N415" s="31">
        <f>ABS(E415-$F$6)</f>
        <v/>
      </c>
      <c r="O415" s="31">
        <f>ABS(E415-$F$7)</f>
        <v/>
      </c>
      <c r="P415" s="31">
        <f>ABS(E415-$F$8)</f>
        <v/>
      </c>
      <c r="Q415" s="14">
        <f>IF(K415&gt;=MAX(L415,M415), "Hemat", IF(L415&gt;=M415, "Balanced", "Premium"))</f>
        <v/>
      </c>
      <c r="R415" s="30" t="n">
        <v>0.338715334091977</v>
      </c>
      <c r="S415" s="30" t="n">
        <v>0.6412483418413316</v>
      </c>
      <c r="T415" s="30" t="n">
        <v>0.02003632406669138</v>
      </c>
      <c r="U415" s="31">
        <f>ABS(E415-$G$6)</f>
        <v/>
      </c>
      <c r="V415" s="31">
        <f>ABS(E415-$G$7)</f>
        <v/>
      </c>
      <c r="W415" s="31">
        <f>ABS(E415-$G$8)</f>
        <v/>
      </c>
      <c r="X415" s="14">
        <f>IF(R415&gt;=MAX(S415,T415), "Hemat", IF(S415&gt;=T415, "Balanced", "Premium"))</f>
        <v/>
      </c>
    </row>
    <row r="416">
      <c r="A416" s="14" t="n">
        <v>405</v>
      </c>
      <c r="B416" s="7" t="inlineStr">
        <is>
          <t>Warung "Restu Ibu"</t>
        </is>
      </c>
      <c r="C416" s="26" t="n">
        <v>-7.9501571</v>
      </c>
      <c r="D416" s="26" t="n">
        <v>112.608613</v>
      </c>
      <c r="E416" s="21" t="n">
        <v>6000</v>
      </c>
      <c r="F416" s="27" t="n">
        <v>4.9</v>
      </c>
      <c r="G416" s="28" t="n">
        <v>38</v>
      </c>
      <c r="H416" s="14" t="inlineStr">
        <is>
          <t>Warung "Restu Ibu"</t>
        </is>
      </c>
      <c r="I416" s="29">
        <f>6371 * 2 * ASIN(SQRT(SIN(RADIANS((C416) - INDEX('Dataset_Wisata'!$C$12:$C$622, MATCH('Dashboard'!$C$9, 'Dataset_Wisata'!$A$12:$A$622, 0)))/2)^2 + COS(RADIANS(INDEX('Dataset_Wisata'!$C$12:$C$622, MATCH('Dashboard'!$C$9, 'Dataset_Wisata'!$A$12:$A$622, 0)))) * COS(RADIANS(C416)) * SIN(RADIANS((D416) - INDEX('Dataset_Wisata'!$D$12:$D$622, MATCH('Dashboard'!$C$9, 'Dataset_Wisata'!$A$12:$A$622, 0)))/2)^2)) * 1.3</f>
        <v/>
      </c>
      <c r="J416" s="21">
        <f>ROUND(I416 * IF('Dashboard'!$C$6&lt;=1, 2250, IF('Dashboard'!$C$6&lt;=4, 5150, 6000)), 0)</f>
        <v/>
      </c>
      <c r="K416" s="30" t="n">
        <v>0.8570515062724777</v>
      </c>
      <c r="L416" s="30" t="n">
        <v>0.11901089820045</v>
      </c>
      <c r="M416" s="30" t="n">
        <v>0.02393759552707219</v>
      </c>
      <c r="N416" s="31">
        <f>ABS(E416-$F$6)</f>
        <v/>
      </c>
      <c r="O416" s="31">
        <f>ABS(E416-$F$7)</f>
        <v/>
      </c>
      <c r="P416" s="31">
        <f>ABS(E416-$F$8)</f>
        <v/>
      </c>
      <c r="Q416" s="14">
        <f>IF(K416&gt;=MAX(L416,M416), "Hemat", IF(L416&gt;=M416, "Balanced", "Premium"))</f>
        <v/>
      </c>
      <c r="R416" s="30" t="n">
        <v>0.8570514957556834</v>
      </c>
      <c r="S416" s="30" t="n">
        <v>0.1190109084243033</v>
      </c>
      <c r="T416" s="30" t="n">
        <v>0.02393759582001326</v>
      </c>
      <c r="U416" s="31">
        <f>ABS(E416-$G$6)</f>
        <v/>
      </c>
      <c r="V416" s="31">
        <f>ABS(E416-$G$7)</f>
        <v/>
      </c>
      <c r="W416" s="31">
        <f>ABS(E416-$G$8)</f>
        <v/>
      </c>
      <c r="X416" s="14">
        <f>IF(R416&gt;=MAX(S416,T416), "Hemat", IF(S416&gt;=T416, "Balanced", "Premium"))</f>
        <v/>
      </c>
    </row>
    <row r="417">
      <c r="A417" s="14" t="n">
        <v>406</v>
      </c>
      <c r="B417" s="7" t="inlineStr">
        <is>
          <t>Kedai Assalamu'alaikum</t>
        </is>
      </c>
      <c r="C417" s="26" t="n">
        <v>-7.9223976</v>
      </c>
      <c r="D417" s="26" t="n">
        <v>112.5962016</v>
      </c>
      <c r="E417" s="21" t="n">
        <v>16667</v>
      </c>
      <c r="F417" s="27" t="n">
        <v>4.4</v>
      </c>
      <c r="G417" s="28" t="n">
        <v>9798</v>
      </c>
      <c r="H417" s="14" t="inlineStr">
        <is>
          <t>Wisata Umum</t>
        </is>
      </c>
      <c r="I417" s="29">
        <f>6371 * 2 * ASIN(SQRT(SIN(RADIANS((C417) - INDEX('Dataset_Wisata'!$C$12:$C$622, MATCH('Dashboard'!$C$9, 'Dataset_Wisata'!$A$12:$A$622, 0)))/2)^2 + COS(RADIANS(INDEX('Dataset_Wisata'!$C$12:$C$622, MATCH('Dashboard'!$C$9, 'Dataset_Wisata'!$A$12:$A$622, 0)))) * COS(RADIANS(C417)) * SIN(RADIANS((D417) - INDEX('Dataset_Wisata'!$D$12:$D$622, MATCH('Dashboard'!$C$9, 'Dataset_Wisata'!$A$12:$A$622, 0)))/2)^2)) * 1.3</f>
        <v/>
      </c>
      <c r="J417" s="21">
        <f>ROUND(I417 * IF('Dashboard'!$C$6&lt;=1, 2250, IF('Dashboard'!$C$6&lt;=4, 5150, 6000)), 0)</f>
        <v/>
      </c>
      <c r="K417" s="30" t="n">
        <v>0.8555506235036942</v>
      </c>
      <c r="L417" s="30" t="n">
        <v>0.134803026272693</v>
      </c>
      <c r="M417" s="30" t="n">
        <v>0.009646350223612788</v>
      </c>
      <c r="N417" s="31">
        <f>ABS(E417-$F$6)</f>
        <v/>
      </c>
      <c r="O417" s="31">
        <f>ABS(E417-$F$7)</f>
        <v/>
      </c>
      <c r="P417" s="31">
        <f>ABS(E417-$F$8)</f>
        <v/>
      </c>
      <c r="Q417" s="14">
        <f>IF(K417&gt;=MAX(L417,M417), "Hemat", IF(L417&gt;=M417, "Balanced", "Premium"))</f>
        <v/>
      </c>
      <c r="R417" s="30" t="n">
        <v>0.855550503761691</v>
      </c>
      <c r="S417" s="30" t="n">
        <v>0.1348031411425314</v>
      </c>
      <c r="T417" s="30" t="n">
        <v>0.009646355095777723</v>
      </c>
      <c r="U417" s="31">
        <f>ABS(E417-$G$6)</f>
        <v/>
      </c>
      <c r="V417" s="31">
        <f>ABS(E417-$G$7)</f>
        <v/>
      </c>
      <c r="W417" s="31">
        <f>ABS(E417-$G$8)</f>
        <v/>
      </c>
      <c r="X417" s="14">
        <f>IF(R417&gt;=MAX(S417,T417), "Hemat", IF(S417&gt;=T417, "Balanced", "Premium"))</f>
        <v/>
      </c>
    </row>
    <row r="418">
      <c r="A418" s="14" t="n">
        <v>407</v>
      </c>
      <c r="B418" s="7" t="inlineStr">
        <is>
          <t>Warung Acil Barakat, Masakan Banjar</t>
        </is>
      </c>
      <c r="C418" s="26" t="n">
        <v>-7.9396964</v>
      </c>
      <c r="D418" s="26" t="n">
        <v>112.604166</v>
      </c>
      <c r="E418" s="21" t="n">
        <v>16000</v>
      </c>
      <c r="F418" s="27" t="n">
        <v>4.7</v>
      </c>
      <c r="G418" s="28" t="n">
        <v>265</v>
      </c>
      <c r="H418" s="14" t="inlineStr">
        <is>
          <t>Warung Acil Barakat, Masakan Banjar</t>
        </is>
      </c>
      <c r="I418" s="29">
        <f>6371 * 2 * ASIN(SQRT(SIN(RADIANS((C418) - INDEX('Dataset_Wisata'!$C$12:$C$622, MATCH('Dashboard'!$C$9, 'Dataset_Wisata'!$A$12:$A$622, 0)))/2)^2 + COS(RADIANS(INDEX('Dataset_Wisata'!$C$12:$C$622, MATCH('Dashboard'!$C$9, 'Dataset_Wisata'!$A$12:$A$622, 0)))) * COS(RADIANS(C418)) * SIN(RADIANS((D418) - INDEX('Dataset_Wisata'!$D$12:$D$622, MATCH('Dashboard'!$C$9, 'Dataset_Wisata'!$A$12:$A$622, 0)))/2)^2)) * 1.3</f>
        <v/>
      </c>
      <c r="J418" s="21">
        <f>ROUND(I418 * IF('Dashboard'!$C$6&lt;=1, 2250, IF('Dashboard'!$C$6&lt;=4, 5150, 6000)), 0)</f>
        <v/>
      </c>
      <c r="K418" s="30" t="n">
        <v>0.9128193134184031</v>
      </c>
      <c r="L418" s="30" t="n">
        <v>0.08074863238868506</v>
      </c>
      <c r="M418" s="30" t="n">
        <v>0.006432054192912039</v>
      </c>
      <c r="N418" s="31">
        <f>ABS(E418-$F$6)</f>
        <v/>
      </c>
      <c r="O418" s="31">
        <f>ABS(E418-$F$7)</f>
        <v/>
      </c>
      <c r="P418" s="31">
        <f>ABS(E418-$F$8)</f>
        <v/>
      </c>
      <c r="Q418" s="14">
        <f>IF(K418&gt;=MAX(L418,M418), "Hemat", IF(L418&gt;=M418, "Balanced", "Premium"))</f>
        <v/>
      </c>
      <c r="R418" s="30" t="n">
        <v>0.9128192326410924</v>
      </c>
      <c r="S418" s="30" t="n">
        <v>0.08074870904423974</v>
      </c>
      <c r="T418" s="30" t="n">
        <v>0.006432058314667768</v>
      </c>
      <c r="U418" s="31">
        <f>ABS(E418-$G$6)</f>
        <v/>
      </c>
      <c r="V418" s="31">
        <f>ABS(E418-$G$7)</f>
        <v/>
      </c>
      <c r="W418" s="31">
        <f>ABS(E418-$G$8)</f>
        <v/>
      </c>
      <c r="X418" s="14">
        <f>IF(R418&gt;=MAX(S418,T418), "Hemat", IF(S418&gt;=T418, "Balanced", "Premium"))</f>
        <v/>
      </c>
    </row>
    <row r="419">
      <c r="A419" s="14" t="n">
        <v>408</v>
      </c>
      <c r="B419" s="7" t="inlineStr">
        <is>
          <t>Resto Warung Nasi Legenda Kurniawan</t>
        </is>
      </c>
      <c r="C419" s="26" t="n">
        <v>-7.9466383</v>
      </c>
      <c r="D419" s="26" t="n">
        <v>112.6095662</v>
      </c>
      <c r="E419" s="21" t="n">
        <v>16000</v>
      </c>
      <c r="F419" s="27" t="n">
        <v>4.5</v>
      </c>
      <c r="G419" s="28" t="n">
        <v>22</v>
      </c>
      <c r="H419" s="14" t="inlineStr">
        <is>
          <t>Resto Warung Nasi Legenda Kurniawan</t>
        </is>
      </c>
      <c r="I419" s="29">
        <f>6371 * 2 * ASIN(SQRT(SIN(RADIANS((C419) - INDEX('Dataset_Wisata'!$C$12:$C$622, MATCH('Dashboard'!$C$9, 'Dataset_Wisata'!$A$12:$A$622, 0)))/2)^2 + COS(RADIANS(INDEX('Dataset_Wisata'!$C$12:$C$622, MATCH('Dashboard'!$C$9, 'Dataset_Wisata'!$A$12:$A$622, 0)))) * COS(RADIANS(C419)) * SIN(RADIANS((D419) - INDEX('Dataset_Wisata'!$D$12:$D$622, MATCH('Dashboard'!$C$9, 'Dataset_Wisata'!$A$12:$A$622, 0)))/2)^2)) * 1.3</f>
        <v/>
      </c>
      <c r="J419" s="21">
        <f>ROUND(I419 * IF('Dashboard'!$C$6&lt;=1, 2250, IF('Dashboard'!$C$6&lt;=4, 5150, 6000)), 0)</f>
        <v/>
      </c>
      <c r="K419" s="30" t="n">
        <v>0.9128193134184031</v>
      </c>
      <c r="L419" s="30" t="n">
        <v>0.08074863238868506</v>
      </c>
      <c r="M419" s="30" t="n">
        <v>0.006432054192912039</v>
      </c>
      <c r="N419" s="31">
        <f>ABS(E419-$F$6)</f>
        <v/>
      </c>
      <c r="O419" s="31">
        <f>ABS(E419-$F$7)</f>
        <v/>
      </c>
      <c r="P419" s="31">
        <f>ABS(E419-$F$8)</f>
        <v/>
      </c>
      <c r="Q419" s="14">
        <f>IF(K419&gt;=MAX(L419,M419), "Hemat", IF(L419&gt;=M419, "Balanced", "Premium"))</f>
        <v/>
      </c>
      <c r="R419" s="30" t="n">
        <v>0.9128192326410924</v>
      </c>
      <c r="S419" s="30" t="n">
        <v>0.08074870904423974</v>
      </c>
      <c r="T419" s="30" t="n">
        <v>0.006432058314667768</v>
      </c>
      <c r="U419" s="31">
        <f>ABS(E419-$G$6)</f>
        <v/>
      </c>
      <c r="V419" s="31">
        <f>ABS(E419-$G$7)</f>
        <v/>
      </c>
      <c r="W419" s="31">
        <f>ABS(E419-$G$8)</f>
        <v/>
      </c>
      <c r="X419" s="14">
        <f>IF(R419&gt;=MAX(S419,T419), "Hemat", IF(S419&gt;=T419, "Balanced", "Premium"))</f>
        <v/>
      </c>
    </row>
    <row r="420">
      <c r="A420" s="14" t="n">
        <v>409</v>
      </c>
      <c r="B420" s="7" t="inlineStr">
        <is>
          <t>Depot Surya</t>
        </is>
      </c>
      <c r="C420" s="26" t="n">
        <v>-7.9438562</v>
      </c>
      <c r="D420" s="26" t="n">
        <v>112.6110245</v>
      </c>
      <c r="E420" s="21" t="n">
        <v>27000</v>
      </c>
      <c r="F420" s="27" t="n">
        <v>4</v>
      </c>
      <c r="G420" s="28" t="n">
        <v>21</v>
      </c>
      <c r="H420" s="14" t="inlineStr">
        <is>
          <t>Wisata Umum</t>
        </is>
      </c>
      <c r="I420" s="29">
        <f>6371 * 2 * ASIN(SQRT(SIN(RADIANS((C420) - INDEX('Dataset_Wisata'!$C$12:$C$622, MATCH('Dashboard'!$C$9, 'Dataset_Wisata'!$A$12:$A$622, 0)))/2)^2 + COS(RADIANS(INDEX('Dataset_Wisata'!$C$12:$C$622, MATCH('Dashboard'!$C$9, 'Dataset_Wisata'!$A$12:$A$622, 0)))) * COS(RADIANS(C420)) * SIN(RADIANS((D420) - INDEX('Dataset_Wisata'!$D$12:$D$622, MATCH('Dashboard'!$C$9, 'Dataset_Wisata'!$A$12:$A$622, 0)))/2)^2)) * 1.3</f>
        <v/>
      </c>
      <c r="J420" s="21">
        <f>ROUND(I420 * IF('Dashboard'!$C$6&lt;=1, 2250, IF('Dashboard'!$C$6&lt;=4, 5150, 6000)), 0)</f>
        <v/>
      </c>
      <c r="K420" s="30" t="n">
        <v>0.01383751047280994</v>
      </c>
      <c r="L420" s="30" t="n">
        <v>0.9808146618379113</v>
      </c>
      <c r="M420" s="30" t="n">
        <v>0.00534782768927864</v>
      </c>
      <c r="N420" s="31">
        <f>ABS(E420-$F$6)</f>
        <v/>
      </c>
      <c r="O420" s="31">
        <f>ABS(E420-$F$7)</f>
        <v/>
      </c>
      <c r="P420" s="31">
        <f>ABS(E420-$F$8)</f>
        <v/>
      </c>
      <c r="Q420" s="14">
        <f>IF(K420&gt;=MAX(L420,M420), "Hemat", IF(L420&gt;=M420, "Balanced", "Premium"))</f>
        <v/>
      </c>
      <c r="R420" s="30" t="n">
        <v>0.01383755367788298</v>
      </c>
      <c r="S420" s="30" t="n">
        <v>0.9808145993129077</v>
      </c>
      <c r="T420" s="30" t="n">
        <v>0.005347847009209265</v>
      </c>
      <c r="U420" s="31">
        <f>ABS(E420-$G$6)</f>
        <v/>
      </c>
      <c r="V420" s="31">
        <f>ABS(E420-$G$7)</f>
        <v/>
      </c>
      <c r="W420" s="31">
        <f>ABS(E420-$G$8)</f>
        <v/>
      </c>
      <c r="X420" s="14">
        <f>IF(R420&gt;=MAX(S420,T420), "Hemat", IF(S420&gt;=T420, "Balanced", "Premium"))</f>
        <v/>
      </c>
    </row>
    <row r="421">
      <c r="A421" s="14" t="n">
        <v>410</v>
      </c>
      <c r="B421" s="7" t="inlineStr">
        <is>
          <t>Kampung Kuliner</t>
        </is>
      </c>
      <c r="C421" s="26" t="n">
        <v>-7.9444444</v>
      </c>
      <c r="D421" s="26" t="n">
        <v>112.61</v>
      </c>
      <c r="E421" s="21" t="n">
        <v>29000</v>
      </c>
      <c r="F421" s="27" t="n">
        <v>4.2</v>
      </c>
      <c r="G421" s="28" t="n">
        <v>277</v>
      </c>
      <c r="H421" s="14" t="inlineStr">
        <is>
          <t>Wisata Umum</t>
        </is>
      </c>
      <c r="I421" s="29">
        <f>6371 * 2 * ASIN(SQRT(SIN(RADIANS((C421) - INDEX('Dataset_Wisata'!$C$12:$C$622, MATCH('Dashboard'!$C$9, 'Dataset_Wisata'!$A$12:$A$622, 0)))/2)^2 + COS(RADIANS(INDEX('Dataset_Wisata'!$C$12:$C$622, MATCH('Dashboard'!$C$9, 'Dataset_Wisata'!$A$12:$A$622, 0)))) * COS(RADIANS(C421)) * SIN(RADIANS((D421) - INDEX('Dataset_Wisata'!$D$12:$D$622, MATCH('Dashboard'!$C$9, 'Dataset_Wisata'!$A$12:$A$622, 0)))/2)^2)) * 1.3</f>
        <v/>
      </c>
      <c r="J421" s="21">
        <f>ROUND(I421 * IF('Dashboard'!$C$6&lt;=1, 2250, IF('Dashboard'!$C$6&lt;=4, 5150, 6000)), 0)</f>
        <v/>
      </c>
      <c r="K421" s="30" t="n">
        <v>0.04891220720485471</v>
      </c>
      <c r="L421" s="30" t="n">
        <v>0.9211430684021159</v>
      </c>
      <c r="M421" s="30" t="n">
        <v>0.02994472439302949</v>
      </c>
      <c r="N421" s="31">
        <f>ABS(E421-$F$6)</f>
        <v/>
      </c>
      <c r="O421" s="31">
        <f>ABS(E421-$F$7)</f>
        <v/>
      </c>
      <c r="P421" s="31">
        <f>ABS(E421-$F$8)</f>
        <v/>
      </c>
      <c r="Q421" s="14">
        <f>IF(K421&gt;=MAX(L421,M421), "Hemat", IF(L421&gt;=M421, "Balanced", "Premium"))</f>
        <v/>
      </c>
      <c r="R421" s="30" t="n">
        <v>0.04891226927598172</v>
      </c>
      <c r="S421" s="30" t="n">
        <v>0.9211429528252439</v>
      </c>
      <c r="T421" s="30" t="n">
        <v>0.0299447778987744</v>
      </c>
      <c r="U421" s="31">
        <f>ABS(E421-$G$6)</f>
        <v/>
      </c>
      <c r="V421" s="31">
        <f>ABS(E421-$G$7)</f>
        <v/>
      </c>
      <c r="W421" s="31">
        <f>ABS(E421-$G$8)</f>
        <v/>
      </c>
      <c r="X421" s="14">
        <f>IF(R421&gt;=MAX(S421,T421), "Hemat", IF(S421&gt;=T421, "Balanced", "Premium"))</f>
        <v/>
      </c>
    </row>
    <row r="422">
      <c r="A422" s="14" t="n">
        <v>411</v>
      </c>
      <c r="B422" s="7" t="inlineStr">
        <is>
          <t>Warung Bu Gito</t>
        </is>
      </c>
      <c r="C422" s="26" t="n">
        <v>-7.9409255</v>
      </c>
      <c r="D422" s="26" t="n">
        <v>112.6229181</v>
      </c>
      <c r="E422" s="21" t="n">
        <v>15600</v>
      </c>
      <c r="F422" s="27" t="n">
        <v>4.2</v>
      </c>
      <c r="G422" s="28" t="n">
        <v>226</v>
      </c>
      <c r="H422" s="14" t="inlineStr">
        <is>
          <t>Warung Bu Gito</t>
        </is>
      </c>
      <c r="I422" s="29">
        <f>6371 * 2 * ASIN(SQRT(SIN(RADIANS((C422) - INDEX('Dataset_Wisata'!$C$12:$C$622, MATCH('Dashboard'!$C$9, 'Dataset_Wisata'!$A$12:$A$622, 0)))/2)^2 + COS(RADIANS(INDEX('Dataset_Wisata'!$C$12:$C$622, MATCH('Dashboard'!$C$9, 'Dataset_Wisata'!$A$12:$A$622, 0)))) * COS(RADIANS(C422)) * SIN(RADIANS((D422) - INDEX('Dataset_Wisata'!$D$12:$D$622, MATCH('Dashboard'!$C$9, 'Dataset_Wisata'!$A$12:$A$622, 0)))/2)^2)) * 1.3</f>
        <v/>
      </c>
      <c r="J422" s="21">
        <f>ROUND(I422 * IF('Dashboard'!$C$6&lt;=1, 2250, IF('Dashboard'!$C$6&lt;=4, 5150, 6000)), 0)</f>
        <v/>
      </c>
      <c r="K422" s="30" t="n">
        <v>0.9392225300551427</v>
      </c>
      <c r="L422" s="30" t="n">
        <v>0.05603906144819855</v>
      </c>
      <c r="M422" s="30" t="n">
        <v>0.004738408496658887</v>
      </c>
      <c r="N422" s="31">
        <f>ABS(E422-$F$6)</f>
        <v/>
      </c>
      <c r="O422" s="31">
        <f>ABS(E422-$F$7)</f>
        <v/>
      </c>
      <c r="P422" s="31">
        <f>ABS(E422-$F$8)</f>
        <v/>
      </c>
      <c r="Q422" s="14">
        <f>IF(K422&gt;=MAX(L422,M422), "Hemat", IF(L422&gt;=M422, "Balanced", "Premium"))</f>
        <v/>
      </c>
      <c r="R422" s="30" t="n">
        <v>0.9392224689924685</v>
      </c>
      <c r="S422" s="30" t="n">
        <v>0.0560391190091686</v>
      </c>
      <c r="T422" s="30" t="n">
        <v>0.004738411998363004</v>
      </c>
      <c r="U422" s="31">
        <f>ABS(E422-$G$6)</f>
        <v/>
      </c>
      <c r="V422" s="31">
        <f>ABS(E422-$G$7)</f>
        <v/>
      </c>
      <c r="W422" s="31">
        <f>ABS(E422-$G$8)</f>
        <v/>
      </c>
      <c r="X422" s="14">
        <f>IF(R422&gt;=MAX(S422,T422), "Hemat", IF(S422&gt;=T422, "Balanced", "Premium"))</f>
        <v/>
      </c>
    </row>
    <row r="423">
      <c r="A423" s="14" t="n">
        <v>412</v>
      </c>
      <c r="B423" s="7" t="inlineStr">
        <is>
          <t>WARUNG KRAWU JOYO AGUNG PLUS PLUS</t>
        </is>
      </c>
      <c r="C423" s="26" t="n">
        <v>-7.9376038</v>
      </c>
      <c r="D423" s="26" t="n">
        <v>112.5787845</v>
      </c>
      <c r="E423" s="21" t="n">
        <v>11750</v>
      </c>
      <c r="F423" s="27" t="n">
        <v>4.8</v>
      </c>
      <c r="G423" s="28" t="n">
        <v>129</v>
      </c>
      <c r="H423" s="14" t="inlineStr">
        <is>
          <t>Wisata Umum</t>
        </is>
      </c>
      <c r="I423" s="29">
        <f>6371 * 2 * ASIN(SQRT(SIN(RADIANS((C423) - INDEX('Dataset_Wisata'!$C$12:$C$622, MATCH('Dashboard'!$C$9, 'Dataset_Wisata'!$A$12:$A$622, 0)))/2)^2 + COS(RADIANS(INDEX('Dataset_Wisata'!$C$12:$C$622, MATCH('Dashboard'!$C$9, 'Dataset_Wisata'!$A$12:$A$622, 0)))) * COS(RADIANS(C423)) * SIN(RADIANS((D423) - INDEX('Dataset_Wisata'!$D$12:$D$622, MATCH('Dashboard'!$C$9, 'Dataset_Wisata'!$A$12:$A$622, 0)))/2)^2)) * 1.3</f>
        <v/>
      </c>
      <c r="J423" s="21">
        <f>ROUND(I423 * IF('Dashboard'!$C$6&lt;=1, 2250, IF('Dashboard'!$C$6&lt;=4, 5150, 6000)), 0)</f>
        <v/>
      </c>
      <c r="K423" s="30" t="n">
        <v>0.9870496669289139</v>
      </c>
      <c r="L423" s="30" t="n">
        <v>0.01143708280684991</v>
      </c>
      <c r="M423" s="30" t="n">
        <v>0.001513250264236163</v>
      </c>
      <c r="N423" s="31">
        <f>ABS(E423-$F$6)</f>
        <v/>
      </c>
      <c r="O423" s="31">
        <f>ABS(E423-$F$7)</f>
        <v/>
      </c>
      <c r="P423" s="31">
        <f>ABS(E423-$F$8)</f>
        <v/>
      </c>
      <c r="Q423" s="14">
        <f>IF(K423&gt;=MAX(L423,M423), "Hemat", IF(L423&gt;=M423, "Balanced", "Premium"))</f>
        <v/>
      </c>
      <c r="R423" s="30" t="n">
        <v>0.9870496734017057</v>
      </c>
      <c r="S423" s="30" t="n">
        <v>0.01143707730359993</v>
      </c>
      <c r="T423" s="30" t="n">
        <v>0.00151324929469438</v>
      </c>
      <c r="U423" s="31">
        <f>ABS(E423-$G$6)</f>
        <v/>
      </c>
      <c r="V423" s="31">
        <f>ABS(E423-$G$7)</f>
        <v/>
      </c>
      <c r="W423" s="31">
        <f>ABS(E423-$G$8)</f>
        <v/>
      </c>
      <c r="X423" s="14">
        <f>IF(R423&gt;=MAX(S423,T423), "Hemat", IF(S423&gt;=T423, "Balanced", "Premium"))</f>
        <v/>
      </c>
    </row>
    <row r="424">
      <c r="A424" s="14" t="n">
        <v>413</v>
      </c>
      <c r="B424" s="7" t="inlineStr">
        <is>
          <t>Warung Nasi Bu Eny</t>
        </is>
      </c>
      <c r="C424" s="26" t="n">
        <v>-7.9494165</v>
      </c>
      <c r="D424" s="26" t="n">
        <v>112.6036578</v>
      </c>
      <c r="E424" s="21" t="n">
        <v>18000</v>
      </c>
      <c r="F424" s="27" t="n">
        <v>4.8</v>
      </c>
      <c r="G424" s="28" t="n">
        <v>198</v>
      </c>
      <c r="H424" s="14" t="inlineStr">
        <is>
          <t>Warung Nasi Bu Eny</t>
        </is>
      </c>
      <c r="I424" s="29">
        <f>6371 * 2 * ASIN(SQRT(SIN(RADIANS((C424) - INDEX('Dataset_Wisata'!$C$12:$C$622, MATCH('Dashboard'!$C$9, 'Dataset_Wisata'!$A$12:$A$622, 0)))/2)^2 + COS(RADIANS(INDEX('Dataset_Wisata'!$C$12:$C$622, MATCH('Dashboard'!$C$9, 'Dataset_Wisata'!$A$12:$A$622, 0)))) * COS(RADIANS(C424)) * SIN(RADIANS((D424) - INDEX('Dataset_Wisata'!$D$12:$D$622, MATCH('Dashboard'!$C$9, 'Dataset_Wisata'!$A$12:$A$622, 0)))/2)^2)) * 1.3</f>
        <v/>
      </c>
      <c r="J424" s="21">
        <f>ROUND(I424 * IF('Dashboard'!$C$6&lt;=1, 2250, IF('Dashboard'!$C$6&lt;=4, 5150, 6000)), 0)</f>
        <v/>
      </c>
      <c r="K424" s="30" t="n">
        <v>0.6916251733659831</v>
      </c>
      <c r="L424" s="30" t="n">
        <v>0.2920817970297536</v>
      </c>
      <c r="M424" s="30" t="n">
        <v>0.01629302960426341</v>
      </c>
      <c r="N424" s="31">
        <f>ABS(E424-$F$6)</f>
        <v/>
      </c>
      <c r="O424" s="31">
        <f>ABS(E424-$F$7)</f>
        <v/>
      </c>
      <c r="P424" s="31">
        <f>ABS(E424-$F$8)</f>
        <v/>
      </c>
      <c r="Q424" s="14">
        <f>IF(K424&gt;=MAX(L424,M424), "Hemat", IF(L424&gt;=M424, "Balanced", "Premium"))</f>
        <v/>
      </c>
      <c r="R424" s="30" t="n">
        <v>0.6916249652211897</v>
      </c>
      <c r="S424" s="30" t="n">
        <v>0.2920820010799081</v>
      </c>
      <c r="T424" s="30" t="n">
        <v>0.01629303369890229</v>
      </c>
      <c r="U424" s="31">
        <f>ABS(E424-$G$6)</f>
        <v/>
      </c>
      <c r="V424" s="31">
        <f>ABS(E424-$G$7)</f>
        <v/>
      </c>
      <c r="W424" s="31">
        <f>ABS(E424-$G$8)</f>
        <v/>
      </c>
      <c r="X424" s="14">
        <f>IF(R424&gt;=MAX(S424,T424), "Hemat", IF(S424&gt;=T424, "Balanced", "Premium"))</f>
        <v/>
      </c>
    </row>
    <row r="425">
      <c r="A425" s="14" t="n">
        <v>414</v>
      </c>
      <c r="B425" s="7" t="inlineStr">
        <is>
          <t>Depot Pilihan Rakyat</t>
        </is>
      </c>
      <c r="C425" s="26" t="n">
        <v>-7.9539076</v>
      </c>
      <c r="D425" s="26" t="n">
        <v>112.6439708</v>
      </c>
      <c r="E425" s="21" t="n">
        <v>18000</v>
      </c>
      <c r="F425" s="27" t="n">
        <v>4.7</v>
      </c>
      <c r="G425" s="28" t="n">
        <v>872</v>
      </c>
      <c r="H425" s="14" t="inlineStr">
        <is>
          <t>Restoran · Jl. Ciliwung No.55</t>
        </is>
      </c>
      <c r="I425" s="29">
        <f>6371 * 2 * ASIN(SQRT(SIN(RADIANS((C425) - INDEX('Dataset_Wisata'!$C$12:$C$622, MATCH('Dashboard'!$C$9, 'Dataset_Wisata'!$A$12:$A$622, 0)))/2)^2 + COS(RADIANS(INDEX('Dataset_Wisata'!$C$12:$C$622, MATCH('Dashboard'!$C$9, 'Dataset_Wisata'!$A$12:$A$622, 0)))) * COS(RADIANS(C425)) * SIN(RADIANS((D425) - INDEX('Dataset_Wisata'!$D$12:$D$622, MATCH('Dashboard'!$C$9, 'Dataset_Wisata'!$A$12:$A$622, 0)))/2)^2)) * 1.3</f>
        <v/>
      </c>
      <c r="J425" s="21">
        <f>ROUND(I425 * IF('Dashboard'!$C$6&lt;=1, 2250, IF('Dashboard'!$C$6&lt;=4, 5150, 6000)), 0)</f>
        <v/>
      </c>
      <c r="K425" s="30" t="n">
        <v>0.6916251733659831</v>
      </c>
      <c r="L425" s="30" t="n">
        <v>0.2920817970297536</v>
      </c>
      <c r="M425" s="30" t="n">
        <v>0.01629302960426341</v>
      </c>
      <c r="N425" s="31">
        <f>ABS(E425-$F$6)</f>
        <v/>
      </c>
      <c r="O425" s="31">
        <f>ABS(E425-$F$7)</f>
        <v/>
      </c>
      <c r="P425" s="31">
        <f>ABS(E425-$F$8)</f>
        <v/>
      </c>
      <c r="Q425" s="14">
        <f>IF(K425&gt;=MAX(L425,M425), "Hemat", IF(L425&gt;=M425, "Balanced", "Premium"))</f>
        <v/>
      </c>
      <c r="R425" s="30" t="n">
        <v>0.6916249652211897</v>
      </c>
      <c r="S425" s="30" t="n">
        <v>0.2920820010799081</v>
      </c>
      <c r="T425" s="30" t="n">
        <v>0.01629303369890229</v>
      </c>
      <c r="U425" s="31">
        <f>ABS(E425-$G$6)</f>
        <v/>
      </c>
      <c r="V425" s="31">
        <f>ABS(E425-$G$7)</f>
        <v/>
      </c>
      <c r="W425" s="31">
        <f>ABS(E425-$G$8)</f>
        <v/>
      </c>
      <c r="X425" s="14">
        <f>IF(R425&gt;=MAX(S425,T425), "Hemat", IF(S425&gt;=T425, "Balanced", "Premium"))</f>
        <v/>
      </c>
    </row>
    <row r="426">
      <c r="A426" s="14" t="n">
        <v>415</v>
      </c>
      <c r="B426" s="7" t="inlineStr">
        <is>
          <t>Warung Tegal (Warteg) bu marni</t>
        </is>
      </c>
      <c r="C426" s="26" t="n">
        <v>-7.9288916</v>
      </c>
      <c r="D426" s="26" t="n">
        <v>112.6080414</v>
      </c>
      <c r="E426" s="21" t="n">
        <v>15000</v>
      </c>
      <c r="F426" s="27" t="n">
        <v>4.4</v>
      </c>
      <c r="G426" s="28" t="n">
        <v>172</v>
      </c>
      <c r="H426" s="14" t="inlineStr">
        <is>
          <t>Warung Tegal (Warteg) bu marni</t>
        </is>
      </c>
      <c r="I426" s="29">
        <f>6371 * 2 * ASIN(SQRT(SIN(RADIANS((C426) - INDEX('Dataset_Wisata'!$C$12:$C$622, MATCH('Dashboard'!$C$9, 'Dataset_Wisata'!$A$12:$A$622, 0)))/2)^2 + COS(RADIANS(INDEX('Dataset_Wisata'!$C$12:$C$622, MATCH('Dashboard'!$C$9, 'Dataset_Wisata'!$A$12:$A$622, 0)))) * COS(RADIANS(C426)) * SIN(RADIANS((D426) - INDEX('Dataset_Wisata'!$D$12:$D$622, MATCH('Dashboard'!$C$9, 'Dataset_Wisata'!$A$12:$A$622, 0)))/2)^2)) * 1.3</f>
        <v/>
      </c>
      <c r="J426" s="21">
        <f>ROUND(I426 * IF('Dashboard'!$C$6&lt;=1, 2250, IF('Dashboard'!$C$6&lt;=4, 5150, 6000)), 0)</f>
        <v/>
      </c>
      <c r="K426" s="30" t="n">
        <v>0.9686283169848018</v>
      </c>
      <c r="L426" s="30" t="n">
        <v>0.02872990537067274</v>
      </c>
      <c r="M426" s="30" t="n">
        <v>0.002641777644525457</v>
      </c>
      <c r="N426" s="31">
        <f>ABS(E426-$F$6)</f>
        <v/>
      </c>
      <c r="O426" s="31">
        <f>ABS(E426-$F$7)</f>
        <v/>
      </c>
      <c r="P426" s="31">
        <f>ABS(E426-$F$8)</f>
        <v/>
      </c>
      <c r="Q426" s="14">
        <f>IF(K426&gt;=MAX(L426,M426), "Hemat", IF(L426&gt;=M426, "Balanced", "Premium"))</f>
        <v/>
      </c>
      <c r="R426" s="30" t="n">
        <v>0.9686282798936615</v>
      </c>
      <c r="S426" s="30" t="n">
        <v>0.02872993996961344</v>
      </c>
      <c r="T426" s="30" t="n">
        <v>0.002641780136725144</v>
      </c>
      <c r="U426" s="31">
        <f>ABS(E426-$G$6)</f>
        <v/>
      </c>
      <c r="V426" s="31">
        <f>ABS(E426-$G$7)</f>
        <v/>
      </c>
      <c r="W426" s="31">
        <f>ABS(E426-$G$8)</f>
        <v/>
      </c>
      <c r="X426" s="14">
        <f>IF(R426&gt;=MAX(S426,T426), "Hemat", IF(S426&gt;=T426, "Balanced", "Premium"))</f>
        <v/>
      </c>
    </row>
    <row r="427">
      <c r="A427" s="14" t="n">
        <v>416</v>
      </c>
      <c r="B427" s="7" t="inlineStr">
        <is>
          <t>Pakistan Resto</t>
        </is>
      </c>
      <c r="C427" s="26" t="n">
        <v>-7.9525931</v>
      </c>
      <c r="D427" s="26" t="n">
        <v>112.6096463</v>
      </c>
      <c r="E427" s="21" t="n">
        <v>29500</v>
      </c>
      <c r="F427" s="27" t="n">
        <v>4.4</v>
      </c>
      <c r="G427" s="28" t="n">
        <v>118</v>
      </c>
      <c r="H427" s="14" t="inlineStr">
        <is>
          <t>Wisata Umum</t>
        </is>
      </c>
      <c r="I427" s="29">
        <f>6371 * 2 * ASIN(SQRT(SIN(RADIANS((C427) - INDEX('Dataset_Wisata'!$C$12:$C$622, MATCH('Dashboard'!$C$9, 'Dataset_Wisata'!$A$12:$A$622, 0)))/2)^2 + COS(RADIANS(INDEX('Dataset_Wisata'!$C$12:$C$622, MATCH('Dashboard'!$C$9, 'Dataset_Wisata'!$A$12:$A$622, 0)))) * COS(RADIANS(C427)) * SIN(RADIANS((D427) - INDEX('Dataset_Wisata'!$D$12:$D$622, MATCH('Dashboard'!$C$9, 'Dataset_Wisata'!$A$12:$A$622, 0)))/2)^2)) * 1.3</f>
        <v/>
      </c>
      <c r="J427" s="21">
        <f>ROUND(I427 * IF('Dashboard'!$C$6&lt;=1, 2250, IF('Dashboard'!$C$6&lt;=4, 5150, 6000)), 0)</f>
        <v/>
      </c>
      <c r="K427" s="30" t="n">
        <v>0.05821517885518257</v>
      </c>
      <c r="L427" s="30" t="n">
        <v>0.9018983810422823</v>
      </c>
      <c r="M427" s="30" t="n">
        <v>0.03988644010253524</v>
      </c>
      <c r="N427" s="31">
        <f>ABS(E427-$F$6)</f>
        <v/>
      </c>
      <c r="O427" s="31">
        <f>ABS(E427-$F$7)</f>
        <v/>
      </c>
      <c r="P427" s="31">
        <f>ABS(E427-$F$8)</f>
        <v/>
      </c>
      <c r="Q427" s="14">
        <f>IF(K427&gt;=MAX(L427,M427), "Hemat", IF(L427&gt;=M427, "Balanced", "Premium"))</f>
        <v/>
      </c>
      <c r="R427" s="30" t="n">
        <v>0.05821524161417163</v>
      </c>
      <c r="S427" s="30" t="n">
        <v>0.9018982542894527</v>
      </c>
      <c r="T427" s="30" t="n">
        <v>0.03988650409637562</v>
      </c>
      <c r="U427" s="31">
        <f>ABS(E427-$G$6)</f>
        <v/>
      </c>
      <c r="V427" s="31">
        <f>ABS(E427-$G$7)</f>
        <v/>
      </c>
      <c r="W427" s="31">
        <f>ABS(E427-$G$8)</f>
        <v/>
      </c>
      <c r="X427" s="14">
        <f>IF(R427&gt;=MAX(S427,T427), "Hemat", IF(S427&gt;=T427, "Balanced", "Premium"))</f>
        <v/>
      </c>
    </row>
    <row r="428">
      <c r="A428" s="14" t="n">
        <v>417</v>
      </c>
      <c r="B428" s="7" t="inlineStr">
        <is>
          <t>Vivacity Dapur Kuliner Malang</t>
        </is>
      </c>
      <c r="C428" s="26" t="n">
        <v>-7.9471821</v>
      </c>
      <c r="D428" s="26" t="n">
        <v>112.6048908</v>
      </c>
      <c r="E428" s="21" t="n">
        <v>14000</v>
      </c>
      <c r="F428" s="27" t="n">
        <v>4.5</v>
      </c>
      <c r="G428" s="28" t="n">
        <v>104</v>
      </c>
      <c r="H428" s="14" t="inlineStr">
        <is>
          <t>Wisata Umum</t>
        </is>
      </c>
      <c r="I428" s="29">
        <f>6371 * 2 * ASIN(SQRT(SIN(RADIANS((C428) - INDEX('Dataset_Wisata'!$C$12:$C$622, MATCH('Dashboard'!$C$9, 'Dataset_Wisata'!$A$12:$A$622, 0)))/2)^2 + COS(RADIANS(INDEX('Dataset_Wisata'!$C$12:$C$622, MATCH('Dashboard'!$C$9, 'Dataset_Wisata'!$A$12:$A$622, 0)))) * COS(RADIANS(C428)) * SIN(RADIANS((D428) - INDEX('Dataset_Wisata'!$D$12:$D$622, MATCH('Dashboard'!$C$9, 'Dataset_Wisata'!$A$12:$A$622, 0)))/2)^2)) * 1.3</f>
        <v/>
      </c>
      <c r="J428" s="21">
        <f>ROUND(I428 * IF('Dashboard'!$C$6&lt;=1, 2250, IF('Dashboard'!$C$6&lt;=4, 5150, 6000)), 0)</f>
        <v/>
      </c>
      <c r="K428" s="30" t="n">
        <v>0.9947609318027544</v>
      </c>
      <c r="L428" s="30" t="n">
        <v>0.004743992866447784</v>
      </c>
      <c r="M428" s="30" t="n">
        <v>0.0004950753307978607</v>
      </c>
      <c r="N428" s="31">
        <f>ABS(E428-$F$6)</f>
        <v/>
      </c>
      <c r="O428" s="31">
        <f>ABS(E428-$F$7)</f>
        <v/>
      </c>
      <c r="P428" s="31">
        <f>ABS(E428-$F$8)</f>
        <v/>
      </c>
      <c r="Q428" s="14">
        <f>IF(K428&gt;=MAX(L428,M428), "Hemat", IF(L428&gt;=M428, "Balanced", "Premium"))</f>
        <v/>
      </c>
      <c r="R428" s="30" t="n">
        <v>0.9947609208632797</v>
      </c>
      <c r="S428" s="30" t="n">
        <v>0.004744002871971992</v>
      </c>
      <c r="T428" s="30" t="n">
        <v>0.0004950762647482733</v>
      </c>
      <c r="U428" s="31">
        <f>ABS(E428-$G$6)</f>
        <v/>
      </c>
      <c r="V428" s="31">
        <f>ABS(E428-$G$7)</f>
        <v/>
      </c>
      <c r="W428" s="31">
        <f>ABS(E428-$G$8)</f>
        <v/>
      </c>
      <c r="X428" s="14">
        <f>IF(R428&gt;=MAX(S428,T428), "Hemat", IF(S428&gt;=T428, "Balanced", "Premium"))</f>
        <v/>
      </c>
    </row>
    <row r="429">
      <c r="A429" s="14" t="n">
        <v>418</v>
      </c>
      <c r="B429" s="7" t="inlineStr">
        <is>
          <t>Waroeng Spesial Sambal "SS" Sengkaling</t>
        </is>
      </c>
      <c r="C429" s="26" t="n">
        <v>-7.9170578</v>
      </c>
      <c r="D429" s="26" t="n">
        <v>112.5886175</v>
      </c>
      <c r="E429" s="21" t="n">
        <v>12200</v>
      </c>
      <c r="F429" s="27" t="n">
        <v>4.4</v>
      </c>
      <c r="G429" s="28" t="n">
        <v>6450</v>
      </c>
      <c r="H429" s="14" t="inlineStr">
        <is>
          <t>Wisata Umum</t>
        </is>
      </c>
      <c r="I429" s="29">
        <f>6371 * 2 * ASIN(SQRT(SIN(RADIANS((C429) - INDEX('Dataset_Wisata'!$C$12:$C$622, MATCH('Dashboard'!$C$9, 'Dataset_Wisata'!$A$12:$A$622, 0)))/2)^2 + COS(RADIANS(INDEX('Dataset_Wisata'!$C$12:$C$622, MATCH('Dashboard'!$C$9, 'Dataset_Wisata'!$A$12:$A$622, 0)))) * COS(RADIANS(C429)) * SIN(RADIANS((D429) - INDEX('Dataset_Wisata'!$D$12:$D$622, MATCH('Dashboard'!$C$9, 'Dataset_Wisata'!$A$12:$A$622, 0)))/2)^2)) * 1.3</f>
        <v/>
      </c>
      <c r="J429" s="21">
        <f>ROUND(I429 * IF('Dashboard'!$C$6&lt;=1, 2250, IF('Dashboard'!$C$6&lt;=4, 5150, 6000)), 0)</f>
        <v/>
      </c>
      <c r="K429" s="30" t="n">
        <v>0.9933405836616003</v>
      </c>
      <c r="L429" s="30" t="n">
        <v>0.005910353927666498</v>
      </c>
      <c r="M429" s="30" t="n">
        <v>0.0007490624107332797</v>
      </c>
      <c r="N429" s="31">
        <f>ABS(E429-$F$6)</f>
        <v/>
      </c>
      <c r="O429" s="31">
        <f>ABS(E429-$F$7)</f>
        <v/>
      </c>
      <c r="P429" s="31">
        <f>ABS(E429-$F$8)</f>
        <v/>
      </c>
      <c r="Q429" s="14">
        <f>IF(K429&gt;=MAX(L429,M429), "Hemat", IF(L429&gt;=M429, "Balanced", "Premium"))</f>
        <v/>
      </c>
      <c r="R429" s="30" t="n">
        <v>0.9933405895119617</v>
      </c>
      <c r="S429" s="30" t="n">
        <v>0.005910348848482122</v>
      </c>
      <c r="T429" s="30" t="n">
        <v>0.0007490616395562258</v>
      </c>
      <c r="U429" s="31">
        <f>ABS(E429-$G$6)</f>
        <v/>
      </c>
      <c r="V429" s="31">
        <f>ABS(E429-$G$7)</f>
        <v/>
      </c>
      <c r="W429" s="31">
        <f>ABS(E429-$G$8)</f>
        <v/>
      </c>
      <c r="X429" s="14">
        <f>IF(R429&gt;=MAX(S429,T429), "Hemat", IF(S429&gt;=T429, "Balanced", "Premium"))</f>
        <v/>
      </c>
    </row>
    <row r="430">
      <c r="A430" s="14" t="n">
        <v>419</v>
      </c>
      <c r="B430" s="7" t="inlineStr">
        <is>
          <t>Sekuteng Bandung</t>
        </is>
      </c>
      <c r="C430" s="26" t="n">
        <v>-7.9022116</v>
      </c>
      <c r="D430" s="26" t="n">
        <v>112.5609195</v>
      </c>
      <c r="E430" s="21" t="n">
        <v>20000</v>
      </c>
      <c r="F430" s="27" t="n">
        <v>4.7</v>
      </c>
      <c r="G430" s="28" t="n">
        <v>62</v>
      </c>
      <c r="H430" s="14" t="inlineStr">
        <is>
          <t>Wisata Umum</t>
        </is>
      </c>
      <c r="I430" s="29">
        <f>6371 * 2 * ASIN(SQRT(SIN(RADIANS((C430) - INDEX('Dataset_Wisata'!$C$12:$C$622, MATCH('Dashboard'!$C$9, 'Dataset_Wisata'!$A$12:$A$622, 0)))/2)^2 + COS(RADIANS(INDEX('Dataset_Wisata'!$C$12:$C$622, MATCH('Dashboard'!$C$9, 'Dataset_Wisata'!$A$12:$A$622, 0)))) * COS(RADIANS(C430)) * SIN(RADIANS((D430) - INDEX('Dataset_Wisata'!$D$12:$D$622, MATCH('Dashboard'!$C$9, 'Dataset_Wisata'!$A$12:$A$622, 0)))/2)^2)) * 1.3</f>
        <v/>
      </c>
      <c r="J430" s="21">
        <f>ROUND(I430 * IF('Dashboard'!$C$6&lt;=1, 2250, IF('Dashboard'!$C$6&lt;=4, 5150, 6000)), 0)</f>
        <v/>
      </c>
      <c r="K430" s="30" t="n">
        <v>0.3766864462048385</v>
      </c>
      <c r="L430" s="30" t="n">
        <v>0.6029404273516955</v>
      </c>
      <c r="M430" s="30" t="n">
        <v>0.02037312644346593</v>
      </c>
      <c r="N430" s="31">
        <f>ABS(E430-$F$6)</f>
        <v/>
      </c>
      <c r="O430" s="31">
        <f>ABS(E430-$F$7)</f>
        <v/>
      </c>
      <c r="P430" s="31">
        <f>ABS(E430-$F$8)</f>
        <v/>
      </c>
      <c r="Q430" s="14">
        <f>IF(K430&gt;=MAX(L430,M430), "Hemat", IF(L430&gt;=M430, "Balanced", "Premium"))</f>
        <v/>
      </c>
      <c r="R430" s="30" t="n">
        <v>0.3766861717192874</v>
      </c>
      <c r="S430" s="30" t="n">
        <v>0.6029407066601674</v>
      </c>
      <c r="T430" s="30" t="n">
        <v>0.02037312162054524</v>
      </c>
      <c r="U430" s="31">
        <f>ABS(E430-$G$6)</f>
        <v/>
      </c>
      <c r="V430" s="31">
        <f>ABS(E430-$G$7)</f>
        <v/>
      </c>
      <c r="W430" s="31">
        <f>ABS(E430-$G$8)</f>
        <v/>
      </c>
      <c r="X430" s="14">
        <f>IF(R430&gt;=MAX(S430,T430), "Hemat", IF(S430&gt;=T430, "Balanced", "Premium"))</f>
        <v/>
      </c>
    </row>
    <row r="431">
      <c r="A431" s="14" t="n">
        <v>420</v>
      </c>
      <c r="B431" s="7" t="inlineStr">
        <is>
          <t>Waroeng Tepi Sawah</t>
        </is>
      </c>
      <c r="C431" s="26" t="n">
        <v>-7.8722942</v>
      </c>
      <c r="D431" s="26" t="n">
        <v>112.572317</v>
      </c>
      <c r="E431" s="21" t="n">
        <v>17250</v>
      </c>
      <c r="F431" s="27" t="n">
        <v>4.4</v>
      </c>
      <c r="G431" s="28" t="n">
        <v>378</v>
      </c>
      <c r="H431" s="14" t="inlineStr">
        <is>
          <t>Restoran</t>
        </is>
      </c>
      <c r="I431" s="29">
        <f>6371 * 2 * ASIN(SQRT(SIN(RADIANS((C431) - INDEX('Dataset_Wisata'!$C$12:$C$622, MATCH('Dashboard'!$C$9, 'Dataset_Wisata'!$A$12:$A$622, 0)))/2)^2 + COS(RADIANS(INDEX('Dataset_Wisata'!$C$12:$C$622, MATCH('Dashboard'!$C$9, 'Dataset_Wisata'!$A$12:$A$622, 0)))) * COS(RADIANS(C431)) * SIN(RADIANS((D431) - INDEX('Dataset_Wisata'!$D$12:$D$622, MATCH('Dashboard'!$C$9, 'Dataset_Wisata'!$A$12:$A$622, 0)))/2)^2)) * 1.3</f>
        <v/>
      </c>
      <c r="J431" s="21">
        <f>ROUND(I431 * IF('Dashboard'!$C$6&lt;=1, 2250, IF('Dashboard'!$C$6&lt;=4, 5150, 6000)), 0)</f>
        <v/>
      </c>
      <c r="K431" s="30" t="n">
        <v>0.7915710801683252</v>
      </c>
      <c r="L431" s="30" t="n">
        <v>0.1957849440250836</v>
      </c>
      <c r="M431" s="30" t="n">
        <v>0.01264397580659123</v>
      </c>
      <c r="N431" s="31">
        <f>ABS(E431-$F$6)</f>
        <v/>
      </c>
      <c r="O431" s="31">
        <f>ABS(E431-$F$7)</f>
        <v/>
      </c>
      <c r="P431" s="31">
        <f>ABS(E431-$F$8)</f>
        <v/>
      </c>
      <c r="Q431" s="14">
        <f>IF(K431&gt;=MAX(L431,M431), "Hemat", IF(L431&gt;=M431, "Balanced", "Premium"))</f>
        <v/>
      </c>
      <c r="R431" s="30" t="n">
        <v>0.7915709219619812</v>
      </c>
      <c r="S431" s="30" t="n">
        <v>0.1957850972244639</v>
      </c>
      <c r="T431" s="30" t="n">
        <v>0.01264398081355492</v>
      </c>
      <c r="U431" s="31">
        <f>ABS(E431-$G$6)</f>
        <v/>
      </c>
      <c r="V431" s="31">
        <f>ABS(E431-$G$7)</f>
        <v/>
      </c>
      <c r="W431" s="31">
        <f>ABS(E431-$G$8)</f>
        <v/>
      </c>
      <c r="X431" s="14">
        <f>IF(R431&gt;=MAX(S431,T431), "Hemat", IF(S431&gt;=T431, "Balanced", "Premium"))</f>
        <v/>
      </c>
    </row>
    <row r="432">
      <c r="A432" s="14" t="n">
        <v>421</v>
      </c>
      <c r="B432" s="7" t="inlineStr">
        <is>
          <t>Bebek Kerto tunggulwulung</t>
        </is>
      </c>
      <c r="C432" s="26" t="n">
        <v>-7.9233487</v>
      </c>
      <c r="D432" s="26" t="n">
        <v>112.6027796</v>
      </c>
      <c r="E432" s="21" t="n">
        <v>26125</v>
      </c>
      <c r="F432" s="27" t="n">
        <v>4.6</v>
      </c>
      <c r="G432" s="28" t="n">
        <v>321</v>
      </c>
      <c r="H432" s="14" t="inlineStr">
        <is>
          <t>Wisata Umum</t>
        </is>
      </c>
      <c r="I432" s="29">
        <f>6371 * 2 * ASIN(SQRT(SIN(RADIANS((C432) - INDEX('Dataset_Wisata'!$C$12:$C$622, MATCH('Dashboard'!$C$9, 'Dataset_Wisata'!$A$12:$A$622, 0)))/2)^2 + COS(RADIANS(INDEX('Dataset_Wisata'!$C$12:$C$622, MATCH('Dashboard'!$C$9, 'Dataset_Wisata'!$A$12:$A$622, 0)))) * COS(RADIANS(C432)) * SIN(RADIANS((D432) - INDEX('Dataset_Wisata'!$D$12:$D$622, MATCH('Dashboard'!$C$9, 'Dataset_Wisata'!$A$12:$A$622, 0)))/2)^2)) * 1.3</f>
        <v/>
      </c>
      <c r="J432" s="21">
        <f>ROUND(I432 * IF('Dashboard'!$C$6&lt;=1, 2250, IF('Dashboard'!$C$6&lt;=4, 5150, 6000)), 0)</f>
        <v/>
      </c>
      <c r="K432" s="30" t="n">
        <v>0.003470987429404021</v>
      </c>
      <c r="L432" s="30" t="n">
        <v>0.9954400989088268</v>
      </c>
      <c r="M432" s="30" t="n">
        <v>0.001088913661769207</v>
      </c>
      <c r="N432" s="31">
        <f>ABS(E432-$F$6)</f>
        <v/>
      </c>
      <c r="O432" s="31">
        <f>ABS(E432-$F$7)</f>
        <v/>
      </c>
      <c r="P432" s="31">
        <f>ABS(E432-$F$8)</f>
        <v/>
      </c>
      <c r="Q432" s="14">
        <f>IF(K432&gt;=MAX(L432,M432), "Hemat", IF(L432&gt;=M432, "Balanced", "Premium"))</f>
        <v/>
      </c>
      <c r="R432" s="30" t="n">
        <v>0.003471011421539856</v>
      </c>
      <c r="S432" s="30" t="n">
        <v>0.995440066865427</v>
      </c>
      <c r="T432" s="30" t="n">
        <v>0.001088921713033176</v>
      </c>
      <c r="U432" s="31">
        <f>ABS(E432-$G$6)</f>
        <v/>
      </c>
      <c r="V432" s="31">
        <f>ABS(E432-$G$7)</f>
        <v/>
      </c>
      <c r="W432" s="31">
        <f>ABS(E432-$G$8)</f>
        <v/>
      </c>
      <c r="X432" s="14">
        <f>IF(R432&gt;=MAX(S432,T432), "Hemat", IF(S432&gt;=T432, "Balanced", "Premium"))</f>
        <v/>
      </c>
    </row>
    <row r="433">
      <c r="A433" s="14" t="n">
        <v>422</v>
      </c>
      <c r="B433" s="7" t="inlineStr">
        <is>
          <t>Omah Jajan</t>
        </is>
      </c>
      <c r="C433" s="26" t="n">
        <v>-7.8964191</v>
      </c>
      <c r="D433" s="26" t="n">
        <v>112.608145</v>
      </c>
      <c r="E433" s="21" t="n">
        <v>13000</v>
      </c>
      <c r="F433" s="27" t="n">
        <v>4.3</v>
      </c>
      <c r="G433" s="28" t="n">
        <v>39</v>
      </c>
      <c r="H433" s="14" t="inlineStr">
        <is>
          <t>Wisata Umum</t>
        </is>
      </c>
      <c r="I433" s="29">
        <f>6371 * 2 * ASIN(SQRT(SIN(RADIANS((C433) - INDEX('Dataset_Wisata'!$C$12:$C$622, MATCH('Dashboard'!$C$9, 'Dataset_Wisata'!$A$12:$A$622, 0)))/2)^2 + COS(RADIANS(INDEX('Dataset_Wisata'!$C$12:$C$622, MATCH('Dashboard'!$C$9, 'Dataset_Wisata'!$A$12:$A$622, 0)))) * COS(RADIANS(C433)) * SIN(RADIANS((D433) - INDEX('Dataset_Wisata'!$D$12:$D$622, MATCH('Dashboard'!$C$9, 'Dataset_Wisata'!$A$12:$A$622, 0)))/2)^2)) * 1.3</f>
        <v/>
      </c>
      <c r="J433" s="21">
        <f>ROUND(I433 * IF('Dashboard'!$C$6&lt;=1, 2250, IF('Dashboard'!$C$6&lt;=4, 5150, 6000)), 0)</f>
        <v/>
      </c>
      <c r="K433" s="30" t="n">
        <v>0.9996613401455278</v>
      </c>
      <c r="L433" s="30" t="n">
        <v>0.0003032413982241428</v>
      </c>
      <c r="M433" s="30" t="n">
        <v>3.541845624800055e-05</v>
      </c>
      <c r="N433" s="31">
        <f>ABS(E433-$F$6)</f>
        <v/>
      </c>
      <c r="O433" s="31">
        <f>ABS(E433-$F$7)</f>
        <v/>
      </c>
      <c r="P433" s="31">
        <f>ABS(E433-$F$8)</f>
        <v/>
      </c>
      <c r="Q433" s="14">
        <f>IF(K433&gt;=MAX(L433,M433), "Hemat", IF(L433&gt;=M433, "Balanced", "Premium"))</f>
        <v/>
      </c>
      <c r="R433" s="30" t="n">
        <v>0.9996613420378273</v>
      </c>
      <c r="S433" s="30" t="n">
        <v>0.0003032397098959421</v>
      </c>
      <c r="T433" s="30" t="n">
        <v>3.541825227674828e-05</v>
      </c>
      <c r="U433" s="31">
        <f>ABS(E433-$G$6)</f>
        <v/>
      </c>
      <c r="V433" s="31">
        <f>ABS(E433-$G$7)</f>
        <v/>
      </c>
      <c r="W433" s="31">
        <f>ABS(E433-$G$8)</f>
        <v/>
      </c>
      <c r="X433" s="14">
        <f>IF(R433&gt;=MAX(S433,T433), "Hemat", IF(S433&gt;=T433, "Balanced", "Premium"))</f>
        <v/>
      </c>
    </row>
    <row r="434">
      <c r="A434" s="14" t="n">
        <v>423</v>
      </c>
      <c r="B434" s="7" t="inlineStr">
        <is>
          <t>Warung Pecel TPI (Teko Paling Isuk)</t>
        </is>
      </c>
      <c r="C434" s="26" t="n">
        <v>-7.9139883</v>
      </c>
      <c r="D434" s="26" t="n">
        <v>112.5813831</v>
      </c>
      <c r="E434" s="21" t="n">
        <v>12000</v>
      </c>
      <c r="F434" s="27" t="n">
        <v>4.8</v>
      </c>
      <c r="G434" s="28" t="n">
        <v>50</v>
      </c>
      <c r="H434" s="14" t="inlineStr">
        <is>
          <t>Wisata Umum</t>
        </is>
      </c>
      <c r="I434" s="29">
        <f>6371 * 2 * ASIN(SQRT(SIN(RADIANS((C434) - INDEX('Dataset_Wisata'!$C$12:$C$622, MATCH('Dashboard'!$C$9, 'Dataset_Wisata'!$A$12:$A$622, 0)))/2)^2 + COS(RADIANS(INDEX('Dataset_Wisata'!$C$12:$C$622, MATCH('Dashboard'!$C$9, 'Dataset_Wisata'!$A$12:$A$622, 0)))) * COS(RADIANS(C434)) * SIN(RADIANS((D434) - INDEX('Dataset_Wisata'!$D$12:$D$622, MATCH('Dashboard'!$C$9, 'Dataset_Wisata'!$A$12:$A$622, 0)))/2)^2)) * 1.3</f>
        <v/>
      </c>
      <c r="J434" s="21">
        <f>ROUND(I434 * IF('Dashboard'!$C$6&lt;=1, 2250, IF('Dashboard'!$C$6&lt;=4, 5150, 6000)), 0)</f>
        <v/>
      </c>
      <c r="K434" s="30" t="n">
        <v>0.9907459480940729</v>
      </c>
      <c r="L434" s="30" t="n">
        <v>0.008195110232283047</v>
      </c>
      <c r="M434" s="30" t="n">
        <v>0.001058941673643979</v>
      </c>
      <c r="N434" s="31">
        <f>ABS(E434-$F$6)</f>
        <v/>
      </c>
      <c r="O434" s="31">
        <f>ABS(E434-$F$7)</f>
        <v/>
      </c>
      <c r="P434" s="31">
        <f>ABS(E434-$F$8)</f>
        <v/>
      </c>
      <c r="Q434" s="14">
        <f>IF(K434&gt;=MAX(L434,M434), "Hemat", IF(L434&gt;=M434, "Balanced", "Premium"))</f>
        <v/>
      </c>
      <c r="R434" s="30" t="n">
        <v>0.9907459543354936</v>
      </c>
      <c r="S434" s="30" t="n">
        <v>0.008195104860105683</v>
      </c>
      <c r="T434" s="30" t="n">
        <v>0.0010589408044008</v>
      </c>
      <c r="U434" s="31">
        <f>ABS(E434-$G$6)</f>
        <v/>
      </c>
      <c r="V434" s="31">
        <f>ABS(E434-$G$7)</f>
        <v/>
      </c>
      <c r="W434" s="31">
        <f>ABS(E434-$G$8)</f>
        <v/>
      </c>
      <c r="X434" s="14">
        <f>IF(R434&gt;=MAX(S434,T434), "Hemat", IF(S434&gt;=T434, "Balanced", "Premium"))</f>
        <v/>
      </c>
    </row>
    <row r="435">
      <c r="A435" s="14" t="n">
        <v>424</v>
      </c>
      <c r="B435" s="7" t="inlineStr">
        <is>
          <t>Warung LOX</t>
        </is>
      </c>
      <c r="C435" s="26" t="n">
        <v>-7.9192806</v>
      </c>
      <c r="D435" s="26" t="n">
        <v>112.5962814</v>
      </c>
      <c r="E435" s="21" t="n">
        <v>15000</v>
      </c>
      <c r="F435" s="27" t="n">
        <v>4.4</v>
      </c>
      <c r="G435" s="28" t="n">
        <v>211</v>
      </c>
      <c r="H435" s="14" t="inlineStr">
        <is>
          <t>Warung LOX</t>
        </is>
      </c>
      <c r="I435" s="29">
        <f>6371 * 2 * ASIN(SQRT(SIN(RADIANS((C435) - INDEX('Dataset_Wisata'!$C$12:$C$622, MATCH('Dashboard'!$C$9, 'Dataset_Wisata'!$A$12:$A$622, 0)))/2)^2 + COS(RADIANS(INDEX('Dataset_Wisata'!$C$12:$C$622, MATCH('Dashboard'!$C$9, 'Dataset_Wisata'!$A$12:$A$622, 0)))) * COS(RADIANS(C435)) * SIN(RADIANS((D435) - INDEX('Dataset_Wisata'!$D$12:$D$622, MATCH('Dashboard'!$C$9, 'Dataset_Wisata'!$A$12:$A$622, 0)))/2)^2)) * 1.3</f>
        <v/>
      </c>
      <c r="J435" s="21">
        <f>ROUND(I435 * IF('Dashboard'!$C$6&lt;=1, 2250, IF('Dashboard'!$C$6&lt;=4, 5150, 6000)), 0)</f>
        <v/>
      </c>
      <c r="K435" s="30" t="n">
        <v>0.9686283169848018</v>
      </c>
      <c r="L435" s="30" t="n">
        <v>0.02872990537067274</v>
      </c>
      <c r="M435" s="30" t="n">
        <v>0.002641777644525457</v>
      </c>
      <c r="N435" s="31">
        <f>ABS(E435-$F$6)</f>
        <v/>
      </c>
      <c r="O435" s="31">
        <f>ABS(E435-$F$7)</f>
        <v/>
      </c>
      <c r="P435" s="31">
        <f>ABS(E435-$F$8)</f>
        <v/>
      </c>
      <c r="Q435" s="14">
        <f>IF(K435&gt;=MAX(L435,M435), "Hemat", IF(L435&gt;=M435, "Balanced", "Premium"))</f>
        <v/>
      </c>
      <c r="R435" s="30" t="n">
        <v>0.9686282798936615</v>
      </c>
      <c r="S435" s="30" t="n">
        <v>0.02872993996961344</v>
      </c>
      <c r="T435" s="30" t="n">
        <v>0.002641780136725144</v>
      </c>
      <c r="U435" s="31">
        <f>ABS(E435-$G$6)</f>
        <v/>
      </c>
      <c r="V435" s="31">
        <f>ABS(E435-$G$7)</f>
        <v/>
      </c>
      <c r="W435" s="31">
        <f>ABS(E435-$G$8)</f>
        <v/>
      </c>
      <c r="X435" s="14">
        <f>IF(R435&gt;=MAX(S435,T435), "Hemat", IF(S435&gt;=T435, "Balanced", "Premium"))</f>
        <v/>
      </c>
    </row>
    <row r="436">
      <c r="A436" s="14" t="n">
        <v>425</v>
      </c>
      <c r="B436" s="7" t="inlineStr">
        <is>
          <t>Waroeng Dhuro</t>
        </is>
      </c>
      <c r="C436" s="26" t="n">
        <v>-7.9244518</v>
      </c>
      <c r="D436" s="26" t="n">
        <v>112.5847239</v>
      </c>
      <c r="E436" s="21" t="n">
        <v>26800</v>
      </c>
      <c r="F436" s="27" t="n">
        <v>4.5</v>
      </c>
      <c r="G436" s="28" t="n">
        <v>109</v>
      </c>
      <c r="H436" s="14" t="inlineStr">
        <is>
          <t>Wisata Umum</t>
        </is>
      </c>
      <c r="I436" s="29">
        <f>6371 * 2 * ASIN(SQRT(SIN(RADIANS((C436) - INDEX('Dataset_Wisata'!$C$12:$C$622, MATCH('Dashboard'!$C$9, 'Dataset_Wisata'!$A$12:$A$622, 0)))/2)^2 + COS(RADIANS(INDEX('Dataset_Wisata'!$C$12:$C$622, MATCH('Dashboard'!$C$9, 'Dataset_Wisata'!$A$12:$A$622, 0)))) * COS(RADIANS(C436)) * SIN(RADIANS((D436) - INDEX('Dataset_Wisata'!$D$12:$D$622, MATCH('Dashboard'!$C$9, 'Dataset_Wisata'!$A$12:$A$622, 0)))/2)^2)) * 1.3</f>
        <v/>
      </c>
      <c r="J436" s="21">
        <f>ROUND(I436 * IF('Dashboard'!$C$6&lt;=1, 2250, IF('Dashboard'!$C$6&lt;=4, 5150, 6000)), 0)</f>
        <v/>
      </c>
      <c r="K436" s="30" t="n">
        <v>0.01102557967792376</v>
      </c>
      <c r="L436" s="30" t="n">
        <v>0.9849097341690031</v>
      </c>
      <c r="M436" s="30" t="n">
        <v>0.004064686153073347</v>
      </c>
      <c r="N436" s="31">
        <f>ABS(E436-$F$6)</f>
        <v/>
      </c>
      <c r="O436" s="31">
        <f>ABS(E436-$F$7)</f>
        <v/>
      </c>
      <c r="P436" s="31">
        <f>ABS(E436-$F$8)</f>
        <v/>
      </c>
      <c r="Q436" s="14">
        <f>IF(K436&gt;=MAX(L436,M436), "Hemat", IF(L436&gt;=M436, "Balanced", "Premium"))</f>
        <v/>
      </c>
      <c r="R436" s="30" t="n">
        <v>0.01102561919513593</v>
      </c>
      <c r="S436" s="30" t="n">
        <v>0.9849096780990534</v>
      </c>
      <c r="T436" s="30" t="n">
        <v>0.004064702705810678</v>
      </c>
      <c r="U436" s="31">
        <f>ABS(E436-$G$6)</f>
        <v/>
      </c>
      <c r="V436" s="31">
        <f>ABS(E436-$G$7)</f>
        <v/>
      </c>
      <c r="W436" s="31">
        <f>ABS(E436-$G$8)</f>
        <v/>
      </c>
      <c r="X436" s="14">
        <f>IF(R436&gt;=MAX(S436,T436), "Hemat", IF(S436&gt;=T436, "Balanced", "Premium"))</f>
        <v/>
      </c>
    </row>
    <row r="437">
      <c r="A437" s="14" t="n">
        <v>426</v>
      </c>
      <c r="B437" s="7" t="inlineStr">
        <is>
          <t>Warung Mbak Tutut</t>
        </is>
      </c>
      <c r="C437" s="26" t="n">
        <v>-7.9057681</v>
      </c>
      <c r="D437" s="26" t="n">
        <v>112.6128315</v>
      </c>
      <c r="E437" s="21" t="n">
        <v>8000</v>
      </c>
      <c r="F437" s="27" t="n">
        <v>4.3</v>
      </c>
      <c r="G437" s="28" t="n">
        <v>1278</v>
      </c>
      <c r="H437" s="14" t="inlineStr">
        <is>
          <t>Warung Mbak Tutut</t>
        </is>
      </c>
      <c r="I437" s="29">
        <f>6371 * 2 * ASIN(SQRT(SIN(RADIANS((C437) - INDEX('Dataset_Wisata'!$C$12:$C$622, MATCH('Dashboard'!$C$9, 'Dataset_Wisata'!$A$12:$A$622, 0)))/2)^2 + COS(RADIANS(INDEX('Dataset_Wisata'!$C$12:$C$622, MATCH('Dashboard'!$C$9, 'Dataset_Wisata'!$A$12:$A$622, 0)))) * COS(RADIANS(C437)) * SIN(RADIANS((D437) - INDEX('Dataset_Wisata'!$D$12:$D$622, MATCH('Dashboard'!$C$9, 'Dataset_Wisata'!$A$12:$A$622, 0)))/2)^2)) * 1.3</f>
        <v/>
      </c>
      <c r="J437" s="21">
        <f>ROUND(I437 * IF('Dashboard'!$C$6&lt;=1, 2250, IF('Dashboard'!$C$6&lt;=4, 5150, 6000)), 0)</f>
        <v/>
      </c>
      <c r="K437" s="30" t="n">
        <v>0.9039388019808103</v>
      </c>
      <c r="L437" s="30" t="n">
        <v>0.0815580567645619</v>
      </c>
      <c r="M437" s="30" t="n">
        <v>0.01450314125462772</v>
      </c>
      <c r="N437" s="31">
        <f>ABS(E437-$F$6)</f>
        <v/>
      </c>
      <c r="O437" s="31">
        <f>ABS(E437-$F$7)</f>
        <v/>
      </c>
      <c r="P437" s="31">
        <f>ABS(E437-$F$8)</f>
        <v/>
      </c>
      <c r="Q437" s="14">
        <f>IF(K437&gt;=MAX(L437,M437), "Hemat", IF(L437&gt;=M437, "Balanced", "Premium"))</f>
        <v/>
      </c>
      <c r="R437" s="30" t="n">
        <v>0.9039387979026794</v>
      </c>
      <c r="S437" s="30" t="n">
        <v>0.08155806140566645</v>
      </c>
      <c r="T437" s="30" t="n">
        <v>0.01450314069165419</v>
      </c>
      <c r="U437" s="31">
        <f>ABS(E437-$G$6)</f>
        <v/>
      </c>
      <c r="V437" s="31">
        <f>ABS(E437-$G$7)</f>
        <v/>
      </c>
      <c r="W437" s="31">
        <f>ABS(E437-$G$8)</f>
        <v/>
      </c>
      <c r="X437" s="14">
        <f>IF(R437&gt;=MAX(S437,T437), "Hemat", IF(S437&gt;=T437, "Balanced", "Premium"))</f>
        <v/>
      </c>
    </row>
    <row r="438">
      <c r="A438" s="14" t="n">
        <v>427</v>
      </c>
      <c r="B438" s="7" t="inlineStr">
        <is>
          <t>Warung Nasi lumayan</t>
        </is>
      </c>
      <c r="C438" s="26" t="n">
        <v>-7.9196661</v>
      </c>
      <c r="D438" s="26" t="n">
        <v>112.5901134</v>
      </c>
      <c r="E438" s="21" t="n">
        <v>11750</v>
      </c>
      <c r="F438" s="27" t="n">
        <v>4.6</v>
      </c>
      <c r="G438" s="28" t="n">
        <v>67</v>
      </c>
      <c r="H438" s="14" t="inlineStr">
        <is>
          <t>Warung Nasi lumayan</t>
        </is>
      </c>
      <c r="I438" s="29">
        <f>6371 * 2 * ASIN(SQRT(SIN(RADIANS((C438) - INDEX('Dataset_Wisata'!$C$12:$C$622, MATCH('Dashboard'!$C$9, 'Dataset_Wisata'!$A$12:$A$622, 0)))/2)^2 + COS(RADIANS(INDEX('Dataset_Wisata'!$C$12:$C$622, MATCH('Dashboard'!$C$9, 'Dataset_Wisata'!$A$12:$A$622, 0)))) * COS(RADIANS(C438)) * SIN(RADIANS((D438) - INDEX('Dataset_Wisata'!$D$12:$D$622, MATCH('Dashboard'!$C$9, 'Dataset_Wisata'!$A$12:$A$622, 0)))/2)^2)) * 1.3</f>
        <v/>
      </c>
      <c r="J438" s="21">
        <f>ROUND(I438 * IF('Dashboard'!$C$6&lt;=1, 2250, IF('Dashboard'!$C$6&lt;=4, 5150, 6000)), 0)</f>
        <v/>
      </c>
      <c r="K438" s="30" t="n">
        <v>0.9870496669289139</v>
      </c>
      <c r="L438" s="30" t="n">
        <v>0.01143708280684991</v>
      </c>
      <c r="M438" s="30" t="n">
        <v>0.001513250264236163</v>
      </c>
      <c r="N438" s="31">
        <f>ABS(E438-$F$6)</f>
        <v/>
      </c>
      <c r="O438" s="31">
        <f>ABS(E438-$F$7)</f>
        <v/>
      </c>
      <c r="P438" s="31">
        <f>ABS(E438-$F$8)</f>
        <v/>
      </c>
      <c r="Q438" s="14">
        <f>IF(K438&gt;=MAX(L438,M438), "Hemat", IF(L438&gt;=M438, "Balanced", "Premium"))</f>
        <v/>
      </c>
      <c r="R438" s="30" t="n">
        <v>0.9870496734017057</v>
      </c>
      <c r="S438" s="30" t="n">
        <v>0.01143707730359993</v>
      </c>
      <c r="T438" s="30" t="n">
        <v>0.00151324929469438</v>
      </c>
      <c r="U438" s="31">
        <f>ABS(E438-$G$6)</f>
        <v/>
      </c>
      <c r="V438" s="31">
        <f>ABS(E438-$G$7)</f>
        <v/>
      </c>
      <c r="W438" s="31">
        <f>ABS(E438-$G$8)</f>
        <v/>
      </c>
      <c r="X438" s="14">
        <f>IF(R438&gt;=MAX(S438,T438), "Hemat", IF(S438&gt;=T438, "Balanced", "Premium"))</f>
        <v/>
      </c>
    </row>
    <row r="439">
      <c r="A439" s="14" t="n">
        <v>428</v>
      </c>
      <c r="B439" s="7" t="inlineStr">
        <is>
          <t>Warung Soto Bu Dewi</t>
        </is>
      </c>
      <c r="C439" s="26" t="n">
        <v>-7.9235868</v>
      </c>
      <c r="D439" s="26" t="n">
        <v>112.5982114</v>
      </c>
      <c r="E439" s="21" t="n">
        <v>15000</v>
      </c>
      <c r="F439" s="27" t="n">
        <v>4.5</v>
      </c>
      <c r="G439" s="28" t="n">
        <v>394</v>
      </c>
      <c r="H439" s="14" t="inlineStr">
        <is>
          <t>Warung Soto Bu Dewi</t>
        </is>
      </c>
      <c r="I439" s="29">
        <f>6371 * 2 * ASIN(SQRT(SIN(RADIANS((C439) - INDEX('Dataset_Wisata'!$C$12:$C$622, MATCH('Dashboard'!$C$9, 'Dataset_Wisata'!$A$12:$A$622, 0)))/2)^2 + COS(RADIANS(INDEX('Dataset_Wisata'!$C$12:$C$622, MATCH('Dashboard'!$C$9, 'Dataset_Wisata'!$A$12:$A$622, 0)))) * COS(RADIANS(C439)) * SIN(RADIANS((D439) - INDEX('Dataset_Wisata'!$D$12:$D$622, MATCH('Dashboard'!$C$9, 'Dataset_Wisata'!$A$12:$A$622, 0)))/2)^2)) * 1.3</f>
        <v/>
      </c>
      <c r="J439" s="21">
        <f>ROUND(I439 * IF('Dashboard'!$C$6&lt;=1, 2250, IF('Dashboard'!$C$6&lt;=4, 5150, 6000)), 0)</f>
        <v/>
      </c>
      <c r="K439" s="30" t="n">
        <v>0.9686283169848018</v>
      </c>
      <c r="L439" s="30" t="n">
        <v>0.02872990537067274</v>
      </c>
      <c r="M439" s="30" t="n">
        <v>0.002641777644525457</v>
      </c>
      <c r="N439" s="31">
        <f>ABS(E439-$F$6)</f>
        <v/>
      </c>
      <c r="O439" s="31">
        <f>ABS(E439-$F$7)</f>
        <v/>
      </c>
      <c r="P439" s="31">
        <f>ABS(E439-$F$8)</f>
        <v/>
      </c>
      <c r="Q439" s="14">
        <f>IF(K439&gt;=MAX(L439,M439), "Hemat", IF(L439&gt;=M439, "Balanced", "Premium"))</f>
        <v/>
      </c>
      <c r="R439" s="30" t="n">
        <v>0.9686282798936615</v>
      </c>
      <c r="S439" s="30" t="n">
        <v>0.02872993996961344</v>
      </c>
      <c r="T439" s="30" t="n">
        <v>0.002641780136725144</v>
      </c>
      <c r="U439" s="31">
        <f>ABS(E439-$G$6)</f>
        <v/>
      </c>
      <c r="V439" s="31">
        <f>ABS(E439-$G$7)</f>
        <v/>
      </c>
      <c r="W439" s="31">
        <f>ABS(E439-$G$8)</f>
        <v/>
      </c>
      <c r="X439" s="14">
        <f>IF(R439&gt;=MAX(S439,T439), "Hemat", IF(S439&gt;=T439, "Balanced", "Premium"))</f>
        <v/>
      </c>
    </row>
    <row r="440">
      <c r="A440" s="14" t="n">
        <v>429</v>
      </c>
      <c r="B440" s="7" t="inlineStr">
        <is>
          <t>Lalapan sambel uleg 87</t>
        </is>
      </c>
      <c r="C440" s="26" t="n">
        <v>-7.9201659</v>
      </c>
      <c r="D440" s="26" t="n">
        <v>112.5818447</v>
      </c>
      <c r="E440" s="21" t="n">
        <v>14000</v>
      </c>
      <c r="F440" s="27" t="n">
        <v>4.7</v>
      </c>
      <c r="G440" s="28" t="n">
        <v>494</v>
      </c>
      <c r="H440" s="14" t="inlineStr">
        <is>
          <t>Wisata Umum</t>
        </is>
      </c>
      <c r="I440" s="29">
        <f>6371 * 2 * ASIN(SQRT(SIN(RADIANS((C440) - INDEX('Dataset_Wisata'!$C$12:$C$622, MATCH('Dashboard'!$C$9, 'Dataset_Wisata'!$A$12:$A$622, 0)))/2)^2 + COS(RADIANS(INDEX('Dataset_Wisata'!$C$12:$C$622, MATCH('Dashboard'!$C$9, 'Dataset_Wisata'!$A$12:$A$622, 0)))) * COS(RADIANS(C440)) * SIN(RADIANS((D440) - INDEX('Dataset_Wisata'!$D$12:$D$622, MATCH('Dashboard'!$C$9, 'Dataset_Wisata'!$A$12:$A$622, 0)))/2)^2)) * 1.3</f>
        <v/>
      </c>
      <c r="J440" s="21">
        <f>ROUND(I440 * IF('Dashboard'!$C$6&lt;=1, 2250, IF('Dashboard'!$C$6&lt;=4, 5150, 6000)), 0)</f>
        <v/>
      </c>
      <c r="K440" s="30" t="n">
        <v>0.9947609318027544</v>
      </c>
      <c r="L440" s="30" t="n">
        <v>0.004743992866447784</v>
      </c>
      <c r="M440" s="30" t="n">
        <v>0.0004950753307978607</v>
      </c>
      <c r="N440" s="31">
        <f>ABS(E440-$F$6)</f>
        <v/>
      </c>
      <c r="O440" s="31">
        <f>ABS(E440-$F$7)</f>
        <v/>
      </c>
      <c r="P440" s="31">
        <f>ABS(E440-$F$8)</f>
        <v/>
      </c>
      <c r="Q440" s="14">
        <f>IF(K440&gt;=MAX(L440,M440), "Hemat", IF(L440&gt;=M440, "Balanced", "Premium"))</f>
        <v/>
      </c>
      <c r="R440" s="30" t="n">
        <v>0.9947609208632797</v>
      </c>
      <c r="S440" s="30" t="n">
        <v>0.004744002871971992</v>
      </c>
      <c r="T440" s="30" t="n">
        <v>0.0004950762647482733</v>
      </c>
      <c r="U440" s="31">
        <f>ABS(E440-$G$6)</f>
        <v/>
      </c>
      <c r="V440" s="31">
        <f>ABS(E440-$G$7)</f>
        <v/>
      </c>
      <c r="W440" s="31">
        <f>ABS(E440-$G$8)</f>
        <v/>
      </c>
      <c r="X440" s="14">
        <f>IF(R440&gt;=MAX(S440,T440), "Hemat", IF(S440&gt;=T440, "Balanced", "Premium"))</f>
        <v/>
      </c>
    </row>
    <row r="441">
      <c r="A441" s="14" t="n">
        <v>430</v>
      </c>
      <c r="B441" s="7" t="inlineStr">
        <is>
          <t>Warung Makan Sengkaling</t>
        </is>
      </c>
      <c r="C441" s="26" t="n">
        <v>-7.9174914</v>
      </c>
      <c r="D441" s="26" t="n">
        <v>112.5886949</v>
      </c>
      <c r="E441" s="21" t="n">
        <v>22000</v>
      </c>
      <c r="F441" s="27" t="n">
        <v>4.6</v>
      </c>
      <c r="G441" s="28" t="n">
        <v>68</v>
      </c>
      <c r="H441" s="14" t="inlineStr">
        <is>
          <t>Warung Makan Sengkaling</t>
        </is>
      </c>
      <c r="I441" s="29">
        <f>6371 * 2 * ASIN(SQRT(SIN(RADIANS((C441) - INDEX('Dataset_Wisata'!$C$12:$C$622, MATCH('Dashboard'!$C$9, 'Dataset_Wisata'!$A$12:$A$622, 0)))/2)^2 + COS(RADIANS(INDEX('Dataset_Wisata'!$C$12:$C$622, MATCH('Dashboard'!$C$9, 'Dataset_Wisata'!$A$12:$A$622, 0)))) * COS(RADIANS(C441)) * SIN(RADIANS((D441) - INDEX('Dataset_Wisata'!$D$12:$D$622, MATCH('Dashboard'!$C$9, 'Dataset_Wisata'!$A$12:$A$622, 0)))/2)^2)) * 1.3</f>
        <v/>
      </c>
      <c r="J441" s="21">
        <f>ROUND(I441 * IF('Dashboard'!$C$6&lt;=1, 2250, IF('Dashboard'!$C$6&lt;=4, 5150, 6000)), 0)</f>
        <v/>
      </c>
      <c r="K441" s="30" t="n">
        <v>0.1261169361072687</v>
      </c>
      <c r="L441" s="30" t="n">
        <v>0.8607026272442547</v>
      </c>
      <c r="M441" s="30" t="n">
        <v>0.01318043664847662</v>
      </c>
      <c r="N441" s="31">
        <f>ABS(E441-$F$6)</f>
        <v/>
      </c>
      <c r="O441" s="31">
        <f>ABS(E441-$F$7)</f>
        <v/>
      </c>
      <c r="P441" s="31">
        <f>ABS(E441-$F$8)</f>
        <v/>
      </c>
      <c r="Q441" s="14">
        <f>IF(K441&gt;=MAX(L441,M441), "Hemat", IF(L441&gt;=M441, "Balanced", "Premium"))</f>
        <v/>
      </c>
      <c r="R441" s="30" t="n">
        <v>0.126116746000083</v>
      </c>
      <c r="S441" s="30" t="n">
        <v>0.8607028310146635</v>
      </c>
      <c r="T441" s="30" t="n">
        <v>0.01318042298525341</v>
      </c>
      <c r="U441" s="31">
        <f>ABS(E441-$G$6)</f>
        <v/>
      </c>
      <c r="V441" s="31">
        <f>ABS(E441-$G$7)</f>
        <v/>
      </c>
      <c r="W441" s="31">
        <f>ABS(E441-$G$8)</f>
        <v/>
      </c>
      <c r="X441" s="14">
        <f>IF(R441&gt;=MAX(S441,T441), "Hemat", IF(S441&gt;=T441, "Balanced", "Premium"))</f>
        <v/>
      </c>
    </row>
    <row r="442">
      <c r="A442" s="14" t="n">
        <v>431</v>
      </c>
      <c r="B442" s="7" t="inlineStr">
        <is>
          <t>Menu Makan Gashibu</t>
        </is>
      </c>
      <c r="C442" s="26" t="n">
        <v>-7.9216197</v>
      </c>
      <c r="D442" s="26" t="n">
        <v>112.5954446</v>
      </c>
      <c r="E442" s="21" t="n">
        <v>20000</v>
      </c>
      <c r="F442" s="27" t="n">
        <v>4.5</v>
      </c>
      <c r="G442" s="28" t="n">
        <v>31</v>
      </c>
      <c r="H442" s="14" t="inlineStr">
        <is>
          <t>Wisata Umum</t>
        </is>
      </c>
      <c r="I442" s="29">
        <f>6371 * 2 * ASIN(SQRT(SIN(RADIANS((C442) - INDEX('Dataset_Wisata'!$C$12:$C$622, MATCH('Dashboard'!$C$9, 'Dataset_Wisata'!$A$12:$A$622, 0)))/2)^2 + COS(RADIANS(INDEX('Dataset_Wisata'!$C$12:$C$622, MATCH('Dashboard'!$C$9, 'Dataset_Wisata'!$A$12:$A$622, 0)))) * COS(RADIANS(C442)) * SIN(RADIANS((D442) - INDEX('Dataset_Wisata'!$D$12:$D$622, MATCH('Dashboard'!$C$9, 'Dataset_Wisata'!$A$12:$A$622, 0)))/2)^2)) * 1.3</f>
        <v/>
      </c>
      <c r="J442" s="21">
        <f>ROUND(I442 * IF('Dashboard'!$C$6&lt;=1, 2250, IF('Dashboard'!$C$6&lt;=4, 5150, 6000)), 0)</f>
        <v/>
      </c>
      <c r="K442" s="30" t="n">
        <v>0.3766864462048385</v>
      </c>
      <c r="L442" s="30" t="n">
        <v>0.6029404273516955</v>
      </c>
      <c r="M442" s="30" t="n">
        <v>0.02037312644346593</v>
      </c>
      <c r="N442" s="31">
        <f>ABS(E442-$F$6)</f>
        <v/>
      </c>
      <c r="O442" s="31">
        <f>ABS(E442-$F$7)</f>
        <v/>
      </c>
      <c r="P442" s="31">
        <f>ABS(E442-$F$8)</f>
        <v/>
      </c>
      <c r="Q442" s="14">
        <f>IF(K442&gt;=MAX(L442,M442), "Hemat", IF(L442&gt;=M442, "Balanced", "Premium"))</f>
        <v/>
      </c>
      <c r="R442" s="30" t="n">
        <v>0.3766861717192874</v>
      </c>
      <c r="S442" s="30" t="n">
        <v>0.6029407066601674</v>
      </c>
      <c r="T442" s="30" t="n">
        <v>0.02037312162054524</v>
      </c>
      <c r="U442" s="31">
        <f>ABS(E442-$G$6)</f>
        <v/>
      </c>
      <c r="V442" s="31">
        <f>ABS(E442-$G$7)</f>
        <v/>
      </c>
      <c r="W442" s="31">
        <f>ABS(E442-$G$8)</f>
        <v/>
      </c>
      <c r="X442" s="14">
        <f>IF(R442&gt;=MAX(S442,T442), "Hemat", IF(S442&gt;=T442, "Balanced", "Premium"))</f>
        <v/>
      </c>
    </row>
    <row r="443">
      <c r="A443" s="14" t="n">
        <v>432</v>
      </c>
      <c r="B443" s="7" t="inlineStr">
        <is>
          <t>Warung Ayam Kalasan Lalapan Agung</t>
        </is>
      </c>
      <c r="C443" s="26" t="n">
        <v>-7.9252024</v>
      </c>
      <c r="D443" s="26" t="n">
        <v>112.5894852</v>
      </c>
      <c r="E443" s="21" t="n">
        <v>33500</v>
      </c>
      <c r="F443" s="27" t="n">
        <v>4.5</v>
      </c>
      <c r="G443" s="28" t="n">
        <v>1377</v>
      </c>
      <c r="H443" s="14" t="inlineStr">
        <is>
          <t>Warung Ayam Kalasan Lalapan Agung</t>
        </is>
      </c>
      <c r="I443" s="29">
        <f>6371 * 2 * ASIN(SQRT(SIN(RADIANS((C443) - INDEX('Dataset_Wisata'!$C$12:$C$622, MATCH('Dashboard'!$C$9, 'Dataset_Wisata'!$A$12:$A$622, 0)))/2)^2 + COS(RADIANS(INDEX('Dataset_Wisata'!$C$12:$C$622, MATCH('Dashboard'!$C$9, 'Dataset_Wisata'!$A$12:$A$622, 0)))) * COS(RADIANS(C443)) * SIN(RADIANS((D443) - INDEX('Dataset_Wisata'!$D$12:$D$622, MATCH('Dashboard'!$C$9, 'Dataset_Wisata'!$A$12:$A$622, 0)))/2)^2)) * 1.3</f>
        <v/>
      </c>
      <c r="J443" s="21">
        <f>ROUND(I443 * IF('Dashboard'!$C$6&lt;=1, 2250, IF('Dashboard'!$C$6&lt;=4, 5150, 6000)), 0)</f>
        <v/>
      </c>
      <c r="K443" s="30" t="n">
        <v>0.1124989605394246</v>
      </c>
      <c r="L443" s="30" t="n">
        <v>0.6990731947263245</v>
      </c>
      <c r="M443" s="30" t="n">
        <v>0.1884278447342511</v>
      </c>
      <c r="N443" s="31">
        <f>ABS(E443-$F$6)</f>
        <v/>
      </c>
      <c r="O443" s="31">
        <f>ABS(E443-$F$7)</f>
        <v/>
      </c>
      <c r="P443" s="31">
        <f>ABS(E443-$F$8)</f>
        <v/>
      </c>
      <c r="Q443" s="14">
        <f>IF(K443&gt;=MAX(L443,M443), "Hemat", IF(L443&gt;=M443, "Balanced", "Premium"))</f>
        <v/>
      </c>
      <c r="R443" s="30" t="n">
        <v>0.112498994184635</v>
      </c>
      <c r="S443" s="30" t="n">
        <v>0.6990729870051402</v>
      </c>
      <c r="T443" s="30" t="n">
        <v>0.1884280188102248</v>
      </c>
      <c r="U443" s="31">
        <f>ABS(E443-$G$6)</f>
        <v/>
      </c>
      <c r="V443" s="31">
        <f>ABS(E443-$G$7)</f>
        <v/>
      </c>
      <c r="W443" s="31">
        <f>ABS(E443-$G$8)</f>
        <v/>
      </c>
      <c r="X443" s="14">
        <f>IF(R443&gt;=MAX(S443,T443), "Hemat", IF(S443&gt;=T443, "Balanced", "Premium"))</f>
        <v/>
      </c>
    </row>
    <row r="444">
      <c r="A444" s="14" t="n">
        <v>433</v>
      </c>
      <c r="B444" s="7" t="inlineStr">
        <is>
          <t>Warung Bu Mayar</t>
        </is>
      </c>
      <c r="C444" s="26" t="n">
        <v>-7.9178114</v>
      </c>
      <c r="D444" s="26" t="n">
        <v>112.6142825</v>
      </c>
      <c r="E444" s="21" t="n">
        <v>10750</v>
      </c>
      <c r="F444" s="27" t="n">
        <v>4.5</v>
      </c>
      <c r="G444" s="28" t="n">
        <v>103</v>
      </c>
      <c r="H444" s="14" t="inlineStr">
        <is>
          <t>Warung Bu Mayar</t>
        </is>
      </c>
      <c r="I444" s="29">
        <f>6371 * 2 * ASIN(SQRT(SIN(RADIANS((C444) - INDEX('Dataset_Wisata'!$C$12:$C$622, MATCH('Dashboard'!$C$9, 'Dataset_Wisata'!$A$12:$A$622, 0)))/2)^2 + COS(RADIANS(INDEX('Dataset_Wisata'!$C$12:$C$622, MATCH('Dashboard'!$C$9, 'Dataset_Wisata'!$A$12:$A$622, 0)))) * COS(RADIANS(C444)) * SIN(RADIANS((D444) - INDEX('Dataset_Wisata'!$D$12:$D$622, MATCH('Dashboard'!$C$9, 'Dataset_Wisata'!$A$12:$A$622, 0)))/2)^2)) * 1.3</f>
        <v/>
      </c>
      <c r="J444" s="21">
        <f>ROUND(I444 * IF('Dashboard'!$C$6&lt;=1, 2250, IF('Dashboard'!$C$6&lt;=4, 5150, 6000)), 0)</f>
        <v/>
      </c>
      <c r="K444" s="30" t="n">
        <v>0.9684479284568239</v>
      </c>
      <c r="L444" s="30" t="n">
        <v>0.02756526497609953</v>
      </c>
      <c r="M444" s="30" t="n">
        <v>0.003986806567076518</v>
      </c>
      <c r="N444" s="31">
        <f>ABS(E444-$F$6)</f>
        <v/>
      </c>
      <c r="O444" s="31">
        <f>ABS(E444-$F$7)</f>
        <v/>
      </c>
      <c r="P444" s="31">
        <f>ABS(E444-$F$8)</f>
        <v/>
      </c>
      <c r="Q444" s="14">
        <f>IF(K444&gt;=MAX(L444,M444), "Hemat", IF(L444&gt;=M444, "Balanced", "Premium"))</f>
        <v/>
      </c>
      <c r="R444" s="30" t="n">
        <v>0.9684479337856741</v>
      </c>
      <c r="S444" s="30" t="n">
        <v>0.0275652608034877</v>
      </c>
      <c r="T444" s="30" t="n">
        <v>0.003986805410838209</v>
      </c>
      <c r="U444" s="31">
        <f>ABS(E444-$G$6)</f>
        <v/>
      </c>
      <c r="V444" s="31">
        <f>ABS(E444-$G$7)</f>
        <v/>
      </c>
      <c r="W444" s="31">
        <f>ABS(E444-$G$8)</f>
        <v/>
      </c>
      <c r="X444" s="14">
        <f>IF(R444&gt;=MAX(S444,T444), "Hemat", IF(S444&gt;=T444, "Balanced", "Premium"))</f>
        <v/>
      </c>
    </row>
    <row r="445">
      <c r="A445" s="14" t="n">
        <v>434</v>
      </c>
      <c r="B445" s="7" t="inlineStr">
        <is>
          <t>WARUNG BU DJUM</t>
        </is>
      </c>
      <c r="C445" s="26" t="n">
        <v>-7.8766583</v>
      </c>
      <c r="D445" s="26" t="n">
        <v>112.5776834</v>
      </c>
      <c r="E445" s="21" t="n">
        <v>12000</v>
      </c>
      <c r="F445" s="27" t="n">
        <v>4.6</v>
      </c>
      <c r="G445" s="28" t="n">
        <v>200</v>
      </c>
      <c r="H445" s="14" t="inlineStr">
        <is>
          <t>WARUNG BU DJUM</t>
        </is>
      </c>
      <c r="I445" s="29">
        <f>6371 * 2 * ASIN(SQRT(SIN(RADIANS((C445) - INDEX('Dataset_Wisata'!$C$12:$C$622, MATCH('Dashboard'!$C$9, 'Dataset_Wisata'!$A$12:$A$622, 0)))/2)^2 + COS(RADIANS(INDEX('Dataset_Wisata'!$C$12:$C$622, MATCH('Dashboard'!$C$9, 'Dataset_Wisata'!$A$12:$A$622, 0)))) * COS(RADIANS(C445)) * SIN(RADIANS((D445) - INDEX('Dataset_Wisata'!$D$12:$D$622, MATCH('Dashboard'!$C$9, 'Dataset_Wisata'!$A$12:$A$622, 0)))/2)^2)) * 1.3</f>
        <v/>
      </c>
      <c r="J445" s="21">
        <f>ROUND(I445 * IF('Dashboard'!$C$6&lt;=1, 2250, IF('Dashboard'!$C$6&lt;=4, 5150, 6000)), 0)</f>
        <v/>
      </c>
      <c r="K445" s="30" t="n">
        <v>0.9907459480940729</v>
      </c>
      <c r="L445" s="30" t="n">
        <v>0.008195110232283047</v>
      </c>
      <c r="M445" s="30" t="n">
        <v>0.001058941673643979</v>
      </c>
      <c r="N445" s="31">
        <f>ABS(E445-$F$6)</f>
        <v/>
      </c>
      <c r="O445" s="31">
        <f>ABS(E445-$F$7)</f>
        <v/>
      </c>
      <c r="P445" s="31">
        <f>ABS(E445-$F$8)</f>
        <v/>
      </c>
      <c r="Q445" s="14">
        <f>IF(K445&gt;=MAX(L445,M445), "Hemat", IF(L445&gt;=M445, "Balanced", "Premium"))</f>
        <v/>
      </c>
      <c r="R445" s="30" t="n">
        <v>0.9907459543354936</v>
      </c>
      <c r="S445" s="30" t="n">
        <v>0.008195104860105683</v>
      </c>
      <c r="T445" s="30" t="n">
        <v>0.0010589408044008</v>
      </c>
      <c r="U445" s="31">
        <f>ABS(E445-$G$6)</f>
        <v/>
      </c>
      <c r="V445" s="31">
        <f>ABS(E445-$G$7)</f>
        <v/>
      </c>
      <c r="W445" s="31">
        <f>ABS(E445-$G$8)</f>
        <v/>
      </c>
      <c r="X445" s="14">
        <f>IF(R445&gt;=MAX(S445,T445), "Hemat", IF(S445&gt;=T445, "Balanced", "Premium"))</f>
        <v/>
      </c>
    </row>
    <row r="446">
      <c r="A446" s="14" t="n">
        <v>435</v>
      </c>
      <c r="B446" s="7" t="inlineStr">
        <is>
          <t>Warung Lesehan Ayam Goreng Pak Sholeh</t>
        </is>
      </c>
      <c r="C446" s="26" t="n">
        <v>-7.8964577</v>
      </c>
      <c r="D446" s="26" t="n">
        <v>112.5995463</v>
      </c>
      <c r="E446" s="21" t="n">
        <v>18500</v>
      </c>
      <c r="F446" s="27" t="n">
        <v>4.2</v>
      </c>
      <c r="G446" s="28" t="n">
        <v>5409</v>
      </c>
      <c r="H446" s="14" t="inlineStr">
        <is>
          <t>Wisata Umum</t>
        </is>
      </c>
      <c r="I446" s="29">
        <f>6371 * 2 * ASIN(SQRT(SIN(RADIANS((C446) - INDEX('Dataset_Wisata'!$C$12:$C$622, MATCH('Dashboard'!$C$9, 'Dataset_Wisata'!$A$12:$A$622, 0)))/2)^2 + COS(RADIANS(INDEX('Dataset_Wisata'!$C$12:$C$622, MATCH('Dashboard'!$C$9, 'Dataset_Wisata'!$A$12:$A$622, 0)))) * COS(RADIANS(C446)) * SIN(RADIANS((D446) - INDEX('Dataset_Wisata'!$D$12:$D$622, MATCH('Dashboard'!$C$9, 'Dataset_Wisata'!$A$12:$A$622, 0)))/2)^2)) * 1.3</f>
        <v/>
      </c>
      <c r="J446" s="21">
        <f>ROUND(I446 * IF('Dashboard'!$C$6&lt;=1, 2250, IF('Dashboard'!$C$6&lt;=4, 5150, 6000)), 0)</f>
        <v/>
      </c>
      <c r="K446" s="30" t="n">
        <v>0.6162659871262929</v>
      </c>
      <c r="L446" s="30" t="n">
        <v>0.365441422279018</v>
      </c>
      <c r="M446" s="30" t="n">
        <v>0.01829259059468907</v>
      </c>
      <c r="N446" s="31">
        <f>ABS(E446-$F$6)</f>
        <v/>
      </c>
      <c r="O446" s="31">
        <f>ABS(E446-$F$7)</f>
        <v/>
      </c>
      <c r="P446" s="31">
        <f>ABS(E446-$F$8)</f>
        <v/>
      </c>
      <c r="Q446" s="14">
        <f>IF(K446&gt;=MAX(L446,M446), "Hemat", IF(L446&gt;=M446, "Balanced", "Premium"))</f>
        <v/>
      </c>
      <c r="R446" s="30" t="n">
        <v>0.6162657498169999</v>
      </c>
      <c r="S446" s="30" t="n">
        <v>0.3654416569135399</v>
      </c>
      <c r="T446" s="30" t="n">
        <v>0.01829259326946021</v>
      </c>
      <c r="U446" s="31">
        <f>ABS(E446-$G$6)</f>
        <v/>
      </c>
      <c r="V446" s="31">
        <f>ABS(E446-$G$7)</f>
        <v/>
      </c>
      <c r="W446" s="31">
        <f>ABS(E446-$G$8)</f>
        <v/>
      </c>
      <c r="X446" s="14">
        <f>IF(R446&gt;=MAX(S446,T446), "Hemat", IF(S446&gt;=T446, "Balanced", "Premium"))</f>
        <v/>
      </c>
    </row>
    <row r="447">
      <c r="A447" s="14" t="n">
        <v>436</v>
      </c>
      <c r="B447" s="7" t="inlineStr">
        <is>
          <t>Masakan Padang Depot Siang Malam</t>
        </is>
      </c>
      <c r="C447" s="26" t="n">
        <v>-7.9098498</v>
      </c>
      <c r="D447" s="26" t="n">
        <v>112.6201602</v>
      </c>
      <c r="E447" s="21" t="n">
        <v>20000</v>
      </c>
      <c r="F447" s="27" t="n">
        <v>4.4</v>
      </c>
      <c r="G447" s="28" t="n">
        <v>56</v>
      </c>
      <c r="H447" s="14" t="inlineStr">
        <is>
          <t>Wisata Umum</t>
        </is>
      </c>
      <c r="I447" s="29">
        <f>6371 * 2 * ASIN(SQRT(SIN(RADIANS((C447) - INDEX('Dataset_Wisata'!$C$12:$C$622, MATCH('Dashboard'!$C$9, 'Dataset_Wisata'!$A$12:$A$622, 0)))/2)^2 + COS(RADIANS(INDEX('Dataset_Wisata'!$C$12:$C$622, MATCH('Dashboard'!$C$9, 'Dataset_Wisata'!$A$12:$A$622, 0)))) * COS(RADIANS(C447)) * SIN(RADIANS((D447) - INDEX('Dataset_Wisata'!$D$12:$D$622, MATCH('Dashboard'!$C$9, 'Dataset_Wisata'!$A$12:$A$622, 0)))/2)^2)) * 1.3</f>
        <v/>
      </c>
      <c r="J447" s="21">
        <f>ROUND(I447 * IF('Dashboard'!$C$6&lt;=1, 2250, IF('Dashboard'!$C$6&lt;=4, 5150, 6000)), 0)</f>
        <v/>
      </c>
      <c r="K447" s="30" t="n">
        <v>0.3766864462048385</v>
      </c>
      <c r="L447" s="30" t="n">
        <v>0.6029404273516955</v>
      </c>
      <c r="M447" s="30" t="n">
        <v>0.02037312644346593</v>
      </c>
      <c r="N447" s="31">
        <f>ABS(E447-$F$6)</f>
        <v/>
      </c>
      <c r="O447" s="31">
        <f>ABS(E447-$F$7)</f>
        <v/>
      </c>
      <c r="P447" s="31">
        <f>ABS(E447-$F$8)</f>
        <v/>
      </c>
      <c r="Q447" s="14">
        <f>IF(K447&gt;=MAX(L447,M447), "Hemat", IF(L447&gt;=M447, "Balanced", "Premium"))</f>
        <v/>
      </c>
      <c r="R447" s="30" t="n">
        <v>0.3766861717192874</v>
      </c>
      <c r="S447" s="30" t="n">
        <v>0.6029407066601674</v>
      </c>
      <c r="T447" s="30" t="n">
        <v>0.02037312162054524</v>
      </c>
      <c r="U447" s="31">
        <f>ABS(E447-$G$6)</f>
        <v/>
      </c>
      <c r="V447" s="31">
        <f>ABS(E447-$G$7)</f>
        <v/>
      </c>
      <c r="W447" s="31">
        <f>ABS(E447-$G$8)</f>
        <v/>
      </c>
      <c r="X447" s="14">
        <f>IF(R447&gt;=MAX(S447,T447), "Hemat", IF(S447&gt;=T447, "Balanced", "Premium"))</f>
        <v/>
      </c>
    </row>
    <row r="448">
      <c r="A448" s="14" t="n">
        <v>437</v>
      </c>
      <c r="B448" s="7" t="inlineStr">
        <is>
          <t>Warung Cak Pin</t>
        </is>
      </c>
      <c r="C448" s="26" t="n">
        <v>-7.9083685</v>
      </c>
      <c r="D448" s="26" t="n">
        <v>112.6191396</v>
      </c>
      <c r="E448" s="21" t="n">
        <v>17500</v>
      </c>
      <c r="F448" s="27" t="n">
        <v>4.5</v>
      </c>
      <c r="G448" s="28" t="n">
        <v>23</v>
      </c>
      <c r="H448" s="14" t="inlineStr">
        <is>
          <t>Warung Cak Pin</t>
        </is>
      </c>
      <c r="I448" s="29">
        <f>6371 * 2 * ASIN(SQRT(SIN(RADIANS((C448) - INDEX('Dataset_Wisata'!$C$12:$C$622, MATCH('Dashboard'!$C$9, 'Dataset_Wisata'!$A$12:$A$622, 0)))/2)^2 + COS(RADIANS(INDEX('Dataset_Wisata'!$C$12:$C$622, MATCH('Dashboard'!$C$9, 'Dataset_Wisata'!$A$12:$A$622, 0)))) * COS(RADIANS(C448)) * SIN(RADIANS((D448) - INDEX('Dataset_Wisata'!$D$12:$D$622, MATCH('Dashboard'!$C$9, 'Dataset_Wisata'!$A$12:$A$622, 0)))/2)^2)) * 1.3</f>
        <v/>
      </c>
      <c r="J448" s="21">
        <f>ROUND(I448 * IF('Dashboard'!$C$6&lt;=1, 2250, IF('Dashboard'!$C$6&lt;=4, 5150, 6000)), 0)</f>
        <v/>
      </c>
      <c r="K448" s="30" t="n">
        <v>0.7603071924879298</v>
      </c>
      <c r="L448" s="30" t="n">
        <v>0.2257795038870261</v>
      </c>
      <c r="M448" s="30" t="n">
        <v>0.0139133036250441</v>
      </c>
      <c r="N448" s="31">
        <f>ABS(E448-$F$6)</f>
        <v/>
      </c>
      <c r="O448" s="31">
        <f>ABS(E448-$F$7)</f>
        <v/>
      </c>
      <c r="P448" s="31">
        <f>ABS(E448-$F$8)</f>
        <v/>
      </c>
      <c r="Q448" s="14">
        <f>IF(K448&gt;=MAX(L448,M448), "Hemat", IF(L448&gt;=M448, "Balanced", "Premium"))</f>
        <v/>
      </c>
      <c r="R448" s="30" t="n">
        <v>0.7603070173234607</v>
      </c>
      <c r="S448" s="30" t="n">
        <v>0.2257796741964144</v>
      </c>
      <c r="T448" s="30" t="n">
        <v>0.01391330848012476</v>
      </c>
      <c r="U448" s="31">
        <f>ABS(E448-$G$6)</f>
        <v/>
      </c>
      <c r="V448" s="31">
        <f>ABS(E448-$G$7)</f>
        <v/>
      </c>
      <c r="W448" s="31">
        <f>ABS(E448-$G$8)</f>
        <v/>
      </c>
      <c r="X448" s="14">
        <f>IF(R448&gt;=MAX(S448,T448), "Hemat", IF(S448&gt;=T448, "Balanced", "Premium"))</f>
        <v/>
      </c>
    </row>
    <row r="449">
      <c r="A449" s="14" t="n">
        <v>438</v>
      </c>
      <c r="B449" s="7" t="inlineStr">
        <is>
          <t>Warung Makan Barokah</t>
        </is>
      </c>
      <c r="C449" s="26" t="n">
        <v>-7.9255977</v>
      </c>
      <c r="D449" s="26" t="n">
        <v>112.596028</v>
      </c>
      <c r="E449" s="21" t="n">
        <v>15000</v>
      </c>
      <c r="F449" s="27" t="n">
        <v>4.6</v>
      </c>
      <c r="G449" s="28" t="n">
        <v>34</v>
      </c>
      <c r="H449" s="14" t="inlineStr">
        <is>
          <t>Warung Makan Barokah</t>
        </is>
      </c>
      <c r="I449" s="29">
        <f>6371 * 2 * ASIN(SQRT(SIN(RADIANS((C449) - INDEX('Dataset_Wisata'!$C$12:$C$622, MATCH('Dashboard'!$C$9, 'Dataset_Wisata'!$A$12:$A$622, 0)))/2)^2 + COS(RADIANS(INDEX('Dataset_Wisata'!$C$12:$C$622, MATCH('Dashboard'!$C$9, 'Dataset_Wisata'!$A$12:$A$622, 0)))) * COS(RADIANS(C449)) * SIN(RADIANS((D449) - INDEX('Dataset_Wisata'!$D$12:$D$622, MATCH('Dashboard'!$C$9, 'Dataset_Wisata'!$A$12:$A$622, 0)))/2)^2)) * 1.3</f>
        <v/>
      </c>
      <c r="J449" s="21">
        <f>ROUND(I449 * IF('Dashboard'!$C$6&lt;=1, 2250, IF('Dashboard'!$C$6&lt;=4, 5150, 6000)), 0)</f>
        <v/>
      </c>
      <c r="K449" s="30" t="n">
        <v>0.9686283169848018</v>
      </c>
      <c r="L449" s="30" t="n">
        <v>0.02872990537067274</v>
      </c>
      <c r="M449" s="30" t="n">
        <v>0.002641777644525457</v>
      </c>
      <c r="N449" s="31">
        <f>ABS(E449-$F$6)</f>
        <v/>
      </c>
      <c r="O449" s="31">
        <f>ABS(E449-$F$7)</f>
        <v/>
      </c>
      <c r="P449" s="31">
        <f>ABS(E449-$F$8)</f>
        <v/>
      </c>
      <c r="Q449" s="14">
        <f>IF(K449&gt;=MAX(L449,M449), "Hemat", IF(L449&gt;=M449, "Balanced", "Premium"))</f>
        <v/>
      </c>
      <c r="R449" s="30" t="n">
        <v>0.9686282798936615</v>
      </c>
      <c r="S449" s="30" t="n">
        <v>0.02872993996961344</v>
      </c>
      <c r="T449" s="30" t="n">
        <v>0.002641780136725144</v>
      </c>
      <c r="U449" s="31">
        <f>ABS(E449-$G$6)</f>
        <v/>
      </c>
      <c r="V449" s="31">
        <f>ABS(E449-$G$7)</f>
        <v/>
      </c>
      <c r="W449" s="31">
        <f>ABS(E449-$G$8)</f>
        <v/>
      </c>
      <c r="X449" s="14">
        <f>IF(R449&gt;=MAX(S449,T449), "Hemat", IF(S449&gt;=T449, "Balanced", "Premium"))</f>
        <v/>
      </c>
    </row>
    <row r="450">
      <c r="A450" s="14" t="n">
        <v>439</v>
      </c>
      <c r="B450" s="7" t="inlineStr">
        <is>
          <t>Warung Thoha Fried Chicken</t>
        </is>
      </c>
      <c r="C450" s="26" t="n">
        <v>-7.92196</v>
      </c>
      <c r="D450" s="26" t="n">
        <v>112.595836</v>
      </c>
      <c r="E450" s="21" t="n">
        <v>10000</v>
      </c>
      <c r="F450" s="27" t="n">
        <v>4.6</v>
      </c>
      <c r="G450" s="28" t="n">
        <v>204</v>
      </c>
      <c r="H450" s="14" t="inlineStr">
        <is>
          <t>Warung Thoha Fried Chicken</t>
        </is>
      </c>
      <c r="I450" s="29">
        <f>6371 * 2 * ASIN(SQRT(SIN(RADIANS((C450) - INDEX('Dataset_Wisata'!$C$12:$C$622, MATCH('Dashboard'!$C$9, 'Dataset_Wisata'!$A$12:$A$622, 0)))/2)^2 + COS(RADIANS(INDEX('Dataset_Wisata'!$C$12:$C$622, MATCH('Dashboard'!$C$9, 'Dataset_Wisata'!$A$12:$A$622, 0)))) * COS(RADIANS(C450)) * SIN(RADIANS((D450) - INDEX('Dataset_Wisata'!$D$12:$D$622, MATCH('Dashboard'!$C$9, 'Dataset_Wisata'!$A$12:$A$622, 0)))/2)^2)) * 1.3</f>
        <v/>
      </c>
      <c r="J450" s="21">
        <f>ROUND(I450 * IF('Dashboard'!$C$6&lt;=1, 2250, IF('Dashboard'!$C$6&lt;=4, 5150, 6000)), 0)</f>
        <v/>
      </c>
      <c r="K450" s="30" t="n">
        <v>0.9518906050943107</v>
      </c>
      <c r="L450" s="30" t="n">
        <v>0.04169660451397377</v>
      </c>
      <c r="M450" s="30" t="n">
        <v>0.006412790391715545</v>
      </c>
      <c r="N450" s="31">
        <f>ABS(E450-$F$6)</f>
        <v/>
      </c>
      <c r="O450" s="31">
        <f>ABS(E450-$F$7)</f>
        <v/>
      </c>
      <c r="P450" s="31">
        <f>ABS(E450-$F$8)</f>
        <v/>
      </c>
      <c r="Q450" s="14">
        <f>IF(K450&gt;=MAX(L450,M450), "Hemat", IF(L450&gt;=M450, "Balanced", "Premium"))</f>
        <v/>
      </c>
      <c r="R450" s="30" t="n">
        <v>0.9518906082621517</v>
      </c>
      <c r="S450" s="30" t="n">
        <v>0.04169660246361195</v>
      </c>
      <c r="T450" s="30" t="n">
        <v>0.006412789274236485</v>
      </c>
      <c r="U450" s="31">
        <f>ABS(E450-$G$6)</f>
        <v/>
      </c>
      <c r="V450" s="31">
        <f>ABS(E450-$G$7)</f>
        <v/>
      </c>
      <c r="W450" s="31">
        <f>ABS(E450-$G$8)</f>
        <v/>
      </c>
      <c r="X450" s="14">
        <f>IF(R450&gt;=MAX(S450,T450), "Hemat", IF(S450&gt;=T450, "Balanced", "Premium"))</f>
        <v/>
      </c>
    </row>
    <row r="451">
      <c r="A451" s="14" t="n">
        <v>440</v>
      </c>
      <c r="B451" s="7" t="inlineStr">
        <is>
          <t>Warung Mbak Roh</t>
        </is>
      </c>
      <c r="C451" s="26" t="n">
        <v>-7.9199844</v>
      </c>
      <c r="D451" s="26" t="n">
        <v>112.5900327</v>
      </c>
      <c r="E451" s="21" t="n">
        <v>22000</v>
      </c>
      <c r="F451" s="27" t="n">
        <v>4.3</v>
      </c>
      <c r="G451" s="28" t="n">
        <v>92</v>
      </c>
      <c r="H451" s="14" t="inlineStr">
        <is>
          <t>Warung Mbak Roh</t>
        </is>
      </c>
      <c r="I451" s="29">
        <f>6371 * 2 * ASIN(SQRT(SIN(RADIANS((C451) - INDEX('Dataset_Wisata'!$C$12:$C$622, MATCH('Dashboard'!$C$9, 'Dataset_Wisata'!$A$12:$A$622, 0)))/2)^2 + COS(RADIANS(INDEX('Dataset_Wisata'!$C$12:$C$622, MATCH('Dashboard'!$C$9, 'Dataset_Wisata'!$A$12:$A$622, 0)))) * COS(RADIANS(C451)) * SIN(RADIANS((D451) - INDEX('Dataset_Wisata'!$D$12:$D$622, MATCH('Dashboard'!$C$9, 'Dataset_Wisata'!$A$12:$A$622, 0)))/2)^2)) * 1.3</f>
        <v/>
      </c>
      <c r="J451" s="21">
        <f>ROUND(I451 * IF('Dashboard'!$C$6&lt;=1, 2250, IF('Dashboard'!$C$6&lt;=4, 5150, 6000)), 0)</f>
        <v/>
      </c>
      <c r="K451" s="30" t="n">
        <v>0.1261169361072687</v>
      </c>
      <c r="L451" s="30" t="n">
        <v>0.8607026272442547</v>
      </c>
      <c r="M451" s="30" t="n">
        <v>0.01318043664847662</v>
      </c>
      <c r="N451" s="31">
        <f>ABS(E451-$F$6)</f>
        <v/>
      </c>
      <c r="O451" s="31">
        <f>ABS(E451-$F$7)</f>
        <v/>
      </c>
      <c r="P451" s="31">
        <f>ABS(E451-$F$8)</f>
        <v/>
      </c>
      <c r="Q451" s="14">
        <f>IF(K451&gt;=MAX(L451,M451), "Hemat", IF(L451&gt;=M451, "Balanced", "Premium"))</f>
        <v/>
      </c>
      <c r="R451" s="30" t="n">
        <v>0.126116746000083</v>
      </c>
      <c r="S451" s="30" t="n">
        <v>0.8607028310146635</v>
      </c>
      <c r="T451" s="30" t="n">
        <v>0.01318042298525341</v>
      </c>
      <c r="U451" s="31">
        <f>ABS(E451-$G$6)</f>
        <v/>
      </c>
      <c r="V451" s="31">
        <f>ABS(E451-$G$7)</f>
        <v/>
      </c>
      <c r="W451" s="31">
        <f>ABS(E451-$G$8)</f>
        <v/>
      </c>
      <c r="X451" s="14">
        <f>IF(R451&gt;=MAX(S451,T451), "Hemat", IF(S451&gt;=T451, "Balanced", "Premium"))</f>
        <v/>
      </c>
    </row>
    <row r="452">
      <c r="A452" s="14" t="n">
        <v>441</v>
      </c>
      <c r="B452" s="7" t="inlineStr">
        <is>
          <t>SATE KLAYU</t>
        </is>
      </c>
      <c r="C452" s="26" t="n">
        <v>-7.9250708</v>
      </c>
      <c r="D452" s="26" t="n">
        <v>112.6166919</v>
      </c>
      <c r="E452" s="21" t="n">
        <v>24500</v>
      </c>
      <c r="F452" s="27" t="n">
        <v>4.6</v>
      </c>
      <c r="G452" s="28" t="n">
        <v>546</v>
      </c>
      <c r="H452" s="14" t="inlineStr">
        <is>
          <t>Wisata Umum</t>
        </is>
      </c>
      <c r="I452" s="29">
        <f>6371 * 2 * ASIN(SQRT(SIN(RADIANS((C452) - INDEX('Dataset_Wisata'!$C$12:$C$622, MATCH('Dashboard'!$C$9, 'Dataset_Wisata'!$A$12:$A$622, 0)))/2)^2 + COS(RADIANS(INDEX('Dataset_Wisata'!$C$12:$C$622, MATCH('Dashboard'!$C$9, 'Dataset_Wisata'!$A$12:$A$622, 0)))) * COS(RADIANS(C452)) * SIN(RADIANS((D452) - INDEX('Dataset_Wisata'!$D$12:$D$622, MATCH('Dashboard'!$C$9, 'Dataset_Wisata'!$A$12:$A$622, 0)))/2)^2)) * 1.3</f>
        <v/>
      </c>
      <c r="J452" s="21">
        <f>ROUND(I452 * IF('Dashboard'!$C$6&lt;=1, 2250, IF('Dashboard'!$C$6&lt;=4, 5150, 6000)), 0)</f>
        <v/>
      </c>
      <c r="K452" s="30" t="n">
        <v>0.005803200479562099</v>
      </c>
      <c r="L452" s="30" t="n">
        <v>0.9929829084802436</v>
      </c>
      <c r="M452" s="30" t="n">
        <v>0.0012138910401943</v>
      </c>
      <c r="N452" s="31">
        <f>ABS(E452-$F$6)</f>
        <v/>
      </c>
      <c r="O452" s="31">
        <f>ABS(E452-$F$7)</f>
        <v/>
      </c>
      <c r="P452" s="31">
        <f>ABS(E452-$F$8)</f>
        <v/>
      </c>
      <c r="Q452" s="14">
        <f>IF(K452&gt;=MAX(L452,M452), "Hemat", IF(L452&gt;=M452, "Balanced", "Premium"))</f>
        <v/>
      </c>
      <c r="R452" s="30" t="n">
        <v>0.005803163945257891</v>
      </c>
      <c r="S452" s="30" t="n">
        <v>0.9929829520849782</v>
      </c>
      <c r="T452" s="30" t="n">
        <v>0.001213883969763945</v>
      </c>
      <c r="U452" s="31">
        <f>ABS(E452-$G$6)</f>
        <v/>
      </c>
      <c r="V452" s="31">
        <f>ABS(E452-$G$7)</f>
        <v/>
      </c>
      <c r="W452" s="31">
        <f>ABS(E452-$G$8)</f>
        <v/>
      </c>
      <c r="X452" s="14">
        <f>IF(R452&gt;=MAX(S452,T452), "Hemat", IF(S452&gt;=T452, "Balanced", "Premium"))</f>
        <v/>
      </c>
    </row>
    <row r="453">
      <c r="A453" s="14" t="n">
        <v>442</v>
      </c>
      <c r="B453" s="7" t="inlineStr">
        <is>
          <t>Warung Rujak Bu Sum</t>
        </is>
      </c>
      <c r="C453" s="26" t="n">
        <v>-7.8927039</v>
      </c>
      <c r="D453" s="26" t="n">
        <v>112.5822238</v>
      </c>
      <c r="E453" s="21" t="n">
        <v>15000</v>
      </c>
      <c r="F453" s="27" t="n">
        <v>4.4</v>
      </c>
      <c r="G453" s="28" t="n">
        <v>64</v>
      </c>
      <c r="H453" s="14" t="inlineStr">
        <is>
          <t>Warung Rujak Bu Sum</t>
        </is>
      </c>
      <c r="I453" s="29">
        <f>6371 * 2 * ASIN(SQRT(SIN(RADIANS((C453) - INDEX('Dataset_Wisata'!$C$12:$C$622, MATCH('Dashboard'!$C$9, 'Dataset_Wisata'!$A$12:$A$622, 0)))/2)^2 + COS(RADIANS(INDEX('Dataset_Wisata'!$C$12:$C$622, MATCH('Dashboard'!$C$9, 'Dataset_Wisata'!$A$12:$A$622, 0)))) * COS(RADIANS(C453)) * SIN(RADIANS((D453) - INDEX('Dataset_Wisata'!$D$12:$D$622, MATCH('Dashboard'!$C$9, 'Dataset_Wisata'!$A$12:$A$622, 0)))/2)^2)) * 1.3</f>
        <v/>
      </c>
      <c r="J453" s="21">
        <f>ROUND(I453 * IF('Dashboard'!$C$6&lt;=1, 2250, IF('Dashboard'!$C$6&lt;=4, 5150, 6000)), 0)</f>
        <v/>
      </c>
      <c r="K453" s="30" t="n">
        <v>0.9686283169848018</v>
      </c>
      <c r="L453" s="30" t="n">
        <v>0.02872990537067274</v>
      </c>
      <c r="M453" s="30" t="n">
        <v>0.002641777644525457</v>
      </c>
      <c r="N453" s="31">
        <f>ABS(E453-$F$6)</f>
        <v/>
      </c>
      <c r="O453" s="31">
        <f>ABS(E453-$F$7)</f>
        <v/>
      </c>
      <c r="P453" s="31">
        <f>ABS(E453-$F$8)</f>
        <v/>
      </c>
      <c r="Q453" s="14">
        <f>IF(K453&gt;=MAX(L453,M453), "Hemat", IF(L453&gt;=M453, "Balanced", "Premium"))</f>
        <v/>
      </c>
      <c r="R453" s="30" t="n">
        <v>0.9686282798936615</v>
      </c>
      <c r="S453" s="30" t="n">
        <v>0.02872993996961344</v>
      </c>
      <c r="T453" s="30" t="n">
        <v>0.002641780136725144</v>
      </c>
      <c r="U453" s="31">
        <f>ABS(E453-$G$6)</f>
        <v/>
      </c>
      <c r="V453" s="31">
        <f>ABS(E453-$G$7)</f>
        <v/>
      </c>
      <c r="W453" s="31">
        <f>ABS(E453-$G$8)</f>
        <v/>
      </c>
      <c r="X453" s="14">
        <f>IF(R453&gt;=MAX(S453,T453), "Hemat", IF(S453&gt;=T453, "Balanced", "Premium"))</f>
        <v/>
      </c>
    </row>
    <row r="454">
      <c r="A454" s="14" t="n">
        <v>443</v>
      </c>
      <c r="B454" s="7" t="inlineStr">
        <is>
          <t>Warung DIVA</t>
        </is>
      </c>
      <c r="C454" s="26" t="n">
        <v>-7.887034</v>
      </c>
      <c r="D454" s="26" t="n">
        <v>112.5587494</v>
      </c>
      <c r="E454" s="21" t="n">
        <v>8250</v>
      </c>
      <c r="F454" s="27" t="n">
        <v>4.4</v>
      </c>
      <c r="G454" s="28" t="n">
        <v>32</v>
      </c>
      <c r="H454" s="14" t="inlineStr">
        <is>
          <t>Warung DIVA</t>
        </is>
      </c>
      <c r="I454" s="29">
        <f>6371 * 2 * ASIN(SQRT(SIN(RADIANS((C454) - INDEX('Dataset_Wisata'!$C$12:$C$622, MATCH('Dashboard'!$C$9, 'Dataset_Wisata'!$A$12:$A$622, 0)))/2)^2 + COS(RADIANS(INDEX('Dataset_Wisata'!$C$12:$C$622, MATCH('Dashboard'!$C$9, 'Dataset_Wisata'!$A$12:$A$622, 0)))) * COS(RADIANS(C454)) * SIN(RADIANS((D454) - INDEX('Dataset_Wisata'!$D$12:$D$622, MATCH('Dashboard'!$C$9, 'Dataset_Wisata'!$A$12:$A$622, 0)))/2)^2)) * 1.3</f>
        <v/>
      </c>
      <c r="J454" s="21">
        <f>ROUND(I454 * IF('Dashboard'!$C$6&lt;=1, 2250, IF('Dashboard'!$C$6&lt;=4, 5150, 6000)), 0)</f>
        <v/>
      </c>
      <c r="K454" s="30" t="n">
        <v>0.909991995237339</v>
      </c>
      <c r="L454" s="30" t="n">
        <v>0.07661175665607337</v>
      </c>
      <c r="M454" s="30" t="n">
        <v>0.01339624810658758</v>
      </c>
      <c r="N454" s="31">
        <f>ABS(E454-$F$6)</f>
        <v/>
      </c>
      <c r="O454" s="31">
        <f>ABS(E454-$F$7)</f>
        <v/>
      </c>
      <c r="P454" s="31">
        <f>ABS(E454-$F$8)</f>
        <v/>
      </c>
      <c r="Q454" s="14">
        <f>IF(K454&gt;=MAX(L454,M454), "Hemat", IF(L454&gt;=M454, "Balanced", "Premium"))</f>
        <v/>
      </c>
      <c r="R454" s="30" t="n">
        <v>0.9099919920650928</v>
      </c>
      <c r="S454" s="30" t="n">
        <v>0.07661176048429998</v>
      </c>
      <c r="T454" s="30" t="n">
        <v>0.01339624745060706</v>
      </c>
      <c r="U454" s="31">
        <f>ABS(E454-$G$6)</f>
        <v/>
      </c>
      <c r="V454" s="31">
        <f>ABS(E454-$G$7)</f>
        <v/>
      </c>
      <c r="W454" s="31">
        <f>ABS(E454-$G$8)</f>
        <v/>
      </c>
      <c r="X454" s="14">
        <f>IF(R454&gt;=MAX(S454,T454), "Hemat", IF(S454&gt;=T454, "Balanced", "Premium"))</f>
        <v/>
      </c>
    </row>
    <row r="455">
      <c r="A455" s="14" t="n">
        <v>444</v>
      </c>
      <c r="B455" s="7" t="inlineStr">
        <is>
          <t>Toko Kopi Pamanjur</t>
        </is>
      </c>
      <c r="C455" s="26" t="n">
        <v>-7.8884653</v>
      </c>
      <c r="D455" s="26" t="n">
        <v>112.5962593</v>
      </c>
      <c r="E455" s="21" t="n">
        <v>19500</v>
      </c>
      <c r="F455" s="27" t="n">
        <v>4.6</v>
      </c>
      <c r="G455" s="28" t="n">
        <v>226</v>
      </c>
      <c r="H455" s="14" t="inlineStr">
        <is>
          <t>Restoran · Jl. Kopda Sutrisno</t>
        </is>
      </c>
      <c r="I455" s="29">
        <f>6371 * 2 * ASIN(SQRT(SIN(RADIANS((C455) - INDEX('Dataset_Wisata'!$C$12:$C$622, MATCH('Dashboard'!$C$9, 'Dataset_Wisata'!$A$12:$A$622, 0)))/2)^2 + COS(RADIANS(INDEX('Dataset_Wisata'!$C$12:$C$622, MATCH('Dashboard'!$C$9, 'Dataset_Wisata'!$A$12:$A$622, 0)))) * COS(RADIANS(C455)) * SIN(RADIANS((D455) - INDEX('Dataset_Wisata'!$D$12:$D$622, MATCH('Dashboard'!$C$9, 'Dataset_Wisata'!$A$12:$A$622, 0)))/2)^2)) * 1.3</f>
        <v/>
      </c>
      <c r="J455" s="21">
        <f>ROUND(I455 * IF('Dashboard'!$C$6&lt;=1, 2250, IF('Dashboard'!$C$6&lt;=4, 5150, 6000)), 0)</f>
        <v/>
      </c>
      <c r="K455" s="30" t="n">
        <v>0.4557889535565174</v>
      </c>
      <c r="L455" s="30" t="n">
        <v>0.5237659720581146</v>
      </c>
      <c r="M455" s="30" t="n">
        <v>0.02044507438536788</v>
      </c>
      <c r="N455" s="31">
        <f>ABS(E455-$F$6)</f>
        <v/>
      </c>
      <c r="O455" s="31">
        <f>ABS(E455-$F$7)</f>
        <v/>
      </c>
      <c r="P455" s="31">
        <f>ABS(E455-$F$8)</f>
        <v/>
      </c>
      <c r="Q455" s="14">
        <f>IF(K455&gt;=MAX(L455,M455), "Hemat", IF(L455&gt;=M455, "Balanced", "Premium"))</f>
        <v/>
      </c>
      <c r="R455" s="30" t="n">
        <v>0.4557886811023241</v>
      </c>
      <c r="S455" s="30" t="n">
        <v>0.523766246469491</v>
      </c>
      <c r="T455" s="30" t="n">
        <v>0.02044507242818502</v>
      </c>
      <c r="U455" s="31">
        <f>ABS(E455-$G$6)</f>
        <v/>
      </c>
      <c r="V455" s="31">
        <f>ABS(E455-$G$7)</f>
        <v/>
      </c>
      <c r="W455" s="31">
        <f>ABS(E455-$G$8)</f>
        <v/>
      </c>
      <c r="X455" s="14">
        <f>IF(R455&gt;=MAX(S455,T455), "Hemat", IF(S455&gt;=T455, "Balanced", "Premium"))</f>
        <v/>
      </c>
    </row>
    <row r="456">
      <c r="A456" s="14" t="n">
        <v>445</v>
      </c>
      <c r="B456" s="7" t="inlineStr">
        <is>
          <t>SOTO AYAM SUPER LAMONGAN Cak Por</t>
        </is>
      </c>
      <c r="C456" s="26" t="n">
        <v>-7.8806668</v>
      </c>
      <c r="D456" s="26" t="n">
        <v>112.583504</v>
      </c>
      <c r="E456" s="21" t="n">
        <v>7000</v>
      </c>
      <c r="F456" s="27" t="n">
        <v>4.7</v>
      </c>
      <c r="G456" s="28" t="n">
        <v>84</v>
      </c>
      <c r="H456" s="14" t="inlineStr">
        <is>
          <t>Wisata Umum</t>
        </is>
      </c>
      <c r="I456" s="29">
        <f>6371 * 2 * ASIN(SQRT(SIN(RADIANS((C456) - INDEX('Dataset_Wisata'!$C$12:$C$622, MATCH('Dashboard'!$C$9, 'Dataset_Wisata'!$A$12:$A$622, 0)))/2)^2 + COS(RADIANS(INDEX('Dataset_Wisata'!$C$12:$C$622, MATCH('Dashboard'!$C$9, 'Dataset_Wisata'!$A$12:$A$622, 0)))) * COS(RADIANS(C456)) * SIN(RADIANS((D456) - INDEX('Dataset_Wisata'!$D$12:$D$622, MATCH('Dashboard'!$C$9, 'Dataset_Wisata'!$A$12:$A$622, 0)))/2)^2)) * 1.3</f>
        <v/>
      </c>
      <c r="J456" s="21">
        <f>ROUND(I456 * IF('Dashboard'!$C$6&lt;=1, 2250, IF('Dashboard'!$C$6&lt;=4, 5150, 6000)), 0)</f>
        <v/>
      </c>
      <c r="K456" s="30" t="n">
        <v>0.8800610026243881</v>
      </c>
      <c r="L456" s="30" t="n">
        <v>0.1008247459749515</v>
      </c>
      <c r="M456" s="30" t="n">
        <v>0.01911425140066042</v>
      </c>
      <c r="N456" s="31">
        <f>ABS(E456-$F$6)</f>
        <v/>
      </c>
      <c r="O456" s="31">
        <f>ABS(E456-$F$7)</f>
        <v/>
      </c>
      <c r="P456" s="31">
        <f>ABS(E456-$F$8)</f>
        <v/>
      </c>
      <c r="Q456" s="14">
        <f>IF(K456&gt;=MAX(L456,M456), "Hemat", IF(L456&gt;=M456, "Balanced", "Premium"))</f>
        <v/>
      </c>
      <c r="R456" s="30" t="n">
        <v>0.8800609951219469</v>
      </c>
      <c r="S456" s="30" t="n">
        <v>0.1008247536305651</v>
      </c>
      <c r="T456" s="30" t="n">
        <v>0.019114251247488</v>
      </c>
      <c r="U456" s="31">
        <f>ABS(E456-$G$6)</f>
        <v/>
      </c>
      <c r="V456" s="31">
        <f>ABS(E456-$G$7)</f>
        <v/>
      </c>
      <c r="W456" s="31">
        <f>ABS(E456-$G$8)</f>
        <v/>
      </c>
      <c r="X456" s="14">
        <f>IF(R456&gt;=MAX(S456,T456), "Hemat", IF(S456&gt;=T456, "Balanced", "Premium"))</f>
        <v/>
      </c>
    </row>
    <row r="457">
      <c r="A457" s="14" t="n">
        <v>446</v>
      </c>
      <c r="B457" s="7" t="inlineStr">
        <is>
          <t>Warung Bu Suwarti Spesial Rica-rica Menthok</t>
        </is>
      </c>
      <c r="C457" s="26" t="n">
        <v>-7.8870355</v>
      </c>
      <c r="D457" s="26" t="n">
        <v>112.5433659</v>
      </c>
      <c r="E457" s="21" t="n">
        <v>19500</v>
      </c>
      <c r="F457" s="27" t="n">
        <v>4.2</v>
      </c>
      <c r="G457" s="28" t="n">
        <v>70</v>
      </c>
      <c r="H457" s="14" t="inlineStr">
        <is>
          <t>Wisata Umum</t>
        </is>
      </c>
      <c r="I457" s="29">
        <f>6371 * 2 * ASIN(SQRT(SIN(RADIANS((C457) - INDEX('Dataset_Wisata'!$C$12:$C$622, MATCH('Dashboard'!$C$9, 'Dataset_Wisata'!$A$12:$A$622, 0)))/2)^2 + COS(RADIANS(INDEX('Dataset_Wisata'!$C$12:$C$622, MATCH('Dashboard'!$C$9, 'Dataset_Wisata'!$A$12:$A$622, 0)))) * COS(RADIANS(C457)) * SIN(RADIANS((D457) - INDEX('Dataset_Wisata'!$D$12:$D$622, MATCH('Dashboard'!$C$9, 'Dataset_Wisata'!$A$12:$A$622, 0)))/2)^2)) * 1.3</f>
        <v/>
      </c>
      <c r="J457" s="21">
        <f>ROUND(I457 * IF('Dashboard'!$C$6&lt;=1, 2250, IF('Dashboard'!$C$6&lt;=4, 5150, 6000)), 0)</f>
        <v/>
      </c>
      <c r="K457" s="30" t="n">
        <v>0.4557889535565174</v>
      </c>
      <c r="L457" s="30" t="n">
        <v>0.5237659720581146</v>
      </c>
      <c r="M457" s="30" t="n">
        <v>0.02044507438536788</v>
      </c>
      <c r="N457" s="31">
        <f>ABS(E457-$F$6)</f>
        <v/>
      </c>
      <c r="O457" s="31">
        <f>ABS(E457-$F$7)</f>
        <v/>
      </c>
      <c r="P457" s="31">
        <f>ABS(E457-$F$8)</f>
        <v/>
      </c>
      <c r="Q457" s="14">
        <f>IF(K457&gt;=MAX(L457,M457), "Hemat", IF(L457&gt;=M457, "Balanced", "Premium"))</f>
        <v/>
      </c>
      <c r="R457" s="30" t="n">
        <v>0.4557886811023241</v>
      </c>
      <c r="S457" s="30" t="n">
        <v>0.523766246469491</v>
      </c>
      <c r="T457" s="30" t="n">
        <v>0.02044507242818502</v>
      </c>
      <c r="U457" s="31">
        <f>ABS(E457-$G$6)</f>
        <v/>
      </c>
      <c r="V457" s="31">
        <f>ABS(E457-$G$7)</f>
        <v/>
      </c>
      <c r="W457" s="31">
        <f>ABS(E457-$G$8)</f>
        <v/>
      </c>
      <c r="X457" s="14">
        <f>IF(R457&gt;=MAX(S457,T457), "Hemat", IF(S457&gt;=T457, "Balanced", "Premium"))</f>
        <v/>
      </c>
    </row>
    <row r="458">
      <c r="A458" s="14" t="n">
        <v>447</v>
      </c>
      <c r="B458" s="7" t="inlineStr">
        <is>
          <t>Ayam bakar pak d karangploso</t>
        </is>
      </c>
      <c r="C458" s="26" t="n">
        <v>-7.8912127</v>
      </c>
      <c r="D458" s="26" t="n">
        <v>112.5936132</v>
      </c>
      <c r="E458" s="21" t="n">
        <v>41586</v>
      </c>
      <c r="F458" s="27" t="n">
        <v>4.6</v>
      </c>
      <c r="G458" s="28" t="n">
        <v>634</v>
      </c>
      <c r="H458" s="14" t="inlineStr">
        <is>
          <t>Wisata Umum</t>
        </is>
      </c>
      <c r="I458" s="29">
        <f>6371 * 2 * ASIN(SQRT(SIN(RADIANS((C458) - INDEX('Dataset_Wisata'!$C$12:$C$622, MATCH('Dashboard'!$C$9, 'Dataset_Wisata'!$A$12:$A$622, 0)))/2)^2 + COS(RADIANS(INDEX('Dataset_Wisata'!$C$12:$C$622, MATCH('Dashboard'!$C$9, 'Dataset_Wisata'!$A$12:$A$622, 0)))) * COS(RADIANS(C458)) * SIN(RADIANS((D458) - INDEX('Dataset_Wisata'!$D$12:$D$622, MATCH('Dashboard'!$C$9, 'Dataset_Wisata'!$A$12:$A$622, 0)))/2)^2)) * 1.3</f>
        <v/>
      </c>
      <c r="J458" s="21">
        <f>ROUND(I458 * IF('Dashboard'!$C$6&lt;=1, 2250, IF('Dashboard'!$C$6&lt;=4, 5150, 6000)), 0)</f>
        <v/>
      </c>
      <c r="K458" s="30" t="n">
        <v>0.05543616961655339</v>
      </c>
      <c r="L458" s="30" t="n">
        <v>0.1695327311215563</v>
      </c>
      <c r="M458" s="30" t="n">
        <v>0.7750310992618904</v>
      </c>
      <c r="N458" s="31">
        <f>ABS(E458-$F$6)</f>
        <v/>
      </c>
      <c r="O458" s="31">
        <f>ABS(E458-$F$7)</f>
        <v/>
      </c>
      <c r="P458" s="31">
        <f>ABS(E458-$F$8)</f>
        <v/>
      </c>
      <c r="Q458" s="14">
        <f>IF(K458&gt;=MAX(L458,M458), "Hemat", IF(L458&gt;=M458, "Balanced", "Premium"))</f>
        <v/>
      </c>
      <c r="R458" s="30" t="n">
        <v>0.05543612054913571</v>
      </c>
      <c r="S458" s="30" t="n">
        <v>0.1695325326729027</v>
      </c>
      <c r="T458" s="30" t="n">
        <v>0.7750313467779616</v>
      </c>
      <c r="U458" s="31">
        <f>ABS(E458-$G$6)</f>
        <v/>
      </c>
      <c r="V458" s="31">
        <f>ABS(E458-$G$7)</f>
        <v/>
      </c>
      <c r="W458" s="31">
        <f>ABS(E458-$G$8)</f>
        <v/>
      </c>
      <c r="X458" s="14">
        <f>IF(R458&gt;=MAX(S458,T458), "Hemat", IF(S458&gt;=T458, "Balanced", "Premium"))</f>
        <v/>
      </c>
    </row>
    <row r="459">
      <c r="A459" s="14" t="n">
        <v>448</v>
      </c>
      <c r="B459" s="7" t="inlineStr">
        <is>
          <t>Mojopahit bistro dan oleh - oleh</t>
        </is>
      </c>
      <c r="C459" s="26" t="n">
        <v>-7.8642736</v>
      </c>
      <c r="D459" s="26" t="n">
        <v>112.5426827</v>
      </c>
      <c r="E459" s="21" t="n">
        <v>20800</v>
      </c>
      <c r="F459" s="27" t="n">
        <v>4.3</v>
      </c>
      <c r="G459" s="28" t="n">
        <v>30</v>
      </c>
      <c r="H459" s="14" t="inlineStr">
        <is>
          <t>Wisata Umum</t>
        </is>
      </c>
      <c r="I459" s="29">
        <f>6371 * 2 * ASIN(SQRT(SIN(RADIANS((C459) - INDEX('Dataset_Wisata'!$C$12:$C$622, MATCH('Dashboard'!$C$9, 'Dataset_Wisata'!$A$12:$A$622, 0)))/2)^2 + COS(RADIANS(INDEX('Dataset_Wisata'!$C$12:$C$622, MATCH('Dashboard'!$C$9, 'Dataset_Wisata'!$A$12:$A$622, 0)))) * COS(RADIANS(C459)) * SIN(RADIANS((D459) - INDEX('Dataset_Wisata'!$D$12:$D$622, MATCH('Dashboard'!$C$9, 'Dataset_Wisata'!$A$12:$A$622, 0)))/2)^2)) * 1.3</f>
        <v/>
      </c>
      <c r="J459" s="21">
        <f>ROUND(I459 * IF('Dashboard'!$C$6&lt;=1, 2250, IF('Dashboard'!$C$6&lt;=4, 5150, 6000)), 0)</f>
        <v/>
      </c>
      <c r="K459" s="30" t="n">
        <v>0.2607702358950852</v>
      </c>
      <c r="L459" s="30" t="n">
        <v>0.720595913998932</v>
      </c>
      <c r="M459" s="30" t="n">
        <v>0.01863385010598302</v>
      </c>
      <c r="N459" s="31">
        <f>ABS(E459-$F$6)</f>
        <v/>
      </c>
      <c r="O459" s="31">
        <f>ABS(E459-$F$7)</f>
        <v/>
      </c>
      <c r="P459" s="31">
        <f>ABS(E459-$F$8)</f>
        <v/>
      </c>
      <c r="Q459" s="14">
        <f>IF(K459&gt;=MAX(L459,M459), "Hemat", IF(L459&gt;=M459, "Balanced", "Premium"))</f>
        <v/>
      </c>
      <c r="R459" s="30" t="n">
        <v>0.2607699803692106</v>
      </c>
      <c r="S459" s="30" t="n">
        <v>0.7205961788330278</v>
      </c>
      <c r="T459" s="30" t="n">
        <v>0.01863384079776163</v>
      </c>
      <c r="U459" s="31">
        <f>ABS(E459-$G$6)</f>
        <v/>
      </c>
      <c r="V459" s="31">
        <f>ABS(E459-$G$7)</f>
        <v/>
      </c>
      <c r="W459" s="31">
        <f>ABS(E459-$G$8)</f>
        <v/>
      </c>
      <c r="X459" s="14">
        <f>IF(R459&gt;=MAX(S459,T459), "Hemat", IF(S459&gt;=T459, "Balanced", "Premium"))</f>
        <v/>
      </c>
    </row>
    <row r="460">
      <c r="A460" s="14" t="n">
        <v>449</v>
      </c>
      <c r="B460" s="7" t="inlineStr">
        <is>
          <t>Kopi Sontoloyo</t>
        </is>
      </c>
      <c r="C460" s="26" t="n">
        <v>-7.8372138</v>
      </c>
      <c r="D460" s="26" t="n">
        <v>112.5420105</v>
      </c>
      <c r="E460" s="21" t="n">
        <v>5500</v>
      </c>
      <c r="F460" s="27" t="n">
        <v>4.5</v>
      </c>
      <c r="G460" s="28" t="n">
        <v>3135</v>
      </c>
      <c r="H460" s="14" t="inlineStr">
        <is>
          <t>Kafe ·  · 5G7R+4R6</t>
        </is>
      </c>
      <c r="I460" s="29">
        <f>6371 * 2 * ASIN(SQRT(SIN(RADIANS((C460) - INDEX('Dataset_Wisata'!$C$12:$C$622, MATCH('Dashboard'!$C$9, 'Dataset_Wisata'!$A$12:$A$622, 0)))/2)^2 + COS(RADIANS(INDEX('Dataset_Wisata'!$C$12:$C$622, MATCH('Dashboard'!$C$9, 'Dataset_Wisata'!$A$12:$A$622, 0)))) * COS(RADIANS(C460)) * SIN(RADIANS((D460) - INDEX('Dataset_Wisata'!$D$12:$D$622, MATCH('Dashboard'!$C$9, 'Dataset_Wisata'!$A$12:$A$622, 0)))/2)^2)) * 1.3</f>
        <v/>
      </c>
      <c r="J460" s="21">
        <f>ROUND(I460 * IF('Dashboard'!$C$6&lt;=1, 2250, IF('Dashboard'!$C$6&lt;=4, 5150, 6000)), 0)</f>
        <v/>
      </c>
      <c r="K460" s="30" t="n">
        <v>0.8459605332993823</v>
      </c>
      <c r="L460" s="30" t="n">
        <v>0.127638552571864</v>
      </c>
      <c r="M460" s="30" t="n">
        <v>0.02640091412875367</v>
      </c>
      <c r="N460" s="31">
        <f>ABS(E460-$F$6)</f>
        <v/>
      </c>
      <c r="O460" s="31">
        <f>ABS(E460-$F$7)</f>
        <v/>
      </c>
      <c r="P460" s="31">
        <f>ABS(E460-$F$8)</f>
        <v/>
      </c>
      <c r="Q460" s="14">
        <f>IF(K460&gt;=MAX(L460,M460), "Hemat", IF(L460&gt;=M460, "Balanced", "Premium"))</f>
        <v/>
      </c>
      <c r="R460" s="30" t="n">
        <v>0.845960521443913</v>
      </c>
      <c r="S460" s="30" t="n">
        <v>0.1276385639052893</v>
      </c>
      <c r="T460" s="30" t="n">
        <v>0.02640091465079772</v>
      </c>
      <c r="U460" s="31">
        <f>ABS(E460-$G$6)</f>
        <v/>
      </c>
      <c r="V460" s="31">
        <f>ABS(E460-$G$7)</f>
        <v/>
      </c>
      <c r="W460" s="31">
        <f>ABS(E460-$G$8)</f>
        <v/>
      </c>
      <c r="X460" s="14">
        <f>IF(R460&gt;=MAX(S460,T460), "Hemat", IF(S460&gt;=T460, "Balanced", "Premium"))</f>
        <v/>
      </c>
    </row>
    <row r="461">
      <c r="A461" s="14" t="n">
        <v>450</v>
      </c>
      <c r="B461" s="7" t="inlineStr">
        <is>
          <t>Omah Ngopi Hitam Putih Pinggir Kali</t>
        </is>
      </c>
      <c r="C461" s="26" t="n">
        <v>-8.436605500000001</v>
      </c>
      <c r="D461" s="26" t="n">
        <v>112.6458955</v>
      </c>
      <c r="E461" s="21" t="n">
        <v>15000</v>
      </c>
      <c r="F461" s="27" t="n">
        <v>4.1</v>
      </c>
      <c r="G461" s="28" t="n">
        <v>42</v>
      </c>
      <c r="H461" s="14" t="inlineStr">
        <is>
          <t>Wisata Umum</t>
        </is>
      </c>
      <c r="I461" s="29">
        <f>6371 * 2 * ASIN(SQRT(SIN(RADIANS((C461) - INDEX('Dataset_Wisata'!$C$12:$C$622, MATCH('Dashboard'!$C$9, 'Dataset_Wisata'!$A$12:$A$622, 0)))/2)^2 + COS(RADIANS(INDEX('Dataset_Wisata'!$C$12:$C$622, MATCH('Dashboard'!$C$9, 'Dataset_Wisata'!$A$12:$A$622, 0)))) * COS(RADIANS(C461)) * SIN(RADIANS((D461) - INDEX('Dataset_Wisata'!$D$12:$D$622, MATCH('Dashboard'!$C$9, 'Dataset_Wisata'!$A$12:$A$622, 0)))/2)^2)) * 1.3</f>
        <v/>
      </c>
      <c r="J461" s="21">
        <f>ROUND(I461 * IF('Dashboard'!$C$6&lt;=1, 2250, IF('Dashboard'!$C$6&lt;=4, 5150, 6000)), 0)</f>
        <v/>
      </c>
      <c r="K461" s="30" t="n">
        <v>0.9686283169848018</v>
      </c>
      <c r="L461" s="30" t="n">
        <v>0.02872990537067274</v>
      </c>
      <c r="M461" s="30" t="n">
        <v>0.002641777644525457</v>
      </c>
      <c r="N461" s="31">
        <f>ABS(E461-$F$6)</f>
        <v/>
      </c>
      <c r="O461" s="31">
        <f>ABS(E461-$F$7)</f>
        <v/>
      </c>
      <c r="P461" s="31">
        <f>ABS(E461-$F$8)</f>
        <v/>
      </c>
      <c r="Q461" s="14">
        <f>IF(K461&gt;=MAX(L461,M461), "Hemat", IF(L461&gt;=M461, "Balanced", "Premium"))</f>
        <v/>
      </c>
      <c r="R461" s="30" t="n">
        <v>0.9686282798936615</v>
      </c>
      <c r="S461" s="30" t="n">
        <v>0.02872993996961344</v>
      </c>
      <c r="T461" s="30" t="n">
        <v>0.002641780136725144</v>
      </c>
      <c r="U461" s="31">
        <f>ABS(E461-$G$6)</f>
        <v/>
      </c>
      <c r="V461" s="31">
        <f>ABS(E461-$G$7)</f>
        <v/>
      </c>
      <c r="W461" s="31">
        <f>ABS(E461-$G$8)</f>
        <v/>
      </c>
      <c r="X461" s="14">
        <f>IF(R461&gt;=MAX(S461,T461), "Hemat", IF(S461&gt;=T461, "Balanced", "Premium"))</f>
        <v/>
      </c>
    </row>
    <row r="462">
      <c r="A462" s="14" t="n">
        <v>451</v>
      </c>
      <c r="B462" s="7" t="inlineStr">
        <is>
          <t>RM KMB Pak Nanang 3</t>
        </is>
      </c>
      <c r="C462" s="26" t="n">
        <v>-8.436978</v>
      </c>
      <c r="D462" s="26" t="n">
        <v>112.644614</v>
      </c>
      <c r="E462" s="21" t="n">
        <v>15000</v>
      </c>
      <c r="F462" s="27" t="n">
        <v>4.5</v>
      </c>
      <c r="G462" s="28" t="n">
        <v>21</v>
      </c>
      <c r="H462" s="14" t="inlineStr">
        <is>
          <t>Wisata Umum</t>
        </is>
      </c>
      <c r="I462" s="29">
        <f>6371 * 2 * ASIN(SQRT(SIN(RADIANS((C462) - INDEX('Dataset_Wisata'!$C$12:$C$622, MATCH('Dashboard'!$C$9, 'Dataset_Wisata'!$A$12:$A$622, 0)))/2)^2 + COS(RADIANS(INDEX('Dataset_Wisata'!$C$12:$C$622, MATCH('Dashboard'!$C$9, 'Dataset_Wisata'!$A$12:$A$622, 0)))) * COS(RADIANS(C462)) * SIN(RADIANS((D462) - INDEX('Dataset_Wisata'!$D$12:$D$622, MATCH('Dashboard'!$C$9, 'Dataset_Wisata'!$A$12:$A$622, 0)))/2)^2)) * 1.3</f>
        <v/>
      </c>
      <c r="J462" s="21">
        <f>ROUND(I462 * IF('Dashboard'!$C$6&lt;=1, 2250, IF('Dashboard'!$C$6&lt;=4, 5150, 6000)), 0)</f>
        <v/>
      </c>
      <c r="K462" s="30" t="n">
        <v>0.9686283169848018</v>
      </c>
      <c r="L462" s="30" t="n">
        <v>0.02872990537067274</v>
      </c>
      <c r="M462" s="30" t="n">
        <v>0.002641777644525457</v>
      </c>
      <c r="N462" s="31">
        <f>ABS(E462-$F$6)</f>
        <v/>
      </c>
      <c r="O462" s="31">
        <f>ABS(E462-$F$7)</f>
        <v/>
      </c>
      <c r="P462" s="31">
        <f>ABS(E462-$F$8)</f>
        <v/>
      </c>
      <c r="Q462" s="14">
        <f>IF(K462&gt;=MAX(L462,M462), "Hemat", IF(L462&gt;=M462, "Balanced", "Premium"))</f>
        <v/>
      </c>
      <c r="R462" s="30" t="n">
        <v>0.9686282798936615</v>
      </c>
      <c r="S462" s="30" t="n">
        <v>0.02872993996961344</v>
      </c>
      <c r="T462" s="30" t="n">
        <v>0.002641780136725144</v>
      </c>
      <c r="U462" s="31">
        <f>ABS(E462-$G$6)</f>
        <v/>
      </c>
      <c r="V462" s="31">
        <f>ABS(E462-$G$7)</f>
        <v/>
      </c>
      <c r="W462" s="31">
        <f>ABS(E462-$G$8)</f>
        <v/>
      </c>
      <c r="X462" s="14">
        <f>IF(R462&gt;=MAX(S462,T462), "Hemat", IF(S462&gt;=T462, "Balanced", "Premium"))</f>
        <v/>
      </c>
    </row>
    <row r="463">
      <c r="A463" s="14" t="n">
        <v>452</v>
      </c>
      <c r="B463" s="7" t="inlineStr">
        <is>
          <t>Warung pojok Bu marmi</t>
        </is>
      </c>
      <c r="C463" s="26" t="n">
        <v>-8.4372133</v>
      </c>
      <c r="D463" s="26" t="n">
        <v>112.6430727</v>
      </c>
      <c r="E463" s="21" t="n">
        <v>15000</v>
      </c>
      <c r="F463" s="27" t="n">
        <v>4.5</v>
      </c>
      <c r="G463" s="28" t="n">
        <v>21</v>
      </c>
      <c r="H463" s="14" t="inlineStr">
        <is>
          <t>Warung pojok Bu marmi</t>
        </is>
      </c>
      <c r="I463" s="29">
        <f>6371 * 2 * ASIN(SQRT(SIN(RADIANS((C463) - INDEX('Dataset_Wisata'!$C$12:$C$622, MATCH('Dashboard'!$C$9, 'Dataset_Wisata'!$A$12:$A$622, 0)))/2)^2 + COS(RADIANS(INDEX('Dataset_Wisata'!$C$12:$C$622, MATCH('Dashboard'!$C$9, 'Dataset_Wisata'!$A$12:$A$622, 0)))) * COS(RADIANS(C463)) * SIN(RADIANS((D463) - INDEX('Dataset_Wisata'!$D$12:$D$622, MATCH('Dashboard'!$C$9, 'Dataset_Wisata'!$A$12:$A$622, 0)))/2)^2)) * 1.3</f>
        <v/>
      </c>
      <c r="J463" s="21">
        <f>ROUND(I463 * IF('Dashboard'!$C$6&lt;=1, 2250, IF('Dashboard'!$C$6&lt;=4, 5150, 6000)), 0)</f>
        <v/>
      </c>
      <c r="K463" s="30" t="n">
        <v>0.9686283169848018</v>
      </c>
      <c r="L463" s="30" t="n">
        <v>0.02872990537067274</v>
      </c>
      <c r="M463" s="30" t="n">
        <v>0.002641777644525457</v>
      </c>
      <c r="N463" s="31">
        <f>ABS(E463-$F$6)</f>
        <v/>
      </c>
      <c r="O463" s="31">
        <f>ABS(E463-$F$7)</f>
        <v/>
      </c>
      <c r="P463" s="31">
        <f>ABS(E463-$F$8)</f>
        <v/>
      </c>
      <c r="Q463" s="14">
        <f>IF(K463&gt;=MAX(L463,M463), "Hemat", IF(L463&gt;=M463, "Balanced", "Premium"))</f>
        <v/>
      </c>
      <c r="R463" s="30" t="n">
        <v>0.9686282798936615</v>
      </c>
      <c r="S463" s="30" t="n">
        <v>0.02872993996961344</v>
      </c>
      <c r="T463" s="30" t="n">
        <v>0.002641780136725144</v>
      </c>
      <c r="U463" s="31">
        <f>ABS(E463-$G$6)</f>
        <v/>
      </c>
      <c r="V463" s="31">
        <f>ABS(E463-$G$7)</f>
        <v/>
      </c>
      <c r="W463" s="31">
        <f>ABS(E463-$G$8)</f>
        <v/>
      </c>
      <c r="X463" s="14">
        <f>IF(R463&gt;=MAX(S463,T463), "Hemat", IF(S463&gt;=T463, "Balanced", "Premium"))</f>
        <v/>
      </c>
    </row>
    <row r="464">
      <c r="A464" s="14" t="n">
        <v>453</v>
      </c>
      <c r="B464" s="7" t="inlineStr">
        <is>
          <t>Nasgor ck petrok</t>
        </is>
      </c>
      <c r="C464" s="26" t="n">
        <v>-8.313370600000001</v>
      </c>
      <c r="D464" s="26" t="n">
        <v>112.6564455</v>
      </c>
      <c r="E464" s="21" t="n">
        <v>17000</v>
      </c>
      <c r="F464" s="27" t="n">
        <v>4.5</v>
      </c>
      <c r="G464" s="28" t="n">
        <v>33</v>
      </c>
      <c r="H464" s="14" t="inlineStr">
        <is>
          <t>Restoran · MMP4+MH4</t>
        </is>
      </c>
      <c r="I464" s="29">
        <f>6371 * 2 * ASIN(SQRT(SIN(RADIANS((C464) - INDEX('Dataset_Wisata'!$C$12:$C$622, MATCH('Dashboard'!$C$9, 'Dataset_Wisata'!$A$12:$A$622, 0)))/2)^2 + COS(RADIANS(INDEX('Dataset_Wisata'!$C$12:$C$622, MATCH('Dashboard'!$C$9, 'Dataset_Wisata'!$A$12:$A$622, 0)))) * COS(RADIANS(C464)) * SIN(RADIANS((D464) - INDEX('Dataset_Wisata'!$D$12:$D$622, MATCH('Dashboard'!$C$9, 'Dataset_Wisata'!$A$12:$A$622, 0)))/2)^2)) * 1.3</f>
        <v/>
      </c>
      <c r="J464" s="21">
        <f>ROUND(I464 * IF('Dashboard'!$C$6&lt;=1, 2250, IF('Dashboard'!$C$6&lt;=4, 5150, 6000)), 0)</f>
        <v/>
      </c>
      <c r="K464" s="30" t="n">
        <v>0.8205766965551228</v>
      </c>
      <c r="L464" s="30" t="n">
        <v>0.1680685555538888</v>
      </c>
      <c r="M464" s="30" t="n">
        <v>0.01135474789098826</v>
      </c>
      <c r="N464" s="31">
        <f>ABS(E464-$F$6)</f>
        <v/>
      </c>
      <c r="O464" s="31">
        <f>ABS(E464-$F$7)</f>
        <v/>
      </c>
      <c r="P464" s="31">
        <f>ABS(E464-$F$8)</f>
        <v/>
      </c>
      <c r="Q464" s="14">
        <f>IF(K464&gt;=MAX(L464,M464), "Hemat", IF(L464&gt;=M464, "Balanced", "Premium"))</f>
        <v/>
      </c>
      <c r="R464" s="30" t="n">
        <v>0.8205765551569555</v>
      </c>
      <c r="S464" s="30" t="n">
        <v>0.1680686919268015</v>
      </c>
      <c r="T464" s="30" t="n">
        <v>0.01135475291624307</v>
      </c>
      <c r="U464" s="31">
        <f>ABS(E464-$G$6)</f>
        <v/>
      </c>
      <c r="V464" s="31">
        <f>ABS(E464-$G$7)</f>
        <v/>
      </c>
      <c r="W464" s="31">
        <f>ABS(E464-$G$8)</f>
        <v/>
      </c>
      <c r="X464" s="14">
        <f>IF(R464&gt;=MAX(S464,T464), "Hemat", IF(S464&gt;=T464, "Balanced", "Premium"))</f>
        <v/>
      </c>
    </row>
    <row r="465">
      <c r="A465" s="14" t="n">
        <v>454</v>
      </c>
      <c r="B465" s="7" t="inlineStr">
        <is>
          <t>Warung Podo Moro Sidorejo</t>
        </is>
      </c>
      <c r="C465" s="26" t="n">
        <v>-8.2249502</v>
      </c>
      <c r="D465" s="26" t="n">
        <v>112.637898</v>
      </c>
      <c r="E465" s="21" t="n">
        <v>15000</v>
      </c>
      <c r="F465" s="27" t="n">
        <v>4.1</v>
      </c>
      <c r="G465" s="28" t="n">
        <v>69</v>
      </c>
      <c r="H465" s="14" t="inlineStr">
        <is>
          <t>Warung Podo Moro Sidorejo</t>
        </is>
      </c>
      <c r="I465" s="29">
        <f>6371 * 2 * ASIN(SQRT(SIN(RADIANS((C465) - INDEX('Dataset_Wisata'!$C$12:$C$622, MATCH('Dashboard'!$C$9, 'Dataset_Wisata'!$A$12:$A$622, 0)))/2)^2 + COS(RADIANS(INDEX('Dataset_Wisata'!$C$12:$C$622, MATCH('Dashboard'!$C$9, 'Dataset_Wisata'!$A$12:$A$622, 0)))) * COS(RADIANS(C465)) * SIN(RADIANS((D465) - INDEX('Dataset_Wisata'!$D$12:$D$622, MATCH('Dashboard'!$C$9, 'Dataset_Wisata'!$A$12:$A$622, 0)))/2)^2)) * 1.3</f>
        <v/>
      </c>
      <c r="J465" s="21">
        <f>ROUND(I465 * IF('Dashboard'!$C$6&lt;=1, 2250, IF('Dashboard'!$C$6&lt;=4, 5150, 6000)), 0)</f>
        <v/>
      </c>
      <c r="K465" s="30" t="n">
        <v>0.9686283169848018</v>
      </c>
      <c r="L465" s="30" t="n">
        <v>0.02872990537067274</v>
      </c>
      <c r="M465" s="30" t="n">
        <v>0.002641777644525457</v>
      </c>
      <c r="N465" s="31">
        <f>ABS(E465-$F$6)</f>
        <v/>
      </c>
      <c r="O465" s="31">
        <f>ABS(E465-$F$7)</f>
        <v/>
      </c>
      <c r="P465" s="31">
        <f>ABS(E465-$F$8)</f>
        <v/>
      </c>
      <c r="Q465" s="14">
        <f>IF(K465&gt;=MAX(L465,M465), "Hemat", IF(L465&gt;=M465, "Balanced", "Premium"))</f>
        <v/>
      </c>
      <c r="R465" s="30" t="n">
        <v>0.9686282798936615</v>
      </c>
      <c r="S465" s="30" t="n">
        <v>0.02872993996961344</v>
      </c>
      <c r="T465" s="30" t="n">
        <v>0.002641780136725144</v>
      </c>
      <c r="U465" s="31">
        <f>ABS(E465-$G$6)</f>
        <v/>
      </c>
      <c r="V465" s="31">
        <f>ABS(E465-$G$7)</f>
        <v/>
      </c>
      <c r="W465" s="31">
        <f>ABS(E465-$G$8)</f>
        <v/>
      </c>
      <c r="X465" s="14">
        <f>IF(R465&gt;=MAX(S465,T465), "Hemat", IF(S465&gt;=T465, "Balanced", "Premium"))</f>
        <v/>
      </c>
    </row>
    <row r="466">
      <c r="A466" s="14" t="n">
        <v>455</v>
      </c>
      <c r="B466" s="7" t="inlineStr">
        <is>
          <t>Warung Melati (mbak sri)</t>
        </is>
      </c>
      <c r="C466" s="26" t="n">
        <v>-8.221864399999999</v>
      </c>
      <c r="D466" s="26" t="n">
        <v>112.6561866</v>
      </c>
      <c r="E466" s="21" t="n">
        <v>12000</v>
      </c>
      <c r="F466" s="27" t="n">
        <v>4.4</v>
      </c>
      <c r="G466" s="28" t="n">
        <v>27</v>
      </c>
      <c r="H466" s="14" t="inlineStr">
        <is>
          <t>Warung Melati (mbak sri)</t>
        </is>
      </c>
      <c r="I466" s="29">
        <f>6371 * 2 * ASIN(SQRT(SIN(RADIANS((C466) - INDEX('Dataset_Wisata'!$C$12:$C$622, MATCH('Dashboard'!$C$9, 'Dataset_Wisata'!$A$12:$A$622, 0)))/2)^2 + COS(RADIANS(INDEX('Dataset_Wisata'!$C$12:$C$622, MATCH('Dashboard'!$C$9, 'Dataset_Wisata'!$A$12:$A$622, 0)))) * COS(RADIANS(C466)) * SIN(RADIANS((D466) - INDEX('Dataset_Wisata'!$D$12:$D$622, MATCH('Dashboard'!$C$9, 'Dataset_Wisata'!$A$12:$A$622, 0)))/2)^2)) * 1.3</f>
        <v/>
      </c>
      <c r="J466" s="21">
        <f>ROUND(I466 * IF('Dashboard'!$C$6&lt;=1, 2250, IF('Dashboard'!$C$6&lt;=4, 5150, 6000)), 0)</f>
        <v/>
      </c>
      <c r="K466" s="30" t="n">
        <v>0.9907459480940729</v>
      </c>
      <c r="L466" s="30" t="n">
        <v>0.008195110232283047</v>
      </c>
      <c r="M466" s="30" t="n">
        <v>0.001058941673643979</v>
      </c>
      <c r="N466" s="31">
        <f>ABS(E466-$F$6)</f>
        <v/>
      </c>
      <c r="O466" s="31">
        <f>ABS(E466-$F$7)</f>
        <v/>
      </c>
      <c r="P466" s="31">
        <f>ABS(E466-$F$8)</f>
        <v/>
      </c>
      <c r="Q466" s="14">
        <f>IF(K466&gt;=MAX(L466,M466), "Hemat", IF(L466&gt;=M466, "Balanced", "Premium"))</f>
        <v/>
      </c>
      <c r="R466" s="30" t="n">
        <v>0.9907459543354936</v>
      </c>
      <c r="S466" s="30" t="n">
        <v>0.008195104860105683</v>
      </c>
      <c r="T466" s="30" t="n">
        <v>0.0010589408044008</v>
      </c>
      <c r="U466" s="31">
        <f>ABS(E466-$G$6)</f>
        <v/>
      </c>
      <c r="V466" s="31">
        <f>ABS(E466-$G$7)</f>
        <v/>
      </c>
      <c r="W466" s="31">
        <f>ABS(E466-$G$8)</f>
        <v/>
      </c>
      <c r="X466" s="14">
        <f>IF(R466&gt;=MAX(S466,T466), "Hemat", IF(S466&gt;=T466, "Balanced", "Premium"))</f>
        <v/>
      </c>
    </row>
    <row r="467">
      <c r="A467" s="14" t="n">
        <v>456</v>
      </c>
      <c r="B467" s="7" t="inlineStr">
        <is>
          <t>Bakso Bagoes</t>
        </is>
      </c>
      <c r="C467" s="26" t="n">
        <v>-8.2223931</v>
      </c>
      <c r="D467" s="26" t="n">
        <v>112.6569029</v>
      </c>
      <c r="E467" s="21" t="n">
        <v>12000</v>
      </c>
      <c r="F467" s="27" t="n">
        <v>4.3</v>
      </c>
      <c r="G467" s="28" t="n">
        <v>617</v>
      </c>
      <c r="H467" s="14" t="inlineStr">
        <is>
          <t>Wisata Umum</t>
        </is>
      </c>
      <c r="I467" s="29">
        <f>6371 * 2 * ASIN(SQRT(SIN(RADIANS((C467) - INDEX('Dataset_Wisata'!$C$12:$C$622, MATCH('Dashboard'!$C$9, 'Dataset_Wisata'!$A$12:$A$622, 0)))/2)^2 + COS(RADIANS(INDEX('Dataset_Wisata'!$C$12:$C$622, MATCH('Dashboard'!$C$9, 'Dataset_Wisata'!$A$12:$A$622, 0)))) * COS(RADIANS(C467)) * SIN(RADIANS((D467) - INDEX('Dataset_Wisata'!$D$12:$D$622, MATCH('Dashboard'!$C$9, 'Dataset_Wisata'!$A$12:$A$622, 0)))/2)^2)) * 1.3</f>
        <v/>
      </c>
      <c r="J467" s="21">
        <f>ROUND(I467 * IF('Dashboard'!$C$6&lt;=1, 2250, IF('Dashboard'!$C$6&lt;=4, 5150, 6000)), 0)</f>
        <v/>
      </c>
      <c r="K467" s="30" t="n">
        <v>0.9907459480940729</v>
      </c>
      <c r="L467" s="30" t="n">
        <v>0.008195110232283047</v>
      </c>
      <c r="M467" s="30" t="n">
        <v>0.001058941673643979</v>
      </c>
      <c r="N467" s="31">
        <f>ABS(E467-$F$6)</f>
        <v/>
      </c>
      <c r="O467" s="31">
        <f>ABS(E467-$F$7)</f>
        <v/>
      </c>
      <c r="P467" s="31">
        <f>ABS(E467-$F$8)</f>
        <v/>
      </c>
      <c r="Q467" s="14">
        <f>IF(K467&gt;=MAX(L467,M467), "Hemat", IF(L467&gt;=M467, "Balanced", "Premium"))</f>
        <v/>
      </c>
      <c r="R467" s="30" t="n">
        <v>0.9907459543354936</v>
      </c>
      <c r="S467" s="30" t="n">
        <v>0.008195104860105683</v>
      </c>
      <c r="T467" s="30" t="n">
        <v>0.0010589408044008</v>
      </c>
      <c r="U467" s="31">
        <f>ABS(E467-$G$6)</f>
        <v/>
      </c>
      <c r="V467" s="31">
        <f>ABS(E467-$G$7)</f>
        <v/>
      </c>
      <c r="W467" s="31">
        <f>ABS(E467-$G$8)</f>
        <v/>
      </c>
      <c r="X467" s="14">
        <f>IF(R467&gt;=MAX(S467,T467), "Hemat", IF(S467&gt;=T467, "Balanced", "Premium"))</f>
        <v/>
      </c>
    </row>
    <row r="468">
      <c r="A468" s="14" t="n">
        <v>457</v>
      </c>
      <c r="B468" s="7" t="inlineStr">
        <is>
          <t>Warung Pojok Mbak Ita</t>
        </is>
      </c>
      <c r="C468" s="26" t="n">
        <v>-8.213994400000001</v>
      </c>
      <c r="D468" s="26" t="n">
        <v>112.6393875</v>
      </c>
      <c r="E468" s="21" t="n">
        <v>15000</v>
      </c>
      <c r="F468" s="27" t="n">
        <v>4.6</v>
      </c>
      <c r="G468" s="28" t="n">
        <v>32</v>
      </c>
      <c r="H468" s="14" t="inlineStr">
        <is>
          <t>Warung Pojok Mbak Ita</t>
        </is>
      </c>
      <c r="I468" s="29">
        <f>6371 * 2 * ASIN(SQRT(SIN(RADIANS((C468) - INDEX('Dataset_Wisata'!$C$12:$C$622, MATCH('Dashboard'!$C$9, 'Dataset_Wisata'!$A$12:$A$622, 0)))/2)^2 + COS(RADIANS(INDEX('Dataset_Wisata'!$C$12:$C$622, MATCH('Dashboard'!$C$9, 'Dataset_Wisata'!$A$12:$A$622, 0)))) * COS(RADIANS(C468)) * SIN(RADIANS((D468) - INDEX('Dataset_Wisata'!$D$12:$D$622, MATCH('Dashboard'!$C$9, 'Dataset_Wisata'!$A$12:$A$622, 0)))/2)^2)) * 1.3</f>
        <v/>
      </c>
      <c r="J468" s="21">
        <f>ROUND(I468 * IF('Dashboard'!$C$6&lt;=1, 2250, IF('Dashboard'!$C$6&lt;=4, 5150, 6000)), 0)</f>
        <v/>
      </c>
      <c r="K468" s="30" t="n">
        <v>0.9686283169848018</v>
      </c>
      <c r="L468" s="30" t="n">
        <v>0.02872990537067274</v>
      </c>
      <c r="M468" s="30" t="n">
        <v>0.002641777644525457</v>
      </c>
      <c r="N468" s="31">
        <f>ABS(E468-$F$6)</f>
        <v/>
      </c>
      <c r="O468" s="31">
        <f>ABS(E468-$F$7)</f>
        <v/>
      </c>
      <c r="P468" s="31">
        <f>ABS(E468-$F$8)</f>
        <v/>
      </c>
      <c r="Q468" s="14">
        <f>IF(K468&gt;=MAX(L468,M468), "Hemat", IF(L468&gt;=M468, "Balanced", "Premium"))</f>
        <v/>
      </c>
      <c r="R468" s="30" t="n">
        <v>0.9686282798936615</v>
      </c>
      <c r="S468" s="30" t="n">
        <v>0.02872993996961344</v>
      </c>
      <c r="T468" s="30" t="n">
        <v>0.002641780136725144</v>
      </c>
      <c r="U468" s="31">
        <f>ABS(E468-$G$6)</f>
        <v/>
      </c>
      <c r="V468" s="31">
        <f>ABS(E468-$G$7)</f>
        <v/>
      </c>
      <c r="W468" s="31">
        <f>ABS(E468-$G$8)</f>
        <v/>
      </c>
      <c r="X468" s="14">
        <f>IF(R468&gt;=MAX(S468,T468), "Hemat", IF(S468&gt;=T468, "Balanced", "Premium"))</f>
        <v/>
      </c>
    </row>
    <row r="469">
      <c r="A469" s="14" t="n">
        <v>458</v>
      </c>
      <c r="B469" s="7" t="inlineStr">
        <is>
          <t>Bakso Mantap Cak Ba'un</t>
        </is>
      </c>
      <c r="C469" s="26" t="n">
        <v>-8.2096383</v>
      </c>
      <c r="D469" s="26" t="n">
        <v>112.6445064</v>
      </c>
      <c r="E469" s="21" t="n">
        <v>19000</v>
      </c>
      <c r="F469" s="27" t="n">
        <v>4.6</v>
      </c>
      <c r="G469" s="28" t="n">
        <v>108</v>
      </c>
      <c r="H469" s="14" t="inlineStr">
        <is>
          <t>Wisata Umum</t>
        </is>
      </c>
      <c r="I469" s="29">
        <f>6371 * 2 * ASIN(SQRT(SIN(RADIANS((C469) - INDEX('Dataset_Wisata'!$C$12:$C$622, MATCH('Dashboard'!$C$9, 'Dataset_Wisata'!$A$12:$A$622, 0)))/2)^2 + COS(RADIANS(INDEX('Dataset_Wisata'!$C$12:$C$622, MATCH('Dashboard'!$C$9, 'Dataset_Wisata'!$A$12:$A$622, 0)))) * COS(RADIANS(C469)) * SIN(RADIANS((D469) - INDEX('Dataset_Wisata'!$D$12:$D$622, MATCH('Dashboard'!$C$9, 'Dataset_Wisata'!$A$12:$A$622, 0)))/2)^2)) * 1.3</f>
        <v/>
      </c>
      <c r="J469" s="21">
        <f>ROUND(I469 * IF('Dashboard'!$C$6&lt;=1, 2250, IF('Dashboard'!$C$6&lt;=4, 5150, 6000)), 0)</f>
        <v/>
      </c>
      <c r="K469" s="30" t="n">
        <v>0.5366761769981572</v>
      </c>
      <c r="L469" s="30" t="n">
        <v>0.4435988772155322</v>
      </c>
      <c r="M469" s="30" t="n">
        <v>0.01972494578631066</v>
      </c>
      <c r="N469" s="31">
        <f>ABS(E469-$F$6)</f>
        <v/>
      </c>
      <c r="O469" s="31">
        <f>ABS(E469-$F$7)</f>
        <v/>
      </c>
      <c r="P469" s="31">
        <f>ABS(E469-$F$8)</f>
        <v/>
      </c>
      <c r="Q469" s="14">
        <f>IF(K469&gt;=MAX(L469,M469), "Hemat", IF(L469&gt;=M469, "Balanced", "Premium"))</f>
        <v/>
      </c>
      <c r="R469" s="30" t="n">
        <v>0.5366759174130455</v>
      </c>
      <c r="S469" s="30" t="n">
        <v>0.443599136184954</v>
      </c>
      <c r="T469" s="30" t="n">
        <v>0.01972494640200039</v>
      </c>
      <c r="U469" s="31">
        <f>ABS(E469-$G$6)</f>
        <v/>
      </c>
      <c r="V469" s="31">
        <f>ABS(E469-$G$7)</f>
        <v/>
      </c>
      <c r="W469" s="31">
        <f>ABS(E469-$G$8)</f>
        <v/>
      </c>
      <c r="X469" s="14">
        <f>IF(R469&gt;=MAX(S469,T469), "Hemat", IF(S469&gt;=T469, "Balanced", "Premium"))</f>
        <v/>
      </c>
    </row>
    <row r="470">
      <c r="A470" s="14" t="n">
        <v>459</v>
      </c>
      <c r="B470" s="7" t="inlineStr">
        <is>
          <t>Warung Ayam Bakar Gencet</t>
        </is>
      </c>
      <c r="C470" s="26" t="n">
        <v>-8.2148921</v>
      </c>
      <c r="D470" s="26" t="n">
        <v>112.6426012</v>
      </c>
      <c r="E470" s="21" t="n">
        <v>17700</v>
      </c>
      <c r="F470" s="27" t="n">
        <v>4.1</v>
      </c>
      <c r="G470" s="28" t="n">
        <v>45</v>
      </c>
      <c r="H470" s="14" t="inlineStr">
        <is>
          <t>Warung Ayam Bakar Gencet</t>
        </is>
      </c>
      <c r="I470" s="29">
        <f>6371 * 2 * ASIN(SQRT(SIN(RADIANS((C470) - INDEX('Dataset_Wisata'!$C$12:$C$622, MATCH('Dashboard'!$C$9, 'Dataset_Wisata'!$A$12:$A$622, 0)))/2)^2 + COS(RADIANS(INDEX('Dataset_Wisata'!$C$12:$C$622, MATCH('Dashboard'!$C$9, 'Dataset_Wisata'!$A$12:$A$622, 0)))) * COS(RADIANS(C470)) * SIN(RADIANS((D470) - INDEX('Dataset_Wisata'!$D$12:$D$622, MATCH('Dashboard'!$C$9, 'Dataset_Wisata'!$A$12:$A$622, 0)))/2)^2)) * 1.3</f>
        <v/>
      </c>
      <c r="J470" s="21">
        <f>ROUND(I470 * IF('Dashboard'!$C$6&lt;=1, 2250, IF('Dashboard'!$C$6&lt;=4, 5150, 6000)), 0)</f>
        <v/>
      </c>
      <c r="K470" s="30" t="n">
        <v>0.7337642324583779</v>
      </c>
      <c r="L470" s="30" t="n">
        <v>0.2513378410792654</v>
      </c>
      <c r="M470" s="30" t="n">
        <v>0.01489792646235689</v>
      </c>
      <c r="N470" s="31">
        <f>ABS(E470-$F$6)</f>
        <v/>
      </c>
      <c r="O470" s="31">
        <f>ABS(E470-$F$7)</f>
        <v/>
      </c>
      <c r="P470" s="31">
        <f>ABS(E470-$F$8)</f>
        <v/>
      </c>
      <c r="Q470" s="14">
        <f>IF(K470&gt;=MAX(L470,M470), "Hemat", IF(L470&gt;=M470, "Balanced", "Premium"))</f>
        <v/>
      </c>
      <c r="R470" s="30" t="n">
        <v>0.7337640438452282</v>
      </c>
      <c r="S470" s="30" t="n">
        <v>0.2513380250651338</v>
      </c>
      <c r="T470" s="30" t="n">
        <v>0.01489793108963805</v>
      </c>
      <c r="U470" s="31">
        <f>ABS(E470-$G$6)</f>
        <v/>
      </c>
      <c r="V470" s="31">
        <f>ABS(E470-$G$7)</f>
        <v/>
      </c>
      <c r="W470" s="31">
        <f>ABS(E470-$G$8)</f>
        <v/>
      </c>
      <c r="X470" s="14">
        <f>IF(R470&gt;=MAX(S470,T470), "Hemat", IF(S470&gt;=T470, "Balanced", "Premium"))</f>
        <v/>
      </c>
    </row>
    <row r="471">
      <c r="A471" s="14" t="n">
        <v>460</v>
      </c>
      <c r="B471" s="7" t="inlineStr">
        <is>
          <t>Warunk Ratu rawit</t>
        </is>
      </c>
      <c r="C471" s="26" t="n">
        <v>-8.1705009</v>
      </c>
      <c r="D471" s="26" t="n">
        <v>112.6395118</v>
      </c>
      <c r="E471" s="21" t="n">
        <v>13750</v>
      </c>
      <c r="F471" s="27" t="n">
        <v>4.3</v>
      </c>
      <c r="G471" s="28" t="n">
        <v>712</v>
      </c>
      <c r="H471" s="14" t="inlineStr">
        <is>
          <t>Wisata Umum</t>
        </is>
      </c>
      <c r="I471" s="29">
        <f>6371 * 2 * ASIN(SQRT(SIN(RADIANS((C471) - INDEX('Dataset_Wisata'!$C$12:$C$622, MATCH('Dashboard'!$C$9, 'Dataset_Wisata'!$A$12:$A$622, 0)))/2)^2 + COS(RADIANS(INDEX('Dataset_Wisata'!$C$12:$C$622, MATCH('Dashboard'!$C$9, 'Dataset_Wisata'!$A$12:$A$622, 0)))) * COS(RADIANS(C471)) * SIN(RADIANS((D471) - INDEX('Dataset_Wisata'!$D$12:$D$622, MATCH('Dashboard'!$C$9, 'Dataset_Wisata'!$A$12:$A$622, 0)))/2)^2)) * 1.3</f>
        <v/>
      </c>
      <c r="J471" s="21">
        <f>ROUND(I471 * IF('Dashboard'!$C$6&lt;=1, 2250, IF('Dashboard'!$C$6&lt;=4, 5150, 6000)), 0)</f>
        <v/>
      </c>
      <c r="K471" s="30" t="n">
        <v>0.9976577224486242</v>
      </c>
      <c r="L471" s="30" t="n">
        <v>0.00211498454547459</v>
      </c>
      <c r="M471" s="30" t="n">
        <v>0.0002272930059012017</v>
      </c>
      <c r="N471" s="31">
        <f>ABS(E471-$F$6)</f>
        <v/>
      </c>
      <c r="O471" s="31">
        <f>ABS(E471-$F$7)</f>
        <v/>
      </c>
      <c r="P471" s="31">
        <f>ABS(E471-$F$8)</f>
        <v/>
      </c>
      <c r="Q471" s="14">
        <f>IF(K471&gt;=MAX(L471,M471), "Hemat", IF(L471&gt;=M471, "Balanced", "Premium"))</f>
        <v/>
      </c>
      <c r="R471" s="30" t="n">
        <v>0.9976577157667134</v>
      </c>
      <c r="S471" s="30" t="n">
        <v>0.002114990622939545</v>
      </c>
      <c r="T471" s="30" t="n">
        <v>0.0002272936103471369</v>
      </c>
      <c r="U471" s="31">
        <f>ABS(E471-$G$6)</f>
        <v/>
      </c>
      <c r="V471" s="31">
        <f>ABS(E471-$G$7)</f>
        <v/>
      </c>
      <c r="W471" s="31">
        <f>ABS(E471-$G$8)</f>
        <v/>
      </c>
      <c r="X471" s="14">
        <f>IF(R471&gt;=MAX(S471,T471), "Hemat", IF(S471&gt;=T471, "Balanced", "Premium"))</f>
        <v/>
      </c>
    </row>
    <row r="472">
      <c r="A472" s="14" t="n">
        <v>461</v>
      </c>
      <c r="B472" s="7" t="inlineStr">
        <is>
          <t>Ayam Guling Enakko - Gondanglegi Malang</t>
        </is>
      </c>
      <c r="C472" s="26" t="n">
        <v>-8.1722378</v>
      </c>
      <c r="D472" s="26" t="n">
        <v>112.6390875</v>
      </c>
      <c r="E472" s="21" t="n">
        <v>40690</v>
      </c>
      <c r="F472" s="27" t="n">
        <v>4.8</v>
      </c>
      <c r="G472" s="28" t="n">
        <v>154</v>
      </c>
      <c r="H472" s="14" t="inlineStr">
        <is>
          <t>Restoran · RJHQ+3MV</t>
        </is>
      </c>
      <c r="I472" s="29">
        <f>6371 * 2 * ASIN(SQRT(SIN(RADIANS((C472) - INDEX('Dataset_Wisata'!$C$12:$C$622, MATCH('Dashboard'!$C$9, 'Dataset_Wisata'!$A$12:$A$622, 0)))/2)^2 + COS(RADIANS(INDEX('Dataset_Wisata'!$C$12:$C$622, MATCH('Dashboard'!$C$9, 'Dataset_Wisata'!$A$12:$A$622, 0)))) * COS(RADIANS(C472)) * SIN(RADIANS((D472) - INDEX('Dataset_Wisata'!$D$12:$D$622, MATCH('Dashboard'!$C$9, 'Dataset_Wisata'!$A$12:$A$622, 0)))/2)^2)) * 1.3</f>
        <v/>
      </c>
      <c r="J472" s="21">
        <f>ROUND(I472 * IF('Dashboard'!$C$6&lt;=1, 2250, IF('Dashboard'!$C$6&lt;=4, 5150, 6000)), 0)</f>
        <v/>
      </c>
      <c r="K472" s="30" t="n">
        <v>0.06802091809436313</v>
      </c>
      <c r="L472" s="30" t="n">
        <v>0.2185625079695847</v>
      </c>
      <c r="M472" s="30" t="n">
        <v>0.7134165739360522</v>
      </c>
      <c r="N472" s="31">
        <f>ABS(E472-$F$6)</f>
        <v/>
      </c>
      <c r="O472" s="31">
        <f>ABS(E472-$F$7)</f>
        <v/>
      </c>
      <c r="P472" s="31">
        <f>ABS(E472-$F$8)</f>
        <v/>
      </c>
      <c r="Q472" s="14">
        <f>IF(K472&gt;=MAX(L472,M472), "Hemat", IF(L472&gt;=M472, "Balanced", "Premium"))</f>
        <v/>
      </c>
      <c r="R472" s="30" t="n">
        <v>0.06802087002116279</v>
      </c>
      <c r="S472" s="30" t="n">
        <v>0.218562287209947</v>
      </c>
      <c r="T472" s="30" t="n">
        <v>0.7134168427688903</v>
      </c>
      <c r="U472" s="31">
        <f>ABS(E472-$G$6)</f>
        <v/>
      </c>
      <c r="V472" s="31">
        <f>ABS(E472-$G$7)</f>
        <v/>
      </c>
      <c r="W472" s="31">
        <f>ABS(E472-$G$8)</f>
        <v/>
      </c>
      <c r="X472" s="14">
        <f>IF(R472&gt;=MAX(S472,T472), "Hemat", IF(S472&gt;=T472, "Balanced", "Premium"))</f>
        <v/>
      </c>
    </row>
    <row r="473">
      <c r="A473" s="14" t="n">
        <v>462</v>
      </c>
      <c r="B473" s="7" t="inlineStr">
        <is>
          <t>SEBLAK ARLET</t>
        </is>
      </c>
      <c r="C473" s="26" t="n">
        <v>-8.182831699999999</v>
      </c>
      <c r="D473" s="26" t="n">
        <v>112.6430934</v>
      </c>
      <c r="E473" s="21" t="n">
        <v>16500</v>
      </c>
      <c r="F473" s="27" t="n">
        <v>4.6</v>
      </c>
      <c r="G473" s="28" t="n">
        <v>137</v>
      </c>
      <c r="H473" s="14" t="inlineStr">
        <is>
          <t>Wisata Umum</t>
        </is>
      </c>
      <c r="I473" s="29">
        <f>6371 * 2 * ASIN(SQRT(SIN(RADIANS((C473) - INDEX('Dataset_Wisata'!$C$12:$C$622, MATCH('Dashboard'!$C$9, 'Dataset_Wisata'!$A$12:$A$622, 0)))/2)^2 + COS(RADIANS(INDEX('Dataset_Wisata'!$C$12:$C$622, MATCH('Dashboard'!$C$9, 'Dataset_Wisata'!$A$12:$A$622, 0)))) * COS(RADIANS(C473)) * SIN(RADIANS((D473) - INDEX('Dataset_Wisata'!$D$12:$D$622, MATCH('Dashboard'!$C$9, 'Dataset_Wisata'!$A$12:$A$622, 0)))/2)^2)) * 1.3</f>
        <v/>
      </c>
      <c r="J473" s="21">
        <f>ROUND(I473 * IF('Dashboard'!$C$6&lt;=1, 2250, IF('Dashboard'!$C$6&lt;=4, 5150, 6000)), 0)</f>
        <v/>
      </c>
      <c r="K473" s="30" t="n">
        <v>0.8714863278851296</v>
      </c>
      <c r="L473" s="30" t="n">
        <v>0.1197061829079762</v>
      </c>
      <c r="M473" s="30" t="n">
        <v>0.008807489206894295</v>
      </c>
      <c r="N473" s="31">
        <f>ABS(E473-$F$6)</f>
        <v/>
      </c>
      <c r="O473" s="31">
        <f>ABS(E473-$F$7)</f>
        <v/>
      </c>
      <c r="P473" s="31">
        <f>ABS(E473-$F$8)</f>
        <v/>
      </c>
      <c r="Q473" s="14">
        <f>IF(K473&gt;=MAX(L473,M473), "Hemat", IF(L473&gt;=M473, "Balanced", "Premium"))</f>
        <v/>
      </c>
      <c r="R473" s="30" t="n">
        <v>0.8714862185289194</v>
      </c>
      <c r="S473" s="30" t="n">
        <v>0.1197062875326776</v>
      </c>
      <c r="T473" s="30" t="n">
        <v>0.008807493938402942</v>
      </c>
      <c r="U473" s="31">
        <f>ABS(E473-$G$6)</f>
        <v/>
      </c>
      <c r="V473" s="31">
        <f>ABS(E473-$G$7)</f>
        <v/>
      </c>
      <c r="W473" s="31">
        <f>ABS(E473-$G$8)</f>
        <v/>
      </c>
      <c r="X473" s="14">
        <f>IF(R473&gt;=MAX(S473,T473), "Hemat", IF(S473&gt;=T473, "Balanced", "Premium"))</f>
        <v/>
      </c>
    </row>
    <row r="474">
      <c r="A474" s="14" t="n">
        <v>463</v>
      </c>
      <c r="B474" s="7" t="inlineStr">
        <is>
          <t>BEBEK GAHARU SPESIAL SAMBEL IJO</t>
        </is>
      </c>
      <c r="C474" s="26" t="n">
        <v>-8.1721442</v>
      </c>
      <c r="D474" s="26" t="n">
        <v>112.6466833</v>
      </c>
      <c r="E474" s="21" t="n">
        <v>33250</v>
      </c>
      <c r="F474" s="27" t="n">
        <v>4.7</v>
      </c>
      <c r="G474" s="28" t="n">
        <v>39</v>
      </c>
      <c r="H474" s="14" t="inlineStr">
        <is>
          <t>Wisata Umum</t>
        </is>
      </c>
      <c r="I474" s="29">
        <f>6371 * 2 * ASIN(SQRT(SIN(RADIANS((C474) - INDEX('Dataset_Wisata'!$C$12:$C$622, MATCH('Dashboard'!$C$9, 'Dataset_Wisata'!$A$12:$A$622, 0)))/2)^2 + COS(RADIANS(INDEX('Dataset_Wisata'!$C$12:$C$622, MATCH('Dashboard'!$C$9, 'Dataset_Wisata'!$A$12:$A$622, 0)))) * COS(RADIANS(C474)) * SIN(RADIANS((D474) - INDEX('Dataset_Wisata'!$D$12:$D$622, MATCH('Dashboard'!$C$9, 'Dataset_Wisata'!$A$12:$A$622, 0)))/2)^2)) * 1.3</f>
        <v/>
      </c>
      <c r="J474" s="21">
        <f>ROUND(I474 * IF('Dashboard'!$C$6&lt;=1, 2250, IF('Dashboard'!$C$6&lt;=4, 5150, 6000)), 0)</f>
        <v/>
      </c>
      <c r="K474" s="30" t="n">
        <v>0.1106785083688345</v>
      </c>
      <c r="L474" s="30" t="n">
        <v>0.7141177393004978</v>
      </c>
      <c r="M474" s="30" t="n">
        <v>0.1752037523306678</v>
      </c>
      <c r="N474" s="31">
        <f>ABS(E474-$F$6)</f>
        <v/>
      </c>
      <c r="O474" s="31">
        <f>ABS(E474-$F$7)</f>
        <v/>
      </c>
      <c r="P474" s="31">
        <f>ABS(E474-$F$8)</f>
        <v/>
      </c>
      <c r="Q474" s="14">
        <f>IF(K474&gt;=MAX(L474,M474), "Hemat", IF(L474&gt;=M474, "Balanced", "Premium"))</f>
        <v/>
      </c>
      <c r="R474" s="30" t="n">
        <v>0.1106785451225818</v>
      </c>
      <c r="S474" s="30" t="n">
        <v>0.7141175363088678</v>
      </c>
      <c r="T474" s="30" t="n">
        <v>0.1752039185685505</v>
      </c>
      <c r="U474" s="31">
        <f>ABS(E474-$G$6)</f>
        <v/>
      </c>
      <c r="V474" s="31">
        <f>ABS(E474-$G$7)</f>
        <v/>
      </c>
      <c r="W474" s="31">
        <f>ABS(E474-$G$8)</f>
        <v/>
      </c>
      <c r="X474" s="14">
        <f>IF(R474&gt;=MAX(S474,T474), "Hemat", IF(S474&gt;=T474, "Balanced", "Premium"))</f>
        <v/>
      </c>
    </row>
    <row r="475">
      <c r="A475" s="14" t="n">
        <v>464</v>
      </c>
      <c r="B475" s="7" t="inlineStr">
        <is>
          <t>Warung Sate Jamur</t>
        </is>
      </c>
      <c r="C475" s="26" t="n">
        <v>-8.175205099999999</v>
      </c>
      <c r="D475" s="26" t="n">
        <v>112.6381385</v>
      </c>
      <c r="E475" s="21" t="n">
        <v>6500</v>
      </c>
      <c r="F475" s="27" t="n">
        <v>4.4</v>
      </c>
      <c r="G475" s="28" t="n">
        <v>35</v>
      </c>
      <c r="H475" s="14" t="inlineStr">
        <is>
          <t>Warung Sate Jamur</t>
        </is>
      </c>
      <c r="I475" s="29">
        <f>6371 * 2 * ASIN(SQRT(SIN(RADIANS((C475) - INDEX('Dataset_Wisata'!$C$12:$C$622, MATCH('Dashboard'!$C$9, 'Dataset_Wisata'!$A$12:$A$622, 0)))/2)^2 + COS(RADIANS(INDEX('Dataset_Wisata'!$C$12:$C$622, MATCH('Dashboard'!$C$9, 'Dataset_Wisata'!$A$12:$A$622, 0)))) * COS(RADIANS(C475)) * SIN(RADIANS((D475) - INDEX('Dataset_Wisata'!$D$12:$D$622, MATCH('Dashboard'!$C$9, 'Dataset_Wisata'!$A$12:$A$622, 0)))/2)^2)) * 1.3</f>
        <v/>
      </c>
      <c r="J475" s="21">
        <f>ROUND(I475 * IF('Dashboard'!$C$6&lt;=1, 2250, IF('Dashboard'!$C$6&lt;=4, 5150, 6000)), 0)</f>
        <v/>
      </c>
      <c r="K475" s="30" t="n">
        <v>0.8684270228242085</v>
      </c>
      <c r="L475" s="30" t="n">
        <v>0.110067598279714</v>
      </c>
      <c r="M475" s="30" t="n">
        <v>0.02150537889607757</v>
      </c>
      <c r="N475" s="31">
        <f>ABS(E475-$F$6)</f>
        <v/>
      </c>
      <c r="O475" s="31">
        <f>ABS(E475-$F$7)</f>
        <v/>
      </c>
      <c r="P475" s="31">
        <f>ABS(E475-$F$8)</f>
        <v/>
      </c>
      <c r="Q475" s="14">
        <f>IF(K475&gt;=MAX(L475,M475), "Hemat", IF(L475&gt;=M475, "Balanced", "Premium"))</f>
        <v/>
      </c>
      <c r="R475" s="30" t="n">
        <v>0.8684270137590849</v>
      </c>
      <c r="S475" s="30" t="n">
        <v>0.11006760727782</v>
      </c>
      <c r="T475" s="30" t="n">
        <v>0.02150537896309511</v>
      </c>
      <c r="U475" s="31">
        <f>ABS(E475-$G$6)</f>
        <v/>
      </c>
      <c r="V475" s="31">
        <f>ABS(E475-$G$7)</f>
        <v/>
      </c>
      <c r="W475" s="31">
        <f>ABS(E475-$G$8)</f>
        <v/>
      </c>
      <c r="X475" s="14">
        <f>IF(R475&gt;=MAX(S475,T475), "Hemat", IF(S475&gt;=T475, "Balanced", "Premium"))</f>
        <v/>
      </c>
    </row>
    <row r="476">
      <c r="A476" s="14" t="n">
        <v>465</v>
      </c>
      <c r="B476" s="7" t="inlineStr">
        <is>
          <t>Warung Rujak dan Es "Sepanjang"</t>
        </is>
      </c>
      <c r="C476" s="26" t="n">
        <v>-8.172409999999999</v>
      </c>
      <c r="D476" s="26" t="n">
        <v>112.660718</v>
      </c>
      <c r="E476" s="21" t="n">
        <v>12000</v>
      </c>
      <c r="F476" s="27" t="n">
        <v>3.9</v>
      </c>
      <c r="G476" s="28" t="n">
        <v>54</v>
      </c>
      <c r="H476" s="14" t="inlineStr">
        <is>
          <t>Warung Rujak dan Es "Sepanjang"</t>
        </is>
      </c>
      <c r="I476" s="29">
        <f>6371 * 2 * ASIN(SQRT(SIN(RADIANS((C476) - INDEX('Dataset_Wisata'!$C$12:$C$622, MATCH('Dashboard'!$C$9, 'Dataset_Wisata'!$A$12:$A$622, 0)))/2)^2 + COS(RADIANS(INDEX('Dataset_Wisata'!$C$12:$C$622, MATCH('Dashboard'!$C$9, 'Dataset_Wisata'!$A$12:$A$622, 0)))) * COS(RADIANS(C476)) * SIN(RADIANS((D476) - INDEX('Dataset_Wisata'!$D$12:$D$622, MATCH('Dashboard'!$C$9, 'Dataset_Wisata'!$A$12:$A$622, 0)))/2)^2)) * 1.3</f>
        <v/>
      </c>
      <c r="J476" s="21">
        <f>ROUND(I476 * IF('Dashboard'!$C$6&lt;=1, 2250, IF('Dashboard'!$C$6&lt;=4, 5150, 6000)), 0)</f>
        <v/>
      </c>
      <c r="K476" s="30" t="n">
        <v>0.9907459480940729</v>
      </c>
      <c r="L476" s="30" t="n">
        <v>0.008195110232283047</v>
      </c>
      <c r="M476" s="30" t="n">
        <v>0.001058941673643979</v>
      </c>
      <c r="N476" s="31">
        <f>ABS(E476-$F$6)</f>
        <v/>
      </c>
      <c r="O476" s="31">
        <f>ABS(E476-$F$7)</f>
        <v/>
      </c>
      <c r="P476" s="31">
        <f>ABS(E476-$F$8)</f>
        <v/>
      </c>
      <c r="Q476" s="14">
        <f>IF(K476&gt;=MAX(L476,M476), "Hemat", IF(L476&gt;=M476, "Balanced", "Premium"))</f>
        <v/>
      </c>
      <c r="R476" s="30" t="n">
        <v>0.9907459543354936</v>
      </c>
      <c r="S476" s="30" t="n">
        <v>0.008195104860105683</v>
      </c>
      <c r="T476" s="30" t="n">
        <v>0.0010589408044008</v>
      </c>
      <c r="U476" s="31">
        <f>ABS(E476-$G$6)</f>
        <v/>
      </c>
      <c r="V476" s="31">
        <f>ABS(E476-$G$7)</f>
        <v/>
      </c>
      <c r="W476" s="31">
        <f>ABS(E476-$G$8)</f>
        <v/>
      </c>
      <c r="X476" s="14">
        <f>IF(R476&gt;=MAX(S476,T476), "Hemat", IF(S476&gt;=T476, "Balanced", "Premium"))</f>
        <v/>
      </c>
    </row>
    <row r="477">
      <c r="A477" s="14" t="n">
        <v>466</v>
      </c>
      <c r="B477" s="7" t="inlineStr">
        <is>
          <t>Mie Aceh Gondanglegi</t>
        </is>
      </c>
      <c r="C477" s="26" t="n">
        <v>-8.175982299999999</v>
      </c>
      <c r="D477" s="26" t="n">
        <v>112.6336481</v>
      </c>
      <c r="E477" s="21" t="n">
        <v>15500</v>
      </c>
      <c r="F477" s="27" t="n">
        <v>4.2</v>
      </c>
      <c r="G477" s="28" t="n">
        <v>326</v>
      </c>
      <c r="H477" s="14" t="inlineStr">
        <is>
          <t>Wisata Umum</t>
        </is>
      </c>
      <c r="I477" s="29">
        <f>6371 * 2 * ASIN(SQRT(SIN(RADIANS((C477) - INDEX('Dataset_Wisata'!$C$12:$C$622, MATCH('Dashboard'!$C$9, 'Dataset_Wisata'!$A$12:$A$622, 0)))/2)^2 + COS(RADIANS(INDEX('Dataset_Wisata'!$C$12:$C$622, MATCH('Dashboard'!$C$9, 'Dataset_Wisata'!$A$12:$A$622, 0)))) * COS(RADIANS(C477)) * SIN(RADIANS((D477) - INDEX('Dataset_Wisata'!$D$12:$D$622, MATCH('Dashboard'!$C$9, 'Dataset_Wisata'!$A$12:$A$622, 0)))/2)^2)) * 1.3</f>
        <v/>
      </c>
      <c r="J477" s="21">
        <f>ROUND(I477 * IF('Dashboard'!$C$6&lt;=1, 2250, IF('Dashboard'!$C$6&lt;=4, 5150, 6000)), 0)</f>
        <v/>
      </c>
      <c r="K477" s="30" t="n">
        <v>0.9449432442408515</v>
      </c>
      <c r="L477" s="30" t="n">
        <v>0.05070687831140908</v>
      </c>
      <c r="M477" s="30" t="n">
        <v>0.004349877447739512</v>
      </c>
      <c r="N477" s="31">
        <f>ABS(E477-$F$6)</f>
        <v/>
      </c>
      <c r="O477" s="31">
        <f>ABS(E477-$F$7)</f>
        <v/>
      </c>
      <c r="P477" s="31">
        <f>ABS(E477-$F$8)</f>
        <v/>
      </c>
      <c r="Q477" s="14">
        <f>IF(K477&gt;=MAX(L477,M477), "Hemat", IF(L477&gt;=M477, "Balanced", "Premium"))</f>
        <v/>
      </c>
      <c r="R477" s="30" t="n">
        <v>0.944943187640449</v>
      </c>
      <c r="S477" s="30" t="n">
        <v>0.05070693157515045</v>
      </c>
      <c r="T477" s="30" t="n">
        <v>0.004349880784400502</v>
      </c>
      <c r="U477" s="31">
        <f>ABS(E477-$G$6)</f>
        <v/>
      </c>
      <c r="V477" s="31">
        <f>ABS(E477-$G$7)</f>
        <v/>
      </c>
      <c r="W477" s="31">
        <f>ABS(E477-$G$8)</f>
        <v/>
      </c>
      <c r="X477" s="14">
        <f>IF(R477&gt;=MAX(S477,T477), "Hemat", IF(S477&gt;=T477, "Balanced", "Premium"))</f>
        <v/>
      </c>
    </row>
    <row r="478">
      <c r="A478" s="14" t="n">
        <v>467</v>
      </c>
      <c r="B478" s="7" t="inlineStr">
        <is>
          <t>Rm.Ampera Palapa Masakan Padang</t>
        </is>
      </c>
      <c r="C478" s="26" t="n">
        <v>-8.1718227</v>
      </c>
      <c r="D478" s="26" t="n">
        <v>112.6392092</v>
      </c>
      <c r="E478" s="21" t="n">
        <v>18000</v>
      </c>
      <c r="F478" s="27" t="n">
        <v>4.4</v>
      </c>
      <c r="G478" s="28" t="n">
        <v>170</v>
      </c>
      <c r="H478" s="14" t="inlineStr">
        <is>
          <t>Wisata Umum</t>
        </is>
      </c>
      <c r="I478" s="29">
        <f>6371 * 2 * ASIN(SQRT(SIN(RADIANS((C478) - INDEX('Dataset_Wisata'!$C$12:$C$622, MATCH('Dashboard'!$C$9, 'Dataset_Wisata'!$A$12:$A$622, 0)))/2)^2 + COS(RADIANS(INDEX('Dataset_Wisata'!$C$12:$C$622, MATCH('Dashboard'!$C$9, 'Dataset_Wisata'!$A$12:$A$622, 0)))) * COS(RADIANS(C478)) * SIN(RADIANS((D478) - INDEX('Dataset_Wisata'!$D$12:$D$622, MATCH('Dashboard'!$C$9, 'Dataset_Wisata'!$A$12:$A$622, 0)))/2)^2)) * 1.3</f>
        <v/>
      </c>
      <c r="J478" s="21">
        <f>ROUND(I478 * IF('Dashboard'!$C$6&lt;=1, 2250, IF('Dashboard'!$C$6&lt;=4, 5150, 6000)), 0)</f>
        <v/>
      </c>
      <c r="K478" s="30" t="n">
        <v>0.6916251733659831</v>
      </c>
      <c r="L478" s="30" t="n">
        <v>0.2920817970297536</v>
      </c>
      <c r="M478" s="30" t="n">
        <v>0.01629302960426341</v>
      </c>
      <c r="N478" s="31">
        <f>ABS(E478-$F$6)</f>
        <v/>
      </c>
      <c r="O478" s="31">
        <f>ABS(E478-$F$7)</f>
        <v/>
      </c>
      <c r="P478" s="31">
        <f>ABS(E478-$F$8)</f>
        <v/>
      </c>
      <c r="Q478" s="14">
        <f>IF(K478&gt;=MAX(L478,M478), "Hemat", IF(L478&gt;=M478, "Balanced", "Premium"))</f>
        <v/>
      </c>
      <c r="R478" s="30" t="n">
        <v>0.6916249652211897</v>
      </c>
      <c r="S478" s="30" t="n">
        <v>0.2920820010799081</v>
      </c>
      <c r="T478" s="30" t="n">
        <v>0.01629303369890229</v>
      </c>
      <c r="U478" s="31">
        <f>ABS(E478-$G$6)</f>
        <v/>
      </c>
      <c r="V478" s="31">
        <f>ABS(E478-$G$7)</f>
        <v/>
      </c>
      <c r="W478" s="31">
        <f>ABS(E478-$G$8)</f>
        <v/>
      </c>
      <c r="X478" s="14">
        <f>IF(R478&gt;=MAX(S478,T478), "Hemat", IF(S478&gt;=T478, "Balanced", "Premium"))</f>
        <v/>
      </c>
    </row>
    <row r="479">
      <c r="A479" s="14" t="n">
        <v>468</v>
      </c>
      <c r="B479" s="7" t="inlineStr">
        <is>
          <t>Warung Zam-Zam</t>
        </is>
      </c>
      <c r="C479" s="26" t="n">
        <v>-8.158773500000001</v>
      </c>
      <c r="D479" s="26" t="n">
        <v>112.6439555</v>
      </c>
      <c r="E479" s="21" t="n">
        <v>15000</v>
      </c>
      <c r="F479" s="27" t="n">
        <v>4.2</v>
      </c>
      <c r="G479" s="28" t="n">
        <v>347</v>
      </c>
      <c r="H479" s="14" t="inlineStr">
        <is>
          <t>Warung Zam-Zam</t>
        </is>
      </c>
      <c r="I479" s="29">
        <f>6371 * 2 * ASIN(SQRT(SIN(RADIANS((C479) - INDEX('Dataset_Wisata'!$C$12:$C$622, MATCH('Dashboard'!$C$9, 'Dataset_Wisata'!$A$12:$A$622, 0)))/2)^2 + COS(RADIANS(INDEX('Dataset_Wisata'!$C$12:$C$622, MATCH('Dashboard'!$C$9, 'Dataset_Wisata'!$A$12:$A$622, 0)))) * COS(RADIANS(C479)) * SIN(RADIANS((D479) - INDEX('Dataset_Wisata'!$D$12:$D$622, MATCH('Dashboard'!$C$9, 'Dataset_Wisata'!$A$12:$A$622, 0)))/2)^2)) * 1.3</f>
        <v/>
      </c>
      <c r="J479" s="21">
        <f>ROUND(I479 * IF('Dashboard'!$C$6&lt;=1, 2250, IF('Dashboard'!$C$6&lt;=4, 5150, 6000)), 0)</f>
        <v/>
      </c>
      <c r="K479" s="30" t="n">
        <v>0.9686283169848018</v>
      </c>
      <c r="L479" s="30" t="n">
        <v>0.02872990537067274</v>
      </c>
      <c r="M479" s="30" t="n">
        <v>0.002641777644525457</v>
      </c>
      <c r="N479" s="31">
        <f>ABS(E479-$F$6)</f>
        <v/>
      </c>
      <c r="O479" s="31">
        <f>ABS(E479-$F$7)</f>
        <v/>
      </c>
      <c r="P479" s="31">
        <f>ABS(E479-$F$8)</f>
        <v/>
      </c>
      <c r="Q479" s="14">
        <f>IF(K479&gt;=MAX(L479,M479), "Hemat", IF(L479&gt;=M479, "Balanced", "Premium"))</f>
        <v/>
      </c>
      <c r="R479" s="30" t="n">
        <v>0.9686282798936615</v>
      </c>
      <c r="S479" s="30" t="n">
        <v>0.02872993996961344</v>
      </c>
      <c r="T479" s="30" t="n">
        <v>0.002641780136725144</v>
      </c>
      <c r="U479" s="31">
        <f>ABS(E479-$G$6)</f>
        <v/>
      </c>
      <c r="V479" s="31">
        <f>ABS(E479-$G$7)</f>
        <v/>
      </c>
      <c r="W479" s="31">
        <f>ABS(E479-$G$8)</f>
        <v/>
      </c>
      <c r="X479" s="14">
        <f>IF(R479&gt;=MAX(S479,T479), "Hemat", IF(S479&gt;=T479, "Balanced", "Premium"))</f>
        <v/>
      </c>
    </row>
    <row r="480">
      <c r="A480" s="14" t="n">
        <v>469</v>
      </c>
      <c r="B480" s="7" t="inlineStr">
        <is>
          <t>Ayam Geprek Dapur GSI</t>
        </is>
      </c>
      <c r="C480" s="26" t="n">
        <v>-8.1304462</v>
      </c>
      <c r="D480" s="26" t="n">
        <v>112.5840627</v>
      </c>
      <c r="E480" s="21" t="n">
        <v>25781</v>
      </c>
      <c r="F480" s="27" t="n">
        <v>4.6</v>
      </c>
      <c r="G480" s="28" t="n">
        <v>172</v>
      </c>
      <c r="H480" s="14" t="inlineStr">
        <is>
          <t>Wisata Umum</t>
        </is>
      </c>
      <c r="I480" s="29">
        <f>6371 * 2 * ASIN(SQRT(SIN(RADIANS((C480) - INDEX('Dataset_Wisata'!$C$12:$C$622, MATCH('Dashboard'!$C$9, 'Dataset_Wisata'!$A$12:$A$622, 0)))/2)^2 + COS(RADIANS(INDEX('Dataset_Wisata'!$C$12:$C$622, MATCH('Dashboard'!$C$9, 'Dataset_Wisata'!$A$12:$A$622, 0)))) * COS(RADIANS(C480)) * SIN(RADIANS((D480) - INDEX('Dataset_Wisata'!$D$12:$D$622, MATCH('Dashboard'!$C$9, 'Dataset_Wisata'!$A$12:$A$622, 0)))/2)^2)) * 1.3</f>
        <v/>
      </c>
      <c r="J480" s="21">
        <f>ROUND(I480 * IF('Dashboard'!$C$6&lt;=1, 2250, IF('Dashboard'!$C$6&lt;=4, 5150, 6000)), 0)</f>
        <v/>
      </c>
      <c r="K480" s="30" t="n">
        <v>0.001106662321284703</v>
      </c>
      <c r="L480" s="30" t="n">
        <v>0.9985740157782165</v>
      </c>
      <c r="M480" s="30" t="n">
        <v>0.0003193219004987764</v>
      </c>
      <c r="N480" s="31">
        <f>ABS(E480-$F$6)</f>
        <v/>
      </c>
      <c r="O480" s="31">
        <f>ABS(E480-$F$7)</f>
        <v/>
      </c>
      <c r="P480" s="31">
        <f>ABS(E480-$F$8)</f>
        <v/>
      </c>
      <c r="Q480" s="14">
        <f>IF(K480&gt;=MAX(L480,M480), "Hemat", IF(L480&gt;=M480, "Balanced", "Premium"))</f>
        <v/>
      </c>
      <c r="R480" s="30" t="n">
        <v>0.001106676394031099</v>
      </c>
      <c r="S480" s="30" t="n">
        <v>0.9985739974919611</v>
      </c>
      <c r="T480" s="30" t="n">
        <v>0.0003193261140078663</v>
      </c>
      <c r="U480" s="31">
        <f>ABS(E480-$G$6)</f>
        <v/>
      </c>
      <c r="V480" s="31">
        <f>ABS(E480-$G$7)</f>
        <v/>
      </c>
      <c r="W480" s="31">
        <f>ABS(E480-$G$8)</f>
        <v/>
      </c>
      <c r="X480" s="14">
        <f>IF(R480&gt;=MAX(S480,T480), "Hemat", IF(S480&gt;=T480, "Balanced", "Premium"))</f>
        <v/>
      </c>
    </row>
    <row r="481">
      <c r="A481" s="14" t="n">
        <v>470</v>
      </c>
      <c r="B481" s="7" t="inlineStr">
        <is>
          <t>Lesehan warung subuh</t>
        </is>
      </c>
      <c r="C481" s="26" t="n">
        <v>-8.134675</v>
      </c>
      <c r="D481" s="26" t="n">
        <v>112.6415999</v>
      </c>
      <c r="E481" s="21" t="n">
        <v>21500</v>
      </c>
      <c r="F481" s="27" t="n">
        <v>3.7</v>
      </c>
      <c r="G481" s="28" t="n">
        <v>80</v>
      </c>
      <c r="H481" s="14" t="inlineStr">
        <is>
          <t>Lesehan warung subuh</t>
        </is>
      </c>
      <c r="I481" s="29">
        <f>6371 * 2 * ASIN(SQRT(SIN(RADIANS((C481) - INDEX('Dataset_Wisata'!$C$12:$C$622, MATCH('Dashboard'!$C$9, 'Dataset_Wisata'!$A$12:$A$622, 0)))/2)^2 + COS(RADIANS(INDEX('Dataset_Wisata'!$C$12:$C$622, MATCH('Dashboard'!$C$9, 'Dataset_Wisata'!$A$12:$A$622, 0)))) * COS(RADIANS(C481)) * SIN(RADIANS((D481) - INDEX('Dataset_Wisata'!$D$12:$D$622, MATCH('Dashboard'!$C$9, 'Dataset_Wisata'!$A$12:$A$622, 0)))/2)^2)) * 1.3</f>
        <v/>
      </c>
      <c r="J481" s="21">
        <f>ROUND(I481 * IF('Dashboard'!$C$6&lt;=1, 2250, IF('Dashboard'!$C$6&lt;=4, 5150, 6000)), 0)</f>
        <v/>
      </c>
      <c r="K481" s="30" t="n">
        <v>0.175753577330791</v>
      </c>
      <c r="L481" s="30" t="n">
        <v>0.80849487551433</v>
      </c>
      <c r="M481" s="30" t="n">
        <v>0.015751547154879</v>
      </c>
      <c r="N481" s="31">
        <f>ABS(E481-$F$6)</f>
        <v/>
      </c>
      <c r="O481" s="31">
        <f>ABS(E481-$F$7)</f>
        <v/>
      </c>
      <c r="P481" s="31">
        <f>ABS(E481-$F$8)</f>
        <v/>
      </c>
      <c r="Q481" s="14">
        <f>IF(K481&gt;=MAX(L481,M481), "Hemat", IF(L481&gt;=M481, "Balanced", "Premium"))</f>
        <v/>
      </c>
      <c r="R481" s="30" t="n">
        <v>0.1757533562963015</v>
      </c>
      <c r="S481" s="30" t="n">
        <v>0.8084951088955854</v>
      </c>
      <c r="T481" s="30" t="n">
        <v>0.01575153480811302</v>
      </c>
      <c r="U481" s="31">
        <f>ABS(E481-$G$6)</f>
        <v/>
      </c>
      <c r="V481" s="31">
        <f>ABS(E481-$G$7)</f>
        <v/>
      </c>
      <c r="W481" s="31">
        <f>ABS(E481-$G$8)</f>
        <v/>
      </c>
      <c r="X481" s="14">
        <f>IF(R481&gt;=MAX(S481,T481), "Hemat", IF(S481&gt;=T481, "Balanced", "Premium"))</f>
        <v/>
      </c>
    </row>
    <row r="482">
      <c r="A482" s="14" t="n">
        <v>471</v>
      </c>
      <c r="B482" s="7" t="inlineStr">
        <is>
          <t>Warung Bebek Kerto</t>
        </is>
      </c>
      <c r="C482" s="26" t="n">
        <v>-8.098326</v>
      </c>
      <c r="D482" s="26" t="n">
        <v>112.5780211</v>
      </c>
      <c r="E482" s="21" t="n">
        <v>22000</v>
      </c>
      <c r="F482" s="27" t="n">
        <v>4.4</v>
      </c>
      <c r="G482" s="28" t="n">
        <v>3312</v>
      </c>
      <c r="H482" s="14" t="inlineStr">
        <is>
          <t>Warung Bebek Kerto</t>
        </is>
      </c>
      <c r="I482" s="29">
        <f>6371 * 2 * ASIN(SQRT(SIN(RADIANS((C482) - INDEX('Dataset_Wisata'!$C$12:$C$622, MATCH('Dashboard'!$C$9, 'Dataset_Wisata'!$A$12:$A$622, 0)))/2)^2 + COS(RADIANS(INDEX('Dataset_Wisata'!$C$12:$C$622, MATCH('Dashboard'!$C$9, 'Dataset_Wisata'!$A$12:$A$622, 0)))) * COS(RADIANS(C482)) * SIN(RADIANS((D482) - INDEX('Dataset_Wisata'!$D$12:$D$622, MATCH('Dashboard'!$C$9, 'Dataset_Wisata'!$A$12:$A$622, 0)))/2)^2)) * 1.3</f>
        <v/>
      </c>
      <c r="J482" s="21">
        <f>ROUND(I482 * IF('Dashboard'!$C$6&lt;=1, 2250, IF('Dashboard'!$C$6&lt;=4, 5150, 6000)), 0)</f>
        <v/>
      </c>
      <c r="K482" s="30" t="n">
        <v>0.1261169361072687</v>
      </c>
      <c r="L482" s="30" t="n">
        <v>0.8607026272442547</v>
      </c>
      <c r="M482" s="30" t="n">
        <v>0.01318043664847662</v>
      </c>
      <c r="N482" s="31">
        <f>ABS(E482-$F$6)</f>
        <v/>
      </c>
      <c r="O482" s="31">
        <f>ABS(E482-$F$7)</f>
        <v/>
      </c>
      <c r="P482" s="31">
        <f>ABS(E482-$F$8)</f>
        <v/>
      </c>
      <c r="Q482" s="14">
        <f>IF(K482&gt;=MAX(L482,M482), "Hemat", IF(L482&gt;=M482, "Balanced", "Premium"))</f>
        <v/>
      </c>
      <c r="R482" s="30" t="n">
        <v>0.126116746000083</v>
      </c>
      <c r="S482" s="30" t="n">
        <v>0.8607028310146635</v>
      </c>
      <c r="T482" s="30" t="n">
        <v>0.01318042298525341</v>
      </c>
      <c r="U482" s="31">
        <f>ABS(E482-$G$6)</f>
        <v/>
      </c>
      <c r="V482" s="31">
        <f>ABS(E482-$G$7)</f>
        <v/>
      </c>
      <c r="W482" s="31">
        <f>ABS(E482-$G$8)</f>
        <v/>
      </c>
      <c r="X482" s="14">
        <f>IF(R482&gt;=MAX(S482,T482), "Hemat", IF(S482&gt;=T482, "Balanced", "Premium"))</f>
        <v/>
      </c>
    </row>
    <row r="483">
      <c r="A483" s="14" t="n">
        <v>472</v>
      </c>
      <c r="B483" s="7" t="inlineStr">
        <is>
          <t>Depot Lala</t>
        </is>
      </c>
      <c r="C483" s="26" t="n">
        <v>-8.1029448</v>
      </c>
      <c r="D483" s="26" t="n">
        <v>112.6357021</v>
      </c>
      <c r="E483" s="21" t="n">
        <v>15000</v>
      </c>
      <c r="F483" s="27" t="n">
        <v>4.5</v>
      </c>
      <c r="G483" s="28" t="n">
        <v>23</v>
      </c>
      <c r="H483" s="14" t="inlineStr">
        <is>
          <t>Wisata Umum</t>
        </is>
      </c>
      <c r="I483" s="29">
        <f>6371 * 2 * ASIN(SQRT(SIN(RADIANS((C483) - INDEX('Dataset_Wisata'!$C$12:$C$622, MATCH('Dashboard'!$C$9, 'Dataset_Wisata'!$A$12:$A$622, 0)))/2)^2 + COS(RADIANS(INDEX('Dataset_Wisata'!$C$12:$C$622, MATCH('Dashboard'!$C$9, 'Dataset_Wisata'!$A$12:$A$622, 0)))) * COS(RADIANS(C483)) * SIN(RADIANS((D483) - INDEX('Dataset_Wisata'!$D$12:$D$622, MATCH('Dashboard'!$C$9, 'Dataset_Wisata'!$A$12:$A$622, 0)))/2)^2)) * 1.3</f>
        <v/>
      </c>
      <c r="J483" s="21">
        <f>ROUND(I483 * IF('Dashboard'!$C$6&lt;=1, 2250, IF('Dashboard'!$C$6&lt;=4, 5150, 6000)), 0)</f>
        <v/>
      </c>
      <c r="K483" s="30" t="n">
        <v>0.9686283169848018</v>
      </c>
      <c r="L483" s="30" t="n">
        <v>0.02872990537067274</v>
      </c>
      <c r="M483" s="30" t="n">
        <v>0.002641777644525457</v>
      </c>
      <c r="N483" s="31">
        <f>ABS(E483-$F$6)</f>
        <v/>
      </c>
      <c r="O483" s="31">
        <f>ABS(E483-$F$7)</f>
        <v/>
      </c>
      <c r="P483" s="31">
        <f>ABS(E483-$F$8)</f>
        <v/>
      </c>
      <c r="Q483" s="14">
        <f>IF(K483&gt;=MAX(L483,M483), "Hemat", IF(L483&gt;=M483, "Balanced", "Premium"))</f>
        <v/>
      </c>
      <c r="R483" s="30" t="n">
        <v>0.9686282798936615</v>
      </c>
      <c r="S483" s="30" t="n">
        <v>0.02872993996961344</v>
      </c>
      <c r="T483" s="30" t="n">
        <v>0.002641780136725144</v>
      </c>
      <c r="U483" s="31">
        <f>ABS(E483-$G$6)</f>
        <v/>
      </c>
      <c r="V483" s="31">
        <f>ABS(E483-$G$7)</f>
        <v/>
      </c>
      <c r="W483" s="31">
        <f>ABS(E483-$G$8)</f>
        <v/>
      </c>
      <c r="X483" s="14">
        <f>IF(R483&gt;=MAX(S483,T483), "Hemat", IF(S483&gt;=T483, "Balanced", "Premium"))</f>
        <v/>
      </c>
    </row>
    <row r="484">
      <c r="A484" s="14" t="n">
        <v>473</v>
      </c>
      <c r="B484" s="7" t="inlineStr">
        <is>
          <t>Warung Lalapan NAGEHI</t>
        </is>
      </c>
      <c r="C484" s="26" t="n">
        <v>-8.104468300000001</v>
      </c>
      <c r="D484" s="26" t="n">
        <v>112.6356065</v>
      </c>
      <c r="E484" s="21" t="n">
        <v>17500</v>
      </c>
      <c r="F484" s="27" t="n">
        <v>4.4</v>
      </c>
      <c r="G484" s="28" t="n">
        <v>32</v>
      </c>
      <c r="H484" s="14" t="inlineStr">
        <is>
          <t>Warung Lalapan NAGEHI</t>
        </is>
      </c>
      <c r="I484" s="29">
        <f>6371 * 2 * ASIN(SQRT(SIN(RADIANS((C484) - INDEX('Dataset_Wisata'!$C$12:$C$622, MATCH('Dashboard'!$C$9, 'Dataset_Wisata'!$A$12:$A$622, 0)))/2)^2 + COS(RADIANS(INDEX('Dataset_Wisata'!$C$12:$C$622, MATCH('Dashboard'!$C$9, 'Dataset_Wisata'!$A$12:$A$622, 0)))) * COS(RADIANS(C484)) * SIN(RADIANS((D484) - INDEX('Dataset_Wisata'!$D$12:$D$622, MATCH('Dashboard'!$C$9, 'Dataset_Wisata'!$A$12:$A$622, 0)))/2)^2)) * 1.3</f>
        <v/>
      </c>
      <c r="J484" s="21">
        <f>ROUND(I484 * IF('Dashboard'!$C$6&lt;=1, 2250, IF('Dashboard'!$C$6&lt;=4, 5150, 6000)), 0)</f>
        <v/>
      </c>
      <c r="K484" s="30" t="n">
        <v>0.7603071924879298</v>
      </c>
      <c r="L484" s="30" t="n">
        <v>0.2257795038870261</v>
      </c>
      <c r="M484" s="30" t="n">
        <v>0.0139133036250441</v>
      </c>
      <c r="N484" s="31">
        <f>ABS(E484-$F$6)</f>
        <v/>
      </c>
      <c r="O484" s="31">
        <f>ABS(E484-$F$7)</f>
        <v/>
      </c>
      <c r="P484" s="31">
        <f>ABS(E484-$F$8)</f>
        <v/>
      </c>
      <c r="Q484" s="14">
        <f>IF(K484&gt;=MAX(L484,M484), "Hemat", IF(L484&gt;=M484, "Balanced", "Premium"))</f>
        <v/>
      </c>
      <c r="R484" s="30" t="n">
        <v>0.7603070173234607</v>
      </c>
      <c r="S484" s="30" t="n">
        <v>0.2257796741964144</v>
      </c>
      <c r="T484" s="30" t="n">
        <v>0.01391330848012476</v>
      </c>
      <c r="U484" s="31">
        <f>ABS(E484-$G$6)</f>
        <v/>
      </c>
      <c r="V484" s="31">
        <f>ABS(E484-$G$7)</f>
        <v/>
      </c>
      <c r="W484" s="31">
        <f>ABS(E484-$G$8)</f>
        <v/>
      </c>
      <c r="X484" s="14">
        <f>IF(R484&gt;=MAX(S484,T484), "Hemat", IF(S484&gt;=T484, "Balanced", "Premium"))</f>
        <v/>
      </c>
    </row>
    <row r="485">
      <c r="A485" s="14" t="n">
        <v>474</v>
      </c>
      <c r="B485" s="7" t="inlineStr">
        <is>
          <t>Warung Pecel Lele Sido Mampir</t>
        </is>
      </c>
      <c r="C485" s="26" t="n">
        <v>-8.1519025</v>
      </c>
      <c r="D485" s="26" t="n">
        <v>112.5827526</v>
      </c>
      <c r="E485" s="21" t="n">
        <v>20000</v>
      </c>
      <c r="F485" s="27" t="n">
        <v>4.6</v>
      </c>
      <c r="G485" s="28" t="n">
        <v>42</v>
      </c>
      <c r="H485" s="14" t="inlineStr">
        <is>
          <t>Warung Pecel Lele Sido Mampir</t>
        </is>
      </c>
      <c r="I485" s="29">
        <f>6371 * 2 * ASIN(SQRT(SIN(RADIANS((C485) - INDEX('Dataset_Wisata'!$C$12:$C$622, MATCH('Dashboard'!$C$9, 'Dataset_Wisata'!$A$12:$A$622, 0)))/2)^2 + COS(RADIANS(INDEX('Dataset_Wisata'!$C$12:$C$622, MATCH('Dashboard'!$C$9, 'Dataset_Wisata'!$A$12:$A$622, 0)))) * COS(RADIANS(C485)) * SIN(RADIANS((D485) - INDEX('Dataset_Wisata'!$D$12:$D$622, MATCH('Dashboard'!$C$9, 'Dataset_Wisata'!$A$12:$A$622, 0)))/2)^2)) * 1.3</f>
        <v/>
      </c>
      <c r="J485" s="21">
        <f>ROUND(I485 * IF('Dashboard'!$C$6&lt;=1, 2250, IF('Dashboard'!$C$6&lt;=4, 5150, 6000)), 0)</f>
        <v/>
      </c>
      <c r="K485" s="30" t="n">
        <v>0.3766864462048385</v>
      </c>
      <c r="L485" s="30" t="n">
        <v>0.6029404273516955</v>
      </c>
      <c r="M485" s="30" t="n">
        <v>0.02037312644346593</v>
      </c>
      <c r="N485" s="31">
        <f>ABS(E485-$F$6)</f>
        <v/>
      </c>
      <c r="O485" s="31">
        <f>ABS(E485-$F$7)</f>
        <v/>
      </c>
      <c r="P485" s="31">
        <f>ABS(E485-$F$8)</f>
        <v/>
      </c>
      <c r="Q485" s="14">
        <f>IF(K485&gt;=MAX(L485,M485), "Hemat", IF(L485&gt;=M485, "Balanced", "Premium"))</f>
        <v/>
      </c>
      <c r="R485" s="30" t="n">
        <v>0.3766861717192874</v>
      </c>
      <c r="S485" s="30" t="n">
        <v>0.6029407066601674</v>
      </c>
      <c r="T485" s="30" t="n">
        <v>0.02037312162054524</v>
      </c>
      <c r="U485" s="31">
        <f>ABS(E485-$G$6)</f>
        <v/>
      </c>
      <c r="V485" s="31">
        <f>ABS(E485-$G$7)</f>
        <v/>
      </c>
      <c r="W485" s="31">
        <f>ABS(E485-$G$8)</f>
        <v/>
      </c>
      <c r="X485" s="14">
        <f>IF(R485&gt;=MAX(S485,T485), "Hemat", IF(S485&gt;=T485, "Balanced", "Premium"))</f>
        <v/>
      </c>
    </row>
    <row r="486">
      <c r="A486" s="14" t="n">
        <v>475</v>
      </c>
      <c r="B486" s="7" t="inlineStr">
        <is>
          <t>Ayam Goreng Rempah Lohjinawi - Bululawang</t>
        </is>
      </c>
      <c r="C486" s="26" t="n">
        <v>-8.0873948</v>
      </c>
      <c r="D486" s="26" t="n">
        <v>112.6368112</v>
      </c>
      <c r="E486" s="21" t="n">
        <v>23200</v>
      </c>
      <c r="F486" s="27" t="n">
        <v>4.7</v>
      </c>
      <c r="G486" s="28" t="n">
        <v>994</v>
      </c>
      <c r="H486" s="14" t="inlineStr">
        <is>
          <t>Wisata Umum</t>
        </is>
      </c>
      <c r="I486" s="29">
        <f>6371 * 2 * ASIN(SQRT(SIN(RADIANS((C486) - INDEX('Dataset_Wisata'!$C$12:$C$622, MATCH('Dashboard'!$C$9, 'Dataset_Wisata'!$A$12:$A$622, 0)))/2)^2 + COS(RADIANS(INDEX('Dataset_Wisata'!$C$12:$C$622, MATCH('Dashboard'!$C$9, 'Dataset_Wisata'!$A$12:$A$622, 0)))) * COS(RADIANS(C486)) * SIN(RADIANS((D486) - INDEX('Dataset_Wisata'!$D$12:$D$622, MATCH('Dashboard'!$C$9, 'Dataset_Wisata'!$A$12:$A$622, 0)))/2)^2)) * 1.3</f>
        <v/>
      </c>
      <c r="J486" s="21">
        <f>ROUND(I486 * IF('Dashboard'!$C$6&lt;=1, 2250, IF('Dashboard'!$C$6&lt;=4, 5150, 6000)), 0)</f>
        <v/>
      </c>
      <c r="K486" s="30" t="n">
        <v>0.04451842551354704</v>
      </c>
      <c r="L486" s="30" t="n">
        <v>0.948902836822493</v>
      </c>
      <c r="M486" s="30" t="n">
        <v>0.006578737663959945</v>
      </c>
      <c r="N486" s="31">
        <f>ABS(E486-$F$6)</f>
        <v/>
      </c>
      <c r="O486" s="31">
        <f>ABS(E486-$F$7)</f>
        <v/>
      </c>
      <c r="P486" s="31">
        <f>ABS(E486-$F$8)</f>
        <v/>
      </c>
      <c r="Q486" s="14">
        <f>IF(K486&gt;=MAX(L486,M486), "Hemat", IF(L486&gt;=M486, "Balanced", "Premium"))</f>
        <v/>
      </c>
      <c r="R486" s="30" t="n">
        <v>0.04451831501243066</v>
      </c>
      <c r="S486" s="30" t="n">
        <v>0.9489029605739783</v>
      </c>
      <c r="T486" s="30" t="n">
        <v>0.006578724413591161</v>
      </c>
      <c r="U486" s="31">
        <f>ABS(E486-$G$6)</f>
        <v/>
      </c>
      <c r="V486" s="31">
        <f>ABS(E486-$G$7)</f>
        <v/>
      </c>
      <c r="W486" s="31">
        <f>ABS(E486-$G$8)</f>
        <v/>
      </c>
      <c r="X486" s="14">
        <f>IF(R486&gt;=MAX(S486,T486), "Hemat", IF(S486&gt;=T486, "Balanced", "Premium"))</f>
        <v/>
      </c>
    </row>
    <row r="487">
      <c r="A487" s="14" t="n">
        <v>476</v>
      </c>
      <c r="B487" s="7" t="inlineStr">
        <is>
          <t>Depot Moro Joyo Bululawang</t>
        </is>
      </c>
      <c r="C487" s="26" t="n">
        <v>-8.077593800000001</v>
      </c>
      <c r="D487" s="26" t="n">
        <v>112.6426902</v>
      </c>
      <c r="E487" s="21" t="n">
        <v>13000</v>
      </c>
      <c r="F487" s="27" t="n">
        <v>4.4</v>
      </c>
      <c r="G487" s="28" t="n">
        <v>609</v>
      </c>
      <c r="H487" s="14" t="inlineStr">
        <is>
          <t>Wisata Umum</t>
        </is>
      </c>
      <c r="I487" s="29">
        <f>6371 * 2 * ASIN(SQRT(SIN(RADIANS((C487) - INDEX('Dataset_Wisata'!$C$12:$C$622, MATCH('Dashboard'!$C$9, 'Dataset_Wisata'!$A$12:$A$622, 0)))/2)^2 + COS(RADIANS(INDEX('Dataset_Wisata'!$C$12:$C$622, MATCH('Dashboard'!$C$9, 'Dataset_Wisata'!$A$12:$A$622, 0)))) * COS(RADIANS(C487)) * SIN(RADIANS((D487) - INDEX('Dataset_Wisata'!$D$12:$D$622, MATCH('Dashboard'!$C$9, 'Dataset_Wisata'!$A$12:$A$622, 0)))/2)^2)) * 1.3</f>
        <v/>
      </c>
      <c r="J487" s="21">
        <f>ROUND(I487 * IF('Dashboard'!$C$6&lt;=1, 2250, IF('Dashboard'!$C$6&lt;=4, 5150, 6000)), 0)</f>
        <v/>
      </c>
      <c r="K487" s="30" t="n">
        <v>0.9996613401455278</v>
      </c>
      <c r="L487" s="30" t="n">
        <v>0.0003032413982241428</v>
      </c>
      <c r="M487" s="30" t="n">
        <v>3.541845624800055e-05</v>
      </c>
      <c r="N487" s="31">
        <f>ABS(E487-$F$6)</f>
        <v/>
      </c>
      <c r="O487" s="31">
        <f>ABS(E487-$F$7)</f>
        <v/>
      </c>
      <c r="P487" s="31">
        <f>ABS(E487-$F$8)</f>
        <v/>
      </c>
      <c r="Q487" s="14">
        <f>IF(K487&gt;=MAX(L487,M487), "Hemat", IF(L487&gt;=M487, "Balanced", "Premium"))</f>
        <v/>
      </c>
      <c r="R487" s="30" t="n">
        <v>0.9996613420378273</v>
      </c>
      <c r="S487" s="30" t="n">
        <v>0.0003032397098959421</v>
      </c>
      <c r="T487" s="30" t="n">
        <v>3.541825227674828e-05</v>
      </c>
      <c r="U487" s="31">
        <f>ABS(E487-$G$6)</f>
        <v/>
      </c>
      <c r="V487" s="31">
        <f>ABS(E487-$G$7)</f>
        <v/>
      </c>
      <c r="W487" s="31">
        <f>ABS(E487-$G$8)</f>
        <v/>
      </c>
      <c r="X487" s="14">
        <f>IF(R487&gt;=MAX(S487,T487), "Hemat", IF(S487&gt;=T487, "Balanced", "Premium"))</f>
        <v/>
      </c>
    </row>
    <row r="488">
      <c r="A488" s="14" t="n">
        <v>477</v>
      </c>
      <c r="B488" s="7" t="inlineStr">
        <is>
          <t>Pondok Gurame Nagarema</t>
        </is>
      </c>
      <c r="C488" s="26" t="n">
        <v>-8.0968695</v>
      </c>
      <c r="D488" s="26" t="n">
        <v>112.6630008</v>
      </c>
      <c r="E488" s="21" t="n">
        <v>36000</v>
      </c>
      <c r="F488" s="27" t="n">
        <v>4.1</v>
      </c>
      <c r="G488" s="28" t="n">
        <v>317</v>
      </c>
      <c r="H488" s="14" t="inlineStr">
        <is>
          <t>Restoran · Jl. Raya Kuwolu</t>
        </is>
      </c>
      <c r="I488" s="29">
        <f>6371 * 2 * ASIN(SQRT(SIN(RADIANS((C488) - INDEX('Dataset_Wisata'!$C$12:$C$622, MATCH('Dashboard'!$C$9, 'Dataset_Wisata'!$A$12:$A$622, 0)))/2)^2 + COS(RADIANS(INDEX('Dataset_Wisata'!$C$12:$C$622, MATCH('Dashboard'!$C$9, 'Dataset_Wisata'!$A$12:$A$622, 0)))) * COS(RADIANS(C488)) * SIN(RADIANS((D488) - INDEX('Dataset_Wisata'!$D$12:$D$622, MATCH('Dashboard'!$C$9, 'Dataset_Wisata'!$A$12:$A$622, 0)))/2)^2)) * 1.3</f>
        <v/>
      </c>
      <c r="J488" s="21">
        <f>ROUND(I488 * IF('Dashboard'!$C$6&lt;=1, 2250, IF('Dashboard'!$C$6&lt;=4, 5150, 6000)), 0)</f>
        <v/>
      </c>
      <c r="K488" s="30" t="n">
        <v>0.1165585081374635</v>
      </c>
      <c r="L488" s="30" t="n">
        <v>0.5347685694452513</v>
      </c>
      <c r="M488" s="30" t="n">
        <v>0.3486729224172853</v>
      </c>
      <c r="N488" s="31">
        <f>ABS(E488-$F$6)</f>
        <v/>
      </c>
      <c r="O488" s="31">
        <f>ABS(E488-$F$7)</f>
        <v/>
      </c>
      <c r="P488" s="31">
        <f>ABS(E488-$F$8)</f>
        <v/>
      </c>
      <c r="Q488" s="14">
        <f>IF(K488&gt;=MAX(L488,M488), "Hemat", IF(L488&gt;=M488, "Balanced", "Premium"))</f>
        <v/>
      </c>
      <c r="R488" s="30" t="n">
        <v>0.1165585066348486</v>
      </c>
      <c r="S488" s="30" t="n">
        <v>0.5347683229205527</v>
      </c>
      <c r="T488" s="30" t="n">
        <v>0.3486731704445987</v>
      </c>
      <c r="U488" s="31">
        <f>ABS(E488-$G$6)</f>
        <v/>
      </c>
      <c r="V488" s="31">
        <f>ABS(E488-$G$7)</f>
        <v/>
      </c>
      <c r="W488" s="31">
        <f>ABS(E488-$G$8)</f>
        <v/>
      </c>
      <c r="X488" s="14">
        <f>IF(R488&gt;=MAX(S488,T488), "Hemat", IF(S488&gt;=T488, "Balanced", "Premium"))</f>
        <v/>
      </c>
    </row>
    <row r="489">
      <c r="A489" s="14" t="n">
        <v>478</v>
      </c>
      <c r="B489" s="7" t="inlineStr">
        <is>
          <t>Soto Dhok Lamongan</t>
        </is>
      </c>
      <c r="C489" s="26" t="n">
        <v>-8.0786222</v>
      </c>
      <c r="D489" s="26" t="n">
        <v>112.6399374</v>
      </c>
      <c r="E489" s="21" t="n">
        <v>11250</v>
      </c>
      <c r="F489" s="27" t="n">
        <v>4.5</v>
      </c>
      <c r="G489" s="28" t="n">
        <v>624</v>
      </c>
      <c r="H489" s="14" t="inlineStr">
        <is>
          <t>Wisata Umum</t>
        </is>
      </c>
      <c r="I489" s="29">
        <f>6371 * 2 * ASIN(SQRT(SIN(RADIANS((C489) - INDEX('Dataset_Wisata'!$C$12:$C$622, MATCH('Dashboard'!$C$9, 'Dataset_Wisata'!$A$12:$A$622, 0)))/2)^2 + COS(RADIANS(INDEX('Dataset_Wisata'!$C$12:$C$622, MATCH('Dashboard'!$C$9, 'Dataset_Wisata'!$A$12:$A$622, 0)))) * COS(RADIANS(C489)) * SIN(RADIANS((D489) - INDEX('Dataset_Wisata'!$D$12:$D$622, MATCH('Dashboard'!$C$9, 'Dataset_Wisata'!$A$12:$A$622, 0)))/2)^2)) * 1.3</f>
        <v/>
      </c>
      <c r="J489" s="21">
        <f>ROUND(I489 * IF('Dashboard'!$C$6&lt;=1, 2250, IF('Dashboard'!$C$6&lt;=4, 5150, 6000)), 0)</f>
        <v/>
      </c>
      <c r="K489" s="30" t="n">
        <v>0.9783982477961276</v>
      </c>
      <c r="L489" s="30" t="n">
        <v>0.01897413971805154</v>
      </c>
      <c r="M489" s="30" t="n">
        <v>0.002627612485820865</v>
      </c>
      <c r="N489" s="31">
        <f>ABS(E489-$F$6)</f>
        <v/>
      </c>
      <c r="O489" s="31">
        <f>ABS(E489-$F$7)</f>
        <v/>
      </c>
      <c r="P489" s="31">
        <f>ABS(E489-$F$8)</f>
        <v/>
      </c>
      <c r="Q489" s="14">
        <f>IF(K489&gt;=MAX(L489,M489), "Hemat", IF(L489&gt;=M489, "Balanced", "Premium"))</f>
        <v/>
      </c>
      <c r="R489" s="30" t="n">
        <v>0.9783982540382206</v>
      </c>
      <c r="S489" s="30" t="n">
        <v>0.01897413457831565</v>
      </c>
      <c r="T489" s="30" t="n">
        <v>0.002627611383463898</v>
      </c>
      <c r="U489" s="31">
        <f>ABS(E489-$G$6)</f>
        <v/>
      </c>
      <c r="V489" s="31">
        <f>ABS(E489-$G$7)</f>
        <v/>
      </c>
      <c r="W489" s="31">
        <f>ABS(E489-$G$8)</f>
        <v/>
      </c>
      <c r="X489" s="14">
        <f>IF(R489&gt;=MAX(S489,T489), "Hemat", IF(S489&gt;=T489, "Balanced", "Premium"))</f>
        <v/>
      </c>
    </row>
    <row r="490">
      <c r="A490" s="14" t="n">
        <v>479</v>
      </c>
      <c r="B490" s="7" t="inlineStr">
        <is>
          <t>Warung "MANTAB" spesial Ayam Goreng Laos</t>
        </is>
      </c>
      <c r="C490" s="26" t="n">
        <v>-8.084361899999999</v>
      </c>
      <c r="D490" s="26" t="n">
        <v>112.6377535</v>
      </c>
      <c r="E490" s="21" t="n">
        <v>26750</v>
      </c>
      <c r="F490" s="27" t="n">
        <v>4.7</v>
      </c>
      <c r="G490" s="28" t="n">
        <v>21</v>
      </c>
      <c r="H490" s="14" t="inlineStr">
        <is>
          <t>Wisata Umum</t>
        </is>
      </c>
      <c r="I490" s="29">
        <f>6371 * 2 * ASIN(SQRT(SIN(RADIANS((C490) - INDEX('Dataset_Wisata'!$C$12:$C$622, MATCH('Dashboard'!$C$9, 'Dataset_Wisata'!$A$12:$A$622, 0)))/2)^2 + COS(RADIANS(INDEX('Dataset_Wisata'!$C$12:$C$622, MATCH('Dashboard'!$C$9, 'Dataset_Wisata'!$A$12:$A$622, 0)))) * COS(RADIANS(C490)) * SIN(RADIANS((D490) - INDEX('Dataset_Wisata'!$D$12:$D$622, MATCH('Dashboard'!$C$9, 'Dataset_Wisata'!$A$12:$A$622, 0)))/2)^2)) * 1.3</f>
        <v/>
      </c>
      <c r="J490" s="21">
        <f>ROUND(I490 * IF('Dashboard'!$C$6&lt;=1, 2250, IF('Dashboard'!$C$6&lt;=4, 5150, 6000)), 0)</f>
        <v/>
      </c>
      <c r="K490" s="30" t="n">
        <v>0.01035793221164886</v>
      </c>
      <c r="L490" s="30" t="n">
        <v>0.9858684589808394</v>
      </c>
      <c r="M490" s="30" t="n">
        <v>0.003773608807511747</v>
      </c>
      <c r="N490" s="31">
        <f>ABS(E490-$F$6)</f>
        <v/>
      </c>
      <c r="O490" s="31">
        <f>ABS(E490-$F$7)</f>
        <v/>
      </c>
      <c r="P490" s="31">
        <f>ABS(E490-$F$8)</f>
        <v/>
      </c>
      <c r="Q490" s="14">
        <f>IF(K490&gt;=MAX(L490,M490), "Hemat", IF(L490&gt;=M490, "Balanced", "Premium"))</f>
        <v/>
      </c>
      <c r="R490" s="30" t="n">
        <v>0.01035797074503736</v>
      </c>
      <c r="S490" s="30" t="n">
        <v>0.9858684045686856</v>
      </c>
      <c r="T490" s="30" t="n">
        <v>0.003773624686277033</v>
      </c>
      <c r="U490" s="31">
        <f>ABS(E490-$G$6)</f>
        <v/>
      </c>
      <c r="V490" s="31">
        <f>ABS(E490-$G$7)</f>
        <v/>
      </c>
      <c r="W490" s="31">
        <f>ABS(E490-$G$8)</f>
        <v/>
      </c>
      <c r="X490" s="14">
        <f>IF(R490&gt;=MAX(S490,T490), "Hemat", IF(S490&gt;=T490, "Balanced", "Premium"))</f>
        <v/>
      </c>
    </row>
    <row r="491">
      <c r="A491" s="14" t="n">
        <v>480</v>
      </c>
      <c r="B491" s="7" t="inlineStr">
        <is>
          <t>Warung Pedas</t>
        </is>
      </c>
      <c r="C491" s="26" t="n">
        <v>-8.091557</v>
      </c>
      <c r="D491" s="26" t="n">
        <v>112.638003</v>
      </c>
      <c r="E491" s="21" t="n">
        <v>24000</v>
      </c>
      <c r="F491" s="27" t="n">
        <v>4.6</v>
      </c>
      <c r="G491" s="28" t="n">
        <v>39</v>
      </c>
      <c r="H491" s="14" t="inlineStr">
        <is>
          <t>Warung Pedas</t>
        </is>
      </c>
      <c r="I491" s="29">
        <f>6371 * 2 * ASIN(SQRT(SIN(RADIANS((C491) - INDEX('Dataset_Wisata'!$C$12:$C$622, MATCH('Dashboard'!$C$9, 'Dataset_Wisata'!$A$12:$A$622, 0)))/2)^2 + COS(RADIANS(INDEX('Dataset_Wisata'!$C$12:$C$622, MATCH('Dashboard'!$C$9, 'Dataset_Wisata'!$A$12:$A$622, 0)))) * COS(RADIANS(C491)) * SIN(RADIANS((D491) - INDEX('Dataset_Wisata'!$D$12:$D$622, MATCH('Dashboard'!$C$9, 'Dataset_Wisata'!$A$12:$A$622, 0)))/2)^2)) * 1.3</f>
        <v/>
      </c>
      <c r="J491" s="21">
        <f>ROUND(I491 * IF('Dashboard'!$C$6&lt;=1, 2250, IF('Dashboard'!$C$6&lt;=4, 5150, 6000)), 0)</f>
        <v/>
      </c>
      <c r="K491" s="30" t="n">
        <v>0.01566919209799599</v>
      </c>
      <c r="L491" s="30" t="n">
        <v>0.9814549383152572</v>
      </c>
      <c r="M491" s="30" t="n">
        <v>0.002875869586746823</v>
      </c>
      <c r="N491" s="31">
        <f>ABS(E491-$F$6)</f>
        <v/>
      </c>
      <c r="O491" s="31">
        <f>ABS(E491-$F$7)</f>
        <v/>
      </c>
      <c r="P491" s="31">
        <f>ABS(E491-$F$8)</f>
        <v/>
      </c>
      <c r="Q491" s="14">
        <f>IF(K491&gt;=MAX(L491,M491), "Hemat", IF(L491&gt;=M491, "Balanced", "Premium"))</f>
        <v/>
      </c>
      <c r="R491" s="30" t="n">
        <v>0.01566912962873779</v>
      </c>
      <c r="S491" s="30" t="n">
        <v>0.9814550109006157</v>
      </c>
      <c r="T491" s="30" t="n">
        <v>0.002875859470646487</v>
      </c>
      <c r="U491" s="31">
        <f>ABS(E491-$G$6)</f>
        <v/>
      </c>
      <c r="V491" s="31">
        <f>ABS(E491-$G$7)</f>
        <v/>
      </c>
      <c r="W491" s="31">
        <f>ABS(E491-$G$8)</f>
        <v/>
      </c>
      <c r="X491" s="14">
        <f>IF(R491&gt;=MAX(S491,T491), "Hemat", IF(S491&gt;=T491, "Balanced", "Premium"))</f>
        <v/>
      </c>
    </row>
    <row r="492">
      <c r="A492" s="14" t="n">
        <v>481</v>
      </c>
      <c r="B492" s="7" t="inlineStr">
        <is>
          <t>Warung Krebet Timur</t>
        </is>
      </c>
      <c r="C492" s="26" t="n">
        <v>-8.0943918</v>
      </c>
      <c r="D492" s="26" t="n">
        <v>112.6443694</v>
      </c>
      <c r="E492" s="21" t="n">
        <v>19500</v>
      </c>
      <c r="F492" s="27" t="n">
        <v>4.1</v>
      </c>
      <c r="G492" s="28" t="n">
        <v>146</v>
      </c>
      <c r="H492" s="14" t="inlineStr">
        <is>
          <t>Warung Krebet Timur</t>
        </is>
      </c>
      <c r="I492" s="29">
        <f>6371 * 2 * ASIN(SQRT(SIN(RADIANS((C492) - INDEX('Dataset_Wisata'!$C$12:$C$622, MATCH('Dashboard'!$C$9, 'Dataset_Wisata'!$A$12:$A$622, 0)))/2)^2 + COS(RADIANS(INDEX('Dataset_Wisata'!$C$12:$C$622, MATCH('Dashboard'!$C$9, 'Dataset_Wisata'!$A$12:$A$622, 0)))) * COS(RADIANS(C492)) * SIN(RADIANS((D492) - INDEX('Dataset_Wisata'!$D$12:$D$622, MATCH('Dashboard'!$C$9, 'Dataset_Wisata'!$A$12:$A$622, 0)))/2)^2)) * 1.3</f>
        <v/>
      </c>
      <c r="J492" s="21">
        <f>ROUND(I492 * IF('Dashboard'!$C$6&lt;=1, 2250, IF('Dashboard'!$C$6&lt;=4, 5150, 6000)), 0)</f>
        <v/>
      </c>
      <c r="K492" s="30" t="n">
        <v>0.4557889535565174</v>
      </c>
      <c r="L492" s="30" t="n">
        <v>0.5237659720581146</v>
      </c>
      <c r="M492" s="30" t="n">
        <v>0.02044507438536788</v>
      </c>
      <c r="N492" s="31">
        <f>ABS(E492-$F$6)</f>
        <v/>
      </c>
      <c r="O492" s="31">
        <f>ABS(E492-$F$7)</f>
        <v/>
      </c>
      <c r="P492" s="31">
        <f>ABS(E492-$F$8)</f>
        <v/>
      </c>
      <c r="Q492" s="14">
        <f>IF(K492&gt;=MAX(L492,M492), "Hemat", IF(L492&gt;=M492, "Balanced", "Premium"))</f>
        <v/>
      </c>
      <c r="R492" s="30" t="n">
        <v>0.4557886811023241</v>
      </c>
      <c r="S492" s="30" t="n">
        <v>0.523766246469491</v>
      </c>
      <c r="T492" s="30" t="n">
        <v>0.02044507242818502</v>
      </c>
      <c r="U492" s="31">
        <f>ABS(E492-$G$6)</f>
        <v/>
      </c>
      <c r="V492" s="31">
        <f>ABS(E492-$G$7)</f>
        <v/>
      </c>
      <c r="W492" s="31">
        <f>ABS(E492-$G$8)</f>
        <v/>
      </c>
      <c r="X492" s="14">
        <f>IF(R492&gt;=MAX(S492,T492), "Hemat", IF(S492&gt;=T492, "Balanced", "Premium"))</f>
        <v/>
      </c>
    </row>
    <row r="493">
      <c r="A493" s="14" t="n">
        <v>482</v>
      </c>
      <c r="B493" s="7" t="inlineStr">
        <is>
          <t>Warung Arofah</t>
        </is>
      </c>
      <c r="C493" s="26" t="n">
        <v>-8.083485</v>
      </c>
      <c r="D493" s="26" t="n">
        <v>112.6376547</v>
      </c>
      <c r="E493" s="21" t="n">
        <v>15500</v>
      </c>
      <c r="F493" s="27" t="n">
        <v>4.3</v>
      </c>
      <c r="G493" s="28" t="n">
        <v>546</v>
      </c>
      <c r="H493" s="14" t="inlineStr">
        <is>
          <t>Warung Arofah</t>
        </is>
      </c>
      <c r="I493" s="29">
        <f>6371 * 2 * ASIN(SQRT(SIN(RADIANS((C493) - INDEX('Dataset_Wisata'!$C$12:$C$622, MATCH('Dashboard'!$C$9, 'Dataset_Wisata'!$A$12:$A$622, 0)))/2)^2 + COS(RADIANS(INDEX('Dataset_Wisata'!$C$12:$C$622, MATCH('Dashboard'!$C$9, 'Dataset_Wisata'!$A$12:$A$622, 0)))) * COS(RADIANS(C493)) * SIN(RADIANS((D493) - INDEX('Dataset_Wisata'!$D$12:$D$622, MATCH('Dashboard'!$C$9, 'Dataset_Wisata'!$A$12:$A$622, 0)))/2)^2)) * 1.3</f>
        <v/>
      </c>
      <c r="J493" s="21">
        <f>ROUND(I493 * IF('Dashboard'!$C$6&lt;=1, 2250, IF('Dashboard'!$C$6&lt;=4, 5150, 6000)), 0)</f>
        <v/>
      </c>
      <c r="K493" s="30" t="n">
        <v>0.9449432442408515</v>
      </c>
      <c r="L493" s="30" t="n">
        <v>0.05070687831140908</v>
      </c>
      <c r="M493" s="30" t="n">
        <v>0.004349877447739512</v>
      </c>
      <c r="N493" s="31">
        <f>ABS(E493-$F$6)</f>
        <v/>
      </c>
      <c r="O493" s="31">
        <f>ABS(E493-$F$7)</f>
        <v/>
      </c>
      <c r="P493" s="31">
        <f>ABS(E493-$F$8)</f>
        <v/>
      </c>
      <c r="Q493" s="14">
        <f>IF(K493&gt;=MAX(L493,M493), "Hemat", IF(L493&gt;=M493, "Balanced", "Premium"))</f>
        <v/>
      </c>
      <c r="R493" s="30" t="n">
        <v>0.944943187640449</v>
      </c>
      <c r="S493" s="30" t="n">
        <v>0.05070693157515045</v>
      </c>
      <c r="T493" s="30" t="n">
        <v>0.004349880784400502</v>
      </c>
      <c r="U493" s="31">
        <f>ABS(E493-$G$6)</f>
        <v/>
      </c>
      <c r="V493" s="31">
        <f>ABS(E493-$G$7)</f>
        <v/>
      </c>
      <c r="W493" s="31">
        <f>ABS(E493-$G$8)</f>
        <v/>
      </c>
      <c r="X493" s="14">
        <f>IF(R493&gt;=MAX(S493,T493), "Hemat", IF(S493&gt;=T493, "Balanced", "Premium"))</f>
        <v/>
      </c>
    </row>
    <row r="494">
      <c r="A494" s="14" t="n">
        <v>483</v>
      </c>
      <c r="B494" s="7" t="inlineStr">
        <is>
          <t>Tlogo Ndalem</t>
        </is>
      </c>
      <c r="C494" s="26" t="n">
        <v>-8.035611899999999</v>
      </c>
      <c r="D494" s="26" t="n">
        <v>112.651562</v>
      </c>
      <c r="E494" s="21" t="n">
        <v>24500</v>
      </c>
      <c r="F494" s="27" t="n">
        <v>4.6</v>
      </c>
      <c r="G494" s="28" t="n">
        <v>157</v>
      </c>
      <c r="H494" s="14" t="inlineStr">
        <is>
          <t>Wisata Umum</t>
        </is>
      </c>
      <c r="I494" s="29">
        <f>6371 * 2 * ASIN(SQRT(SIN(RADIANS((C494) - INDEX('Dataset_Wisata'!$C$12:$C$622, MATCH('Dashboard'!$C$9, 'Dataset_Wisata'!$A$12:$A$622, 0)))/2)^2 + COS(RADIANS(INDEX('Dataset_Wisata'!$C$12:$C$622, MATCH('Dashboard'!$C$9, 'Dataset_Wisata'!$A$12:$A$622, 0)))) * COS(RADIANS(C494)) * SIN(RADIANS((D494) - INDEX('Dataset_Wisata'!$D$12:$D$622, MATCH('Dashboard'!$C$9, 'Dataset_Wisata'!$A$12:$A$622, 0)))/2)^2)) * 1.3</f>
        <v/>
      </c>
      <c r="J494" s="21">
        <f>ROUND(I494 * IF('Dashboard'!$C$6&lt;=1, 2250, IF('Dashboard'!$C$6&lt;=4, 5150, 6000)), 0)</f>
        <v/>
      </c>
      <c r="K494" s="30" t="n">
        <v>0.005803200479562099</v>
      </c>
      <c r="L494" s="30" t="n">
        <v>0.9929829084802436</v>
      </c>
      <c r="M494" s="30" t="n">
        <v>0.0012138910401943</v>
      </c>
      <c r="N494" s="31">
        <f>ABS(E494-$F$6)</f>
        <v/>
      </c>
      <c r="O494" s="31">
        <f>ABS(E494-$F$7)</f>
        <v/>
      </c>
      <c r="P494" s="31">
        <f>ABS(E494-$F$8)</f>
        <v/>
      </c>
      <c r="Q494" s="14">
        <f>IF(K494&gt;=MAX(L494,M494), "Hemat", IF(L494&gt;=M494, "Balanced", "Premium"))</f>
        <v/>
      </c>
      <c r="R494" s="30" t="n">
        <v>0.005803163945257891</v>
      </c>
      <c r="S494" s="30" t="n">
        <v>0.9929829520849782</v>
      </c>
      <c r="T494" s="30" t="n">
        <v>0.001213883969763945</v>
      </c>
      <c r="U494" s="31">
        <f>ABS(E494-$G$6)</f>
        <v/>
      </c>
      <c r="V494" s="31">
        <f>ABS(E494-$G$7)</f>
        <v/>
      </c>
      <c r="W494" s="31">
        <f>ABS(E494-$G$8)</f>
        <v/>
      </c>
      <c r="X494" s="14">
        <f>IF(R494&gt;=MAX(S494,T494), "Hemat", IF(S494&gt;=T494, "Balanced", "Premium"))</f>
        <v/>
      </c>
    </row>
    <row r="495">
      <c r="A495" s="14" t="n">
        <v>484</v>
      </c>
      <c r="B495" s="7" t="inlineStr">
        <is>
          <t>Rm Padang Selera Bersama 1</t>
        </is>
      </c>
      <c r="C495" s="26" t="n">
        <v>-8.0312298</v>
      </c>
      <c r="D495" s="26" t="n">
        <v>112.6429641</v>
      </c>
      <c r="E495" s="21" t="n">
        <v>16500</v>
      </c>
      <c r="F495" s="27" t="n">
        <v>4.7</v>
      </c>
      <c r="G495" s="28" t="n">
        <v>187</v>
      </c>
      <c r="H495" s="14" t="inlineStr">
        <is>
          <t>Wisata Umum</t>
        </is>
      </c>
      <c r="I495" s="29">
        <f>6371 * 2 * ASIN(SQRT(SIN(RADIANS((C495) - INDEX('Dataset_Wisata'!$C$12:$C$622, MATCH('Dashboard'!$C$9, 'Dataset_Wisata'!$A$12:$A$622, 0)))/2)^2 + COS(RADIANS(INDEX('Dataset_Wisata'!$C$12:$C$622, MATCH('Dashboard'!$C$9, 'Dataset_Wisata'!$A$12:$A$622, 0)))) * COS(RADIANS(C495)) * SIN(RADIANS((D495) - INDEX('Dataset_Wisata'!$D$12:$D$622, MATCH('Dashboard'!$C$9, 'Dataset_Wisata'!$A$12:$A$622, 0)))/2)^2)) * 1.3</f>
        <v/>
      </c>
      <c r="J495" s="21">
        <f>ROUND(I495 * IF('Dashboard'!$C$6&lt;=1, 2250, IF('Dashboard'!$C$6&lt;=4, 5150, 6000)), 0)</f>
        <v/>
      </c>
      <c r="K495" s="30" t="n">
        <v>0.8714863278851296</v>
      </c>
      <c r="L495" s="30" t="n">
        <v>0.1197061829079762</v>
      </c>
      <c r="M495" s="30" t="n">
        <v>0.008807489206894295</v>
      </c>
      <c r="N495" s="31">
        <f>ABS(E495-$F$6)</f>
        <v/>
      </c>
      <c r="O495" s="31">
        <f>ABS(E495-$F$7)</f>
        <v/>
      </c>
      <c r="P495" s="31">
        <f>ABS(E495-$F$8)</f>
        <v/>
      </c>
      <c r="Q495" s="14">
        <f>IF(K495&gt;=MAX(L495,M495), "Hemat", IF(L495&gt;=M495, "Balanced", "Premium"))</f>
        <v/>
      </c>
      <c r="R495" s="30" t="n">
        <v>0.8714862185289194</v>
      </c>
      <c r="S495" s="30" t="n">
        <v>0.1197062875326776</v>
      </c>
      <c r="T495" s="30" t="n">
        <v>0.008807493938402942</v>
      </c>
      <c r="U495" s="31">
        <f>ABS(E495-$G$6)</f>
        <v/>
      </c>
      <c r="V495" s="31">
        <f>ABS(E495-$G$7)</f>
        <v/>
      </c>
      <c r="W495" s="31">
        <f>ABS(E495-$G$8)</f>
        <v/>
      </c>
      <c r="X495" s="14">
        <f>IF(R495&gt;=MAX(S495,T495), "Hemat", IF(S495&gt;=T495, "Balanced", "Premium"))</f>
        <v/>
      </c>
    </row>
    <row r="496">
      <c r="A496" s="14" t="n">
        <v>485</v>
      </c>
      <c r="B496" s="7" t="inlineStr">
        <is>
          <t>Depot 77 Sawojajar Halalan Toyiban</t>
        </is>
      </c>
      <c r="C496" s="26" t="n">
        <v>-7.9783098</v>
      </c>
      <c r="D496" s="26" t="n">
        <v>112.6670743</v>
      </c>
      <c r="E496" s="21" t="n">
        <v>38000</v>
      </c>
      <c r="F496" s="27" t="n">
        <v>4.2</v>
      </c>
      <c r="G496" s="28" t="n">
        <v>1828</v>
      </c>
      <c r="H496" s="14" t="inlineStr">
        <is>
          <t>Wisata Umum</t>
        </is>
      </c>
      <c r="I496" s="29">
        <f>6371 * 2 * ASIN(SQRT(SIN(RADIANS((C496) - INDEX('Dataset_Wisata'!$C$12:$C$622, MATCH('Dashboard'!$C$9, 'Dataset_Wisata'!$A$12:$A$622, 0)))/2)^2 + COS(RADIANS(INDEX('Dataset_Wisata'!$C$12:$C$622, MATCH('Dashboard'!$C$9, 'Dataset_Wisata'!$A$12:$A$622, 0)))) * COS(RADIANS(C496)) * SIN(RADIANS((D496) - INDEX('Dataset_Wisata'!$D$12:$D$622, MATCH('Dashboard'!$C$9, 'Dataset_Wisata'!$A$12:$A$622, 0)))/2)^2)) * 1.3</f>
        <v/>
      </c>
      <c r="J496" s="21">
        <f>ROUND(I496 * IF('Dashboard'!$C$6&lt;=1, 2250, IF('Dashboard'!$C$6&lt;=4, 5150, 6000)), 0)</f>
        <v/>
      </c>
      <c r="K496" s="30" t="n">
        <v>0.1023901919734979</v>
      </c>
      <c r="L496" s="30" t="n">
        <v>0.3938360159169722</v>
      </c>
      <c r="M496" s="30" t="n">
        <v>0.50377379210953</v>
      </c>
      <c r="N496" s="31">
        <f>ABS(E496-$F$6)</f>
        <v/>
      </c>
      <c r="O496" s="31">
        <f>ABS(E496-$F$7)</f>
        <v/>
      </c>
      <c r="P496" s="31">
        <f>ABS(E496-$F$8)</f>
        <v/>
      </c>
      <c r="Q496" s="14">
        <f>IF(K496&gt;=MAX(L496,M496), "Hemat", IF(L496&gt;=M496, "Balanced", "Premium"))</f>
        <v/>
      </c>
      <c r="R496" s="30" t="n">
        <v>0.1023901637220157</v>
      </c>
      <c r="S496" s="30" t="n">
        <v>0.3938357604342458</v>
      </c>
      <c r="T496" s="30" t="n">
        <v>0.5037740758437386</v>
      </c>
      <c r="U496" s="31">
        <f>ABS(E496-$G$6)</f>
        <v/>
      </c>
      <c r="V496" s="31">
        <f>ABS(E496-$G$7)</f>
        <v/>
      </c>
      <c r="W496" s="31">
        <f>ABS(E496-$G$8)</f>
        <v/>
      </c>
      <c r="X496" s="14">
        <f>IF(R496&gt;=MAX(S496,T496), "Hemat", IF(S496&gt;=T496, "Balanced", "Premium"))</f>
        <v/>
      </c>
    </row>
    <row r="497">
      <c r="A497" s="14" t="n">
        <v>486</v>
      </c>
      <c r="B497" s="7" t="inlineStr">
        <is>
          <t>Depot Sari Rasa</t>
        </is>
      </c>
      <c r="C497" s="26" t="n">
        <v>-7.965469</v>
      </c>
      <c r="D497" s="26" t="n">
        <v>112.6342434</v>
      </c>
      <c r="E497" s="21" t="n">
        <v>31200</v>
      </c>
      <c r="F497" s="27" t="n">
        <v>4.5</v>
      </c>
      <c r="G497" s="28" t="n">
        <v>781</v>
      </c>
      <c r="H497" s="14" t="inlineStr">
        <is>
          <t>Wisata Umum</t>
        </is>
      </c>
      <c r="I497" s="29">
        <f>6371 * 2 * ASIN(SQRT(SIN(RADIANS((C497) - INDEX('Dataset_Wisata'!$C$12:$C$622, MATCH('Dashboard'!$C$9, 'Dataset_Wisata'!$A$12:$A$622, 0)))/2)^2 + COS(RADIANS(INDEX('Dataset_Wisata'!$C$12:$C$622, MATCH('Dashboard'!$C$9, 'Dataset_Wisata'!$A$12:$A$622, 0)))) * COS(RADIANS(C497)) * SIN(RADIANS((D497) - INDEX('Dataset_Wisata'!$D$12:$D$622, MATCH('Dashboard'!$C$9, 'Dataset_Wisata'!$A$12:$A$622, 0)))/2)^2)) * 1.3</f>
        <v/>
      </c>
      <c r="J497" s="21">
        <f>ROUND(I497 * IF('Dashboard'!$C$6&lt;=1, 2250, IF('Dashboard'!$C$6&lt;=4, 5150, 6000)), 0)</f>
        <v/>
      </c>
      <c r="K497" s="30" t="n">
        <v>0.08700419034196676</v>
      </c>
      <c r="L497" s="30" t="n">
        <v>0.8258847035117979</v>
      </c>
      <c r="M497" s="30" t="n">
        <v>0.08711110614623536</v>
      </c>
      <c r="N497" s="31">
        <f>ABS(E497-$F$6)</f>
        <v/>
      </c>
      <c r="O497" s="31">
        <f>ABS(E497-$F$7)</f>
        <v/>
      </c>
      <c r="P497" s="31">
        <f>ABS(E497-$F$8)</f>
        <v/>
      </c>
      <c r="Q497" s="14">
        <f>IF(K497&gt;=MAX(L497,M497), "Hemat", IF(L497&gt;=M497, "Balanced", "Premium"))</f>
        <v/>
      </c>
      <c r="R497" s="30" t="n">
        <v>0.08700424702882918</v>
      </c>
      <c r="S497" s="30" t="n">
        <v>0.8258845411886171</v>
      </c>
      <c r="T497" s="30" t="n">
        <v>0.08711121178255381</v>
      </c>
      <c r="U497" s="31">
        <f>ABS(E497-$G$6)</f>
        <v/>
      </c>
      <c r="V497" s="31">
        <f>ABS(E497-$G$7)</f>
        <v/>
      </c>
      <c r="W497" s="31">
        <f>ABS(E497-$G$8)</f>
        <v/>
      </c>
      <c r="X497" s="14">
        <f>IF(R497&gt;=MAX(S497,T497), "Hemat", IF(S497&gt;=T497, "Balanced", "Premium"))</f>
        <v/>
      </c>
    </row>
    <row r="498">
      <c r="A498" s="14" t="n">
        <v>487</v>
      </c>
      <c r="B498" s="7" t="inlineStr">
        <is>
          <t>Warung anggita</t>
        </is>
      </c>
      <c r="C498" s="26" t="n">
        <v>-8.02694</v>
      </c>
      <c r="D498" s="26" t="n">
        <v>112.6328741</v>
      </c>
      <c r="E498" s="21" t="n">
        <v>12000</v>
      </c>
      <c r="F498" s="27" t="n">
        <v>4.3</v>
      </c>
      <c r="G498" s="28" t="n">
        <v>66</v>
      </c>
      <c r="H498" s="14" t="inlineStr">
        <is>
          <t>Warung anggita</t>
        </is>
      </c>
      <c r="I498" s="29">
        <f>6371 * 2 * ASIN(SQRT(SIN(RADIANS((C498) - INDEX('Dataset_Wisata'!$C$12:$C$622, MATCH('Dashboard'!$C$9, 'Dataset_Wisata'!$A$12:$A$622, 0)))/2)^2 + COS(RADIANS(INDEX('Dataset_Wisata'!$C$12:$C$622, MATCH('Dashboard'!$C$9, 'Dataset_Wisata'!$A$12:$A$622, 0)))) * COS(RADIANS(C498)) * SIN(RADIANS((D498) - INDEX('Dataset_Wisata'!$D$12:$D$622, MATCH('Dashboard'!$C$9, 'Dataset_Wisata'!$A$12:$A$622, 0)))/2)^2)) * 1.3</f>
        <v/>
      </c>
      <c r="J498" s="21">
        <f>ROUND(I498 * IF('Dashboard'!$C$6&lt;=1, 2250, IF('Dashboard'!$C$6&lt;=4, 5150, 6000)), 0)</f>
        <v/>
      </c>
      <c r="K498" s="30" t="n">
        <v>0.9907459480940729</v>
      </c>
      <c r="L498" s="30" t="n">
        <v>0.008195110232283047</v>
      </c>
      <c r="M498" s="30" t="n">
        <v>0.001058941673643979</v>
      </c>
      <c r="N498" s="31">
        <f>ABS(E498-$F$6)</f>
        <v/>
      </c>
      <c r="O498" s="31">
        <f>ABS(E498-$F$7)</f>
        <v/>
      </c>
      <c r="P498" s="31">
        <f>ABS(E498-$F$8)</f>
        <v/>
      </c>
      <c r="Q498" s="14">
        <f>IF(K498&gt;=MAX(L498,M498), "Hemat", IF(L498&gt;=M498, "Balanced", "Premium"))</f>
        <v/>
      </c>
      <c r="R498" s="30" t="n">
        <v>0.9907459543354936</v>
      </c>
      <c r="S498" s="30" t="n">
        <v>0.008195104860105683</v>
      </c>
      <c r="T498" s="30" t="n">
        <v>0.0010589408044008</v>
      </c>
      <c r="U498" s="31">
        <f>ABS(E498-$G$6)</f>
        <v/>
      </c>
      <c r="V498" s="31">
        <f>ABS(E498-$G$7)</f>
        <v/>
      </c>
      <c r="W498" s="31">
        <f>ABS(E498-$G$8)</f>
        <v/>
      </c>
      <c r="X498" s="14">
        <f>IF(R498&gt;=MAX(S498,T498), "Hemat", IF(S498&gt;=T498, "Balanced", "Premium"))</f>
        <v/>
      </c>
    </row>
    <row r="499">
      <c r="A499" s="14" t="n">
        <v>488</v>
      </c>
      <c r="B499" s="7" t="inlineStr">
        <is>
          <t>Depot Samsin</t>
        </is>
      </c>
      <c r="C499" s="26" t="n">
        <v>-7.9712318</v>
      </c>
      <c r="D499" s="26" t="n">
        <v>112.6284996</v>
      </c>
      <c r="E499" s="21" t="n">
        <v>24000</v>
      </c>
      <c r="F499" s="27" t="n">
        <v>4.5</v>
      </c>
      <c r="G499" s="28" t="n">
        <v>368</v>
      </c>
      <c r="H499" s="14" t="inlineStr">
        <is>
          <t>Wisata Umum</t>
        </is>
      </c>
      <c r="I499" s="29">
        <f>6371 * 2 * ASIN(SQRT(SIN(RADIANS((C499) - INDEX('Dataset_Wisata'!$C$12:$C$622, MATCH('Dashboard'!$C$9, 'Dataset_Wisata'!$A$12:$A$622, 0)))/2)^2 + COS(RADIANS(INDEX('Dataset_Wisata'!$C$12:$C$622, MATCH('Dashboard'!$C$9, 'Dataset_Wisata'!$A$12:$A$622, 0)))) * COS(RADIANS(C499)) * SIN(RADIANS((D499) - INDEX('Dataset_Wisata'!$D$12:$D$622, MATCH('Dashboard'!$C$9, 'Dataset_Wisata'!$A$12:$A$622, 0)))/2)^2)) * 1.3</f>
        <v/>
      </c>
      <c r="J499" s="21">
        <f>ROUND(I499 * IF('Dashboard'!$C$6&lt;=1, 2250, IF('Dashboard'!$C$6&lt;=4, 5150, 6000)), 0)</f>
        <v/>
      </c>
      <c r="K499" s="30" t="n">
        <v>0.01566919209799599</v>
      </c>
      <c r="L499" s="30" t="n">
        <v>0.9814549383152572</v>
      </c>
      <c r="M499" s="30" t="n">
        <v>0.002875869586746823</v>
      </c>
      <c r="N499" s="31">
        <f>ABS(E499-$F$6)</f>
        <v/>
      </c>
      <c r="O499" s="31">
        <f>ABS(E499-$F$7)</f>
        <v/>
      </c>
      <c r="P499" s="31">
        <f>ABS(E499-$F$8)</f>
        <v/>
      </c>
      <c r="Q499" s="14">
        <f>IF(K499&gt;=MAX(L499,M499), "Hemat", IF(L499&gt;=M499, "Balanced", "Premium"))</f>
        <v/>
      </c>
      <c r="R499" s="30" t="n">
        <v>0.01566912962873779</v>
      </c>
      <c r="S499" s="30" t="n">
        <v>0.9814550109006157</v>
      </c>
      <c r="T499" s="30" t="n">
        <v>0.002875859470646487</v>
      </c>
      <c r="U499" s="31">
        <f>ABS(E499-$G$6)</f>
        <v/>
      </c>
      <c r="V499" s="31">
        <f>ABS(E499-$G$7)</f>
        <v/>
      </c>
      <c r="W499" s="31">
        <f>ABS(E499-$G$8)</f>
        <v/>
      </c>
      <c r="X499" s="14">
        <f>IF(R499&gt;=MAX(S499,T499), "Hemat", IF(S499&gt;=T499, "Balanced", "Premium"))</f>
        <v/>
      </c>
    </row>
    <row r="500">
      <c r="A500" s="14" t="n">
        <v>489</v>
      </c>
      <c r="B500" s="7" t="inlineStr">
        <is>
          <t>Depot Kanton</t>
        </is>
      </c>
      <c r="C500" s="26" t="n">
        <v>-7.9679762</v>
      </c>
      <c r="D500" s="26" t="n">
        <v>112.626693</v>
      </c>
      <c r="E500" s="21" t="n">
        <v>65000</v>
      </c>
      <c r="F500" s="27" t="n">
        <v>4.3</v>
      </c>
      <c r="G500" s="28" t="n">
        <v>874</v>
      </c>
      <c r="H500" s="14" t="inlineStr">
        <is>
          <t>Wisata Umum</t>
        </is>
      </c>
      <c r="I500" s="29">
        <f>6371 * 2 * ASIN(SQRT(SIN(RADIANS((C500) - INDEX('Dataset_Wisata'!$C$12:$C$622, MATCH('Dashboard'!$C$9, 'Dataset_Wisata'!$A$12:$A$622, 0)))/2)^2 + COS(RADIANS(INDEX('Dataset_Wisata'!$C$12:$C$622, MATCH('Dashboard'!$C$9, 'Dataset_Wisata'!$A$12:$A$622, 0)))) * COS(RADIANS(C500)) * SIN(RADIANS((D500) - INDEX('Dataset_Wisata'!$D$12:$D$622, MATCH('Dashboard'!$C$9, 'Dataset_Wisata'!$A$12:$A$622, 0)))/2)^2)) * 1.3</f>
        <v/>
      </c>
      <c r="J500" s="21">
        <f>ROUND(I500 * IF('Dashboard'!$C$6&lt;=1, 2250, IF('Dashboard'!$C$6&lt;=4, 5150, 6000)), 0)</f>
        <v/>
      </c>
      <c r="K500" s="30" t="n">
        <v>0.07455356017213159</v>
      </c>
      <c r="L500" s="30" t="n">
        <v>0.1272513959268429</v>
      </c>
      <c r="M500" s="30" t="n">
        <v>0.7981950439010255</v>
      </c>
      <c r="N500" s="31">
        <f>ABS(E500-$F$6)</f>
        <v/>
      </c>
      <c r="O500" s="31">
        <f>ABS(E500-$F$7)</f>
        <v/>
      </c>
      <c r="P500" s="31">
        <f>ABS(E500-$F$8)</f>
        <v/>
      </c>
      <c r="Q500" s="14">
        <f>IF(K500&gt;=MAX(L500,M500), "Hemat", IF(L500&gt;=M500, "Balanced", "Premium"))</f>
        <v/>
      </c>
      <c r="R500" s="30" t="n">
        <v>0.07455359279893885</v>
      </c>
      <c r="S500" s="30" t="n">
        <v>0.1272514375521868</v>
      </c>
      <c r="T500" s="30" t="n">
        <v>0.7981949696488744</v>
      </c>
      <c r="U500" s="31">
        <f>ABS(E500-$G$6)</f>
        <v/>
      </c>
      <c r="V500" s="31">
        <f>ABS(E500-$G$7)</f>
        <v/>
      </c>
      <c r="W500" s="31">
        <f>ABS(E500-$G$8)</f>
        <v/>
      </c>
      <c r="X500" s="14">
        <f>IF(R500&gt;=MAX(S500,T500), "Hemat", IF(S500&gt;=T500, "Balanced", "Premium"))</f>
        <v/>
      </c>
    </row>
    <row r="501">
      <c r="A501" s="14" t="n">
        <v>490</v>
      </c>
      <c r="B501" s="7" t="inlineStr">
        <is>
          <t>Depot Maninjau</t>
        </is>
      </c>
      <c r="C501" s="26" t="n">
        <v>-7.974303</v>
      </c>
      <c r="D501" s="26" t="n">
        <v>112.657869</v>
      </c>
      <c r="E501" s="21" t="n">
        <v>13500</v>
      </c>
      <c r="F501" s="27" t="n">
        <v>3.9</v>
      </c>
      <c r="G501" s="28" t="n">
        <v>221</v>
      </c>
      <c r="H501" s="14" t="inlineStr">
        <is>
          <t>Wisata Umum</t>
        </is>
      </c>
      <c r="I501" s="29">
        <f>6371 * 2 * ASIN(SQRT(SIN(RADIANS((C501) - INDEX('Dataset_Wisata'!$C$12:$C$622, MATCH('Dashboard'!$C$9, 'Dataset_Wisata'!$A$12:$A$622, 0)))/2)^2 + COS(RADIANS(INDEX('Dataset_Wisata'!$C$12:$C$622, MATCH('Dashboard'!$C$9, 'Dataset_Wisata'!$A$12:$A$622, 0)))) * COS(RADIANS(C501)) * SIN(RADIANS((D501) - INDEX('Dataset_Wisata'!$D$12:$D$622, MATCH('Dashboard'!$C$9, 'Dataset_Wisata'!$A$12:$A$622, 0)))/2)^2)) * 1.3</f>
        <v/>
      </c>
      <c r="J501" s="21">
        <f>ROUND(I501 * IF('Dashboard'!$C$6&lt;=1, 2250, IF('Dashboard'!$C$6&lt;=4, 5150, 6000)), 0)</f>
        <v/>
      </c>
      <c r="K501" s="30" t="n">
        <v>0.9993608169528668</v>
      </c>
      <c r="L501" s="30" t="n">
        <v>0.0005755405742947694</v>
      </c>
      <c r="M501" s="30" t="n">
        <v>6.36424728383445e-05</v>
      </c>
      <c r="N501" s="31">
        <f>ABS(E501-$F$6)</f>
        <v/>
      </c>
      <c r="O501" s="31">
        <f>ABS(E501-$F$7)</f>
        <v/>
      </c>
      <c r="P501" s="31">
        <f>ABS(E501-$F$8)</f>
        <v/>
      </c>
      <c r="Q501" s="14">
        <f>IF(K501&gt;=MAX(L501,M501), "Hemat", IF(L501&gt;=M501, "Balanced", "Premium"))</f>
        <v/>
      </c>
      <c r="R501" s="30" t="n">
        <v>0.9993608137761221</v>
      </c>
      <c r="S501" s="30" t="n">
        <v>0.0005755434465521912</v>
      </c>
      <c r="T501" s="30" t="n">
        <v>6.364277732570516e-05</v>
      </c>
      <c r="U501" s="31">
        <f>ABS(E501-$G$6)</f>
        <v/>
      </c>
      <c r="V501" s="31">
        <f>ABS(E501-$G$7)</f>
        <v/>
      </c>
      <c r="W501" s="31">
        <f>ABS(E501-$G$8)</f>
        <v/>
      </c>
      <c r="X501" s="14">
        <f>IF(R501&gt;=MAX(S501,T501), "Hemat", IF(S501&gt;=T501, "Balanced", "Premium"))</f>
        <v/>
      </c>
    </row>
    <row r="502">
      <c r="A502" s="14" t="n">
        <v>491</v>
      </c>
      <c r="B502" s="7" t="inlineStr">
        <is>
          <t>Depot 59</t>
        </is>
      </c>
      <c r="C502" s="26" t="n">
        <v>-7.9840455</v>
      </c>
      <c r="D502" s="26" t="n">
        <v>112.6369202</v>
      </c>
      <c r="E502" s="21" t="n">
        <v>95000</v>
      </c>
      <c r="F502" s="27" t="n">
        <v>4.7</v>
      </c>
      <c r="G502" s="28" t="n">
        <v>244</v>
      </c>
      <c r="H502" s="14" t="inlineStr">
        <is>
          <t>Wisata Umum</t>
        </is>
      </c>
      <c r="I502" s="29">
        <f>6371 * 2 * ASIN(SQRT(SIN(RADIANS((C502) - INDEX('Dataset_Wisata'!$C$12:$C$622, MATCH('Dashboard'!$C$9, 'Dataset_Wisata'!$A$12:$A$622, 0)))/2)^2 + COS(RADIANS(INDEX('Dataset_Wisata'!$C$12:$C$622, MATCH('Dashboard'!$C$9, 'Dataset_Wisata'!$A$12:$A$622, 0)))) * COS(RADIANS(C502)) * SIN(RADIANS((D502) - INDEX('Dataset_Wisata'!$D$12:$D$622, MATCH('Dashboard'!$C$9, 'Dataset_Wisata'!$A$12:$A$622, 0)))/2)^2)) * 1.3</f>
        <v/>
      </c>
      <c r="J502" s="21">
        <f>ROUND(I502 * IF('Dashboard'!$C$6&lt;=1, 2250, IF('Dashboard'!$C$6&lt;=4, 5150, 6000)), 0)</f>
        <v/>
      </c>
      <c r="K502" s="30" t="n">
        <v>0.1797161036109352</v>
      </c>
      <c r="L502" s="30" t="n">
        <v>0.247883086706404</v>
      </c>
      <c r="M502" s="30" t="n">
        <v>0.5724008096826608</v>
      </c>
      <c r="N502" s="31">
        <f>ABS(E502-$F$6)</f>
        <v/>
      </c>
      <c r="O502" s="31">
        <f>ABS(E502-$F$7)</f>
        <v/>
      </c>
      <c r="P502" s="31">
        <f>ABS(E502-$F$8)</f>
        <v/>
      </c>
      <c r="Q502" s="14">
        <f>IF(K502&gt;=MAX(L502,M502), "Hemat", IF(L502&gt;=M502, "Balanced", "Premium"))</f>
        <v/>
      </c>
      <c r="R502" s="30" t="n">
        <v>0.1797161244553226</v>
      </c>
      <c r="S502" s="30" t="n">
        <v>0.2478831002596593</v>
      </c>
      <c r="T502" s="30" t="n">
        <v>0.572400775285018</v>
      </c>
      <c r="U502" s="31">
        <f>ABS(E502-$G$6)</f>
        <v/>
      </c>
      <c r="V502" s="31">
        <f>ABS(E502-$G$7)</f>
        <v/>
      </c>
      <c r="W502" s="31">
        <f>ABS(E502-$G$8)</f>
        <v/>
      </c>
      <c r="X502" s="14">
        <f>IF(R502&gt;=MAX(S502,T502), "Hemat", IF(S502&gt;=T502, "Balanced", "Premium"))</f>
        <v/>
      </c>
    </row>
    <row r="503">
      <c r="A503" s="14" t="n">
        <v>492</v>
      </c>
      <c r="B503" s="7" t="inlineStr">
        <is>
          <t>Depot RAWON KOE</t>
        </is>
      </c>
      <c r="C503" s="26" t="n">
        <v>-8.007576500000001</v>
      </c>
      <c r="D503" s="26" t="n">
        <v>112.6379399</v>
      </c>
      <c r="E503" s="21" t="n">
        <v>44500</v>
      </c>
      <c r="F503" s="27" t="n">
        <v>4.8</v>
      </c>
      <c r="G503" s="28" t="n">
        <v>52</v>
      </c>
      <c r="H503" s="14" t="inlineStr">
        <is>
          <t>Wisata Umum</t>
        </is>
      </c>
      <c r="I503" s="29">
        <f>6371 * 2 * ASIN(SQRT(SIN(RADIANS((C503) - INDEX('Dataset_Wisata'!$C$12:$C$622, MATCH('Dashboard'!$C$9, 'Dataset_Wisata'!$A$12:$A$622, 0)))/2)^2 + COS(RADIANS(INDEX('Dataset_Wisata'!$C$12:$C$622, MATCH('Dashboard'!$C$9, 'Dataset_Wisata'!$A$12:$A$622, 0)))) * COS(RADIANS(C503)) * SIN(RADIANS((D503) - INDEX('Dataset_Wisata'!$D$12:$D$622, MATCH('Dashboard'!$C$9, 'Dataset_Wisata'!$A$12:$A$622, 0)))/2)^2)) * 1.3</f>
        <v/>
      </c>
      <c r="J503" s="21">
        <f>ROUND(I503 * IF('Dashboard'!$C$6&lt;=1, 2250, IF('Dashboard'!$C$6&lt;=4, 5150, 6000)), 0)</f>
        <v/>
      </c>
      <c r="K503" s="30" t="n">
        <v>0.02062702018670841</v>
      </c>
      <c r="L503" s="30" t="n">
        <v>0.05512364999749688</v>
      </c>
      <c r="M503" s="30" t="n">
        <v>0.9242493298157947</v>
      </c>
      <c r="N503" s="31">
        <f>ABS(E503-$F$6)</f>
        <v/>
      </c>
      <c r="O503" s="31">
        <f>ABS(E503-$F$7)</f>
        <v/>
      </c>
      <c r="P503" s="31">
        <f>ABS(E503-$F$8)</f>
        <v/>
      </c>
      <c r="Q503" s="14">
        <f>IF(K503&gt;=MAX(L503,M503), "Hemat", IF(L503&gt;=M503, "Balanced", "Premium"))</f>
        <v/>
      </c>
      <c r="R503" s="30" t="n">
        <v>0.02062698380133424</v>
      </c>
      <c r="S503" s="30" t="n">
        <v>0.05512353957077914</v>
      </c>
      <c r="T503" s="30" t="n">
        <v>0.9242494766278866</v>
      </c>
      <c r="U503" s="31">
        <f>ABS(E503-$G$6)</f>
        <v/>
      </c>
      <c r="V503" s="31">
        <f>ABS(E503-$G$7)</f>
        <v/>
      </c>
      <c r="W503" s="31">
        <f>ABS(E503-$G$8)</f>
        <v/>
      </c>
      <c r="X503" s="14">
        <f>IF(R503&gt;=MAX(S503,T503), "Hemat", IF(S503&gt;=T503, "Balanced", "Premium"))</f>
        <v/>
      </c>
    </row>
    <row r="504">
      <c r="A504" s="14" t="n">
        <v>493</v>
      </c>
      <c r="B504" s="7" t="inlineStr">
        <is>
          <t>Pecel Dan Rawon Glintung Bu Yatirah</t>
        </is>
      </c>
      <c r="C504" s="26" t="n">
        <v>-7.9467091</v>
      </c>
      <c r="D504" s="26" t="n">
        <v>112.640163</v>
      </c>
      <c r="E504" s="21" t="n">
        <v>14000</v>
      </c>
      <c r="F504" s="27" t="n">
        <v>4.4</v>
      </c>
      <c r="G504" s="28" t="n">
        <v>2051</v>
      </c>
      <c r="H504" s="14" t="inlineStr">
        <is>
          <t>Wisata Umum</t>
        </is>
      </c>
      <c r="I504" s="29">
        <f>6371 * 2 * ASIN(SQRT(SIN(RADIANS((C504) - INDEX('Dataset_Wisata'!$C$12:$C$622, MATCH('Dashboard'!$C$9, 'Dataset_Wisata'!$A$12:$A$622, 0)))/2)^2 + COS(RADIANS(INDEX('Dataset_Wisata'!$C$12:$C$622, MATCH('Dashboard'!$C$9, 'Dataset_Wisata'!$A$12:$A$622, 0)))) * COS(RADIANS(C504)) * SIN(RADIANS((D504) - INDEX('Dataset_Wisata'!$D$12:$D$622, MATCH('Dashboard'!$C$9, 'Dataset_Wisata'!$A$12:$A$622, 0)))/2)^2)) * 1.3</f>
        <v/>
      </c>
      <c r="J504" s="21">
        <f>ROUND(I504 * IF('Dashboard'!$C$6&lt;=1, 2250, IF('Dashboard'!$C$6&lt;=4, 5150, 6000)), 0)</f>
        <v/>
      </c>
      <c r="K504" s="30" t="n">
        <v>0.9947609318027544</v>
      </c>
      <c r="L504" s="30" t="n">
        <v>0.004743992866447784</v>
      </c>
      <c r="M504" s="30" t="n">
        <v>0.0004950753307978607</v>
      </c>
      <c r="N504" s="31">
        <f>ABS(E504-$F$6)</f>
        <v/>
      </c>
      <c r="O504" s="31">
        <f>ABS(E504-$F$7)</f>
        <v/>
      </c>
      <c r="P504" s="31">
        <f>ABS(E504-$F$8)</f>
        <v/>
      </c>
      <c r="Q504" s="14">
        <f>IF(K504&gt;=MAX(L504,M504), "Hemat", IF(L504&gt;=M504, "Balanced", "Premium"))</f>
        <v/>
      </c>
      <c r="R504" s="30" t="n">
        <v>0.9947609208632797</v>
      </c>
      <c r="S504" s="30" t="n">
        <v>0.004744002871971992</v>
      </c>
      <c r="T504" s="30" t="n">
        <v>0.0004950762647482733</v>
      </c>
      <c r="U504" s="31">
        <f>ABS(E504-$G$6)</f>
        <v/>
      </c>
      <c r="V504" s="31">
        <f>ABS(E504-$G$7)</f>
        <v/>
      </c>
      <c r="W504" s="31">
        <f>ABS(E504-$G$8)</f>
        <v/>
      </c>
      <c r="X504" s="14">
        <f>IF(R504&gt;=MAX(S504,T504), "Hemat", IF(S504&gt;=T504, "Balanced", "Premium"))</f>
        <v/>
      </c>
    </row>
    <row r="505">
      <c r="A505" s="14" t="n">
        <v>494</v>
      </c>
      <c r="B505" s="7" t="inlineStr">
        <is>
          <t>Hot Cui Mie</t>
        </is>
      </c>
      <c r="C505" s="26" t="n">
        <v>-7.9513367</v>
      </c>
      <c r="D505" s="26" t="n">
        <v>112.6395376</v>
      </c>
      <c r="E505" s="21" t="n">
        <v>32250</v>
      </c>
      <c r="F505" s="27" t="n">
        <v>4.4</v>
      </c>
      <c r="G505" s="28" t="n">
        <v>4159</v>
      </c>
      <c r="H505" s="14" t="inlineStr">
        <is>
          <t>Wisata Umum</t>
        </is>
      </c>
      <c r="I505" s="29">
        <f>6371 * 2 * ASIN(SQRT(SIN(RADIANS((C505) - INDEX('Dataset_Wisata'!$C$12:$C$622, MATCH('Dashboard'!$C$9, 'Dataset_Wisata'!$A$12:$A$622, 0)))/2)^2 + COS(RADIANS(INDEX('Dataset_Wisata'!$C$12:$C$622, MATCH('Dashboard'!$C$9, 'Dataset_Wisata'!$A$12:$A$622, 0)))) * COS(RADIANS(C505)) * SIN(RADIANS((D505) - INDEX('Dataset_Wisata'!$D$12:$D$622, MATCH('Dashboard'!$C$9, 'Dataset_Wisata'!$A$12:$A$622, 0)))/2)^2)) * 1.3</f>
        <v/>
      </c>
      <c r="J505" s="21">
        <f>ROUND(I505 * IF('Dashboard'!$C$6&lt;=1, 2250, IF('Dashboard'!$C$6&lt;=4, 5150, 6000)), 0)</f>
        <v/>
      </c>
      <c r="K505" s="30" t="n">
        <v>0.1009770160839155</v>
      </c>
      <c r="L505" s="30" t="n">
        <v>0.7712832130887762</v>
      </c>
      <c r="M505" s="30" t="n">
        <v>0.1277397708273083</v>
      </c>
      <c r="N505" s="31">
        <f>ABS(E505-$F$6)</f>
        <v/>
      </c>
      <c r="O505" s="31">
        <f>ABS(E505-$F$7)</f>
        <v/>
      </c>
      <c r="P505" s="31">
        <f>ABS(E505-$F$8)</f>
        <v/>
      </c>
      <c r="Q505" s="14">
        <f>IF(K505&gt;=MAX(L505,M505), "Hemat", IF(L505&gt;=M505, "Balanced", "Premium"))</f>
        <v/>
      </c>
      <c r="R505" s="30" t="n">
        <v>0.1009770639419782</v>
      </c>
      <c r="S505" s="30" t="n">
        <v>0.7712830296401727</v>
      </c>
      <c r="T505" s="30" t="n">
        <v>0.127739906417849</v>
      </c>
      <c r="U505" s="31">
        <f>ABS(E505-$G$6)</f>
        <v/>
      </c>
      <c r="V505" s="31">
        <f>ABS(E505-$G$7)</f>
        <v/>
      </c>
      <c r="W505" s="31">
        <f>ABS(E505-$G$8)</f>
        <v/>
      </c>
      <c r="X505" s="14">
        <f>IF(R505&gt;=MAX(S505,T505), "Hemat", IF(S505&gt;=T505, "Balanced", "Premium"))</f>
        <v/>
      </c>
    </row>
    <row r="506">
      <c r="A506" s="14" t="n">
        <v>495</v>
      </c>
      <c r="B506" s="7" t="inlineStr">
        <is>
          <t>Depot Shanghai</t>
        </is>
      </c>
      <c r="C506" s="26" t="n">
        <v>-7.9382181</v>
      </c>
      <c r="D506" s="26" t="n">
        <v>112.6371174</v>
      </c>
      <c r="E506" s="21" t="n">
        <v>34000</v>
      </c>
      <c r="F506" s="27" t="n">
        <v>4.4</v>
      </c>
      <c r="G506" s="28" t="n">
        <v>103</v>
      </c>
      <c r="H506" s="14" t="inlineStr">
        <is>
          <t>Wisata Umum</t>
        </is>
      </c>
      <c r="I506" s="29">
        <f>6371 * 2 * ASIN(SQRT(SIN(RADIANS((C506) - INDEX('Dataset_Wisata'!$C$12:$C$622, MATCH('Dashboard'!$C$9, 'Dataset_Wisata'!$A$12:$A$622, 0)))/2)^2 + COS(RADIANS(INDEX('Dataset_Wisata'!$C$12:$C$622, MATCH('Dashboard'!$C$9, 'Dataset_Wisata'!$A$12:$A$622, 0)))) * COS(RADIANS(C506)) * SIN(RADIANS((D506) - INDEX('Dataset_Wisata'!$D$12:$D$622, MATCH('Dashboard'!$C$9, 'Dataset_Wisata'!$A$12:$A$622, 0)))/2)^2)) * 1.3</f>
        <v/>
      </c>
      <c r="J506" s="21">
        <f>ROUND(I506 * IF('Dashboard'!$C$6&lt;=1, 2250, IF('Dashboard'!$C$6&lt;=4, 5150, 6000)), 0)</f>
        <v/>
      </c>
      <c r="K506" s="30" t="n">
        <v>0.1153802236211902</v>
      </c>
      <c r="L506" s="30" t="n">
        <v>0.6681294534818699</v>
      </c>
      <c r="M506" s="30" t="n">
        <v>0.2164903228969398</v>
      </c>
      <c r="N506" s="31">
        <f>ABS(E506-$F$6)</f>
        <v/>
      </c>
      <c r="O506" s="31">
        <f>ABS(E506-$F$7)</f>
        <v/>
      </c>
      <c r="P506" s="31">
        <f>ABS(E506-$F$8)</f>
        <v/>
      </c>
      <c r="Q506" s="14">
        <f>IF(K506&gt;=MAX(L506,M506), "Hemat", IF(L506&gt;=M506, "Balanced", "Premium"))</f>
        <v/>
      </c>
      <c r="R506" s="30" t="n">
        <v>0.1153802507262538</v>
      </c>
      <c r="S506" s="30" t="n">
        <v>0.6681292365936576</v>
      </c>
      <c r="T506" s="30" t="n">
        <v>0.2164905126800888</v>
      </c>
      <c r="U506" s="31">
        <f>ABS(E506-$G$6)</f>
        <v/>
      </c>
      <c r="V506" s="31">
        <f>ABS(E506-$G$7)</f>
        <v/>
      </c>
      <c r="W506" s="31">
        <f>ABS(E506-$G$8)</f>
        <v/>
      </c>
      <c r="X506" s="14">
        <f>IF(R506&gt;=MAX(S506,T506), "Hemat", IF(S506&gt;=T506, "Balanced", "Premium"))</f>
        <v/>
      </c>
    </row>
    <row r="507">
      <c r="A507" s="14" t="n">
        <v>496</v>
      </c>
      <c r="B507" s="7" t="inlineStr">
        <is>
          <t>DAPUR LAWAS MALANG</t>
        </is>
      </c>
      <c r="C507" s="26" t="n">
        <v>-7.9128456</v>
      </c>
      <c r="D507" s="26" t="n">
        <v>112.6426037</v>
      </c>
      <c r="E507" s="21" t="n">
        <v>58500</v>
      </c>
      <c r="F507" s="27" t="n">
        <v>4.6</v>
      </c>
      <c r="G507" s="28" t="n">
        <v>161</v>
      </c>
      <c r="H507" s="14" t="inlineStr">
        <is>
          <t>Wisata Umum</t>
        </is>
      </c>
      <c r="I507" s="29">
        <f>6371 * 2 * ASIN(SQRT(SIN(RADIANS((C507) - INDEX('Dataset_Wisata'!$C$12:$C$622, MATCH('Dashboard'!$C$9, 'Dataset_Wisata'!$A$12:$A$622, 0)))/2)^2 + COS(RADIANS(INDEX('Dataset_Wisata'!$C$12:$C$622, MATCH('Dashboard'!$C$9, 'Dataset_Wisata'!$A$12:$A$622, 0)))) * COS(RADIANS(C507)) * SIN(RADIANS((D507) - INDEX('Dataset_Wisata'!$D$12:$D$622, MATCH('Dashboard'!$C$9, 'Dataset_Wisata'!$A$12:$A$622, 0)))/2)^2)) * 1.3</f>
        <v/>
      </c>
      <c r="J507" s="21">
        <f>ROUND(I507 * IF('Dashboard'!$C$6&lt;=1, 2250, IF('Dashboard'!$C$6&lt;=4, 5150, 6000)), 0)</f>
        <v/>
      </c>
      <c r="K507" s="30" t="n">
        <v>0.03781578444990321</v>
      </c>
      <c r="L507" s="30" t="n">
        <v>0.07062218048036036</v>
      </c>
      <c r="M507" s="30" t="n">
        <v>0.8915620350697364</v>
      </c>
      <c r="N507" s="31">
        <f>ABS(E507-$F$6)</f>
        <v/>
      </c>
      <c r="O507" s="31">
        <f>ABS(E507-$F$7)</f>
        <v/>
      </c>
      <c r="P507" s="31">
        <f>ABS(E507-$F$8)</f>
        <v/>
      </c>
      <c r="Q507" s="14">
        <f>IF(K507&gt;=MAX(L507,M507), "Hemat", IF(L507&gt;=M507, "Balanced", "Premium"))</f>
        <v/>
      </c>
      <c r="R507" s="30" t="n">
        <v>0.03781581563248514</v>
      </c>
      <c r="S507" s="30" t="n">
        <v>0.07062222928605215</v>
      </c>
      <c r="T507" s="30" t="n">
        <v>0.8915619550814626</v>
      </c>
      <c r="U507" s="31">
        <f>ABS(E507-$G$6)</f>
        <v/>
      </c>
      <c r="V507" s="31">
        <f>ABS(E507-$G$7)</f>
        <v/>
      </c>
      <c r="W507" s="31">
        <f>ABS(E507-$G$8)</f>
        <v/>
      </c>
      <c r="X507" s="14">
        <f>IF(R507&gt;=MAX(S507,T507), "Hemat", IF(S507&gt;=T507, "Balanced", "Premium"))</f>
        <v/>
      </c>
    </row>
    <row r="508">
      <c r="A508" s="14" t="n">
        <v>497</v>
      </c>
      <c r="B508" s="7" t="inlineStr">
        <is>
          <t>Warung Nasi Lumayan</t>
        </is>
      </c>
      <c r="C508" s="26" t="n">
        <v>-7.8931437</v>
      </c>
      <c r="D508" s="26" t="n">
        <v>112.6608617</v>
      </c>
      <c r="E508" s="21" t="n">
        <v>11750</v>
      </c>
      <c r="F508" s="27" t="n">
        <v>4.7</v>
      </c>
      <c r="G508" s="28" t="n">
        <v>146</v>
      </c>
      <c r="H508" s="14" t="inlineStr">
        <is>
          <t>Warung Nasi Lumayan</t>
        </is>
      </c>
      <c r="I508" s="29">
        <f>6371 * 2 * ASIN(SQRT(SIN(RADIANS((C508) - INDEX('Dataset_Wisata'!$C$12:$C$622, MATCH('Dashboard'!$C$9, 'Dataset_Wisata'!$A$12:$A$622, 0)))/2)^2 + COS(RADIANS(INDEX('Dataset_Wisata'!$C$12:$C$622, MATCH('Dashboard'!$C$9, 'Dataset_Wisata'!$A$12:$A$622, 0)))) * COS(RADIANS(C508)) * SIN(RADIANS((D508) - INDEX('Dataset_Wisata'!$D$12:$D$622, MATCH('Dashboard'!$C$9, 'Dataset_Wisata'!$A$12:$A$622, 0)))/2)^2)) * 1.3</f>
        <v/>
      </c>
      <c r="J508" s="21">
        <f>ROUND(I508 * IF('Dashboard'!$C$6&lt;=1, 2250, IF('Dashboard'!$C$6&lt;=4, 5150, 6000)), 0)</f>
        <v/>
      </c>
      <c r="K508" s="30" t="n">
        <v>0.9870496669289139</v>
      </c>
      <c r="L508" s="30" t="n">
        <v>0.01143708280684991</v>
      </c>
      <c r="M508" s="30" t="n">
        <v>0.001513250264236163</v>
      </c>
      <c r="N508" s="31">
        <f>ABS(E508-$F$6)</f>
        <v/>
      </c>
      <c r="O508" s="31">
        <f>ABS(E508-$F$7)</f>
        <v/>
      </c>
      <c r="P508" s="31">
        <f>ABS(E508-$F$8)</f>
        <v/>
      </c>
      <c r="Q508" s="14">
        <f>IF(K508&gt;=MAX(L508,M508), "Hemat", IF(L508&gt;=M508, "Balanced", "Premium"))</f>
        <v/>
      </c>
      <c r="R508" s="30" t="n">
        <v>0.9870496734017057</v>
      </c>
      <c r="S508" s="30" t="n">
        <v>0.01143707730359993</v>
      </c>
      <c r="T508" s="30" t="n">
        <v>0.00151324929469438</v>
      </c>
      <c r="U508" s="31">
        <f>ABS(E508-$G$6)</f>
        <v/>
      </c>
      <c r="V508" s="31">
        <f>ABS(E508-$G$7)</f>
        <v/>
      </c>
      <c r="W508" s="31">
        <f>ABS(E508-$G$8)</f>
        <v/>
      </c>
      <c r="X508" s="14">
        <f>IF(R508&gt;=MAX(S508,T508), "Hemat", IF(S508&gt;=T508, "Balanced", "Premium"))</f>
        <v/>
      </c>
    </row>
    <row r="509">
      <c r="A509" s="14" t="n">
        <v>498</v>
      </c>
      <c r="B509" s="7" t="inlineStr">
        <is>
          <t>Ayam Goreng Pak Maning</t>
        </is>
      </c>
      <c r="C509" s="26" t="n">
        <v>-7.9054157</v>
      </c>
      <c r="D509" s="26" t="n">
        <v>112.659728</v>
      </c>
      <c r="E509" s="21" t="n">
        <v>19000</v>
      </c>
      <c r="F509" s="27" t="n">
        <v>4.3</v>
      </c>
      <c r="G509" s="28" t="n">
        <v>1813</v>
      </c>
      <c r="H509" s="14" t="inlineStr">
        <is>
          <t>Wisata Umum</t>
        </is>
      </c>
      <c r="I509" s="29">
        <f>6371 * 2 * ASIN(SQRT(SIN(RADIANS((C509) - INDEX('Dataset_Wisata'!$C$12:$C$622, MATCH('Dashboard'!$C$9, 'Dataset_Wisata'!$A$12:$A$622, 0)))/2)^2 + COS(RADIANS(INDEX('Dataset_Wisata'!$C$12:$C$622, MATCH('Dashboard'!$C$9, 'Dataset_Wisata'!$A$12:$A$622, 0)))) * COS(RADIANS(C509)) * SIN(RADIANS((D509) - INDEX('Dataset_Wisata'!$D$12:$D$622, MATCH('Dashboard'!$C$9, 'Dataset_Wisata'!$A$12:$A$622, 0)))/2)^2)) * 1.3</f>
        <v/>
      </c>
      <c r="J509" s="21">
        <f>ROUND(I509 * IF('Dashboard'!$C$6&lt;=1, 2250, IF('Dashboard'!$C$6&lt;=4, 5150, 6000)), 0)</f>
        <v/>
      </c>
      <c r="K509" s="30" t="n">
        <v>0.5366761769981572</v>
      </c>
      <c r="L509" s="30" t="n">
        <v>0.4435988772155322</v>
      </c>
      <c r="M509" s="30" t="n">
        <v>0.01972494578631066</v>
      </c>
      <c r="N509" s="31">
        <f>ABS(E509-$F$6)</f>
        <v/>
      </c>
      <c r="O509" s="31">
        <f>ABS(E509-$F$7)</f>
        <v/>
      </c>
      <c r="P509" s="31">
        <f>ABS(E509-$F$8)</f>
        <v/>
      </c>
      <c r="Q509" s="14">
        <f>IF(K509&gt;=MAX(L509,M509), "Hemat", IF(L509&gt;=M509, "Balanced", "Premium"))</f>
        <v/>
      </c>
      <c r="R509" s="30" t="n">
        <v>0.5366759174130455</v>
      </c>
      <c r="S509" s="30" t="n">
        <v>0.443599136184954</v>
      </c>
      <c r="T509" s="30" t="n">
        <v>0.01972494640200039</v>
      </c>
      <c r="U509" s="31">
        <f>ABS(E509-$G$6)</f>
        <v/>
      </c>
      <c r="V509" s="31">
        <f>ABS(E509-$G$7)</f>
        <v/>
      </c>
      <c r="W509" s="31">
        <f>ABS(E509-$G$8)</f>
        <v/>
      </c>
      <c r="X509" s="14">
        <f>IF(R509&gt;=MAX(S509,T509), "Hemat", IF(S509&gt;=T509, "Balanced", "Premium"))</f>
        <v/>
      </c>
    </row>
    <row r="510">
      <c r="A510" s="14" t="n">
        <v>499</v>
      </c>
      <c r="B510" s="7" t="inlineStr">
        <is>
          <t>Warung Nasional 1</t>
        </is>
      </c>
      <c r="C510" s="26" t="n">
        <v>-7.914584</v>
      </c>
      <c r="D510" s="26" t="n">
        <v>112.649327</v>
      </c>
      <c r="E510" s="21" t="n">
        <v>19000</v>
      </c>
      <c r="F510" s="27" t="n">
        <v>4.5</v>
      </c>
      <c r="G510" s="28" t="n">
        <v>200</v>
      </c>
      <c r="H510" s="14" t="inlineStr">
        <is>
          <t>Warung Nasional 1</t>
        </is>
      </c>
      <c r="I510" s="29">
        <f>6371 * 2 * ASIN(SQRT(SIN(RADIANS((C510) - INDEX('Dataset_Wisata'!$C$12:$C$622, MATCH('Dashboard'!$C$9, 'Dataset_Wisata'!$A$12:$A$622, 0)))/2)^2 + COS(RADIANS(INDEX('Dataset_Wisata'!$C$12:$C$622, MATCH('Dashboard'!$C$9, 'Dataset_Wisata'!$A$12:$A$622, 0)))) * COS(RADIANS(C510)) * SIN(RADIANS((D510) - INDEX('Dataset_Wisata'!$D$12:$D$622, MATCH('Dashboard'!$C$9, 'Dataset_Wisata'!$A$12:$A$622, 0)))/2)^2)) * 1.3</f>
        <v/>
      </c>
      <c r="J510" s="21">
        <f>ROUND(I510 * IF('Dashboard'!$C$6&lt;=1, 2250, IF('Dashboard'!$C$6&lt;=4, 5150, 6000)), 0)</f>
        <v/>
      </c>
      <c r="K510" s="30" t="n">
        <v>0.5366761769981572</v>
      </c>
      <c r="L510" s="30" t="n">
        <v>0.4435988772155322</v>
      </c>
      <c r="M510" s="30" t="n">
        <v>0.01972494578631066</v>
      </c>
      <c r="N510" s="31">
        <f>ABS(E510-$F$6)</f>
        <v/>
      </c>
      <c r="O510" s="31">
        <f>ABS(E510-$F$7)</f>
        <v/>
      </c>
      <c r="P510" s="31">
        <f>ABS(E510-$F$8)</f>
        <v/>
      </c>
      <c r="Q510" s="14">
        <f>IF(K510&gt;=MAX(L510,M510), "Hemat", IF(L510&gt;=M510, "Balanced", "Premium"))</f>
        <v/>
      </c>
      <c r="R510" s="30" t="n">
        <v>0.5366759174130455</v>
      </c>
      <c r="S510" s="30" t="n">
        <v>0.443599136184954</v>
      </c>
      <c r="T510" s="30" t="n">
        <v>0.01972494640200039</v>
      </c>
      <c r="U510" s="31">
        <f>ABS(E510-$G$6)</f>
        <v/>
      </c>
      <c r="V510" s="31">
        <f>ABS(E510-$G$7)</f>
        <v/>
      </c>
      <c r="W510" s="31">
        <f>ABS(E510-$G$8)</f>
        <v/>
      </c>
      <c r="X510" s="14">
        <f>IF(R510&gt;=MAX(S510,T510), "Hemat", IF(S510&gt;=T510, "Balanced", "Premium"))</f>
        <v/>
      </c>
    </row>
    <row r="511">
      <c r="A511" s="14" t="n">
        <v>500</v>
      </c>
      <c r="B511" s="7" t="inlineStr">
        <is>
          <t>Warung Sego Empok Mak Nur</t>
        </is>
      </c>
      <c r="C511" s="26" t="n">
        <v>-7.9062413</v>
      </c>
      <c r="D511" s="26" t="n">
        <v>112.6417253</v>
      </c>
      <c r="E511" s="21" t="n">
        <v>8000</v>
      </c>
      <c r="F511" s="27" t="n">
        <v>4.6</v>
      </c>
      <c r="G511" s="28" t="n">
        <v>122</v>
      </c>
      <c r="H511" s="14" t="inlineStr">
        <is>
          <t>Warung Sego Empok Mak Nur</t>
        </is>
      </c>
      <c r="I511" s="29">
        <f>6371 * 2 * ASIN(SQRT(SIN(RADIANS((C511) - INDEX('Dataset_Wisata'!$C$12:$C$622, MATCH('Dashboard'!$C$9, 'Dataset_Wisata'!$A$12:$A$622, 0)))/2)^2 + COS(RADIANS(INDEX('Dataset_Wisata'!$C$12:$C$622, MATCH('Dashboard'!$C$9, 'Dataset_Wisata'!$A$12:$A$622, 0)))) * COS(RADIANS(C511)) * SIN(RADIANS((D511) - INDEX('Dataset_Wisata'!$D$12:$D$622, MATCH('Dashboard'!$C$9, 'Dataset_Wisata'!$A$12:$A$622, 0)))/2)^2)) * 1.3</f>
        <v/>
      </c>
      <c r="J511" s="21">
        <f>ROUND(I511 * IF('Dashboard'!$C$6&lt;=1, 2250, IF('Dashboard'!$C$6&lt;=4, 5150, 6000)), 0)</f>
        <v/>
      </c>
      <c r="K511" s="30" t="n">
        <v>0.9039388019808103</v>
      </c>
      <c r="L511" s="30" t="n">
        <v>0.0815580567645619</v>
      </c>
      <c r="M511" s="30" t="n">
        <v>0.01450314125462772</v>
      </c>
      <c r="N511" s="31">
        <f>ABS(E511-$F$6)</f>
        <v/>
      </c>
      <c r="O511" s="31">
        <f>ABS(E511-$F$7)</f>
        <v/>
      </c>
      <c r="P511" s="31">
        <f>ABS(E511-$F$8)</f>
        <v/>
      </c>
      <c r="Q511" s="14">
        <f>IF(K511&gt;=MAX(L511,M511), "Hemat", IF(L511&gt;=M511, "Balanced", "Premium"))</f>
        <v/>
      </c>
      <c r="R511" s="30" t="n">
        <v>0.9039387979026794</v>
      </c>
      <c r="S511" s="30" t="n">
        <v>0.08155806140566645</v>
      </c>
      <c r="T511" s="30" t="n">
        <v>0.01450314069165419</v>
      </c>
      <c r="U511" s="31">
        <f>ABS(E511-$G$6)</f>
        <v/>
      </c>
      <c r="V511" s="31">
        <f>ABS(E511-$G$7)</f>
        <v/>
      </c>
      <c r="W511" s="31">
        <f>ABS(E511-$G$8)</f>
        <v/>
      </c>
      <c r="X511" s="14">
        <f>IF(R511&gt;=MAX(S511,T511), "Hemat", IF(S511&gt;=T511, "Balanced", "Premium"))</f>
        <v/>
      </c>
    </row>
    <row r="512">
      <c r="A512" s="14" t="n">
        <v>501</v>
      </c>
      <c r="B512" s="7" t="inlineStr">
        <is>
          <t>Kantri Masakan Indonesia &amp; Sea Food</t>
        </is>
      </c>
      <c r="C512" s="26" t="n">
        <v>-7.9021259</v>
      </c>
      <c r="D512" s="26" t="n">
        <v>112.6618742</v>
      </c>
      <c r="E512" s="21" t="n">
        <v>55500</v>
      </c>
      <c r="F512" s="27" t="n">
        <v>4.5</v>
      </c>
      <c r="G512" s="28" t="n">
        <v>2586</v>
      </c>
      <c r="H512" s="14" t="inlineStr">
        <is>
          <t>Wisata Umum</t>
        </is>
      </c>
      <c r="I512" s="29">
        <f>6371 * 2 * ASIN(SQRT(SIN(RADIANS((C512) - INDEX('Dataset_Wisata'!$C$12:$C$622, MATCH('Dashboard'!$C$9, 'Dataset_Wisata'!$A$12:$A$622, 0)))/2)^2 + COS(RADIANS(INDEX('Dataset_Wisata'!$C$12:$C$622, MATCH('Dashboard'!$C$9, 'Dataset_Wisata'!$A$12:$A$622, 0)))) * COS(RADIANS(C512)) * SIN(RADIANS((D512) - INDEX('Dataset_Wisata'!$D$12:$D$622, MATCH('Dashboard'!$C$9, 'Dataset_Wisata'!$A$12:$A$622, 0)))/2)^2)) * 1.3</f>
        <v/>
      </c>
      <c r="J512" s="21">
        <f>ROUND(I512 * IF('Dashboard'!$C$6&lt;=1, 2250, IF('Dashboard'!$C$6&lt;=4, 5150, 6000)), 0)</f>
        <v/>
      </c>
      <c r="K512" s="30" t="n">
        <v>0.02098945043010659</v>
      </c>
      <c r="L512" s="30" t="n">
        <v>0.04131978814909163</v>
      </c>
      <c r="M512" s="30" t="n">
        <v>0.9376907614208018</v>
      </c>
      <c r="N512" s="31">
        <f>ABS(E512-$F$6)</f>
        <v/>
      </c>
      <c r="O512" s="31">
        <f>ABS(E512-$F$7)</f>
        <v/>
      </c>
      <c r="P512" s="31">
        <f>ABS(E512-$F$8)</f>
        <v/>
      </c>
      <c r="Q512" s="14">
        <f>IF(K512&gt;=MAX(L512,M512), "Hemat", IF(L512&gt;=M512, "Balanced", "Premium"))</f>
        <v/>
      </c>
      <c r="R512" s="30" t="n">
        <v>0.02098947731315646</v>
      </c>
      <c r="S512" s="30" t="n">
        <v>0.04131983497151819</v>
      </c>
      <c r="T512" s="30" t="n">
        <v>0.9376906877153254</v>
      </c>
      <c r="U512" s="31">
        <f>ABS(E512-$G$6)</f>
        <v/>
      </c>
      <c r="V512" s="31">
        <f>ABS(E512-$G$7)</f>
        <v/>
      </c>
      <c r="W512" s="31">
        <f>ABS(E512-$G$8)</f>
        <v/>
      </c>
      <c r="X512" s="14">
        <f>IF(R512&gt;=MAX(S512,T512), "Hemat", IF(S512&gt;=T512, "Balanced", "Premium"))</f>
        <v/>
      </c>
    </row>
    <row r="513">
      <c r="A513" s="14" t="n">
        <v>502</v>
      </c>
      <c r="B513" s="7" t="inlineStr">
        <is>
          <t>Warung Terminal Gizi</t>
        </is>
      </c>
      <c r="C513" s="26" t="n">
        <v>-7.8989916</v>
      </c>
      <c r="D513" s="26" t="n">
        <v>112.6314646</v>
      </c>
      <c r="E513" s="21" t="n">
        <v>15000</v>
      </c>
      <c r="F513" s="27" t="n">
        <v>4.6</v>
      </c>
      <c r="G513" s="28" t="n">
        <v>53</v>
      </c>
      <c r="H513" s="14" t="inlineStr">
        <is>
          <t>Warung Terminal Gizi</t>
        </is>
      </c>
      <c r="I513" s="29">
        <f>6371 * 2 * ASIN(SQRT(SIN(RADIANS((C513) - INDEX('Dataset_Wisata'!$C$12:$C$622, MATCH('Dashboard'!$C$9, 'Dataset_Wisata'!$A$12:$A$622, 0)))/2)^2 + COS(RADIANS(INDEX('Dataset_Wisata'!$C$12:$C$622, MATCH('Dashboard'!$C$9, 'Dataset_Wisata'!$A$12:$A$622, 0)))) * COS(RADIANS(C513)) * SIN(RADIANS((D513) - INDEX('Dataset_Wisata'!$D$12:$D$622, MATCH('Dashboard'!$C$9, 'Dataset_Wisata'!$A$12:$A$622, 0)))/2)^2)) * 1.3</f>
        <v/>
      </c>
      <c r="J513" s="21">
        <f>ROUND(I513 * IF('Dashboard'!$C$6&lt;=1, 2250, IF('Dashboard'!$C$6&lt;=4, 5150, 6000)), 0)</f>
        <v/>
      </c>
      <c r="K513" s="30" t="n">
        <v>0.9686283169848018</v>
      </c>
      <c r="L513" s="30" t="n">
        <v>0.02872990537067274</v>
      </c>
      <c r="M513" s="30" t="n">
        <v>0.002641777644525457</v>
      </c>
      <c r="N513" s="31">
        <f>ABS(E513-$F$6)</f>
        <v/>
      </c>
      <c r="O513" s="31">
        <f>ABS(E513-$F$7)</f>
        <v/>
      </c>
      <c r="P513" s="31">
        <f>ABS(E513-$F$8)</f>
        <v/>
      </c>
      <c r="Q513" s="14">
        <f>IF(K513&gt;=MAX(L513,M513), "Hemat", IF(L513&gt;=M513, "Balanced", "Premium"))</f>
        <v/>
      </c>
      <c r="R513" s="30" t="n">
        <v>0.9686282798936615</v>
      </c>
      <c r="S513" s="30" t="n">
        <v>0.02872993996961344</v>
      </c>
      <c r="T513" s="30" t="n">
        <v>0.002641780136725144</v>
      </c>
      <c r="U513" s="31">
        <f>ABS(E513-$G$6)</f>
        <v/>
      </c>
      <c r="V513" s="31">
        <f>ABS(E513-$G$7)</f>
        <v/>
      </c>
      <c r="W513" s="31">
        <f>ABS(E513-$G$8)</f>
        <v/>
      </c>
      <c r="X513" s="14">
        <f>IF(R513&gt;=MAX(S513,T513), "Hemat", IF(S513&gt;=T513, "Balanced", "Premium"))</f>
        <v/>
      </c>
    </row>
    <row r="514">
      <c r="A514" s="14" t="n">
        <v>503</v>
      </c>
      <c r="B514" s="7" t="inlineStr">
        <is>
          <t>RM. Ibunda</t>
        </is>
      </c>
      <c r="C514" s="26" t="n">
        <v>-7.9086635</v>
      </c>
      <c r="D514" s="26" t="n">
        <v>112.6586659</v>
      </c>
      <c r="E514" s="21" t="n">
        <v>7000</v>
      </c>
      <c r="F514" s="27" t="n">
        <v>4.7</v>
      </c>
      <c r="G514" s="28" t="n">
        <v>135</v>
      </c>
      <c r="H514" s="14" t="inlineStr">
        <is>
          <t>Wisata Umum</t>
        </is>
      </c>
      <c r="I514" s="29">
        <f>6371 * 2 * ASIN(SQRT(SIN(RADIANS((C514) - INDEX('Dataset_Wisata'!$C$12:$C$622, MATCH('Dashboard'!$C$9, 'Dataset_Wisata'!$A$12:$A$622, 0)))/2)^2 + COS(RADIANS(INDEX('Dataset_Wisata'!$C$12:$C$622, MATCH('Dashboard'!$C$9, 'Dataset_Wisata'!$A$12:$A$622, 0)))) * COS(RADIANS(C514)) * SIN(RADIANS((D514) - INDEX('Dataset_Wisata'!$D$12:$D$622, MATCH('Dashboard'!$C$9, 'Dataset_Wisata'!$A$12:$A$622, 0)))/2)^2)) * 1.3</f>
        <v/>
      </c>
      <c r="J514" s="21">
        <f>ROUND(I514 * IF('Dashboard'!$C$6&lt;=1, 2250, IF('Dashboard'!$C$6&lt;=4, 5150, 6000)), 0)</f>
        <v/>
      </c>
      <c r="K514" s="30" t="n">
        <v>0.8800610026243881</v>
      </c>
      <c r="L514" s="30" t="n">
        <v>0.1008247459749515</v>
      </c>
      <c r="M514" s="30" t="n">
        <v>0.01911425140066042</v>
      </c>
      <c r="N514" s="31">
        <f>ABS(E514-$F$6)</f>
        <v/>
      </c>
      <c r="O514" s="31">
        <f>ABS(E514-$F$7)</f>
        <v/>
      </c>
      <c r="P514" s="31">
        <f>ABS(E514-$F$8)</f>
        <v/>
      </c>
      <c r="Q514" s="14">
        <f>IF(K514&gt;=MAX(L514,M514), "Hemat", IF(L514&gt;=M514, "Balanced", "Premium"))</f>
        <v/>
      </c>
      <c r="R514" s="30" t="n">
        <v>0.8800609951219469</v>
      </c>
      <c r="S514" s="30" t="n">
        <v>0.1008247536305651</v>
      </c>
      <c r="T514" s="30" t="n">
        <v>0.019114251247488</v>
      </c>
      <c r="U514" s="31">
        <f>ABS(E514-$G$6)</f>
        <v/>
      </c>
      <c r="V514" s="31">
        <f>ABS(E514-$G$7)</f>
        <v/>
      </c>
      <c r="W514" s="31">
        <f>ABS(E514-$G$8)</f>
        <v/>
      </c>
      <c r="X514" s="14">
        <f>IF(R514&gt;=MAX(S514,T514), "Hemat", IF(S514&gt;=T514, "Balanced", "Premium"))</f>
        <v/>
      </c>
    </row>
    <row r="515">
      <c r="A515" s="14" t="n">
        <v>504</v>
      </c>
      <c r="B515" s="7" t="inlineStr">
        <is>
          <t>Warung Mawar</t>
        </is>
      </c>
      <c r="C515" s="26" t="n">
        <v>-7.9146063</v>
      </c>
      <c r="D515" s="26" t="n">
        <v>112.6494876</v>
      </c>
      <c r="E515" s="21" t="n">
        <v>14000</v>
      </c>
      <c r="F515" s="27" t="n">
        <v>4.6</v>
      </c>
      <c r="G515" s="28" t="n">
        <v>83</v>
      </c>
      <c r="H515" s="14" t="inlineStr">
        <is>
          <t>Warung Mawar</t>
        </is>
      </c>
      <c r="I515" s="29">
        <f>6371 * 2 * ASIN(SQRT(SIN(RADIANS((C515) - INDEX('Dataset_Wisata'!$C$12:$C$622, MATCH('Dashboard'!$C$9, 'Dataset_Wisata'!$A$12:$A$622, 0)))/2)^2 + COS(RADIANS(INDEX('Dataset_Wisata'!$C$12:$C$622, MATCH('Dashboard'!$C$9, 'Dataset_Wisata'!$A$12:$A$622, 0)))) * COS(RADIANS(C515)) * SIN(RADIANS((D515) - INDEX('Dataset_Wisata'!$D$12:$D$622, MATCH('Dashboard'!$C$9, 'Dataset_Wisata'!$A$12:$A$622, 0)))/2)^2)) * 1.3</f>
        <v/>
      </c>
      <c r="J515" s="21">
        <f>ROUND(I515 * IF('Dashboard'!$C$6&lt;=1, 2250, IF('Dashboard'!$C$6&lt;=4, 5150, 6000)), 0)</f>
        <v/>
      </c>
      <c r="K515" s="30" t="n">
        <v>0.9947609318027544</v>
      </c>
      <c r="L515" s="30" t="n">
        <v>0.004743992866447784</v>
      </c>
      <c r="M515" s="30" t="n">
        <v>0.0004950753307978607</v>
      </c>
      <c r="N515" s="31">
        <f>ABS(E515-$F$6)</f>
        <v/>
      </c>
      <c r="O515" s="31">
        <f>ABS(E515-$F$7)</f>
        <v/>
      </c>
      <c r="P515" s="31">
        <f>ABS(E515-$F$8)</f>
        <v/>
      </c>
      <c r="Q515" s="14">
        <f>IF(K515&gt;=MAX(L515,M515), "Hemat", IF(L515&gt;=M515, "Balanced", "Premium"))</f>
        <v/>
      </c>
      <c r="R515" s="30" t="n">
        <v>0.9947609208632797</v>
      </c>
      <c r="S515" s="30" t="n">
        <v>0.004744002871971992</v>
      </c>
      <c r="T515" s="30" t="n">
        <v>0.0004950762647482733</v>
      </c>
      <c r="U515" s="31">
        <f>ABS(E515-$G$6)</f>
        <v/>
      </c>
      <c r="V515" s="31">
        <f>ABS(E515-$G$7)</f>
        <v/>
      </c>
      <c r="W515" s="31">
        <f>ABS(E515-$G$8)</f>
        <v/>
      </c>
      <c r="X515" s="14">
        <f>IF(R515&gt;=MAX(S515,T515), "Hemat", IF(S515&gt;=T515, "Balanced", "Premium"))</f>
        <v/>
      </c>
    </row>
    <row r="516">
      <c r="A516" s="14" t="n">
        <v>505</v>
      </c>
      <c r="B516" s="7" t="inlineStr">
        <is>
          <t>Warung Prasmanan Kembang Banyu</t>
        </is>
      </c>
      <c r="C516" s="26" t="n">
        <v>-7.9118238</v>
      </c>
      <c r="D516" s="26" t="n">
        <v>112.6401384</v>
      </c>
      <c r="E516" s="21" t="n">
        <v>6000</v>
      </c>
      <c r="F516" s="27" t="n">
        <v>4.5</v>
      </c>
      <c r="G516" s="28" t="n">
        <v>237</v>
      </c>
      <c r="H516" s="14" t="inlineStr">
        <is>
          <t>Warung Prasmanan Kembang Banyu</t>
        </is>
      </c>
      <c r="I516" s="29">
        <f>6371 * 2 * ASIN(SQRT(SIN(RADIANS((C516) - INDEX('Dataset_Wisata'!$C$12:$C$622, MATCH('Dashboard'!$C$9, 'Dataset_Wisata'!$A$12:$A$622, 0)))/2)^2 + COS(RADIANS(INDEX('Dataset_Wisata'!$C$12:$C$622, MATCH('Dashboard'!$C$9, 'Dataset_Wisata'!$A$12:$A$622, 0)))) * COS(RADIANS(C516)) * SIN(RADIANS((D516) - INDEX('Dataset_Wisata'!$D$12:$D$622, MATCH('Dashboard'!$C$9, 'Dataset_Wisata'!$A$12:$A$622, 0)))/2)^2)) * 1.3</f>
        <v/>
      </c>
      <c r="J516" s="21">
        <f>ROUND(I516 * IF('Dashboard'!$C$6&lt;=1, 2250, IF('Dashboard'!$C$6&lt;=4, 5150, 6000)), 0)</f>
        <v/>
      </c>
      <c r="K516" s="30" t="n">
        <v>0.8570515062724777</v>
      </c>
      <c r="L516" s="30" t="n">
        <v>0.11901089820045</v>
      </c>
      <c r="M516" s="30" t="n">
        <v>0.02393759552707219</v>
      </c>
      <c r="N516" s="31">
        <f>ABS(E516-$F$6)</f>
        <v/>
      </c>
      <c r="O516" s="31">
        <f>ABS(E516-$F$7)</f>
        <v/>
      </c>
      <c r="P516" s="31">
        <f>ABS(E516-$F$8)</f>
        <v/>
      </c>
      <c r="Q516" s="14">
        <f>IF(K516&gt;=MAX(L516,M516), "Hemat", IF(L516&gt;=M516, "Balanced", "Premium"))</f>
        <v/>
      </c>
      <c r="R516" s="30" t="n">
        <v>0.8570514957556834</v>
      </c>
      <c r="S516" s="30" t="n">
        <v>0.1190109084243033</v>
      </c>
      <c r="T516" s="30" t="n">
        <v>0.02393759582001326</v>
      </c>
      <c r="U516" s="31">
        <f>ABS(E516-$G$6)</f>
        <v/>
      </c>
      <c r="V516" s="31">
        <f>ABS(E516-$G$7)</f>
        <v/>
      </c>
      <c r="W516" s="31">
        <f>ABS(E516-$G$8)</f>
        <v/>
      </c>
      <c r="X516" s="14">
        <f>IF(R516&gt;=MAX(S516,T516), "Hemat", IF(S516&gt;=T516, "Balanced", "Premium"))</f>
        <v/>
      </c>
    </row>
    <row r="517">
      <c r="A517" s="14" t="n">
        <v>506</v>
      </c>
      <c r="B517" s="7" t="inlineStr">
        <is>
          <t>Legi Asin</t>
        </is>
      </c>
      <c r="C517" s="26" t="n">
        <v>-7.8874418</v>
      </c>
      <c r="D517" s="26" t="n">
        <v>112.6622556</v>
      </c>
      <c r="E517" s="21" t="n">
        <v>24500</v>
      </c>
      <c r="F517" s="27" t="n">
        <v>4.4</v>
      </c>
      <c r="G517" s="28" t="n">
        <v>393</v>
      </c>
      <c r="H517" s="14" t="inlineStr">
        <is>
          <t>Wisata Umum</t>
        </is>
      </c>
      <c r="I517" s="29">
        <f>6371 * 2 * ASIN(SQRT(SIN(RADIANS((C517) - INDEX('Dataset_Wisata'!$C$12:$C$622, MATCH('Dashboard'!$C$9, 'Dataset_Wisata'!$A$12:$A$622, 0)))/2)^2 + COS(RADIANS(INDEX('Dataset_Wisata'!$C$12:$C$622, MATCH('Dashboard'!$C$9, 'Dataset_Wisata'!$A$12:$A$622, 0)))) * COS(RADIANS(C517)) * SIN(RADIANS((D517) - INDEX('Dataset_Wisata'!$D$12:$D$622, MATCH('Dashboard'!$C$9, 'Dataset_Wisata'!$A$12:$A$622, 0)))/2)^2)) * 1.3</f>
        <v/>
      </c>
      <c r="J517" s="21">
        <f>ROUND(I517 * IF('Dashboard'!$C$6&lt;=1, 2250, IF('Dashboard'!$C$6&lt;=4, 5150, 6000)), 0)</f>
        <v/>
      </c>
      <c r="K517" s="30" t="n">
        <v>0.005803200479562099</v>
      </c>
      <c r="L517" s="30" t="n">
        <v>0.9929829084802436</v>
      </c>
      <c r="M517" s="30" t="n">
        <v>0.0012138910401943</v>
      </c>
      <c r="N517" s="31">
        <f>ABS(E517-$F$6)</f>
        <v/>
      </c>
      <c r="O517" s="31">
        <f>ABS(E517-$F$7)</f>
        <v/>
      </c>
      <c r="P517" s="31">
        <f>ABS(E517-$F$8)</f>
        <v/>
      </c>
      <c r="Q517" s="14">
        <f>IF(K517&gt;=MAX(L517,M517), "Hemat", IF(L517&gt;=M517, "Balanced", "Premium"))</f>
        <v/>
      </c>
      <c r="R517" s="30" t="n">
        <v>0.005803163945257891</v>
      </c>
      <c r="S517" s="30" t="n">
        <v>0.9929829520849782</v>
      </c>
      <c r="T517" s="30" t="n">
        <v>0.001213883969763945</v>
      </c>
      <c r="U517" s="31">
        <f>ABS(E517-$G$6)</f>
        <v/>
      </c>
      <c r="V517" s="31">
        <f>ABS(E517-$G$7)</f>
        <v/>
      </c>
      <c r="W517" s="31">
        <f>ABS(E517-$G$8)</f>
        <v/>
      </c>
      <c r="X517" s="14">
        <f>IF(R517&gt;=MAX(S517,T517), "Hemat", IF(S517&gt;=T517, "Balanced", "Premium"))</f>
        <v/>
      </c>
    </row>
    <row r="518">
      <c r="A518" s="14" t="n">
        <v>507</v>
      </c>
      <c r="B518" s="7" t="inlineStr">
        <is>
          <t>Depot Dewi Sri</t>
        </is>
      </c>
      <c r="C518" s="26" t="n">
        <v>-7.8886554</v>
      </c>
      <c r="D518" s="26" t="n">
        <v>112.6535763</v>
      </c>
      <c r="E518" s="21" t="n">
        <v>30000</v>
      </c>
      <c r="F518" s="27" t="n">
        <v>4.5</v>
      </c>
      <c r="G518" s="28" t="n">
        <v>31</v>
      </c>
      <c r="H518" s="14" t="inlineStr">
        <is>
          <t>Wisata Umum</t>
        </is>
      </c>
      <c r="I518" s="29">
        <f>6371 * 2 * ASIN(SQRT(SIN(RADIANS((C518) - INDEX('Dataset_Wisata'!$C$12:$C$622, MATCH('Dashboard'!$C$9, 'Dataset_Wisata'!$A$12:$A$622, 0)))/2)^2 + COS(RADIANS(INDEX('Dataset_Wisata'!$C$12:$C$622, MATCH('Dashboard'!$C$9, 'Dataset_Wisata'!$A$12:$A$622, 0)))) * COS(RADIANS(C518)) * SIN(RADIANS((D518) - INDEX('Dataset_Wisata'!$D$12:$D$622, MATCH('Dashboard'!$C$9, 'Dataset_Wisata'!$A$12:$A$622, 0)))/2)^2)) * 1.3</f>
        <v/>
      </c>
      <c r="J518" s="21">
        <f>ROUND(I518 * IF('Dashboard'!$C$6&lt;=1, 2250, IF('Dashboard'!$C$6&lt;=4, 5150, 6000)), 0)</f>
        <v/>
      </c>
      <c r="K518" s="30" t="n">
        <v>0.06726312231076584</v>
      </c>
      <c r="L518" s="30" t="n">
        <v>0.8811909885629753</v>
      </c>
      <c r="M518" s="30" t="n">
        <v>0.05154588912625897</v>
      </c>
      <c r="N518" s="31">
        <f>ABS(E518-$F$6)</f>
        <v/>
      </c>
      <c r="O518" s="31">
        <f>ABS(E518-$F$7)</f>
        <v/>
      </c>
      <c r="P518" s="31">
        <f>ABS(E518-$F$8)</f>
        <v/>
      </c>
      <c r="Q518" s="14">
        <f>IF(K518&gt;=MAX(L518,M518), "Hemat", IF(L518&gt;=M518, "Balanced", "Premium"))</f>
        <v/>
      </c>
      <c r="R518" s="30" t="n">
        <v>0.06726318452674353</v>
      </c>
      <c r="S518" s="30" t="n">
        <v>0.8811908510588695</v>
      </c>
      <c r="T518" s="30" t="n">
        <v>0.05154596441438693</v>
      </c>
      <c r="U518" s="31">
        <f>ABS(E518-$G$6)</f>
        <v/>
      </c>
      <c r="V518" s="31">
        <f>ABS(E518-$G$7)</f>
        <v/>
      </c>
      <c r="W518" s="31">
        <f>ABS(E518-$G$8)</f>
        <v/>
      </c>
      <c r="X518" s="14">
        <f>IF(R518&gt;=MAX(S518,T518), "Hemat", IF(S518&gt;=T518, "Balanced", "Premium"))</f>
        <v/>
      </c>
    </row>
    <row r="519">
      <c r="A519" s="14" t="n">
        <v>508</v>
      </c>
      <c r="B519" s="7" t="inlineStr">
        <is>
          <t>Depot HTS Legendaris sejak 1927</t>
        </is>
      </c>
      <c r="C519" s="26" t="n">
        <v>-7.8503188</v>
      </c>
      <c r="D519" s="26" t="n">
        <v>112.695541</v>
      </c>
      <c r="E519" s="21" t="n">
        <v>35500</v>
      </c>
      <c r="F519" s="27" t="n">
        <v>4.2</v>
      </c>
      <c r="G519" s="28" t="n">
        <v>2120</v>
      </c>
      <c r="H519" s="14" t="inlineStr">
        <is>
          <t>Restoran luas dengan masakan Indonesia</t>
        </is>
      </c>
      <c r="I519" s="29">
        <f>6371 * 2 * ASIN(SQRT(SIN(RADIANS((C519) - INDEX('Dataset_Wisata'!$C$12:$C$622, MATCH('Dashboard'!$C$9, 'Dataset_Wisata'!$A$12:$A$622, 0)))/2)^2 + COS(RADIANS(INDEX('Dataset_Wisata'!$C$12:$C$622, MATCH('Dashboard'!$C$9, 'Dataset_Wisata'!$A$12:$A$622, 0)))) * COS(RADIANS(C519)) * SIN(RADIANS((D519) - INDEX('Dataset_Wisata'!$D$12:$D$622, MATCH('Dashboard'!$C$9, 'Dataset_Wisata'!$A$12:$A$622, 0)))/2)^2)) * 1.3</f>
        <v/>
      </c>
      <c r="J519" s="21">
        <f>ROUND(I519 * IF('Dashboard'!$C$6&lt;=1, 2250, IF('Dashboard'!$C$6&lt;=4, 5150, 6000)), 0)</f>
        <v/>
      </c>
      <c r="K519" s="30" t="n">
        <v>0.1178058034781501</v>
      </c>
      <c r="L519" s="30" t="n">
        <v>0.5692901571835589</v>
      </c>
      <c r="M519" s="30" t="n">
        <v>0.312904039338291</v>
      </c>
      <c r="N519" s="31">
        <f>ABS(E519-$F$6)</f>
        <v/>
      </c>
      <c r="O519" s="31">
        <f>ABS(E519-$F$7)</f>
        <v/>
      </c>
      <c r="P519" s="31">
        <f>ABS(E519-$F$8)</f>
        <v/>
      </c>
      <c r="Q519" s="14">
        <f>IF(K519&gt;=MAX(L519,M519), "Hemat", IF(L519&gt;=M519, "Balanced", "Premium"))</f>
        <v/>
      </c>
      <c r="R519" s="30" t="n">
        <v>0.1178058092709709</v>
      </c>
      <c r="S519" s="30" t="n">
        <v>0.5692899166264946</v>
      </c>
      <c r="T519" s="30" t="n">
        <v>0.3129042741025345</v>
      </c>
      <c r="U519" s="31">
        <f>ABS(E519-$G$6)</f>
        <v/>
      </c>
      <c r="V519" s="31">
        <f>ABS(E519-$G$7)</f>
        <v/>
      </c>
      <c r="W519" s="31">
        <f>ABS(E519-$G$8)</f>
        <v/>
      </c>
      <c r="X519" s="14">
        <f>IF(R519&gt;=MAX(S519,T519), "Hemat", IF(S519&gt;=T519, "Balanced", "Premium"))</f>
        <v/>
      </c>
    </row>
    <row r="520">
      <c r="A520" s="14" t="n">
        <v>509</v>
      </c>
      <c r="B520" s="7" t="inlineStr">
        <is>
          <t>Kedai Fortunatu</t>
        </is>
      </c>
      <c r="C520" s="26" t="n">
        <v>-7.8850861</v>
      </c>
      <c r="D520" s="26" t="n">
        <v>112.6609514</v>
      </c>
      <c r="E520" s="21" t="n">
        <v>10000</v>
      </c>
      <c r="F520" s="27" t="n">
        <v>4.7</v>
      </c>
      <c r="G520" s="28" t="n">
        <v>34</v>
      </c>
      <c r="H520" s="14" t="inlineStr">
        <is>
          <t>Restoran · Jl. Kendedes No.208B</t>
        </is>
      </c>
      <c r="I520" s="29">
        <f>6371 * 2 * ASIN(SQRT(SIN(RADIANS((C520) - INDEX('Dataset_Wisata'!$C$12:$C$622, MATCH('Dashboard'!$C$9, 'Dataset_Wisata'!$A$12:$A$622, 0)))/2)^2 + COS(RADIANS(INDEX('Dataset_Wisata'!$C$12:$C$622, MATCH('Dashboard'!$C$9, 'Dataset_Wisata'!$A$12:$A$622, 0)))) * COS(RADIANS(C520)) * SIN(RADIANS((D520) - INDEX('Dataset_Wisata'!$D$12:$D$622, MATCH('Dashboard'!$C$9, 'Dataset_Wisata'!$A$12:$A$622, 0)))/2)^2)) * 1.3</f>
        <v/>
      </c>
      <c r="J520" s="21">
        <f>ROUND(I520 * IF('Dashboard'!$C$6&lt;=1, 2250, IF('Dashboard'!$C$6&lt;=4, 5150, 6000)), 0)</f>
        <v/>
      </c>
      <c r="K520" s="30" t="n">
        <v>0.9518906050943107</v>
      </c>
      <c r="L520" s="30" t="n">
        <v>0.04169660451397377</v>
      </c>
      <c r="M520" s="30" t="n">
        <v>0.006412790391715545</v>
      </c>
      <c r="N520" s="31">
        <f>ABS(E520-$F$6)</f>
        <v/>
      </c>
      <c r="O520" s="31">
        <f>ABS(E520-$F$7)</f>
        <v/>
      </c>
      <c r="P520" s="31">
        <f>ABS(E520-$F$8)</f>
        <v/>
      </c>
      <c r="Q520" s="14">
        <f>IF(K520&gt;=MAX(L520,M520), "Hemat", IF(L520&gt;=M520, "Balanced", "Premium"))</f>
        <v/>
      </c>
      <c r="R520" s="30" t="n">
        <v>0.9518906082621517</v>
      </c>
      <c r="S520" s="30" t="n">
        <v>0.04169660246361195</v>
      </c>
      <c r="T520" s="30" t="n">
        <v>0.006412789274236485</v>
      </c>
      <c r="U520" s="31">
        <f>ABS(E520-$G$6)</f>
        <v/>
      </c>
      <c r="V520" s="31">
        <f>ABS(E520-$G$7)</f>
        <v/>
      </c>
      <c r="W520" s="31">
        <f>ABS(E520-$G$8)</f>
        <v/>
      </c>
      <c r="X520" s="14">
        <f>IF(R520&gt;=MAX(S520,T520), "Hemat", IF(S520&gt;=T520, "Balanced", "Premium"))</f>
        <v/>
      </c>
    </row>
    <row r="521">
      <c r="A521" s="14" t="n">
        <v>510</v>
      </c>
      <c r="B521" s="7" t="inlineStr">
        <is>
          <t>Rawon Malang (Warung Biru)</t>
        </is>
      </c>
      <c r="C521" s="26" t="n">
        <v>-7.8946501</v>
      </c>
      <c r="D521" s="26" t="n">
        <v>112.5941258</v>
      </c>
      <c r="E521" s="21" t="n">
        <v>15000</v>
      </c>
      <c r="F521" s="27" t="n">
        <v>4.3</v>
      </c>
      <c r="G521" s="28" t="n">
        <v>368</v>
      </c>
      <c r="H521" s="14" t="inlineStr">
        <is>
          <t>Rawon Malang (Warung Biru)</t>
        </is>
      </c>
      <c r="I521" s="29">
        <f>6371 * 2 * ASIN(SQRT(SIN(RADIANS((C521) - INDEX('Dataset_Wisata'!$C$12:$C$622, MATCH('Dashboard'!$C$9, 'Dataset_Wisata'!$A$12:$A$622, 0)))/2)^2 + COS(RADIANS(INDEX('Dataset_Wisata'!$C$12:$C$622, MATCH('Dashboard'!$C$9, 'Dataset_Wisata'!$A$12:$A$622, 0)))) * COS(RADIANS(C521)) * SIN(RADIANS((D521) - INDEX('Dataset_Wisata'!$D$12:$D$622, MATCH('Dashboard'!$C$9, 'Dataset_Wisata'!$A$12:$A$622, 0)))/2)^2)) * 1.3</f>
        <v/>
      </c>
      <c r="J521" s="21">
        <f>ROUND(I521 * IF('Dashboard'!$C$6&lt;=1, 2250, IF('Dashboard'!$C$6&lt;=4, 5150, 6000)), 0)</f>
        <v/>
      </c>
      <c r="K521" s="30" t="n">
        <v>0.9686283169848018</v>
      </c>
      <c r="L521" s="30" t="n">
        <v>0.02872990537067274</v>
      </c>
      <c r="M521" s="30" t="n">
        <v>0.002641777644525457</v>
      </c>
      <c r="N521" s="31">
        <f>ABS(E521-$F$6)</f>
        <v/>
      </c>
      <c r="O521" s="31">
        <f>ABS(E521-$F$7)</f>
        <v/>
      </c>
      <c r="P521" s="31">
        <f>ABS(E521-$F$8)</f>
        <v/>
      </c>
      <c r="Q521" s="14">
        <f>IF(K521&gt;=MAX(L521,M521), "Hemat", IF(L521&gt;=M521, "Balanced", "Premium"))</f>
        <v/>
      </c>
      <c r="R521" s="30" t="n">
        <v>0.9686282798936615</v>
      </c>
      <c r="S521" s="30" t="n">
        <v>0.02872993996961344</v>
      </c>
      <c r="T521" s="30" t="n">
        <v>0.002641780136725144</v>
      </c>
      <c r="U521" s="31">
        <f>ABS(E521-$G$6)</f>
        <v/>
      </c>
      <c r="V521" s="31">
        <f>ABS(E521-$G$7)</f>
        <v/>
      </c>
      <c r="W521" s="31">
        <f>ABS(E521-$G$8)</f>
        <v/>
      </c>
      <c r="X521" s="14">
        <f>IF(R521&gt;=MAX(S521,T521), "Hemat", IF(S521&gt;=T521, "Balanced", "Premium"))</f>
        <v/>
      </c>
    </row>
    <row r="522">
      <c r="A522" s="14" t="n">
        <v>511</v>
      </c>
      <c r="B522" s="7" t="inlineStr">
        <is>
          <t>Latar Candi Singhasari</t>
        </is>
      </c>
      <c r="C522" s="26" t="n">
        <v>-7.8882495</v>
      </c>
      <c r="D522" s="26" t="n">
        <v>112.6638469</v>
      </c>
      <c r="E522" s="21" t="n">
        <v>17000</v>
      </c>
      <c r="F522" s="27" t="n">
        <v>4.4</v>
      </c>
      <c r="G522" s="28" t="n">
        <v>931</v>
      </c>
      <c r="H522" s="14" t="inlineStr">
        <is>
          <t>Wisata Umum</t>
        </is>
      </c>
      <c r="I522" s="29">
        <f>6371 * 2 * ASIN(SQRT(SIN(RADIANS((C522) - INDEX('Dataset_Wisata'!$C$12:$C$622, MATCH('Dashboard'!$C$9, 'Dataset_Wisata'!$A$12:$A$622, 0)))/2)^2 + COS(RADIANS(INDEX('Dataset_Wisata'!$C$12:$C$622, MATCH('Dashboard'!$C$9, 'Dataset_Wisata'!$A$12:$A$622, 0)))) * COS(RADIANS(C522)) * SIN(RADIANS((D522) - INDEX('Dataset_Wisata'!$D$12:$D$622, MATCH('Dashboard'!$C$9, 'Dataset_Wisata'!$A$12:$A$622, 0)))/2)^2)) * 1.3</f>
        <v/>
      </c>
      <c r="J522" s="21">
        <f>ROUND(I522 * IF('Dashboard'!$C$6&lt;=1, 2250, IF('Dashboard'!$C$6&lt;=4, 5150, 6000)), 0)</f>
        <v/>
      </c>
      <c r="K522" s="30" t="n">
        <v>0.8205766965551228</v>
      </c>
      <c r="L522" s="30" t="n">
        <v>0.1680685555538888</v>
      </c>
      <c r="M522" s="30" t="n">
        <v>0.01135474789098826</v>
      </c>
      <c r="N522" s="31">
        <f>ABS(E522-$F$6)</f>
        <v/>
      </c>
      <c r="O522" s="31">
        <f>ABS(E522-$F$7)</f>
        <v/>
      </c>
      <c r="P522" s="31">
        <f>ABS(E522-$F$8)</f>
        <v/>
      </c>
      <c r="Q522" s="14">
        <f>IF(K522&gt;=MAX(L522,M522), "Hemat", IF(L522&gt;=M522, "Balanced", "Premium"))</f>
        <v/>
      </c>
      <c r="R522" s="30" t="n">
        <v>0.8205765551569555</v>
      </c>
      <c r="S522" s="30" t="n">
        <v>0.1680686919268015</v>
      </c>
      <c r="T522" s="30" t="n">
        <v>0.01135475291624307</v>
      </c>
      <c r="U522" s="31">
        <f>ABS(E522-$G$6)</f>
        <v/>
      </c>
      <c r="V522" s="31">
        <f>ABS(E522-$G$7)</f>
        <v/>
      </c>
      <c r="W522" s="31">
        <f>ABS(E522-$G$8)</f>
        <v/>
      </c>
      <c r="X522" s="14">
        <f>IF(R522&gt;=MAX(S522,T522), "Hemat", IF(S522&gt;=T522, "Balanced", "Premium"))</f>
        <v/>
      </c>
    </row>
    <row r="523">
      <c r="A523" s="14" t="n">
        <v>512</v>
      </c>
      <c r="B523" s="7" t="inlineStr">
        <is>
          <t>Minarasa Ikan Bakar dan Oleh-oleh Sendangbiru</t>
        </is>
      </c>
      <c r="C523" s="26" t="n">
        <v>-8.4345844</v>
      </c>
      <c r="D523" s="26" t="n">
        <v>112.6820741</v>
      </c>
      <c r="E523" s="21" t="n">
        <v>50000</v>
      </c>
      <c r="F523" s="27" t="n">
        <v>4.8</v>
      </c>
      <c r="G523" s="28" t="n">
        <v>29</v>
      </c>
      <c r="H523" s="14" t="inlineStr">
        <is>
          <t>Wisata Umum</t>
        </is>
      </c>
      <c r="I523" s="29">
        <f>6371 * 2 * ASIN(SQRT(SIN(RADIANS((C523) - INDEX('Dataset_Wisata'!$C$12:$C$622, MATCH('Dashboard'!$C$9, 'Dataset_Wisata'!$A$12:$A$622, 0)))/2)^2 + COS(RADIANS(INDEX('Dataset_Wisata'!$C$12:$C$622, MATCH('Dashboard'!$C$9, 'Dataset_Wisata'!$A$12:$A$622, 0)))) * COS(RADIANS(C523)) * SIN(RADIANS((D523) - INDEX('Dataset_Wisata'!$D$12:$D$622, MATCH('Dashboard'!$C$9, 'Dataset_Wisata'!$A$12:$A$622, 0)))/2)^2)) * 1.3</f>
        <v/>
      </c>
      <c r="J523" s="21">
        <f>ROUND(I523 * IF('Dashboard'!$C$6&lt;=1, 2250, IF('Dashboard'!$C$6&lt;=4, 5150, 6000)), 0)</f>
        <v/>
      </c>
      <c r="K523" s="30" t="n">
        <v>0.0005038433926922162</v>
      </c>
      <c r="L523" s="30" t="n">
        <v>0.001123163088172388</v>
      </c>
      <c r="M523" s="30" t="n">
        <v>0.9983729935191353</v>
      </c>
      <c r="N523" s="31">
        <f>ABS(E523-$F$6)</f>
        <v/>
      </c>
      <c r="O523" s="31">
        <f>ABS(E523-$F$7)</f>
        <v/>
      </c>
      <c r="P523" s="31">
        <f>ABS(E523-$F$8)</f>
        <v/>
      </c>
      <c r="Q523" s="14">
        <f>IF(K523&gt;=MAX(L523,M523), "Hemat", IF(L523&gt;=M523, "Balanced", "Premium"))</f>
        <v/>
      </c>
      <c r="R523" s="30" t="n">
        <v>0.0005038487278861332</v>
      </c>
      <c r="S523" s="30" t="n">
        <v>0.001123174775994635</v>
      </c>
      <c r="T523" s="30" t="n">
        <v>0.9983729764961192</v>
      </c>
      <c r="U523" s="31">
        <f>ABS(E523-$G$6)</f>
        <v/>
      </c>
      <c r="V523" s="31">
        <f>ABS(E523-$G$7)</f>
        <v/>
      </c>
      <c r="W523" s="31">
        <f>ABS(E523-$G$8)</f>
        <v/>
      </c>
      <c r="X523" s="14">
        <f>IF(R523&gt;=MAX(S523,T523), "Hemat", IF(S523&gt;=T523, "Balanced", "Premium"))</f>
        <v/>
      </c>
    </row>
    <row r="524">
      <c r="A524" s="14" t="n">
        <v>513</v>
      </c>
      <c r="B524" s="7" t="inlineStr">
        <is>
          <t>warung hamur pedes</t>
        </is>
      </c>
      <c r="C524" s="26" t="n">
        <v>-8.1901694</v>
      </c>
      <c r="D524" s="26" t="n">
        <v>112.7044782</v>
      </c>
      <c r="E524" s="21" t="n">
        <v>18000</v>
      </c>
      <c r="F524" s="27" t="n">
        <v>4.6</v>
      </c>
      <c r="G524" s="28" t="n">
        <v>496</v>
      </c>
      <c r="H524" s="14" t="inlineStr">
        <is>
          <t>warung hamur pedes</t>
        </is>
      </c>
      <c r="I524" s="29">
        <f>6371 * 2 * ASIN(SQRT(SIN(RADIANS((C524) - INDEX('Dataset_Wisata'!$C$12:$C$622, MATCH('Dashboard'!$C$9, 'Dataset_Wisata'!$A$12:$A$622, 0)))/2)^2 + COS(RADIANS(INDEX('Dataset_Wisata'!$C$12:$C$622, MATCH('Dashboard'!$C$9, 'Dataset_Wisata'!$A$12:$A$622, 0)))) * COS(RADIANS(C524)) * SIN(RADIANS((D524) - INDEX('Dataset_Wisata'!$D$12:$D$622, MATCH('Dashboard'!$C$9, 'Dataset_Wisata'!$A$12:$A$622, 0)))/2)^2)) * 1.3</f>
        <v/>
      </c>
      <c r="J524" s="21">
        <f>ROUND(I524 * IF('Dashboard'!$C$6&lt;=1, 2250, IF('Dashboard'!$C$6&lt;=4, 5150, 6000)), 0)</f>
        <v/>
      </c>
      <c r="K524" s="30" t="n">
        <v>0.6916251733659831</v>
      </c>
      <c r="L524" s="30" t="n">
        <v>0.2920817970297536</v>
      </c>
      <c r="M524" s="30" t="n">
        <v>0.01629302960426341</v>
      </c>
      <c r="N524" s="31">
        <f>ABS(E524-$F$6)</f>
        <v/>
      </c>
      <c r="O524" s="31">
        <f>ABS(E524-$F$7)</f>
        <v/>
      </c>
      <c r="P524" s="31">
        <f>ABS(E524-$F$8)</f>
        <v/>
      </c>
      <c r="Q524" s="14">
        <f>IF(K524&gt;=MAX(L524,M524), "Hemat", IF(L524&gt;=M524, "Balanced", "Premium"))</f>
        <v/>
      </c>
      <c r="R524" s="30" t="n">
        <v>0.6916249652211897</v>
      </c>
      <c r="S524" s="30" t="n">
        <v>0.2920820010799081</v>
      </c>
      <c r="T524" s="30" t="n">
        <v>0.01629303369890229</v>
      </c>
      <c r="U524" s="31">
        <f>ABS(E524-$G$6)</f>
        <v/>
      </c>
      <c r="V524" s="31">
        <f>ABS(E524-$G$7)</f>
        <v/>
      </c>
      <c r="W524" s="31">
        <f>ABS(E524-$G$8)</f>
        <v/>
      </c>
      <c r="X524" s="14">
        <f>IF(R524&gt;=MAX(S524,T524), "Hemat", IF(S524&gt;=T524, "Balanced", "Premium"))</f>
        <v/>
      </c>
    </row>
    <row r="525">
      <c r="A525" s="14" t="n">
        <v>514</v>
      </c>
      <c r="B525" s="7" t="inlineStr">
        <is>
          <t>Warung Kediri Mbak Tutik</t>
        </is>
      </c>
      <c r="C525" s="26" t="n">
        <v>-8.212231600000001</v>
      </c>
      <c r="D525" s="26" t="n">
        <v>112.6929057</v>
      </c>
      <c r="E525" s="21" t="n">
        <v>9000</v>
      </c>
      <c r="F525" s="27" t="n">
        <v>4.5</v>
      </c>
      <c r="G525" s="28" t="n">
        <v>59</v>
      </c>
      <c r="H525" s="14" t="inlineStr">
        <is>
          <t>Warung Kediri Mbak Tutik</t>
        </is>
      </c>
      <c r="I525" s="29">
        <f>6371 * 2 * ASIN(SQRT(SIN(RADIANS((C525) - INDEX('Dataset_Wisata'!$C$12:$C$622, MATCH('Dashboard'!$C$9, 'Dataset_Wisata'!$A$12:$A$622, 0)))/2)^2 + COS(RADIANS(INDEX('Dataset_Wisata'!$C$12:$C$622, MATCH('Dashboard'!$C$9, 'Dataset_Wisata'!$A$12:$A$622, 0)))) * COS(RADIANS(C525)) * SIN(RADIANS((D525) - INDEX('Dataset_Wisata'!$D$12:$D$622, MATCH('Dashboard'!$C$9, 'Dataset_Wisata'!$A$12:$A$622, 0)))/2)^2)) * 1.3</f>
        <v/>
      </c>
      <c r="J525" s="21">
        <f>ROUND(I525 * IF('Dashboard'!$C$6&lt;=1, 2250, IF('Dashboard'!$C$6&lt;=4, 5150, 6000)), 0)</f>
        <v/>
      </c>
      <c r="K525" s="30" t="n">
        <v>0.928180477824419</v>
      </c>
      <c r="L525" s="30" t="n">
        <v>0.06160046714170742</v>
      </c>
      <c r="M525" s="30" t="n">
        <v>0.01021905503387346</v>
      </c>
      <c r="N525" s="31">
        <f>ABS(E525-$F$6)</f>
        <v/>
      </c>
      <c r="O525" s="31">
        <f>ABS(E525-$F$7)</f>
        <v/>
      </c>
      <c r="P525" s="31">
        <f>ABS(E525-$F$8)</f>
        <v/>
      </c>
      <c r="Q525" s="14">
        <f>IF(K525&gt;=MAX(L525,M525), "Hemat", IF(L525&gt;=M525, "Balanced", "Premium"))</f>
        <v/>
      </c>
      <c r="R525" s="30" t="n">
        <v>0.9281804774269427</v>
      </c>
      <c r="S525" s="30" t="n">
        <v>0.06160046844072192</v>
      </c>
      <c r="T525" s="30" t="n">
        <v>0.01021905413233554</v>
      </c>
      <c r="U525" s="31">
        <f>ABS(E525-$G$6)</f>
        <v/>
      </c>
      <c r="V525" s="31">
        <f>ABS(E525-$G$7)</f>
        <v/>
      </c>
      <c r="W525" s="31">
        <f>ABS(E525-$G$8)</f>
        <v/>
      </c>
      <c r="X525" s="14">
        <f>IF(R525&gt;=MAX(S525,T525), "Hemat", IF(S525&gt;=T525, "Balanced", "Premium"))</f>
        <v/>
      </c>
    </row>
    <row r="526">
      <c r="A526" s="14" t="n">
        <v>515</v>
      </c>
      <c r="B526" s="7" t="inlineStr">
        <is>
          <t>Warung Bu Sum Free Wifi ( Empat Sekawan )</t>
        </is>
      </c>
      <c r="C526" s="26" t="n">
        <v>-8.1993074</v>
      </c>
      <c r="D526" s="26" t="n">
        <v>112.6942798</v>
      </c>
      <c r="E526" s="21" t="n">
        <v>20000</v>
      </c>
      <c r="F526" s="27" t="n">
        <v>4.4</v>
      </c>
      <c r="G526" s="28" t="n">
        <v>87</v>
      </c>
      <c r="H526" s="14" t="inlineStr">
        <is>
          <t>Wisata Umum</t>
        </is>
      </c>
      <c r="I526" s="29">
        <f>6371 * 2 * ASIN(SQRT(SIN(RADIANS((C526) - INDEX('Dataset_Wisata'!$C$12:$C$622, MATCH('Dashboard'!$C$9, 'Dataset_Wisata'!$A$12:$A$622, 0)))/2)^2 + COS(RADIANS(INDEX('Dataset_Wisata'!$C$12:$C$622, MATCH('Dashboard'!$C$9, 'Dataset_Wisata'!$A$12:$A$622, 0)))) * COS(RADIANS(C526)) * SIN(RADIANS((D526) - INDEX('Dataset_Wisata'!$D$12:$D$622, MATCH('Dashboard'!$C$9, 'Dataset_Wisata'!$A$12:$A$622, 0)))/2)^2)) * 1.3</f>
        <v/>
      </c>
      <c r="J526" s="21">
        <f>ROUND(I526 * IF('Dashboard'!$C$6&lt;=1, 2250, IF('Dashboard'!$C$6&lt;=4, 5150, 6000)), 0)</f>
        <v/>
      </c>
      <c r="K526" s="30" t="n">
        <v>0.3766864462048385</v>
      </c>
      <c r="L526" s="30" t="n">
        <v>0.6029404273516955</v>
      </c>
      <c r="M526" s="30" t="n">
        <v>0.02037312644346593</v>
      </c>
      <c r="N526" s="31">
        <f>ABS(E526-$F$6)</f>
        <v/>
      </c>
      <c r="O526" s="31">
        <f>ABS(E526-$F$7)</f>
        <v/>
      </c>
      <c r="P526" s="31">
        <f>ABS(E526-$F$8)</f>
        <v/>
      </c>
      <c r="Q526" s="14">
        <f>IF(K526&gt;=MAX(L526,M526), "Hemat", IF(L526&gt;=M526, "Balanced", "Premium"))</f>
        <v/>
      </c>
      <c r="R526" s="30" t="n">
        <v>0.3766861717192874</v>
      </c>
      <c r="S526" s="30" t="n">
        <v>0.6029407066601674</v>
      </c>
      <c r="T526" s="30" t="n">
        <v>0.02037312162054524</v>
      </c>
      <c r="U526" s="31">
        <f>ABS(E526-$G$6)</f>
        <v/>
      </c>
      <c r="V526" s="31">
        <f>ABS(E526-$G$7)</f>
        <v/>
      </c>
      <c r="W526" s="31">
        <f>ABS(E526-$G$8)</f>
        <v/>
      </c>
      <c r="X526" s="14">
        <f>IF(R526&gt;=MAX(S526,T526), "Hemat", IF(S526&gt;=T526, "Balanced", "Premium"))</f>
        <v/>
      </c>
    </row>
    <row r="527">
      <c r="A527" s="14" t="n">
        <v>516</v>
      </c>
      <c r="B527" s="7" t="inlineStr">
        <is>
          <t>WARUNG MAKAN RU</t>
        </is>
      </c>
      <c r="C527" s="26" t="n">
        <v>-8.1979401</v>
      </c>
      <c r="D527" s="26" t="n">
        <v>112.7236732</v>
      </c>
      <c r="E527" s="21" t="n">
        <v>10000</v>
      </c>
      <c r="F527" s="27" t="n">
        <v>4.7</v>
      </c>
      <c r="G527" s="28" t="n">
        <v>32</v>
      </c>
      <c r="H527" s="14" t="inlineStr">
        <is>
          <t>WARUNG MAKAN RU</t>
        </is>
      </c>
      <c r="I527" s="29">
        <f>6371 * 2 * ASIN(SQRT(SIN(RADIANS((C527) - INDEX('Dataset_Wisata'!$C$12:$C$622, MATCH('Dashboard'!$C$9, 'Dataset_Wisata'!$A$12:$A$622, 0)))/2)^2 + COS(RADIANS(INDEX('Dataset_Wisata'!$C$12:$C$622, MATCH('Dashboard'!$C$9, 'Dataset_Wisata'!$A$12:$A$622, 0)))) * COS(RADIANS(C527)) * SIN(RADIANS((D527) - INDEX('Dataset_Wisata'!$D$12:$D$622, MATCH('Dashboard'!$C$9, 'Dataset_Wisata'!$A$12:$A$622, 0)))/2)^2)) * 1.3</f>
        <v/>
      </c>
      <c r="J527" s="21">
        <f>ROUND(I527 * IF('Dashboard'!$C$6&lt;=1, 2250, IF('Dashboard'!$C$6&lt;=4, 5150, 6000)), 0)</f>
        <v/>
      </c>
      <c r="K527" s="30" t="n">
        <v>0.9518906050943107</v>
      </c>
      <c r="L527" s="30" t="n">
        <v>0.04169660451397377</v>
      </c>
      <c r="M527" s="30" t="n">
        <v>0.006412790391715545</v>
      </c>
      <c r="N527" s="31">
        <f>ABS(E527-$F$6)</f>
        <v/>
      </c>
      <c r="O527" s="31">
        <f>ABS(E527-$F$7)</f>
        <v/>
      </c>
      <c r="P527" s="31">
        <f>ABS(E527-$F$8)</f>
        <v/>
      </c>
      <c r="Q527" s="14">
        <f>IF(K527&gt;=MAX(L527,M527), "Hemat", IF(L527&gt;=M527, "Balanced", "Premium"))</f>
        <v/>
      </c>
      <c r="R527" s="30" t="n">
        <v>0.9518906082621517</v>
      </c>
      <c r="S527" s="30" t="n">
        <v>0.04169660246361195</v>
      </c>
      <c r="T527" s="30" t="n">
        <v>0.006412789274236485</v>
      </c>
      <c r="U527" s="31">
        <f>ABS(E527-$G$6)</f>
        <v/>
      </c>
      <c r="V527" s="31">
        <f>ABS(E527-$G$7)</f>
        <v/>
      </c>
      <c r="W527" s="31">
        <f>ABS(E527-$G$8)</f>
        <v/>
      </c>
      <c r="X527" s="14">
        <f>IF(R527&gt;=MAX(S527,T527), "Hemat", IF(S527&gt;=T527, "Balanced", "Premium"))</f>
        <v/>
      </c>
    </row>
    <row r="528">
      <c r="A528" s="14" t="n">
        <v>517</v>
      </c>
      <c r="B528" s="7" t="inlineStr">
        <is>
          <t>Warung Ireng</t>
        </is>
      </c>
      <c r="C528" s="26" t="n">
        <v>-8.2008536</v>
      </c>
      <c r="D528" s="26" t="n">
        <v>112.691831</v>
      </c>
      <c r="E528" s="21" t="n">
        <v>22400</v>
      </c>
      <c r="F528" s="27" t="n">
        <v>4.2</v>
      </c>
      <c r="G528" s="28" t="n">
        <v>32</v>
      </c>
      <c r="H528" s="14" t="inlineStr">
        <is>
          <t>Warung Ireng</t>
        </is>
      </c>
      <c r="I528" s="29">
        <f>6371 * 2 * ASIN(SQRT(SIN(RADIANS((C528) - INDEX('Dataset_Wisata'!$C$12:$C$622, MATCH('Dashboard'!$C$9, 'Dataset_Wisata'!$A$12:$A$622, 0)))/2)^2 + COS(RADIANS(INDEX('Dataset_Wisata'!$C$12:$C$622, MATCH('Dashboard'!$C$9, 'Dataset_Wisata'!$A$12:$A$622, 0)))) * COS(RADIANS(C528)) * SIN(RADIANS((D528) - INDEX('Dataset_Wisata'!$D$12:$D$622, MATCH('Dashboard'!$C$9, 'Dataset_Wisata'!$A$12:$A$622, 0)))/2)^2)) * 1.3</f>
        <v/>
      </c>
      <c r="J528" s="21">
        <f>ROUND(I528 * IF('Dashboard'!$C$6&lt;=1, 2250, IF('Dashboard'!$C$6&lt;=4, 5150, 6000)), 0)</f>
        <v/>
      </c>
      <c r="K528" s="30" t="n">
        <v>0.09321025547634805</v>
      </c>
      <c r="L528" s="30" t="n">
        <v>0.8958204918737031</v>
      </c>
      <c r="M528" s="30" t="n">
        <v>0.01096925264994888</v>
      </c>
      <c r="N528" s="31">
        <f>ABS(E528-$F$6)</f>
        <v/>
      </c>
      <c r="O528" s="31">
        <f>ABS(E528-$F$7)</f>
        <v/>
      </c>
      <c r="P528" s="31">
        <f>ABS(E528-$F$8)</f>
        <v/>
      </c>
      <c r="Q528" s="14">
        <f>IF(K528&gt;=MAX(L528,M528), "Hemat", IF(L528&gt;=M528, "Balanced", "Premium"))</f>
        <v/>
      </c>
      <c r="R528" s="30" t="n">
        <v>0.09321009189338168</v>
      </c>
      <c r="S528" s="30" t="n">
        <v>0.8958206695609796</v>
      </c>
      <c r="T528" s="30" t="n">
        <v>0.01096923854563875</v>
      </c>
      <c r="U528" s="31">
        <f>ABS(E528-$G$6)</f>
        <v/>
      </c>
      <c r="V528" s="31">
        <f>ABS(E528-$G$7)</f>
        <v/>
      </c>
      <c r="W528" s="31">
        <f>ABS(E528-$G$8)</f>
        <v/>
      </c>
      <c r="X528" s="14">
        <f>IF(R528&gt;=MAX(S528,T528), "Hemat", IF(S528&gt;=T528, "Balanced", "Premium"))</f>
        <v/>
      </c>
    </row>
    <row r="529">
      <c r="A529" s="14" t="n">
        <v>518</v>
      </c>
      <c r="B529" s="7" t="inlineStr">
        <is>
          <t>Warung Pak Untung</t>
        </is>
      </c>
      <c r="C529" s="26" t="n">
        <v>-8.1847137</v>
      </c>
      <c r="D529" s="26" t="n">
        <v>112.6960826</v>
      </c>
      <c r="E529" s="21" t="n">
        <v>10000</v>
      </c>
      <c r="F529" s="27" t="n">
        <v>4.4</v>
      </c>
      <c r="G529" s="28" t="n">
        <v>1425</v>
      </c>
      <c r="H529" s="14" t="inlineStr">
        <is>
          <t>Warung Pak Untung</t>
        </is>
      </c>
      <c r="I529" s="29">
        <f>6371 * 2 * ASIN(SQRT(SIN(RADIANS((C529) - INDEX('Dataset_Wisata'!$C$12:$C$622, MATCH('Dashboard'!$C$9, 'Dataset_Wisata'!$A$12:$A$622, 0)))/2)^2 + COS(RADIANS(INDEX('Dataset_Wisata'!$C$12:$C$622, MATCH('Dashboard'!$C$9, 'Dataset_Wisata'!$A$12:$A$622, 0)))) * COS(RADIANS(C529)) * SIN(RADIANS((D529) - INDEX('Dataset_Wisata'!$D$12:$D$622, MATCH('Dashboard'!$C$9, 'Dataset_Wisata'!$A$12:$A$622, 0)))/2)^2)) * 1.3</f>
        <v/>
      </c>
      <c r="J529" s="21">
        <f>ROUND(I529 * IF('Dashboard'!$C$6&lt;=1, 2250, IF('Dashboard'!$C$6&lt;=4, 5150, 6000)), 0)</f>
        <v/>
      </c>
      <c r="K529" s="30" t="n">
        <v>0.9518906050943107</v>
      </c>
      <c r="L529" s="30" t="n">
        <v>0.04169660451397377</v>
      </c>
      <c r="M529" s="30" t="n">
        <v>0.006412790391715545</v>
      </c>
      <c r="N529" s="31">
        <f>ABS(E529-$F$6)</f>
        <v/>
      </c>
      <c r="O529" s="31">
        <f>ABS(E529-$F$7)</f>
        <v/>
      </c>
      <c r="P529" s="31">
        <f>ABS(E529-$F$8)</f>
        <v/>
      </c>
      <c r="Q529" s="14">
        <f>IF(K529&gt;=MAX(L529,M529), "Hemat", IF(L529&gt;=M529, "Balanced", "Premium"))</f>
        <v/>
      </c>
      <c r="R529" s="30" t="n">
        <v>0.9518906082621517</v>
      </c>
      <c r="S529" s="30" t="n">
        <v>0.04169660246361195</v>
      </c>
      <c r="T529" s="30" t="n">
        <v>0.006412789274236485</v>
      </c>
      <c r="U529" s="31">
        <f>ABS(E529-$G$6)</f>
        <v/>
      </c>
      <c r="V529" s="31">
        <f>ABS(E529-$G$7)</f>
        <v/>
      </c>
      <c r="W529" s="31">
        <f>ABS(E529-$G$8)</f>
        <v/>
      </c>
      <c r="X529" s="14">
        <f>IF(R529&gt;=MAX(S529,T529), "Hemat", IF(S529&gt;=T529, "Balanced", "Premium"))</f>
        <v/>
      </c>
    </row>
    <row r="530">
      <c r="A530" s="14" t="n">
        <v>519</v>
      </c>
      <c r="B530" s="7" t="inlineStr">
        <is>
          <t>WARUNG MINTHEN</t>
        </is>
      </c>
      <c r="C530" s="26" t="n">
        <v>-8.239879</v>
      </c>
      <c r="D530" s="26" t="n">
        <v>112.6820011</v>
      </c>
      <c r="E530" s="21" t="n">
        <v>13000</v>
      </c>
      <c r="F530" s="27" t="n">
        <v>4.3</v>
      </c>
      <c r="G530" s="28" t="n">
        <v>61</v>
      </c>
      <c r="H530" s="14" t="inlineStr">
        <is>
          <t>WARUNG MINTHEN</t>
        </is>
      </c>
      <c r="I530" s="29">
        <f>6371 * 2 * ASIN(SQRT(SIN(RADIANS((C530) - INDEX('Dataset_Wisata'!$C$12:$C$622, MATCH('Dashboard'!$C$9, 'Dataset_Wisata'!$A$12:$A$622, 0)))/2)^2 + COS(RADIANS(INDEX('Dataset_Wisata'!$C$12:$C$622, MATCH('Dashboard'!$C$9, 'Dataset_Wisata'!$A$12:$A$622, 0)))) * COS(RADIANS(C530)) * SIN(RADIANS((D530) - INDEX('Dataset_Wisata'!$D$12:$D$622, MATCH('Dashboard'!$C$9, 'Dataset_Wisata'!$A$12:$A$622, 0)))/2)^2)) * 1.3</f>
        <v/>
      </c>
      <c r="J530" s="21">
        <f>ROUND(I530 * IF('Dashboard'!$C$6&lt;=1, 2250, IF('Dashboard'!$C$6&lt;=4, 5150, 6000)), 0)</f>
        <v/>
      </c>
      <c r="K530" s="30" t="n">
        <v>0.9996613401455278</v>
      </c>
      <c r="L530" s="30" t="n">
        <v>0.0003032413982241428</v>
      </c>
      <c r="M530" s="30" t="n">
        <v>3.541845624800055e-05</v>
      </c>
      <c r="N530" s="31">
        <f>ABS(E530-$F$6)</f>
        <v/>
      </c>
      <c r="O530" s="31">
        <f>ABS(E530-$F$7)</f>
        <v/>
      </c>
      <c r="P530" s="31">
        <f>ABS(E530-$F$8)</f>
        <v/>
      </c>
      <c r="Q530" s="14">
        <f>IF(K530&gt;=MAX(L530,M530), "Hemat", IF(L530&gt;=M530, "Balanced", "Premium"))</f>
        <v/>
      </c>
      <c r="R530" s="30" t="n">
        <v>0.9996613420378273</v>
      </c>
      <c r="S530" s="30" t="n">
        <v>0.0003032397098959421</v>
      </c>
      <c r="T530" s="30" t="n">
        <v>3.541825227674828e-05</v>
      </c>
      <c r="U530" s="31">
        <f>ABS(E530-$G$6)</f>
        <v/>
      </c>
      <c r="V530" s="31">
        <f>ABS(E530-$G$7)</f>
        <v/>
      </c>
      <c r="W530" s="31">
        <f>ABS(E530-$G$8)</f>
        <v/>
      </c>
      <c r="X530" s="14">
        <f>IF(R530&gt;=MAX(S530,T530), "Hemat", IF(S530&gt;=T530, "Balanced", "Premium"))</f>
        <v/>
      </c>
    </row>
    <row r="531">
      <c r="A531" s="14" t="n">
        <v>520</v>
      </c>
      <c r="B531" s="7" t="inlineStr">
        <is>
          <t>KEDAI KONGKOW JAJANAN GOWER TALOK</t>
        </is>
      </c>
      <c r="C531" s="26" t="n">
        <v>-8.1939539</v>
      </c>
      <c r="D531" s="26" t="n">
        <v>112.6932714</v>
      </c>
      <c r="E531" s="21" t="n">
        <v>25000</v>
      </c>
      <c r="F531" s="27" t="n">
        <v>4.4</v>
      </c>
      <c r="G531" s="28" t="n">
        <v>28</v>
      </c>
      <c r="H531" s="14" t="inlineStr">
        <is>
          <t>Wisata Umum</t>
        </is>
      </c>
      <c r="I531" s="29">
        <f>6371 * 2 * ASIN(SQRT(SIN(RADIANS((C531) - INDEX('Dataset_Wisata'!$C$12:$C$622, MATCH('Dashboard'!$C$9, 'Dataset_Wisata'!$A$12:$A$622, 0)))/2)^2 + COS(RADIANS(INDEX('Dataset_Wisata'!$C$12:$C$622, MATCH('Dashboard'!$C$9, 'Dataset_Wisata'!$A$12:$A$622, 0)))) * COS(RADIANS(C531)) * SIN(RADIANS((D531) - INDEX('Dataset_Wisata'!$D$12:$D$622, MATCH('Dashboard'!$C$9, 'Dataset_Wisata'!$A$12:$A$622, 0)))/2)^2)) * 1.3</f>
        <v/>
      </c>
      <c r="J531" s="21">
        <f>ROUND(I531 * IF('Dashboard'!$C$6&lt;=1, 2250, IF('Dashboard'!$C$6&lt;=4, 5150, 6000)), 0)</f>
        <v/>
      </c>
      <c r="K531" s="30" t="n">
        <v>0.0009460509590550509</v>
      </c>
      <c r="L531" s="30" t="n">
        <v>0.9988291129147837</v>
      </c>
      <c r="M531" s="30" t="n">
        <v>0.0002248361261612175</v>
      </c>
      <c r="N531" s="31">
        <f>ABS(E531-$F$6)</f>
        <v/>
      </c>
      <c r="O531" s="31">
        <f>ABS(E531-$F$7)</f>
        <v/>
      </c>
      <c r="P531" s="31">
        <f>ABS(E531-$F$8)</f>
        <v/>
      </c>
      <c r="Q531" s="14">
        <f>IF(K531&gt;=MAX(L531,M531), "Hemat", IF(L531&gt;=M531, "Balanced", "Premium"))</f>
        <v/>
      </c>
      <c r="R531" s="30" t="n">
        <v>0.0009460368639408893</v>
      </c>
      <c r="S531" s="30" t="n">
        <v>0.998829130253259</v>
      </c>
      <c r="T531" s="30" t="n">
        <v>0.0002248328828000856</v>
      </c>
      <c r="U531" s="31">
        <f>ABS(E531-$G$6)</f>
        <v/>
      </c>
      <c r="V531" s="31">
        <f>ABS(E531-$G$7)</f>
        <v/>
      </c>
      <c r="W531" s="31">
        <f>ABS(E531-$G$8)</f>
        <v/>
      </c>
      <c r="X531" s="14">
        <f>IF(R531&gt;=MAX(S531,T531), "Hemat", IF(S531&gt;=T531, "Balanced", "Premium"))</f>
        <v/>
      </c>
    </row>
    <row r="532">
      <c r="A532" s="14" t="n">
        <v>521</v>
      </c>
      <c r="B532" s="7" t="inlineStr">
        <is>
          <t>Warung hijau</t>
        </is>
      </c>
      <c r="C532" s="26" t="n">
        <v>-8.195131399999999</v>
      </c>
      <c r="D532" s="26" t="n">
        <v>112.6920903</v>
      </c>
      <c r="E532" s="21" t="n">
        <v>22000</v>
      </c>
      <c r="F532" s="27" t="n">
        <v>4.1</v>
      </c>
      <c r="G532" s="28" t="n">
        <v>37</v>
      </c>
      <c r="H532" s="14" t="inlineStr">
        <is>
          <t>Warung hijau</t>
        </is>
      </c>
      <c r="I532" s="29">
        <f>6371 * 2 * ASIN(SQRT(SIN(RADIANS((C532) - INDEX('Dataset_Wisata'!$C$12:$C$622, MATCH('Dashboard'!$C$9, 'Dataset_Wisata'!$A$12:$A$622, 0)))/2)^2 + COS(RADIANS(INDEX('Dataset_Wisata'!$C$12:$C$622, MATCH('Dashboard'!$C$9, 'Dataset_Wisata'!$A$12:$A$622, 0)))) * COS(RADIANS(C532)) * SIN(RADIANS((D532) - INDEX('Dataset_Wisata'!$D$12:$D$622, MATCH('Dashboard'!$C$9, 'Dataset_Wisata'!$A$12:$A$622, 0)))/2)^2)) * 1.3</f>
        <v/>
      </c>
      <c r="J532" s="21">
        <f>ROUND(I532 * IF('Dashboard'!$C$6&lt;=1, 2250, IF('Dashboard'!$C$6&lt;=4, 5150, 6000)), 0)</f>
        <v/>
      </c>
      <c r="K532" s="30" t="n">
        <v>0.1261169361072687</v>
      </c>
      <c r="L532" s="30" t="n">
        <v>0.8607026272442547</v>
      </c>
      <c r="M532" s="30" t="n">
        <v>0.01318043664847662</v>
      </c>
      <c r="N532" s="31">
        <f>ABS(E532-$F$6)</f>
        <v/>
      </c>
      <c r="O532" s="31">
        <f>ABS(E532-$F$7)</f>
        <v/>
      </c>
      <c r="P532" s="31">
        <f>ABS(E532-$F$8)</f>
        <v/>
      </c>
      <c r="Q532" s="14">
        <f>IF(K532&gt;=MAX(L532,M532), "Hemat", IF(L532&gt;=M532, "Balanced", "Premium"))</f>
        <v/>
      </c>
      <c r="R532" s="30" t="n">
        <v>0.126116746000083</v>
      </c>
      <c r="S532" s="30" t="n">
        <v>0.8607028310146635</v>
      </c>
      <c r="T532" s="30" t="n">
        <v>0.01318042298525341</v>
      </c>
      <c r="U532" s="31">
        <f>ABS(E532-$G$6)</f>
        <v/>
      </c>
      <c r="V532" s="31">
        <f>ABS(E532-$G$7)</f>
        <v/>
      </c>
      <c r="W532" s="31">
        <f>ABS(E532-$G$8)</f>
        <v/>
      </c>
      <c r="X532" s="14">
        <f>IF(R532&gt;=MAX(S532,T532), "Hemat", IF(S532&gt;=T532, "Balanced", "Premium"))</f>
        <v/>
      </c>
    </row>
    <row r="533">
      <c r="A533" s="14" t="n">
        <v>522</v>
      </c>
      <c r="B533" s="7" t="inlineStr">
        <is>
          <t>Warung Mak Pur</t>
        </is>
      </c>
      <c r="C533" s="26" t="n">
        <v>-8.195916</v>
      </c>
      <c r="D533" s="26" t="n">
        <v>112.691436</v>
      </c>
      <c r="E533" s="21" t="n">
        <v>11250</v>
      </c>
      <c r="F533" s="27" t="n">
        <v>4.5</v>
      </c>
      <c r="G533" s="28" t="n">
        <v>30</v>
      </c>
      <c r="H533" s="14" t="inlineStr">
        <is>
          <t>Warung Mak Pur</t>
        </is>
      </c>
      <c r="I533" s="29">
        <f>6371 * 2 * ASIN(SQRT(SIN(RADIANS((C533) - INDEX('Dataset_Wisata'!$C$12:$C$622, MATCH('Dashboard'!$C$9, 'Dataset_Wisata'!$A$12:$A$622, 0)))/2)^2 + COS(RADIANS(INDEX('Dataset_Wisata'!$C$12:$C$622, MATCH('Dashboard'!$C$9, 'Dataset_Wisata'!$A$12:$A$622, 0)))) * COS(RADIANS(C533)) * SIN(RADIANS((D533) - INDEX('Dataset_Wisata'!$D$12:$D$622, MATCH('Dashboard'!$C$9, 'Dataset_Wisata'!$A$12:$A$622, 0)))/2)^2)) * 1.3</f>
        <v/>
      </c>
      <c r="J533" s="21">
        <f>ROUND(I533 * IF('Dashboard'!$C$6&lt;=1, 2250, IF('Dashboard'!$C$6&lt;=4, 5150, 6000)), 0)</f>
        <v/>
      </c>
      <c r="K533" s="30" t="n">
        <v>0.9783982477961276</v>
      </c>
      <c r="L533" s="30" t="n">
        <v>0.01897413971805154</v>
      </c>
      <c r="M533" s="30" t="n">
        <v>0.002627612485820865</v>
      </c>
      <c r="N533" s="31">
        <f>ABS(E533-$F$6)</f>
        <v/>
      </c>
      <c r="O533" s="31">
        <f>ABS(E533-$F$7)</f>
        <v/>
      </c>
      <c r="P533" s="31">
        <f>ABS(E533-$F$8)</f>
        <v/>
      </c>
      <c r="Q533" s="14">
        <f>IF(K533&gt;=MAX(L533,M533), "Hemat", IF(L533&gt;=M533, "Balanced", "Premium"))</f>
        <v/>
      </c>
      <c r="R533" s="30" t="n">
        <v>0.9783982540382206</v>
      </c>
      <c r="S533" s="30" t="n">
        <v>0.01897413457831565</v>
      </c>
      <c r="T533" s="30" t="n">
        <v>0.002627611383463898</v>
      </c>
      <c r="U533" s="31">
        <f>ABS(E533-$G$6)</f>
        <v/>
      </c>
      <c r="V533" s="31">
        <f>ABS(E533-$G$7)</f>
        <v/>
      </c>
      <c r="W533" s="31">
        <f>ABS(E533-$G$8)</f>
        <v/>
      </c>
      <c r="X533" s="14">
        <f>IF(R533&gt;=MAX(S533,T533), "Hemat", IF(S533&gt;=T533, "Balanced", "Premium"))</f>
        <v/>
      </c>
    </row>
    <row r="534">
      <c r="A534" s="14" t="n">
        <v>523</v>
      </c>
      <c r="B534" s="7" t="inlineStr">
        <is>
          <t>Nana Food</t>
        </is>
      </c>
      <c r="C534" s="26" t="n">
        <v>-8.1964405</v>
      </c>
      <c r="D534" s="26" t="n">
        <v>112.6921005</v>
      </c>
      <c r="E534" s="21" t="n">
        <v>18750</v>
      </c>
      <c r="F534" s="27" t="n">
        <v>4</v>
      </c>
      <c r="G534" s="28" t="n">
        <v>111</v>
      </c>
      <c r="H534" s="14" t="inlineStr">
        <is>
          <t>Wisata Umum</t>
        </is>
      </c>
      <c r="I534" s="29">
        <f>6371 * 2 * ASIN(SQRT(SIN(RADIANS((C534) - INDEX('Dataset_Wisata'!$C$12:$C$622, MATCH('Dashboard'!$C$9, 'Dataset_Wisata'!$A$12:$A$622, 0)))/2)^2 + COS(RADIANS(INDEX('Dataset_Wisata'!$C$12:$C$622, MATCH('Dashboard'!$C$9, 'Dataset_Wisata'!$A$12:$A$622, 0)))) * COS(RADIANS(C534)) * SIN(RADIANS((D534) - INDEX('Dataset_Wisata'!$D$12:$D$622, MATCH('Dashboard'!$C$9, 'Dataset_Wisata'!$A$12:$A$622, 0)))/2)^2)) * 1.3</f>
        <v/>
      </c>
      <c r="J534" s="21">
        <f>ROUND(I534 * IF('Dashboard'!$C$6&lt;=1, 2250, IF('Dashboard'!$C$6&lt;=4, 5150, 6000)), 0)</f>
        <v/>
      </c>
      <c r="K534" s="30" t="n">
        <v>0.5768244318981511</v>
      </c>
      <c r="L534" s="30" t="n">
        <v>0.4040855396098681</v>
      </c>
      <c r="M534" s="30" t="n">
        <v>0.01909002849198083</v>
      </c>
      <c r="N534" s="31">
        <f>ABS(E534-$F$6)</f>
        <v/>
      </c>
      <c r="O534" s="31">
        <f>ABS(E534-$F$7)</f>
        <v/>
      </c>
      <c r="P534" s="31">
        <f>ABS(E534-$F$8)</f>
        <v/>
      </c>
      <c r="Q534" s="14">
        <f>IF(K534&gt;=MAX(L534,M534), "Hemat", IF(L534&gt;=M534, "Balanced", "Premium"))</f>
        <v/>
      </c>
      <c r="R534" s="30" t="n">
        <v>0.576824182412409</v>
      </c>
      <c r="S534" s="30" t="n">
        <v>0.4040857873758288</v>
      </c>
      <c r="T534" s="30" t="n">
        <v>0.01909003021176225</v>
      </c>
      <c r="U534" s="31">
        <f>ABS(E534-$G$6)</f>
        <v/>
      </c>
      <c r="V534" s="31">
        <f>ABS(E534-$G$7)</f>
        <v/>
      </c>
      <c r="W534" s="31">
        <f>ABS(E534-$G$8)</f>
        <v/>
      </c>
      <c r="X534" s="14">
        <f>IF(R534&gt;=MAX(S534,T534), "Hemat", IF(S534&gt;=T534, "Balanced", "Premium"))</f>
        <v/>
      </c>
    </row>
    <row r="535">
      <c r="A535" s="14" t="n">
        <v>524</v>
      </c>
      <c r="B535" s="7" t="inlineStr">
        <is>
          <t>Warung Rawon Iga</t>
        </is>
      </c>
      <c r="C535" s="26" t="n">
        <v>-8.179391300000001</v>
      </c>
      <c r="D535" s="26" t="n">
        <v>112.6896248</v>
      </c>
      <c r="E535" s="21" t="n">
        <v>15500</v>
      </c>
      <c r="F535" s="27" t="n">
        <v>4.4</v>
      </c>
      <c r="G535" s="28" t="n">
        <v>99</v>
      </c>
      <c r="H535" s="14" t="inlineStr">
        <is>
          <t>Warung Rawon Iga</t>
        </is>
      </c>
      <c r="I535" s="29">
        <f>6371 * 2 * ASIN(SQRT(SIN(RADIANS((C535) - INDEX('Dataset_Wisata'!$C$12:$C$622, MATCH('Dashboard'!$C$9, 'Dataset_Wisata'!$A$12:$A$622, 0)))/2)^2 + COS(RADIANS(INDEX('Dataset_Wisata'!$C$12:$C$622, MATCH('Dashboard'!$C$9, 'Dataset_Wisata'!$A$12:$A$622, 0)))) * COS(RADIANS(C535)) * SIN(RADIANS((D535) - INDEX('Dataset_Wisata'!$D$12:$D$622, MATCH('Dashboard'!$C$9, 'Dataset_Wisata'!$A$12:$A$622, 0)))/2)^2)) * 1.3</f>
        <v/>
      </c>
      <c r="J535" s="21">
        <f>ROUND(I535 * IF('Dashboard'!$C$6&lt;=1, 2250, IF('Dashboard'!$C$6&lt;=4, 5150, 6000)), 0)</f>
        <v/>
      </c>
      <c r="K535" s="30" t="n">
        <v>0.9449432442408515</v>
      </c>
      <c r="L535" s="30" t="n">
        <v>0.05070687831140908</v>
      </c>
      <c r="M535" s="30" t="n">
        <v>0.004349877447739512</v>
      </c>
      <c r="N535" s="31">
        <f>ABS(E535-$F$6)</f>
        <v/>
      </c>
      <c r="O535" s="31">
        <f>ABS(E535-$F$7)</f>
        <v/>
      </c>
      <c r="P535" s="31">
        <f>ABS(E535-$F$8)</f>
        <v/>
      </c>
      <c r="Q535" s="14">
        <f>IF(K535&gt;=MAX(L535,M535), "Hemat", IF(L535&gt;=M535, "Balanced", "Premium"))</f>
        <v/>
      </c>
      <c r="R535" s="30" t="n">
        <v>0.944943187640449</v>
      </c>
      <c r="S535" s="30" t="n">
        <v>0.05070693157515045</v>
      </c>
      <c r="T535" s="30" t="n">
        <v>0.004349880784400502</v>
      </c>
      <c r="U535" s="31">
        <f>ABS(E535-$G$6)</f>
        <v/>
      </c>
      <c r="V535" s="31">
        <f>ABS(E535-$G$7)</f>
        <v/>
      </c>
      <c r="W535" s="31">
        <f>ABS(E535-$G$8)</f>
        <v/>
      </c>
      <c r="X535" s="14">
        <f>IF(R535&gt;=MAX(S535,T535), "Hemat", IF(S535&gt;=T535, "Balanced", "Premium"))</f>
        <v/>
      </c>
    </row>
    <row r="536">
      <c r="A536" s="14" t="n">
        <v>525</v>
      </c>
      <c r="B536" s="7" t="inlineStr">
        <is>
          <t>Rumah Makan Lalapan</t>
        </is>
      </c>
      <c r="C536" s="26" t="n">
        <v>-8.1719896</v>
      </c>
      <c r="D536" s="26" t="n">
        <v>112.6689191</v>
      </c>
      <c r="E536" s="21" t="n">
        <v>20000</v>
      </c>
      <c r="F536" s="27" t="n">
        <v>4.5</v>
      </c>
      <c r="G536" s="28" t="n">
        <v>37</v>
      </c>
      <c r="H536" s="14" t="inlineStr">
        <is>
          <t>Wisata Umum</t>
        </is>
      </c>
      <c r="I536" s="29">
        <f>6371 * 2 * ASIN(SQRT(SIN(RADIANS((C536) - INDEX('Dataset_Wisata'!$C$12:$C$622, MATCH('Dashboard'!$C$9, 'Dataset_Wisata'!$A$12:$A$622, 0)))/2)^2 + COS(RADIANS(INDEX('Dataset_Wisata'!$C$12:$C$622, MATCH('Dashboard'!$C$9, 'Dataset_Wisata'!$A$12:$A$622, 0)))) * COS(RADIANS(C536)) * SIN(RADIANS((D536) - INDEX('Dataset_Wisata'!$D$12:$D$622, MATCH('Dashboard'!$C$9, 'Dataset_Wisata'!$A$12:$A$622, 0)))/2)^2)) * 1.3</f>
        <v/>
      </c>
      <c r="J536" s="21">
        <f>ROUND(I536 * IF('Dashboard'!$C$6&lt;=1, 2250, IF('Dashboard'!$C$6&lt;=4, 5150, 6000)), 0)</f>
        <v/>
      </c>
      <c r="K536" s="30" t="n">
        <v>0.3766864462048385</v>
      </c>
      <c r="L536" s="30" t="n">
        <v>0.6029404273516955</v>
      </c>
      <c r="M536" s="30" t="n">
        <v>0.02037312644346593</v>
      </c>
      <c r="N536" s="31">
        <f>ABS(E536-$F$6)</f>
        <v/>
      </c>
      <c r="O536" s="31">
        <f>ABS(E536-$F$7)</f>
        <v/>
      </c>
      <c r="P536" s="31">
        <f>ABS(E536-$F$8)</f>
        <v/>
      </c>
      <c r="Q536" s="14">
        <f>IF(K536&gt;=MAX(L536,M536), "Hemat", IF(L536&gt;=M536, "Balanced", "Premium"))</f>
        <v/>
      </c>
      <c r="R536" s="30" t="n">
        <v>0.3766861717192874</v>
      </c>
      <c r="S536" s="30" t="n">
        <v>0.6029407066601674</v>
      </c>
      <c r="T536" s="30" t="n">
        <v>0.02037312162054524</v>
      </c>
      <c r="U536" s="31">
        <f>ABS(E536-$G$6)</f>
        <v/>
      </c>
      <c r="V536" s="31">
        <f>ABS(E536-$G$7)</f>
        <v/>
      </c>
      <c r="W536" s="31">
        <f>ABS(E536-$G$8)</f>
        <v/>
      </c>
      <c r="X536" s="14">
        <f>IF(R536&gt;=MAX(S536,T536), "Hemat", IF(S536&gt;=T536, "Balanced", "Premium"))</f>
        <v/>
      </c>
    </row>
    <row r="537">
      <c r="A537" s="14" t="n">
        <v>526</v>
      </c>
      <c r="B537" s="7" t="inlineStr">
        <is>
          <t>Mitro Chinese Food</t>
        </is>
      </c>
      <c r="C537" s="26" t="n">
        <v>-8.170207100000001</v>
      </c>
      <c r="D537" s="26" t="n">
        <v>112.69012</v>
      </c>
      <c r="E537" s="21" t="n">
        <v>19000</v>
      </c>
      <c r="F537" s="27" t="n">
        <v>4.4</v>
      </c>
      <c r="G537" s="28" t="n">
        <v>78</v>
      </c>
      <c r="H537" s="14" t="inlineStr">
        <is>
          <t>Wisata Umum</t>
        </is>
      </c>
      <c r="I537" s="29">
        <f>6371 * 2 * ASIN(SQRT(SIN(RADIANS((C537) - INDEX('Dataset_Wisata'!$C$12:$C$622, MATCH('Dashboard'!$C$9, 'Dataset_Wisata'!$A$12:$A$622, 0)))/2)^2 + COS(RADIANS(INDEX('Dataset_Wisata'!$C$12:$C$622, MATCH('Dashboard'!$C$9, 'Dataset_Wisata'!$A$12:$A$622, 0)))) * COS(RADIANS(C537)) * SIN(RADIANS((D537) - INDEX('Dataset_Wisata'!$D$12:$D$622, MATCH('Dashboard'!$C$9, 'Dataset_Wisata'!$A$12:$A$622, 0)))/2)^2)) * 1.3</f>
        <v/>
      </c>
      <c r="J537" s="21">
        <f>ROUND(I537 * IF('Dashboard'!$C$6&lt;=1, 2250, IF('Dashboard'!$C$6&lt;=4, 5150, 6000)), 0)</f>
        <v/>
      </c>
      <c r="K537" s="30" t="n">
        <v>0.5366761769981572</v>
      </c>
      <c r="L537" s="30" t="n">
        <v>0.4435988772155322</v>
      </c>
      <c r="M537" s="30" t="n">
        <v>0.01972494578631066</v>
      </c>
      <c r="N537" s="31">
        <f>ABS(E537-$F$6)</f>
        <v/>
      </c>
      <c r="O537" s="31">
        <f>ABS(E537-$F$7)</f>
        <v/>
      </c>
      <c r="P537" s="31">
        <f>ABS(E537-$F$8)</f>
        <v/>
      </c>
      <c r="Q537" s="14">
        <f>IF(K537&gt;=MAX(L537,M537), "Hemat", IF(L537&gt;=M537, "Balanced", "Premium"))</f>
        <v/>
      </c>
      <c r="R537" s="30" t="n">
        <v>0.5366759174130455</v>
      </c>
      <c r="S537" s="30" t="n">
        <v>0.443599136184954</v>
      </c>
      <c r="T537" s="30" t="n">
        <v>0.01972494640200039</v>
      </c>
      <c r="U537" s="31">
        <f>ABS(E537-$G$6)</f>
        <v/>
      </c>
      <c r="V537" s="31">
        <f>ABS(E537-$G$7)</f>
        <v/>
      </c>
      <c r="W537" s="31">
        <f>ABS(E537-$G$8)</f>
        <v/>
      </c>
      <c r="X537" s="14">
        <f>IF(R537&gt;=MAX(S537,T537), "Hemat", IF(S537&gt;=T537, "Balanced", "Premium"))</f>
        <v/>
      </c>
    </row>
    <row r="538">
      <c r="A538" s="14" t="n">
        <v>527</v>
      </c>
      <c r="B538" s="7" t="inlineStr">
        <is>
          <t>Warung eM-eS</t>
        </is>
      </c>
      <c r="C538" s="26" t="n">
        <v>-8.1741248</v>
      </c>
      <c r="D538" s="26" t="n">
        <v>112.6925773</v>
      </c>
      <c r="E538" s="21" t="n">
        <v>14000</v>
      </c>
      <c r="F538" s="27" t="n">
        <v>4.7</v>
      </c>
      <c r="G538" s="28" t="n">
        <v>67</v>
      </c>
      <c r="H538" s="14" t="inlineStr">
        <is>
          <t>Warung eM-eS</t>
        </is>
      </c>
      <c r="I538" s="29">
        <f>6371 * 2 * ASIN(SQRT(SIN(RADIANS((C538) - INDEX('Dataset_Wisata'!$C$12:$C$622, MATCH('Dashboard'!$C$9, 'Dataset_Wisata'!$A$12:$A$622, 0)))/2)^2 + COS(RADIANS(INDEX('Dataset_Wisata'!$C$12:$C$622, MATCH('Dashboard'!$C$9, 'Dataset_Wisata'!$A$12:$A$622, 0)))) * COS(RADIANS(C538)) * SIN(RADIANS((D538) - INDEX('Dataset_Wisata'!$D$12:$D$622, MATCH('Dashboard'!$C$9, 'Dataset_Wisata'!$A$12:$A$622, 0)))/2)^2)) * 1.3</f>
        <v/>
      </c>
      <c r="J538" s="21">
        <f>ROUND(I538 * IF('Dashboard'!$C$6&lt;=1, 2250, IF('Dashboard'!$C$6&lt;=4, 5150, 6000)), 0)</f>
        <v/>
      </c>
      <c r="K538" s="30" t="n">
        <v>0.9947609318027544</v>
      </c>
      <c r="L538" s="30" t="n">
        <v>0.004743992866447784</v>
      </c>
      <c r="M538" s="30" t="n">
        <v>0.0004950753307978607</v>
      </c>
      <c r="N538" s="31">
        <f>ABS(E538-$F$6)</f>
        <v/>
      </c>
      <c r="O538" s="31">
        <f>ABS(E538-$F$7)</f>
        <v/>
      </c>
      <c r="P538" s="31">
        <f>ABS(E538-$F$8)</f>
        <v/>
      </c>
      <c r="Q538" s="14">
        <f>IF(K538&gt;=MAX(L538,M538), "Hemat", IF(L538&gt;=M538, "Balanced", "Premium"))</f>
        <v/>
      </c>
      <c r="R538" s="30" t="n">
        <v>0.9947609208632797</v>
      </c>
      <c r="S538" s="30" t="n">
        <v>0.004744002871971992</v>
      </c>
      <c r="T538" s="30" t="n">
        <v>0.0004950762647482733</v>
      </c>
      <c r="U538" s="31">
        <f>ABS(E538-$G$6)</f>
        <v/>
      </c>
      <c r="V538" s="31">
        <f>ABS(E538-$G$7)</f>
        <v/>
      </c>
      <c r="W538" s="31">
        <f>ABS(E538-$G$8)</f>
        <v/>
      </c>
      <c r="X538" s="14">
        <f>IF(R538&gt;=MAX(S538,T538), "Hemat", IF(S538&gt;=T538, "Balanced", "Premium"))</f>
        <v/>
      </c>
    </row>
    <row r="539">
      <c r="A539" s="14" t="n">
        <v>528</v>
      </c>
      <c r="B539" s="7" t="inlineStr">
        <is>
          <t>Hajj Chicken turen</t>
        </is>
      </c>
      <c r="C539" s="26" t="n">
        <v>-8.170763300000001</v>
      </c>
      <c r="D539" s="26" t="n">
        <v>112.6915781</v>
      </c>
      <c r="E539" s="21" t="n">
        <v>15625</v>
      </c>
      <c r="F539" s="27" t="n">
        <v>4.2</v>
      </c>
      <c r="G539" s="28" t="n">
        <v>579</v>
      </c>
      <c r="H539" s="14" t="inlineStr">
        <is>
          <t>Wisata Umum</t>
        </is>
      </c>
      <c r="I539" s="29">
        <f>6371 * 2 * ASIN(SQRT(SIN(RADIANS((C539) - INDEX('Dataset_Wisata'!$C$12:$C$622, MATCH('Dashboard'!$C$9, 'Dataset_Wisata'!$A$12:$A$622, 0)))/2)^2 + COS(RADIANS(INDEX('Dataset_Wisata'!$C$12:$C$622, MATCH('Dashboard'!$C$9, 'Dataset_Wisata'!$A$12:$A$622, 0)))) * COS(RADIANS(C539)) * SIN(RADIANS((D539) - INDEX('Dataset_Wisata'!$D$12:$D$622, MATCH('Dashboard'!$C$9, 'Dataset_Wisata'!$A$12:$A$622, 0)))/2)^2)) * 1.3</f>
        <v/>
      </c>
      <c r="J539" s="21">
        <f>ROUND(I539 * IF('Dashboard'!$C$6&lt;=1, 2250, IF('Dashboard'!$C$6&lt;=4, 5150, 6000)), 0)</f>
        <v/>
      </c>
      <c r="K539" s="30" t="n">
        <v>0.9377386437410475</v>
      </c>
      <c r="L539" s="30" t="n">
        <v>0.05742351793874453</v>
      </c>
      <c r="M539" s="30" t="n">
        <v>0.004837838320207953</v>
      </c>
      <c r="N539" s="31">
        <f>ABS(E539-$F$6)</f>
        <v/>
      </c>
      <c r="O539" s="31">
        <f>ABS(E539-$F$7)</f>
        <v/>
      </c>
      <c r="P539" s="31">
        <f>ABS(E539-$F$8)</f>
        <v/>
      </c>
      <c r="Q539" s="14">
        <f>IF(K539&gt;=MAX(L539,M539), "Hemat", IF(L539&gt;=M539, "Balanced", "Premium"))</f>
        <v/>
      </c>
      <c r="R539" s="30" t="n">
        <v>0.9377385815333988</v>
      </c>
      <c r="S539" s="30" t="n">
        <v>0.05742357660387969</v>
      </c>
      <c r="T539" s="30" t="n">
        <v>0.004837841862721543</v>
      </c>
      <c r="U539" s="31">
        <f>ABS(E539-$G$6)</f>
        <v/>
      </c>
      <c r="V539" s="31">
        <f>ABS(E539-$G$7)</f>
        <v/>
      </c>
      <c r="W539" s="31">
        <f>ABS(E539-$G$8)</f>
        <v/>
      </c>
      <c r="X539" s="14">
        <f>IF(R539&gt;=MAX(S539,T539), "Hemat", IF(S539&gt;=T539, "Balanced", "Premium"))</f>
        <v/>
      </c>
    </row>
    <row r="540">
      <c r="A540" s="14" t="n">
        <v>529</v>
      </c>
      <c r="B540" s="7" t="inlineStr">
        <is>
          <t>JURAGAN STEAK N CAFE</t>
        </is>
      </c>
      <c r="C540" s="26" t="n">
        <v>-8.1709985</v>
      </c>
      <c r="D540" s="26" t="n">
        <v>112.7033386</v>
      </c>
      <c r="E540" s="21" t="n">
        <v>14000</v>
      </c>
      <c r="F540" s="27" t="n">
        <v>4.1</v>
      </c>
      <c r="G540" s="28" t="n">
        <v>64</v>
      </c>
      <c r="H540" s="14" t="inlineStr">
        <is>
          <t>Restoran · Jl. A. Yani</t>
        </is>
      </c>
      <c r="I540" s="29">
        <f>6371 * 2 * ASIN(SQRT(SIN(RADIANS((C540) - INDEX('Dataset_Wisata'!$C$12:$C$622, MATCH('Dashboard'!$C$9, 'Dataset_Wisata'!$A$12:$A$622, 0)))/2)^2 + COS(RADIANS(INDEX('Dataset_Wisata'!$C$12:$C$622, MATCH('Dashboard'!$C$9, 'Dataset_Wisata'!$A$12:$A$622, 0)))) * COS(RADIANS(C540)) * SIN(RADIANS((D540) - INDEX('Dataset_Wisata'!$D$12:$D$622, MATCH('Dashboard'!$C$9, 'Dataset_Wisata'!$A$12:$A$622, 0)))/2)^2)) * 1.3</f>
        <v/>
      </c>
      <c r="J540" s="21">
        <f>ROUND(I540 * IF('Dashboard'!$C$6&lt;=1, 2250, IF('Dashboard'!$C$6&lt;=4, 5150, 6000)), 0)</f>
        <v/>
      </c>
      <c r="K540" s="30" t="n">
        <v>0.9947609318027544</v>
      </c>
      <c r="L540" s="30" t="n">
        <v>0.004743992866447784</v>
      </c>
      <c r="M540" s="30" t="n">
        <v>0.0004950753307978607</v>
      </c>
      <c r="N540" s="31">
        <f>ABS(E540-$F$6)</f>
        <v/>
      </c>
      <c r="O540" s="31">
        <f>ABS(E540-$F$7)</f>
        <v/>
      </c>
      <c r="P540" s="31">
        <f>ABS(E540-$F$8)</f>
        <v/>
      </c>
      <c r="Q540" s="14">
        <f>IF(K540&gt;=MAX(L540,M540), "Hemat", IF(L540&gt;=M540, "Balanced", "Premium"))</f>
        <v/>
      </c>
      <c r="R540" s="30" t="n">
        <v>0.9947609208632797</v>
      </c>
      <c r="S540" s="30" t="n">
        <v>0.004744002871971992</v>
      </c>
      <c r="T540" s="30" t="n">
        <v>0.0004950762647482733</v>
      </c>
      <c r="U540" s="31">
        <f>ABS(E540-$G$6)</f>
        <v/>
      </c>
      <c r="V540" s="31">
        <f>ABS(E540-$G$7)</f>
        <v/>
      </c>
      <c r="W540" s="31">
        <f>ABS(E540-$G$8)</f>
        <v/>
      </c>
      <c r="X540" s="14">
        <f>IF(R540&gt;=MAX(S540,T540), "Hemat", IF(S540&gt;=T540, "Balanced", "Premium"))</f>
        <v/>
      </c>
    </row>
    <row r="541">
      <c r="A541" s="14" t="n">
        <v>530</v>
      </c>
      <c r="B541" s="7" t="inlineStr">
        <is>
          <t>Mie Bledek</t>
        </is>
      </c>
      <c r="C541" s="26" t="n">
        <v>-8.1708865</v>
      </c>
      <c r="D541" s="26" t="n">
        <v>112.6888215</v>
      </c>
      <c r="E541" s="21" t="n">
        <v>13000</v>
      </c>
      <c r="F541" s="27" t="n">
        <v>4.2</v>
      </c>
      <c r="G541" s="28" t="n">
        <v>1591</v>
      </c>
      <c r="H541" s="14" t="inlineStr">
        <is>
          <t>Wisata Umum</t>
        </is>
      </c>
      <c r="I541" s="29">
        <f>6371 * 2 * ASIN(SQRT(SIN(RADIANS((C541) - INDEX('Dataset_Wisata'!$C$12:$C$622, MATCH('Dashboard'!$C$9, 'Dataset_Wisata'!$A$12:$A$622, 0)))/2)^2 + COS(RADIANS(INDEX('Dataset_Wisata'!$C$12:$C$622, MATCH('Dashboard'!$C$9, 'Dataset_Wisata'!$A$12:$A$622, 0)))) * COS(RADIANS(C541)) * SIN(RADIANS((D541) - INDEX('Dataset_Wisata'!$D$12:$D$622, MATCH('Dashboard'!$C$9, 'Dataset_Wisata'!$A$12:$A$622, 0)))/2)^2)) * 1.3</f>
        <v/>
      </c>
      <c r="J541" s="21">
        <f>ROUND(I541 * IF('Dashboard'!$C$6&lt;=1, 2250, IF('Dashboard'!$C$6&lt;=4, 5150, 6000)), 0)</f>
        <v/>
      </c>
      <c r="K541" s="30" t="n">
        <v>0.9996613401455278</v>
      </c>
      <c r="L541" s="30" t="n">
        <v>0.0003032413982241428</v>
      </c>
      <c r="M541" s="30" t="n">
        <v>3.541845624800055e-05</v>
      </c>
      <c r="N541" s="31">
        <f>ABS(E541-$F$6)</f>
        <v/>
      </c>
      <c r="O541" s="31">
        <f>ABS(E541-$F$7)</f>
        <v/>
      </c>
      <c r="P541" s="31">
        <f>ABS(E541-$F$8)</f>
        <v/>
      </c>
      <c r="Q541" s="14">
        <f>IF(K541&gt;=MAX(L541,M541), "Hemat", IF(L541&gt;=M541, "Balanced", "Premium"))</f>
        <v/>
      </c>
      <c r="R541" s="30" t="n">
        <v>0.9996613420378273</v>
      </c>
      <c r="S541" s="30" t="n">
        <v>0.0003032397098959421</v>
      </c>
      <c r="T541" s="30" t="n">
        <v>3.541825227674828e-05</v>
      </c>
      <c r="U541" s="31">
        <f>ABS(E541-$G$6)</f>
        <v/>
      </c>
      <c r="V541" s="31">
        <f>ABS(E541-$G$7)</f>
        <v/>
      </c>
      <c r="W541" s="31">
        <f>ABS(E541-$G$8)</f>
        <v/>
      </c>
      <c r="X541" s="14">
        <f>IF(R541&gt;=MAX(S541,T541), "Hemat", IF(S541&gt;=T541, "Balanced", "Premium"))</f>
        <v/>
      </c>
    </row>
    <row r="542">
      <c r="A542" s="14" t="n">
        <v>531</v>
      </c>
      <c r="B542" s="7" t="inlineStr">
        <is>
          <t>Warung Bakso Pangsit Mie Rasta</t>
        </is>
      </c>
      <c r="C542" s="26" t="n">
        <v>-8.1653299</v>
      </c>
      <c r="D542" s="26" t="n">
        <v>112.6921808</v>
      </c>
      <c r="E542" s="21" t="n">
        <v>20000</v>
      </c>
      <c r="F542" s="27" t="n">
        <v>4.6</v>
      </c>
      <c r="G542" s="28" t="n">
        <v>138</v>
      </c>
      <c r="H542" s="14" t="inlineStr">
        <is>
          <t>Warung Bakso Pangsit Mie Rasta</t>
        </is>
      </c>
      <c r="I542" s="29">
        <f>6371 * 2 * ASIN(SQRT(SIN(RADIANS((C542) - INDEX('Dataset_Wisata'!$C$12:$C$622, MATCH('Dashboard'!$C$9, 'Dataset_Wisata'!$A$12:$A$622, 0)))/2)^2 + COS(RADIANS(INDEX('Dataset_Wisata'!$C$12:$C$622, MATCH('Dashboard'!$C$9, 'Dataset_Wisata'!$A$12:$A$622, 0)))) * COS(RADIANS(C542)) * SIN(RADIANS((D542) - INDEX('Dataset_Wisata'!$D$12:$D$622, MATCH('Dashboard'!$C$9, 'Dataset_Wisata'!$A$12:$A$622, 0)))/2)^2)) * 1.3</f>
        <v/>
      </c>
      <c r="J542" s="21">
        <f>ROUND(I542 * IF('Dashboard'!$C$6&lt;=1, 2250, IF('Dashboard'!$C$6&lt;=4, 5150, 6000)), 0)</f>
        <v/>
      </c>
      <c r="K542" s="30" t="n">
        <v>0.3766864462048385</v>
      </c>
      <c r="L542" s="30" t="n">
        <v>0.6029404273516955</v>
      </c>
      <c r="M542" s="30" t="n">
        <v>0.02037312644346593</v>
      </c>
      <c r="N542" s="31">
        <f>ABS(E542-$F$6)</f>
        <v/>
      </c>
      <c r="O542" s="31">
        <f>ABS(E542-$F$7)</f>
        <v/>
      </c>
      <c r="P542" s="31">
        <f>ABS(E542-$F$8)</f>
        <v/>
      </c>
      <c r="Q542" s="14">
        <f>IF(K542&gt;=MAX(L542,M542), "Hemat", IF(L542&gt;=M542, "Balanced", "Premium"))</f>
        <v/>
      </c>
      <c r="R542" s="30" t="n">
        <v>0.3766861717192874</v>
      </c>
      <c r="S542" s="30" t="n">
        <v>0.6029407066601674</v>
      </c>
      <c r="T542" s="30" t="n">
        <v>0.02037312162054524</v>
      </c>
      <c r="U542" s="31">
        <f>ABS(E542-$G$6)</f>
        <v/>
      </c>
      <c r="V542" s="31">
        <f>ABS(E542-$G$7)</f>
        <v/>
      </c>
      <c r="W542" s="31">
        <f>ABS(E542-$G$8)</f>
        <v/>
      </c>
      <c r="X542" s="14">
        <f>IF(R542&gt;=MAX(S542,T542), "Hemat", IF(S542&gt;=T542, "Balanced", "Premium"))</f>
        <v/>
      </c>
    </row>
    <row r="543">
      <c r="A543" s="14" t="n">
        <v>532</v>
      </c>
      <c r="B543" s="7" t="inlineStr">
        <is>
          <t>Bakso mie ayam putra sulung</t>
        </is>
      </c>
      <c r="C543" s="26" t="n">
        <v>-8.177453699999999</v>
      </c>
      <c r="D543" s="26" t="n">
        <v>112.7025002</v>
      </c>
      <c r="E543" s="21" t="n">
        <v>14000</v>
      </c>
      <c r="F543" s="27" t="n">
        <v>4.4</v>
      </c>
      <c r="G543" s="28" t="n">
        <v>44</v>
      </c>
      <c r="H543" s="14" t="inlineStr">
        <is>
          <t>Wisata Umum</t>
        </is>
      </c>
      <c r="I543" s="29">
        <f>6371 * 2 * ASIN(SQRT(SIN(RADIANS((C543) - INDEX('Dataset_Wisata'!$C$12:$C$622, MATCH('Dashboard'!$C$9, 'Dataset_Wisata'!$A$12:$A$622, 0)))/2)^2 + COS(RADIANS(INDEX('Dataset_Wisata'!$C$12:$C$622, MATCH('Dashboard'!$C$9, 'Dataset_Wisata'!$A$12:$A$622, 0)))) * COS(RADIANS(C543)) * SIN(RADIANS((D543) - INDEX('Dataset_Wisata'!$D$12:$D$622, MATCH('Dashboard'!$C$9, 'Dataset_Wisata'!$A$12:$A$622, 0)))/2)^2)) * 1.3</f>
        <v/>
      </c>
      <c r="J543" s="21">
        <f>ROUND(I543 * IF('Dashboard'!$C$6&lt;=1, 2250, IF('Dashboard'!$C$6&lt;=4, 5150, 6000)), 0)</f>
        <v/>
      </c>
      <c r="K543" s="30" t="n">
        <v>0.9947609318027544</v>
      </c>
      <c r="L543" s="30" t="n">
        <v>0.004743992866447784</v>
      </c>
      <c r="M543" s="30" t="n">
        <v>0.0004950753307978607</v>
      </c>
      <c r="N543" s="31">
        <f>ABS(E543-$F$6)</f>
        <v/>
      </c>
      <c r="O543" s="31">
        <f>ABS(E543-$F$7)</f>
        <v/>
      </c>
      <c r="P543" s="31">
        <f>ABS(E543-$F$8)</f>
        <v/>
      </c>
      <c r="Q543" s="14">
        <f>IF(K543&gt;=MAX(L543,M543), "Hemat", IF(L543&gt;=M543, "Balanced", "Premium"))</f>
        <v/>
      </c>
      <c r="R543" s="30" t="n">
        <v>0.9947609208632797</v>
      </c>
      <c r="S543" s="30" t="n">
        <v>0.004744002871971992</v>
      </c>
      <c r="T543" s="30" t="n">
        <v>0.0004950762647482733</v>
      </c>
      <c r="U543" s="31">
        <f>ABS(E543-$G$6)</f>
        <v/>
      </c>
      <c r="V543" s="31">
        <f>ABS(E543-$G$7)</f>
        <v/>
      </c>
      <c r="W543" s="31">
        <f>ABS(E543-$G$8)</f>
        <v/>
      </c>
      <c r="X543" s="14">
        <f>IF(R543&gt;=MAX(S543,T543), "Hemat", IF(S543&gt;=T543, "Balanced", "Premium"))</f>
        <v/>
      </c>
    </row>
    <row r="544">
      <c r="A544" s="14" t="n">
        <v>533</v>
      </c>
      <c r="B544" s="7" t="inlineStr">
        <is>
          <t>Warung Pandawa</t>
        </is>
      </c>
      <c r="C544" s="26" t="n">
        <v>-8.151151</v>
      </c>
      <c r="D544" s="26" t="n">
        <v>112.7192788</v>
      </c>
      <c r="E544" s="21" t="n">
        <v>10000</v>
      </c>
      <c r="F544" s="27" t="n">
        <v>4.4</v>
      </c>
      <c r="G544" s="28" t="n">
        <v>131</v>
      </c>
      <c r="H544" s="14" t="inlineStr">
        <is>
          <t>Warung Pandawa</t>
        </is>
      </c>
      <c r="I544" s="29">
        <f>6371 * 2 * ASIN(SQRT(SIN(RADIANS((C544) - INDEX('Dataset_Wisata'!$C$12:$C$622, MATCH('Dashboard'!$C$9, 'Dataset_Wisata'!$A$12:$A$622, 0)))/2)^2 + COS(RADIANS(INDEX('Dataset_Wisata'!$C$12:$C$622, MATCH('Dashboard'!$C$9, 'Dataset_Wisata'!$A$12:$A$622, 0)))) * COS(RADIANS(C544)) * SIN(RADIANS((D544) - INDEX('Dataset_Wisata'!$D$12:$D$622, MATCH('Dashboard'!$C$9, 'Dataset_Wisata'!$A$12:$A$622, 0)))/2)^2)) * 1.3</f>
        <v/>
      </c>
      <c r="J544" s="21">
        <f>ROUND(I544 * IF('Dashboard'!$C$6&lt;=1, 2250, IF('Dashboard'!$C$6&lt;=4, 5150, 6000)), 0)</f>
        <v/>
      </c>
      <c r="K544" s="30" t="n">
        <v>0.9518906050943107</v>
      </c>
      <c r="L544" s="30" t="n">
        <v>0.04169660451397377</v>
      </c>
      <c r="M544" s="30" t="n">
        <v>0.006412790391715545</v>
      </c>
      <c r="N544" s="31">
        <f>ABS(E544-$F$6)</f>
        <v/>
      </c>
      <c r="O544" s="31">
        <f>ABS(E544-$F$7)</f>
        <v/>
      </c>
      <c r="P544" s="31">
        <f>ABS(E544-$F$8)</f>
        <v/>
      </c>
      <c r="Q544" s="14">
        <f>IF(K544&gt;=MAX(L544,M544), "Hemat", IF(L544&gt;=M544, "Balanced", "Premium"))</f>
        <v/>
      </c>
      <c r="R544" s="30" t="n">
        <v>0.9518906082621517</v>
      </c>
      <c r="S544" s="30" t="n">
        <v>0.04169660246361195</v>
      </c>
      <c r="T544" s="30" t="n">
        <v>0.006412789274236485</v>
      </c>
      <c r="U544" s="31">
        <f>ABS(E544-$G$6)</f>
        <v/>
      </c>
      <c r="V544" s="31">
        <f>ABS(E544-$G$7)</f>
        <v/>
      </c>
      <c r="W544" s="31">
        <f>ABS(E544-$G$8)</f>
        <v/>
      </c>
      <c r="X544" s="14">
        <f>IF(R544&gt;=MAX(S544,T544), "Hemat", IF(S544&gt;=T544, "Balanced", "Premium"))</f>
        <v/>
      </c>
    </row>
    <row r="545">
      <c r="A545" s="14" t="n">
        <v>534</v>
      </c>
      <c r="B545" s="7" t="inlineStr">
        <is>
          <t>Warung Nasi Al-hidayah</t>
        </is>
      </c>
      <c r="C545" s="26" t="n">
        <v>-8.1488972</v>
      </c>
      <c r="D545" s="26" t="n">
        <v>112.7151078</v>
      </c>
      <c r="E545" s="21" t="n">
        <v>13000</v>
      </c>
      <c r="F545" s="27" t="n">
        <v>4.5</v>
      </c>
      <c r="G545" s="28" t="n">
        <v>22</v>
      </c>
      <c r="H545" s="14" t="inlineStr">
        <is>
          <t>Warung Nasi Al-hidayah</t>
        </is>
      </c>
      <c r="I545" s="29">
        <f>6371 * 2 * ASIN(SQRT(SIN(RADIANS((C545) - INDEX('Dataset_Wisata'!$C$12:$C$622, MATCH('Dashboard'!$C$9, 'Dataset_Wisata'!$A$12:$A$622, 0)))/2)^2 + COS(RADIANS(INDEX('Dataset_Wisata'!$C$12:$C$622, MATCH('Dashboard'!$C$9, 'Dataset_Wisata'!$A$12:$A$622, 0)))) * COS(RADIANS(C545)) * SIN(RADIANS((D545) - INDEX('Dataset_Wisata'!$D$12:$D$622, MATCH('Dashboard'!$C$9, 'Dataset_Wisata'!$A$12:$A$622, 0)))/2)^2)) * 1.3</f>
        <v/>
      </c>
      <c r="J545" s="21">
        <f>ROUND(I545 * IF('Dashboard'!$C$6&lt;=1, 2250, IF('Dashboard'!$C$6&lt;=4, 5150, 6000)), 0)</f>
        <v/>
      </c>
      <c r="K545" s="30" t="n">
        <v>0.9996613401455278</v>
      </c>
      <c r="L545" s="30" t="n">
        <v>0.0003032413982241428</v>
      </c>
      <c r="M545" s="30" t="n">
        <v>3.541845624800055e-05</v>
      </c>
      <c r="N545" s="31">
        <f>ABS(E545-$F$6)</f>
        <v/>
      </c>
      <c r="O545" s="31">
        <f>ABS(E545-$F$7)</f>
        <v/>
      </c>
      <c r="P545" s="31">
        <f>ABS(E545-$F$8)</f>
        <v/>
      </c>
      <c r="Q545" s="14">
        <f>IF(K545&gt;=MAX(L545,M545), "Hemat", IF(L545&gt;=M545, "Balanced", "Premium"))</f>
        <v/>
      </c>
      <c r="R545" s="30" t="n">
        <v>0.9996613420378273</v>
      </c>
      <c r="S545" s="30" t="n">
        <v>0.0003032397098959421</v>
      </c>
      <c r="T545" s="30" t="n">
        <v>3.541825227674828e-05</v>
      </c>
      <c r="U545" s="31">
        <f>ABS(E545-$G$6)</f>
        <v/>
      </c>
      <c r="V545" s="31">
        <f>ABS(E545-$G$7)</f>
        <v/>
      </c>
      <c r="W545" s="31">
        <f>ABS(E545-$G$8)</f>
        <v/>
      </c>
      <c r="X545" s="14">
        <f>IF(R545&gt;=MAX(S545,T545), "Hemat", IF(S545&gt;=T545, "Balanced", "Premium"))</f>
        <v/>
      </c>
    </row>
    <row r="546">
      <c r="A546" s="14" t="n">
        <v>535</v>
      </c>
      <c r="B546" s="7" t="inlineStr">
        <is>
          <t>Warung Nusantara</t>
        </is>
      </c>
      <c r="C546" s="26" t="n">
        <v>-8.051360000000001</v>
      </c>
      <c r="D546" s="26" t="n">
        <v>112.6864746</v>
      </c>
      <c r="E546" s="21" t="n">
        <v>9400</v>
      </c>
      <c r="F546" s="27" t="n">
        <v>4.5</v>
      </c>
      <c r="G546" s="28" t="n">
        <v>43</v>
      </c>
      <c r="H546" s="14" t="inlineStr">
        <is>
          <t>Warung Nusantara</t>
        </is>
      </c>
      <c r="I546" s="29">
        <f>6371 * 2 * ASIN(SQRT(SIN(RADIANS((C546) - INDEX('Dataset_Wisata'!$C$12:$C$622, MATCH('Dashboard'!$C$9, 'Dataset_Wisata'!$A$12:$A$622, 0)))/2)^2 + COS(RADIANS(INDEX('Dataset_Wisata'!$C$12:$C$622, MATCH('Dashboard'!$C$9, 'Dataset_Wisata'!$A$12:$A$622, 0)))) * COS(RADIANS(C546)) * SIN(RADIANS((D546) - INDEX('Dataset_Wisata'!$D$12:$D$622, MATCH('Dashboard'!$C$9, 'Dataset_Wisata'!$A$12:$A$622, 0)))/2)^2)) * 1.3</f>
        <v/>
      </c>
      <c r="J546" s="21">
        <f>ROUND(I546 * IF('Dashboard'!$C$6&lt;=1, 2250, IF('Dashboard'!$C$6&lt;=4, 5150, 6000)), 0)</f>
        <v/>
      </c>
      <c r="K546" s="30" t="n">
        <v>0.9377961345286679</v>
      </c>
      <c r="L546" s="30" t="n">
        <v>0.05357449258441142</v>
      </c>
      <c r="M546" s="30" t="n">
        <v>0.008629372886920754</v>
      </c>
      <c r="N546" s="31">
        <f>ABS(E546-$F$6)</f>
        <v/>
      </c>
      <c r="O546" s="31">
        <f>ABS(E546-$F$7)</f>
        <v/>
      </c>
      <c r="P546" s="31">
        <f>ABS(E546-$F$8)</f>
        <v/>
      </c>
      <c r="Q546" s="14">
        <f>IF(K546&gt;=MAX(L546,M546), "Hemat", IF(L546&gt;=M546, "Balanced", "Premium"))</f>
        <v/>
      </c>
      <c r="R546" s="30" t="n">
        <v>0.9377961356027207</v>
      </c>
      <c r="S546" s="30" t="n">
        <v>0.05357449251653237</v>
      </c>
      <c r="T546" s="30" t="n">
        <v>0.008629371880746899</v>
      </c>
      <c r="U546" s="31">
        <f>ABS(E546-$G$6)</f>
        <v/>
      </c>
      <c r="V546" s="31">
        <f>ABS(E546-$G$7)</f>
        <v/>
      </c>
      <c r="W546" s="31">
        <f>ABS(E546-$G$8)</f>
        <v/>
      </c>
      <c r="X546" s="14">
        <f>IF(R546&gt;=MAX(S546,T546), "Hemat", IF(S546&gt;=T546, "Balanced", "Premium"))</f>
        <v/>
      </c>
    </row>
    <row r="547">
      <c r="A547" s="14" t="n">
        <v>536</v>
      </c>
      <c r="B547" s="7" t="inlineStr">
        <is>
          <t>warung rujak mbak ika</t>
        </is>
      </c>
      <c r="C547" s="26" t="n">
        <v>-8.0428339</v>
      </c>
      <c r="D547" s="26" t="n">
        <v>112.6649713</v>
      </c>
      <c r="E547" s="21" t="n">
        <v>18450</v>
      </c>
      <c r="F547" s="27" t="n">
        <v>4.7</v>
      </c>
      <c r="G547" s="28" t="n">
        <v>27</v>
      </c>
      <c r="H547" s="14" t="inlineStr">
        <is>
          <t>warung rujak mbak ika</t>
        </is>
      </c>
      <c r="I547" s="29">
        <f>6371 * 2 * ASIN(SQRT(SIN(RADIANS((C547) - INDEX('Dataset_Wisata'!$C$12:$C$622, MATCH('Dashboard'!$C$9, 'Dataset_Wisata'!$A$12:$A$622, 0)))/2)^2 + COS(RADIANS(INDEX('Dataset_Wisata'!$C$12:$C$622, MATCH('Dashboard'!$C$9, 'Dataset_Wisata'!$A$12:$A$622, 0)))) * COS(RADIANS(C547)) * SIN(RADIANS((D547) - INDEX('Dataset_Wisata'!$D$12:$D$622, MATCH('Dashboard'!$C$9, 'Dataset_Wisata'!$A$12:$A$622, 0)))/2)^2)) * 1.3</f>
        <v/>
      </c>
      <c r="J547" s="21">
        <f>ROUND(I547 * IF('Dashboard'!$C$6&lt;=1, 2250, IF('Dashboard'!$C$6&lt;=4, 5150, 6000)), 0)</f>
        <v/>
      </c>
      <c r="K547" s="30" t="n">
        <v>0.6240374271328838</v>
      </c>
      <c r="L547" s="30" t="n">
        <v>0.3578472599720986</v>
      </c>
      <c r="M547" s="30" t="n">
        <v>0.01811531289501761</v>
      </c>
      <c r="N547" s="31">
        <f>ABS(E547-$F$6)</f>
        <v/>
      </c>
      <c r="O547" s="31">
        <f>ABS(E547-$F$7)</f>
        <v/>
      </c>
      <c r="P547" s="31">
        <f>ABS(E547-$F$8)</f>
        <v/>
      </c>
      <c r="Q547" s="14">
        <f>IF(K547&gt;=MAX(L547,M547), "Hemat", IF(L547&gt;=M547, "Balanced", "Premium"))</f>
        <v/>
      </c>
      <c r="R547" s="30" t="n">
        <v>0.6240371924784163</v>
      </c>
      <c r="S547" s="30" t="n">
        <v>0.3578474917799007</v>
      </c>
      <c r="T547" s="30" t="n">
        <v>0.01811531574168288</v>
      </c>
      <c r="U547" s="31">
        <f>ABS(E547-$G$6)</f>
        <v/>
      </c>
      <c r="V547" s="31">
        <f>ABS(E547-$G$7)</f>
        <v/>
      </c>
      <c r="W547" s="31">
        <f>ABS(E547-$G$8)</f>
        <v/>
      </c>
      <c r="X547" s="14">
        <f>IF(R547&gt;=MAX(S547,T547), "Hemat", IF(S547&gt;=T547, "Balanced", "Premium"))</f>
        <v/>
      </c>
    </row>
    <row r="548">
      <c r="A548" s="14" t="n">
        <v>537</v>
      </c>
      <c r="B548" s="7" t="inlineStr">
        <is>
          <t>WARUNG PRASMANAN KAMELIA</t>
        </is>
      </c>
      <c r="C548" s="26" t="n">
        <v>-8.036765900000001</v>
      </c>
      <c r="D548" s="26" t="n">
        <v>112.6359514</v>
      </c>
      <c r="E548" s="21" t="n">
        <v>12800</v>
      </c>
      <c r="F548" s="27" t="n">
        <v>4.8</v>
      </c>
      <c r="G548" s="28" t="n">
        <v>35</v>
      </c>
      <c r="H548" s="14" t="inlineStr">
        <is>
          <t>WARUNG PRASMANAN KAMELIA</t>
        </is>
      </c>
      <c r="I548" s="29">
        <f>6371 * 2 * ASIN(SQRT(SIN(RADIANS((C548) - INDEX('Dataset_Wisata'!$C$12:$C$622, MATCH('Dashboard'!$C$9, 'Dataset_Wisata'!$A$12:$A$622, 0)))/2)^2 + COS(RADIANS(INDEX('Dataset_Wisata'!$C$12:$C$622, MATCH('Dashboard'!$C$9, 'Dataset_Wisata'!$A$12:$A$622, 0)))) * COS(RADIANS(C548)) * SIN(RADIANS((D548) - INDEX('Dataset_Wisata'!$D$12:$D$622, MATCH('Dashboard'!$C$9, 'Dataset_Wisata'!$A$12:$A$622, 0)))/2)^2)) * 1.3</f>
        <v/>
      </c>
      <c r="J548" s="21">
        <f>ROUND(I548 * IF('Dashboard'!$C$6&lt;=1, 2250, IF('Dashboard'!$C$6&lt;=4, 5150, 6000)), 0)</f>
        <v/>
      </c>
      <c r="K548" s="30" t="n">
        <v>0.9987781801933064</v>
      </c>
      <c r="L548" s="30" t="n">
        <v>0.001091605934080929</v>
      </c>
      <c r="M548" s="30" t="n">
        <v>0.0001302138726126961</v>
      </c>
      <c r="N548" s="31">
        <f>ABS(E548-$F$6)</f>
        <v/>
      </c>
      <c r="O548" s="31">
        <f>ABS(E548-$F$7)</f>
        <v/>
      </c>
      <c r="P548" s="31">
        <f>ABS(E548-$F$8)</f>
        <v/>
      </c>
      <c r="Q548" s="14">
        <f>IF(K548&gt;=MAX(L548,M548), "Hemat", IF(L548&gt;=M548, "Balanced", "Premium"))</f>
        <v/>
      </c>
      <c r="R548" s="30" t="n">
        <v>0.9987781834942757</v>
      </c>
      <c r="S548" s="30" t="n">
        <v>0.001091603006513616</v>
      </c>
      <c r="T548" s="30" t="n">
        <v>0.0001302134992107814</v>
      </c>
      <c r="U548" s="31">
        <f>ABS(E548-$G$6)</f>
        <v/>
      </c>
      <c r="V548" s="31">
        <f>ABS(E548-$G$7)</f>
        <v/>
      </c>
      <c r="W548" s="31">
        <f>ABS(E548-$G$8)</f>
        <v/>
      </c>
      <c r="X548" s="14">
        <f>IF(R548&gt;=MAX(S548,T548), "Hemat", IF(S548&gt;=T548, "Balanced", "Premium"))</f>
        <v/>
      </c>
    </row>
    <row r="549">
      <c r="A549" s="14" t="n">
        <v>538</v>
      </c>
      <c r="B549" s="7" t="inlineStr">
        <is>
          <t>Pawon Godong Gedang</t>
        </is>
      </c>
      <c r="C549" s="26" t="n">
        <v>-8.0319243</v>
      </c>
      <c r="D549" s="26" t="n">
        <v>112.7080278</v>
      </c>
      <c r="E549" s="21" t="n">
        <v>15000</v>
      </c>
      <c r="F549" s="27" t="n">
        <v>4.3</v>
      </c>
      <c r="G549" s="28" t="n">
        <v>37</v>
      </c>
      <c r="H549" s="14" t="inlineStr">
        <is>
          <t>Restoran · Jl. Pajaran No.723</t>
        </is>
      </c>
      <c r="I549" s="29">
        <f>6371 * 2 * ASIN(SQRT(SIN(RADIANS((C549) - INDEX('Dataset_Wisata'!$C$12:$C$622, MATCH('Dashboard'!$C$9, 'Dataset_Wisata'!$A$12:$A$622, 0)))/2)^2 + COS(RADIANS(INDEX('Dataset_Wisata'!$C$12:$C$622, MATCH('Dashboard'!$C$9, 'Dataset_Wisata'!$A$12:$A$622, 0)))) * COS(RADIANS(C549)) * SIN(RADIANS((D549) - INDEX('Dataset_Wisata'!$D$12:$D$622, MATCH('Dashboard'!$C$9, 'Dataset_Wisata'!$A$12:$A$622, 0)))/2)^2)) * 1.3</f>
        <v/>
      </c>
      <c r="J549" s="21">
        <f>ROUND(I549 * IF('Dashboard'!$C$6&lt;=1, 2250, IF('Dashboard'!$C$6&lt;=4, 5150, 6000)), 0)</f>
        <v/>
      </c>
      <c r="K549" s="30" t="n">
        <v>0.9686283169848018</v>
      </c>
      <c r="L549" s="30" t="n">
        <v>0.02872990537067274</v>
      </c>
      <c r="M549" s="30" t="n">
        <v>0.002641777644525457</v>
      </c>
      <c r="N549" s="31">
        <f>ABS(E549-$F$6)</f>
        <v/>
      </c>
      <c r="O549" s="31">
        <f>ABS(E549-$F$7)</f>
        <v/>
      </c>
      <c r="P549" s="31">
        <f>ABS(E549-$F$8)</f>
        <v/>
      </c>
      <c r="Q549" s="14">
        <f>IF(K549&gt;=MAX(L549,M549), "Hemat", IF(L549&gt;=M549, "Balanced", "Premium"))</f>
        <v/>
      </c>
      <c r="R549" s="30" t="n">
        <v>0.9686282798936615</v>
      </c>
      <c r="S549" s="30" t="n">
        <v>0.02872993996961344</v>
      </c>
      <c r="T549" s="30" t="n">
        <v>0.002641780136725144</v>
      </c>
      <c r="U549" s="31">
        <f>ABS(E549-$G$6)</f>
        <v/>
      </c>
      <c r="V549" s="31">
        <f>ABS(E549-$G$7)</f>
        <v/>
      </c>
      <c r="W549" s="31">
        <f>ABS(E549-$G$8)</f>
        <v/>
      </c>
      <c r="X549" s="14">
        <f>IF(R549&gt;=MAX(S549,T549), "Hemat", IF(S549&gt;=T549, "Balanced", "Premium"))</f>
        <v/>
      </c>
    </row>
    <row r="550">
      <c r="A550" s="14" t="n">
        <v>539</v>
      </c>
      <c r="B550" s="7" t="inlineStr">
        <is>
          <t>Dapur Ayam Lembeng</t>
        </is>
      </c>
      <c r="C550" s="26" t="n">
        <v>-8.011288</v>
      </c>
      <c r="D550" s="26" t="n">
        <v>112.6457251</v>
      </c>
      <c r="E550" s="21" t="n">
        <v>15000</v>
      </c>
      <c r="F550" s="27" t="n">
        <v>4.6</v>
      </c>
      <c r="G550" s="28" t="n">
        <v>151</v>
      </c>
      <c r="H550" s="14" t="inlineStr">
        <is>
          <t>Wisata Umum</t>
        </is>
      </c>
      <c r="I550" s="29">
        <f>6371 * 2 * ASIN(SQRT(SIN(RADIANS((C550) - INDEX('Dataset_Wisata'!$C$12:$C$622, MATCH('Dashboard'!$C$9, 'Dataset_Wisata'!$A$12:$A$622, 0)))/2)^2 + COS(RADIANS(INDEX('Dataset_Wisata'!$C$12:$C$622, MATCH('Dashboard'!$C$9, 'Dataset_Wisata'!$A$12:$A$622, 0)))) * COS(RADIANS(C550)) * SIN(RADIANS((D550) - INDEX('Dataset_Wisata'!$D$12:$D$622, MATCH('Dashboard'!$C$9, 'Dataset_Wisata'!$A$12:$A$622, 0)))/2)^2)) * 1.3</f>
        <v/>
      </c>
      <c r="J550" s="21">
        <f>ROUND(I550 * IF('Dashboard'!$C$6&lt;=1, 2250, IF('Dashboard'!$C$6&lt;=4, 5150, 6000)), 0)</f>
        <v/>
      </c>
      <c r="K550" s="30" t="n">
        <v>0.9686283169848018</v>
      </c>
      <c r="L550" s="30" t="n">
        <v>0.02872990537067274</v>
      </c>
      <c r="M550" s="30" t="n">
        <v>0.002641777644525457</v>
      </c>
      <c r="N550" s="31">
        <f>ABS(E550-$F$6)</f>
        <v/>
      </c>
      <c r="O550" s="31">
        <f>ABS(E550-$F$7)</f>
        <v/>
      </c>
      <c r="P550" s="31">
        <f>ABS(E550-$F$8)</f>
        <v/>
      </c>
      <c r="Q550" s="14">
        <f>IF(K550&gt;=MAX(L550,M550), "Hemat", IF(L550&gt;=M550, "Balanced", "Premium"))</f>
        <v/>
      </c>
      <c r="R550" s="30" t="n">
        <v>0.9686282798936615</v>
      </c>
      <c r="S550" s="30" t="n">
        <v>0.02872993996961344</v>
      </c>
      <c r="T550" s="30" t="n">
        <v>0.002641780136725144</v>
      </c>
      <c r="U550" s="31">
        <f>ABS(E550-$G$6)</f>
        <v/>
      </c>
      <c r="V550" s="31">
        <f>ABS(E550-$G$7)</f>
        <v/>
      </c>
      <c r="W550" s="31">
        <f>ABS(E550-$G$8)</f>
        <v/>
      </c>
      <c r="X550" s="14">
        <f>IF(R550&gt;=MAX(S550,T550), "Hemat", IF(S550&gt;=T550, "Balanced", "Premium"))</f>
        <v/>
      </c>
    </row>
    <row r="551">
      <c r="A551" s="14" t="n">
        <v>540</v>
      </c>
      <c r="B551" s="7" t="inlineStr">
        <is>
          <t>Warung Nikmat Jaya</t>
        </is>
      </c>
      <c r="C551" s="26" t="n">
        <v>-8.0221879</v>
      </c>
      <c r="D551" s="26" t="n">
        <v>112.6428969</v>
      </c>
      <c r="E551" s="21" t="n">
        <v>10000</v>
      </c>
      <c r="F551" s="27" t="n">
        <v>4.2</v>
      </c>
      <c r="G551" s="28" t="n">
        <v>24</v>
      </c>
      <c r="H551" s="14" t="inlineStr">
        <is>
          <t>Warung Nikmat Jaya</t>
        </is>
      </c>
      <c r="I551" s="29">
        <f>6371 * 2 * ASIN(SQRT(SIN(RADIANS((C551) - INDEX('Dataset_Wisata'!$C$12:$C$622, MATCH('Dashboard'!$C$9, 'Dataset_Wisata'!$A$12:$A$622, 0)))/2)^2 + COS(RADIANS(INDEX('Dataset_Wisata'!$C$12:$C$622, MATCH('Dashboard'!$C$9, 'Dataset_Wisata'!$A$12:$A$622, 0)))) * COS(RADIANS(C551)) * SIN(RADIANS((D551) - INDEX('Dataset_Wisata'!$D$12:$D$622, MATCH('Dashboard'!$C$9, 'Dataset_Wisata'!$A$12:$A$622, 0)))/2)^2)) * 1.3</f>
        <v/>
      </c>
      <c r="J551" s="21">
        <f>ROUND(I551 * IF('Dashboard'!$C$6&lt;=1, 2250, IF('Dashboard'!$C$6&lt;=4, 5150, 6000)), 0)</f>
        <v/>
      </c>
      <c r="K551" s="30" t="n">
        <v>0.9518906050943107</v>
      </c>
      <c r="L551" s="30" t="n">
        <v>0.04169660451397377</v>
      </c>
      <c r="M551" s="30" t="n">
        <v>0.006412790391715545</v>
      </c>
      <c r="N551" s="31">
        <f>ABS(E551-$F$6)</f>
        <v/>
      </c>
      <c r="O551" s="31">
        <f>ABS(E551-$F$7)</f>
        <v/>
      </c>
      <c r="P551" s="31">
        <f>ABS(E551-$F$8)</f>
        <v/>
      </c>
      <c r="Q551" s="14">
        <f>IF(K551&gt;=MAX(L551,M551), "Hemat", IF(L551&gt;=M551, "Balanced", "Premium"))</f>
        <v/>
      </c>
      <c r="R551" s="30" t="n">
        <v>0.9518906082621517</v>
      </c>
      <c r="S551" s="30" t="n">
        <v>0.04169660246361195</v>
      </c>
      <c r="T551" s="30" t="n">
        <v>0.006412789274236485</v>
      </c>
      <c r="U551" s="31">
        <f>ABS(E551-$G$6)</f>
        <v/>
      </c>
      <c r="V551" s="31">
        <f>ABS(E551-$G$7)</f>
        <v/>
      </c>
      <c r="W551" s="31">
        <f>ABS(E551-$G$8)</f>
        <v/>
      </c>
      <c r="X551" s="14">
        <f>IF(R551&gt;=MAX(S551,T551), "Hemat", IF(S551&gt;=T551, "Balanced", "Premium"))</f>
        <v/>
      </c>
    </row>
    <row r="552">
      <c r="A552" s="14" t="n">
        <v>541</v>
      </c>
      <c r="B552" s="7" t="inlineStr">
        <is>
          <t>Brengos food</t>
        </is>
      </c>
      <c r="C552" s="26" t="n">
        <v>-8.0372719</v>
      </c>
      <c r="D552" s="26" t="n">
        <v>112.6550474</v>
      </c>
      <c r="E552" s="21" t="n">
        <v>20000</v>
      </c>
      <c r="F552" s="27" t="n">
        <v>4.4</v>
      </c>
      <c r="G552" s="28" t="n">
        <v>22</v>
      </c>
      <c r="H552" s="14" t="inlineStr">
        <is>
          <t>Wisata Umum</t>
        </is>
      </c>
      <c r="I552" s="29">
        <f>6371 * 2 * ASIN(SQRT(SIN(RADIANS((C552) - INDEX('Dataset_Wisata'!$C$12:$C$622, MATCH('Dashboard'!$C$9, 'Dataset_Wisata'!$A$12:$A$622, 0)))/2)^2 + COS(RADIANS(INDEX('Dataset_Wisata'!$C$12:$C$622, MATCH('Dashboard'!$C$9, 'Dataset_Wisata'!$A$12:$A$622, 0)))) * COS(RADIANS(C552)) * SIN(RADIANS((D552) - INDEX('Dataset_Wisata'!$D$12:$D$622, MATCH('Dashboard'!$C$9, 'Dataset_Wisata'!$A$12:$A$622, 0)))/2)^2)) * 1.3</f>
        <v/>
      </c>
      <c r="J552" s="21">
        <f>ROUND(I552 * IF('Dashboard'!$C$6&lt;=1, 2250, IF('Dashboard'!$C$6&lt;=4, 5150, 6000)), 0)</f>
        <v/>
      </c>
      <c r="K552" s="30" t="n">
        <v>0.3766864462048385</v>
      </c>
      <c r="L552" s="30" t="n">
        <v>0.6029404273516955</v>
      </c>
      <c r="M552" s="30" t="n">
        <v>0.02037312644346593</v>
      </c>
      <c r="N552" s="31">
        <f>ABS(E552-$F$6)</f>
        <v/>
      </c>
      <c r="O552" s="31">
        <f>ABS(E552-$F$7)</f>
        <v/>
      </c>
      <c r="P552" s="31">
        <f>ABS(E552-$F$8)</f>
        <v/>
      </c>
      <c r="Q552" s="14">
        <f>IF(K552&gt;=MAX(L552,M552), "Hemat", IF(L552&gt;=M552, "Balanced", "Premium"))</f>
        <v/>
      </c>
      <c r="R552" s="30" t="n">
        <v>0.3766861717192874</v>
      </c>
      <c r="S552" s="30" t="n">
        <v>0.6029407066601674</v>
      </c>
      <c r="T552" s="30" t="n">
        <v>0.02037312162054524</v>
      </c>
      <c r="U552" s="31">
        <f>ABS(E552-$G$6)</f>
        <v/>
      </c>
      <c r="V552" s="31">
        <f>ABS(E552-$G$7)</f>
        <v/>
      </c>
      <c r="W552" s="31">
        <f>ABS(E552-$G$8)</f>
        <v/>
      </c>
      <c r="X552" s="14">
        <f>IF(R552&gt;=MAX(S552,T552), "Hemat", IF(S552&gt;=T552, "Balanced", "Premium"))</f>
        <v/>
      </c>
    </row>
    <row r="553">
      <c r="A553" s="14" t="n">
        <v>542</v>
      </c>
      <c r="B553" s="7" t="inlineStr">
        <is>
          <t>Warung Pojok "Cantika"</t>
        </is>
      </c>
      <c r="C553" s="26" t="n">
        <v>-8.024637</v>
      </c>
      <c r="D553" s="26" t="n">
        <v>112.63349</v>
      </c>
      <c r="E553" s="21" t="n">
        <v>15000</v>
      </c>
      <c r="F553" s="27" t="n">
        <v>4.7</v>
      </c>
      <c r="G553" s="28" t="n">
        <v>43</v>
      </c>
      <c r="H553" s="14" t="inlineStr">
        <is>
          <t>Warung Pojok "Cantika"</t>
        </is>
      </c>
      <c r="I553" s="29">
        <f>6371 * 2 * ASIN(SQRT(SIN(RADIANS((C553) - INDEX('Dataset_Wisata'!$C$12:$C$622, MATCH('Dashboard'!$C$9, 'Dataset_Wisata'!$A$12:$A$622, 0)))/2)^2 + COS(RADIANS(INDEX('Dataset_Wisata'!$C$12:$C$622, MATCH('Dashboard'!$C$9, 'Dataset_Wisata'!$A$12:$A$622, 0)))) * COS(RADIANS(C553)) * SIN(RADIANS((D553) - INDEX('Dataset_Wisata'!$D$12:$D$622, MATCH('Dashboard'!$C$9, 'Dataset_Wisata'!$A$12:$A$622, 0)))/2)^2)) * 1.3</f>
        <v/>
      </c>
      <c r="J553" s="21">
        <f>ROUND(I553 * IF('Dashboard'!$C$6&lt;=1, 2250, IF('Dashboard'!$C$6&lt;=4, 5150, 6000)), 0)</f>
        <v/>
      </c>
      <c r="K553" s="30" t="n">
        <v>0.9686283169848018</v>
      </c>
      <c r="L553" s="30" t="n">
        <v>0.02872990537067274</v>
      </c>
      <c r="M553" s="30" t="n">
        <v>0.002641777644525457</v>
      </c>
      <c r="N553" s="31">
        <f>ABS(E553-$F$6)</f>
        <v/>
      </c>
      <c r="O553" s="31">
        <f>ABS(E553-$F$7)</f>
        <v/>
      </c>
      <c r="P553" s="31">
        <f>ABS(E553-$F$8)</f>
        <v/>
      </c>
      <c r="Q553" s="14">
        <f>IF(K553&gt;=MAX(L553,M553), "Hemat", IF(L553&gt;=M553, "Balanced", "Premium"))</f>
        <v/>
      </c>
      <c r="R553" s="30" t="n">
        <v>0.9686282798936615</v>
      </c>
      <c r="S553" s="30" t="n">
        <v>0.02872993996961344</v>
      </c>
      <c r="T553" s="30" t="n">
        <v>0.002641780136725144</v>
      </c>
      <c r="U553" s="31">
        <f>ABS(E553-$G$6)</f>
        <v/>
      </c>
      <c r="V553" s="31">
        <f>ABS(E553-$G$7)</f>
        <v/>
      </c>
      <c r="W553" s="31">
        <f>ABS(E553-$G$8)</f>
        <v/>
      </c>
      <c r="X553" s="14">
        <f>IF(R553&gt;=MAX(S553,T553), "Hemat", IF(S553&gt;=T553, "Balanced", "Premium"))</f>
        <v/>
      </c>
    </row>
    <row r="554">
      <c r="A554" s="14" t="n">
        <v>543</v>
      </c>
      <c r="B554" s="7" t="inlineStr">
        <is>
          <t>Ayam Sambal Kurma</t>
        </is>
      </c>
      <c r="C554" s="26" t="n">
        <v>-8.013091899999999</v>
      </c>
      <c r="D554" s="26" t="n">
        <v>112.6416118</v>
      </c>
      <c r="E554" s="21" t="n">
        <v>12800</v>
      </c>
      <c r="F554" s="27" t="n">
        <v>5</v>
      </c>
      <c r="G554" s="28" t="n">
        <v>20</v>
      </c>
      <c r="H554" s="14" t="inlineStr">
        <is>
          <t>Wisata Umum</t>
        </is>
      </c>
      <c r="I554" s="29">
        <f>6371 * 2 * ASIN(SQRT(SIN(RADIANS((C554) - INDEX('Dataset_Wisata'!$C$12:$C$622, MATCH('Dashboard'!$C$9, 'Dataset_Wisata'!$A$12:$A$622, 0)))/2)^2 + COS(RADIANS(INDEX('Dataset_Wisata'!$C$12:$C$622, MATCH('Dashboard'!$C$9, 'Dataset_Wisata'!$A$12:$A$622, 0)))) * COS(RADIANS(C554)) * SIN(RADIANS((D554) - INDEX('Dataset_Wisata'!$D$12:$D$622, MATCH('Dashboard'!$C$9, 'Dataset_Wisata'!$A$12:$A$622, 0)))/2)^2)) * 1.3</f>
        <v/>
      </c>
      <c r="J554" s="21">
        <f>ROUND(I554 * IF('Dashboard'!$C$6&lt;=1, 2250, IF('Dashboard'!$C$6&lt;=4, 5150, 6000)), 0)</f>
        <v/>
      </c>
      <c r="K554" s="30" t="n">
        <v>0.9987781801933064</v>
      </c>
      <c r="L554" s="30" t="n">
        <v>0.001091605934080929</v>
      </c>
      <c r="M554" s="30" t="n">
        <v>0.0001302138726126961</v>
      </c>
      <c r="N554" s="31">
        <f>ABS(E554-$F$6)</f>
        <v/>
      </c>
      <c r="O554" s="31">
        <f>ABS(E554-$F$7)</f>
        <v/>
      </c>
      <c r="P554" s="31">
        <f>ABS(E554-$F$8)</f>
        <v/>
      </c>
      <c r="Q554" s="14">
        <f>IF(K554&gt;=MAX(L554,M554), "Hemat", IF(L554&gt;=M554, "Balanced", "Premium"))</f>
        <v/>
      </c>
      <c r="R554" s="30" t="n">
        <v>0.9987781834942757</v>
      </c>
      <c r="S554" s="30" t="n">
        <v>0.001091603006513616</v>
      </c>
      <c r="T554" s="30" t="n">
        <v>0.0001302134992107814</v>
      </c>
      <c r="U554" s="31">
        <f>ABS(E554-$G$6)</f>
        <v/>
      </c>
      <c r="V554" s="31">
        <f>ABS(E554-$G$7)</f>
        <v/>
      </c>
      <c r="W554" s="31">
        <f>ABS(E554-$G$8)</f>
        <v/>
      </c>
      <c r="X554" s="14">
        <f>IF(R554&gt;=MAX(S554,T554), "Hemat", IF(S554&gt;=T554, "Balanced", "Premium"))</f>
        <v/>
      </c>
    </row>
    <row r="555">
      <c r="A555" s="14" t="n">
        <v>544</v>
      </c>
      <c r="B555" s="7" t="inlineStr">
        <is>
          <t>Nasi Goreng Raja Rasa</t>
        </is>
      </c>
      <c r="C555" s="26" t="n">
        <v>-8.035626600000001</v>
      </c>
      <c r="D555" s="26" t="n">
        <v>112.642426</v>
      </c>
      <c r="E555" s="21" t="n">
        <v>15000</v>
      </c>
      <c r="F555" s="27" t="n">
        <v>4.2</v>
      </c>
      <c r="G555" s="28" t="n">
        <v>71</v>
      </c>
      <c r="H555" s="14" t="inlineStr">
        <is>
          <t>Wisata Umum</t>
        </is>
      </c>
      <c r="I555" s="29">
        <f>6371 * 2 * ASIN(SQRT(SIN(RADIANS((C555) - INDEX('Dataset_Wisata'!$C$12:$C$622, MATCH('Dashboard'!$C$9, 'Dataset_Wisata'!$A$12:$A$622, 0)))/2)^2 + COS(RADIANS(INDEX('Dataset_Wisata'!$C$12:$C$622, MATCH('Dashboard'!$C$9, 'Dataset_Wisata'!$A$12:$A$622, 0)))) * COS(RADIANS(C555)) * SIN(RADIANS((D555) - INDEX('Dataset_Wisata'!$D$12:$D$622, MATCH('Dashboard'!$C$9, 'Dataset_Wisata'!$A$12:$A$622, 0)))/2)^2)) * 1.3</f>
        <v/>
      </c>
      <c r="J555" s="21">
        <f>ROUND(I555 * IF('Dashboard'!$C$6&lt;=1, 2250, IF('Dashboard'!$C$6&lt;=4, 5150, 6000)), 0)</f>
        <v/>
      </c>
      <c r="K555" s="30" t="n">
        <v>0.9686283169848018</v>
      </c>
      <c r="L555" s="30" t="n">
        <v>0.02872990537067274</v>
      </c>
      <c r="M555" s="30" t="n">
        <v>0.002641777644525457</v>
      </c>
      <c r="N555" s="31">
        <f>ABS(E555-$F$6)</f>
        <v/>
      </c>
      <c r="O555" s="31">
        <f>ABS(E555-$F$7)</f>
        <v/>
      </c>
      <c r="P555" s="31">
        <f>ABS(E555-$F$8)</f>
        <v/>
      </c>
      <c r="Q555" s="14">
        <f>IF(K555&gt;=MAX(L555,M555), "Hemat", IF(L555&gt;=M555, "Balanced", "Premium"))</f>
        <v/>
      </c>
      <c r="R555" s="30" t="n">
        <v>0.9686282798936615</v>
      </c>
      <c r="S555" s="30" t="n">
        <v>0.02872993996961344</v>
      </c>
      <c r="T555" s="30" t="n">
        <v>0.002641780136725144</v>
      </c>
      <c r="U555" s="31">
        <f>ABS(E555-$G$6)</f>
        <v/>
      </c>
      <c r="V555" s="31">
        <f>ABS(E555-$G$7)</f>
        <v/>
      </c>
      <c r="W555" s="31">
        <f>ABS(E555-$G$8)</f>
        <v/>
      </c>
      <c r="X555" s="14">
        <f>IF(R555&gt;=MAX(S555,T555), "Hemat", IF(S555&gt;=T555, "Balanced", "Premium"))</f>
        <v/>
      </c>
    </row>
    <row r="556">
      <c r="A556" s="14" t="n">
        <v>545</v>
      </c>
      <c r="B556" s="7" t="inlineStr">
        <is>
          <t>Depot Nikmat 2</t>
        </is>
      </c>
      <c r="C556" s="26" t="n">
        <v>-7.9524004</v>
      </c>
      <c r="D556" s="26" t="n">
        <v>112.6886698</v>
      </c>
      <c r="E556" s="21" t="n">
        <v>19000</v>
      </c>
      <c r="F556" s="27" t="n">
        <v>4.5</v>
      </c>
      <c r="G556" s="28" t="n">
        <v>490</v>
      </c>
      <c r="H556" s="14" t="inlineStr">
        <is>
          <t>Wisata Umum</t>
        </is>
      </c>
      <c r="I556" s="29">
        <f>6371 * 2 * ASIN(SQRT(SIN(RADIANS((C556) - INDEX('Dataset_Wisata'!$C$12:$C$622, MATCH('Dashboard'!$C$9, 'Dataset_Wisata'!$A$12:$A$622, 0)))/2)^2 + COS(RADIANS(INDEX('Dataset_Wisata'!$C$12:$C$622, MATCH('Dashboard'!$C$9, 'Dataset_Wisata'!$A$12:$A$622, 0)))) * COS(RADIANS(C556)) * SIN(RADIANS((D556) - INDEX('Dataset_Wisata'!$D$12:$D$622, MATCH('Dashboard'!$C$9, 'Dataset_Wisata'!$A$12:$A$622, 0)))/2)^2)) * 1.3</f>
        <v/>
      </c>
      <c r="J556" s="21">
        <f>ROUND(I556 * IF('Dashboard'!$C$6&lt;=1, 2250, IF('Dashboard'!$C$6&lt;=4, 5150, 6000)), 0)</f>
        <v/>
      </c>
      <c r="K556" s="30" t="n">
        <v>0.5366761769981572</v>
      </c>
      <c r="L556" s="30" t="n">
        <v>0.4435988772155322</v>
      </c>
      <c r="M556" s="30" t="n">
        <v>0.01972494578631066</v>
      </c>
      <c r="N556" s="31">
        <f>ABS(E556-$F$6)</f>
        <v/>
      </c>
      <c r="O556" s="31">
        <f>ABS(E556-$F$7)</f>
        <v/>
      </c>
      <c r="P556" s="31">
        <f>ABS(E556-$F$8)</f>
        <v/>
      </c>
      <c r="Q556" s="14">
        <f>IF(K556&gt;=MAX(L556,M556), "Hemat", IF(L556&gt;=M556, "Balanced", "Premium"))</f>
        <v/>
      </c>
      <c r="R556" s="30" t="n">
        <v>0.5366759174130455</v>
      </c>
      <c r="S556" s="30" t="n">
        <v>0.443599136184954</v>
      </c>
      <c r="T556" s="30" t="n">
        <v>0.01972494640200039</v>
      </c>
      <c r="U556" s="31">
        <f>ABS(E556-$G$6)</f>
        <v/>
      </c>
      <c r="V556" s="31">
        <f>ABS(E556-$G$7)</f>
        <v/>
      </c>
      <c r="W556" s="31">
        <f>ABS(E556-$G$8)</f>
        <v/>
      </c>
      <c r="X556" s="14">
        <f>IF(R556&gt;=MAX(S556,T556), "Hemat", IF(S556&gt;=T556, "Balanced", "Premium"))</f>
        <v/>
      </c>
    </row>
    <row r="557">
      <c r="A557" s="14" t="n">
        <v>546</v>
      </c>
      <c r="B557" s="7" t="inlineStr">
        <is>
          <t>Warung Lian</t>
        </is>
      </c>
      <c r="C557" s="26" t="n">
        <v>-7.9723272</v>
      </c>
      <c r="D557" s="26" t="n">
        <v>112.6466454</v>
      </c>
      <c r="E557" s="21" t="n">
        <v>8500</v>
      </c>
      <c r="F557" s="27" t="n">
        <v>4.2</v>
      </c>
      <c r="G557" s="28" t="n">
        <v>356</v>
      </c>
      <c r="H557" s="14" t="inlineStr">
        <is>
          <t>Warung Lian</t>
        </is>
      </c>
      <c r="I557" s="29">
        <f>6371 * 2 * ASIN(SQRT(SIN(RADIANS((C557) - INDEX('Dataset_Wisata'!$C$12:$C$622, MATCH('Dashboard'!$C$9, 'Dataset_Wisata'!$A$12:$A$622, 0)))/2)^2 + COS(RADIANS(INDEX('Dataset_Wisata'!$C$12:$C$622, MATCH('Dashboard'!$C$9, 'Dataset_Wisata'!$A$12:$A$622, 0)))) * COS(RADIANS(C557)) * SIN(RADIANS((D557) - INDEX('Dataset_Wisata'!$D$12:$D$622, MATCH('Dashboard'!$C$9, 'Dataset_Wisata'!$A$12:$A$622, 0)))/2)^2)) * 1.3</f>
        <v/>
      </c>
      <c r="J557" s="21">
        <f>ROUND(I557 * IF('Dashboard'!$C$6&lt;=1, 2250, IF('Dashboard'!$C$6&lt;=4, 5150, 6000)), 0)</f>
        <v/>
      </c>
      <c r="K557" s="30" t="n">
        <v>0.9160587721709752</v>
      </c>
      <c r="L557" s="30" t="n">
        <v>0.07162949400807068</v>
      </c>
      <c r="M557" s="30" t="n">
        <v>0.01231173382095428</v>
      </c>
      <c r="N557" s="31">
        <f>ABS(E557-$F$6)</f>
        <v/>
      </c>
      <c r="O557" s="31">
        <f>ABS(E557-$F$7)</f>
        <v/>
      </c>
      <c r="P557" s="31">
        <f>ABS(E557-$F$8)</f>
        <v/>
      </c>
      <c r="Q557" s="14">
        <f>IF(K557&gt;=MAX(L557,M557), "Hemat", IF(L557&gt;=M557, "Balanced", "Premium"))</f>
        <v/>
      </c>
      <c r="R557" s="30" t="n">
        <v>0.9160587699176295</v>
      </c>
      <c r="S557" s="30" t="n">
        <v>0.0716294970053437</v>
      </c>
      <c r="T557" s="30" t="n">
        <v>0.01231173307702687</v>
      </c>
      <c r="U557" s="31">
        <f>ABS(E557-$G$6)</f>
        <v/>
      </c>
      <c r="V557" s="31">
        <f>ABS(E557-$G$7)</f>
        <v/>
      </c>
      <c r="W557" s="31">
        <f>ABS(E557-$G$8)</f>
        <v/>
      </c>
      <c r="X557" s="14">
        <f>IF(R557&gt;=MAX(S557,T557), "Hemat", IF(S557&gt;=T557, "Balanced", "Premium"))</f>
        <v/>
      </c>
    </row>
    <row r="558">
      <c r="A558" s="14" t="n">
        <v>547</v>
      </c>
      <c r="B558" s="7" t="inlineStr">
        <is>
          <t>Waroeng Spesial Sambal "SS" Malang Ciliwung</t>
        </is>
      </c>
      <c r="C558" s="26" t="n">
        <v>-7.9538339</v>
      </c>
      <c r="D558" s="26" t="n">
        <v>112.6438127</v>
      </c>
      <c r="E558" s="21" t="n">
        <v>12200</v>
      </c>
      <c r="F558" s="27" t="n">
        <v>4.3</v>
      </c>
      <c r="G558" s="28" t="n">
        <v>7500</v>
      </c>
      <c r="H558" s="14" t="inlineStr">
        <is>
          <t>Wisata Umum</t>
        </is>
      </c>
      <c r="I558" s="29">
        <f>6371 * 2 * ASIN(SQRT(SIN(RADIANS((C558) - INDEX('Dataset_Wisata'!$C$12:$C$622, MATCH('Dashboard'!$C$9, 'Dataset_Wisata'!$A$12:$A$622, 0)))/2)^2 + COS(RADIANS(INDEX('Dataset_Wisata'!$C$12:$C$622, MATCH('Dashboard'!$C$9, 'Dataset_Wisata'!$A$12:$A$622, 0)))) * COS(RADIANS(C558)) * SIN(RADIANS((D558) - INDEX('Dataset_Wisata'!$D$12:$D$622, MATCH('Dashboard'!$C$9, 'Dataset_Wisata'!$A$12:$A$622, 0)))/2)^2)) * 1.3</f>
        <v/>
      </c>
      <c r="J558" s="21">
        <f>ROUND(I558 * IF('Dashboard'!$C$6&lt;=1, 2250, IF('Dashboard'!$C$6&lt;=4, 5150, 6000)), 0)</f>
        <v/>
      </c>
      <c r="K558" s="30" t="n">
        <v>0.9933405836616003</v>
      </c>
      <c r="L558" s="30" t="n">
        <v>0.005910353927666498</v>
      </c>
      <c r="M558" s="30" t="n">
        <v>0.0007490624107332797</v>
      </c>
      <c r="N558" s="31">
        <f>ABS(E558-$F$6)</f>
        <v/>
      </c>
      <c r="O558" s="31">
        <f>ABS(E558-$F$7)</f>
        <v/>
      </c>
      <c r="P558" s="31">
        <f>ABS(E558-$F$8)</f>
        <v/>
      </c>
      <c r="Q558" s="14">
        <f>IF(K558&gt;=MAX(L558,M558), "Hemat", IF(L558&gt;=M558, "Balanced", "Premium"))</f>
        <v/>
      </c>
      <c r="R558" s="30" t="n">
        <v>0.9933405895119617</v>
      </c>
      <c r="S558" s="30" t="n">
        <v>0.005910348848482122</v>
      </c>
      <c r="T558" s="30" t="n">
        <v>0.0007490616395562258</v>
      </c>
      <c r="U558" s="31">
        <f>ABS(E558-$G$6)</f>
        <v/>
      </c>
      <c r="V558" s="31">
        <f>ABS(E558-$G$7)</f>
        <v/>
      </c>
      <c r="W558" s="31">
        <f>ABS(E558-$G$8)</f>
        <v/>
      </c>
      <c r="X558" s="14">
        <f>IF(R558&gt;=MAX(S558,T558), "Hemat", IF(S558&gt;=T558, "Balanced", "Premium"))</f>
        <v/>
      </c>
    </row>
    <row r="559">
      <c r="A559" s="14" t="n">
        <v>548</v>
      </c>
      <c r="B559" s="7" t="inlineStr">
        <is>
          <t>Ayam Penyet Ria, Malang</t>
        </is>
      </c>
      <c r="C559" s="26" t="n">
        <v>-7.971122</v>
      </c>
      <c r="D559" s="26" t="n">
        <v>112.636695</v>
      </c>
      <c r="E559" s="21" t="n">
        <v>48000</v>
      </c>
      <c r="F559" s="27" t="n">
        <v>4.5</v>
      </c>
      <c r="G559" s="28" t="n">
        <v>675</v>
      </c>
      <c r="H559" s="14" t="inlineStr">
        <is>
          <t>Wisata Umum</t>
        </is>
      </c>
      <c r="I559" s="29">
        <f>6371 * 2 * ASIN(SQRT(SIN(RADIANS((C559) - INDEX('Dataset_Wisata'!$C$12:$C$622, MATCH('Dashboard'!$C$9, 'Dataset_Wisata'!$A$12:$A$622, 0)))/2)^2 + COS(RADIANS(INDEX('Dataset_Wisata'!$C$12:$C$622, MATCH('Dashboard'!$C$9, 'Dataset_Wisata'!$A$12:$A$622, 0)))) * COS(RADIANS(C559)) * SIN(RADIANS((D559) - INDEX('Dataset_Wisata'!$D$12:$D$622, MATCH('Dashboard'!$C$9, 'Dataset_Wisata'!$A$12:$A$622, 0)))/2)^2)) * 1.3</f>
        <v/>
      </c>
      <c r="J559" s="21">
        <f>ROUND(I559 * IF('Dashboard'!$C$6&lt;=1, 2250, IF('Dashboard'!$C$6&lt;=4, 5150, 6000)), 0)</f>
        <v/>
      </c>
      <c r="K559" s="30" t="n">
        <v>0.001134061024542266</v>
      </c>
      <c r="L559" s="30" t="n">
        <v>0.002677704609373422</v>
      </c>
      <c r="M559" s="30" t="n">
        <v>0.9961882343660844</v>
      </c>
      <c r="N559" s="31">
        <f>ABS(E559-$F$6)</f>
        <v/>
      </c>
      <c r="O559" s="31">
        <f>ABS(E559-$F$7)</f>
        <v/>
      </c>
      <c r="P559" s="31">
        <f>ABS(E559-$F$8)</f>
        <v/>
      </c>
      <c r="Q559" s="14">
        <f>IF(K559&gt;=MAX(L559,M559), "Hemat", IF(L559&gt;=M559, "Balanced", "Premium"))</f>
        <v/>
      </c>
      <c r="R559" s="30" t="n">
        <v>0.00113405251871314</v>
      </c>
      <c r="S559" s="30" t="n">
        <v>0.002677683990012418</v>
      </c>
      <c r="T559" s="30" t="n">
        <v>0.9961882634912744</v>
      </c>
      <c r="U559" s="31">
        <f>ABS(E559-$G$6)</f>
        <v/>
      </c>
      <c r="V559" s="31">
        <f>ABS(E559-$G$7)</f>
        <v/>
      </c>
      <c r="W559" s="31">
        <f>ABS(E559-$G$8)</f>
        <v/>
      </c>
      <c r="X559" s="14">
        <f>IF(R559&gt;=MAX(S559,T559), "Hemat", IF(S559&gt;=T559, "Balanced", "Premium"))</f>
        <v/>
      </c>
    </row>
    <row r="560">
      <c r="A560" s="14" t="n">
        <v>549</v>
      </c>
      <c r="B560" s="7" t="inlineStr">
        <is>
          <t>SAMBAL GAMI BU'SUM</t>
        </is>
      </c>
      <c r="C560" s="26" t="n">
        <v>-7.9753901</v>
      </c>
      <c r="D560" s="26" t="n">
        <v>112.6369541</v>
      </c>
      <c r="E560" s="21" t="n">
        <v>11400</v>
      </c>
      <c r="F560" s="27" t="n">
        <v>4.2</v>
      </c>
      <c r="G560" s="28" t="n">
        <v>1898</v>
      </c>
      <c r="H560" s="14" t="inlineStr">
        <is>
          <t>Wisata Umum</t>
        </is>
      </c>
      <c r="I560" s="29">
        <f>6371 * 2 * ASIN(SQRT(SIN(RADIANS((C560) - INDEX('Dataset_Wisata'!$C$12:$C$622, MATCH('Dashboard'!$C$9, 'Dataset_Wisata'!$A$12:$A$622, 0)))/2)^2 + COS(RADIANS(INDEX('Dataset_Wisata'!$C$12:$C$622, MATCH('Dashboard'!$C$9, 'Dataset_Wisata'!$A$12:$A$622, 0)))) * COS(RADIANS(C560)) * SIN(RADIANS((D560) - INDEX('Dataset_Wisata'!$D$12:$D$622, MATCH('Dashboard'!$C$9, 'Dataset_Wisata'!$A$12:$A$622, 0)))/2)^2)) * 1.3</f>
        <v/>
      </c>
      <c r="J560" s="21">
        <f>ROUND(I560 * IF('Dashboard'!$C$6&lt;=1, 2250, IF('Dashboard'!$C$6&lt;=4, 5150, 6000)), 0)</f>
        <v/>
      </c>
      <c r="K560" s="30" t="n">
        <v>0.9811494687393836</v>
      </c>
      <c r="L560" s="30" t="n">
        <v>0.01658451537995158</v>
      </c>
      <c r="M560" s="30" t="n">
        <v>0.002266015880664815</v>
      </c>
      <c r="N560" s="31">
        <f>ABS(E560-$F$6)</f>
        <v/>
      </c>
      <c r="O560" s="31">
        <f>ABS(E560-$F$7)</f>
        <v/>
      </c>
      <c r="P560" s="31">
        <f>ABS(E560-$F$8)</f>
        <v/>
      </c>
      <c r="Q560" s="14">
        <f>IF(K560&gt;=MAX(L560,M560), "Hemat", IF(L560&gt;=M560, "Balanced", "Premium"))</f>
        <v/>
      </c>
      <c r="R560" s="30" t="n">
        <v>0.9811494751345583</v>
      </c>
      <c r="S560" s="30" t="n">
        <v>0.01658451005619782</v>
      </c>
      <c r="T560" s="30" t="n">
        <v>0.002266014809243833</v>
      </c>
      <c r="U560" s="31">
        <f>ABS(E560-$G$6)</f>
        <v/>
      </c>
      <c r="V560" s="31">
        <f>ABS(E560-$G$7)</f>
        <v/>
      </c>
      <c r="W560" s="31">
        <f>ABS(E560-$G$8)</f>
        <v/>
      </c>
      <c r="X560" s="14">
        <f>IF(R560&gt;=MAX(S560,T560), "Hemat", IF(S560&gt;=T560, "Balanced", "Premium"))</f>
        <v/>
      </c>
    </row>
    <row r="561">
      <c r="A561" s="14" t="n">
        <v>550</v>
      </c>
      <c r="B561" s="7" t="inlineStr">
        <is>
          <t>Waroeng Lestari</t>
        </is>
      </c>
      <c r="C561" s="26" t="n">
        <v>-7.960839</v>
      </c>
      <c r="D561" s="26" t="n">
        <v>112.634759</v>
      </c>
      <c r="E561" s="21" t="n">
        <v>25000</v>
      </c>
      <c r="F561" s="27" t="n">
        <v>4.4</v>
      </c>
      <c r="G561" s="28" t="n">
        <v>337</v>
      </c>
      <c r="H561" s="14" t="inlineStr">
        <is>
          <t>Wisata Umum</t>
        </is>
      </c>
      <c r="I561" s="29">
        <f>6371 * 2 * ASIN(SQRT(SIN(RADIANS((C561) - INDEX('Dataset_Wisata'!$C$12:$C$622, MATCH('Dashboard'!$C$9, 'Dataset_Wisata'!$A$12:$A$622, 0)))/2)^2 + COS(RADIANS(INDEX('Dataset_Wisata'!$C$12:$C$622, MATCH('Dashboard'!$C$9, 'Dataset_Wisata'!$A$12:$A$622, 0)))) * COS(RADIANS(C561)) * SIN(RADIANS((D561) - INDEX('Dataset_Wisata'!$D$12:$D$622, MATCH('Dashboard'!$C$9, 'Dataset_Wisata'!$A$12:$A$622, 0)))/2)^2)) * 1.3</f>
        <v/>
      </c>
      <c r="J561" s="21">
        <f>ROUND(I561 * IF('Dashboard'!$C$6&lt;=1, 2250, IF('Dashboard'!$C$6&lt;=4, 5150, 6000)), 0)</f>
        <v/>
      </c>
      <c r="K561" s="30" t="n">
        <v>0.0009460509590550509</v>
      </c>
      <c r="L561" s="30" t="n">
        <v>0.9988291129147837</v>
      </c>
      <c r="M561" s="30" t="n">
        <v>0.0002248361261612175</v>
      </c>
      <c r="N561" s="31">
        <f>ABS(E561-$F$6)</f>
        <v/>
      </c>
      <c r="O561" s="31">
        <f>ABS(E561-$F$7)</f>
        <v/>
      </c>
      <c r="P561" s="31">
        <f>ABS(E561-$F$8)</f>
        <v/>
      </c>
      <c r="Q561" s="14">
        <f>IF(K561&gt;=MAX(L561,M561), "Hemat", IF(L561&gt;=M561, "Balanced", "Premium"))</f>
        <v/>
      </c>
      <c r="R561" s="30" t="n">
        <v>0.0009460368639408893</v>
      </c>
      <c r="S561" s="30" t="n">
        <v>0.998829130253259</v>
      </c>
      <c r="T561" s="30" t="n">
        <v>0.0002248328828000856</v>
      </c>
      <c r="U561" s="31">
        <f>ABS(E561-$G$6)</f>
        <v/>
      </c>
      <c r="V561" s="31">
        <f>ABS(E561-$G$7)</f>
        <v/>
      </c>
      <c r="W561" s="31">
        <f>ABS(E561-$G$8)</f>
        <v/>
      </c>
      <c r="X561" s="14">
        <f>IF(R561&gt;=MAX(S561,T561), "Hemat", IF(S561&gt;=T561, "Balanced", "Premium"))</f>
        <v/>
      </c>
    </row>
    <row r="562">
      <c r="A562" s="14" t="n">
        <v>551</v>
      </c>
      <c r="B562" s="7" t="inlineStr">
        <is>
          <t>Surabi Imut</t>
        </is>
      </c>
      <c r="C562" s="26" t="n">
        <v>-7.9726298</v>
      </c>
      <c r="D562" s="26" t="n">
        <v>112.636483</v>
      </c>
      <c r="E562" s="21" t="n">
        <v>13000</v>
      </c>
      <c r="F562" s="27" t="n">
        <v>4.5</v>
      </c>
      <c r="G562" s="28" t="n">
        <v>970</v>
      </c>
      <c r="H562" s="14" t="inlineStr">
        <is>
          <t>Wisata Umum</t>
        </is>
      </c>
      <c r="I562" s="29">
        <f>6371 * 2 * ASIN(SQRT(SIN(RADIANS((C562) - INDEX('Dataset_Wisata'!$C$12:$C$622, MATCH('Dashboard'!$C$9, 'Dataset_Wisata'!$A$12:$A$622, 0)))/2)^2 + COS(RADIANS(INDEX('Dataset_Wisata'!$C$12:$C$622, MATCH('Dashboard'!$C$9, 'Dataset_Wisata'!$A$12:$A$622, 0)))) * COS(RADIANS(C562)) * SIN(RADIANS((D562) - INDEX('Dataset_Wisata'!$D$12:$D$622, MATCH('Dashboard'!$C$9, 'Dataset_Wisata'!$A$12:$A$622, 0)))/2)^2)) * 1.3</f>
        <v/>
      </c>
      <c r="J562" s="21">
        <f>ROUND(I562 * IF('Dashboard'!$C$6&lt;=1, 2250, IF('Dashboard'!$C$6&lt;=4, 5150, 6000)), 0)</f>
        <v/>
      </c>
      <c r="K562" s="30" t="n">
        <v>0.9996613401455278</v>
      </c>
      <c r="L562" s="30" t="n">
        <v>0.0003032413982241428</v>
      </c>
      <c r="M562" s="30" t="n">
        <v>3.541845624800055e-05</v>
      </c>
      <c r="N562" s="31">
        <f>ABS(E562-$F$6)</f>
        <v/>
      </c>
      <c r="O562" s="31">
        <f>ABS(E562-$F$7)</f>
        <v/>
      </c>
      <c r="P562" s="31">
        <f>ABS(E562-$F$8)</f>
        <v/>
      </c>
      <c r="Q562" s="14">
        <f>IF(K562&gt;=MAX(L562,M562), "Hemat", IF(L562&gt;=M562, "Balanced", "Premium"))</f>
        <v/>
      </c>
      <c r="R562" s="30" t="n">
        <v>0.9996613420378273</v>
      </c>
      <c r="S562" s="30" t="n">
        <v>0.0003032397098959421</v>
      </c>
      <c r="T562" s="30" t="n">
        <v>3.541825227674828e-05</v>
      </c>
      <c r="U562" s="31">
        <f>ABS(E562-$G$6)</f>
        <v/>
      </c>
      <c r="V562" s="31">
        <f>ABS(E562-$G$7)</f>
        <v/>
      </c>
      <c r="W562" s="31">
        <f>ABS(E562-$G$8)</f>
        <v/>
      </c>
      <c r="X562" s="14">
        <f>IF(R562&gt;=MAX(S562,T562), "Hemat", IF(S562&gt;=T562, "Balanced", "Premium"))</f>
        <v/>
      </c>
    </row>
    <row r="563">
      <c r="A563" s="14" t="n">
        <v>552</v>
      </c>
      <c r="B563" s="7" t="inlineStr">
        <is>
          <t>Nasi Kremikan Spesial &amp; Penyet - Warmob 88</t>
        </is>
      </c>
      <c r="C563" s="26" t="n">
        <v>-7.9752131</v>
      </c>
      <c r="D563" s="26" t="n">
        <v>112.6350413</v>
      </c>
      <c r="E563" s="21" t="n">
        <v>27500</v>
      </c>
      <c r="F563" s="27" t="n">
        <v>4</v>
      </c>
      <c r="G563" s="28" t="n">
        <v>280</v>
      </c>
      <c r="H563" s="14" t="inlineStr">
        <is>
          <t>Wisata Umum</t>
        </is>
      </c>
      <c r="I563" s="29">
        <f>6371 * 2 * ASIN(SQRT(SIN(RADIANS((C563) - INDEX('Dataset_Wisata'!$C$12:$C$622, MATCH('Dashboard'!$C$9, 'Dataset_Wisata'!$A$12:$A$622, 0)))/2)^2 + COS(RADIANS(INDEX('Dataset_Wisata'!$C$12:$C$622, MATCH('Dashboard'!$C$9, 'Dataset_Wisata'!$A$12:$A$622, 0)))) * COS(RADIANS(C563)) * SIN(RADIANS((D563) - INDEX('Dataset_Wisata'!$D$12:$D$622, MATCH('Dashboard'!$C$9, 'Dataset_Wisata'!$A$12:$A$622, 0)))/2)^2)) * 1.3</f>
        <v/>
      </c>
      <c r="J563" s="21">
        <f>ROUND(I563 * IF('Dashboard'!$C$6&lt;=1, 2250, IF('Dashboard'!$C$6&lt;=4, 5150, 6000)), 0)</f>
        <v/>
      </c>
      <c r="K563" s="30" t="n">
        <v>0.02169048525702663</v>
      </c>
      <c r="L563" s="30" t="n">
        <v>0.9688874380848954</v>
      </c>
      <c r="M563" s="30" t="n">
        <v>0.00942207665807801</v>
      </c>
      <c r="N563" s="31">
        <f>ABS(E563-$F$6)</f>
        <v/>
      </c>
      <c r="O563" s="31">
        <f>ABS(E563-$F$7)</f>
        <v/>
      </c>
      <c r="P563" s="31">
        <f>ABS(E563-$F$8)</f>
        <v/>
      </c>
      <c r="Q563" s="14">
        <f>IF(K563&gt;=MAX(L563,M563), "Hemat", IF(L563&gt;=M563, "Balanced", "Premium"))</f>
        <v/>
      </c>
      <c r="R563" s="30" t="n">
        <v>0.02169053605683701</v>
      </c>
      <c r="S563" s="30" t="n">
        <v>0.9688873605428653</v>
      </c>
      <c r="T563" s="30" t="n">
        <v>0.009422103400297668</v>
      </c>
      <c r="U563" s="31">
        <f>ABS(E563-$G$6)</f>
        <v/>
      </c>
      <c r="V563" s="31">
        <f>ABS(E563-$G$7)</f>
        <v/>
      </c>
      <c r="W563" s="31">
        <f>ABS(E563-$G$8)</f>
        <v/>
      </c>
      <c r="X563" s="14">
        <f>IF(R563&gt;=MAX(S563,T563), "Hemat", IF(S563&gt;=T563, "Balanced", "Premium"))</f>
        <v/>
      </c>
    </row>
    <row r="564">
      <c r="A564" s="14" t="n">
        <v>553</v>
      </c>
      <c r="B564" s="7" t="inlineStr">
        <is>
          <t>Depot 88 - Araya</t>
        </is>
      </c>
      <c r="C564" s="26" t="n">
        <v>-7.9414605</v>
      </c>
      <c r="D564" s="26" t="n">
        <v>112.6604733</v>
      </c>
      <c r="E564" s="21" t="n">
        <v>58750</v>
      </c>
      <c r="F564" s="27" t="n">
        <v>4.5</v>
      </c>
      <c r="G564" s="28" t="n">
        <v>277</v>
      </c>
      <c r="H564" s="14" t="inlineStr">
        <is>
          <t>Wisata Umum</t>
        </is>
      </c>
      <c r="I564" s="29">
        <f>6371 * 2 * ASIN(SQRT(SIN(RADIANS((C564) - INDEX('Dataset_Wisata'!$C$12:$C$622, MATCH('Dashboard'!$C$9, 'Dataset_Wisata'!$A$12:$A$622, 0)))/2)^2 + COS(RADIANS(INDEX('Dataset_Wisata'!$C$12:$C$622, MATCH('Dashboard'!$C$9, 'Dataset_Wisata'!$A$12:$A$622, 0)))) * COS(RADIANS(C564)) * SIN(RADIANS((D564) - INDEX('Dataset_Wisata'!$D$12:$D$622, MATCH('Dashboard'!$C$9, 'Dataset_Wisata'!$A$12:$A$622, 0)))/2)^2)) * 1.3</f>
        <v/>
      </c>
      <c r="J564" s="21">
        <f>ROUND(I564 * IF('Dashboard'!$C$6&lt;=1, 2250, IF('Dashboard'!$C$6&lt;=4, 5150, 6000)), 0)</f>
        <v/>
      </c>
      <c r="K564" s="30" t="n">
        <v>0.03926316122689242</v>
      </c>
      <c r="L564" s="30" t="n">
        <v>0.07303093926945944</v>
      </c>
      <c r="M564" s="30" t="n">
        <v>0.8877058995036481</v>
      </c>
      <c r="N564" s="31">
        <f>ABS(E564-$F$6)</f>
        <v/>
      </c>
      <c r="O564" s="31">
        <f>ABS(E564-$F$7)</f>
        <v/>
      </c>
      <c r="P564" s="31">
        <f>ABS(E564-$F$8)</f>
        <v/>
      </c>
      <c r="Q564" s="14">
        <f>IF(K564&gt;=MAX(L564,M564), "Hemat", IF(L564&gt;=M564, "Balanced", "Premium"))</f>
        <v/>
      </c>
      <c r="R564" s="30" t="n">
        <v>0.03926319262169328</v>
      </c>
      <c r="S564" s="30" t="n">
        <v>0.07303098799176476</v>
      </c>
      <c r="T564" s="30" t="n">
        <v>0.8877058193865419</v>
      </c>
      <c r="U564" s="31">
        <f>ABS(E564-$G$6)</f>
        <v/>
      </c>
      <c r="V564" s="31">
        <f>ABS(E564-$G$7)</f>
        <v/>
      </c>
      <c r="W564" s="31">
        <f>ABS(E564-$G$8)</f>
        <v/>
      </c>
      <c r="X564" s="14">
        <f>IF(R564&gt;=MAX(S564,T564), "Hemat", IF(S564&gt;=T564, "Balanced", "Premium"))</f>
        <v/>
      </c>
    </row>
    <row r="565">
      <c r="A565" s="14" t="n">
        <v>554</v>
      </c>
      <c r="B565" s="7" t="inlineStr">
        <is>
          <t>Pojok Kuliner Mas Gendoet</t>
        </is>
      </c>
      <c r="C565" s="26" t="n">
        <v>-7.9334654</v>
      </c>
      <c r="D565" s="26" t="n">
        <v>112.6613175</v>
      </c>
      <c r="E565" s="21" t="n">
        <v>13000</v>
      </c>
      <c r="F565" s="27" t="n">
        <v>4.5</v>
      </c>
      <c r="G565" s="28" t="n">
        <v>175</v>
      </c>
      <c r="H565" s="14" t="inlineStr">
        <is>
          <t>Wisata Umum</t>
        </is>
      </c>
      <c r="I565" s="29">
        <f>6371 * 2 * ASIN(SQRT(SIN(RADIANS((C565) - INDEX('Dataset_Wisata'!$C$12:$C$622, MATCH('Dashboard'!$C$9, 'Dataset_Wisata'!$A$12:$A$622, 0)))/2)^2 + COS(RADIANS(INDEX('Dataset_Wisata'!$C$12:$C$622, MATCH('Dashboard'!$C$9, 'Dataset_Wisata'!$A$12:$A$622, 0)))) * COS(RADIANS(C565)) * SIN(RADIANS((D565) - INDEX('Dataset_Wisata'!$D$12:$D$622, MATCH('Dashboard'!$C$9, 'Dataset_Wisata'!$A$12:$A$622, 0)))/2)^2)) * 1.3</f>
        <v/>
      </c>
      <c r="J565" s="21">
        <f>ROUND(I565 * IF('Dashboard'!$C$6&lt;=1, 2250, IF('Dashboard'!$C$6&lt;=4, 5150, 6000)), 0)</f>
        <v/>
      </c>
      <c r="K565" s="30" t="n">
        <v>0.9996613401455278</v>
      </c>
      <c r="L565" s="30" t="n">
        <v>0.0003032413982241428</v>
      </c>
      <c r="M565" s="30" t="n">
        <v>3.541845624800055e-05</v>
      </c>
      <c r="N565" s="31">
        <f>ABS(E565-$F$6)</f>
        <v/>
      </c>
      <c r="O565" s="31">
        <f>ABS(E565-$F$7)</f>
        <v/>
      </c>
      <c r="P565" s="31">
        <f>ABS(E565-$F$8)</f>
        <v/>
      </c>
      <c r="Q565" s="14">
        <f>IF(K565&gt;=MAX(L565,M565), "Hemat", IF(L565&gt;=M565, "Balanced", "Premium"))</f>
        <v/>
      </c>
      <c r="R565" s="30" t="n">
        <v>0.9996613420378273</v>
      </c>
      <c r="S565" s="30" t="n">
        <v>0.0003032397098959421</v>
      </c>
      <c r="T565" s="30" t="n">
        <v>3.541825227674828e-05</v>
      </c>
      <c r="U565" s="31">
        <f>ABS(E565-$G$6)</f>
        <v/>
      </c>
      <c r="V565" s="31">
        <f>ABS(E565-$G$7)</f>
        <v/>
      </c>
      <c r="W565" s="31">
        <f>ABS(E565-$G$8)</f>
        <v/>
      </c>
      <c r="X565" s="14">
        <f>IF(R565&gt;=MAX(S565,T565), "Hemat", IF(S565&gt;=T565, "Balanced", "Premium"))</f>
        <v/>
      </c>
    </row>
    <row r="566">
      <c r="A566" s="14" t="n">
        <v>555</v>
      </c>
      <c r="B566" s="7" t="inlineStr">
        <is>
          <t>Sowan Simbok Resto &amp; Batik Gallery</t>
        </is>
      </c>
      <c r="C566" s="26" t="n">
        <v>-7.9434652</v>
      </c>
      <c r="D566" s="26" t="n">
        <v>112.6956503</v>
      </c>
      <c r="E566" s="21" t="n">
        <v>28000</v>
      </c>
      <c r="F566" s="27" t="n">
        <v>4.7</v>
      </c>
      <c r="G566" s="28" t="n">
        <v>392</v>
      </c>
      <c r="H566" s="14" t="inlineStr">
        <is>
          <t>Wisata Umum</t>
        </is>
      </c>
      <c r="I566" s="29">
        <f>6371 * 2 * ASIN(SQRT(SIN(RADIANS((C566) - INDEX('Dataset_Wisata'!$C$12:$C$622, MATCH('Dashboard'!$C$9, 'Dataset_Wisata'!$A$12:$A$622, 0)))/2)^2 + COS(RADIANS(INDEX('Dataset_Wisata'!$C$12:$C$622, MATCH('Dashboard'!$C$9, 'Dataset_Wisata'!$A$12:$A$622, 0)))) * COS(RADIANS(C566)) * SIN(RADIANS((D566) - INDEX('Dataset_Wisata'!$D$12:$D$622, MATCH('Dashboard'!$C$9, 'Dataset_Wisata'!$A$12:$A$622, 0)))/2)^2)) * 1.3</f>
        <v/>
      </c>
      <c r="J566" s="21">
        <f>ROUND(I566 * IF('Dashboard'!$C$6&lt;=1, 2250, IF('Dashboard'!$C$6&lt;=4, 5150, 6000)), 0)</f>
        <v/>
      </c>
      <c r="K566" s="30" t="n">
        <v>0.03038188564948578</v>
      </c>
      <c r="L566" s="30" t="n">
        <v>0.954804959181367</v>
      </c>
      <c r="M566" s="30" t="n">
        <v>0.01481315516914707</v>
      </c>
      <c r="N566" s="31">
        <f>ABS(E566-$F$6)</f>
        <v/>
      </c>
      <c r="O566" s="31">
        <f>ABS(E566-$F$7)</f>
        <v/>
      </c>
      <c r="P566" s="31">
        <f>ABS(E566-$F$8)</f>
        <v/>
      </c>
      <c r="Q566" s="14">
        <f>IF(K566&gt;=MAX(L566,M566), "Hemat", IF(L566&gt;=M566, "Balanced", "Premium"))</f>
        <v/>
      </c>
      <c r="R566" s="30" t="n">
        <v>0.03038194195482316</v>
      </c>
      <c r="S566" s="30" t="n">
        <v>0.954804867976345</v>
      </c>
      <c r="T566" s="30" t="n">
        <v>0.01481319006883185</v>
      </c>
      <c r="U566" s="31">
        <f>ABS(E566-$G$6)</f>
        <v/>
      </c>
      <c r="V566" s="31">
        <f>ABS(E566-$G$7)</f>
        <v/>
      </c>
      <c r="W566" s="31">
        <f>ABS(E566-$G$8)</f>
        <v/>
      </c>
      <c r="X566" s="14">
        <f>IF(R566&gt;=MAX(S566,T566), "Hemat", IF(S566&gt;=T566, "Balanced", "Premium"))</f>
        <v/>
      </c>
    </row>
    <row r="567">
      <c r="A567" s="14" t="n">
        <v>556</v>
      </c>
      <c r="B567" s="7" t="inlineStr">
        <is>
          <t>Depot Rawon Malang MM</t>
        </is>
      </c>
      <c r="C567" s="26" t="n">
        <v>-7.935648</v>
      </c>
      <c r="D567" s="26" t="n">
        <v>112.6540937</v>
      </c>
      <c r="E567" s="21" t="n">
        <v>44500</v>
      </c>
      <c r="F567" s="27" t="n">
        <v>4.6</v>
      </c>
      <c r="G567" s="28" t="n">
        <v>57</v>
      </c>
      <c r="H567" s="14" t="inlineStr">
        <is>
          <t>Wisata Umum</t>
        </is>
      </c>
      <c r="I567" s="29">
        <f>6371 * 2 * ASIN(SQRT(SIN(RADIANS((C567) - INDEX('Dataset_Wisata'!$C$12:$C$622, MATCH('Dashboard'!$C$9, 'Dataset_Wisata'!$A$12:$A$622, 0)))/2)^2 + COS(RADIANS(INDEX('Dataset_Wisata'!$C$12:$C$622, MATCH('Dashboard'!$C$9, 'Dataset_Wisata'!$A$12:$A$622, 0)))) * COS(RADIANS(C567)) * SIN(RADIANS((D567) - INDEX('Dataset_Wisata'!$D$12:$D$622, MATCH('Dashboard'!$C$9, 'Dataset_Wisata'!$A$12:$A$622, 0)))/2)^2)) * 1.3</f>
        <v/>
      </c>
      <c r="J567" s="21">
        <f>ROUND(I567 * IF('Dashboard'!$C$6&lt;=1, 2250, IF('Dashboard'!$C$6&lt;=4, 5150, 6000)), 0)</f>
        <v/>
      </c>
      <c r="K567" s="30" t="n">
        <v>0.02062702018670841</v>
      </c>
      <c r="L567" s="30" t="n">
        <v>0.05512364999749688</v>
      </c>
      <c r="M567" s="30" t="n">
        <v>0.9242493298157947</v>
      </c>
      <c r="N567" s="31">
        <f>ABS(E567-$F$6)</f>
        <v/>
      </c>
      <c r="O567" s="31">
        <f>ABS(E567-$F$7)</f>
        <v/>
      </c>
      <c r="P567" s="31">
        <f>ABS(E567-$F$8)</f>
        <v/>
      </c>
      <c r="Q567" s="14">
        <f>IF(K567&gt;=MAX(L567,M567), "Hemat", IF(L567&gt;=M567, "Balanced", "Premium"))</f>
        <v/>
      </c>
      <c r="R567" s="30" t="n">
        <v>0.02062698380133424</v>
      </c>
      <c r="S567" s="30" t="n">
        <v>0.05512353957077914</v>
      </c>
      <c r="T567" s="30" t="n">
        <v>0.9242494766278866</v>
      </c>
      <c r="U567" s="31">
        <f>ABS(E567-$G$6)</f>
        <v/>
      </c>
      <c r="V567" s="31">
        <f>ABS(E567-$G$7)</f>
        <v/>
      </c>
      <c r="W567" s="31">
        <f>ABS(E567-$G$8)</f>
        <v/>
      </c>
      <c r="X567" s="14">
        <f>IF(R567&gt;=MAX(S567,T567), "Hemat", IF(S567&gt;=T567, "Balanced", "Premium"))</f>
        <v/>
      </c>
    </row>
    <row r="568">
      <c r="A568" s="14" t="n">
        <v>557</v>
      </c>
      <c r="B568" s="7" t="inlineStr">
        <is>
          <t>Kopi Moro Rindu Blimbing</t>
        </is>
      </c>
      <c r="C568" s="26" t="n">
        <v>-7.9486391</v>
      </c>
      <c r="D568" s="26" t="n">
        <v>112.6459554</v>
      </c>
      <c r="E568" s="21" t="n">
        <v>20000</v>
      </c>
      <c r="F568" s="27" t="n">
        <v>4.4</v>
      </c>
      <c r="G568" s="28" t="n">
        <v>291</v>
      </c>
      <c r="H568" s="14" t="inlineStr">
        <is>
          <t>Wisata Umum</t>
        </is>
      </c>
      <c r="I568" s="29">
        <f>6371 * 2 * ASIN(SQRT(SIN(RADIANS((C568) - INDEX('Dataset_Wisata'!$C$12:$C$622, MATCH('Dashboard'!$C$9, 'Dataset_Wisata'!$A$12:$A$622, 0)))/2)^2 + COS(RADIANS(INDEX('Dataset_Wisata'!$C$12:$C$622, MATCH('Dashboard'!$C$9, 'Dataset_Wisata'!$A$12:$A$622, 0)))) * COS(RADIANS(C568)) * SIN(RADIANS((D568) - INDEX('Dataset_Wisata'!$D$12:$D$622, MATCH('Dashboard'!$C$9, 'Dataset_Wisata'!$A$12:$A$622, 0)))/2)^2)) * 1.3</f>
        <v/>
      </c>
      <c r="J568" s="21">
        <f>ROUND(I568 * IF('Dashboard'!$C$6&lt;=1, 2250, IF('Dashboard'!$C$6&lt;=4, 5150, 6000)), 0)</f>
        <v/>
      </c>
      <c r="K568" s="30" t="n">
        <v>0.3766864462048385</v>
      </c>
      <c r="L568" s="30" t="n">
        <v>0.6029404273516955</v>
      </c>
      <c r="M568" s="30" t="n">
        <v>0.02037312644346593</v>
      </c>
      <c r="N568" s="31">
        <f>ABS(E568-$F$6)</f>
        <v/>
      </c>
      <c r="O568" s="31">
        <f>ABS(E568-$F$7)</f>
        <v/>
      </c>
      <c r="P568" s="31">
        <f>ABS(E568-$F$8)</f>
        <v/>
      </c>
      <c r="Q568" s="14">
        <f>IF(K568&gt;=MAX(L568,M568), "Hemat", IF(L568&gt;=M568, "Balanced", "Premium"))</f>
        <v/>
      </c>
      <c r="R568" s="30" t="n">
        <v>0.3766861717192874</v>
      </c>
      <c r="S568" s="30" t="n">
        <v>0.6029407066601674</v>
      </c>
      <c r="T568" s="30" t="n">
        <v>0.02037312162054524</v>
      </c>
      <c r="U568" s="31">
        <f>ABS(E568-$G$6)</f>
        <v/>
      </c>
      <c r="V568" s="31">
        <f>ABS(E568-$G$7)</f>
        <v/>
      </c>
      <c r="W568" s="31">
        <f>ABS(E568-$G$8)</f>
        <v/>
      </c>
      <c r="X568" s="14">
        <f>IF(R568&gt;=MAX(S568,T568), "Hemat", IF(S568&gt;=T568, "Balanced", "Premium"))</f>
        <v/>
      </c>
    </row>
    <row r="569">
      <c r="A569" s="14" t="n">
        <v>558</v>
      </c>
      <c r="B569" s="7" t="inlineStr">
        <is>
          <t>Nasi Bali " BALE GEDE " Nasi Jinggo khas Bali</t>
        </is>
      </c>
      <c r="C569" s="26" t="n">
        <v>-7.9397531</v>
      </c>
      <c r="D569" s="26" t="n">
        <v>112.6384897</v>
      </c>
      <c r="E569" s="21" t="n">
        <v>25000</v>
      </c>
      <c r="F569" s="27" t="n">
        <v>4.2</v>
      </c>
      <c r="G569" s="28" t="n">
        <v>34</v>
      </c>
      <c r="H569" s="14" t="inlineStr">
        <is>
          <t>Wisata Umum</t>
        </is>
      </c>
      <c r="I569" s="29">
        <f>6371 * 2 * ASIN(SQRT(SIN(RADIANS((C569) - INDEX('Dataset_Wisata'!$C$12:$C$622, MATCH('Dashboard'!$C$9, 'Dataset_Wisata'!$A$12:$A$622, 0)))/2)^2 + COS(RADIANS(INDEX('Dataset_Wisata'!$C$12:$C$622, MATCH('Dashboard'!$C$9, 'Dataset_Wisata'!$A$12:$A$622, 0)))) * COS(RADIANS(C569)) * SIN(RADIANS((D569) - INDEX('Dataset_Wisata'!$D$12:$D$622, MATCH('Dashboard'!$C$9, 'Dataset_Wisata'!$A$12:$A$622, 0)))/2)^2)) * 1.3</f>
        <v/>
      </c>
      <c r="J569" s="21">
        <f>ROUND(I569 * IF('Dashboard'!$C$6&lt;=1, 2250, IF('Dashboard'!$C$6&lt;=4, 5150, 6000)), 0)</f>
        <v/>
      </c>
      <c r="K569" s="30" t="n">
        <v>0.0009460509590550509</v>
      </c>
      <c r="L569" s="30" t="n">
        <v>0.9988291129147837</v>
      </c>
      <c r="M569" s="30" t="n">
        <v>0.0002248361261612175</v>
      </c>
      <c r="N569" s="31">
        <f>ABS(E569-$F$6)</f>
        <v/>
      </c>
      <c r="O569" s="31">
        <f>ABS(E569-$F$7)</f>
        <v/>
      </c>
      <c r="P569" s="31">
        <f>ABS(E569-$F$8)</f>
        <v/>
      </c>
      <c r="Q569" s="14">
        <f>IF(K569&gt;=MAX(L569,M569), "Hemat", IF(L569&gt;=M569, "Balanced", "Premium"))</f>
        <v/>
      </c>
      <c r="R569" s="30" t="n">
        <v>0.0009460368639408893</v>
      </c>
      <c r="S569" s="30" t="n">
        <v>0.998829130253259</v>
      </c>
      <c r="T569" s="30" t="n">
        <v>0.0002248328828000856</v>
      </c>
      <c r="U569" s="31">
        <f>ABS(E569-$G$6)</f>
        <v/>
      </c>
      <c r="V569" s="31">
        <f>ABS(E569-$G$7)</f>
        <v/>
      </c>
      <c r="W569" s="31">
        <f>ABS(E569-$G$8)</f>
        <v/>
      </c>
      <c r="X569" s="14">
        <f>IF(R569&gt;=MAX(S569,T569), "Hemat", IF(S569&gt;=T569, "Balanced", "Premium"))</f>
        <v/>
      </c>
    </row>
    <row r="570">
      <c r="A570" s="14" t="n">
        <v>559</v>
      </c>
      <c r="B570" s="7" t="inlineStr">
        <is>
          <t>Nasi Campur Madura Khas Bangkalan ( Nasi Petis )</t>
        </is>
      </c>
      <c r="C570" s="26" t="n">
        <v>-7.9414534</v>
      </c>
      <c r="D570" s="26" t="n">
        <v>112.6606613</v>
      </c>
      <c r="E570" s="21" t="n">
        <v>13000</v>
      </c>
      <c r="F570" s="27" t="n">
        <v>4.5</v>
      </c>
      <c r="G570" s="28" t="n">
        <v>1149</v>
      </c>
      <c r="H570" s="14" t="inlineStr">
        <is>
          <t>Wisata Umum</t>
        </is>
      </c>
      <c r="I570" s="29">
        <f>6371 * 2 * ASIN(SQRT(SIN(RADIANS((C570) - INDEX('Dataset_Wisata'!$C$12:$C$622, MATCH('Dashboard'!$C$9, 'Dataset_Wisata'!$A$12:$A$622, 0)))/2)^2 + COS(RADIANS(INDEX('Dataset_Wisata'!$C$12:$C$622, MATCH('Dashboard'!$C$9, 'Dataset_Wisata'!$A$12:$A$622, 0)))) * COS(RADIANS(C570)) * SIN(RADIANS((D570) - INDEX('Dataset_Wisata'!$D$12:$D$622, MATCH('Dashboard'!$C$9, 'Dataset_Wisata'!$A$12:$A$622, 0)))/2)^2)) * 1.3</f>
        <v/>
      </c>
      <c r="J570" s="21">
        <f>ROUND(I570 * IF('Dashboard'!$C$6&lt;=1, 2250, IF('Dashboard'!$C$6&lt;=4, 5150, 6000)), 0)</f>
        <v/>
      </c>
      <c r="K570" s="30" t="n">
        <v>0.9996613401455278</v>
      </c>
      <c r="L570" s="30" t="n">
        <v>0.0003032413982241428</v>
      </c>
      <c r="M570" s="30" t="n">
        <v>3.541845624800055e-05</v>
      </c>
      <c r="N570" s="31">
        <f>ABS(E570-$F$6)</f>
        <v/>
      </c>
      <c r="O570" s="31">
        <f>ABS(E570-$F$7)</f>
        <v/>
      </c>
      <c r="P570" s="31">
        <f>ABS(E570-$F$8)</f>
        <v/>
      </c>
      <c r="Q570" s="14">
        <f>IF(K570&gt;=MAX(L570,M570), "Hemat", IF(L570&gt;=M570, "Balanced", "Premium"))</f>
        <v/>
      </c>
      <c r="R570" s="30" t="n">
        <v>0.9996613420378273</v>
      </c>
      <c r="S570" s="30" t="n">
        <v>0.0003032397098959421</v>
      </c>
      <c r="T570" s="30" t="n">
        <v>3.541825227674828e-05</v>
      </c>
      <c r="U570" s="31">
        <f>ABS(E570-$G$6)</f>
        <v/>
      </c>
      <c r="V570" s="31">
        <f>ABS(E570-$G$7)</f>
        <v/>
      </c>
      <c r="W570" s="31">
        <f>ABS(E570-$G$8)</f>
        <v/>
      </c>
      <c r="X570" s="14">
        <f>IF(R570&gt;=MAX(S570,T570), "Hemat", IF(S570&gt;=T570, "Balanced", "Premium"))</f>
        <v/>
      </c>
    </row>
    <row r="571">
      <c r="A571" s="14" t="n">
        <v>560</v>
      </c>
      <c r="B571" s="7" t="inlineStr">
        <is>
          <t>Djati Lounge</t>
        </is>
      </c>
      <c r="C571" s="26" t="n">
        <v>-7.9321176</v>
      </c>
      <c r="D571" s="26" t="n">
        <v>112.6639446</v>
      </c>
      <c r="E571" s="21" t="n">
        <v>10000</v>
      </c>
      <c r="F571" s="27" t="n">
        <v>4.6</v>
      </c>
      <c r="G571" s="28" t="n">
        <v>3962</v>
      </c>
      <c r="H571" s="14" t="inlineStr">
        <is>
          <t>Wisata Umum</t>
        </is>
      </c>
      <c r="I571" s="29">
        <f>6371 * 2 * ASIN(SQRT(SIN(RADIANS((C571) - INDEX('Dataset_Wisata'!$C$12:$C$622, MATCH('Dashboard'!$C$9, 'Dataset_Wisata'!$A$12:$A$622, 0)))/2)^2 + COS(RADIANS(INDEX('Dataset_Wisata'!$C$12:$C$622, MATCH('Dashboard'!$C$9, 'Dataset_Wisata'!$A$12:$A$622, 0)))) * COS(RADIANS(C571)) * SIN(RADIANS((D571) - INDEX('Dataset_Wisata'!$D$12:$D$622, MATCH('Dashboard'!$C$9, 'Dataset_Wisata'!$A$12:$A$622, 0)))/2)^2)) * 1.3</f>
        <v/>
      </c>
      <c r="J571" s="21">
        <f>ROUND(I571 * IF('Dashboard'!$C$6&lt;=1, 2250, IF('Dashboard'!$C$6&lt;=4, 5150, 6000)), 0)</f>
        <v/>
      </c>
      <c r="K571" s="30" t="n">
        <v>0.9518906050943107</v>
      </c>
      <c r="L571" s="30" t="n">
        <v>0.04169660451397377</v>
      </c>
      <c r="M571" s="30" t="n">
        <v>0.006412790391715545</v>
      </c>
      <c r="N571" s="31">
        <f>ABS(E571-$F$6)</f>
        <v/>
      </c>
      <c r="O571" s="31">
        <f>ABS(E571-$F$7)</f>
        <v/>
      </c>
      <c r="P571" s="31">
        <f>ABS(E571-$F$8)</f>
        <v/>
      </c>
      <c r="Q571" s="14">
        <f>IF(K571&gt;=MAX(L571,M571), "Hemat", IF(L571&gt;=M571, "Balanced", "Premium"))</f>
        <v/>
      </c>
      <c r="R571" s="30" t="n">
        <v>0.9518906082621517</v>
      </c>
      <c r="S571" s="30" t="n">
        <v>0.04169660246361195</v>
      </c>
      <c r="T571" s="30" t="n">
        <v>0.006412789274236485</v>
      </c>
      <c r="U571" s="31">
        <f>ABS(E571-$G$6)</f>
        <v/>
      </c>
      <c r="V571" s="31">
        <f>ABS(E571-$G$7)</f>
        <v/>
      </c>
      <c r="W571" s="31">
        <f>ABS(E571-$G$8)</f>
        <v/>
      </c>
      <c r="X571" s="14">
        <f>IF(R571&gt;=MAX(S571,T571), "Hemat", IF(S571&gt;=T571, "Balanced", "Premium"))</f>
        <v/>
      </c>
    </row>
    <row r="572">
      <c r="A572" s="14" t="n">
        <v>561</v>
      </c>
      <c r="B572" s="7" t="inlineStr">
        <is>
          <t>Sari Rasa</t>
        </is>
      </c>
      <c r="C572" s="26" t="n">
        <v>-7.8895646</v>
      </c>
      <c r="D572" s="26" t="n">
        <v>112.6660941</v>
      </c>
      <c r="E572" s="21" t="n">
        <v>9000</v>
      </c>
      <c r="F572" s="27" t="n">
        <v>4.6</v>
      </c>
      <c r="G572" s="28" t="n">
        <v>535</v>
      </c>
      <c r="H572" s="14" t="inlineStr">
        <is>
          <t>Wisata Umum</t>
        </is>
      </c>
      <c r="I572" s="29">
        <f>6371 * 2 * ASIN(SQRT(SIN(RADIANS((C572) - INDEX('Dataset_Wisata'!$C$12:$C$622, MATCH('Dashboard'!$C$9, 'Dataset_Wisata'!$A$12:$A$622, 0)))/2)^2 + COS(RADIANS(INDEX('Dataset_Wisata'!$C$12:$C$622, MATCH('Dashboard'!$C$9, 'Dataset_Wisata'!$A$12:$A$622, 0)))) * COS(RADIANS(C572)) * SIN(RADIANS((D572) - INDEX('Dataset_Wisata'!$D$12:$D$622, MATCH('Dashboard'!$C$9, 'Dataset_Wisata'!$A$12:$A$622, 0)))/2)^2)) * 1.3</f>
        <v/>
      </c>
      <c r="J572" s="21">
        <f>ROUND(I572 * IF('Dashboard'!$C$6&lt;=1, 2250, IF('Dashboard'!$C$6&lt;=4, 5150, 6000)), 0)</f>
        <v/>
      </c>
      <c r="K572" s="30" t="n">
        <v>0.928180477824419</v>
      </c>
      <c r="L572" s="30" t="n">
        <v>0.06160046714170742</v>
      </c>
      <c r="M572" s="30" t="n">
        <v>0.01021905503387346</v>
      </c>
      <c r="N572" s="31">
        <f>ABS(E572-$F$6)</f>
        <v/>
      </c>
      <c r="O572" s="31">
        <f>ABS(E572-$F$7)</f>
        <v/>
      </c>
      <c r="P572" s="31">
        <f>ABS(E572-$F$8)</f>
        <v/>
      </c>
      <c r="Q572" s="14">
        <f>IF(K572&gt;=MAX(L572,M572), "Hemat", IF(L572&gt;=M572, "Balanced", "Premium"))</f>
        <v/>
      </c>
      <c r="R572" s="30" t="n">
        <v>0.9281804774269427</v>
      </c>
      <c r="S572" s="30" t="n">
        <v>0.06160046844072192</v>
      </c>
      <c r="T572" s="30" t="n">
        <v>0.01021905413233554</v>
      </c>
      <c r="U572" s="31">
        <f>ABS(E572-$G$6)</f>
        <v/>
      </c>
      <c r="V572" s="31">
        <f>ABS(E572-$G$7)</f>
        <v/>
      </c>
      <c r="W572" s="31">
        <f>ABS(E572-$G$8)</f>
        <v/>
      </c>
      <c r="X572" s="14">
        <f>IF(R572&gt;=MAX(S572,T572), "Hemat", IF(S572&gt;=T572, "Balanced", "Premium"))</f>
        <v/>
      </c>
    </row>
    <row r="573">
      <c r="A573" s="14" t="n">
        <v>562</v>
      </c>
      <c r="B573" s="7" t="inlineStr">
        <is>
          <t>Rumah Makan "jawa Timur"</t>
        </is>
      </c>
      <c r="C573" s="26" t="n">
        <v>-7.8644875</v>
      </c>
      <c r="D573" s="26" t="n">
        <v>112.6832213</v>
      </c>
      <c r="E573" s="21" t="n">
        <v>22000</v>
      </c>
      <c r="F573" s="27" t="n">
        <v>4</v>
      </c>
      <c r="G573" s="28" t="n">
        <v>250</v>
      </c>
      <c r="H573" s="14" t="inlineStr">
        <is>
          <t>Wisata Umum</t>
        </is>
      </c>
      <c r="I573" s="29">
        <f>6371 * 2 * ASIN(SQRT(SIN(RADIANS((C573) - INDEX('Dataset_Wisata'!$C$12:$C$622, MATCH('Dashboard'!$C$9, 'Dataset_Wisata'!$A$12:$A$622, 0)))/2)^2 + COS(RADIANS(INDEX('Dataset_Wisata'!$C$12:$C$622, MATCH('Dashboard'!$C$9, 'Dataset_Wisata'!$A$12:$A$622, 0)))) * COS(RADIANS(C573)) * SIN(RADIANS((D573) - INDEX('Dataset_Wisata'!$D$12:$D$622, MATCH('Dashboard'!$C$9, 'Dataset_Wisata'!$A$12:$A$622, 0)))/2)^2)) * 1.3</f>
        <v/>
      </c>
      <c r="J573" s="21">
        <f>ROUND(I573 * IF('Dashboard'!$C$6&lt;=1, 2250, IF('Dashboard'!$C$6&lt;=4, 5150, 6000)), 0)</f>
        <v/>
      </c>
      <c r="K573" s="30" t="n">
        <v>0.1261169361072687</v>
      </c>
      <c r="L573" s="30" t="n">
        <v>0.8607026272442547</v>
      </c>
      <c r="M573" s="30" t="n">
        <v>0.01318043664847662</v>
      </c>
      <c r="N573" s="31">
        <f>ABS(E573-$F$6)</f>
        <v/>
      </c>
      <c r="O573" s="31">
        <f>ABS(E573-$F$7)</f>
        <v/>
      </c>
      <c r="P573" s="31">
        <f>ABS(E573-$F$8)</f>
        <v/>
      </c>
      <c r="Q573" s="14">
        <f>IF(K573&gt;=MAX(L573,M573), "Hemat", IF(L573&gt;=M573, "Balanced", "Premium"))</f>
        <v/>
      </c>
      <c r="R573" s="30" t="n">
        <v>0.126116746000083</v>
      </c>
      <c r="S573" s="30" t="n">
        <v>0.8607028310146635</v>
      </c>
      <c r="T573" s="30" t="n">
        <v>0.01318042298525341</v>
      </c>
      <c r="U573" s="31">
        <f>ABS(E573-$G$6)</f>
        <v/>
      </c>
      <c r="V573" s="31">
        <f>ABS(E573-$G$7)</f>
        <v/>
      </c>
      <c r="W573" s="31">
        <f>ABS(E573-$G$8)</f>
        <v/>
      </c>
      <c r="X573" s="14">
        <f>IF(R573&gt;=MAX(S573,T573), "Hemat", IF(S573&gt;=T573, "Balanced", "Premium"))</f>
        <v/>
      </c>
    </row>
    <row r="574">
      <c r="A574" s="14" t="n">
        <v>563</v>
      </c>
      <c r="B574" s="7" t="inlineStr">
        <is>
          <t>Waroeng RazNa</t>
        </is>
      </c>
      <c r="C574" s="26" t="n">
        <v>-7.9081141</v>
      </c>
      <c r="D574" s="26" t="n">
        <v>112.6644174</v>
      </c>
      <c r="E574" s="21" t="n">
        <v>19950</v>
      </c>
      <c r="F574" s="27" t="n">
        <v>4.4</v>
      </c>
      <c r="G574" s="28" t="n">
        <v>723</v>
      </c>
      <c r="H574" s="14" t="inlineStr">
        <is>
          <t>Wisata Umum</t>
        </is>
      </c>
      <c r="I574" s="29">
        <f>6371 * 2 * ASIN(SQRT(SIN(RADIANS((C574) - INDEX('Dataset_Wisata'!$C$12:$C$622, MATCH('Dashboard'!$C$9, 'Dataset_Wisata'!$A$12:$A$622, 0)))/2)^2 + COS(RADIANS(INDEX('Dataset_Wisata'!$C$12:$C$622, MATCH('Dashboard'!$C$9, 'Dataset_Wisata'!$A$12:$A$622, 0)))) * COS(RADIANS(C574)) * SIN(RADIANS((D574) - INDEX('Dataset_Wisata'!$D$12:$D$622, MATCH('Dashboard'!$C$9, 'Dataset_Wisata'!$A$12:$A$622, 0)))/2)^2)) * 1.3</f>
        <v/>
      </c>
      <c r="J574" s="21">
        <f>ROUND(I574 * IF('Dashboard'!$C$6&lt;=1, 2250, IF('Dashboard'!$C$6&lt;=4, 5150, 6000)), 0)</f>
        <v/>
      </c>
      <c r="K574" s="30" t="n">
        <v>0.3844315787962309</v>
      </c>
      <c r="L574" s="30" t="n">
        <v>0.5951517677956323</v>
      </c>
      <c r="M574" s="30" t="n">
        <v>0.02041665340813688</v>
      </c>
      <c r="N574" s="31">
        <f>ABS(E574-$F$6)</f>
        <v/>
      </c>
      <c r="O574" s="31">
        <f>ABS(E574-$F$7)</f>
        <v/>
      </c>
      <c r="P574" s="31">
        <f>ABS(E574-$F$8)</f>
        <v/>
      </c>
      <c r="Q574" s="14">
        <f>IF(K574&gt;=MAX(L574,M574), "Hemat", IF(L574&gt;=M574, "Balanced", "Premium"))</f>
        <v/>
      </c>
      <c r="R574" s="30" t="n">
        <v>0.3844313040133021</v>
      </c>
      <c r="S574" s="30" t="n">
        <v>0.5951520471094939</v>
      </c>
      <c r="T574" s="30" t="n">
        <v>0.02041664887720398</v>
      </c>
      <c r="U574" s="31">
        <f>ABS(E574-$G$6)</f>
        <v/>
      </c>
      <c r="V574" s="31">
        <f>ABS(E574-$G$7)</f>
        <v/>
      </c>
      <c r="W574" s="31">
        <f>ABS(E574-$G$8)</f>
        <v/>
      </c>
      <c r="X574" s="14">
        <f>IF(R574&gt;=MAX(S574,T574), "Hemat", IF(S574&gt;=T574, "Balanced", "Premium"))</f>
        <v/>
      </c>
    </row>
    <row r="575">
      <c r="A575" s="14" t="n">
        <v>564</v>
      </c>
      <c r="B575" s="7" t="inlineStr">
        <is>
          <t>Warung Hamdallah</t>
        </is>
      </c>
      <c r="C575" s="26" t="n">
        <v>-7.9155176</v>
      </c>
      <c r="D575" s="26" t="n">
        <v>112.6528975</v>
      </c>
      <c r="E575" s="21" t="n">
        <v>7500</v>
      </c>
      <c r="F575" s="27" t="n">
        <v>4.4</v>
      </c>
      <c r="G575" s="28" t="n">
        <v>25</v>
      </c>
      <c r="H575" s="14" t="inlineStr">
        <is>
          <t>Warung Hamdallah</t>
        </is>
      </c>
      <c r="I575" s="29">
        <f>6371 * 2 * ASIN(SQRT(SIN(RADIANS((C575) - INDEX('Dataset_Wisata'!$C$12:$C$622, MATCH('Dashboard'!$C$9, 'Dataset_Wisata'!$A$12:$A$622, 0)))/2)^2 + COS(RADIANS(INDEX('Dataset_Wisata'!$C$12:$C$622, MATCH('Dashboard'!$C$9, 'Dataset_Wisata'!$A$12:$A$622, 0)))) * COS(RADIANS(C575)) * SIN(RADIANS((D575) - INDEX('Dataset_Wisata'!$D$12:$D$622, MATCH('Dashboard'!$C$9, 'Dataset_Wisata'!$A$12:$A$622, 0)))/2)^2)) * 1.3</f>
        <v/>
      </c>
      <c r="J575" s="21">
        <f>ROUND(I575 * IF('Dashboard'!$C$6&lt;=1, 2250, IF('Dashboard'!$C$6&lt;=4, 5150, 6000)), 0)</f>
        <v/>
      </c>
      <c r="K575" s="30" t="n">
        <v>0.8919157632085243</v>
      </c>
      <c r="L575" s="30" t="n">
        <v>0.09130849431734138</v>
      </c>
      <c r="M575" s="30" t="n">
        <v>0.0167757424741345</v>
      </c>
      <c r="N575" s="31">
        <f>ABS(E575-$F$6)</f>
        <v/>
      </c>
      <c r="O575" s="31">
        <f>ABS(E575-$F$7)</f>
        <v/>
      </c>
      <c r="P575" s="31">
        <f>ABS(E575-$F$8)</f>
        <v/>
      </c>
      <c r="Q575" s="14">
        <f>IF(K575&gt;=MAX(L575,M575), "Hemat", IF(L575&gt;=M575, "Balanced", "Premium"))</f>
        <v/>
      </c>
      <c r="R575" s="30" t="n">
        <v>0.8919157573729652</v>
      </c>
      <c r="S575" s="30" t="n">
        <v>0.09130850051736716</v>
      </c>
      <c r="T575" s="30" t="n">
        <v>0.01677574210966746</v>
      </c>
      <c r="U575" s="31">
        <f>ABS(E575-$G$6)</f>
        <v/>
      </c>
      <c r="V575" s="31">
        <f>ABS(E575-$G$7)</f>
        <v/>
      </c>
      <c r="W575" s="31">
        <f>ABS(E575-$G$8)</f>
        <v/>
      </c>
      <c r="X575" s="14">
        <f>IF(R575&gt;=MAX(S575,T575), "Hemat", IF(S575&gt;=T575, "Balanced", "Premium"))</f>
        <v/>
      </c>
    </row>
    <row r="576">
      <c r="A576" s="14" t="n">
        <v>565</v>
      </c>
      <c r="B576" s="7" t="inlineStr">
        <is>
          <t>Warung Langgeng Jaya</t>
        </is>
      </c>
      <c r="C576" s="26" t="n">
        <v>-7.8735889</v>
      </c>
      <c r="D576" s="26" t="n">
        <v>112.6785809</v>
      </c>
      <c r="E576" s="21" t="n">
        <v>6800</v>
      </c>
      <c r="F576" s="27" t="n">
        <v>4.1</v>
      </c>
      <c r="G576" s="28" t="n">
        <v>30</v>
      </c>
      <c r="H576" s="14" t="inlineStr">
        <is>
          <t>Warung Langgeng Jaya</t>
        </is>
      </c>
      <c r="I576" s="29">
        <f>6371 * 2 * ASIN(SQRT(SIN(RADIANS((C576) - INDEX('Dataset_Wisata'!$C$12:$C$622, MATCH('Dashboard'!$C$9, 'Dataset_Wisata'!$A$12:$A$622, 0)))/2)^2 + COS(RADIANS(INDEX('Dataset_Wisata'!$C$12:$C$622, MATCH('Dashboard'!$C$9, 'Dataset_Wisata'!$A$12:$A$622, 0)))) * COS(RADIANS(C576)) * SIN(RADIANS((D576) - INDEX('Dataset_Wisata'!$D$12:$D$622, MATCH('Dashboard'!$C$9, 'Dataset_Wisata'!$A$12:$A$622, 0)))/2)^2)) * 1.3</f>
        <v/>
      </c>
      <c r="J576" s="21">
        <f>ROUND(I576 * IF('Dashboard'!$C$6&lt;=1, 2250, IF('Dashboard'!$C$6&lt;=4, 5150, 6000)), 0)</f>
        <v/>
      </c>
      <c r="K576" s="30" t="n">
        <v>0.8753785128099224</v>
      </c>
      <c r="L576" s="30" t="n">
        <v>0.1045564163910308</v>
      </c>
      <c r="M576" s="30" t="n">
        <v>0.0200650707990469</v>
      </c>
      <c r="N576" s="31">
        <f>ABS(E576-$F$6)</f>
        <v/>
      </c>
      <c r="O576" s="31">
        <f>ABS(E576-$F$7)</f>
        <v/>
      </c>
      <c r="P576" s="31">
        <f>ABS(E576-$F$8)</f>
        <v/>
      </c>
      <c r="Q576" s="14">
        <f>IF(K576&gt;=MAX(L576,M576), "Hemat", IF(L576&gt;=M576, "Balanced", "Premium"))</f>
        <v/>
      </c>
      <c r="R576" s="30" t="n">
        <v>0.8753785046693939</v>
      </c>
      <c r="S576" s="30" t="n">
        <v>0.104556424597531</v>
      </c>
      <c r="T576" s="30" t="n">
        <v>0.02006507073307505</v>
      </c>
      <c r="U576" s="31">
        <f>ABS(E576-$G$6)</f>
        <v/>
      </c>
      <c r="V576" s="31">
        <f>ABS(E576-$G$7)</f>
        <v/>
      </c>
      <c r="W576" s="31">
        <f>ABS(E576-$G$8)</f>
        <v/>
      </c>
      <c r="X576" s="14">
        <f>IF(R576&gt;=MAX(S576,T576), "Hemat", IF(S576&gt;=T576, "Balanced", "Premium"))</f>
        <v/>
      </c>
    </row>
    <row r="577">
      <c r="A577" s="14" t="n">
        <v>566</v>
      </c>
      <c r="B577" s="7" t="inlineStr">
        <is>
          <t>Warung Mbak Anik</t>
        </is>
      </c>
      <c r="C577" s="26" t="n">
        <v>-7.8990002</v>
      </c>
      <c r="D577" s="26" t="n">
        <v>112.6639081</v>
      </c>
      <c r="E577" s="21" t="n">
        <v>12000</v>
      </c>
      <c r="F577" s="27" t="n">
        <v>4.3</v>
      </c>
      <c r="G577" s="28" t="n">
        <v>99</v>
      </c>
      <c r="H577" s="14" t="inlineStr">
        <is>
          <t>Warung Mbak Anik</t>
        </is>
      </c>
      <c r="I577" s="29">
        <f>6371 * 2 * ASIN(SQRT(SIN(RADIANS((C577) - INDEX('Dataset_Wisata'!$C$12:$C$622, MATCH('Dashboard'!$C$9, 'Dataset_Wisata'!$A$12:$A$622, 0)))/2)^2 + COS(RADIANS(INDEX('Dataset_Wisata'!$C$12:$C$622, MATCH('Dashboard'!$C$9, 'Dataset_Wisata'!$A$12:$A$622, 0)))) * COS(RADIANS(C577)) * SIN(RADIANS((D577) - INDEX('Dataset_Wisata'!$D$12:$D$622, MATCH('Dashboard'!$C$9, 'Dataset_Wisata'!$A$12:$A$622, 0)))/2)^2)) * 1.3</f>
        <v/>
      </c>
      <c r="J577" s="21">
        <f>ROUND(I577 * IF('Dashboard'!$C$6&lt;=1, 2250, IF('Dashboard'!$C$6&lt;=4, 5150, 6000)), 0)</f>
        <v/>
      </c>
      <c r="K577" s="30" t="n">
        <v>0.9907459480940729</v>
      </c>
      <c r="L577" s="30" t="n">
        <v>0.008195110232283047</v>
      </c>
      <c r="M577" s="30" t="n">
        <v>0.001058941673643979</v>
      </c>
      <c r="N577" s="31">
        <f>ABS(E577-$F$6)</f>
        <v/>
      </c>
      <c r="O577" s="31">
        <f>ABS(E577-$F$7)</f>
        <v/>
      </c>
      <c r="P577" s="31">
        <f>ABS(E577-$F$8)</f>
        <v/>
      </c>
      <c r="Q577" s="14">
        <f>IF(K577&gt;=MAX(L577,M577), "Hemat", IF(L577&gt;=M577, "Balanced", "Premium"))</f>
        <v/>
      </c>
      <c r="R577" s="30" t="n">
        <v>0.9907459543354936</v>
      </c>
      <c r="S577" s="30" t="n">
        <v>0.008195104860105683</v>
      </c>
      <c r="T577" s="30" t="n">
        <v>0.0010589408044008</v>
      </c>
      <c r="U577" s="31">
        <f>ABS(E577-$G$6)</f>
        <v/>
      </c>
      <c r="V577" s="31">
        <f>ABS(E577-$G$7)</f>
        <v/>
      </c>
      <c r="W577" s="31">
        <f>ABS(E577-$G$8)</f>
        <v/>
      </c>
      <c r="X577" s="14">
        <f>IF(R577&gt;=MAX(S577,T577), "Hemat", IF(S577&gt;=T577, "Balanced", "Premium"))</f>
        <v/>
      </c>
    </row>
    <row r="578">
      <c r="A578" s="14" t="n">
        <v>567</v>
      </c>
      <c r="B578" s="7" t="inlineStr">
        <is>
          <t>Warung Pedas Mbak Menir</t>
        </is>
      </c>
      <c r="C578" s="26" t="n">
        <v>-7.9118442</v>
      </c>
      <c r="D578" s="26" t="n">
        <v>112.6670742</v>
      </c>
      <c r="E578" s="21" t="n">
        <v>12500</v>
      </c>
      <c r="F578" s="27" t="n">
        <v>5</v>
      </c>
      <c r="G578" s="28" t="n">
        <v>32</v>
      </c>
      <c r="H578" s="14" t="inlineStr">
        <is>
          <t>Warung Pedas Mbak Menir</t>
        </is>
      </c>
      <c r="I578" s="29">
        <f>6371 * 2 * ASIN(SQRT(SIN(RADIANS((C578) - INDEX('Dataset_Wisata'!$C$12:$C$622, MATCH('Dashboard'!$C$9, 'Dataset_Wisata'!$A$12:$A$622, 0)))/2)^2 + COS(RADIANS(INDEX('Dataset_Wisata'!$C$12:$C$622, MATCH('Dashboard'!$C$9, 'Dataset_Wisata'!$A$12:$A$622, 0)))) * COS(RADIANS(C578)) * SIN(RADIANS((D578) - INDEX('Dataset_Wisata'!$D$12:$D$622, MATCH('Dashboard'!$C$9, 'Dataset_Wisata'!$A$12:$A$622, 0)))/2)^2)) * 1.3</f>
        <v/>
      </c>
      <c r="J578" s="21">
        <f>ROUND(I578 * IF('Dashboard'!$C$6&lt;=1, 2250, IF('Dashboard'!$C$6&lt;=4, 5150, 6000)), 0)</f>
        <v/>
      </c>
      <c r="K578" s="30" t="n">
        <v>0.9965388956324384</v>
      </c>
      <c r="L578" s="30" t="n">
        <v>0.003081977430114359</v>
      </c>
      <c r="M578" s="30" t="n">
        <v>0.0003791269374473433</v>
      </c>
      <c r="N578" s="31">
        <f>ABS(E578-$F$6)</f>
        <v/>
      </c>
      <c r="O578" s="31">
        <f>ABS(E578-$F$7)</f>
        <v/>
      </c>
      <c r="P578" s="31">
        <f>ABS(E578-$F$8)</f>
        <v/>
      </c>
      <c r="Q578" s="14">
        <f>IF(K578&gt;=MAX(L578,M578), "Hemat", IF(L578&gt;=M578, "Balanced", "Premium"))</f>
        <v/>
      </c>
      <c r="R578" s="30" t="n">
        <v>0.9965389004929521</v>
      </c>
      <c r="S578" s="30" t="n">
        <v>0.003081973162016532</v>
      </c>
      <c r="T578" s="30" t="n">
        <v>0.0003791263450314348</v>
      </c>
      <c r="U578" s="31">
        <f>ABS(E578-$G$6)</f>
        <v/>
      </c>
      <c r="V578" s="31">
        <f>ABS(E578-$G$7)</f>
        <v/>
      </c>
      <c r="W578" s="31">
        <f>ABS(E578-$G$8)</f>
        <v/>
      </c>
      <c r="X578" s="14">
        <f>IF(R578&gt;=MAX(S578,T578), "Hemat", IF(S578&gt;=T578, "Balanced", "Premium"))</f>
        <v/>
      </c>
    </row>
    <row r="579">
      <c r="A579" s="14" t="n">
        <v>568</v>
      </c>
      <c r="B579" s="7" t="inlineStr">
        <is>
          <t>Bakso Rompe</t>
        </is>
      </c>
      <c r="C579" s="26" t="n">
        <v>-7.8306776</v>
      </c>
      <c r="D579" s="26" t="n">
        <v>112.6807913</v>
      </c>
      <c r="E579" s="21" t="n">
        <v>20000</v>
      </c>
      <c r="F579" s="27" t="n">
        <v>4.7</v>
      </c>
      <c r="G579" s="28" t="n">
        <v>37</v>
      </c>
      <c r="H579" s="14" t="inlineStr">
        <is>
          <t>Wisata Umum</t>
        </is>
      </c>
      <c r="I579" s="29">
        <f>6371 * 2 * ASIN(SQRT(SIN(RADIANS((C579) - INDEX('Dataset_Wisata'!$C$12:$C$622, MATCH('Dashboard'!$C$9, 'Dataset_Wisata'!$A$12:$A$622, 0)))/2)^2 + COS(RADIANS(INDEX('Dataset_Wisata'!$C$12:$C$622, MATCH('Dashboard'!$C$9, 'Dataset_Wisata'!$A$12:$A$622, 0)))) * COS(RADIANS(C579)) * SIN(RADIANS((D579) - INDEX('Dataset_Wisata'!$D$12:$D$622, MATCH('Dashboard'!$C$9, 'Dataset_Wisata'!$A$12:$A$622, 0)))/2)^2)) * 1.3</f>
        <v/>
      </c>
      <c r="J579" s="21">
        <f>ROUND(I579 * IF('Dashboard'!$C$6&lt;=1, 2250, IF('Dashboard'!$C$6&lt;=4, 5150, 6000)), 0)</f>
        <v/>
      </c>
      <c r="K579" s="30" t="n">
        <v>0.3766864462048385</v>
      </c>
      <c r="L579" s="30" t="n">
        <v>0.6029404273516955</v>
      </c>
      <c r="M579" s="30" t="n">
        <v>0.02037312644346593</v>
      </c>
      <c r="N579" s="31">
        <f>ABS(E579-$F$6)</f>
        <v/>
      </c>
      <c r="O579" s="31">
        <f>ABS(E579-$F$7)</f>
        <v/>
      </c>
      <c r="P579" s="31">
        <f>ABS(E579-$F$8)</f>
        <v/>
      </c>
      <c r="Q579" s="14">
        <f>IF(K579&gt;=MAX(L579,M579), "Hemat", IF(L579&gt;=M579, "Balanced", "Premium"))</f>
        <v/>
      </c>
      <c r="R579" s="30" t="n">
        <v>0.3766861717192874</v>
      </c>
      <c r="S579" s="30" t="n">
        <v>0.6029407066601674</v>
      </c>
      <c r="T579" s="30" t="n">
        <v>0.02037312162054524</v>
      </c>
      <c r="U579" s="31">
        <f>ABS(E579-$G$6)</f>
        <v/>
      </c>
      <c r="V579" s="31">
        <f>ABS(E579-$G$7)</f>
        <v/>
      </c>
      <c r="W579" s="31">
        <f>ABS(E579-$G$8)</f>
        <v/>
      </c>
      <c r="X579" s="14">
        <f>IF(R579&gt;=MAX(S579,T579), "Hemat", IF(S579&gt;=T579, "Balanced", "Premium"))</f>
        <v/>
      </c>
    </row>
    <row r="580">
      <c r="A580" s="14" t="n">
        <v>569</v>
      </c>
      <c r="B580" s="7" t="inlineStr">
        <is>
          <t>Warung Mbak Elly</t>
        </is>
      </c>
      <c r="C580" s="26" t="n">
        <v>-7.8262044</v>
      </c>
      <c r="D580" s="26" t="n">
        <v>112.7172822</v>
      </c>
      <c r="E580" s="21" t="n">
        <v>29500</v>
      </c>
      <c r="F580" s="27" t="n">
        <v>4.6</v>
      </c>
      <c r="G580" s="28" t="n">
        <v>52</v>
      </c>
      <c r="H580" s="14" t="inlineStr">
        <is>
          <t>Warung Mbak Elly</t>
        </is>
      </c>
      <c r="I580" s="29">
        <f>6371 * 2 * ASIN(SQRT(SIN(RADIANS((C580) - INDEX('Dataset_Wisata'!$C$12:$C$622, MATCH('Dashboard'!$C$9, 'Dataset_Wisata'!$A$12:$A$622, 0)))/2)^2 + COS(RADIANS(INDEX('Dataset_Wisata'!$C$12:$C$622, MATCH('Dashboard'!$C$9, 'Dataset_Wisata'!$A$12:$A$622, 0)))) * COS(RADIANS(C580)) * SIN(RADIANS((D580) - INDEX('Dataset_Wisata'!$D$12:$D$622, MATCH('Dashboard'!$C$9, 'Dataset_Wisata'!$A$12:$A$622, 0)))/2)^2)) * 1.3</f>
        <v/>
      </c>
      <c r="J580" s="21">
        <f>ROUND(I580 * IF('Dashboard'!$C$6&lt;=1, 2250, IF('Dashboard'!$C$6&lt;=4, 5150, 6000)), 0)</f>
        <v/>
      </c>
      <c r="K580" s="30" t="n">
        <v>0.05821517885518257</v>
      </c>
      <c r="L580" s="30" t="n">
        <v>0.9018983810422823</v>
      </c>
      <c r="M580" s="30" t="n">
        <v>0.03988644010253524</v>
      </c>
      <c r="N580" s="31">
        <f>ABS(E580-$F$6)</f>
        <v/>
      </c>
      <c r="O580" s="31">
        <f>ABS(E580-$F$7)</f>
        <v/>
      </c>
      <c r="P580" s="31">
        <f>ABS(E580-$F$8)</f>
        <v/>
      </c>
      <c r="Q580" s="14">
        <f>IF(K580&gt;=MAX(L580,M580), "Hemat", IF(L580&gt;=M580, "Balanced", "Premium"))</f>
        <v/>
      </c>
      <c r="R580" s="30" t="n">
        <v>0.05821524161417163</v>
      </c>
      <c r="S580" s="30" t="n">
        <v>0.9018982542894527</v>
      </c>
      <c r="T580" s="30" t="n">
        <v>0.03988650409637562</v>
      </c>
      <c r="U580" s="31">
        <f>ABS(E580-$G$6)</f>
        <v/>
      </c>
      <c r="V580" s="31">
        <f>ABS(E580-$G$7)</f>
        <v/>
      </c>
      <c r="W580" s="31">
        <f>ABS(E580-$G$8)</f>
        <v/>
      </c>
      <c r="X580" s="14">
        <f>IF(R580&gt;=MAX(S580,T580), "Hemat", IF(S580&gt;=T580, "Balanced", "Premium"))</f>
        <v/>
      </c>
    </row>
    <row r="581">
      <c r="A581" s="14" t="n">
        <v>570</v>
      </c>
      <c r="B581" s="7" t="inlineStr">
        <is>
          <t>Warung Bu Mail</t>
        </is>
      </c>
      <c r="C581" s="26" t="n">
        <v>-7.8301588</v>
      </c>
      <c r="D581" s="26" t="n">
        <v>112.696393</v>
      </c>
      <c r="E581" s="21" t="n">
        <v>14000</v>
      </c>
      <c r="F581" s="27" t="n">
        <v>4.6</v>
      </c>
      <c r="G581" s="28" t="n">
        <v>20</v>
      </c>
      <c r="H581" s="14" t="inlineStr">
        <is>
          <t>Warung Bu Mail</t>
        </is>
      </c>
      <c r="I581" s="29">
        <f>6371 * 2 * ASIN(SQRT(SIN(RADIANS((C581) - INDEX('Dataset_Wisata'!$C$12:$C$622, MATCH('Dashboard'!$C$9, 'Dataset_Wisata'!$A$12:$A$622, 0)))/2)^2 + COS(RADIANS(INDEX('Dataset_Wisata'!$C$12:$C$622, MATCH('Dashboard'!$C$9, 'Dataset_Wisata'!$A$12:$A$622, 0)))) * COS(RADIANS(C581)) * SIN(RADIANS((D581) - INDEX('Dataset_Wisata'!$D$12:$D$622, MATCH('Dashboard'!$C$9, 'Dataset_Wisata'!$A$12:$A$622, 0)))/2)^2)) * 1.3</f>
        <v/>
      </c>
      <c r="J581" s="21">
        <f>ROUND(I581 * IF('Dashboard'!$C$6&lt;=1, 2250, IF('Dashboard'!$C$6&lt;=4, 5150, 6000)), 0)</f>
        <v/>
      </c>
      <c r="K581" s="30" t="n">
        <v>0.9947609318027544</v>
      </c>
      <c r="L581" s="30" t="n">
        <v>0.004743992866447784</v>
      </c>
      <c r="M581" s="30" t="n">
        <v>0.0004950753307978607</v>
      </c>
      <c r="N581" s="31">
        <f>ABS(E581-$F$6)</f>
        <v/>
      </c>
      <c r="O581" s="31">
        <f>ABS(E581-$F$7)</f>
        <v/>
      </c>
      <c r="P581" s="31">
        <f>ABS(E581-$F$8)</f>
        <v/>
      </c>
      <c r="Q581" s="14">
        <f>IF(K581&gt;=MAX(L581,M581), "Hemat", IF(L581&gt;=M581, "Balanced", "Premium"))</f>
        <v/>
      </c>
      <c r="R581" s="30" t="n">
        <v>0.9947609208632797</v>
      </c>
      <c r="S581" s="30" t="n">
        <v>0.004744002871971992</v>
      </c>
      <c r="T581" s="30" t="n">
        <v>0.0004950762647482733</v>
      </c>
      <c r="U581" s="31">
        <f>ABS(E581-$G$6)</f>
        <v/>
      </c>
      <c r="V581" s="31">
        <f>ABS(E581-$G$7)</f>
        <v/>
      </c>
      <c r="W581" s="31">
        <f>ABS(E581-$G$8)</f>
        <v/>
      </c>
      <c r="X581" s="14">
        <f>IF(R581&gt;=MAX(S581,T581), "Hemat", IF(S581&gt;=T581, "Balanced", "Premium"))</f>
        <v/>
      </c>
    </row>
    <row r="582">
      <c r="A582" s="14" t="n">
        <v>571</v>
      </c>
      <c r="B582" s="7" t="inlineStr">
        <is>
          <t>BAKSO KDM &amp; MIE AYAM MANGKOK</t>
        </is>
      </c>
      <c r="C582" s="26" t="n">
        <v>-7.8200576</v>
      </c>
      <c r="D582" s="26" t="n">
        <v>112.6782359</v>
      </c>
      <c r="E582" s="21" t="n">
        <v>12500</v>
      </c>
      <c r="F582" s="27" t="n">
        <v>5</v>
      </c>
      <c r="G582" s="28" t="n">
        <v>21</v>
      </c>
      <c r="H582" s="14" t="inlineStr">
        <is>
          <t>Wisata Umum</t>
        </is>
      </c>
      <c r="I582" s="29">
        <f>6371 * 2 * ASIN(SQRT(SIN(RADIANS((C582) - INDEX('Dataset_Wisata'!$C$12:$C$622, MATCH('Dashboard'!$C$9, 'Dataset_Wisata'!$A$12:$A$622, 0)))/2)^2 + COS(RADIANS(INDEX('Dataset_Wisata'!$C$12:$C$622, MATCH('Dashboard'!$C$9, 'Dataset_Wisata'!$A$12:$A$622, 0)))) * COS(RADIANS(C582)) * SIN(RADIANS((D582) - INDEX('Dataset_Wisata'!$D$12:$D$622, MATCH('Dashboard'!$C$9, 'Dataset_Wisata'!$A$12:$A$622, 0)))/2)^2)) * 1.3</f>
        <v/>
      </c>
      <c r="J582" s="21">
        <f>ROUND(I582 * IF('Dashboard'!$C$6&lt;=1, 2250, IF('Dashboard'!$C$6&lt;=4, 5150, 6000)), 0)</f>
        <v/>
      </c>
      <c r="K582" s="30" t="n">
        <v>0.9965388956324384</v>
      </c>
      <c r="L582" s="30" t="n">
        <v>0.003081977430114359</v>
      </c>
      <c r="M582" s="30" t="n">
        <v>0.0003791269374473433</v>
      </c>
      <c r="N582" s="31">
        <f>ABS(E582-$F$6)</f>
        <v/>
      </c>
      <c r="O582" s="31">
        <f>ABS(E582-$F$7)</f>
        <v/>
      </c>
      <c r="P582" s="31">
        <f>ABS(E582-$F$8)</f>
        <v/>
      </c>
      <c r="Q582" s="14">
        <f>IF(K582&gt;=MAX(L582,M582), "Hemat", IF(L582&gt;=M582, "Balanced", "Premium"))</f>
        <v/>
      </c>
      <c r="R582" s="30" t="n">
        <v>0.9965389004929521</v>
      </c>
      <c r="S582" s="30" t="n">
        <v>0.003081973162016532</v>
      </c>
      <c r="T582" s="30" t="n">
        <v>0.0003791263450314348</v>
      </c>
      <c r="U582" s="31">
        <f>ABS(E582-$G$6)</f>
        <v/>
      </c>
      <c r="V582" s="31">
        <f>ABS(E582-$G$7)</f>
        <v/>
      </c>
      <c r="W582" s="31">
        <f>ABS(E582-$G$8)</f>
        <v/>
      </c>
      <c r="X582" s="14">
        <f>IF(R582&gt;=MAX(S582,T582), "Hemat", IF(S582&gt;=T582, "Balanced", "Premium"))</f>
        <v/>
      </c>
    </row>
    <row r="583">
      <c r="A583" s="14" t="n">
        <v>572</v>
      </c>
      <c r="B583" s="7" t="inlineStr">
        <is>
          <t>Warung pecel lumintu</t>
        </is>
      </c>
      <c r="C583" s="26" t="n">
        <v>-7.8331625</v>
      </c>
      <c r="D583" s="26" t="n">
        <v>112.6955469</v>
      </c>
      <c r="E583" s="21" t="n">
        <v>12000</v>
      </c>
      <c r="F583" s="27" t="n">
        <v>4.6</v>
      </c>
      <c r="G583" s="28" t="n">
        <v>24</v>
      </c>
      <c r="H583" s="14" t="inlineStr">
        <is>
          <t>Warung pecel lumintu</t>
        </is>
      </c>
      <c r="I583" s="29">
        <f>6371 * 2 * ASIN(SQRT(SIN(RADIANS((C583) - INDEX('Dataset_Wisata'!$C$12:$C$622, MATCH('Dashboard'!$C$9, 'Dataset_Wisata'!$A$12:$A$622, 0)))/2)^2 + COS(RADIANS(INDEX('Dataset_Wisata'!$C$12:$C$622, MATCH('Dashboard'!$C$9, 'Dataset_Wisata'!$A$12:$A$622, 0)))) * COS(RADIANS(C583)) * SIN(RADIANS((D583) - INDEX('Dataset_Wisata'!$D$12:$D$622, MATCH('Dashboard'!$C$9, 'Dataset_Wisata'!$A$12:$A$622, 0)))/2)^2)) * 1.3</f>
        <v/>
      </c>
      <c r="J583" s="21">
        <f>ROUND(I583 * IF('Dashboard'!$C$6&lt;=1, 2250, IF('Dashboard'!$C$6&lt;=4, 5150, 6000)), 0)</f>
        <v/>
      </c>
      <c r="K583" s="30" t="n">
        <v>0.9907459480940729</v>
      </c>
      <c r="L583" s="30" t="n">
        <v>0.008195110232283047</v>
      </c>
      <c r="M583" s="30" t="n">
        <v>0.001058941673643979</v>
      </c>
      <c r="N583" s="31">
        <f>ABS(E583-$F$6)</f>
        <v/>
      </c>
      <c r="O583" s="31">
        <f>ABS(E583-$F$7)</f>
        <v/>
      </c>
      <c r="P583" s="31">
        <f>ABS(E583-$F$8)</f>
        <v/>
      </c>
      <c r="Q583" s="14">
        <f>IF(K583&gt;=MAX(L583,M583), "Hemat", IF(L583&gt;=M583, "Balanced", "Premium"))</f>
        <v/>
      </c>
      <c r="R583" s="30" t="n">
        <v>0.9907459543354936</v>
      </c>
      <c r="S583" s="30" t="n">
        <v>0.008195104860105683</v>
      </c>
      <c r="T583" s="30" t="n">
        <v>0.0010589408044008</v>
      </c>
      <c r="U583" s="31">
        <f>ABS(E583-$G$6)</f>
        <v/>
      </c>
      <c r="V583" s="31">
        <f>ABS(E583-$G$7)</f>
        <v/>
      </c>
      <c r="W583" s="31">
        <f>ABS(E583-$G$8)</f>
        <v/>
      </c>
      <c r="X583" s="14">
        <f>IF(R583&gt;=MAX(S583,T583), "Hemat", IF(S583&gt;=T583, "Balanced", "Premium"))</f>
        <v/>
      </c>
    </row>
    <row r="584">
      <c r="A584" s="14" t="n">
        <v>573</v>
      </c>
      <c r="B584" s="7" t="inlineStr">
        <is>
          <t>Warung Jiwa</t>
        </is>
      </c>
      <c r="C584" s="26" t="n">
        <v>-7.8248088</v>
      </c>
      <c r="D584" s="26" t="n">
        <v>112.7139628</v>
      </c>
      <c r="E584" s="21" t="n">
        <v>8750</v>
      </c>
      <c r="F584" s="27" t="n">
        <v>4.5</v>
      </c>
      <c r="G584" s="28" t="n">
        <v>31</v>
      </c>
      <c r="H584" s="14" t="inlineStr">
        <is>
          <t>Warung Jiwa</t>
        </is>
      </c>
      <c r="I584" s="29">
        <f>6371 * 2 * ASIN(SQRT(SIN(RADIANS((C584) - INDEX('Dataset_Wisata'!$C$12:$C$622, MATCH('Dashboard'!$C$9, 'Dataset_Wisata'!$A$12:$A$622, 0)))/2)^2 + COS(RADIANS(INDEX('Dataset_Wisata'!$C$12:$C$622, MATCH('Dashboard'!$C$9, 'Dataset_Wisata'!$A$12:$A$622, 0)))) * COS(RADIANS(C584)) * SIN(RADIANS((D584) - INDEX('Dataset_Wisata'!$D$12:$D$622, MATCH('Dashboard'!$C$9, 'Dataset_Wisata'!$A$12:$A$622, 0)))/2)^2)) * 1.3</f>
        <v/>
      </c>
      <c r="J584" s="21">
        <f>ROUND(I584 * IF('Dashboard'!$C$6&lt;=1, 2250, IF('Dashboard'!$C$6&lt;=4, 5150, 6000)), 0)</f>
        <v/>
      </c>
      <c r="K584" s="30" t="n">
        <v>0.9221264494893434</v>
      </c>
      <c r="L584" s="30" t="n">
        <v>0.06662168797725891</v>
      </c>
      <c r="M584" s="30" t="n">
        <v>0.01125186253339765</v>
      </c>
      <c r="N584" s="31">
        <f>ABS(E584-$F$6)</f>
        <v/>
      </c>
      <c r="O584" s="31">
        <f>ABS(E584-$F$7)</f>
        <v/>
      </c>
      <c r="P584" s="31">
        <f>ABS(E584-$F$8)</f>
        <v/>
      </c>
      <c r="Q584" s="14">
        <f>IF(K584&gt;=MAX(L584,M584), "Hemat", IF(L584&gt;=M584, "Balanced", "Premium"))</f>
        <v/>
      </c>
      <c r="R584" s="30" t="n">
        <v>0.9221264481629435</v>
      </c>
      <c r="S584" s="30" t="n">
        <v>0.0666216901297158</v>
      </c>
      <c r="T584" s="30" t="n">
        <v>0.01125186170734065</v>
      </c>
      <c r="U584" s="31">
        <f>ABS(E584-$G$6)</f>
        <v/>
      </c>
      <c r="V584" s="31">
        <f>ABS(E584-$G$7)</f>
        <v/>
      </c>
      <c r="W584" s="31">
        <f>ABS(E584-$G$8)</f>
        <v/>
      </c>
      <c r="X584" s="14">
        <f>IF(R584&gt;=MAX(S584,T584), "Hemat", IF(S584&gt;=T584, "Balanced", "Premium"))</f>
        <v/>
      </c>
    </row>
    <row r="585">
      <c r="A585" s="14" t="n">
        <v>574</v>
      </c>
      <c r="B585" s="7" t="inlineStr">
        <is>
          <t>Sego Babat Thamrin</t>
        </is>
      </c>
      <c r="C585" s="26" t="n">
        <v>-7.8294274</v>
      </c>
      <c r="D585" s="26" t="n">
        <v>112.6801576</v>
      </c>
      <c r="E585" s="21" t="n">
        <v>23500</v>
      </c>
      <c r="F585" s="27" t="n">
        <v>4.7</v>
      </c>
      <c r="G585" s="28" t="n">
        <v>26</v>
      </c>
      <c r="H585" s="14" t="inlineStr">
        <is>
          <t>Wisata Umum</t>
        </is>
      </c>
      <c r="I585" s="29">
        <f>6371 * 2 * ASIN(SQRT(SIN(RADIANS((C585) - INDEX('Dataset_Wisata'!$C$12:$C$622, MATCH('Dashboard'!$C$9, 'Dataset_Wisata'!$A$12:$A$622, 0)))/2)^2 + COS(RADIANS(INDEX('Dataset_Wisata'!$C$12:$C$622, MATCH('Dashboard'!$C$9, 'Dataset_Wisata'!$A$12:$A$622, 0)))) * COS(RADIANS(C585)) * SIN(RADIANS((D585) - INDEX('Dataset_Wisata'!$D$12:$D$622, MATCH('Dashboard'!$C$9, 'Dataset_Wisata'!$A$12:$A$622, 0)))/2)^2)) * 1.3</f>
        <v/>
      </c>
      <c r="J585" s="21">
        <f>ROUND(I585 * IF('Dashboard'!$C$6&lt;=1, 2250, IF('Dashboard'!$C$6&lt;=4, 5150, 6000)), 0)</f>
        <v/>
      </c>
      <c r="K585" s="30" t="n">
        <v>0.03159892309541867</v>
      </c>
      <c r="L585" s="30" t="n">
        <v>0.9633302468708022</v>
      </c>
      <c r="M585" s="30" t="n">
        <v>0.005070830033779156</v>
      </c>
      <c r="N585" s="31">
        <f>ABS(E585-$F$6)</f>
        <v/>
      </c>
      <c r="O585" s="31">
        <f>ABS(E585-$F$7)</f>
        <v/>
      </c>
      <c r="P585" s="31">
        <f>ABS(E585-$F$8)</f>
        <v/>
      </c>
      <c r="Q585" s="14">
        <f>IF(K585&gt;=MAX(L585,M585), "Hemat", IF(L585&gt;=M585, "Balanced", "Premium"))</f>
        <v/>
      </c>
      <c r="R585" s="30" t="n">
        <v>0.03159883143490687</v>
      </c>
      <c r="S585" s="30" t="n">
        <v>0.9633303508663396</v>
      </c>
      <c r="T585" s="30" t="n">
        <v>0.005070817698753561</v>
      </c>
      <c r="U585" s="31">
        <f>ABS(E585-$G$6)</f>
        <v/>
      </c>
      <c r="V585" s="31">
        <f>ABS(E585-$G$7)</f>
        <v/>
      </c>
      <c r="W585" s="31">
        <f>ABS(E585-$G$8)</f>
        <v/>
      </c>
      <c r="X585" s="14">
        <f>IF(R585&gt;=MAX(S585,T585), "Hemat", IF(S585&gt;=T585, "Balanced", "Premium"))</f>
        <v/>
      </c>
    </row>
    <row r="586">
      <c r="A586" s="14" t="n">
        <v>575</v>
      </c>
      <c r="B586" s="7" t="inlineStr">
        <is>
          <t>Uklak Uklik Malang</t>
        </is>
      </c>
      <c r="C586" s="26" t="n">
        <v>-7.8481351</v>
      </c>
      <c r="D586" s="26" t="n">
        <v>112.7054096</v>
      </c>
      <c r="E586" s="21" t="n">
        <v>7000</v>
      </c>
      <c r="F586" s="27" t="n">
        <v>4.7</v>
      </c>
      <c r="G586" s="28" t="n">
        <v>72</v>
      </c>
      <c r="H586" s="14" t="inlineStr">
        <is>
          <t>Wisata Umum</t>
        </is>
      </c>
      <c r="I586" s="29">
        <f>6371 * 2 * ASIN(SQRT(SIN(RADIANS((C586) - INDEX('Dataset_Wisata'!$C$12:$C$622, MATCH('Dashboard'!$C$9, 'Dataset_Wisata'!$A$12:$A$622, 0)))/2)^2 + COS(RADIANS(INDEX('Dataset_Wisata'!$C$12:$C$622, MATCH('Dashboard'!$C$9, 'Dataset_Wisata'!$A$12:$A$622, 0)))) * COS(RADIANS(C586)) * SIN(RADIANS((D586) - INDEX('Dataset_Wisata'!$D$12:$D$622, MATCH('Dashboard'!$C$9, 'Dataset_Wisata'!$A$12:$A$622, 0)))/2)^2)) * 1.3</f>
        <v/>
      </c>
      <c r="J586" s="21">
        <f>ROUND(I586 * IF('Dashboard'!$C$6&lt;=1, 2250, IF('Dashboard'!$C$6&lt;=4, 5150, 6000)), 0)</f>
        <v/>
      </c>
      <c r="K586" s="30" t="n">
        <v>0.8800610026243881</v>
      </c>
      <c r="L586" s="30" t="n">
        <v>0.1008247459749515</v>
      </c>
      <c r="M586" s="30" t="n">
        <v>0.01911425140066042</v>
      </c>
      <c r="N586" s="31">
        <f>ABS(E586-$F$6)</f>
        <v/>
      </c>
      <c r="O586" s="31">
        <f>ABS(E586-$F$7)</f>
        <v/>
      </c>
      <c r="P586" s="31">
        <f>ABS(E586-$F$8)</f>
        <v/>
      </c>
      <c r="Q586" s="14">
        <f>IF(K586&gt;=MAX(L586,M586), "Hemat", IF(L586&gt;=M586, "Balanced", "Premium"))</f>
        <v/>
      </c>
      <c r="R586" s="30" t="n">
        <v>0.8800609951219469</v>
      </c>
      <c r="S586" s="30" t="n">
        <v>0.1008247536305651</v>
      </c>
      <c r="T586" s="30" t="n">
        <v>0.019114251247488</v>
      </c>
      <c r="U586" s="31">
        <f>ABS(E586-$G$6)</f>
        <v/>
      </c>
      <c r="V586" s="31">
        <f>ABS(E586-$G$7)</f>
        <v/>
      </c>
      <c r="W586" s="31">
        <f>ABS(E586-$G$8)</f>
        <v/>
      </c>
      <c r="X586" s="14">
        <f>IF(R586&gt;=MAX(S586,T586), "Hemat", IF(S586&gt;=T586, "Balanced", "Premium"))</f>
        <v/>
      </c>
    </row>
    <row r="587">
      <c r="A587" s="14" t="n">
        <v>576</v>
      </c>
      <c r="B587" s="7" t="inlineStr">
        <is>
          <t>Kedai Soto "ROZAK "</t>
        </is>
      </c>
      <c r="C587" s="26" t="n">
        <v>-7.8268673</v>
      </c>
      <c r="D587" s="26" t="n">
        <v>112.7181314</v>
      </c>
      <c r="E587" s="21" t="n">
        <v>5000</v>
      </c>
      <c r="F587" s="27" t="n">
        <v>4.5</v>
      </c>
      <c r="G587" s="28" t="n">
        <v>86</v>
      </c>
      <c r="H587" s="14" t="inlineStr">
        <is>
          <t>Wisata Umum</t>
        </is>
      </c>
      <c r="I587" s="29">
        <f>6371 * 2 * ASIN(SQRT(SIN(RADIANS((C587) - INDEX('Dataset_Wisata'!$C$12:$C$622, MATCH('Dashboard'!$C$9, 'Dataset_Wisata'!$A$12:$A$622, 0)))/2)^2 + COS(RADIANS(INDEX('Dataset_Wisata'!$C$12:$C$622, MATCH('Dashboard'!$C$9, 'Dataset_Wisata'!$A$12:$A$622, 0)))) * COS(RADIANS(C587)) * SIN(RADIANS((D587) - INDEX('Dataset_Wisata'!$D$12:$D$622, MATCH('Dashboard'!$C$9, 'Dataset_Wisata'!$A$12:$A$622, 0)))/2)^2)) * 1.3</f>
        <v/>
      </c>
      <c r="J587" s="21">
        <f>ROUND(I587 * IF('Dashboard'!$C$6&lt;=1, 2250, IF('Dashboard'!$C$6&lt;=4, 5150, 6000)), 0)</f>
        <v/>
      </c>
      <c r="K587" s="30" t="n">
        <v>0.8351711450363791</v>
      </c>
      <c r="L587" s="30" t="n">
        <v>0.1359421607956553</v>
      </c>
      <c r="M587" s="30" t="n">
        <v>0.02888669416796556</v>
      </c>
      <c r="N587" s="31">
        <f>ABS(E587-$F$6)</f>
        <v/>
      </c>
      <c r="O587" s="31">
        <f>ABS(E587-$F$7)</f>
        <v/>
      </c>
      <c r="P587" s="31">
        <f>ABS(E587-$F$8)</f>
        <v/>
      </c>
      <c r="Q587" s="14">
        <f>IF(K587&gt;=MAX(L587,M587), "Hemat", IF(L587&gt;=M587, "Balanced", "Premium"))</f>
        <v/>
      </c>
      <c r="R587" s="30" t="n">
        <v>0.8351711319538849</v>
      </c>
      <c r="S587" s="30" t="n">
        <v>0.1359421731258753</v>
      </c>
      <c r="T587" s="30" t="n">
        <v>0.02888669492023966</v>
      </c>
      <c r="U587" s="31">
        <f>ABS(E587-$G$6)</f>
        <v/>
      </c>
      <c r="V587" s="31">
        <f>ABS(E587-$G$7)</f>
        <v/>
      </c>
      <c r="W587" s="31">
        <f>ABS(E587-$G$8)</f>
        <v/>
      </c>
      <c r="X587" s="14">
        <f>IF(R587&gt;=MAX(S587,T587), "Hemat", IF(S587&gt;=T587, "Balanced", "Premium"))</f>
        <v/>
      </c>
    </row>
    <row r="588">
      <c r="A588" s="14" t="n">
        <v>577</v>
      </c>
      <c r="B588" s="7" t="inlineStr">
        <is>
          <t>Warung Bamboe Ibu Yanti</t>
        </is>
      </c>
      <c r="C588" s="26" t="n">
        <v>-7.8589991</v>
      </c>
      <c r="D588" s="26" t="n">
        <v>112.6781495</v>
      </c>
      <c r="E588" s="21" t="n">
        <v>15000</v>
      </c>
      <c r="F588" s="27" t="n">
        <v>4.5</v>
      </c>
      <c r="G588" s="28" t="n">
        <v>23</v>
      </c>
      <c r="H588" s="14" t="inlineStr">
        <is>
          <t>Warung Bamboe Ibu Yanti</t>
        </is>
      </c>
      <c r="I588" s="29">
        <f>6371 * 2 * ASIN(SQRT(SIN(RADIANS((C588) - INDEX('Dataset_Wisata'!$C$12:$C$622, MATCH('Dashboard'!$C$9, 'Dataset_Wisata'!$A$12:$A$622, 0)))/2)^2 + COS(RADIANS(INDEX('Dataset_Wisata'!$C$12:$C$622, MATCH('Dashboard'!$C$9, 'Dataset_Wisata'!$A$12:$A$622, 0)))) * COS(RADIANS(C588)) * SIN(RADIANS((D588) - INDEX('Dataset_Wisata'!$D$12:$D$622, MATCH('Dashboard'!$C$9, 'Dataset_Wisata'!$A$12:$A$622, 0)))/2)^2)) * 1.3</f>
        <v/>
      </c>
      <c r="J588" s="21">
        <f>ROUND(I588 * IF('Dashboard'!$C$6&lt;=1, 2250, IF('Dashboard'!$C$6&lt;=4, 5150, 6000)), 0)</f>
        <v/>
      </c>
      <c r="K588" s="30" t="n">
        <v>0.9686283169848018</v>
      </c>
      <c r="L588" s="30" t="n">
        <v>0.02872990537067274</v>
      </c>
      <c r="M588" s="30" t="n">
        <v>0.002641777644525457</v>
      </c>
      <c r="N588" s="31">
        <f>ABS(E588-$F$6)</f>
        <v/>
      </c>
      <c r="O588" s="31">
        <f>ABS(E588-$F$7)</f>
        <v/>
      </c>
      <c r="P588" s="31">
        <f>ABS(E588-$F$8)</f>
        <v/>
      </c>
      <c r="Q588" s="14">
        <f>IF(K588&gt;=MAX(L588,M588), "Hemat", IF(L588&gt;=M588, "Balanced", "Premium"))</f>
        <v/>
      </c>
      <c r="R588" s="30" t="n">
        <v>0.9686282798936615</v>
      </c>
      <c r="S588" s="30" t="n">
        <v>0.02872993996961344</v>
      </c>
      <c r="T588" s="30" t="n">
        <v>0.002641780136725144</v>
      </c>
      <c r="U588" s="31">
        <f>ABS(E588-$G$6)</f>
        <v/>
      </c>
      <c r="V588" s="31">
        <f>ABS(E588-$G$7)</f>
        <v/>
      </c>
      <c r="W588" s="31">
        <f>ABS(E588-$G$8)</f>
        <v/>
      </c>
      <c r="X588" s="14">
        <f>IF(R588&gt;=MAX(S588,T588), "Hemat", IF(S588&gt;=T588, "Balanced", "Premium"))</f>
        <v/>
      </c>
    </row>
    <row r="589">
      <c r="A589" s="14" t="n">
        <v>578</v>
      </c>
      <c r="B589" s="7" t="inlineStr">
        <is>
          <t>Warung Tulungagung</t>
        </is>
      </c>
      <c r="C589" s="26" t="n">
        <v>-8.211248899999999</v>
      </c>
      <c r="D589" s="26" t="n">
        <v>112.7479943</v>
      </c>
      <c r="E589" s="21" t="n">
        <v>22500</v>
      </c>
      <c r="F589" s="27" t="n">
        <v>4.4</v>
      </c>
      <c r="G589" s="28" t="n">
        <v>386</v>
      </c>
      <c r="H589" s="14" t="inlineStr">
        <is>
          <t>Warung Tulungagung</t>
        </is>
      </c>
      <c r="I589" s="29">
        <f>6371 * 2 * ASIN(SQRT(SIN(RADIANS((C589) - INDEX('Dataset_Wisata'!$C$12:$C$622, MATCH('Dashboard'!$C$9, 'Dataset_Wisata'!$A$12:$A$622, 0)))/2)^2 + COS(RADIANS(INDEX('Dataset_Wisata'!$C$12:$C$622, MATCH('Dashboard'!$C$9, 'Dataset_Wisata'!$A$12:$A$622, 0)))) * COS(RADIANS(C589)) * SIN(RADIANS((D589) - INDEX('Dataset_Wisata'!$D$12:$D$622, MATCH('Dashboard'!$C$9, 'Dataset_Wisata'!$A$12:$A$622, 0)))/2)^2)) * 1.3</f>
        <v/>
      </c>
      <c r="J589" s="21">
        <f>ROUND(I589 * IF('Dashboard'!$C$6&lt;=1, 2250, IF('Dashboard'!$C$6&lt;=4, 5150, 6000)), 0)</f>
        <v/>
      </c>
      <c r="K589" s="30" t="n">
        <v>0.08590721818578816</v>
      </c>
      <c r="L589" s="30" t="n">
        <v>0.9036840196741893</v>
      </c>
      <c r="M589" s="30" t="n">
        <v>0.01040876214002235</v>
      </c>
      <c r="N589" s="31">
        <f>ABS(E589-$F$6)</f>
        <v/>
      </c>
      <c r="O589" s="31">
        <f>ABS(E589-$F$7)</f>
        <v/>
      </c>
      <c r="P589" s="31">
        <f>ABS(E589-$F$8)</f>
        <v/>
      </c>
      <c r="Q589" s="14">
        <f>IF(K589&gt;=MAX(L589,M589), "Hemat", IF(L589&gt;=M589, "Balanced", "Premium"))</f>
        <v/>
      </c>
      <c r="R589" s="30" t="n">
        <v>0.08590706132500794</v>
      </c>
      <c r="S589" s="30" t="n">
        <v>0.9036841906599963</v>
      </c>
      <c r="T589" s="30" t="n">
        <v>0.01040874801499566</v>
      </c>
      <c r="U589" s="31">
        <f>ABS(E589-$G$6)</f>
        <v/>
      </c>
      <c r="V589" s="31">
        <f>ABS(E589-$G$7)</f>
        <v/>
      </c>
      <c r="W589" s="31">
        <f>ABS(E589-$G$8)</f>
        <v/>
      </c>
      <c r="X589" s="14">
        <f>IF(R589&gt;=MAX(S589,T589), "Hemat", IF(S589&gt;=T589, "Balanced", "Premium"))</f>
        <v/>
      </c>
    </row>
    <row r="590">
      <c r="A590" s="14" t="n">
        <v>579</v>
      </c>
      <c r="B590" s="7" t="inlineStr">
        <is>
          <t>Ayam Goreng Pengging</t>
        </is>
      </c>
      <c r="C590" s="26" t="n">
        <v>-8.2138334</v>
      </c>
      <c r="D590" s="26" t="n">
        <v>112.7508694</v>
      </c>
      <c r="E590" s="21" t="n">
        <v>7000</v>
      </c>
      <c r="F590" s="27" t="n">
        <v>4.6</v>
      </c>
      <c r="G590" s="28" t="n">
        <v>45</v>
      </c>
      <c r="H590" s="14" t="inlineStr">
        <is>
          <t>Wisata Umum</t>
        </is>
      </c>
      <c r="I590" s="29">
        <f>6371 * 2 * ASIN(SQRT(SIN(RADIANS((C590) - INDEX('Dataset_Wisata'!$C$12:$C$622, MATCH('Dashboard'!$C$9, 'Dataset_Wisata'!$A$12:$A$622, 0)))/2)^2 + COS(RADIANS(INDEX('Dataset_Wisata'!$C$12:$C$622, MATCH('Dashboard'!$C$9, 'Dataset_Wisata'!$A$12:$A$622, 0)))) * COS(RADIANS(C590)) * SIN(RADIANS((D590) - INDEX('Dataset_Wisata'!$D$12:$D$622, MATCH('Dashboard'!$C$9, 'Dataset_Wisata'!$A$12:$A$622, 0)))/2)^2)) * 1.3</f>
        <v/>
      </c>
      <c r="J590" s="21">
        <f>ROUND(I590 * IF('Dashboard'!$C$6&lt;=1, 2250, IF('Dashboard'!$C$6&lt;=4, 5150, 6000)), 0)</f>
        <v/>
      </c>
      <c r="K590" s="30" t="n">
        <v>0.8800610026243881</v>
      </c>
      <c r="L590" s="30" t="n">
        <v>0.1008247459749515</v>
      </c>
      <c r="M590" s="30" t="n">
        <v>0.01911425140066042</v>
      </c>
      <c r="N590" s="31">
        <f>ABS(E590-$F$6)</f>
        <v/>
      </c>
      <c r="O590" s="31">
        <f>ABS(E590-$F$7)</f>
        <v/>
      </c>
      <c r="P590" s="31">
        <f>ABS(E590-$F$8)</f>
        <v/>
      </c>
      <c r="Q590" s="14">
        <f>IF(K590&gt;=MAX(L590,M590), "Hemat", IF(L590&gt;=M590, "Balanced", "Premium"))</f>
        <v/>
      </c>
      <c r="R590" s="30" t="n">
        <v>0.8800609951219469</v>
      </c>
      <c r="S590" s="30" t="n">
        <v>0.1008247536305651</v>
      </c>
      <c r="T590" s="30" t="n">
        <v>0.019114251247488</v>
      </c>
      <c r="U590" s="31">
        <f>ABS(E590-$G$6)</f>
        <v/>
      </c>
      <c r="V590" s="31">
        <f>ABS(E590-$G$7)</f>
        <v/>
      </c>
      <c r="W590" s="31">
        <f>ABS(E590-$G$8)</f>
        <v/>
      </c>
      <c r="X590" s="14">
        <f>IF(R590&gt;=MAX(S590,T590), "Hemat", IF(S590&gt;=T590, "Balanced", "Premium"))</f>
        <v/>
      </c>
    </row>
    <row r="591">
      <c r="A591" s="14" t="n">
        <v>580</v>
      </c>
      <c r="B591" s="7" t="inlineStr">
        <is>
          <t>Chicken Pingsaw</t>
        </is>
      </c>
      <c r="C591" s="26" t="n">
        <v>-8.2109936</v>
      </c>
      <c r="D591" s="26" t="n">
        <v>112.7531472</v>
      </c>
      <c r="E591" s="21" t="n">
        <v>19000</v>
      </c>
      <c r="F591" s="27" t="n">
        <v>4.4</v>
      </c>
      <c r="G591" s="28" t="n">
        <v>145</v>
      </c>
      <c r="H591" s="14" t="inlineStr">
        <is>
          <t>Wisata Umum</t>
        </is>
      </c>
      <c r="I591" s="29">
        <f>6371 * 2 * ASIN(SQRT(SIN(RADIANS((C591) - INDEX('Dataset_Wisata'!$C$12:$C$622, MATCH('Dashboard'!$C$9, 'Dataset_Wisata'!$A$12:$A$622, 0)))/2)^2 + COS(RADIANS(INDEX('Dataset_Wisata'!$C$12:$C$622, MATCH('Dashboard'!$C$9, 'Dataset_Wisata'!$A$12:$A$622, 0)))) * COS(RADIANS(C591)) * SIN(RADIANS((D591) - INDEX('Dataset_Wisata'!$D$12:$D$622, MATCH('Dashboard'!$C$9, 'Dataset_Wisata'!$A$12:$A$622, 0)))/2)^2)) * 1.3</f>
        <v/>
      </c>
      <c r="J591" s="21">
        <f>ROUND(I591 * IF('Dashboard'!$C$6&lt;=1, 2250, IF('Dashboard'!$C$6&lt;=4, 5150, 6000)), 0)</f>
        <v/>
      </c>
      <c r="K591" s="30" t="n">
        <v>0.5366761769981572</v>
      </c>
      <c r="L591" s="30" t="n">
        <v>0.4435988772155322</v>
      </c>
      <c r="M591" s="30" t="n">
        <v>0.01972494578631066</v>
      </c>
      <c r="N591" s="31">
        <f>ABS(E591-$F$6)</f>
        <v/>
      </c>
      <c r="O591" s="31">
        <f>ABS(E591-$F$7)</f>
        <v/>
      </c>
      <c r="P591" s="31">
        <f>ABS(E591-$F$8)</f>
        <v/>
      </c>
      <c r="Q591" s="14">
        <f>IF(K591&gt;=MAX(L591,M591), "Hemat", IF(L591&gt;=M591, "Balanced", "Premium"))</f>
        <v/>
      </c>
      <c r="R591" s="30" t="n">
        <v>0.5366759174130455</v>
      </c>
      <c r="S591" s="30" t="n">
        <v>0.443599136184954</v>
      </c>
      <c r="T591" s="30" t="n">
        <v>0.01972494640200039</v>
      </c>
      <c r="U591" s="31">
        <f>ABS(E591-$G$6)</f>
        <v/>
      </c>
      <c r="V591" s="31">
        <f>ABS(E591-$G$7)</f>
        <v/>
      </c>
      <c r="W591" s="31">
        <f>ABS(E591-$G$8)</f>
        <v/>
      </c>
      <c r="X591" s="14">
        <f>IF(R591&gt;=MAX(S591,T591), "Hemat", IF(S591&gt;=T591, "Balanced", "Premium"))</f>
        <v/>
      </c>
    </row>
    <row r="592">
      <c r="A592" s="14" t="n">
        <v>581</v>
      </c>
      <c r="B592" s="7" t="inlineStr">
        <is>
          <t>Warung Makan dan Kopi MAJU (57)</t>
        </is>
      </c>
      <c r="C592" s="26" t="n">
        <v>-8.209925999999999</v>
      </c>
      <c r="D592" s="26" t="n">
        <v>112.7441143</v>
      </c>
      <c r="E592" s="21" t="n">
        <v>15875</v>
      </c>
      <c r="F592" s="27" t="n">
        <v>5</v>
      </c>
      <c r="G592" s="28" t="n">
        <v>57</v>
      </c>
      <c r="H592" s="14" t="inlineStr">
        <is>
          <t>Wisata Umum</t>
        </is>
      </c>
      <c r="I592" s="29">
        <f>6371 * 2 * ASIN(SQRT(SIN(RADIANS((C592) - INDEX('Dataset_Wisata'!$C$12:$C$622, MATCH('Dashboard'!$C$9, 'Dataset_Wisata'!$A$12:$A$622, 0)))/2)^2 + COS(RADIANS(INDEX('Dataset_Wisata'!$C$12:$C$622, MATCH('Dashboard'!$C$9, 'Dataset_Wisata'!$A$12:$A$622, 0)))) * COS(RADIANS(C592)) * SIN(RADIANS((D592) - INDEX('Dataset_Wisata'!$D$12:$D$622, MATCH('Dashboard'!$C$9, 'Dataset_Wisata'!$A$12:$A$622, 0)))/2)^2)) * 1.3</f>
        <v/>
      </c>
      <c r="J592" s="21">
        <f>ROUND(I592 * IF('Dashboard'!$C$6&lt;=1, 2250, IF('Dashboard'!$C$6&lt;=4, 5150, 6000)), 0)</f>
        <v/>
      </c>
      <c r="K592" s="30" t="n">
        <v>0.9216890170208748</v>
      </c>
      <c r="L592" s="30" t="n">
        <v>0.07243080108207721</v>
      </c>
      <c r="M592" s="30" t="n">
        <v>0.005880181897048007</v>
      </c>
      <c r="N592" s="31">
        <f>ABS(E592-$F$6)</f>
        <v/>
      </c>
      <c r="O592" s="31">
        <f>ABS(E592-$F$7)</f>
        <v/>
      </c>
      <c r="P592" s="31">
        <f>ABS(E592-$F$8)</f>
        <v/>
      </c>
      <c r="Q592" s="14">
        <f>IF(K592&gt;=MAX(L592,M592), "Hemat", IF(L592&gt;=M592, "Balanced", "Premium"))</f>
        <v/>
      </c>
      <c r="R592" s="30" t="n">
        <v>0.9216889427209712</v>
      </c>
      <c r="S592" s="30" t="n">
        <v>0.07243087144509737</v>
      </c>
      <c r="T592" s="30" t="n">
        <v>0.0058801858339314</v>
      </c>
      <c r="U592" s="31">
        <f>ABS(E592-$G$6)</f>
        <v/>
      </c>
      <c r="V592" s="31">
        <f>ABS(E592-$G$7)</f>
        <v/>
      </c>
      <c r="W592" s="31">
        <f>ABS(E592-$G$8)</f>
        <v/>
      </c>
      <c r="X592" s="14">
        <f>IF(R592&gt;=MAX(S592,T592), "Hemat", IF(S592&gt;=T592, "Balanced", "Premium"))</f>
        <v/>
      </c>
    </row>
    <row r="593">
      <c r="A593" s="14" t="n">
        <v>582</v>
      </c>
      <c r="B593" s="7" t="inlineStr">
        <is>
          <t>Warung Rujak Bu Endah</t>
        </is>
      </c>
      <c r="C593" s="26" t="n">
        <v>-8.213240000000001</v>
      </c>
      <c r="D593" s="26" t="n">
        <v>112.7486355</v>
      </c>
      <c r="E593" s="21" t="n">
        <v>13500</v>
      </c>
      <c r="F593" s="27" t="n">
        <v>4.5</v>
      </c>
      <c r="G593" s="28" t="n">
        <v>236</v>
      </c>
      <c r="H593" s="14" t="inlineStr">
        <is>
          <t>Warung Rujak Bu Endah</t>
        </is>
      </c>
      <c r="I593" s="29">
        <f>6371 * 2 * ASIN(SQRT(SIN(RADIANS((C593) - INDEX('Dataset_Wisata'!$C$12:$C$622, MATCH('Dashboard'!$C$9, 'Dataset_Wisata'!$A$12:$A$622, 0)))/2)^2 + COS(RADIANS(INDEX('Dataset_Wisata'!$C$12:$C$622, MATCH('Dashboard'!$C$9, 'Dataset_Wisata'!$A$12:$A$622, 0)))) * COS(RADIANS(C593)) * SIN(RADIANS((D593) - INDEX('Dataset_Wisata'!$D$12:$D$622, MATCH('Dashboard'!$C$9, 'Dataset_Wisata'!$A$12:$A$622, 0)))/2)^2)) * 1.3</f>
        <v/>
      </c>
      <c r="J593" s="21">
        <f>ROUND(I593 * IF('Dashboard'!$C$6&lt;=1, 2250, IF('Dashboard'!$C$6&lt;=4, 5150, 6000)), 0)</f>
        <v/>
      </c>
      <c r="K593" s="30" t="n">
        <v>0.9993608169528668</v>
      </c>
      <c r="L593" s="30" t="n">
        <v>0.0005755405742947694</v>
      </c>
      <c r="M593" s="30" t="n">
        <v>6.36424728383445e-05</v>
      </c>
      <c r="N593" s="31">
        <f>ABS(E593-$F$6)</f>
        <v/>
      </c>
      <c r="O593" s="31">
        <f>ABS(E593-$F$7)</f>
        <v/>
      </c>
      <c r="P593" s="31">
        <f>ABS(E593-$F$8)</f>
        <v/>
      </c>
      <c r="Q593" s="14">
        <f>IF(K593&gt;=MAX(L593,M593), "Hemat", IF(L593&gt;=M593, "Balanced", "Premium"))</f>
        <v/>
      </c>
      <c r="R593" s="30" t="n">
        <v>0.9993608137761221</v>
      </c>
      <c r="S593" s="30" t="n">
        <v>0.0005755434465521912</v>
      </c>
      <c r="T593" s="30" t="n">
        <v>6.364277732570516e-05</v>
      </c>
      <c r="U593" s="31">
        <f>ABS(E593-$G$6)</f>
        <v/>
      </c>
      <c r="V593" s="31">
        <f>ABS(E593-$G$7)</f>
        <v/>
      </c>
      <c r="W593" s="31">
        <f>ABS(E593-$G$8)</f>
        <v/>
      </c>
      <c r="X593" s="14">
        <f>IF(R593&gt;=MAX(S593,T593), "Hemat", IF(S593&gt;=T593, "Balanced", "Premium"))</f>
        <v/>
      </c>
    </row>
    <row r="594">
      <c r="A594" s="14" t="n">
        <v>583</v>
      </c>
      <c r="B594" s="7" t="inlineStr">
        <is>
          <t>Warung Padang SBB</t>
        </is>
      </c>
      <c r="C594" s="26" t="n">
        <v>-8.197430600000001</v>
      </c>
      <c r="D594" s="26" t="n">
        <v>112.725583</v>
      </c>
      <c r="E594" s="21" t="n">
        <v>15000</v>
      </c>
      <c r="F594" s="27" t="n">
        <v>4.4</v>
      </c>
      <c r="G594" s="28" t="n">
        <v>69</v>
      </c>
      <c r="H594" s="14" t="inlineStr">
        <is>
          <t>Warung Padang SBB</t>
        </is>
      </c>
      <c r="I594" s="29">
        <f>6371 * 2 * ASIN(SQRT(SIN(RADIANS((C594) - INDEX('Dataset_Wisata'!$C$12:$C$622, MATCH('Dashboard'!$C$9, 'Dataset_Wisata'!$A$12:$A$622, 0)))/2)^2 + COS(RADIANS(INDEX('Dataset_Wisata'!$C$12:$C$622, MATCH('Dashboard'!$C$9, 'Dataset_Wisata'!$A$12:$A$622, 0)))) * COS(RADIANS(C594)) * SIN(RADIANS((D594) - INDEX('Dataset_Wisata'!$D$12:$D$622, MATCH('Dashboard'!$C$9, 'Dataset_Wisata'!$A$12:$A$622, 0)))/2)^2)) * 1.3</f>
        <v/>
      </c>
      <c r="J594" s="21">
        <f>ROUND(I594 * IF('Dashboard'!$C$6&lt;=1, 2250, IF('Dashboard'!$C$6&lt;=4, 5150, 6000)), 0)</f>
        <v/>
      </c>
      <c r="K594" s="30" t="n">
        <v>0.9686283169848018</v>
      </c>
      <c r="L594" s="30" t="n">
        <v>0.02872990537067274</v>
      </c>
      <c r="M594" s="30" t="n">
        <v>0.002641777644525457</v>
      </c>
      <c r="N594" s="31">
        <f>ABS(E594-$F$6)</f>
        <v/>
      </c>
      <c r="O594" s="31">
        <f>ABS(E594-$F$7)</f>
        <v/>
      </c>
      <c r="P594" s="31">
        <f>ABS(E594-$F$8)</f>
        <v/>
      </c>
      <c r="Q594" s="14">
        <f>IF(K594&gt;=MAX(L594,M594), "Hemat", IF(L594&gt;=M594, "Balanced", "Premium"))</f>
        <v/>
      </c>
      <c r="R594" s="30" t="n">
        <v>0.9686282798936615</v>
      </c>
      <c r="S594" s="30" t="n">
        <v>0.02872993996961344</v>
      </c>
      <c r="T594" s="30" t="n">
        <v>0.002641780136725144</v>
      </c>
      <c r="U594" s="31">
        <f>ABS(E594-$G$6)</f>
        <v/>
      </c>
      <c r="V594" s="31">
        <f>ABS(E594-$G$7)</f>
        <v/>
      </c>
      <c r="W594" s="31">
        <f>ABS(E594-$G$8)</f>
        <v/>
      </c>
      <c r="X594" s="14">
        <f>IF(R594&gt;=MAX(S594,T594), "Hemat", IF(S594&gt;=T594, "Balanced", "Premium"))</f>
        <v/>
      </c>
    </row>
    <row r="595">
      <c r="A595" s="14" t="n">
        <v>584</v>
      </c>
      <c r="B595" s="7" t="inlineStr">
        <is>
          <t>Depot Sate Kambing Pak Di</t>
        </is>
      </c>
      <c r="C595" s="26" t="n">
        <v>-8.213998999999999</v>
      </c>
      <c r="D595" s="26" t="n">
        <v>112.7539103</v>
      </c>
      <c r="E595" s="21" t="n">
        <v>56000</v>
      </c>
      <c r="F595" s="27" t="n">
        <v>4.4</v>
      </c>
      <c r="G595" s="28" t="n">
        <v>72</v>
      </c>
      <c r="H595" s="14" t="inlineStr">
        <is>
          <t>Wisata Umum</t>
        </is>
      </c>
      <c r="I595" s="29">
        <f>6371 * 2 * ASIN(SQRT(SIN(RADIANS((C595) - INDEX('Dataset_Wisata'!$C$12:$C$622, MATCH('Dashboard'!$C$9, 'Dataset_Wisata'!$A$12:$A$622, 0)))/2)^2 + COS(RADIANS(INDEX('Dataset_Wisata'!$C$12:$C$622, MATCH('Dashboard'!$C$9, 'Dataset_Wisata'!$A$12:$A$622, 0)))) * COS(RADIANS(C595)) * SIN(RADIANS((D595) - INDEX('Dataset_Wisata'!$D$12:$D$622, MATCH('Dashboard'!$C$9, 'Dataset_Wisata'!$A$12:$A$622, 0)))/2)^2)) * 1.3</f>
        <v/>
      </c>
      <c r="J595" s="21">
        <f>ROUND(I595 * IF('Dashboard'!$C$6&lt;=1, 2250, IF('Dashboard'!$C$6&lt;=4, 5150, 6000)), 0)</f>
        <v/>
      </c>
      <c r="K595" s="30" t="n">
        <v>0.02367837796145758</v>
      </c>
      <c r="L595" s="30" t="n">
        <v>0.04617715344833908</v>
      </c>
      <c r="M595" s="30" t="n">
        <v>0.9301444685902034</v>
      </c>
      <c r="N595" s="31">
        <f>ABS(E595-$F$6)</f>
        <v/>
      </c>
      <c r="O595" s="31">
        <f>ABS(E595-$F$7)</f>
        <v/>
      </c>
      <c r="P595" s="31">
        <f>ABS(E595-$F$8)</f>
        <v/>
      </c>
      <c r="Q595" s="14">
        <f>IF(K595&gt;=MAX(L595,M595), "Hemat", IF(L595&gt;=M595, "Balanced", "Premium"))</f>
        <v/>
      </c>
      <c r="R595" s="30" t="n">
        <v>0.02367840582534603</v>
      </c>
      <c r="S595" s="30" t="n">
        <v>0.04617720108927129</v>
      </c>
      <c r="T595" s="30" t="n">
        <v>0.9301443930853825</v>
      </c>
      <c r="U595" s="31">
        <f>ABS(E595-$G$6)</f>
        <v/>
      </c>
      <c r="V595" s="31">
        <f>ABS(E595-$G$7)</f>
        <v/>
      </c>
      <c r="W595" s="31">
        <f>ABS(E595-$G$8)</f>
        <v/>
      </c>
      <c r="X595" s="14">
        <f>IF(R595&gt;=MAX(S595,T595), "Hemat", IF(S595&gt;=T595, "Balanced", "Premium"))</f>
        <v/>
      </c>
    </row>
    <row r="596">
      <c r="A596" s="14" t="n">
        <v>585</v>
      </c>
      <c r="B596" s="7" t="inlineStr">
        <is>
          <t>WARUNG BAKSO CAK TRI</t>
        </is>
      </c>
      <c r="C596" s="26" t="n">
        <v>-8.1502436</v>
      </c>
      <c r="D596" s="26" t="n">
        <v>112.6949712</v>
      </c>
      <c r="E596" s="21" t="n">
        <v>7500</v>
      </c>
      <c r="F596" s="27" t="n">
        <v>4.4</v>
      </c>
      <c r="G596" s="28" t="n">
        <v>196</v>
      </c>
      <c r="H596" s="14" t="inlineStr">
        <is>
          <t>WARUNG BAKSO CAK TRI</t>
        </is>
      </c>
      <c r="I596" s="29">
        <f>6371 * 2 * ASIN(SQRT(SIN(RADIANS((C596) - INDEX('Dataset_Wisata'!$C$12:$C$622, MATCH('Dashboard'!$C$9, 'Dataset_Wisata'!$A$12:$A$622, 0)))/2)^2 + COS(RADIANS(INDEX('Dataset_Wisata'!$C$12:$C$622, MATCH('Dashboard'!$C$9, 'Dataset_Wisata'!$A$12:$A$622, 0)))) * COS(RADIANS(C596)) * SIN(RADIANS((D596) - INDEX('Dataset_Wisata'!$D$12:$D$622, MATCH('Dashboard'!$C$9, 'Dataset_Wisata'!$A$12:$A$622, 0)))/2)^2)) * 1.3</f>
        <v/>
      </c>
      <c r="J596" s="21">
        <f>ROUND(I596 * IF('Dashboard'!$C$6&lt;=1, 2250, IF('Dashboard'!$C$6&lt;=4, 5150, 6000)), 0)</f>
        <v/>
      </c>
      <c r="K596" s="30" t="n">
        <v>0.8919157632085243</v>
      </c>
      <c r="L596" s="30" t="n">
        <v>0.09130849431734138</v>
      </c>
      <c r="M596" s="30" t="n">
        <v>0.0167757424741345</v>
      </c>
      <c r="N596" s="31">
        <f>ABS(E596-$F$6)</f>
        <v/>
      </c>
      <c r="O596" s="31">
        <f>ABS(E596-$F$7)</f>
        <v/>
      </c>
      <c r="P596" s="31">
        <f>ABS(E596-$F$8)</f>
        <v/>
      </c>
      <c r="Q596" s="14">
        <f>IF(K596&gt;=MAX(L596,M596), "Hemat", IF(L596&gt;=M596, "Balanced", "Premium"))</f>
        <v/>
      </c>
      <c r="R596" s="30" t="n">
        <v>0.8919157573729652</v>
      </c>
      <c r="S596" s="30" t="n">
        <v>0.09130850051736716</v>
      </c>
      <c r="T596" s="30" t="n">
        <v>0.01677574210966746</v>
      </c>
      <c r="U596" s="31">
        <f>ABS(E596-$G$6)</f>
        <v/>
      </c>
      <c r="V596" s="31">
        <f>ABS(E596-$G$7)</f>
        <v/>
      </c>
      <c r="W596" s="31">
        <f>ABS(E596-$G$8)</f>
        <v/>
      </c>
      <c r="X596" s="14">
        <f>IF(R596&gt;=MAX(S596,T596), "Hemat", IF(S596&gt;=T596, "Balanced", "Premium"))</f>
        <v/>
      </c>
    </row>
    <row r="597">
      <c r="A597" s="14" t="n">
        <v>586</v>
      </c>
      <c r="B597" s="7" t="inlineStr">
        <is>
          <t>Warung nasi Merdeka</t>
        </is>
      </c>
      <c r="C597" s="26" t="n">
        <v>-8.114104299999999</v>
      </c>
      <c r="D597" s="26" t="n">
        <v>112.7318434</v>
      </c>
      <c r="E597" s="21" t="n">
        <v>16000</v>
      </c>
      <c r="F597" s="27" t="n">
        <v>4.5</v>
      </c>
      <c r="G597" s="28" t="n">
        <v>155</v>
      </c>
      <c r="H597" s="14" t="inlineStr">
        <is>
          <t>Warung nasi Merdeka</t>
        </is>
      </c>
      <c r="I597" s="29">
        <f>6371 * 2 * ASIN(SQRT(SIN(RADIANS((C597) - INDEX('Dataset_Wisata'!$C$12:$C$622, MATCH('Dashboard'!$C$9, 'Dataset_Wisata'!$A$12:$A$622, 0)))/2)^2 + COS(RADIANS(INDEX('Dataset_Wisata'!$C$12:$C$622, MATCH('Dashboard'!$C$9, 'Dataset_Wisata'!$A$12:$A$622, 0)))) * COS(RADIANS(C597)) * SIN(RADIANS((D597) - INDEX('Dataset_Wisata'!$D$12:$D$622, MATCH('Dashboard'!$C$9, 'Dataset_Wisata'!$A$12:$A$622, 0)))/2)^2)) * 1.3</f>
        <v/>
      </c>
      <c r="J597" s="21">
        <f>ROUND(I597 * IF('Dashboard'!$C$6&lt;=1, 2250, IF('Dashboard'!$C$6&lt;=4, 5150, 6000)), 0)</f>
        <v/>
      </c>
      <c r="K597" s="30" t="n">
        <v>0.9128193134184031</v>
      </c>
      <c r="L597" s="30" t="n">
        <v>0.08074863238868506</v>
      </c>
      <c r="M597" s="30" t="n">
        <v>0.006432054192912039</v>
      </c>
      <c r="N597" s="31">
        <f>ABS(E597-$F$6)</f>
        <v/>
      </c>
      <c r="O597" s="31">
        <f>ABS(E597-$F$7)</f>
        <v/>
      </c>
      <c r="P597" s="31">
        <f>ABS(E597-$F$8)</f>
        <v/>
      </c>
      <c r="Q597" s="14">
        <f>IF(K597&gt;=MAX(L597,M597), "Hemat", IF(L597&gt;=M597, "Balanced", "Premium"))</f>
        <v/>
      </c>
      <c r="R597" s="30" t="n">
        <v>0.9128192326410924</v>
      </c>
      <c r="S597" s="30" t="n">
        <v>0.08074870904423974</v>
      </c>
      <c r="T597" s="30" t="n">
        <v>0.006432058314667768</v>
      </c>
      <c r="U597" s="31">
        <f>ABS(E597-$G$6)</f>
        <v/>
      </c>
      <c r="V597" s="31">
        <f>ABS(E597-$G$7)</f>
        <v/>
      </c>
      <c r="W597" s="31">
        <f>ABS(E597-$G$8)</f>
        <v/>
      </c>
      <c r="X597" s="14">
        <f>IF(R597&gt;=MAX(S597,T597), "Hemat", IF(S597&gt;=T597, "Balanced", "Premium"))</f>
        <v/>
      </c>
    </row>
    <row r="598">
      <c r="A598" s="14" t="n">
        <v>587</v>
      </c>
      <c r="B598" s="7" t="inlineStr">
        <is>
          <t>Bebek Bakar Bandar Lor</t>
        </is>
      </c>
      <c r="C598" s="26" t="n">
        <v>-8.0942813</v>
      </c>
      <c r="D598" s="26" t="n">
        <v>112.7386755</v>
      </c>
      <c r="E598" s="21" t="n">
        <v>18800</v>
      </c>
      <c r="F598" s="27" t="n">
        <v>4.7</v>
      </c>
      <c r="G598" s="28" t="n">
        <v>121</v>
      </c>
      <c r="H598" s="14" t="inlineStr">
        <is>
          <t>Wisata Umum</t>
        </is>
      </c>
      <c r="I598" s="29">
        <f>6371 * 2 * ASIN(SQRT(SIN(RADIANS((C598) - INDEX('Dataset_Wisata'!$C$12:$C$622, MATCH('Dashboard'!$C$9, 'Dataset_Wisata'!$A$12:$A$622, 0)))/2)^2 + COS(RADIANS(INDEX('Dataset_Wisata'!$C$12:$C$622, MATCH('Dashboard'!$C$9, 'Dataset_Wisata'!$A$12:$A$622, 0)))) * COS(RADIANS(C598)) * SIN(RADIANS((D598) - INDEX('Dataset_Wisata'!$D$12:$D$622, MATCH('Dashboard'!$C$9, 'Dataset_Wisata'!$A$12:$A$622, 0)))/2)^2)) * 1.3</f>
        <v/>
      </c>
      <c r="J598" s="21">
        <f>ROUND(I598 * IF('Dashboard'!$C$6&lt;=1, 2250, IF('Dashboard'!$C$6&lt;=4, 5150, 6000)), 0)</f>
        <v/>
      </c>
      <c r="K598" s="30" t="n">
        <v>0.5688393931128136</v>
      </c>
      <c r="L598" s="30" t="n">
        <v>0.4119300079820502</v>
      </c>
      <c r="M598" s="30" t="n">
        <v>0.01923059890513623</v>
      </c>
      <c r="N598" s="31">
        <f>ABS(E598-$F$6)</f>
        <v/>
      </c>
      <c r="O598" s="31">
        <f>ABS(E598-$F$7)</f>
        <v/>
      </c>
      <c r="P598" s="31">
        <f>ABS(E598-$F$8)</f>
        <v/>
      </c>
      <c r="Q598" s="14">
        <f>IF(K598&gt;=MAX(L598,M598), "Hemat", IF(L598&gt;=M598, "Balanced", "Premium"))</f>
        <v/>
      </c>
      <c r="R598" s="30" t="n">
        <v>0.5688391414307937</v>
      </c>
      <c r="S598" s="30" t="n">
        <v>0.4119302581536957</v>
      </c>
      <c r="T598" s="30" t="n">
        <v>0.01923060041551058</v>
      </c>
      <c r="U598" s="31">
        <f>ABS(E598-$G$6)</f>
        <v/>
      </c>
      <c r="V598" s="31">
        <f>ABS(E598-$G$7)</f>
        <v/>
      </c>
      <c r="W598" s="31">
        <f>ABS(E598-$G$8)</f>
        <v/>
      </c>
      <c r="X598" s="14">
        <f>IF(R598&gt;=MAX(S598,T598), "Hemat", IF(S598&gt;=T598, "Balanced", "Premium"))</f>
        <v/>
      </c>
    </row>
    <row r="599">
      <c r="A599" s="14" t="n">
        <v>588</v>
      </c>
      <c r="B599" s="7" t="inlineStr">
        <is>
          <t>Warung "Siangku"</t>
        </is>
      </c>
      <c r="C599" s="26" t="n">
        <v>-8.072475499999999</v>
      </c>
      <c r="D599" s="26" t="n">
        <v>112.7317883</v>
      </c>
      <c r="E599" s="21" t="n">
        <v>10000</v>
      </c>
      <c r="F599" s="27" t="n">
        <v>4.5</v>
      </c>
      <c r="G599" s="28" t="n">
        <v>20</v>
      </c>
      <c r="H599" s="14" t="inlineStr">
        <is>
          <t>Warung "Siangku"</t>
        </is>
      </c>
      <c r="I599" s="29">
        <f>6371 * 2 * ASIN(SQRT(SIN(RADIANS((C599) - INDEX('Dataset_Wisata'!$C$12:$C$622, MATCH('Dashboard'!$C$9, 'Dataset_Wisata'!$A$12:$A$622, 0)))/2)^2 + COS(RADIANS(INDEX('Dataset_Wisata'!$C$12:$C$622, MATCH('Dashboard'!$C$9, 'Dataset_Wisata'!$A$12:$A$622, 0)))) * COS(RADIANS(C599)) * SIN(RADIANS((D599) - INDEX('Dataset_Wisata'!$D$12:$D$622, MATCH('Dashboard'!$C$9, 'Dataset_Wisata'!$A$12:$A$622, 0)))/2)^2)) * 1.3</f>
        <v/>
      </c>
      <c r="J599" s="21">
        <f>ROUND(I599 * IF('Dashboard'!$C$6&lt;=1, 2250, IF('Dashboard'!$C$6&lt;=4, 5150, 6000)), 0)</f>
        <v/>
      </c>
      <c r="K599" s="30" t="n">
        <v>0.9518906050943107</v>
      </c>
      <c r="L599" s="30" t="n">
        <v>0.04169660451397377</v>
      </c>
      <c r="M599" s="30" t="n">
        <v>0.006412790391715545</v>
      </c>
      <c r="N599" s="31">
        <f>ABS(E599-$F$6)</f>
        <v/>
      </c>
      <c r="O599" s="31">
        <f>ABS(E599-$F$7)</f>
        <v/>
      </c>
      <c r="P599" s="31">
        <f>ABS(E599-$F$8)</f>
        <v/>
      </c>
      <c r="Q599" s="14">
        <f>IF(K599&gt;=MAX(L599,M599), "Hemat", IF(L599&gt;=M599, "Balanced", "Premium"))</f>
        <v/>
      </c>
      <c r="R599" s="30" t="n">
        <v>0.9518906082621517</v>
      </c>
      <c r="S599" s="30" t="n">
        <v>0.04169660246361195</v>
      </c>
      <c r="T599" s="30" t="n">
        <v>0.006412789274236485</v>
      </c>
      <c r="U599" s="31">
        <f>ABS(E599-$G$6)</f>
        <v/>
      </c>
      <c r="V599" s="31">
        <f>ABS(E599-$G$7)</f>
        <v/>
      </c>
      <c r="W599" s="31">
        <f>ABS(E599-$G$8)</f>
        <v/>
      </c>
      <c r="X599" s="14">
        <f>IF(R599&gt;=MAX(S599,T599), "Hemat", IF(S599&gt;=T599, "Balanced", "Premium"))</f>
        <v/>
      </c>
    </row>
    <row r="600">
      <c r="A600" s="14" t="n">
        <v>589</v>
      </c>
      <c r="B600" s="7" t="inlineStr">
        <is>
          <t>Bakso Pak To El-pas</t>
        </is>
      </c>
      <c r="C600" s="26" t="n">
        <v>-8.09869</v>
      </c>
      <c r="D600" s="26" t="n">
        <v>112.734729</v>
      </c>
      <c r="E600" s="21" t="n">
        <v>20000</v>
      </c>
      <c r="F600" s="27" t="n">
        <v>4.6</v>
      </c>
      <c r="G600" s="28" t="n">
        <v>49</v>
      </c>
      <c r="H600" s="14" t="inlineStr">
        <is>
          <t>Wisata Umum</t>
        </is>
      </c>
      <c r="I600" s="29">
        <f>6371 * 2 * ASIN(SQRT(SIN(RADIANS((C600) - INDEX('Dataset_Wisata'!$C$12:$C$622, MATCH('Dashboard'!$C$9, 'Dataset_Wisata'!$A$12:$A$622, 0)))/2)^2 + COS(RADIANS(INDEX('Dataset_Wisata'!$C$12:$C$622, MATCH('Dashboard'!$C$9, 'Dataset_Wisata'!$A$12:$A$622, 0)))) * COS(RADIANS(C600)) * SIN(RADIANS((D600) - INDEX('Dataset_Wisata'!$D$12:$D$622, MATCH('Dashboard'!$C$9, 'Dataset_Wisata'!$A$12:$A$622, 0)))/2)^2)) * 1.3</f>
        <v/>
      </c>
      <c r="J600" s="21">
        <f>ROUND(I600 * IF('Dashboard'!$C$6&lt;=1, 2250, IF('Dashboard'!$C$6&lt;=4, 5150, 6000)), 0)</f>
        <v/>
      </c>
      <c r="K600" s="30" t="n">
        <v>0.3766864462048385</v>
      </c>
      <c r="L600" s="30" t="n">
        <v>0.6029404273516955</v>
      </c>
      <c r="M600" s="30" t="n">
        <v>0.02037312644346593</v>
      </c>
      <c r="N600" s="31">
        <f>ABS(E600-$F$6)</f>
        <v/>
      </c>
      <c r="O600" s="31">
        <f>ABS(E600-$F$7)</f>
        <v/>
      </c>
      <c r="P600" s="31">
        <f>ABS(E600-$F$8)</f>
        <v/>
      </c>
      <c r="Q600" s="14">
        <f>IF(K600&gt;=MAX(L600,M600), "Hemat", IF(L600&gt;=M600, "Balanced", "Premium"))</f>
        <v/>
      </c>
      <c r="R600" s="30" t="n">
        <v>0.3766861717192874</v>
      </c>
      <c r="S600" s="30" t="n">
        <v>0.6029407066601674</v>
      </c>
      <c r="T600" s="30" t="n">
        <v>0.02037312162054524</v>
      </c>
      <c r="U600" s="31">
        <f>ABS(E600-$G$6)</f>
        <v/>
      </c>
      <c r="V600" s="31">
        <f>ABS(E600-$G$7)</f>
        <v/>
      </c>
      <c r="W600" s="31">
        <f>ABS(E600-$G$8)</f>
        <v/>
      </c>
      <c r="X600" s="14">
        <f>IF(R600&gt;=MAX(S600,T600), "Hemat", IF(S600&gt;=T600, "Balanced", "Premium"))</f>
        <v/>
      </c>
    </row>
    <row r="601">
      <c r="A601" s="14" t="n">
        <v>590</v>
      </c>
      <c r="B601" s="7" t="inlineStr">
        <is>
          <t>Nasi Goreng Podomoro</t>
        </is>
      </c>
      <c r="C601" s="26" t="n">
        <v>-8.119796600000001</v>
      </c>
      <c r="D601" s="26" t="n">
        <v>112.6697461</v>
      </c>
      <c r="E601" s="21" t="n">
        <v>13000</v>
      </c>
      <c r="F601" s="27" t="n">
        <v>4.7</v>
      </c>
      <c r="G601" s="28" t="n">
        <v>26</v>
      </c>
      <c r="H601" s="14" t="inlineStr">
        <is>
          <t>Wisata Umum</t>
        </is>
      </c>
      <c r="I601" s="29">
        <f>6371 * 2 * ASIN(SQRT(SIN(RADIANS((C601) - INDEX('Dataset_Wisata'!$C$12:$C$622, MATCH('Dashboard'!$C$9, 'Dataset_Wisata'!$A$12:$A$622, 0)))/2)^2 + COS(RADIANS(INDEX('Dataset_Wisata'!$C$12:$C$622, MATCH('Dashboard'!$C$9, 'Dataset_Wisata'!$A$12:$A$622, 0)))) * COS(RADIANS(C601)) * SIN(RADIANS((D601) - INDEX('Dataset_Wisata'!$D$12:$D$622, MATCH('Dashboard'!$C$9, 'Dataset_Wisata'!$A$12:$A$622, 0)))/2)^2)) * 1.3</f>
        <v/>
      </c>
      <c r="J601" s="21">
        <f>ROUND(I601 * IF('Dashboard'!$C$6&lt;=1, 2250, IF('Dashboard'!$C$6&lt;=4, 5150, 6000)), 0)</f>
        <v/>
      </c>
      <c r="K601" s="30" t="n">
        <v>0.9996613401455278</v>
      </c>
      <c r="L601" s="30" t="n">
        <v>0.0003032413982241428</v>
      </c>
      <c r="M601" s="30" t="n">
        <v>3.541845624800055e-05</v>
      </c>
      <c r="N601" s="31">
        <f>ABS(E601-$F$6)</f>
        <v/>
      </c>
      <c r="O601" s="31">
        <f>ABS(E601-$F$7)</f>
        <v/>
      </c>
      <c r="P601" s="31">
        <f>ABS(E601-$F$8)</f>
        <v/>
      </c>
      <c r="Q601" s="14">
        <f>IF(K601&gt;=MAX(L601,M601), "Hemat", IF(L601&gt;=M601, "Balanced", "Premium"))</f>
        <v/>
      </c>
      <c r="R601" s="30" t="n">
        <v>0.9996613420378273</v>
      </c>
      <c r="S601" s="30" t="n">
        <v>0.0003032397098959421</v>
      </c>
      <c r="T601" s="30" t="n">
        <v>3.541825227674828e-05</v>
      </c>
      <c r="U601" s="31">
        <f>ABS(E601-$G$6)</f>
        <v/>
      </c>
      <c r="V601" s="31">
        <f>ABS(E601-$G$7)</f>
        <v/>
      </c>
      <c r="W601" s="31">
        <f>ABS(E601-$G$8)</f>
        <v/>
      </c>
      <c r="X601" s="14">
        <f>IF(R601&gt;=MAX(S601,T601), "Hemat", IF(S601&gt;=T601, "Balanced", "Premium"))</f>
        <v/>
      </c>
    </row>
    <row r="602">
      <c r="A602" s="14" t="n">
        <v>591</v>
      </c>
      <c r="B602" s="7" t="inlineStr">
        <is>
          <t>Bakso Sampoerna</t>
        </is>
      </c>
      <c r="C602" s="26" t="n">
        <v>-8.1066105</v>
      </c>
      <c r="D602" s="26" t="n">
        <v>112.7340727</v>
      </c>
      <c r="E602" s="21" t="n">
        <v>24050</v>
      </c>
      <c r="F602" s="27" t="n">
        <v>4.4</v>
      </c>
      <c r="G602" s="28" t="n">
        <v>73</v>
      </c>
      <c r="H602" s="14" t="inlineStr">
        <is>
          <t>Wisata Umum</t>
        </is>
      </c>
      <c r="I602" s="29">
        <f>6371 * 2 * ASIN(SQRT(SIN(RADIANS((C602) - INDEX('Dataset_Wisata'!$C$12:$C$622, MATCH('Dashboard'!$C$9, 'Dataset_Wisata'!$A$12:$A$622, 0)))/2)^2 + COS(RADIANS(INDEX('Dataset_Wisata'!$C$12:$C$622, MATCH('Dashboard'!$C$9, 'Dataset_Wisata'!$A$12:$A$622, 0)))) * COS(RADIANS(C602)) * SIN(RADIANS((D602) - INDEX('Dataset_Wisata'!$D$12:$D$622, MATCH('Dashboard'!$C$9, 'Dataset_Wisata'!$A$12:$A$622, 0)))/2)^2)) * 1.3</f>
        <v/>
      </c>
      <c r="J602" s="21">
        <f>ROUND(I602 * IF('Dashboard'!$C$6&lt;=1, 2250, IF('Dashboard'!$C$6&lt;=4, 5150, 6000)), 0)</f>
        <v/>
      </c>
      <c r="K602" s="30" t="n">
        <v>0.01442757160475998</v>
      </c>
      <c r="L602" s="30" t="n">
        <v>0.982889183059511</v>
      </c>
      <c r="M602" s="30" t="n">
        <v>0.002683245335728923</v>
      </c>
      <c r="N602" s="31">
        <f>ABS(E602-$F$6)</f>
        <v/>
      </c>
      <c r="O602" s="31">
        <f>ABS(E602-$F$7)</f>
        <v/>
      </c>
      <c r="P602" s="31">
        <f>ABS(E602-$F$8)</f>
        <v/>
      </c>
      <c r="Q602" s="14">
        <f>IF(K602&gt;=MAX(L602,M602), "Hemat", IF(L602&gt;=M602, "Balanced", "Premium"))</f>
        <v/>
      </c>
      <c r="R602" s="30" t="n">
        <v>0.01442751188204612</v>
      </c>
      <c r="S602" s="30" t="n">
        <v>0.98288925263018</v>
      </c>
      <c r="T602" s="30" t="n">
        <v>0.002683235487773811</v>
      </c>
      <c r="U602" s="31">
        <f>ABS(E602-$G$6)</f>
        <v/>
      </c>
      <c r="V602" s="31">
        <f>ABS(E602-$G$7)</f>
        <v/>
      </c>
      <c r="W602" s="31">
        <f>ABS(E602-$G$8)</f>
        <v/>
      </c>
      <c r="X602" s="14">
        <f>IF(R602&gt;=MAX(S602,T602), "Hemat", IF(S602&gt;=T602, "Balanced", "Premium"))</f>
        <v/>
      </c>
    </row>
    <row r="603">
      <c r="A603" s="14" t="n">
        <v>592</v>
      </c>
      <c r="B603" s="7" t="inlineStr">
        <is>
          <t>Restoran Inggil Tumpang</t>
        </is>
      </c>
      <c r="C603" s="26" t="n">
        <v>-8.002734200000001</v>
      </c>
      <c r="D603" s="26" t="n">
        <v>112.7297992</v>
      </c>
      <c r="E603" s="21" t="n">
        <v>32500</v>
      </c>
      <c r="F603" s="27" t="n">
        <v>4.4</v>
      </c>
      <c r="G603" s="28" t="n">
        <v>63</v>
      </c>
      <c r="H603" s="14" t="inlineStr">
        <is>
          <t>Restoran Inggil Tumpang</t>
        </is>
      </c>
      <c r="I603" s="29">
        <f>6371 * 2 * ASIN(SQRT(SIN(RADIANS((C603) - INDEX('Dataset_Wisata'!$C$12:$C$622, MATCH('Dashboard'!$C$9, 'Dataset_Wisata'!$A$12:$A$622, 0)))/2)^2 + COS(RADIANS(INDEX('Dataset_Wisata'!$C$12:$C$622, MATCH('Dashboard'!$C$9, 'Dataset_Wisata'!$A$12:$A$622, 0)))) * COS(RADIANS(C603)) * SIN(RADIANS((D603) - INDEX('Dataset_Wisata'!$D$12:$D$622, MATCH('Dashboard'!$C$9, 'Dataset_Wisata'!$A$12:$A$622, 0)))/2)^2)) * 1.3</f>
        <v/>
      </c>
      <c r="J603" s="21">
        <f>ROUND(I603 * IF('Dashboard'!$C$6&lt;=1, 2250, IF('Dashboard'!$C$6&lt;=4, 5150, 6000)), 0)</f>
        <v/>
      </c>
      <c r="K603" s="30" t="n">
        <v>0.1037531636000452</v>
      </c>
      <c r="L603" s="30" t="n">
        <v>0.7574545358000234</v>
      </c>
      <c r="M603" s="30" t="n">
        <v>0.1387923005999314</v>
      </c>
      <c r="N603" s="31">
        <f>ABS(E603-$F$6)</f>
        <v/>
      </c>
      <c r="O603" s="31">
        <f>ABS(E603-$F$7)</f>
        <v/>
      </c>
      <c r="P603" s="31">
        <f>ABS(E603-$F$8)</f>
        <v/>
      </c>
      <c r="Q603" s="14">
        <f>IF(K603&gt;=MAX(L603,M603), "Hemat", IF(L603&gt;=M603, "Balanced", "Premium"))</f>
        <v/>
      </c>
      <c r="R603" s="30" t="n">
        <v>0.1037532089022233</v>
      </c>
      <c r="S603" s="30" t="n">
        <v>0.7574543473955705</v>
      </c>
      <c r="T603" s="30" t="n">
        <v>0.1387924437022062</v>
      </c>
      <c r="U603" s="31">
        <f>ABS(E603-$G$6)</f>
        <v/>
      </c>
      <c r="V603" s="31">
        <f>ABS(E603-$G$7)</f>
        <v/>
      </c>
      <c r="W603" s="31">
        <f>ABS(E603-$G$8)</f>
        <v/>
      </c>
      <c r="X603" s="14">
        <f>IF(R603&gt;=MAX(S603,T603), "Hemat", IF(S603&gt;=T603, "Balanced", "Premium"))</f>
        <v/>
      </c>
    </row>
    <row r="604">
      <c r="A604" s="14" t="n">
        <v>593</v>
      </c>
      <c r="B604" s="7" t="inlineStr">
        <is>
          <t>Rumah makan masakan Padang depot siang malam</t>
        </is>
      </c>
      <c r="C604" s="26" t="n">
        <v>-8.0134176</v>
      </c>
      <c r="D604" s="26" t="n">
        <v>112.7559438</v>
      </c>
      <c r="E604" s="21" t="n">
        <v>17000</v>
      </c>
      <c r="F604" s="27" t="n">
        <v>3.7</v>
      </c>
      <c r="G604" s="28" t="n">
        <v>45</v>
      </c>
      <c r="H604" s="14" t="inlineStr">
        <is>
          <t>Wisata Umum</t>
        </is>
      </c>
      <c r="I604" s="29">
        <f>6371 * 2 * ASIN(SQRT(SIN(RADIANS((C604) - INDEX('Dataset_Wisata'!$C$12:$C$622, MATCH('Dashboard'!$C$9, 'Dataset_Wisata'!$A$12:$A$622, 0)))/2)^2 + COS(RADIANS(INDEX('Dataset_Wisata'!$C$12:$C$622, MATCH('Dashboard'!$C$9, 'Dataset_Wisata'!$A$12:$A$622, 0)))) * COS(RADIANS(C604)) * SIN(RADIANS((D604) - INDEX('Dataset_Wisata'!$D$12:$D$622, MATCH('Dashboard'!$C$9, 'Dataset_Wisata'!$A$12:$A$622, 0)))/2)^2)) * 1.3</f>
        <v/>
      </c>
      <c r="J604" s="21">
        <f>ROUND(I604 * IF('Dashboard'!$C$6&lt;=1, 2250, IF('Dashboard'!$C$6&lt;=4, 5150, 6000)), 0)</f>
        <v/>
      </c>
      <c r="K604" s="30" t="n">
        <v>0.8205766965551228</v>
      </c>
      <c r="L604" s="30" t="n">
        <v>0.1680685555538888</v>
      </c>
      <c r="M604" s="30" t="n">
        <v>0.01135474789098826</v>
      </c>
      <c r="N604" s="31">
        <f>ABS(E604-$F$6)</f>
        <v/>
      </c>
      <c r="O604" s="31">
        <f>ABS(E604-$F$7)</f>
        <v/>
      </c>
      <c r="P604" s="31">
        <f>ABS(E604-$F$8)</f>
        <v/>
      </c>
      <c r="Q604" s="14">
        <f>IF(K604&gt;=MAX(L604,M604), "Hemat", IF(L604&gt;=M604, "Balanced", "Premium"))</f>
        <v/>
      </c>
      <c r="R604" s="30" t="n">
        <v>0.8205765551569555</v>
      </c>
      <c r="S604" s="30" t="n">
        <v>0.1680686919268015</v>
      </c>
      <c r="T604" s="30" t="n">
        <v>0.01135475291624307</v>
      </c>
      <c r="U604" s="31">
        <f>ABS(E604-$G$6)</f>
        <v/>
      </c>
      <c r="V604" s="31">
        <f>ABS(E604-$G$7)</f>
        <v/>
      </c>
      <c r="W604" s="31">
        <f>ABS(E604-$G$8)</f>
        <v/>
      </c>
      <c r="X604" s="14">
        <f>IF(R604&gt;=MAX(S604,T604), "Hemat", IF(S604&gt;=T604, "Balanced", "Premium"))</f>
        <v/>
      </c>
    </row>
    <row r="605">
      <c r="A605" s="14" t="n">
        <v>594</v>
      </c>
      <c r="B605" s="7" t="inlineStr">
        <is>
          <t>Kedai Selawe</t>
        </is>
      </c>
      <c r="C605" s="26" t="n">
        <v>-7.9327227</v>
      </c>
      <c r="D605" s="26" t="n">
        <v>112.666725</v>
      </c>
      <c r="E605" s="21" t="n">
        <v>28000</v>
      </c>
      <c r="F605" s="27" t="n">
        <v>4.5</v>
      </c>
      <c r="G605" s="28" t="n">
        <v>337</v>
      </c>
      <c r="H605" s="14" t="inlineStr">
        <is>
          <t>Wisata Umum</t>
        </is>
      </c>
      <c r="I605" s="29">
        <f>6371 * 2 * ASIN(SQRT(SIN(RADIANS((C605) - INDEX('Dataset_Wisata'!$C$12:$C$622, MATCH('Dashboard'!$C$9, 'Dataset_Wisata'!$A$12:$A$622, 0)))/2)^2 + COS(RADIANS(INDEX('Dataset_Wisata'!$C$12:$C$622, MATCH('Dashboard'!$C$9, 'Dataset_Wisata'!$A$12:$A$622, 0)))) * COS(RADIANS(C605)) * SIN(RADIANS((D605) - INDEX('Dataset_Wisata'!$D$12:$D$622, MATCH('Dashboard'!$C$9, 'Dataset_Wisata'!$A$12:$A$622, 0)))/2)^2)) * 1.3</f>
        <v/>
      </c>
      <c r="J605" s="21">
        <f>ROUND(I605 * IF('Dashboard'!$C$6&lt;=1, 2250, IF('Dashboard'!$C$6&lt;=4, 5150, 6000)), 0)</f>
        <v/>
      </c>
      <c r="K605" s="30" t="n">
        <v>0.03038188564948578</v>
      </c>
      <c r="L605" s="30" t="n">
        <v>0.954804959181367</v>
      </c>
      <c r="M605" s="30" t="n">
        <v>0.01481315516914707</v>
      </c>
      <c r="N605" s="31">
        <f>ABS(E605-$F$6)</f>
        <v/>
      </c>
      <c r="O605" s="31">
        <f>ABS(E605-$F$7)</f>
        <v/>
      </c>
      <c r="P605" s="31">
        <f>ABS(E605-$F$8)</f>
        <v/>
      </c>
      <c r="Q605" s="14">
        <f>IF(K605&gt;=MAX(L605,M605), "Hemat", IF(L605&gt;=M605, "Balanced", "Premium"))</f>
        <v/>
      </c>
      <c r="R605" s="30" t="n">
        <v>0.03038194195482316</v>
      </c>
      <c r="S605" s="30" t="n">
        <v>0.954804867976345</v>
      </c>
      <c r="T605" s="30" t="n">
        <v>0.01481319006883185</v>
      </c>
      <c r="U605" s="31">
        <f>ABS(E605-$G$6)</f>
        <v/>
      </c>
      <c r="V605" s="31">
        <f>ABS(E605-$G$7)</f>
        <v/>
      </c>
      <c r="W605" s="31">
        <f>ABS(E605-$G$8)</f>
        <v/>
      </c>
      <c r="X605" s="14">
        <f>IF(R605&gt;=MAX(S605,T605), "Hemat", IF(S605&gt;=T605, "Balanced", "Premium"))</f>
        <v/>
      </c>
    </row>
    <row r="606">
      <c r="A606" s="14" t="n">
        <v>595</v>
      </c>
      <c r="B606" s="7" t="inlineStr">
        <is>
          <t>Rawon Rampal</t>
        </is>
      </c>
      <c r="C606" s="26" t="n">
        <v>-7.97421</v>
      </c>
      <c r="D606" s="26" t="n">
        <v>112.6384068</v>
      </c>
      <c r="E606" s="21" t="n">
        <v>31000</v>
      </c>
      <c r="F606" s="27" t="n">
        <v>4.5</v>
      </c>
      <c r="G606" s="28" t="n">
        <v>6880</v>
      </c>
      <c r="H606" s="14" t="inlineStr">
        <is>
          <t>Wisata Umum</t>
        </is>
      </c>
      <c r="I606" s="29">
        <f>6371 * 2 * ASIN(SQRT(SIN(RADIANS((C606) - INDEX('Dataset_Wisata'!$C$12:$C$622, MATCH('Dashboard'!$C$9, 'Dataset_Wisata'!$A$12:$A$622, 0)))/2)^2 + COS(RADIANS(INDEX('Dataset_Wisata'!$C$12:$C$622, MATCH('Dashboard'!$C$9, 'Dataset_Wisata'!$A$12:$A$622, 0)))) * COS(RADIANS(C606)) * SIN(RADIANS((D606) - INDEX('Dataset_Wisata'!$D$12:$D$622, MATCH('Dashboard'!$C$9, 'Dataset_Wisata'!$A$12:$A$622, 0)))/2)^2)) * 1.3</f>
        <v/>
      </c>
      <c r="J606" s="21">
        <f>ROUND(I606 * IF('Dashboard'!$C$6&lt;=1, 2250, IF('Dashboard'!$C$6&lt;=4, 5150, 6000)), 0)</f>
        <v/>
      </c>
      <c r="K606" s="30" t="n">
        <v>0.08395948783203658</v>
      </c>
      <c r="L606" s="30" t="n">
        <v>0.8356364375405326</v>
      </c>
      <c r="M606" s="30" t="n">
        <v>0.08040407462743075</v>
      </c>
      <c r="N606" s="31">
        <f>ABS(E606-$F$6)</f>
        <v/>
      </c>
      <c r="O606" s="31">
        <f>ABS(E606-$F$7)</f>
        <v/>
      </c>
      <c r="P606" s="31">
        <f>ABS(E606-$F$8)</f>
        <v/>
      </c>
      <c r="Q606" s="14">
        <f>IF(K606&gt;=MAX(L606,M606), "Hemat", IF(L606&gt;=M606, "Balanced", "Premium"))</f>
        <v/>
      </c>
      <c r="R606" s="30" t="n">
        <v>0.08395954580957625</v>
      </c>
      <c r="S606" s="30" t="n">
        <v>0.8356362792921741</v>
      </c>
      <c r="T606" s="30" t="n">
        <v>0.08040417489824961</v>
      </c>
      <c r="U606" s="31">
        <f>ABS(E606-$G$6)</f>
        <v/>
      </c>
      <c r="V606" s="31">
        <f>ABS(E606-$G$7)</f>
        <v/>
      </c>
      <c r="W606" s="31">
        <f>ABS(E606-$G$8)</f>
        <v/>
      </c>
      <c r="X606" s="14">
        <f>IF(R606&gt;=MAX(S606,T606), "Hemat", IF(S606&gt;=T606, "Balanced", "Premium"))</f>
        <v/>
      </c>
    </row>
    <row r="607">
      <c r="A607" s="14" t="n">
        <v>596</v>
      </c>
      <c r="B607" s="7" t="inlineStr">
        <is>
          <t>Warung Dalbo Lalapan</t>
        </is>
      </c>
      <c r="C607" s="26" t="n">
        <v>-7.9550357</v>
      </c>
      <c r="D607" s="26" t="n">
        <v>112.7092713</v>
      </c>
      <c r="E607" s="21" t="n">
        <v>23000</v>
      </c>
      <c r="F607" s="27" t="n">
        <v>4.7</v>
      </c>
      <c r="G607" s="28" t="n">
        <v>162</v>
      </c>
      <c r="H607" s="14" t="inlineStr">
        <is>
          <t>Warung Dalbo Lalapan</t>
        </is>
      </c>
      <c r="I607" s="29">
        <f>6371 * 2 * ASIN(SQRT(SIN(RADIANS((C607) - INDEX('Dataset_Wisata'!$C$12:$C$622, MATCH('Dashboard'!$C$9, 'Dataset_Wisata'!$A$12:$A$622, 0)))/2)^2 + COS(RADIANS(INDEX('Dataset_Wisata'!$C$12:$C$622, MATCH('Dashboard'!$C$9, 'Dataset_Wisata'!$A$12:$A$622, 0)))) * COS(RADIANS(C607)) * SIN(RADIANS((D607) - INDEX('Dataset_Wisata'!$D$12:$D$622, MATCH('Dashboard'!$C$9, 'Dataset_Wisata'!$A$12:$A$622, 0)))/2)^2)) * 1.3</f>
        <v/>
      </c>
      <c r="J607" s="21">
        <f>ROUND(I607 * IF('Dashboard'!$C$6&lt;=1, 2250, IF('Dashboard'!$C$6&lt;=4, 5150, 6000)), 0)</f>
        <v/>
      </c>
      <c r="K607" s="30" t="n">
        <v>0.05467333468637936</v>
      </c>
      <c r="L607" s="30" t="n">
        <v>0.9376858328604777</v>
      </c>
      <c r="M607" s="30" t="n">
        <v>0.007640832453142947</v>
      </c>
      <c r="N607" s="31">
        <f>ABS(E607-$F$6)</f>
        <v/>
      </c>
      <c r="O607" s="31">
        <f>ABS(E607-$F$7)</f>
        <v/>
      </c>
      <c r="P607" s="31">
        <f>ABS(E607-$F$8)</f>
        <v/>
      </c>
      <c r="Q607" s="14">
        <f>IF(K607&gt;=MAX(L607,M607), "Hemat", IF(L607&gt;=M607, "Balanced", "Premium"))</f>
        <v/>
      </c>
      <c r="R607" s="30" t="n">
        <v>0.05467321119442812</v>
      </c>
      <c r="S607" s="30" t="n">
        <v>0.9376859700344158</v>
      </c>
      <c r="T607" s="30" t="n">
        <v>0.00764081877115611</v>
      </c>
      <c r="U607" s="31">
        <f>ABS(E607-$G$6)</f>
        <v/>
      </c>
      <c r="V607" s="31">
        <f>ABS(E607-$G$7)</f>
        <v/>
      </c>
      <c r="W607" s="31">
        <f>ABS(E607-$G$8)</f>
        <v/>
      </c>
      <c r="X607" s="14">
        <f>IF(R607&gt;=MAX(S607,T607), "Hemat", IF(S607&gt;=T607, "Balanced", "Premium"))</f>
        <v/>
      </c>
    </row>
    <row r="608">
      <c r="A608" s="14" t="n">
        <v>597</v>
      </c>
      <c r="B608" s="7" t="inlineStr">
        <is>
          <t>Warung Soto Mak Yana</t>
        </is>
      </c>
      <c r="C608" s="26" t="n">
        <v>-7.9661207</v>
      </c>
      <c r="D608" s="26" t="n">
        <v>112.7241358</v>
      </c>
      <c r="E608" s="21" t="n">
        <v>8000</v>
      </c>
      <c r="F608" s="27" t="n">
        <v>4.4</v>
      </c>
      <c r="G608" s="28" t="n">
        <v>690</v>
      </c>
      <c r="H608" s="14" t="inlineStr">
        <is>
          <t>Warung Soto Mak Yana</t>
        </is>
      </c>
      <c r="I608" s="29">
        <f>6371 * 2 * ASIN(SQRT(SIN(RADIANS((C608) - INDEX('Dataset_Wisata'!$C$12:$C$622, MATCH('Dashboard'!$C$9, 'Dataset_Wisata'!$A$12:$A$622, 0)))/2)^2 + COS(RADIANS(INDEX('Dataset_Wisata'!$C$12:$C$622, MATCH('Dashboard'!$C$9, 'Dataset_Wisata'!$A$12:$A$622, 0)))) * COS(RADIANS(C608)) * SIN(RADIANS((D608) - INDEX('Dataset_Wisata'!$D$12:$D$622, MATCH('Dashboard'!$C$9, 'Dataset_Wisata'!$A$12:$A$622, 0)))/2)^2)) * 1.3</f>
        <v/>
      </c>
      <c r="J608" s="21">
        <f>ROUND(I608 * IF('Dashboard'!$C$6&lt;=1, 2250, IF('Dashboard'!$C$6&lt;=4, 5150, 6000)), 0)</f>
        <v/>
      </c>
      <c r="K608" s="30" t="n">
        <v>0.9039388019808103</v>
      </c>
      <c r="L608" s="30" t="n">
        <v>0.0815580567645619</v>
      </c>
      <c r="M608" s="30" t="n">
        <v>0.01450314125462772</v>
      </c>
      <c r="N608" s="31">
        <f>ABS(E608-$F$6)</f>
        <v/>
      </c>
      <c r="O608" s="31">
        <f>ABS(E608-$F$7)</f>
        <v/>
      </c>
      <c r="P608" s="31">
        <f>ABS(E608-$F$8)</f>
        <v/>
      </c>
      <c r="Q608" s="14">
        <f>IF(K608&gt;=MAX(L608,M608), "Hemat", IF(L608&gt;=M608, "Balanced", "Premium"))</f>
        <v/>
      </c>
      <c r="R608" s="30" t="n">
        <v>0.9039387979026794</v>
      </c>
      <c r="S608" s="30" t="n">
        <v>0.08155806140566645</v>
      </c>
      <c r="T608" s="30" t="n">
        <v>0.01450314069165419</v>
      </c>
      <c r="U608" s="31">
        <f>ABS(E608-$G$6)</f>
        <v/>
      </c>
      <c r="V608" s="31">
        <f>ABS(E608-$G$7)</f>
        <v/>
      </c>
      <c r="W608" s="31">
        <f>ABS(E608-$G$8)</f>
        <v/>
      </c>
      <c r="X608" s="14">
        <f>IF(R608&gt;=MAX(S608,T608), "Hemat", IF(S608&gt;=T608, "Balanced", "Premium"))</f>
        <v/>
      </c>
    </row>
    <row r="609">
      <c r="A609" s="14" t="n">
        <v>598</v>
      </c>
      <c r="B609" s="7" t="inlineStr">
        <is>
          <t>Fun Chicken Tumpang</t>
        </is>
      </c>
      <c r="C609" s="26" t="n">
        <v>-8.007469</v>
      </c>
      <c r="D609" s="26" t="n">
        <v>112.7603325</v>
      </c>
      <c r="E609" s="21" t="n">
        <v>17550</v>
      </c>
      <c r="F609" s="27" t="n">
        <v>4.6</v>
      </c>
      <c r="G609" s="28" t="n">
        <v>384</v>
      </c>
      <c r="H609" s="14" t="inlineStr">
        <is>
          <t>Wisata Umum</t>
        </is>
      </c>
      <c r="I609" s="29">
        <f>6371 * 2 * ASIN(SQRT(SIN(RADIANS((C609) - INDEX('Dataset_Wisata'!$C$12:$C$622, MATCH('Dashboard'!$C$9, 'Dataset_Wisata'!$A$12:$A$622, 0)))/2)^2 + COS(RADIANS(INDEX('Dataset_Wisata'!$C$12:$C$622, MATCH('Dashboard'!$C$9, 'Dataset_Wisata'!$A$12:$A$622, 0)))) * COS(RADIANS(C609)) * SIN(RADIANS((D609) - INDEX('Dataset_Wisata'!$D$12:$D$622, MATCH('Dashboard'!$C$9, 'Dataset_Wisata'!$A$12:$A$622, 0)))/2)^2)) * 1.3</f>
        <v/>
      </c>
      <c r="J609" s="21">
        <f>ROUND(I609 * IF('Dashboard'!$C$6&lt;=1, 2250, IF('Dashboard'!$C$6&lt;=4, 5150, 6000)), 0)</f>
        <v/>
      </c>
      <c r="K609" s="30" t="n">
        <v>0.7537950812982964</v>
      </c>
      <c r="L609" s="30" t="n">
        <v>0.2320422858883211</v>
      </c>
      <c r="M609" s="30" t="n">
        <v>0.01416263281338247</v>
      </c>
      <c r="N609" s="31">
        <f>ABS(E609-$F$6)</f>
        <v/>
      </c>
      <c r="O609" s="31">
        <f>ABS(E609-$F$7)</f>
        <v/>
      </c>
      <c r="P609" s="31">
        <f>ABS(E609-$F$8)</f>
        <v/>
      </c>
      <c r="Q609" s="14">
        <f>IF(K609&gt;=MAX(L609,M609), "Hemat", IF(L609&gt;=M609, "Balanced", "Premium"))</f>
        <v/>
      </c>
      <c r="R609" s="30" t="n">
        <v>0.7537949027532589</v>
      </c>
      <c r="S609" s="30" t="n">
        <v>0.2320424596260502</v>
      </c>
      <c r="T609" s="30" t="n">
        <v>0.01416263762069072</v>
      </c>
      <c r="U609" s="31">
        <f>ABS(E609-$G$6)</f>
        <v/>
      </c>
      <c r="V609" s="31">
        <f>ABS(E609-$G$7)</f>
        <v/>
      </c>
      <c r="W609" s="31">
        <f>ABS(E609-$G$8)</f>
        <v/>
      </c>
      <c r="X609" s="14">
        <f>IF(R609&gt;=MAX(S609,T609), "Hemat", IF(S609&gt;=T609, "Balanced", "Premium"))</f>
        <v/>
      </c>
    </row>
    <row r="610">
      <c r="A610" s="14" t="n">
        <v>599</v>
      </c>
      <c r="B610" s="7" t="inlineStr">
        <is>
          <t>Pondok Pawon Ndeso</t>
        </is>
      </c>
      <c r="C610" s="26" t="n">
        <v>-7.9755756</v>
      </c>
      <c r="D610" s="26" t="n">
        <v>112.7443177</v>
      </c>
      <c r="E610" s="21" t="n">
        <v>13500</v>
      </c>
      <c r="F610" s="27" t="n">
        <v>4.2</v>
      </c>
      <c r="G610" s="28" t="n">
        <v>283</v>
      </c>
      <c r="H610" s="14" t="inlineStr">
        <is>
          <t>Wisata Umum</t>
        </is>
      </c>
      <c r="I610" s="29">
        <f>6371 * 2 * ASIN(SQRT(SIN(RADIANS((C610) - INDEX('Dataset_Wisata'!$C$12:$C$622, MATCH('Dashboard'!$C$9, 'Dataset_Wisata'!$A$12:$A$622, 0)))/2)^2 + COS(RADIANS(INDEX('Dataset_Wisata'!$C$12:$C$622, MATCH('Dashboard'!$C$9, 'Dataset_Wisata'!$A$12:$A$622, 0)))) * COS(RADIANS(C610)) * SIN(RADIANS((D610) - INDEX('Dataset_Wisata'!$D$12:$D$622, MATCH('Dashboard'!$C$9, 'Dataset_Wisata'!$A$12:$A$622, 0)))/2)^2)) * 1.3</f>
        <v/>
      </c>
      <c r="J610" s="21">
        <f>ROUND(I610 * IF('Dashboard'!$C$6&lt;=1, 2250, IF('Dashboard'!$C$6&lt;=4, 5150, 6000)), 0)</f>
        <v/>
      </c>
      <c r="K610" s="30" t="n">
        <v>0.9993608169528668</v>
      </c>
      <c r="L610" s="30" t="n">
        <v>0.0005755405742947694</v>
      </c>
      <c r="M610" s="30" t="n">
        <v>6.36424728383445e-05</v>
      </c>
      <c r="N610" s="31">
        <f>ABS(E610-$F$6)</f>
        <v/>
      </c>
      <c r="O610" s="31">
        <f>ABS(E610-$F$7)</f>
        <v/>
      </c>
      <c r="P610" s="31">
        <f>ABS(E610-$F$8)</f>
        <v/>
      </c>
      <c r="Q610" s="14">
        <f>IF(K610&gt;=MAX(L610,M610), "Hemat", IF(L610&gt;=M610, "Balanced", "Premium"))</f>
        <v/>
      </c>
      <c r="R610" s="30" t="n">
        <v>0.9993608137761221</v>
      </c>
      <c r="S610" s="30" t="n">
        <v>0.0005755434465521912</v>
      </c>
      <c r="T610" s="30" t="n">
        <v>6.364277732570516e-05</v>
      </c>
      <c r="U610" s="31">
        <f>ABS(E610-$G$6)</f>
        <v/>
      </c>
      <c r="V610" s="31">
        <f>ABS(E610-$G$7)</f>
        <v/>
      </c>
      <c r="W610" s="31">
        <f>ABS(E610-$G$8)</f>
        <v/>
      </c>
      <c r="X610" s="14">
        <f>IF(R610&gt;=MAX(S610,T610), "Hemat", IF(S610&gt;=T610, "Balanced", "Premium"))</f>
        <v/>
      </c>
    </row>
    <row r="611">
      <c r="A611" s="14" t="n">
        <v>600</v>
      </c>
      <c r="B611" s="7" t="inlineStr">
        <is>
          <t>Warung Assalamualaikum</t>
        </is>
      </c>
      <c r="C611" s="26" t="n">
        <v>-7.9642058</v>
      </c>
      <c r="D611" s="26" t="n">
        <v>112.7221741</v>
      </c>
      <c r="E611" s="21" t="n">
        <v>16667</v>
      </c>
      <c r="F611" s="27" t="n">
        <v>4.5</v>
      </c>
      <c r="G611" s="28" t="n">
        <v>51</v>
      </c>
      <c r="H611" s="14" t="inlineStr">
        <is>
          <t>Warung Assalamualaikum</t>
        </is>
      </c>
      <c r="I611" s="29">
        <f>6371 * 2 * ASIN(SQRT(SIN(RADIANS((C611) - INDEX('Dataset_Wisata'!$C$12:$C$622, MATCH('Dashboard'!$C$9, 'Dataset_Wisata'!$A$12:$A$622, 0)))/2)^2 + COS(RADIANS(INDEX('Dataset_Wisata'!$C$12:$C$622, MATCH('Dashboard'!$C$9, 'Dataset_Wisata'!$A$12:$A$622, 0)))) * COS(RADIANS(C611)) * SIN(RADIANS((D611) - INDEX('Dataset_Wisata'!$D$12:$D$622, MATCH('Dashboard'!$C$9, 'Dataset_Wisata'!$A$12:$A$622, 0)))/2)^2)) * 1.3</f>
        <v/>
      </c>
      <c r="J611" s="21">
        <f>ROUND(I611 * IF('Dashboard'!$C$6&lt;=1, 2250, IF('Dashboard'!$C$6&lt;=4, 5150, 6000)), 0)</f>
        <v/>
      </c>
      <c r="K611" s="30" t="n">
        <v>0.8555506235036942</v>
      </c>
      <c r="L611" s="30" t="n">
        <v>0.134803026272693</v>
      </c>
      <c r="M611" s="30" t="n">
        <v>0.009646350223612788</v>
      </c>
      <c r="N611" s="31">
        <f>ABS(E611-$F$6)</f>
        <v/>
      </c>
      <c r="O611" s="31">
        <f>ABS(E611-$F$7)</f>
        <v/>
      </c>
      <c r="P611" s="31">
        <f>ABS(E611-$F$8)</f>
        <v/>
      </c>
      <c r="Q611" s="14">
        <f>IF(K611&gt;=MAX(L611,M611), "Hemat", IF(L611&gt;=M611, "Balanced", "Premium"))</f>
        <v/>
      </c>
      <c r="R611" s="30" t="n">
        <v>0.855550503761691</v>
      </c>
      <c r="S611" s="30" t="n">
        <v>0.1348031411425314</v>
      </c>
      <c r="T611" s="30" t="n">
        <v>0.009646355095777723</v>
      </c>
      <c r="U611" s="31">
        <f>ABS(E611-$G$6)</f>
        <v/>
      </c>
      <c r="V611" s="31">
        <f>ABS(E611-$G$7)</f>
        <v/>
      </c>
      <c r="W611" s="31">
        <f>ABS(E611-$G$8)</f>
        <v/>
      </c>
      <c r="X611" s="14">
        <f>IF(R611&gt;=MAX(S611,T611), "Hemat", IF(S611&gt;=T611, "Balanced", "Premium"))</f>
        <v/>
      </c>
    </row>
    <row r="612">
      <c r="A612" s="14" t="n">
        <v>601</v>
      </c>
      <c r="B612" s="7" t="inlineStr">
        <is>
          <t>Warung Sawah ABM Nongkosongo</t>
        </is>
      </c>
      <c r="C612" s="26" t="n">
        <v>-7.9949229</v>
      </c>
      <c r="D612" s="26" t="n">
        <v>112.7522235</v>
      </c>
      <c r="E612" s="21" t="n">
        <v>15000</v>
      </c>
      <c r="F612" s="27" t="n">
        <v>4.6</v>
      </c>
      <c r="G612" s="28" t="n">
        <v>144</v>
      </c>
      <c r="H612" s="14" t="inlineStr">
        <is>
          <t>Warung Sawah ABM Nongkosongo</t>
        </is>
      </c>
      <c r="I612" s="29">
        <f>6371 * 2 * ASIN(SQRT(SIN(RADIANS((C612) - INDEX('Dataset_Wisata'!$C$12:$C$622, MATCH('Dashboard'!$C$9, 'Dataset_Wisata'!$A$12:$A$622, 0)))/2)^2 + COS(RADIANS(INDEX('Dataset_Wisata'!$C$12:$C$622, MATCH('Dashboard'!$C$9, 'Dataset_Wisata'!$A$12:$A$622, 0)))) * COS(RADIANS(C612)) * SIN(RADIANS((D612) - INDEX('Dataset_Wisata'!$D$12:$D$622, MATCH('Dashboard'!$C$9, 'Dataset_Wisata'!$A$12:$A$622, 0)))/2)^2)) * 1.3</f>
        <v/>
      </c>
      <c r="J612" s="21">
        <f>ROUND(I612 * IF('Dashboard'!$C$6&lt;=1, 2250, IF('Dashboard'!$C$6&lt;=4, 5150, 6000)), 0)</f>
        <v/>
      </c>
      <c r="K612" s="30" t="n">
        <v>0.9686283169848018</v>
      </c>
      <c r="L612" s="30" t="n">
        <v>0.02872990537067274</v>
      </c>
      <c r="M612" s="30" t="n">
        <v>0.002641777644525457</v>
      </c>
      <c r="N612" s="31">
        <f>ABS(E612-$F$6)</f>
        <v/>
      </c>
      <c r="O612" s="31">
        <f>ABS(E612-$F$7)</f>
        <v/>
      </c>
      <c r="P612" s="31">
        <f>ABS(E612-$F$8)</f>
        <v/>
      </c>
      <c r="Q612" s="14">
        <f>IF(K612&gt;=MAX(L612,M612), "Hemat", IF(L612&gt;=M612, "Balanced", "Premium"))</f>
        <v/>
      </c>
      <c r="R612" s="30" t="n">
        <v>0.9686282798936615</v>
      </c>
      <c r="S612" s="30" t="n">
        <v>0.02872993996961344</v>
      </c>
      <c r="T612" s="30" t="n">
        <v>0.002641780136725144</v>
      </c>
      <c r="U612" s="31">
        <f>ABS(E612-$G$6)</f>
        <v/>
      </c>
      <c r="V612" s="31">
        <f>ABS(E612-$G$7)</f>
        <v/>
      </c>
      <c r="W612" s="31">
        <f>ABS(E612-$G$8)</f>
        <v/>
      </c>
      <c r="X612" s="14">
        <f>IF(R612&gt;=MAX(S612,T612), "Hemat", IF(S612&gt;=T612, "Balanced", "Premium"))</f>
        <v/>
      </c>
    </row>
    <row r="613">
      <c r="A613" s="14" t="n">
        <v>602</v>
      </c>
      <c r="B613" s="7" t="inlineStr">
        <is>
          <t>Depot Soto Ayam Lamongan</t>
        </is>
      </c>
      <c r="C613" s="26" t="n">
        <v>-8.015640899999999</v>
      </c>
      <c r="D613" s="26" t="n">
        <v>112.7569953</v>
      </c>
      <c r="E613" s="21" t="n">
        <v>30000</v>
      </c>
      <c r="F613" s="27" t="n">
        <v>4.2</v>
      </c>
      <c r="G613" s="28" t="n">
        <v>118</v>
      </c>
      <c r="H613" s="14" t="inlineStr">
        <is>
          <t>Wisata Umum</t>
        </is>
      </c>
      <c r="I613" s="29">
        <f>6371 * 2 * ASIN(SQRT(SIN(RADIANS((C613) - INDEX('Dataset_Wisata'!$C$12:$C$622, MATCH('Dashboard'!$C$9, 'Dataset_Wisata'!$A$12:$A$622, 0)))/2)^2 + COS(RADIANS(INDEX('Dataset_Wisata'!$C$12:$C$622, MATCH('Dashboard'!$C$9, 'Dataset_Wisata'!$A$12:$A$622, 0)))) * COS(RADIANS(C613)) * SIN(RADIANS((D613) - INDEX('Dataset_Wisata'!$D$12:$D$622, MATCH('Dashboard'!$C$9, 'Dataset_Wisata'!$A$12:$A$622, 0)))/2)^2)) * 1.3</f>
        <v/>
      </c>
      <c r="J613" s="21">
        <f>ROUND(I613 * IF('Dashboard'!$C$6&lt;=1, 2250, IF('Dashboard'!$C$6&lt;=4, 5150, 6000)), 0)</f>
        <v/>
      </c>
      <c r="K613" s="30" t="n">
        <v>0.06726312231076584</v>
      </c>
      <c r="L613" s="30" t="n">
        <v>0.8811909885629753</v>
      </c>
      <c r="M613" s="30" t="n">
        <v>0.05154588912625897</v>
      </c>
      <c r="N613" s="31">
        <f>ABS(E613-$F$6)</f>
        <v/>
      </c>
      <c r="O613" s="31">
        <f>ABS(E613-$F$7)</f>
        <v/>
      </c>
      <c r="P613" s="31">
        <f>ABS(E613-$F$8)</f>
        <v/>
      </c>
      <c r="Q613" s="14">
        <f>IF(K613&gt;=MAX(L613,M613), "Hemat", IF(L613&gt;=M613, "Balanced", "Premium"))</f>
        <v/>
      </c>
      <c r="R613" s="30" t="n">
        <v>0.06726318452674353</v>
      </c>
      <c r="S613" s="30" t="n">
        <v>0.8811908510588695</v>
      </c>
      <c r="T613" s="30" t="n">
        <v>0.05154596441438693</v>
      </c>
      <c r="U613" s="31">
        <f>ABS(E613-$G$6)</f>
        <v/>
      </c>
      <c r="V613" s="31">
        <f>ABS(E613-$G$7)</f>
        <v/>
      </c>
      <c r="W613" s="31">
        <f>ABS(E613-$G$8)</f>
        <v/>
      </c>
      <c r="X613" s="14">
        <f>IF(R613&gt;=MAX(S613,T613), "Hemat", IF(S613&gt;=T613, "Balanced", "Premium"))</f>
        <v/>
      </c>
    </row>
    <row r="614">
      <c r="A614" s="14" t="n">
        <v>603</v>
      </c>
      <c r="B614" s="7" t="inlineStr">
        <is>
          <t>Depot Pagi Spesial Rawon</t>
        </is>
      </c>
      <c r="C614" s="26" t="n">
        <v>-7.9528163</v>
      </c>
      <c r="D614" s="26" t="n">
        <v>112.6904449</v>
      </c>
      <c r="E614" s="21" t="n">
        <v>15500</v>
      </c>
      <c r="F614" s="27" t="n">
        <v>4.4</v>
      </c>
      <c r="G614" s="28" t="n">
        <v>105</v>
      </c>
      <c r="H614" s="14" t="inlineStr">
        <is>
          <t>Wisata Umum</t>
        </is>
      </c>
      <c r="I614" s="29">
        <f>6371 * 2 * ASIN(SQRT(SIN(RADIANS((C614) - INDEX('Dataset_Wisata'!$C$12:$C$622, MATCH('Dashboard'!$C$9, 'Dataset_Wisata'!$A$12:$A$622, 0)))/2)^2 + COS(RADIANS(INDEX('Dataset_Wisata'!$C$12:$C$622, MATCH('Dashboard'!$C$9, 'Dataset_Wisata'!$A$12:$A$622, 0)))) * COS(RADIANS(C614)) * SIN(RADIANS((D614) - INDEX('Dataset_Wisata'!$D$12:$D$622, MATCH('Dashboard'!$C$9, 'Dataset_Wisata'!$A$12:$A$622, 0)))/2)^2)) * 1.3</f>
        <v/>
      </c>
      <c r="J614" s="21">
        <f>ROUND(I614 * IF('Dashboard'!$C$6&lt;=1, 2250, IF('Dashboard'!$C$6&lt;=4, 5150, 6000)), 0)</f>
        <v/>
      </c>
      <c r="K614" s="30" t="n">
        <v>0.9449432442408515</v>
      </c>
      <c r="L614" s="30" t="n">
        <v>0.05070687831140908</v>
      </c>
      <c r="M614" s="30" t="n">
        <v>0.004349877447739512</v>
      </c>
      <c r="N614" s="31">
        <f>ABS(E614-$F$6)</f>
        <v/>
      </c>
      <c r="O614" s="31">
        <f>ABS(E614-$F$7)</f>
        <v/>
      </c>
      <c r="P614" s="31">
        <f>ABS(E614-$F$8)</f>
        <v/>
      </c>
      <c r="Q614" s="14">
        <f>IF(K614&gt;=MAX(L614,M614), "Hemat", IF(L614&gt;=M614, "Balanced", "Premium"))</f>
        <v/>
      </c>
      <c r="R614" s="30" t="n">
        <v>0.944943187640449</v>
      </c>
      <c r="S614" s="30" t="n">
        <v>0.05070693157515045</v>
      </c>
      <c r="T614" s="30" t="n">
        <v>0.004349880784400502</v>
      </c>
      <c r="U614" s="31">
        <f>ABS(E614-$G$6)</f>
        <v/>
      </c>
      <c r="V614" s="31">
        <f>ABS(E614-$G$7)</f>
        <v/>
      </c>
      <c r="W614" s="31">
        <f>ABS(E614-$G$8)</f>
        <v/>
      </c>
      <c r="X614" s="14">
        <f>IF(R614&gt;=MAX(S614,T614), "Hemat", IF(S614&gt;=T614, "Balanced", "Premium"))</f>
        <v/>
      </c>
    </row>
    <row r="615">
      <c r="A615" s="14" t="n">
        <v>604</v>
      </c>
      <c r="B615" s="7" t="inlineStr">
        <is>
          <t>Warung Mbak Murti</t>
        </is>
      </c>
      <c r="C615" s="26" t="n">
        <v>-7.9350445</v>
      </c>
      <c r="D615" s="26" t="n">
        <v>112.7072131</v>
      </c>
      <c r="E615" s="21" t="n">
        <v>11500</v>
      </c>
      <c r="F615" s="27" t="n">
        <v>4.5</v>
      </c>
      <c r="G615" s="28" t="n">
        <v>94</v>
      </c>
      <c r="H615" s="14" t="inlineStr">
        <is>
          <t>Warung Mbak Murti</t>
        </is>
      </c>
      <c r="I615" s="29">
        <f>6371 * 2 * ASIN(SQRT(SIN(RADIANS((C615) - INDEX('Dataset_Wisata'!$C$12:$C$622, MATCH('Dashboard'!$C$9, 'Dataset_Wisata'!$A$12:$A$622, 0)))/2)^2 + COS(RADIANS(INDEX('Dataset_Wisata'!$C$12:$C$622, MATCH('Dashboard'!$C$9, 'Dataset_Wisata'!$A$12:$A$622, 0)))) * COS(RADIANS(C615)) * SIN(RADIANS((D615) - INDEX('Dataset_Wisata'!$D$12:$D$622, MATCH('Dashboard'!$C$9, 'Dataset_Wisata'!$A$12:$A$622, 0)))/2)^2)) * 1.3</f>
        <v/>
      </c>
      <c r="J615" s="21">
        <f>ROUND(I615 * IF('Dashboard'!$C$6&lt;=1, 2250, IF('Dashboard'!$C$6&lt;=4, 5150, 6000)), 0)</f>
        <v/>
      </c>
      <c r="K615" s="30" t="n">
        <v>0.9829132746411883</v>
      </c>
      <c r="L615" s="30" t="n">
        <v>0.01504907648339002</v>
      </c>
      <c r="M615" s="30" t="n">
        <v>0.00203764887542164</v>
      </c>
      <c r="N615" s="31">
        <f>ABS(E615-$F$6)</f>
        <v/>
      </c>
      <c r="O615" s="31">
        <f>ABS(E615-$F$7)</f>
        <v/>
      </c>
      <c r="P615" s="31">
        <f>ABS(E615-$F$8)</f>
        <v/>
      </c>
      <c r="Q615" s="14">
        <f>IF(K615&gt;=MAX(L615,M615), "Hemat", IF(L615&gt;=M615, "Balanced", "Premium"))</f>
        <v/>
      </c>
      <c r="R615" s="30" t="n">
        <v>0.9829132811009377</v>
      </c>
      <c r="S615" s="30" t="n">
        <v>0.01504907107031075</v>
      </c>
      <c r="T615" s="30" t="n">
        <v>0.002037647828751567</v>
      </c>
      <c r="U615" s="31">
        <f>ABS(E615-$G$6)</f>
        <v/>
      </c>
      <c r="V615" s="31">
        <f>ABS(E615-$G$7)</f>
        <v/>
      </c>
      <c r="W615" s="31">
        <f>ABS(E615-$G$8)</f>
        <v/>
      </c>
      <c r="X615" s="14">
        <f>IF(R615&gt;=MAX(S615,T615), "Hemat", IF(S615&gt;=T615, "Balanced", "Premium"))</f>
        <v/>
      </c>
    </row>
    <row r="616">
      <c r="A616" s="14" t="n">
        <v>605</v>
      </c>
      <c r="B616" s="7" t="inlineStr">
        <is>
          <t>Warung Lombox Pakis</t>
        </is>
      </c>
      <c r="C616" s="26" t="n">
        <v>-7.9654232</v>
      </c>
      <c r="D616" s="26" t="n">
        <v>112.7232174</v>
      </c>
      <c r="E616" s="21" t="n">
        <v>13000</v>
      </c>
      <c r="F616" s="27" t="n">
        <v>4.4</v>
      </c>
      <c r="G616" s="28" t="n">
        <v>527</v>
      </c>
      <c r="H616" s="14" t="inlineStr">
        <is>
          <t>Warung Lombox Pakis</t>
        </is>
      </c>
      <c r="I616" s="29">
        <f>6371 * 2 * ASIN(SQRT(SIN(RADIANS((C616) - INDEX('Dataset_Wisata'!$C$12:$C$622, MATCH('Dashboard'!$C$9, 'Dataset_Wisata'!$A$12:$A$622, 0)))/2)^2 + COS(RADIANS(INDEX('Dataset_Wisata'!$C$12:$C$622, MATCH('Dashboard'!$C$9, 'Dataset_Wisata'!$A$12:$A$622, 0)))) * COS(RADIANS(C616)) * SIN(RADIANS((D616) - INDEX('Dataset_Wisata'!$D$12:$D$622, MATCH('Dashboard'!$C$9, 'Dataset_Wisata'!$A$12:$A$622, 0)))/2)^2)) * 1.3</f>
        <v/>
      </c>
      <c r="J616" s="21">
        <f>ROUND(I616 * IF('Dashboard'!$C$6&lt;=1, 2250, IF('Dashboard'!$C$6&lt;=4, 5150, 6000)), 0)</f>
        <v/>
      </c>
      <c r="K616" s="30" t="n">
        <v>0.9996613401455278</v>
      </c>
      <c r="L616" s="30" t="n">
        <v>0.0003032413982241428</v>
      </c>
      <c r="M616" s="30" t="n">
        <v>3.541845624800055e-05</v>
      </c>
      <c r="N616" s="31">
        <f>ABS(E616-$F$6)</f>
        <v/>
      </c>
      <c r="O616" s="31">
        <f>ABS(E616-$F$7)</f>
        <v/>
      </c>
      <c r="P616" s="31">
        <f>ABS(E616-$F$8)</f>
        <v/>
      </c>
      <c r="Q616" s="14">
        <f>IF(K616&gt;=MAX(L616,M616), "Hemat", IF(L616&gt;=M616, "Balanced", "Premium"))</f>
        <v/>
      </c>
      <c r="R616" s="30" t="n">
        <v>0.9996613420378273</v>
      </c>
      <c r="S616" s="30" t="n">
        <v>0.0003032397098959421</v>
      </c>
      <c r="T616" s="30" t="n">
        <v>3.541825227674828e-05</v>
      </c>
      <c r="U616" s="31">
        <f>ABS(E616-$G$6)</f>
        <v/>
      </c>
      <c r="V616" s="31">
        <f>ABS(E616-$G$7)</f>
        <v/>
      </c>
      <c r="W616" s="31">
        <f>ABS(E616-$G$8)</f>
        <v/>
      </c>
      <c r="X616" s="14">
        <f>IF(R616&gt;=MAX(S616,T616), "Hemat", IF(S616&gt;=T616, "Balanced", "Premium"))</f>
        <v/>
      </c>
    </row>
    <row r="617">
      <c r="A617" s="14" t="n">
        <v>606</v>
      </c>
      <c r="B617" s="7" t="inlineStr">
        <is>
          <t>Warung Njerit</t>
        </is>
      </c>
      <c r="C617" s="26" t="n">
        <v>-7.9673921</v>
      </c>
      <c r="D617" s="26" t="n">
        <v>112.726253</v>
      </c>
      <c r="E617" s="21" t="n">
        <v>15600</v>
      </c>
      <c r="F617" s="27" t="n">
        <v>4.3</v>
      </c>
      <c r="G617" s="28" t="n">
        <v>341</v>
      </c>
      <c r="H617" s="14" t="inlineStr">
        <is>
          <t>Warung Njerit</t>
        </is>
      </c>
      <c r="I617" s="29">
        <f>6371 * 2 * ASIN(SQRT(SIN(RADIANS((C617) - INDEX('Dataset_Wisata'!$C$12:$C$622, MATCH('Dashboard'!$C$9, 'Dataset_Wisata'!$A$12:$A$622, 0)))/2)^2 + COS(RADIANS(INDEX('Dataset_Wisata'!$C$12:$C$622, MATCH('Dashboard'!$C$9, 'Dataset_Wisata'!$A$12:$A$622, 0)))) * COS(RADIANS(C617)) * SIN(RADIANS((D617) - INDEX('Dataset_Wisata'!$D$12:$D$622, MATCH('Dashboard'!$C$9, 'Dataset_Wisata'!$A$12:$A$622, 0)))/2)^2)) * 1.3</f>
        <v/>
      </c>
      <c r="J617" s="21">
        <f>ROUND(I617 * IF('Dashboard'!$C$6&lt;=1, 2250, IF('Dashboard'!$C$6&lt;=4, 5150, 6000)), 0)</f>
        <v/>
      </c>
      <c r="K617" s="30" t="n">
        <v>0.9392225300551427</v>
      </c>
      <c r="L617" s="30" t="n">
        <v>0.05603906144819855</v>
      </c>
      <c r="M617" s="30" t="n">
        <v>0.004738408496658887</v>
      </c>
      <c r="N617" s="31">
        <f>ABS(E617-$F$6)</f>
        <v/>
      </c>
      <c r="O617" s="31">
        <f>ABS(E617-$F$7)</f>
        <v/>
      </c>
      <c r="P617" s="31">
        <f>ABS(E617-$F$8)</f>
        <v/>
      </c>
      <c r="Q617" s="14">
        <f>IF(K617&gt;=MAX(L617,M617), "Hemat", IF(L617&gt;=M617, "Balanced", "Premium"))</f>
        <v/>
      </c>
      <c r="R617" s="30" t="n">
        <v>0.9392224689924685</v>
      </c>
      <c r="S617" s="30" t="n">
        <v>0.0560391190091686</v>
      </c>
      <c r="T617" s="30" t="n">
        <v>0.004738411998363004</v>
      </c>
      <c r="U617" s="31">
        <f>ABS(E617-$G$6)</f>
        <v/>
      </c>
      <c r="V617" s="31">
        <f>ABS(E617-$G$7)</f>
        <v/>
      </c>
      <c r="W617" s="31">
        <f>ABS(E617-$G$8)</f>
        <v/>
      </c>
      <c r="X617" s="14">
        <f>IF(R617&gt;=MAX(S617,T617), "Hemat", IF(S617&gt;=T617, "Balanced", "Premium"))</f>
        <v/>
      </c>
    </row>
    <row r="618">
      <c r="A618" s="14" t="n">
        <v>607</v>
      </c>
      <c r="B618" s="7" t="inlineStr">
        <is>
          <t>WARUNG'E MAK TON</t>
        </is>
      </c>
      <c r="C618" s="26" t="n">
        <v>-7.9529687</v>
      </c>
      <c r="D618" s="26" t="n">
        <v>112.6922084</v>
      </c>
      <c r="E618" s="21" t="n">
        <v>18000</v>
      </c>
      <c r="F618" s="27" t="n">
        <v>4.2</v>
      </c>
      <c r="G618" s="28" t="n">
        <v>420</v>
      </c>
      <c r="H618" s="14" t="inlineStr">
        <is>
          <t>WARUNG'E MAK TON</t>
        </is>
      </c>
      <c r="I618" s="29">
        <f>6371 * 2 * ASIN(SQRT(SIN(RADIANS((C618) - INDEX('Dataset_Wisata'!$C$12:$C$622, MATCH('Dashboard'!$C$9, 'Dataset_Wisata'!$A$12:$A$622, 0)))/2)^2 + COS(RADIANS(INDEX('Dataset_Wisata'!$C$12:$C$622, MATCH('Dashboard'!$C$9, 'Dataset_Wisata'!$A$12:$A$622, 0)))) * COS(RADIANS(C618)) * SIN(RADIANS((D618) - INDEX('Dataset_Wisata'!$D$12:$D$622, MATCH('Dashboard'!$C$9, 'Dataset_Wisata'!$A$12:$A$622, 0)))/2)^2)) * 1.3</f>
        <v/>
      </c>
      <c r="J618" s="21">
        <f>ROUND(I618 * IF('Dashboard'!$C$6&lt;=1, 2250, IF('Dashboard'!$C$6&lt;=4, 5150, 6000)), 0)</f>
        <v/>
      </c>
      <c r="K618" s="30" t="n">
        <v>0.6916251733659831</v>
      </c>
      <c r="L618" s="30" t="n">
        <v>0.2920817970297536</v>
      </c>
      <c r="M618" s="30" t="n">
        <v>0.01629302960426341</v>
      </c>
      <c r="N618" s="31">
        <f>ABS(E618-$F$6)</f>
        <v/>
      </c>
      <c r="O618" s="31">
        <f>ABS(E618-$F$7)</f>
        <v/>
      </c>
      <c r="P618" s="31">
        <f>ABS(E618-$F$8)</f>
        <v/>
      </c>
      <c r="Q618" s="14">
        <f>IF(K618&gt;=MAX(L618,M618), "Hemat", IF(L618&gt;=M618, "Balanced", "Premium"))</f>
        <v/>
      </c>
      <c r="R618" s="30" t="n">
        <v>0.6916249652211897</v>
      </c>
      <c r="S618" s="30" t="n">
        <v>0.2920820010799081</v>
      </c>
      <c r="T618" s="30" t="n">
        <v>0.01629303369890229</v>
      </c>
      <c r="U618" s="31">
        <f>ABS(E618-$G$6)</f>
        <v/>
      </c>
      <c r="V618" s="31">
        <f>ABS(E618-$G$7)</f>
        <v/>
      </c>
      <c r="W618" s="31">
        <f>ABS(E618-$G$8)</f>
        <v/>
      </c>
      <c r="X618" s="14">
        <f>IF(R618&gt;=MAX(S618,T618), "Hemat", IF(S618&gt;=T618, "Balanced", "Premium"))</f>
        <v/>
      </c>
    </row>
    <row r="619">
      <c r="A619" s="14" t="n">
        <v>608</v>
      </c>
      <c r="B619" s="7" t="inlineStr">
        <is>
          <t>Pusat Kuliner Araya</t>
        </is>
      </c>
      <c r="C619" s="26" t="n">
        <v>-7.9343448</v>
      </c>
      <c r="D619" s="26" t="n">
        <v>112.651083</v>
      </c>
      <c r="E619" s="21" t="n">
        <v>13000</v>
      </c>
      <c r="F619" s="27" t="n">
        <v>4.5</v>
      </c>
      <c r="G619" s="28" t="n">
        <v>38</v>
      </c>
      <c r="H619" s="14" t="inlineStr">
        <is>
          <t>Wisata Umum</t>
        </is>
      </c>
      <c r="I619" s="29">
        <f>6371 * 2 * ASIN(SQRT(SIN(RADIANS((C619) - INDEX('Dataset_Wisata'!$C$12:$C$622, MATCH('Dashboard'!$C$9, 'Dataset_Wisata'!$A$12:$A$622, 0)))/2)^2 + COS(RADIANS(INDEX('Dataset_Wisata'!$C$12:$C$622, MATCH('Dashboard'!$C$9, 'Dataset_Wisata'!$A$12:$A$622, 0)))) * COS(RADIANS(C619)) * SIN(RADIANS((D619) - INDEX('Dataset_Wisata'!$D$12:$D$622, MATCH('Dashboard'!$C$9, 'Dataset_Wisata'!$A$12:$A$622, 0)))/2)^2)) * 1.3</f>
        <v/>
      </c>
      <c r="J619" s="21">
        <f>ROUND(I619 * IF('Dashboard'!$C$6&lt;=1, 2250, IF('Dashboard'!$C$6&lt;=4, 5150, 6000)), 0)</f>
        <v/>
      </c>
      <c r="K619" s="30" t="n">
        <v>0.9996613401455278</v>
      </c>
      <c r="L619" s="30" t="n">
        <v>0.0003032413982241428</v>
      </c>
      <c r="M619" s="30" t="n">
        <v>3.541845624800055e-05</v>
      </c>
      <c r="N619" s="31">
        <f>ABS(E619-$F$6)</f>
        <v/>
      </c>
      <c r="O619" s="31">
        <f>ABS(E619-$F$7)</f>
        <v/>
      </c>
      <c r="P619" s="31">
        <f>ABS(E619-$F$8)</f>
        <v/>
      </c>
      <c r="Q619" s="14">
        <f>IF(K619&gt;=MAX(L619,M619), "Hemat", IF(L619&gt;=M619, "Balanced", "Premium"))</f>
        <v/>
      </c>
      <c r="R619" s="30" t="n">
        <v>0.9996613420378273</v>
      </c>
      <c r="S619" s="30" t="n">
        <v>0.0003032397098959421</v>
      </c>
      <c r="T619" s="30" t="n">
        <v>3.541825227674828e-05</v>
      </c>
      <c r="U619" s="31">
        <f>ABS(E619-$G$6)</f>
        <v/>
      </c>
      <c r="V619" s="31">
        <f>ABS(E619-$G$7)</f>
        <v/>
      </c>
      <c r="W619" s="31">
        <f>ABS(E619-$G$8)</f>
        <v/>
      </c>
      <c r="X619" s="14">
        <f>IF(R619&gt;=MAX(S619,T619), "Hemat", IF(S619&gt;=T619, "Balanced", "Premium"))</f>
        <v/>
      </c>
    </row>
    <row r="620">
      <c r="A620" s="14" t="n">
        <v>609</v>
      </c>
      <c r="B620" s="7" t="inlineStr">
        <is>
          <t>D'manggis Cafe</t>
        </is>
      </c>
      <c r="C620" s="26" t="n">
        <v>-7.8702642</v>
      </c>
      <c r="D620" s="26" t="n">
        <v>112.7253706</v>
      </c>
      <c r="E620" s="21" t="n">
        <v>13000</v>
      </c>
      <c r="F620" s="27" t="n">
        <v>4.5</v>
      </c>
      <c r="G620" s="28" t="n">
        <v>90</v>
      </c>
      <c r="H620" s="14" t="inlineStr">
        <is>
          <t>Wisata Umum</t>
        </is>
      </c>
      <c r="I620" s="29">
        <f>6371 * 2 * ASIN(SQRT(SIN(RADIANS((C620) - INDEX('Dataset_Wisata'!$C$12:$C$622, MATCH('Dashboard'!$C$9, 'Dataset_Wisata'!$A$12:$A$622, 0)))/2)^2 + COS(RADIANS(INDEX('Dataset_Wisata'!$C$12:$C$622, MATCH('Dashboard'!$C$9, 'Dataset_Wisata'!$A$12:$A$622, 0)))) * COS(RADIANS(C620)) * SIN(RADIANS((D620) - INDEX('Dataset_Wisata'!$D$12:$D$622, MATCH('Dashboard'!$C$9, 'Dataset_Wisata'!$A$12:$A$622, 0)))/2)^2)) * 1.3</f>
        <v/>
      </c>
      <c r="J620" s="21">
        <f>ROUND(I620 * IF('Dashboard'!$C$6&lt;=1, 2250, IF('Dashboard'!$C$6&lt;=4, 5150, 6000)), 0)</f>
        <v/>
      </c>
      <c r="K620" s="30" t="n">
        <v>0.9996613401455278</v>
      </c>
      <c r="L620" s="30" t="n">
        <v>0.0003032413982241428</v>
      </c>
      <c r="M620" s="30" t="n">
        <v>3.541845624800055e-05</v>
      </c>
      <c r="N620" s="31">
        <f>ABS(E620-$F$6)</f>
        <v/>
      </c>
      <c r="O620" s="31">
        <f>ABS(E620-$F$7)</f>
        <v/>
      </c>
      <c r="P620" s="31">
        <f>ABS(E620-$F$8)</f>
        <v/>
      </c>
      <c r="Q620" s="14">
        <f>IF(K620&gt;=MAX(L620,M620), "Hemat", IF(L620&gt;=M620, "Balanced", "Premium"))</f>
        <v/>
      </c>
      <c r="R620" s="30" t="n">
        <v>0.9996613420378273</v>
      </c>
      <c r="S620" s="30" t="n">
        <v>0.0003032397098959421</v>
      </c>
      <c r="T620" s="30" t="n">
        <v>3.541825227674828e-05</v>
      </c>
      <c r="U620" s="31">
        <f>ABS(E620-$G$6)</f>
        <v/>
      </c>
      <c r="V620" s="31">
        <f>ABS(E620-$G$7)</f>
        <v/>
      </c>
      <c r="W620" s="31">
        <f>ABS(E620-$G$8)</f>
        <v/>
      </c>
      <c r="X620" s="14">
        <f>IF(R620&gt;=MAX(S620,T620), "Hemat", IF(S620&gt;=T620, "Balanced", "Premium"))</f>
        <v/>
      </c>
    </row>
    <row r="621">
      <c r="A621" s="14" t="n">
        <v>610</v>
      </c>
      <c r="B621" s="7" t="inlineStr">
        <is>
          <t>Warung Berkah Lawang</t>
        </is>
      </c>
      <c r="C621" s="26" t="n">
        <v>-7.8309381</v>
      </c>
      <c r="D621" s="26" t="n">
        <v>112.7007561</v>
      </c>
      <c r="E621" s="21" t="n">
        <v>13000</v>
      </c>
      <c r="F621" s="27" t="n">
        <v>4.6</v>
      </c>
      <c r="G621" s="28" t="n">
        <v>57</v>
      </c>
      <c r="H621" s="14" t="inlineStr">
        <is>
          <t>Warung Berkah Lawang</t>
        </is>
      </c>
      <c r="I621" s="29">
        <f>6371 * 2 * ASIN(SQRT(SIN(RADIANS((C621) - INDEX('Dataset_Wisata'!$C$12:$C$622, MATCH('Dashboard'!$C$9, 'Dataset_Wisata'!$A$12:$A$622, 0)))/2)^2 + COS(RADIANS(INDEX('Dataset_Wisata'!$C$12:$C$622, MATCH('Dashboard'!$C$9, 'Dataset_Wisata'!$A$12:$A$622, 0)))) * COS(RADIANS(C621)) * SIN(RADIANS((D621) - INDEX('Dataset_Wisata'!$D$12:$D$622, MATCH('Dashboard'!$C$9, 'Dataset_Wisata'!$A$12:$A$622, 0)))/2)^2)) * 1.3</f>
        <v/>
      </c>
      <c r="J621" s="21">
        <f>ROUND(I621 * IF('Dashboard'!$C$6&lt;=1, 2250, IF('Dashboard'!$C$6&lt;=4, 5150, 6000)), 0)</f>
        <v/>
      </c>
      <c r="K621" s="30" t="n">
        <v>0.9996613401455278</v>
      </c>
      <c r="L621" s="30" t="n">
        <v>0.0003032413982241428</v>
      </c>
      <c r="M621" s="30" t="n">
        <v>3.541845624800055e-05</v>
      </c>
      <c r="N621" s="31">
        <f>ABS(E621-$F$6)</f>
        <v/>
      </c>
      <c r="O621" s="31">
        <f>ABS(E621-$F$7)</f>
        <v/>
      </c>
      <c r="P621" s="31">
        <f>ABS(E621-$F$8)</f>
        <v/>
      </c>
      <c r="Q621" s="14">
        <f>IF(K621&gt;=MAX(L621,M621), "Hemat", IF(L621&gt;=M621, "Balanced", "Premium"))</f>
        <v/>
      </c>
      <c r="R621" s="30" t="n">
        <v>0.9996613420378273</v>
      </c>
      <c r="S621" s="30" t="n">
        <v>0.0003032397098959421</v>
      </c>
      <c r="T621" s="30" t="n">
        <v>3.541825227674828e-05</v>
      </c>
      <c r="U621" s="31">
        <f>ABS(E621-$G$6)</f>
        <v/>
      </c>
      <c r="V621" s="31">
        <f>ABS(E621-$G$7)</f>
        <v/>
      </c>
      <c r="W621" s="31">
        <f>ABS(E621-$G$8)</f>
        <v/>
      </c>
      <c r="X621" s="14">
        <f>IF(R621&gt;=MAX(S621,T621), "Hemat", IF(S621&gt;=T621, "Balanced", "Premium"))</f>
        <v/>
      </c>
    </row>
    <row r="622">
      <c r="A622" s="14" t="n">
        <v>611</v>
      </c>
      <c r="B622" s="7" t="inlineStr">
        <is>
          <t>Nyonya Seblak Prasmanan</t>
        </is>
      </c>
      <c r="C622" s="26" t="n">
        <v>-7.8431092</v>
      </c>
      <c r="D622" s="26" t="n">
        <v>112.6984124</v>
      </c>
      <c r="E622" s="21" t="n">
        <v>14500</v>
      </c>
      <c r="F622" s="27" t="n">
        <v>4.9</v>
      </c>
      <c r="G622" s="28" t="n">
        <v>65</v>
      </c>
      <c r="H622" s="14" t="inlineStr">
        <is>
          <t>Wisata Umum</t>
        </is>
      </c>
      <c r="I622" s="29">
        <f>6371 * 2 * ASIN(SQRT(SIN(RADIANS((C622) - INDEX('Dataset_Wisata'!$C$12:$C$622, MATCH('Dashboard'!$C$9, 'Dataset_Wisata'!$A$12:$A$622, 0)))/2)^2 + COS(RADIANS(INDEX('Dataset_Wisata'!$C$12:$C$622, MATCH('Dashboard'!$C$9, 'Dataset_Wisata'!$A$12:$A$622, 0)))) * COS(RADIANS(C622)) * SIN(RADIANS((D622) - INDEX('Dataset_Wisata'!$D$12:$D$622, MATCH('Dashboard'!$C$9, 'Dataset_Wisata'!$A$12:$A$622, 0)))/2)^2)) * 1.3</f>
        <v/>
      </c>
      <c r="J622" s="21">
        <f>ROUND(I622 * IF('Dashboard'!$C$6&lt;=1, 2250, IF('Dashboard'!$C$6&lt;=4, 5150, 6000)), 0)</f>
        <v/>
      </c>
      <c r="K622" s="30" t="n">
        <v>0.9848728426698685</v>
      </c>
      <c r="L622" s="30" t="n">
        <v>0.01377517057236063</v>
      </c>
      <c r="M622" s="30" t="n">
        <v>0.001351986757770871</v>
      </c>
      <c r="N622" s="31">
        <f>ABS(E622-$F$6)</f>
        <v/>
      </c>
      <c r="O622" s="31">
        <f>ABS(E622-$F$7)</f>
        <v/>
      </c>
      <c r="P622" s="31">
        <f>ABS(E622-$F$8)</f>
        <v/>
      </c>
      <c r="Q622" s="14">
        <f>IF(K622&gt;=MAX(L622,M622), "Hemat", IF(L622&gt;=M622, "Balanced", "Premium"))</f>
        <v/>
      </c>
      <c r="R622" s="30" t="n">
        <v>0.9848728206333779</v>
      </c>
      <c r="S622" s="30" t="n">
        <v>0.01377519093575759</v>
      </c>
      <c r="T622" s="30" t="n">
        <v>0.001351988430864579</v>
      </c>
      <c r="U622" s="31">
        <f>ABS(E622-$G$6)</f>
        <v/>
      </c>
      <c r="V622" s="31">
        <f>ABS(E622-$G$7)</f>
        <v/>
      </c>
      <c r="W622" s="31">
        <f>ABS(E622-$G$8)</f>
        <v/>
      </c>
      <c r="X622" s="14">
        <f>IF(R622&gt;=MAX(S622,T622), "Hemat", IF(S622&gt;=T622, "Balanced", "Premium"))</f>
        <v/>
      </c>
    </row>
    <row r="623">
      <c r="A623" s="14" t="n">
        <v>612</v>
      </c>
      <c r="B623" s="7" t="inlineStr">
        <is>
          <t>Sambal Gami Mbok Dhe</t>
        </is>
      </c>
      <c r="C623" s="26" t="n">
        <v>-7.8334674</v>
      </c>
      <c r="D623" s="26" t="n">
        <v>112.6938107</v>
      </c>
      <c r="E623" s="21" t="n">
        <v>22000</v>
      </c>
      <c r="F623" s="27" t="n">
        <v>4.4</v>
      </c>
      <c r="G623" s="28" t="n">
        <v>50</v>
      </c>
      <c r="H623" s="14" t="inlineStr">
        <is>
          <t>Wisata Umum</t>
        </is>
      </c>
      <c r="I623" s="29">
        <f>6371 * 2 * ASIN(SQRT(SIN(RADIANS((C623) - INDEX('Dataset_Wisata'!$C$12:$C$622, MATCH('Dashboard'!$C$9, 'Dataset_Wisata'!$A$12:$A$622, 0)))/2)^2 + COS(RADIANS(INDEX('Dataset_Wisata'!$C$12:$C$622, MATCH('Dashboard'!$C$9, 'Dataset_Wisata'!$A$12:$A$622, 0)))) * COS(RADIANS(C623)) * SIN(RADIANS((D623) - INDEX('Dataset_Wisata'!$D$12:$D$622, MATCH('Dashboard'!$C$9, 'Dataset_Wisata'!$A$12:$A$622, 0)))/2)^2)) * 1.3</f>
        <v/>
      </c>
      <c r="J623" s="21">
        <f>ROUND(I623 * IF('Dashboard'!$C$6&lt;=1, 2250, IF('Dashboard'!$C$6&lt;=4, 5150, 6000)), 0)</f>
        <v/>
      </c>
      <c r="K623" s="30" t="n">
        <v>0.1261169361072687</v>
      </c>
      <c r="L623" s="30" t="n">
        <v>0.8607026272442547</v>
      </c>
      <c r="M623" s="30" t="n">
        <v>0.01318043664847662</v>
      </c>
      <c r="N623" s="31">
        <f>ABS(E623-$F$6)</f>
        <v/>
      </c>
      <c r="O623" s="31">
        <f>ABS(E623-$F$7)</f>
        <v/>
      </c>
      <c r="P623" s="31">
        <f>ABS(E623-$F$8)</f>
        <v/>
      </c>
      <c r="Q623" s="14">
        <f>IF(K623&gt;=MAX(L623,M623), "Hemat", IF(L623&gt;=M623, "Balanced", "Premium"))</f>
        <v/>
      </c>
      <c r="R623" s="30" t="n">
        <v>0.126116746000083</v>
      </c>
      <c r="S623" s="30" t="n">
        <v>0.8607028310146635</v>
      </c>
      <c r="T623" s="30" t="n">
        <v>0.01318042298525341</v>
      </c>
      <c r="U623" s="31">
        <f>ABS(E623-$G$6)</f>
        <v/>
      </c>
      <c r="V623" s="31">
        <f>ABS(E623-$G$7)</f>
        <v/>
      </c>
      <c r="W623" s="31">
        <f>ABS(E623-$G$8)</f>
        <v/>
      </c>
      <c r="X623" s="14">
        <f>IF(R623&gt;=MAX(S623,T623), "Hemat", IF(S623&gt;=T623, "Balanced", "Premium"))</f>
        <v/>
      </c>
    </row>
    <row r="624">
      <c r="A624" s="14" t="n">
        <v>613</v>
      </c>
      <c r="B624" s="7" t="inlineStr">
        <is>
          <t>Depot Umi Azizah</t>
        </is>
      </c>
      <c r="C624" s="26" t="n">
        <v>-8.213769599999999</v>
      </c>
      <c r="D624" s="26" t="n">
        <v>112.7563336</v>
      </c>
      <c r="E624" s="21" t="n">
        <v>22100</v>
      </c>
      <c r="F624" s="27" t="n">
        <v>4.6</v>
      </c>
      <c r="G624" s="28" t="n">
        <v>32</v>
      </c>
      <c r="H624" s="14" t="inlineStr">
        <is>
          <t>Wisata Umum</t>
        </is>
      </c>
      <c r="I624" s="29">
        <f>6371 * 2 * ASIN(SQRT(SIN(RADIANS((C624) - INDEX('Dataset_Wisata'!$C$12:$C$622, MATCH('Dashboard'!$C$9, 'Dataset_Wisata'!$A$12:$A$622, 0)))/2)^2 + COS(RADIANS(INDEX('Dataset_Wisata'!$C$12:$C$622, MATCH('Dashboard'!$C$9, 'Dataset_Wisata'!$A$12:$A$622, 0)))) * COS(RADIANS(C624)) * SIN(RADIANS((D624) - INDEX('Dataset_Wisata'!$D$12:$D$622, MATCH('Dashboard'!$C$9, 'Dataset_Wisata'!$A$12:$A$622, 0)))/2)^2)) * 1.3</f>
        <v/>
      </c>
      <c r="J624" s="21">
        <f>ROUND(I624 * IF('Dashboard'!$C$6&lt;=1, 2250, IF('Dashboard'!$C$6&lt;=4, 5150, 6000)), 0)</f>
        <v/>
      </c>
      <c r="K624" s="30" t="n">
        <v>0.1173285465492542</v>
      </c>
      <c r="L624" s="30" t="n">
        <v>0.8700359049455764</v>
      </c>
      <c r="M624" s="30" t="n">
        <v>0.01263554850516938</v>
      </c>
      <c r="N624" s="31">
        <f>ABS(E624-$F$6)</f>
        <v/>
      </c>
      <c r="O624" s="31">
        <f>ABS(E624-$F$7)</f>
        <v/>
      </c>
      <c r="P624" s="31">
        <f>ABS(E624-$F$8)</f>
        <v/>
      </c>
      <c r="Q624" s="14">
        <f>IF(K624&gt;=MAX(L624,M624), "Hemat", IF(L624&gt;=M624, "Balanced", "Premium"))</f>
        <v/>
      </c>
      <c r="R624" s="30" t="n">
        <v>0.1173283629830238</v>
      </c>
      <c r="S624" s="30" t="n">
        <v>0.8700361023382638</v>
      </c>
      <c r="T624" s="30" t="n">
        <v>0.01263553467871251</v>
      </c>
      <c r="U624" s="31">
        <f>ABS(E624-$G$6)</f>
        <v/>
      </c>
      <c r="V624" s="31">
        <f>ABS(E624-$G$7)</f>
        <v/>
      </c>
      <c r="W624" s="31">
        <f>ABS(E624-$G$8)</f>
        <v/>
      </c>
      <c r="X624" s="14">
        <f>IF(R624&gt;=MAX(S624,T624), "Hemat", IF(S624&gt;=T624, "Balanced", "Premium"))</f>
        <v/>
      </c>
    </row>
    <row r="625">
      <c r="A625" s="14" t="n">
        <v>614</v>
      </c>
      <c r="B625" s="7" t="inlineStr">
        <is>
          <t>WARUNGE MAK TON</t>
        </is>
      </c>
      <c r="C625" s="26" t="n">
        <v>-8.238973</v>
      </c>
      <c r="D625" s="26" t="n">
        <v>112.789412</v>
      </c>
      <c r="E625" s="21" t="n">
        <v>10000</v>
      </c>
      <c r="F625" s="27" t="n">
        <v>4.9</v>
      </c>
      <c r="G625" s="28" t="n">
        <v>42</v>
      </c>
      <c r="H625" s="14" t="inlineStr">
        <is>
          <t>WARUNGE MAK TON</t>
        </is>
      </c>
      <c r="I625" s="29">
        <f>6371 * 2 * ASIN(SQRT(SIN(RADIANS((C625) - INDEX('Dataset_Wisata'!$C$12:$C$622, MATCH('Dashboard'!$C$9, 'Dataset_Wisata'!$A$12:$A$622, 0)))/2)^2 + COS(RADIANS(INDEX('Dataset_Wisata'!$C$12:$C$622, MATCH('Dashboard'!$C$9, 'Dataset_Wisata'!$A$12:$A$622, 0)))) * COS(RADIANS(C625)) * SIN(RADIANS((D625) - INDEX('Dataset_Wisata'!$D$12:$D$622, MATCH('Dashboard'!$C$9, 'Dataset_Wisata'!$A$12:$A$622, 0)))/2)^2)) * 1.3</f>
        <v/>
      </c>
      <c r="J625" s="21">
        <f>ROUND(I625 * IF('Dashboard'!$C$6&lt;=1, 2250, IF('Dashboard'!$C$6&lt;=4, 5150, 6000)), 0)</f>
        <v/>
      </c>
      <c r="K625" s="30" t="n">
        <v>0.9518906050943107</v>
      </c>
      <c r="L625" s="30" t="n">
        <v>0.04169660451397377</v>
      </c>
      <c r="M625" s="30" t="n">
        <v>0.006412790391715545</v>
      </c>
      <c r="N625" s="31">
        <f>ABS(E625-$F$6)</f>
        <v/>
      </c>
      <c r="O625" s="31">
        <f>ABS(E625-$F$7)</f>
        <v/>
      </c>
      <c r="P625" s="31">
        <f>ABS(E625-$F$8)</f>
        <v/>
      </c>
      <c r="Q625" s="14">
        <f>IF(K625&gt;=MAX(L625,M625), "Hemat", IF(L625&gt;=M625, "Balanced", "Premium"))</f>
        <v/>
      </c>
      <c r="R625" s="30" t="n">
        <v>0.9518906082621517</v>
      </c>
      <c r="S625" s="30" t="n">
        <v>0.04169660246361195</v>
      </c>
      <c r="T625" s="30" t="n">
        <v>0.006412789274236485</v>
      </c>
      <c r="U625" s="31">
        <f>ABS(E625-$G$6)</f>
        <v/>
      </c>
      <c r="V625" s="31">
        <f>ABS(E625-$G$7)</f>
        <v/>
      </c>
      <c r="W625" s="31">
        <f>ABS(E625-$G$8)</f>
        <v/>
      </c>
      <c r="X625" s="14">
        <f>IF(R625&gt;=MAX(S625,T625), "Hemat", IF(S625&gt;=T625, "Balanced", "Premium"))</f>
        <v/>
      </c>
    </row>
    <row r="626">
      <c r="A626" s="14" t="n">
        <v>615</v>
      </c>
      <c r="B626" s="7" t="inlineStr">
        <is>
          <t>Warung Makan Bu Umi</t>
        </is>
      </c>
      <c r="C626" s="26" t="n">
        <v>-8.228312499999999</v>
      </c>
      <c r="D626" s="26" t="n">
        <v>112.7908543</v>
      </c>
      <c r="E626" s="21" t="n">
        <v>6000</v>
      </c>
      <c r="F626" s="27" t="n">
        <v>4</v>
      </c>
      <c r="G626" s="28" t="n">
        <v>52</v>
      </c>
      <c r="H626" s="14" t="inlineStr">
        <is>
          <t>Warung Makan Bu Umi</t>
        </is>
      </c>
      <c r="I626" s="29">
        <f>6371 * 2 * ASIN(SQRT(SIN(RADIANS((C626) - INDEX('Dataset_Wisata'!$C$12:$C$622, MATCH('Dashboard'!$C$9, 'Dataset_Wisata'!$A$12:$A$622, 0)))/2)^2 + COS(RADIANS(INDEX('Dataset_Wisata'!$C$12:$C$622, MATCH('Dashboard'!$C$9, 'Dataset_Wisata'!$A$12:$A$622, 0)))) * COS(RADIANS(C626)) * SIN(RADIANS((D626) - INDEX('Dataset_Wisata'!$D$12:$D$622, MATCH('Dashboard'!$C$9, 'Dataset_Wisata'!$A$12:$A$622, 0)))/2)^2)) * 1.3</f>
        <v/>
      </c>
      <c r="J626" s="21">
        <f>ROUND(I626 * IF('Dashboard'!$C$6&lt;=1, 2250, IF('Dashboard'!$C$6&lt;=4, 5150, 6000)), 0)</f>
        <v/>
      </c>
      <c r="K626" s="30" t="n">
        <v>0.8570515062724777</v>
      </c>
      <c r="L626" s="30" t="n">
        <v>0.11901089820045</v>
      </c>
      <c r="M626" s="30" t="n">
        <v>0.02393759552707219</v>
      </c>
      <c r="N626" s="31">
        <f>ABS(E626-$F$6)</f>
        <v/>
      </c>
      <c r="O626" s="31">
        <f>ABS(E626-$F$7)</f>
        <v/>
      </c>
      <c r="P626" s="31">
        <f>ABS(E626-$F$8)</f>
        <v/>
      </c>
      <c r="Q626" s="14">
        <f>IF(K626&gt;=MAX(L626,M626), "Hemat", IF(L626&gt;=M626, "Balanced", "Premium"))</f>
        <v/>
      </c>
      <c r="R626" s="30" t="n">
        <v>0.8570514957556834</v>
      </c>
      <c r="S626" s="30" t="n">
        <v>0.1190109084243033</v>
      </c>
      <c r="T626" s="30" t="n">
        <v>0.02393759582001326</v>
      </c>
      <c r="U626" s="31">
        <f>ABS(E626-$G$6)</f>
        <v/>
      </c>
      <c r="V626" s="31">
        <f>ABS(E626-$G$7)</f>
        <v/>
      </c>
      <c r="W626" s="31">
        <f>ABS(E626-$G$8)</f>
        <v/>
      </c>
      <c r="X626" s="14">
        <f>IF(R626&gt;=MAX(S626,T626), "Hemat", IF(S626&gt;=T626, "Balanced", "Premium"))</f>
        <v/>
      </c>
    </row>
    <row r="627">
      <c r="A627" s="14" t="n">
        <v>616</v>
      </c>
      <c r="B627" s="7" t="inlineStr">
        <is>
          <t>Depot Bakso Cinta Rasa</t>
        </is>
      </c>
      <c r="C627" s="26" t="n">
        <v>-8.218568100000001</v>
      </c>
      <c r="D627" s="26" t="n">
        <v>112.7595429</v>
      </c>
      <c r="E627" s="21" t="n">
        <v>17000</v>
      </c>
      <c r="F627" s="27" t="n">
        <v>4.2</v>
      </c>
      <c r="G627" s="28" t="n">
        <v>29</v>
      </c>
      <c r="H627" s="14" t="inlineStr">
        <is>
          <t>Wisata Umum</t>
        </is>
      </c>
      <c r="I627" s="29">
        <f>6371 * 2 * ASIN(SQRT(SIN(RADIANS((C627) - INDEX('Dataset_Wisata'!$C$12:$C$622, MATCH('Dashboard'!$C$9, 'Dataset_Wisata'!$A$12:$A$622, 0)))/2)^2 + COS(RADIANS(INDEX('Dataset_Wisata'!$C$12:$C$622, MATCH('Dashboard'!$C$9, 'Dataset_Wisata'!$A$12:$A$622, 0)))) * COS(RADIANS(C627)) * SIN(RADIANS((D627) - INDEX('Dataset_Wisata'!$D$12:$D$622, MATCH('Dashboard'!$C$9, 'Dataset_Wisata'!$A$12:$A$622, 0)))/2)^2)) * 1.3</f>
        <v/>
      </c>
      <c r="J627" s="21">
        <f>ROUND(I627 * IF('Dashboard'!$C$6&lt;=1, 2250, IF('Dashboard'!$C$6&lt;=4, 5150, 6000)), 0)</f>
        <v/>
      </c>
      <c r="K627" s="30" t="n">
        <v>0.8205766965551228</v>
      </c>
      <c r="L627" s="30" t="n">
        <v>0.1680685555538888</v>
      </c>
      <c r="M627" s="30" t="n">
        <v>0.01135474789098826</v>
      </c>
      <c r="N627" s="31">
        <f>ABS(E627-$F$6)</f>
        <v/>
      </c>
      <c r="O627" s="31">
        <f>ABS(E627-$F$7)</f>
        <v/>
      </c>
      <c r="P627" s="31">
        <f>ABS(E627-$F$8)</f>
        <v/>
      </c>
      <c r="Q627" s="14">
        <f>IF(K627&gt;=MAX(L627,M627), "Hemat", IF(L627&gt;=M627, "Balanced", "Premium"))</f>
        <v/>
      </c>
      <c r="R627" s="30" t="n">
        <v>0.8205765551569555</v>
      </c>
      <c r="S627" s="30" t="n">
        <v>0.1680686919268015</v>
      </c>
      <c r="T627" s="30" t="n">
        <v>0.01135475291624307</v>
      </c>
      <c r="U627" s="31">
        <f>ABS(E627-$G$6)</f>
        <v/>
      </c>
      <c r="V627" s="31">
        <f>ABS(E627-$G$7)</f>
        <v/>
      </c>
      <c r="W627" s="31">
        <f>ABS(E627-$G$8)</f>
        <v/>
      </c>
      <c r="X627" s="14">
        <f>IF(R627&gt;=MAX(S627,T627), "Hemat", IF(S627&gt;=T627, "Balanced", "Premium"))</f>
        <v/>
      </c>
    </row>
    <row r="628">
      <c r="A628" s="14" t="n">
        <v>617</v>
      </c>
      <c r="B628" s="7" t="inlineStr">
        <is>
          <t>Warung Rujak Mbak Camik</t>
        </is>
      </c>
      <c r="C628" s="26" t="n">
        <v>-8.2217921</v>
      </c>
      <c r="D628" s="26" t="n">
        <v>112.7733184</v>
      </c>
      <c r="E628" s="21" t="n">
        <v>15000</v>
      </c>
      <c r="F628" s="27" t="n">
        <v>4.6</v>
      </c>
      <c r="G628" s="28" t="n">
        <v>20</v>
      </c>
      <c r="H628" s="14" t="inlineStr">
        <is>
          <t>Warung Rujak Mbak Camik</t>
        </is>
      </c>
      <c r="I628" s="29">
        <f>6371 * 2 * ASIN(SQRT(SIN(RADIANS((C628) - INDEX('Dataset_Wisata'!$C$12:$C$622, MATCH('Dashboard'!$C$9, 'Dataset_Wisata'!$A$12:$A$622, 0)))/2)^2 + COS(RADIANS(INDEX('Dataset_Wisata'!$C$12:$C$622, MATCH('Dashboard'!$C$9, 'Dataset_Wisata'!$A$12:$A$622, 0)))) * COS(RADIANS(C628)) * SIN(RADIANS((D628) - INDEX('Dataset_Wisata'!$D$12:$D$622, MATCH('Dashboard'!$C$9, 'Dataset_Wisata'!$A$12:$A$622, 0)))/2)^2)) * 1.3</f>
        <v/>
      </c>
      <c r="J628" s="21">
        <f>ROUND(I628 * IF('Dashboard'!$C$6&lt;=1, 2250, IF('Dashboard'!$C$6&lt;=4, 5150, 6000)), 0)</f>
        <v/>
      </c>
      <c r="K628" s="30" t="n">
        <v>0.9686283169848018</v>
      </c>
      <c r="L628" s="30" t="n">
        <v>0.02872990537067274</v>
      </c>
      <c r="M628" s="30" t="n">
        <v>0.002641777644525457</v>
      </c>
      <c r="N628" s="31">
        <f>ABS(E628-$F$6)</f>
        <v/>
      </c>
      <c r="O628" s="31">
        <f>ABS(E628-$F$7)</f>
        <v/>
      </c>
      <c r="P628" s="31">
        <f>ABS(E628-$F$8)</f>
        <v/>
      </c>
      <c r="Q628" s="14">
        <f>IF(K628&gt;=MAX(L628,M628), "Hemat", IF(L628&gt;=M628, "Balanced", "Premium"))</f>
        <v/>
      </c>
      <c r="R628" s="30" t="n">
        <v>0.9686282798936615</v>
      </c>
      <c r="S628" s="30" t="n">
        <v>0.02872993996961344</v>
      </c>
      <c r="T628" s="30" t="n">
        <v>0.002641780136725144</v>
      </c>
      <c r="U628" s="31">
        <f>ABS(E628-$G$6)</f>
        <v/>
      </c>
      <c r="V628" s="31">
        <f>ABS(E628-$G$7)</f>
        <v/>
      </c>
      <c r="W628" s="31">
        <f>ABS(E628-$G$8)</f>
        <v/>
      </c>
      <c r="X628" s="14">
        <f>IF(R628&gt;=MAX(S628,T628), "Hemat", IF(S628&gt;=T628, "Balanced", "Premium"))</f>
        <v/>
      </c>
    </row>
    <row r="629">
      <c r="A629" s="14" t="n">
        <v>618</v>
      </c>
      <c r="B629" s="7" t="inlineStr">
        <is>
          <t>Warung Nasi Pecel Bu Endang</t>
        </is>
      </c>
      <c r="C629" s="26" t="n">
        <v>-8.231416599999999</v>
      </c>
      <c r="D629" s="26" t="n">
        <v>112.8164589</v>
      </c>
      <c r="E629" s="21" t="n">
        <v>10000</v>
      </c>
      <c r="F629" s="27" t="n">
        <v>4.4</v>
      </c>
      <c r="G629" s="28" t="n">
        <v>69</v>
      </c>
      <c r="H629" s="14" t="inlineStr">
        <is>
          <t>Warung Nasi Pecel Bu Endang</t>
        </is>
      </c>
      <c r="I629" s="29">
        <f>6371 * 2 * ASIN(SQRT(SIN(RADIANS((C629) - INDEX('Dataset_Wisata'!$C$12:$C$622, MATCH('Dashboard'!$C$9, 'Dataset_Wisata'!$A$12:$A$622, 0)))/2)^2 + COS(RADIANS(INDEX('Dataset_Wisata'!$C$12:$C$622, MATCH('Dashboard'!$C$9, 'Dataset_Wisata'!$A$12:$A$622, 0)))) * COS(RADIANS(C629)) * SIN(RADIANS((D629) - INDEX('Dataset_Wisata'!$D$12:$D$622, MATCH('Dashboard'!$C$9, 'Dataset_Wisata'!$A$12:$A$622, 0)))/2)^2)) * 1.3</f>
        <v/>
      </c>
      <c r="J629" s="21">
        <f>ROUND(I629 * IF('Dashboard'!$C$6&lt;=1, 2250, IF('Dashboard'!$C$6&lt;=4, 5150, 6000)), 0)</f>
        <v/>
      </c>
      <c r="K629" s="30" t="n">
        <v>0.9518906050943107</v>
      </c>
      <c r="L629" s="30" t="n">
        <v>0.04169660451397377</v>
      </c>
      <c r="M629" s="30" t="n">
        <v>0.006412790391715545</v>
      </c>
      <c r="N629" s="31">
        <f>ABS(E629-$F$6)</f>
        <v/>
      </c>
      <c r="O629" s="31">
        <f>ABS(E629-$F$7)</f>
        <v/>
      </c>
      <c r="P629" s="31">
        <f>ABS(E629-$F$8)</f>
        <v/>
      </c>
      <c r="Q629" s="14">
        <f>IF(K629&gt;=MAX(L629,M629), "Hemat", IF(L629&gt;=M629, "Balanced", "Premium"))</f>
        <v/>
      </c>
      <c r="R629" s="30" t="n">
        <v>0.9518906082621517</v>
      </c>
      <c r="S629" s="30" t="n">
        <v>0.04169660246361195</v>
      </c>
      <c r="T629" s="30" t="n">
        <v>0.006412789274236485</v>
      </c>
      <c r="U629" s="31">
        <f>ABS(E629-$G$6)</f>
        <v/>
      </c>
      <c r="V629" s="31">
        <f>ABS(E629-$G$7)</f>
        <v/>
      </c>
      <c r="W629" s="31">
        <f>ABS(E629-$G$8)</f>
        <v/>
      </c>
      <c r="X629" s="14">
        <f>IF(R629&gt;=MAX(S629,T629), "Hemat", IF(S629&gt;=T629, "Balanced", "Premium"))</f>
        <v/>
      </c>
    </row>
    <row r="630">
      <c r="A630" s="14" t="n">
        <v>619</v>
      </c>
      <c r="B630" s="7" t="inlineStr">
        <is>
          <t>Warungku Sambel Bledek</t>
        </is>
      </c>
      <c r="C630" s="26" t="n">
        <v>-8.232117799999999</v>
      </c>
      <c r="D630" s="26" t="n">
        <v>112.8199081</v>
      </c>
      <c r="E630" s="21" t="n">
        <v>12000</v>
      </c>
      <c r="F630" s="27" t="n">
        <v>4.5</v>
      </c>
      <c r="G630" s="28" t="n">
        <v>35</v>
      </c>
      <c r="H630" s="14" t="inlineStr">
        <is>
          <t>Warungku Sambel Bledek</t>
        </is>
      </c>
      <c r="I630" s="29">
        <f>6371 * 2 * ASIN(SQRT(SIN(RADIANS((C630) - INDEX('Dataset_Wisata'!$C$12:$C$622, MATCH('Dashboard'!$C$9, 'Dataset_Wisata'!$A$12:$A$622, 0)))/2)^2 + COS(RADIANS(INDEX('Dataset_Wisata'!$C$12:$C$622, MATCH('Dashboard'!$C$9, 'Dataset_Wisata'!$A$12:$A$622, 0)))) * COS(RADIANS(C630)) * SIN(RADIANS((D630) - INDEX('Dataset_Wisata'!$D$12:$D$622, MATCH('Dashboard'!$C$9, 'Dataset_Wisata'!$A$12:$A$622, 0)))/2)^2)) * 1.3</f>
        <v/>
      </c>
      <c r="J630" s="21">
        <f>ROUND(I630 * IF('Dashboard'!$C$6&lt;=1, 2250, IF('Dashboard'!$C$6&lt;=4, 5150, 6000)), 0)</f>
        <v/>
      </c>
      <c r="K630" s="30" t="n">
        <v>0.9907459480940729</v>
      </c>
      <c r="L630" s="30" t="n">
        <v>0.008195110232283047</v>
      </c>
      <c r="M630" s="30" t="n">
        <v>0.001058941673643979</v>
      </c>
      <c r="N630" s="31">
        <f>ABS(E630-$F$6)</f>
        <v/>
      </c>
      <c r="O630" s="31">
        <f>ABS(E630-$F$7)</f>
        <v/>
      </c>
      <c r="P630" s="31">
        <f>ABS(E630-$F$8)</f>
        <v/>
      </c>
      <c r="Q630" s="14">
        <f>IF(K630&gt;=MAX(L630,M630), "Hemat", IF(L630&gt;=M630, "Balanced", "Premium"))</f>
        <v/>
      </c>
      <c r="R630" s="30" t="n">
        <v>0.9907459543354936</v>
      </c>
      <c r="S630" s="30" t="n">
        <v>0.008195104860105683</v>
      </c>
      <c r="T630" s="30" t="n">
        <v>0.0010589408044008</v>
      </c>
      <c r="U630" s="31">
        <f>ABS(E630-$G$6)</f>
        <v/>
      </c>
      <c r="V630" s="31">
        <f>ABS(E630-$G$7)</f>
        <v/>
      </c>
      <c r="W630" s="31">
        <f>ABS(E630-$G$8)</f>
        <v/>
      </c>
      <c r="X630" s="14">
        <f>IF(R630&gt;=MAX(S630,T630), "Hemat", IF(S630&gt;=T630, "Balanced", "Premium"))</f>
        <v/>
      </c>
    </row>
    <row r="631">
      <c r="A631" s="14" t="n">
        <v>620</v>
      </c>
      <c r="B631" s="7" t="inlineStr">
        <is>
          <t>Warung SOS (Bu Leni)</t>
        </is>
      </c>
      <c r="C631" s="26" t="n">
        <v>-8.2026466</v>
      </c>
      <c r="D631" s="26" t="n">
        <v>112.8305906</v>
      </c>
      <c r="E631" s="21" t="n">
        <v>12500</v>
      </c>
      <c r="F631" s="27" t="n">
        <v>4.5</v>
      </c>
      <c r="G631" s="28" t="n">
        <v>45</v>
      </c>
      <c r="H631" s="14" t="inlineStr">
        <is>
          <t>Warung SOS (Bu Leni)</t>
        </is>
      </c>
      <c r="I631" s="29">
        <f>6371 * 2 * ASIN(SQRT(SIN(RADIANS((C631) - INDEX('Dataset_Wisata'!$C$12:$C$622, MATCH('Dashboard'!$C$9, 'Dataset_Wisata'!$A$12:$A$622, 0)))/2)^2 + COS(RADIANS(INDEX('Dataset_Wisata'!$C$12:$C$622, MATCH('Dashboard'!$C$9, 'Dataset_Wisata'!$A$12:$A$622, 0)))) * COS(RADIANS(C631)) * SIN(RADIANS((D631) - INDEX('Dataset_Wisata'!$D$12:$D$622, MATCH('Dashboard'!$C$9, 'Dataset_Wisata'!$A$12:$A$622, 0)))/2)^2)) * 1.3</f>
        <v/>
      </c>
      <c r="J631" s="21">
        <f>ROUND(I631 * IF('Dashboard'!$C$6&lt;=1, 2250, IF('Dashboard'!$C$6&lt;=4, 5150, 6000)), 0)</f>
        <v/>
      </c>
      <c r="K631" s="30" t="n">
        <v>0.9965388956324384</v>
      </c>
      <c r="L631" s="30" t="n">
        <v>0.003081977430114359</v>
      </c>
      <c r="M631" s="30" t="n">
        <v>0.0003791269374473433</v>
      </c>
      <c r="N631" s="31">
        <f>ABS(E631-$F$6)</f>
        <v/>
      </c>
      <c r="O631" s="31">
        <f>ABS(E631-$F$7)</f>
        <v/>
      </c>
      <c r="P631" s="31">
        <f>ABS(E631-$F$8)</f>
        <v/>
      </c>
      <c r="Q631" s="14">
        <f>IF(K631&gt;=MAX(L631,M631), "Hemat", IF(L631&gt;=M631, "Balanced", "Premium"))</f>
        <v/>
      </c>
      <c r="R631" s="30" t="n">
        <v>0.9965389004929521</v>
      </c>
      <c r="S631" s="30" t="n">
        <v>0.003081973162016532</v>
      </c>
      <c r="T631" s="30" t="n">
        <v>0.0003791263450314348</v>
      </c>
      <c r="U631" s="31">
        <f>ABS(E631-$G$6)</f>
        <v/>
      </c>
      <c r="V631" s="31">
        <f>ABS(E631-$G$7)</f>
        <v/>
      </c>
      <c r="W631" s="31">
        <f>ABS(E631-$G$8)</f>
        <v/>
      </c>
      <c r="X631" s="14">
        <f>IF(R631&gt;=MAX(S631,T631), "Hemat", IF(S631&gt;=T631, "Balanced", "Premium"))</f>
        <v/>
      </c>
    </row>
    <row r="632">
      <c r="A632" s="14" t="n">
        <v>621</v>
      </c>
      <c r="B632" s="7" t="inlineStr">
        <is>
          <t>Bakso Urat Mr Black</t>
        </is>
      </c>
      <c r="C632" s="26" t="n">
        <v>-8.2141304</v>
      </c>
      <c r="D632" s="26" t="n">
        <v>112.7549316</v>
      </c>
      <c r="E632" s="21" t="n">
        <v>11000</v>
      </c>
      <c r="F632" s="27" t="n">
        <v>4.4</v>
      </c>
      <c r="G632" s="28" t="n">
        <v>297</v>
      </c>
      <c r="H632" s="14" t="inlineStr">
        <is>
          <t>Wisata Umum</t>
        </is>
      </c>
      <c r="I632" s="29">
        <f>6371 * 2 * ASIN(SQRT(SIN(RADIANS((C632) - INDEX('Dataset_Wisata'!$C$12:$C$622, MATCH('Dashboard'!$C$9, 'Dataset_Wisata'!$A$12:$A$622, 0)))/2)^2 + COS(RADIANS(INDEX('Dataset_Wisata'!$C$12:$C$622, MATCH('Dashboard'!$C$9, 'Dataset_Wisata'!$A$12:$A$622, 0)))) * COS(RADIANS(C632)) * SIN(RADIANS((D632) - INDEX('Dataset_Wisata'!$D$12:$D$622, MATCH('Dashboard'!$C$9, 'Dataset_Wisata'!$A$12:$A$622, 0)))/2)^2)) * 1.3</f>
        <v/>
      </c>
      <c r="J632" s="21">
        <f>ROUND(I632 * IF('Dashboard'!$C$6&lt;=1, 2250, IF('Dashboard'!$C$6&lt;=4, 5150, 6000)), 0)</f>
        <v/>
      </c>
      <c r="K632" s="30" t="n">
        <v>0.9735599178193949</v>
      </c>
      <c r="L632" s="30" t="n">
        <v>0.02316133672104913</v>
      </c>
      <c r="M632" s="30" t="n">
        <v>0.003278745459555964</v>
      </c>
      <c r="N632" s="31">
        <f>ABS(E632-$F$6)</f>
        <v/>
      </c>
      <c r="O632" s="31">
        <f>ABS(E632-$F$7)</f>
        <v/>
      </c>
      <c r="P632" s="31">
        <f>ABS(E632-$F$8)</f>
        <v/>
      </c>
      <c r="Q632" s="14">
        <f>IF(K632&gt;=MAX(L632,M632), "Hemat", IF(L632&gt;=M632, "Balanced", "Premium"))</f>
        <v/>
      </c>
      <c r="R632" s="30" t="n">
        <v>0.973559923674283</v>
      </c>
      <c r="S632" s="30" t="n">
        <v>0.02316133200448154</v>
      </c>
      <c r="T632" s="30" t="n">
        <v>0.003278744321235429</v>
      </c>
      <c r="U632" s="31">
        <f>ABS(E632-$G$6)</f>
        <v/>
      </c>
      <c r="V632" s="31">
        <f>ABS(E632-$G$7)</f>
        <v/>
      </c>
      <c r="W632" s="31">
        <f>ABS(E632-$G$8)</f>
        <v/>
      </c>
      <c r="X632" s="14">
        <f>IF(R632&gt;=MAX(S632,T632), "Hemat", IF(S632&gt;=T632, "Balanced", "Premium"))</f>
        <v/>
      </c>
    </row>
    <row r="633">
      <c r="A633" s="14" t="n">
        <v>622</v>
      </c>
      <c r="B633" s="7" t="inlineStr">
        <is>
          <t>Ayam Geprek Mbok Enthis</t>
        </is>
      </c>
      <c r="C633" s="26" t="n">
        <v>-8.216995499999999</v>
      </c>
      <c r="D633" s="26" t="n">
        <v>112.7591548</v>
      </c>
      <c r="E633" s="21" t="n">
        <v>13900</v>
      </c>
      <c r="F633" s="27" t="n">
        <v>4.5</v>
      </c>
      <c r="G633" s="28" t="n">
        <v>56</v>
      </c>
      <c r="H633" s="14" t="inlineStr">
        <is>
          <t>Wisata Umum</t>
        </is>
      </c>
      <c r="I633" s="29">
        <f>6371 * 2 * ASIN(SQRT(SIN(RADIANS((C633) - INDEX('Dataset_Wisata'!$C$12:$C$622, MATCH('Dashboard'!$C$9, 'Dataset_Wisata'!$A$12:$A$622, 0)))/2)^2 + COS(RADIANS(INDEX('Dataset_Wisata'!$C$12:$C$622, MATCH('Dashboard'!$C$9, 'Dataset_Wisata'!$A$12:$A$622, 0)))) * COS(RADIANS(C633)) * SIN(RADIANS((D633) - INDEX('Dataset_Wisata'!$D$12:$D$622, MATCH('Dashboard'!$C$9, 'Dataset_Wisata'!$A$12:$A$622, 0)))/2)^2)) * 1.3</f>
        <v/>
      </c>
      <c r="J633" s="21">
        <f>ROUND(I633 * IF('Dashboard'!$C$6&lt;=1, 2250, IF('Dashboard'!$C$6&lt;=4, 5150, 6000)), 0)</f>
        <v/>
      </c>
      <c r="K633" s="30" t="n">
        <v>0.9960708916389664</v>
      </c>
      <c r="L633" s="30" t="n">
        <v>0.00355381808953426</v>
      </c>
      <c r="M633" s="30" t="n">
        <v>0.0003752902714992031</v>
      </c>
      <c r="N633" s="31">
        <f>ABS(E633-$F$6)</f>
        <v/>
      </c>
      <c r="O633" s="31">
        <f>ABS(E633-$F$7)</f>
        <v/>
      </c>
      <c r="P633" s="31">
        <f>ABS(E633-$F$8)</f>
        <v/>
      </c>
      <c r="Q633" s="14">
        <f>IF(K633&gt;=MAX(L633,M633), "Hemat", IF(L633&gt;=M633, "Balanced", "Premium"))</f>
        <v/>
      </c>
      <c r="R633" s="30" t="n">
        <v>0.9960708824980006</v>
      </c>
      <c r="S633" s="30" t="n">
        <v>0.003553826431803001</v>
      </c>
      <c r="T633" s="30" t="n">
        <v>0.0003752910701966174</v>
      </c>
      <c r="U633" s="31">
        <f>ABS(E633-$G$6)</f>
        <v/>
      </c>
      <c r="V633" s="31">
        <f>ABS(E633-$G$7)</f>
        <v/>
      </c>
      <c r="W633" s="31">
        <f>ABS(E633-$G$8)</f>
        <v/>
      </c>
      <c r="X633" s="14">
        <f>IF(R633&gt;=MAX(S633,T633), "Hemat", IF(S633&gt;=T633, "Balanced", "Premium"))</f>
        <v/>
      </c>
    </row>
    <row r="634">
      <c r="A634" s="14" t="n">
        <v>623</v>
      </c>
      <c r="B634" s="7" t="inlineStr">
        <is>
          <t>The Nyonya</t>
        </is>
      </c>
      <c r="C634" s="26" t="n">
        <v>-8.212478300000001</v>
      </c>
      <c r="D634" s="26" t="n">
        <v>112.7580515</v>
      </c>
      <c r="E634" s="21" t="n">
        <v>16500</v>
      </c>
      <c r="F634" s="27" t="n">
        <v>4.1</v>
      </c>
      <c r="G634" s="28" t="n">
        <v>172</v>
      </c>
      <c r="H634" s="14" t="inlineStr">
        <is>
          <t>Wisata Umum</t>
        </is>
      </c>
      <c r="I634" s="29">
        <f>6371 * 2 * ASIN(SQRT(SIN(RADIANS((C634) - INDEX('Dataset_Wisata'!$C$12:$C$622, MATCH('Dashboard'!$C$9, 'Dataset_Wisata'!$A$12:$A$622, 0)))/2)^2 + COS(RADIANS(INDEX('Dataset_Wisata'!$C$12:$C$622, MATCH('Dashboard'!$C$9, 'Dataset_Wisata'!$A$12:$A$622, 0)))) * COS(RADIANS(C634)) * SIN(RADIANS((D634) - INDEX('Dataset_Wisata'!$D$12:$D$622, MATCH('Dashboard'!$C$9, 'Dataset_Wisata'!$A$12:$A$622, 0)))/2)^2)) * 1.3</f>
        <v/>
      </c>
      <c r="J634" s="21">
        <f>ROUND(I634 * IF('Dashboard'!$C$6&lt;=1, 2250, IF('Dashboard'!$C$6&lt;=4, 5150, 6000)), 0)</f>
        <v/>
      </c>
      <c r="K634" s="30" t="n">
        <v>0.8714863278851296</v>
      </c>
      <c r="L634" s="30" t="n">
        <v>0.1197061829079762</v>
      </c>
      <c r="M634" s="30" t="n">
        <v>0.008807489206894295</v>
      </c>
      <c r="N634" s="31">
        <f>ABS(E634-$F$6)</f>
        <v/>
      </c>
      <c r="O634" s="31">
        <f>ABS(E634-$F$7)</f>
        <v/>
      </c>
      <c r="P634" s="31">
        <f>ABS(E634-$F$8)</f>
        <v/>
      </c>
      <c r="Q634" s="14">
        <f>IF(K634&gt;=MAX(L634,M634), "Hemat", IF(L634&gt;=M634, "Balanced", "Premium"))</f>
        <v/>
      </c>
      <c r="R634" s="30" t="n">
        <v>0.8714862185289194</v>
      </c>
      <c r="S634" s="30" t="n">
        <v>0.1197062875326776</v>
      </c>
      <c r="T634" s="30" t="n">
        <v>0.008807493938402942</v>
      </c>
      <c r="U634" s="31">
        <f>ABS(E634-$G$6)</f>
        <v/>
      </c>
      <c r="V634" s="31">
        <f>ABS(E634-$G$7)</f>
        <v/>
      </c>
      <c r="W634" s="31">
        <f>ABS(E634-$G$8)</f>
        <v/>
      </c>
      <c r="X634" s="14">
        <f>IF(R634&gt;=MAX(S634,T634), "Hemat", IF(S634&gt;=T634, "Balanced", "Premium"))</f>
        <v/>
      </c>
    </row>
    <row r="635">
      <c r="A635" s="14" t="n">
        <v>624</v>
      </c>
      <c r="B635" s="7" t="inlineStr">
        <is>
          <t>Bakso Meduro Cak Rosyid</t>
        </is>
      </c>
      <c r="C635" s="26" t="n">
        <v>-8.216525600000001</v>
      </c>
      <c r="D635" s="26" t="n">
        <v>112.7577022</v>
      </c>
      <c r="E635" s="21" t="n">
        <v>11250</v>
      </c>
      <c r="F635" s="27" t="n">
        <v>4.5</v>
      </c>
      <c r="G635" s="28" t="n">
        <v>173</v>
      </c>
      <c r="H635" s="14" t="inlineStr">
        <is>
          <t>Wisata Umum</t>
        </is>
      </c>
      <c r="I635" s="29">
        <f>6371 * 2 * ASIN(SQRT(SIN(RADIANS((C635) - INDEX('Dataset_Wisata'!$C$12:$C$622, MATCH('Dashboard'!$C$9, 'Dataset_Wisata'!$A$12:$A$622, 0)))/2)^2 + COS(RADIANS(INDEX('Dataset_Wisata'!$C$12:$C$622, MATCH('Dashboard'!$C$9, 'Dataset_Wisata'!$A$12:$A$622, 0)))) * COS(RADIANS(C635)) * SIN(RADIANS((D635) - INDEX('Dataset_Wisata'!$D$12:$D$622, MATCH('Dashboard'!$C$9, 'Dataset_Wisata'!$A$12:$A$622, 0)))/2)^2)) * 1.3</f>
        <v/>
      </c>
      <c r="J635" s="21">
        <f>ROUND(I635 * IF('Dashboard'!$C$6&lt;=1, 2250, IF('Dashboard'!$C$6&lt;=4, 5150, 6000)), 0)</f>
        <v/>
      </c>
      <c r="K635" s="30" t="n">
        <v>0.9783982477961276</v>
      </c>
      <c r="L635" s="30" t="n">
        <v>0.01897413971805154</v>
      </c>
      <c r="M635" s="30" t="n">
        <v>0.002627612485820865</v>
      </c>
      <c r="N635" s="31">
        <f>ABS(E635-$F$6)</f>
        <v/>
      </c>
      <c r="O635" s="31">
        <f>ABS(E635-$F$7)</f>
        <v/>
      </c>
      <c r="P635" s="31">
        <f>ABS(E635-$F$8)</f>
        <v/>
      </c>
      <c r="Q635" s="14">
        <f>IF(K635&gt;=MAX(L635,M635), "Hemat", IF(L635&gt;=M635, "Balanced", "Premium"))</f>
        <v/>
      </c>
      <c r="R635" s="30" t="n">
        <v>0.9783982540382206</v>
      </c>
      <c r="S635" s="30" t="n">
        <v>0.01897413457831565</v>
      </c>
      <c r="T635" s="30" t="n">
        <v>0.002627611383463898</v>
      </c>
      <c r="U635" s="31">
        <f>ABS(E635-$G$6)</f>
        <v/>
      </c>
      <c r="V635" s="31">
        <f>ABS(E635-$G$7)</f>
        <v/>
      </c>
      <c r="W635" s="31">
        <f>ABS(E635-$G$8)</f>
        <v/>
      </c>
      <c r="X635" s="14">
        <f>IF(R635&gt;=MAX(S635,T635), "Hemat", IF(S635&gt;=T635, "Balanced", "Premium"))</f>
        <v/>
      </c>
    </row>
    <row r="636">
      <c r="A636" s="14" t="n">
        <v>625</v>
      </c>
      <c r="B636" s="7" t="inlineStr">
        <is>
          <t>Depot Barokah Mbak Tutik</t>
        </is>
      </c>
      <c r="C636" s="26" t="n">
        <v>-8.236952499999999</v>
      </c>
      <c r="D636" s="26" t="n">
        <v>112.8728648</v>
      </c>
      <c r="E636" s="21" t="n">
        <v>23500</v>
      </c>
      <c r="F636" s="27" t="n">
        <v>4.7</v>
      </c>
      <c r="G636" s="28" t="n">
        <v>58</v>
      </c>
      <c r="H636" s="14" t="inlineStr">
        <is>
          <t>Wisata Umum</t>
        </is>
      </c>
      <c r="I636" s="29">
        <f>6371 * 2 * ASIN(SQRT(SIN(RADIANS((C636) - INDEX('Dataset_Wisata'!$C$12:$C$622, MATCH('Dashboard'!$C$9, 'Dataset_Wisata'!$A$12:$A$622, 0)))/2)^2 + COS(RADIANS(INDEX('Dataset_Wisata'!$C$12:$C$622, MATCH('Dashboard'!$C$9, 'Dataset_Wisata'!$A$12:$A$622, 0)))) * COS(RADIANS(C636)) * SIN(RADIANS((D636) - INDEX('Dataset_Wisata'!$D$12:$D$622, MATCH('Dashboard'!$C$9, 'Dataset_Wisata'!$A$12:$A$622, 0)))/2)^2)) * 1.3</f>
        <v/>
      </c>
      <c r="J636" s="21">
        <f>ROUND(I636 * IF('Dashboard'!$C$6&lt;=1, 2250, IF('Dashboard'!$C$6&lt;=4, 5150, 6000)), 0)</f>
        <v/>
      </c>
      <c r="K636" s="30" t="n">
        <v>0.03159892309541867</v>
      </c>
      <c r="L636" s="30" t="n">
        <v>0.9633302468708022</v>
      </c>
      <c r="M636" s="30" t="n">
        <v>0.005070830033779156</v>
      </c>
      <c r="N636" s="31">
        <f>ABS(E636-$F$6)</f>
        <v/>
      </c>
      <c r="O636" s="31">
        <f>ABS(E636-$F$7)</f>
        <v/>
      </c>
      <c r="P636" s="31">
        <f>ABS(E636-$F$8)</f>
        <v/>
      </c>
      <c r="Q636" s="14">
        <f>IF(K636&gt;=MAX(L636,M636), "Hemat", IF(L636&gt;=M636, "Balanced", "Premium"))</f>
        <v/>
      </c>
      <c r="R636" s="30" t="n">
        <v>0.03159883143490687</v>
      </c>
      <c r="S636" s="30" t="n">
        <v>0.9633303508663396</v>
      </c>
      <c r="T636" s="30" t="n">
        <v>0.005070817698753561</v>
      </c>
      <c r="U636" s="31">
        <f>ABS(E636-$G$6)</f>
        <v/>
      </c>
      <c r="V636" s="31">
        <f>ABS(E636-$G$7)</f>
        <v/>
      </c>
      <c r="W636" s="31">
        <f>ABS(E636-$G$8)</f>
        <v/>
      </c>
      <c r="X636" s="14">
        <f>IF(R636&gt;=MAX(S636,T636), "Hemat", IF(S636&gt;=T636, "Balanced", "Premium"))</f>
        <v/>
      </c>
    </row>
    <row r="637">
      <c r="A637" s="14" t="n">
        <v>626</v>
      </c>
      <c r="B637" s="7" t="inlineStr">
        <is>
          <t>Mie Ayam Cak Rop</t>
        </is>
      </c>
      <c r="C637" s="26" t="n">
        <v>-8.146809899999999</v>
      </c>
      <c r="D637" s="26" t="n">
        <v>112.7587017</v>
      </c>
      <c r="E637" s="21" t="n">
        <v>13000</v>
      </c>
      <c r="F637" s="27" t="n">
        <v>4.3</v>
      </c>
      <c r="G637" s="28" t="n">
        <v>43</v>
      </c>
      <c r="H637" s="14" t="inlineStr">
        <is>
          <t>Wisata Umum</t>
        </is>
      </c>
      <c r="I637" s="29">
        <f>6371 * 2 * ASIN(SQRT(SIN(RADIANS((C637) - INDEX('Dataset_Wisata'!$C$12:$C$622, MATCH('Dashboard'!$C$9, 'Dataset_Wisata'!$A$12:$A$622, 0)))/2)^2 + COS(RADIANS(INDEX('Dataset_Wisata'!$C$12:$C$622, MATCH('Dashboard'!$C$9, 'Dataset_Wisata'!$A$12:$A$622, 0)))) * COS(RADIANS(C637)) * SIN(RADIANS((D637) - INDEX('Dataset_Wisata'!$D$12:$D$622, MATCH('Dashboard'!$C$9, 'Dataset_Wisata'!$A$12:$A$622, 0)))/2)^2)) * 1.3</f>
        <v/>
      </c>
      <c r="J637" s="21">
        <f>ROUND(I637 * IF('Dashboard'!$C$6&lt;=1, 2250, IF('Dashboard'!$C$6&lt;=4, 5150, 6000)), 0)</f>
        <v/>
      </c>
      <c r="K637" s="30" t="n">
        <v>0.9996613401455278</v>
      </c>
      <c r="L637" s="30" t="n">
        <v>0.0003032413982241428</v>
      </c>
      <c r="M637" s="30" t="n">
        <v>3.541845624800055e-05</v>
      </c>
      <c r="N637" s="31">
        <f>ABS(E637-$F$6)</f>
        <v/>
      </c>
      <c r="O637" s="31">
        <f>ABS(E637-$F$7)</f>
        <v/>
      </c>
      <c r="P637" s="31">
        <f>ABS(E637-$F$8)</f>
        <v/>
      </c>
      <c r="Q637" s="14">
        <f>IF(K637&gt;=MAX(L637,M637), "Hemat", IF(L637&gt;=M637, "Balanced", "Premium"))</f>
        <v/>
      </c>
      <c r="R637" s="30" t="n">
        <v>0.9996613420378273</v>
      </c>
      <c r="S637" s="30" t="n">
        <v>0.0003032397098959421</v>
      </c>
      <c r="T637" s="30" t="n">
        <v>3.541825227674828e-05</v>
      </c>
      <c r="U637" s="31">
        <f>ABS(E637-$G$6)</f>
        <v/>
      </c>
      <c r="V637" s="31">
        <f>ABS(E637-$G$7)</f>
        <v/>
      </c>
      <c r="W637" s="31">
        <f>ABS(E637-$G$8)</f>
        <v/>
      </c>
      <c r="X637" s="14">
        <f>IF(R637&gt;=MAX(S637,T637), "Hemat", IF(S637&gt;=T637, "Balanced", "Premium"))</f>
        <v/>
      </c>
    </row>
    <row r="638">
      <c r="A638" s="14" t="n">
        <v>627</v>
      </c>
      <c r="B638" s="7" t="inlineStr">
        <is>
          <t>Soto Betawi TA 66</t>
        </is>
      </c>
      <c r="C638" s="26" t="n">
        <v>-8.0185304</v>
      </c>
      <c r="D638" s="26" t="n">
        <v>112.7627666</v>
      </c>
      <c r="E638" s="21" t="n">
        <v>25000</v>
      </c>
      <c r="F638" s="27" t="n">
        <v>4.2</v>
      </c>
      <c r="G638" s="28" t="n">
        <v>85</v>
      </c>
      <c r="H638" s="14" t="inlineStr">
        <is>
          <t>Wisata Umum</t>
        </is>
      </c>
      <c r="I638" s="29">
        <f>6371 * 2 * ASIN(SQRT(SIN(RADIANS((C638) - INDEX('Dataset_Wisata'!$C$12:$C$622, MATCH('Dashboard'!$C$9, 'Dataset_Wisata'!$A$12:$A$622, 0)))/2)^2 + COS(RADIANS(INDEX('Dataset_Wisata'!$C$12:$C$622, MATCH('Dashboard'!$C$9, 'Dataset_Wisata'!$A$12:$A$622, 0)))) * COS(RADIANS(C638)) * SIN(RADIANS((D638) - INDEX('Dataset_Wisata'!$D$12:$D$622, MATCH('Dashboard'!$C$9, 'Dataset_Wisata'!$A$12:$A$622, 0)))/2)^2)) * 1.3</f>
        <v/>
      </c>
      <c r="J638" s="21">
        <f>ROUND(I638 * IF('Dashboard'!$C$6&lt;=1, 2250, IF('Dashboard'!$C$6&lt;=4, 5150, 6000)), 0)</f>
        <v/>
      </c>
      <c r="K638" s="30" t="n">
        <v>0.0009460509590550509</v>
      </c>
      <c r="L638" s="30" t="n">
        <v>0.9988291129147837</v>
      </c>
      <c r="M638" s="30" t="n">
        <v>0.0002248361261612175</v>
      </c>
      <c r="N638" s="31">
        <f>ABS(E638-$F$6)</f>
        <v/>
      </c>
      <c r="O638" s="31">
        <f>ABS(E638-$F$7)</f>
        <v/>
      </c>
      <c r="P638" s="31">
        <f>ABS(E638-$F$8)</f>
        <v/>
      </c>
      <c r="Q638" s="14">
        <f>IF(K638&gt;=MAX(L638,M638), "Hemat", IF(L638&gt;=M638, "Balanced", "Premium"))</f>
        <v/>
      </c>
      <c r="R638" s="30" t="n">
        <v>0.0009460368639408893</v>
      </c>
      <c r="S638" s="30" t="n">
        <v>0.998829130253259</v>
      </c>
      <c r="T638" s="30" t="n">
        <v>0.0002248328828000856</v>
      </c>
      <c r="U638" s="31">
        <f>ABS(E638-$G$6)</f>
        <v/>
      </c>
      <c r="V638" s="31">
        <f>ABS(E638-$G$7)</f>
        <v/>
      </c>
      <c r="W638" s="31">
        <f>ABS(E638-$G$8)</f>
        <v/>
      </c>
      <c r="X638" s="14">
        <f>IF(R638&gt;=MAX(S638,T638), "Hemat", IF(S638&gt;=T638, "Balanced", "Premium"))</f>
        <v/>
      </c>
    </row>
    <row r="639">
      <c r="A639" s="14" t="n">
        <v>628</v>
      </c>
      <c r="B639" s="7" t="inlineStr">
        <is>
          <t>Mi dan Bakso Bule</t>
        </is>
      </c>
      <c r="C639" s="26" t="n">
        <v>-8.034552400000001</v>
      </c>
      <c r="D639" s="26" t="n">
        <v>112.7680029</v>
      </c>
      <c r="E639" s="21" t="n">
        <v>12000</v>
      </c>
      <c r="F639" s="27" t="n">
        <v>4.5</v>
      </c>
      <c r="G639" s="28" t="n">
        <v>22</v>
      </c>
      <c r="H639" s="14" t="inlineStr">
        <is>
          <t>Wisata Umum</t>
        </is>
      </c>
      <c r="I639" s="29">
        <f>6371 * 2 * ASIN(SQRT(SIN(RADIANS((C639) - INDEX('Dataset_Wisata'!$C$12:$C$622, MATCH('Dashboard'!$C$9, 'Dataset_Wisata'!$A$12:$A$622, 0)))/2)^2 + COS(RADIANS(INDEX('Dataset_Wisata'!$C$12:$C$622, MATCH('Dashboard'!$C$9, 'Dataset_Wisata'!$A$12:$A$622, 0)))) * COS(RADIANS(C639)) * SIN(RADIANS((D639) - INDEX('Dataset_Wisata'!$D$12:$D$622, MATCH('Dashboard'!$C$9, 'Dataset_Wisata'!$A$12:$A$622, 0)))/2)^2)) * 1.3</f>
        <v/>
      </c>
      <c r="J639" s="21">
        <f>ROUND(I639 * IF('Dashboard'!$C$6&lt;=1, 2250, IF('Dashboard'!$C$6&lt;=4, 5150, 6000)), 0)</f>
        <v/>
      </c>
      <c r="K639" s="30" t="n">
        <v>0.9907459480940729</v>
      </c>
      <c r="L639" s="30" t="n">
        <v>0.008195110232283047</v>
      </c>
      <c r="M639" s="30" t="n">
        <v>0.001058941673643979</v>
      </c>
      <c r="N639" s="31">
        <f>ABS(E639-$F$6)</f>
        <v/>
      </c>
      <c r="O639" s="31">
        <f>ABS(E639-$F$7)</f>
        <v/>
      </c>
      <c r="P639" s="31">
        <f>ABS(E639-$F$8)</f>
        <v/>
      </c>
      <c r="Q639" s="14">
        <f>IF(K639&gt;=MAX(L639,M639), "Hemat", IF(L639&gt;=M639, "Balanced", "Premium"))</f>
        <v/>
      </c>
      <c r="R639" s="30" t="n">
        <v>0.9907459543354936</v>
      </c>
      <c r="S639" s="30" t="n">
        <v>0.008195104860105683</v>
      </c>
      <c r="T639" s="30" t="n">
        <v>0.0010589408044008</v>
      </c>
      <c r="U639" s="31">
        <f>ABS(E639-$G$6)</f>
        <v/>
      </c>
      <c r="V639" s="31">
        <f>ABS(E639-$G$7)</f>
        <v/>
      </c>
      <c r="W639" s="31">
        <f>ABS(E639-$G$8)</f>
        <v/>
      </c>
      <c r="X639" s="14">
        <f>IF(R639&gt;=MAX(S639,T639), "Hemat", IF(S639&gt;=T639, "Balanced", "Premium"))</f>
        <v/>
      </c>
    </row>
    <row r="640">
      <c r="A640" s="14" t="n">
        <v>629</v>
      </c>
      <c r="B640" s="7" t="inlineStr">
        <is>
          <t>Bakso Sama Rasa Pak Kabul Madiun</t>
        </is>
      </c>
      <c r="C640" s="26" t="n">
        <v>-8.003901600000001</v>
      </c>
      <c r="D640" s="26" t="n">
        <v>112.7653228</v>
      </c>
      <c r="E640" s="21" t="n">
        <v>20000</v>
      </c>
      <c r="F640" s="27" t="n">
        <v>4.6</v>
      </c>
      <c r="G640" s="28" t="n">
        <v>251</v>
      </c>
      <c r="H640" s="14" t="inlineStr">
        <is>
          <t>Wisata Umum</t>
        </is>
      </c>
      <c r="I640" s="29">
        <f>6371 * 2 * ASIN(SQRT(SIN(RADIANS((C640) - INDEX('Dataset_Wisata'!$C$12:$C$622, MATCH('Dashboard'!$C$9, 'Dataset_Wisata'!$A$12:$A$622, 0)))/2)^2 + COS(RADIANS(INDEX('Dataset_Wisata'!$C$12:$C$622, MATCH('Dashboard'!$C$9, 'Dataset_Wisata'!$A$12:$A$622, 0)))) * COS(RADIANS(C640)) * SIN(RADIANS((D640) - INDEX('Dataset_Wisata'!$D$12:$D$622, MATCH('Dashboard'!$C$9, 'Dataset_Wisata'!$A$12:$A$622, 0)))/2)^2)) * 1.3</f>
        <v/>
      </c>
      <c r="J640" s="21">
        <f>ROUND(I640 * IF('Dashboard'!$C$6&lt;=1, 2250, IF('Dashboard'!$C$6&lt;=4, 5150, 6000)), 0)</f>
        <v/>
      </c>
      <c r="K640" s="30" t="n">
        <v>0.3766864462048385</v>
      </c>
      <c r="L640" s="30" t="n">
        <v>0.6029404273516955</v>
      </c>
      <c r="M640" s="30" t="n">
        <v>0.02037312644346593</v>
      </c>
      <c r="N640" s="31">
        <f>ABS(E640-$F$6)</f>
        <v/>
      </c>
      <c r="O640" s="31">
        <f>ABS(E640-$F$7)</f>
        <v/>
      </c>
      <c r="P640" s="31">
        <f>ABS(E640-$F$8)</f>
        <v/>
      </c>
      <c r="Q640" s="14">
        <f>IF(K640&gt;=MAX(L640,M640), "Hemat", IF(L640&gt;=M640, "Balanced", "Premium"))</f>
        <v/>
      </c>
      <c r="R640" s="30" t="n">
        <v>0.3766861717192874</v>
      </c>
      <c r="S640" s="30" t="n">
        <v>0.6029407066601674</v>
      </c>
      <c r="T640" s="30" t="n">
        <v>0.02037312162054524</v>
      </c>
      <c r="U640" s="31">
        <f>ABS(E640-$G$6)</f>
        <v/>
      </c>
      <c r="V640" s="31">
        <f>ABS(E640-$G$7)</f>
        <v/>
      </c>
      <c r="W640" s="31">
        <f>ABS(E640-$G$8)</f>
        <v/>
      </c>
      <c r="X640" s="14">
        <f>IF(R640&gt;=MAX(S640,T640), "Hemat", IF(S640&gt;=T640, "Balanced", "Premium"))</f>
        <v/>
      </c>
    </row>
    <row r="641">
      <c r="A641" s="14" t="n">
        <v>630</v>
      </c>
      <c r="B641" s="7" t="inlineStr">
        <is>
          <t>Waroeng Sate Gule H Abu Bakar</t>
        </is>
      </c>
      <c r="C641" s="26" t="n">
        <v>-8.0071996</v>
      </c>
      <c r="D641" s="26" t="n">
        <v>112.7617831</v>
      </c>
      <c r="E641" s="21" t="n">
        <v>19500</v>
      </c>
      <c r="F641" s="27" t="n">
        <v>4.3</v>
      </c>
      <c r="G641" s="28" t="n">
        <v>37</v>
      </c>
      <c r="H641" s="14" t="inlineStr">
        <is>
          <t>Wisata Umum</t>
        </is>
      </c>
      <c r="I641" s="29">
        <f>6371 * 2 * ASIN(SQRT(SIN(RADIANS((C641) - INDEX('Dataset_Wisata'!$C$12:$C$622, MATCH('Dashboard'!$C$9, 'Dataset_Wisata'!$A$12:$A$622, 0)))/2)^2 + COS(RADIANS(INDEX('Dataset_Wisata'!$C$12:$C$622, MATCH('Dashboard'!$C$9, 'Dataset_Wisata'!$A$12:$A$622, 0)))) * COS(RADIANS(C641)) * SIN(RADIANS((D641) - INDEX('Dataset_Wisata'!$D$12:$D$622, MATCH('Dashboard'!$C$9, 'Dataset_Wisata'!$A$12:$A$622, 0)))/2)^2)) * 1.3</f>
        <v/>
      </c>
      <c r="J641" s="21">
        <f>ROUND(I641 * IF('Dashboard'!$C$6&lt;=1, 2250, IF('Dashboard'!$C$6&lt;=4, 5150, 6000)), 0)</f>
        <v/>
      </c>
      <c r="K641" s="30" t="n">
        <v>0.4557889535565174</v>
      </c>
      <c r="L641" s="30" t="n">
        <v>0.5237659720581146</v>
      </c>
      <c r="M641" s="30" t="n">
        <v>0.02044507438536788</v>
      </c>
      <c r="N641" s="31">
        <f>ABS(E641-$F$6)</f>
        <v/>
      </c>
      <c r="O641" s="31">
        <f>ABS(E641-$F$7)</f>
        <v/>
      </c>
      <c r="P641" s="31">
        <f>ABS(E641-$F$8)</f>
        <v/>
      </c>
      <c r="Q641" s="14">
        <f>IF(K641&gt;=MAX(L641,M641), "Hemat", IF(L641&gt;=M641, "Balanced", "Premium"))</f>
        <v/>
      </c>
      <c r="R641" s="30" t="n">
        <v>0.4557886811023241</v>
      </c>
      <c r="S641" s="30" t="n">
        <v>0.523766246469491</v>
      </c>
      <c r="T641" s="30" t="n">
        <v>0.02044507242818502</v>
      </c>
      <c r="U641" s="31">
        <f>ABS(E641-$G$6)</f>
        <v/>
      </c>
      <c r="V641" s="31">
        <f>ABS(E641-$G$7)</f>
        <v/>
      </c>
      <c r="W641" s="31">
        <f>ABS(E641-$G$8)</f>
        <v/>
      </c>
      <c r="X641" s="14">
        <f>IF(R641&gt;=MAX(S641,T641), "Hemat", IF(S641&gt;=T641, "Balanced", "Premium"))</f>
        <v/>
      </c>
    </row>
    <row r="642">
      <c r="A642" s="14" t="n">
        <v>631</v>
      </c>
      <c r="B642" s="7" t="inlineStr">
        <is>
          <t>Warung Pojok Nyemix</t>
        </is>
      </c>
      <c r="C642" s="26" t="n">
        <v>-8.012763899999999</v>
      </c>
      <c r="D642" s="26" t="n">
        <v>112.7563175</v>
      </c>
      <c r="E642" s="21" t="n">
        <v>15000</v>
      </c>
      <c r="F642" s="27" t="n">
        <v>3.7</v>
      </c>
      <c r="G642" s="28" t="n">
        <v>21</v>
      </c>
      <c r="H642" s="14" t="inlineStr">
        <is>
          <t>Warung Pojok Nyemix</t>
        </is>
      </c>
      <c r="I642" s="29">
        <f>6371 * 2 * ASIN(SQRT(SIN(RADIANS((C642) - INDEX('Dataset_Wisata'!$C$12:$C$622, MATCH('Dashboard'!$C$9, 'Dataset_Wisata'!$A$12:$A$622, 0)))/2)^2 + COS(RADIANS(INDEX('Dataset_Wisata'!$C$12:$C$622, MATCH('Dashboard'!$C$9, 'Dataset_Wisata'!$A$12:$A$622, 0)))) * COS(RADIANS(C642)) * SIN(RADIANS((D642) - INDEX('Dataset_Wisata'!$D$12:$D$622, MATCH('Dashboard'!$C$9, 'Dataset_Wisata'!$A$12:$A$622, 0)))/2)^2)) * 1.3</f>
        <v/>
      </c>
      <c r="J642" s="21">
        <f>ROUND(I642 * IF('Dashboard'!$C$6&lt;=1, 2250, IF('Dashboard'!$C$6&lt;=4, 5150, 6000)), 0)</f>
        <v/>
      </c>
      <c r="K642" s="30" t="n">
        <v>0.9686283169848018</v>
      </c>
      <c r="L642" s="30" t="n">
        <v>0.02872990537067274</v>
      </c>
      <c r="M642" s="30" t="n">
        <v>0.002641777644525457</v>
      </c>
      <c r="N642" s="31">
        <f>ABS(E642-$F$6)</f>
        <v/>
      </c>
      <c r="O642" s="31">
        <f>ABS(E642-$F$7)</f>
        <v/>
      </c>
      <c r="P642" s="31">
        <f>ABS(E642-$F$8)</f>
        <v/>
      </c>
      <c r="Q642" s="14">
        <f>IF(K642&gt;=MAX(L642,M642), "Hemat", IF(L642&gt;=M642, "Balanced", "Premium"))</f>
        <v/>
      </c>
      <c r="R642" s="30" t="n">
        <v>0.9686282798936615</v>
      </c>
      <c r="S642" s="30" t="n">
        <v>0.02872993996961344</v>
      </c>
      <c r="T642" s="30" t="n">
        <v>0.002641780136725144</v>
      </c>
      <c r="U642" s="31">
        <f>ABS(E642-$G$6)</f>
        <v/>
      </c>
      <c r="V642" s="31">
        <f>ABS(E642-$G$7)</f>
        <v/>
      </c>
      <c r="W642" s="31">
        <f>ABS(E642-$G$8)</f>
        <v/>
      </c>
      <c r="X642" s="14">
        <f>IF(R642&gt;=MAX(S642,T642), "Hemat", IF(S642&gt;=T642, "Balanced", "Premium"))</f>
        <v/>
      </c>
    </row>
    <row r="643">
      <c r="A643" s="14" t="n">
        <v>632</v>
      </c>
      <c r="B643" s="7" t="inlineStr">
        <is>
          <t>Warung Mbak Koyim</t>
        </is>
      </c>
      <c r="C643" s="26" t="n">
        <v>-8.0173933</v>
      </c>
      <c r="D643" s="26" t="n">
        <v>112.760589</v>
      </c>
      <c r="E643" s="21" t="n">
        <v>14500</v>
      </c>
      <c r="F643" s="27" t="n">
        <v>4.6</v>
      </c>
      <c r="G643" s="28" t="n">
        <v>302</v>
      </c>
      <c r="H643" s="14" t="inlineStr">
        <is>
          <t>Warung Mbak Koyim</t>
        </is>
      </c>
      <c r="I643" s="29">
        <f>6371 * 2 * ASIN(SQRT(SIN(RADIANS((C643) - INDEX('Dataset_Wisata'!$C$12:$C$622, MATCH('Dashboard'!$C$9, 'Dataset_Wisata'!$A$12:$A$622, 0)))/2)^2 + COS(RADIANS(INDEX('Dataset_Wisata'!$C$12:$C$622, MATCH('Dashboard'!$C$9, 'Dataset_Wisata'!$A$12:$A$622, 0)))) * COS(RADIANS(C643)) * SIN(RADIANS((D643) - INDEX('Dataset_Wisata'!$D$12:$D$622, MATCH('Dashboard'!$C$9, 'Dataset_Wisata'!$A$12:$A$622, 0)))/2)^2)) * 1.3</f>
        <v/>
      </c>
      <c r="J643" s="21">
        <f>ROUND(I643 * IF('Dashboard'!$C$6&lt;=1, 2250, IF('Dashboard'!$C$6&lt;=4, 5150, 6000)), 0)</f>
        <v/>
      </c>
      <c r="K643" s="30" t="n">
        <v>0.9848728426698685</v>
      </c>
      <c r="L643" s="30" t="n">
        <v>0.01377517057236063</v>
      </c>
      <c r="M643" s="30" t="n">
        <v>0.001351986757770871</v>
      </c>
      <c r="N643" s="31">
        <f>ABS(E643-$F$6)</f>
        <v/>
      </c>
      <c r="O643" s="31">
        <f>ABS(E643-$F$7)</f>
        <v/>
      </c>
      <c r="P643" s="31">
        <f>ABS(E643-$F$8)</f>
        <v/>
      </c>
      <c r="Q643" s="14">
        <f>IF(K643&gt;=MAX(L643,M643), "Hemat", IF(L643&gt;=M643, "Balanced", "Premium"))</f>
        <v/>
      </c>
      <c r="R643" s="30" t="n">
        <v>0.9848728206333779</v>
      </c>
      <c r="S643" s="30" t="n">
        <v>0.01377519093575759</v>
      </c>
      <c r="T643" s="30" t="n">
        <v>0.001351988430864579</v>
      </c>
      <c r="U643" s="31">
        <f>ABS(E643-$G$6)</f>
        <v/>
      </c>
      <c r="V643" s="31">
        <f>ABS(E643-$G$7)</f>
        <v/>
      </c>
      <c r="W643" s="31">
        <f>ABS(E643-$G$8)</f>
        <v/>
      </c>
      <c r="X643" s="14">
        <f>IF(R643&gt;=MAX(S643,T643), "Hemat", IF(S643&gt;=T643, "Balanced", "Premium"))</f>
        <v/>
      </c>
    </row>
    <row r="644">
      <c r="A644" s="14" t="n">
        <v>633</v>
      </c>
      <c r="B644" s="7" t="inlineStr">
        <is>
          <t>WARUNG KALI TUMPANG</t>
        </is>
      </c>
      <c r="C644" s="26" t="n">
        <v>-8.008137400000001</v>
      </c>
      <c r="D644" s="26" t="n">
        <v>112.7513257</v>
      </c>
      <c r="E644" s="21" t="n">
        <v>22000</v>
      </c>
      <c r="F644" s="27" t="n">
        <v>4.4</v>
      </c>
      <c r="G644" s="28" t="n">
        <v>41</v>
      </c>
      <c r="H644" s="14" t="inlineStr">
        <is>
          <t>WARUNG KALI TUMPANG</t>
        </is>
      </c>
      <c r="I644" s="29">
        <f>6371 * 2 * ASIN(SQRT(SIN(RADIANS((C644) - INDEX('Dataset_Wisata'!$C$12:$C$622, MATCH('Dashboard'!$C$9, 'Dataset_Wisata'!$A$12:$A$622, 0)))/2)^2 + COS(RADIANS(INDEX('Dataset_Wisata'!$C$12:$C$622, MATCH('Dashboard'!$C$9, 'Dataset_Wisata'!$A$12:$A$622, 0)))) * COS(RADIANS(C644)) * SIN(RADIANS((D644) - INDEX('Dataset_Wisata'!$D$12:$D$622, MATCH('Dashboard'!$C$9, 'Dataset_Wisata'!$A$12:$A$622, 0)))/2)^2)) * 1.3</f>
        <v/>
      </c>
      <c r="J644" s="21">
        <f>ROUND(I644 * IF('Dashboard'!$C$6&lt;=1, 2250, IF('Dashboard'!$C$6&lt;=4, 5150, 6000)), 0)</f>
        <v/>
      </c>
      <c r="K644" s="30" t="n">
        <v>0.1261169361072687</v>
      </c>
      <c r="L644" s="30" t="n">
        <v>0.8607026272442547</v>
      </c>
      <c r="M644" s="30" t="n">
        <v>0.01318043664847662</v>
      </c>
      <c r="N644" s="31">
        <f>ABS(E644-$F$6)</f>
        <v/>
      </c>
      <c r="O644" s="31">
        <f>ABS(E644-$F$7)</f>
        <v/>
      </c>
      <c r="P644" s="31">
        <f>ABS(E644-$F$8)</f>
        <v/>
      </c>
      <c r="Q644" s="14">
        <f>IF(K644&gt;=MAX(L644,M644), "Hemat", IF(L644&gt;=M644, "Balanced", "Premium"))</f>
        <v/>
      </c>
      <c r="R644" s="30" t="n">
        <v>0.126116746000083</v>
      </c>
      <c r="S644" s="30" t="n">
        <v>0.8607028310146635</v>
      </c>
      <c r="T644" s="30" t="n">
        <v>0.01318042298525341</v>
      </c>
      <c r="U644" s="31">
        <f>ABS(E644-$G$6)</f>
        <v/>
      </c>
      <c r="V644" s="31">
        <f>ABS(E644-$G$7)</f>
        <v/>
      </c>
      <c r="W644" s="31">
        <f>ABS(E644-$G$8)</f>
        <v/>
      </c>
      <c r="X644" s="14">
        <f>IF(R644&gt;=MAX(S644,T644), "Hemat", IF(S644&gt;=T644, "Balanced", "Premium"))</f>
        <v/>
      </c>
    </row>
    <row r="645">
      <c r="A645" s="14" t="n">
        <v>634</v>
      </c>
      <c r="B645" s="7" t="inlineStr">
        <is>
          <t>Warung Nasi Widuri</t>
        </is>
      </c>
      <c r="C645" s="26" t="n">
        <v>-8.2419361</v>
      </c>
      <c r="D645" s="26" t="n">
        <v>112.8654329</v>
      </c>
      <c r="E645" s="21" t="n">
        <v>50600</v>
      </c>
      <c r="F645" s="27" t="n">
        <v>4.2</v>
      </c>
      <c r="G645" s="28" t="n">
        <v>20</v>
      </c>
      <c r="H645" s="14" t="inlineStr">
        <is>
          <t>Warung Nasi Widuri</t>
        </is>
      </c>
      <c r="I645" s="29">
        <f>6371 * 2 * ASIN(SQRT(SIN(RADIANS((C645) - INDEX('Dataset_Wisata'!$C$12:$C$622, MATCH('Dashboard'!$C$9, 'Dataset_Wisata'!$A$12:$A$622, 0)))/2)^2 + COS(RADIANS(INDEX('Dataset_Wisata'!$C$12:$C$622, MATCH('Dashboard'!$C$9, 'Dataset_Wisata'!$A$12:$A$622, 0)))) * COS(RADIANS(C645)) * SIN(RADIANS((D645) - INDEX('Dataset_Wisata'!$D$12:$D$622, MATCH('Dashboard'!$C$9, 'Dataset_Wisata'!$A$12:$A$622, 0)))/2)^2)) * 1.3</f>
        <v/>
      </c>
      <c r="J645" s="21">
        <f>ROUND(I645 * IF('Dashboard'!$C$6&lt;=1, 2250, IF('Dashboard'!$C$6&lt;=4, 5150, 6000)), 0)</f>
        <v/>
      </c>
      <c r="K645" s="30" t="n">
        <v>0.00144895566679074</v>
      </c>
      <c r="L645" s="30" t="n">
        <v>0.003179480587729936</v>
      </c>
      <c r="M645" s="30" t="n">
        <v>0.9953715637454792</v>
      </c>
      <c r="N645" s="31">
        <f>ABS(E645-$F$6)</f>
        <v/>
      </c>
      <c r="O645" s="31">
        <f>ABS(E645-$F$7)</f>
        <v/>
      </c>
      <c r="P645" s="31">
        <f>ABS(E645-$F$8)</f>
        <v/>
      </c>
      <c r="Q645" s="14">
        <f>IF(K645&gt;=MAX(L645,M645), "Hemat", IF(L645&gt;=M645, "Balanced", "Premium"))</f>
        <v/>
      </c>
      <c r="R645" s="30" t="n">
        <v>0.001448964509129371</v>
      </c>
      <c r="S645" s="30" t="n">
        <v>0.003179499424094571</v>
      </c>
      <c r="T645" s="30" t="n">
        <v>0.9953715360667761</v>
      </c>
      <c r="U645" s="31">
        <f>ABS(E645-$G$6)</f>
        <v/>
      </c>
      <c r="V645" s="31">
        <f>ABS(E645-$G$7)</f>
        <v/>
      </c>
      <c r="W645" s="31">
        <f>ABS(E645-$G$8)</f>
        <v/>
      </c>
      <c r="X645" s="14">
        <f>IF(R645&gt;=MAX(S645,T645), "Hemat", IF(S645&gt;=T645, "Balanced", "Premium"))</f>
        <v/>
      </c>
    </row>
    <row r="646">
      <c r="A646" s="14" t="n">
        <v>635</v>
      </c>
      <c r="B646" s="7" t="inlineStr">
        <is>
          <t>Kopi Koral (Warung Cak Sulis)</t>
        </is>
      </c>
      <c r="C646" s="26" t="n">
        <v>-8.2298741</v>
      </c>
      <c r="D646" s="26" t="n">
        <v>112.8443926</v>
      </c>
      <c r="E646" s="21" t="n">
        <v>33000</v>
      </c>
      <c r="F646" s="27" t="n">
        <v>3.9</v>
      </c>
      <c r="G646" s="28" t="n">
        <v>84</v>
      </c>
      <c r="H646" s="14" t="inlineStr">
        <is>
          <t>Kopi Koral (Warung Cak Sulis)</t>
        </is>
      </c>
      <c r="I646" s="29">
        <f>6371 * 2 * ASIN(SQRT(SIN(RADIANS((C646) - INDEX('Dataset_Wisata'!$C$12:$C$622, MATCH('Dashboard'!$C$9, 'Dataset_Wisata'!$A$12:$A$622, 0)))/2)^2 + COS(RADIANS(INDEX('Dataset_Wisata'!$C$12:$C$622, MATCH('Dashboard'!$C$9, 'Dataset_Wisata'!$A$12:$A$622, 0)))) * COS(RADIANS(C646)) * SIN(RADIANS((D646) - INDEX('Dataset_Wisata'!$D$12:$D$622, MATCH('Dashboard'!$C$9, 'Dataset_Wisata'!$A$12:$A$622, 0)))/2)^2)) * 1.3</f>
        <v/>
      </c>
      <c r="J646" s="21">
        <f>ROUND(I646 * IF('Dashboard'!$C$6&lt;=1, 2250, IF('Dashboard'!$C$6&lt;=4, 5150, 6000)), 0)</f>
        <v/>
      </c>
      <c r="K646" s="30" t="n">
        <v>0.10861041994228</v>
      </c>
      <c r="L646" s="30" t="n">
        <v>0.7288668914478508</v>
      </c>
      <c r="M646" s="30" t="n">
        <v>0.1625226886098691</v>
      </c>
      <c r="N646" s="31">
        <f>ABS(E646-$F$6)</f>
        <v/>
      </c>
      <c r="O646" s="31">
        <f>ABS(E646-$F$7)</f>
        <v/>
      </c>
      <c r="P646" s="31">
        <f>ABS(E646-$F$8)</f>
        <v/>
      </c>
      <c r="Q646" s="14">
        <f>IF(K646&gt;=MAX(L646,M646), "Hemat", IF(L646&gt;=M646, "Balanced", "Premium"))</f>
        <v/>
      </c>
      <c r="R646" s="30" t="n">
        <v>0.108610459682065</v>
      </c>
      <c r="S646" s="30" t="n">
        <v>0.7288666932611487</v>
      </c>
      <c r="T646" s="30" t="n">
        <v>0.1625228470567863</v>
      </c>
      <c r="U646" s="31">
        <f>ABS(E646-$G$6)</f>
        <v/>
      </c>
      <c r="V646" s="31">
        <f>ABS(E646-$G$7)</f>
        <v/>
      </c>
      <c r="W646" s="31">
        <f>ABS(E646-$G$8)</f>
        <v/>
      </c>
      <c r="X646" s="14">
        <f>IF(R646&gt;=MAX(S646,T646), "Hemat", IF(S646&gt;=T646, "Balanced", "Premium"))</f>
        <v/>
      </c>
    </row>
    <row r="647">
      <c r="A647" s="14" t="n">
        <v>636</v>
      </c>
      <c r="B647" s="7" t="inlineStr">
        <is>
          <t>Bakso Ndoweh</t>
        </is>
      </c>
      <c r="C647" s="26" t="n">
        <v>-8.2164287</v>
      </c>
      <c r="D647" s="26" t="n">
        <v>112.84097</v>
      </c>
      <c r="E647" s="21" t="n">
        <v>13000</v>
      </c>
      <c r="F647" s="27" t="n">
        <v>4</v>
      </c>
      <c r="G647" s="28" t="n">
        <v>57</v>
      </c>
      <c r="H647" s="14" t="inlineStr">
        <is>
          <t>Wisata Umum</t>
        </is>
      </c>
      <c r="I647" s="29">
        <f>6371 * 2 * ASIN(SQRT(SIN(RADIANS((C647) - INDEX('Dataset_Wisata'!$C$12:$C$622, MATCH('Dashboard'!$C$9, 'Dataset_Wisata'!$A$12:$A$622, 0)))/2)^2 + COS(RADIANS(INDEX('Dataset_Wisata'!$C$12:$C$622, MATCH('Dashboard'!$C$9, 'Dataset_Wisata'!$A$12:$A$622, 0)))) * COS(RADIANS(C647)) * SIN(RADIANS((D647) - INDEX('Dataset_Wisata'!$D$12:$D$622, MATCH('Dashboard'!$C$9, 'Dataset_Wisata'!$A$12:$A$622, 0)))/2)^2)) * 1.3</f>
        <v/>
      </c>
      <c r="J647" s="21">
        <f>ROUND(I647 * IF('Dashboard'!$C$6&lt;=1, 2250, IF('Dashboard'!$C$6&lt;=4, 5150, 6000)), 0)</f>
        <v/>
      </c>
      <c r="K647" s="30" t="n">
        <v>0.9996613401455278</v>
      </c>
      <c r="L647" s="30" t="n">
        <v>0.0003032413982241428</v>
      </c>
      <c r="M647" s="30" t="n">
        <v>3.541845624800055e-05</v>
      </c>
      <c r="N647" s="31">
        <f>ABS(E647-$F$6)</f>
        <v/>
      </c>
      <c r="O647" s="31">
        <f>ABS(E647-$F$7)</f>
        <v/>
      </c>
      <c r="P647" s="31">
        <f>ABS(E647-$F$8)</f>
        <v/>
      </c>
      <c r="Q647" s="14">
        <f>IF(K647&gt;=MAX(L647,M647), "Hemat", IF(L647&gt;=M647, "Balanced", "Premium"))</f>
        <v/>
      </c>
      <c r="R647" s="30" t="n">
        <v>0.9996613420378273</v>
      </c>
      <c r="S647" s="30" t="n">
        <v>0.0003032397098959421</v>
      </c>
      <c r="T647" s="30" t="n">
        <v>3.541825227674828e-05</v>
      </c>
      <c r="U647" s="31">
        <f>ABS(E647-$G$6)</f>
        <v/>
      </c>
      <c r="V647" s="31">
        <f>ABS(E647-$G$7)</f>
        <v/>
      </c>
      <c r="W647" s="31">
        <f>ABS(E647-$G$8)</f>
        <v/>
      </c>
      <c r="X647" s="14">
        <f>IF(R647&gt;=MAX(S647,T647), "Hemat", IF(S647&gt;=T647, "Balanced", "Premium"))</f>
        <v/>
      </c>
    </row>
    <row r="648">
      <c r="A648" s="14" t="n">
        <v>637</v>
      </c>
      <c r="B648" s="7" t="inlineStr">
        <is>
          <t>Pondok Tubing Cafe</t>
        </is>
      </c>
      <c r="C648" s="26" t="n">
        <v>-8.015025400000001</v>
      </c>
      <c r="D648" s="26" t="n">
        <v>112.8501138</v>
      </c>
      <c r="E648" s="21" t="n">
        <v>13000</v>
      </c>
      <c r="F648" s="27" t="n">
        <v>4.3</v>
      </c>
      <c r="G648" s="28" t="n">
        <v>294</v>
      </c>
      <c r="H648" s="14" t="inlineStr">
        <is>
          <t>Wisata Umum</t>
        </is>
      </c>
      <c r="I648" s="29">
        <f>6371 * 2 * ASIN(SQRT(SIN(RADIANS((C648) - INDEX('Dataset_Wisata'!$C$12:$C$622, MATCH('Dashboard'!$C$9, 'Dataset_Wisata'!$A$12:$A$622, 0)))/2)^2 + COS(RADIANS(INDEX('Dataset_Wisata'!$C$12:$C$622, MATCH('Dashboard'!$C$9, 'Dataset_Wisata'!$A$12:$A$622, 0)))) * COS(RADIANS(C648)) * SIN(RADIANS((D648) - INDEX('Dataset_Wisata'!$D$12:$D$622, MATCH('Dashboard'!$C$9, 'Dataset_Wisata'!$A$12:$A$622, 0)))/2)^2)) * 1.3</f>
        <v/>
      </c>
      <c r="J648" s="21">
        <f>ROUND(I648 * IF('Dashboard'!$C$6&lt;=1, 2250, IF('Dashboard'!$C$6&lt;=4, 5150, 6000)), 0)</f>
        <v/>
      </c>
      <c r="K648" s="30" t="n">
        <v>0.9996613401455278</v>
      </c>
      <c r="L648" s="30" t="n">
        <v>0.0003032413982241428</v>
      </c>
      <c r="M648" s="30" t="n">
        <v>3.541845624800055e-05</v>
      </c>
      <c r="N648" s="31">
        <f>ABS(E648-$F$6)</f>
        <v/>
      </c>
      <c r="O648" s="31">
        <f>ABS(E648-$F$7)</f>
        <v/>
      </c>
      <c r="P648" s="31">
        <f>ABS(E648-$F$8)</f>
        <v/>
      </c>
      <c r="Q648" s="14">
        <f>IF(K648&gt;=MAX(L648,M648), "Hemat", IF(L648&gt;=M648, "Balanced", "Premium"))</f>
        <v/>
      </c>
      <c r="R648" s="30" t="n">
        <v>0.9996613420378273</v>
      </c>
      <c r="S648" s="30" t="n">
        <v>0.0003032397098959421</v>
      </c>
      <c r="T648" s="30" t="n">
        <v>3.541825227674828e-05</v>
      </c>
      <c r="U648" s="31">
        <f>ABS(E648-$G$6)</f>
        <v/>
      </c>
      <c r="V648" s="31">
        <f>ABS(E648-$G$7)</f>
        <v/>
      </c>
      <c r="W648" s="31">
        <f>ABS(E648-$G$8)</f>
        <v/>
      </c>
      <c r="X648" s="14">
        <f>IF(R648&gt;=MAX(S648,T648), "Hemat", IF(S648&gt;=T648, "Balanced", "Premium"))</f>
        <v/>
      </c>
    </row>
    <row r="649">
      <c r="A649" s="14" t="n">
        <v>638</v>
      </c>
      <c r="B649" s="7" t="inlineStr">
        <is>
          <t>Warung kopi Mbak Yun</t>
        </is>
      </c>
      <c r="C649" s="26" t="n">
        <v>-8.013639</v>
      </c>
      <c r="D649" s="26" t="n">
        <v>112.8529304</v>
      </c>
      <c r="E649" s="21" t="n">
        <v>17000</v>
      </c>
      <c r="F649" s="27" t="n">
        <v>4.9</v>
      </c>
      <c r="G649" s="28" t="n">
        <v>25</v>
      </c>
      <c r="H649" s="14" t="inlineStr">
        <is>
          <t>Warung kopi Mbak Yun</t>
        </is>
      </c>
      <c r="I649" s="29">
        <f>6371 * 2 * ASIN(SQRT(SIN(RADIANS((C649) - INDEX('Dataset_Wisata'!$C$12:$C$622, MATCH('Dashboard'!$C$9, 'Dataset_Wisata'!$A$12:$A$622, 0)))/2)^2 + COS(RADIANS(INDEX('Dataset_Wisata'!$C$12:$C$622, MATCH('Dashboard'!$C$9, 'Dataset_Wisata'!$A$12:$A$622, 0)))) * COS(RADIANS(C649)) * SIN(RADIANS((D649) - INDEX('Dataset_Wisata'!$D$12:$D$622, MATCH('Dashboard'!$C$9, 'Dataset_Wisata'!$A$12:$A$622, 0)))/2)^2)) * 1.3</f>
        <v/>
      </c>
      <c r="J649" s="21">
        <f>ROUND(I649 * IF('Dashboard'!$C$6&lt;=1, 2250, IF('Dashboard'!$C$6&lt;=4, 5150, 6000)), 0)</f>
        <v/>
      </c>
      <c r="K649" s="30" t="n">
        <v>0.8205766965551228</v>
      </c>
      <c r="L649" s="30" t="n">
        <v>0.1680685555538888</v>
      </c>
      <c r="M649" s="30" t="n">
        <v>0.01135474789098826</v>
      </c>
      <c r="N649" s="31">
        <f>ABS(E649-$F$6)</f>
        <v/>
      </c>
      <c r="O649" s="31">
        <f>ABS(E649-$F$7)</f>
        <v/>
      </c>
      <c r="P649" s="31">
        <f>ABS(E649-$F$8)</f>
        <v/>
      </c>
      <c r="Q649" s="14">
        <f>IF(K649&gt;=MAX(L649,M649), "Hemat", IF(L649&gt;=M649, "Balanced", "Premium"))</f>
        <v/>
      </c>
      <c r="R649" s="30" t="n">
        <v>0.8205765551569555</v>
      </c>
      <c r="S649" s="30" t="n">
        <v>0.1680686919268015</v>
      </c>
      <c r="T649" s="30" t="n">
        <v>0.01135475291624307</v>
      </c>
      <c r="U649" s="31">
        <f>ABS(E649-$G$6)</f>
        <v/>
      </c>
      <c r="V649" s="31">
        <f>ABS(E649-$G$7)</f>
        <v/>
      </c>
      <c r="W649" s="31">
        <f>ABS(E649-$G$8)</f>
        <v/>
      </c>
      <c r="X649" s="14">
        <f>IF(R649&gt;=MAX(S649,T649), "Hemat", IF(S649&gt;=T649, "Balanced", "Premium"))</f>
        <v/>
      </c>
    </row>
    <row r="650">
      <c r="A650" s="14" t="n">
        <v>639</v>
      </c>
      <c r="B650" s="7" t="inlineStr">
        <is>
          <t>Gubug bromo</t>
        </is>
      </c>
      <c r="C650" s="26" t="n">
        <v>-8.015302699999999</v>
      </c>
      <c r="D650" s="26" t="n">
        <v>112.8466309</v>
      </c>
      <c r="E650" s="21" t="n">
        <v>35000</v>
      </c>
      <c r="F650" s="27" t="n">
        <v>4.6</v>
      </c>
      <c r="G650" s="28" t="n">
        <v>81</v>
      </c>
      <c r="H650" s="14" t="inlineStr">
        <is>
          <t>Kafe · pelangi, Jl. Coban</t>
        </is>
      </c>
      <c r="I650" s="29">
        <f>6371 * 2 * ASIN(SQRT(SIN(RADIANS((C650) - INDEX('Dataset_Wisata'!$C$12:$C$622, MATCH('Dashboard'!$C$9, 'Dataset_Wisata'!$A$12:$A$622, 0)))/2)^2 + COS(RADIANS(INDEX('Dataset_Wisata'!$C$12:$C$622, MATCH('Dashboard'!$C$9, 'Dataset_Wisata'!$A$12:$A$622, 0)))) * COS(RADIANS(C650)) * SIN(RADIANS((D650) - INDEX('Dataset_Wisata'!$D$12:$D$622, MATCH('Dashboard'!$C$9, 'Dataset_Wisata'!$A$12:$A$622, 0)))/2)^2)) * 1.3</f>
        <v/>
      </c>
      <c r="J650" s="21">
        <f>ROUND(I650 * IF('Dashboard'!$C$6&lt;=1, 2250, IF('Dashboard'!$C$6&lt;=4, 5150, 6000)), 0)</f>
        <v/>
      </c>
      <c r="K650" s="30" t="n">
        <v>0.1180363738016001</v>
      </c>
      <c r="L650" s="30" t="n">
        <v>0.6031234159427236</v>
      </c>
      <c r="M650" s="30" t="n">
        <v>0.2788402102556763</v>
      </c>
      <c r="N650" s="31">
        <f>ABS(E650-$F$6)</f>
        <v/>
      </c>
      <c r="O650" s="31">
        <f>ABS(E650-$F$7)</f>
        <v/>
      </c>
      <c r="P650" s="31">
        <f>ABS(E650-$F$8)</f>
        <v/>
      </c>
      <c r="Q650" s="14">
        <f>IF(K650&gt;=MAX(L650,M650), "Hemat", IF(L650&gt;=M650, "Balanced", "Premium"))</f>
        <v/>
      </c>
      <c r="R650" s="30" t="n">
        <v>0.1180363868732592</v>
      </c>
      <c r="S650" s="30" t="n">
        <v>0.6031231824504402</v>
      </c>
      <c r="T650" s="30" t="n">
        <v>0.2788404306763005</v>
      </c>
      <c r="U650" s="31">
        <f>ABS(E650-$G$6)</f>
        <v/>
      </c>
      <c r="V650" s="31">
        <f>ABS(E650-$G$7)</f>
        <v/>
      </c>
      <c r="W650" s="31">
        <f>ABS(E650-$G$8)</f>
        <v/>
      </c>
      <c r="X650" s="14">
        <f>IF(R650&gt;=MAX(S650,T650), "Hemat", IF(S650&gt;=T650, "Balanced", "Premium"))</f>
        <v/>
      </c>
    </row>
    <row r="651">
      <c r="A651" s="14" t="n">
        <v>640</v>
      </c>
      <c r="B651" s="7" t="inlineStr">
        <is>
          <t>Chill coffee</t>
        </is>
      </c>
      <c r="C651" s="26" t="n">
        <v>-8.0150703</v>
      </c>
      <c r="D651" s="26" t="n">
        <v>112.8490437</v>
      </c>
      <c r="E651" s="21" t="n">
        <v>20000</v>
      </c>
      <c r="F651" s="27" t="n">
        <v>4.3</v>
      </c>
      <c r="G651" s="28" t="n">
        <v>220</v>
      </c>
      <c r="H651" s="14" t="inlineStr">
        <is>
          <t>Restoran · Jl. Raya Gubugklakah</t>
        </is>
      </c>
      <c r="I651" s="29">
        <f>6371 * 2 * ASIN(SQRT(SIN(RADIANS((C651) - INDEX('Dataset_Wisata'!$C$12:$C$622, MATCH('Dashboard'!$C$9, 'Dataset_Wisata'!$A$12:$A$622, 0)))/2)^2 + COS(RADIANS(INDEX('Dataset_Wisata'!$C$12:$C$622, MATCH('Dashboard'!$C$9, 'Dataset_Wisata'!$A$12:$A$622, 0)))) * COS(RADIANS(C651)) * SIN(RADIANS((D651) - INDEX('Dataset_Wisata'!$D$12:$D$622, MATCH('Dashboard'!$C$9, 'Dataset_Wisata'!$A$12:$A$622, 0)))/2)^2)) * 1.3</f>
        <v/>
      </c>
      <c r="J651" s="21">
        <f>ROUND(I651 * IF('Dashboard'!$C$6&lt;=1, 2250, IF('Dashboard'!$C$6&lt;=4, 5150, 6000)), 0)</f>
        <v/>
      </c>
      <c r="K651" s="30" t="n">
        <v>0.3766864462048385</v>
      </c>
      <c r="L651" s="30" t="n">
        <v>0.6029404273516955</v>
      </c>
      <c r="M651" s="30" t="n">
        <v>0.02037312644346593</v>
      </c>
      <c r="N651" s="31">
        <f>ABS(E651-$F$6)</f>
        <v/>
      </c>
      <c r="O651" s="31">
        <f>ABS(E651-$F$7)</f>
        <v/>
      </c>
      <c r="P651" s="31">
        <f>ABS(E651-$F$8)</f>
        <v/>
      </c>
      <c r="Q651" s="14">
        <f>IF(K651&gt;=MAX(L651,M651), "Hemat", IF(L651&gt;=M651, "Balanced", "Premium"))</f>
        <v/>
      </c>
      <c r="R651" s="30" t="n">
        <v>0.3766861717192874</v>
      </c>
      <c r="S651" s="30" t="n">
        <v>0.6029407066601674</v>
      </c>
      <c r="T651" s="30" t="n">
        <v>0.02037312162054524</v>
      </c>
      <c r="U651" s="31">
        <f>ABS(E651-$G$6)</f>
        <v/>
      </c>
      <c r="V651" s="31">
        <f>ABS(E651-$G$7)</f>
        <v/>
      </c>
      <c r="W651" s="31">
        <f>ABS(E651-$G$8)</f>
        <v/>
      </c>
      <c r="X651" s="14">
        <f>IF(R651&gt;=MAX(S651,T651), "Hemat", IF(S651&gt;=T651, "Balanced", "Premium"))</f>
        <v/>
      </c>
    </row>
  </sheetData>
  <mergeCells count="32">
    <mergeCell ref="P10:P11"/>
    <mergeCell ref="C10:C11"/>
    <mergeCell ref="E10:E11"/>
    <mergeCell ref="V10:V11"/>
    <mergeCell ref="A6:B6"/>
    <mergeCell ref="G10:G11"/>
    <mergeCell ref="M10:M11"/>
    <mergeCell ref="Q10:Q11"/>
    <mergeCell ref="S10:S11"/>
    <mergeCell ref="A7:B7"/>
    <mergeCell ref="B10:B11"/>
    <mergeCell ref="A1:X2"/>
    <mergeCell ref="A4:C4"/>
    <mergeCell ref="L10:L11"/>
    <mergeCell ref="X10:X11"/>
    <mergeCell ref="N10:N11"/>
    <mergeCell ref="E4:H4"/>
    <mergeCell ref="A5:B5"/>
    <mergeCell ref="A10:A11"/>
    <mergeCell ref="A8:B8"/>
    <mergeCell ref="I10:I11"/>
    <mergeCell ref="U10:U11"/>
    <mergeCell ref="K10:K11"/>
    <mergeCell ref="W10:W11"/>
    <mergeCell ref="O10:O11"/>
    <mergeCell ref="D10:D11"/>
    <mergeCell ref="R10:R11"/>
    <mergeCell ref="A9:B9"/>
    <mergeCell ref="F10:F11"/>
    <mergeCell ref="H10:H11"/>
    <mergeCell ref="T10:T11"/>
    <mergeCell ref="J10:J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8" customWidth="1" min="3" max="3"/>
    <col width="19" customWidth="1" min="4" max="4"/>
    <col width="17" customWidth="1" min="5" max="5"/>
    <col width="21" customWidth="1" min="6" max="6"/>
    <col width="19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EVALUASI METODE KLASTERING &amp; INDEKS VALIDITAS XIE-BENI</t>
        </is>
      </c>
    </row>
    <row r="2"/>
    <row r="3"/>
    <row r="4">
      <c r="A4" s="2" t="inlineStr">
        <is>
          <t>ANALISIS VALIDITAS KLASTER SECARA FORMULA AKTIF (PERSAMAAN 2.6 - 2.8)</t>
        </is>
      </c>
    </row>
    <row r="5">
      <c r="A5" s="24" t="inlineStr">
        <is>
          <t>Parameter Evaluasi</t>
        </is>
      </c>
      <c r="B5" s="24" t="inlineStr">
        <is>
          <t>Wisata (Standard)</t>
        </is>
      </c>
      <c r="C5" s="24" t="inlineStr">
        <is>
          <t>Wisata (Budget)</t>
        </is>
      </c>
      <c r="D5" s="24" t="inlineStr">
        <is>
          <t>Hotel (Standard)</t>
        </is>
      </c>
      <c r="E5" s="24" t="inlineStr">
        <is>
          <t>Hotel (Budget)</t>
        </is>
      </c>
      <c r="F5" s="24" t="inlineStr">
        <is>
          <t>Kuliner (Standard)</t>
        </is>
      </c>
      <c r="G5" s="24" t="inlineStr">
        <is>
          <t>Kuliner (Budget)</t>
        </is>
      </c>
    </row>
    <row r="6">
      <c r="A6" s="11" t="inlineStr">
        <is>
          <t>Banyak Sampel Data (n)</t>
        </is>
      </c>
      <c r="B6" s="32">
        <f>'Dataset_Wisata'!C5</f>
        <v/>
      </c>
      <c r="C6" s="32">
        <f>'Dataset_Wisata'!C5</f>
        <v/>
      </c>
      <c r="D6" s="32">
        <f>'Dataset_Hotel'!C5</f>
        <v/>
      </c>
      <c r="E6" s="32">
        <f>'Dataset_Hotel'!C5</f>
        <v/>
      </c>
      <c r="F6" s="32">
        <f>'Dataset_Kuliner'!C5</f>
        <v/>
      </c>
      <c r="G6" s="32">
        <f>'Dataset_Kuliner'!C5</f>
        <v/>
      </c>
    </row>
    <row r="7">
      <c r="A7" s="15" t="inlineStr">
        <is>
          <t>Pangkat Fuzzifier (m)</t>
        </is>
      </c>
      <c r="B7" s="14" t="n">
        <v>2</v>
      </c>
      <c r="C7" s="14" t="n">
        <v>2</v>
      </c>
      <c r="D7" s="14" t="n">
        <v>2</v>
      </c>
      <c r="E7" s="14" t="n">
        <v>2</v>
      </c>
      <c r="F7" s="14" t="n">
        <v>2</v>
      </c>
      <c r="G7" s="14" t="n">
        <v>2</v>
      </c>
    </row>
    <row r="8">
      <c r="A8" s="11" t="inlineStr">
        <is>
          <t>Total Variansi Intra-Klaster (σ) [Eq. 2.6]</t>
        </is>
      </c>
      <c r="B8" s="28">
        <f>SUMPRODUCT('Dataset_Wisata'!K12:K622, 'Dataset_Wisata'!K12:K622, 'Dataset_Wisata'!N12:N622, 'Dataset_Wisata'!N12:N622) + SUMPRODUCT('Dataset_Wisata'!L12:L622, 'Dataset_Wisata'!L12:L622, 'Dataset_Wisata'!O12:O622, 'Dataset_Wisata'!O12:O622) + SUMPRODUCT('Dataset_Wisata'!M12:M622, 'Dataset_Wisata'!M12:M622, 'Dataset_Wisata'!P12:P622, 'Dataset_Wisata'!P12:P622)</f>
        <v/>
      </c>
      <c r="C8" s="28">
        <f>SUMPRODUCT('Dataset_Wisata'!R12:R622, 'Dataset_Wisata'!R12:R622, 'Dataset_Wisata'!U12:U622, 'Dataset_Wisata'!U12:U622) + SUMPRODUCT('Dataset_Wisata'!S12:S622, 'Dataset_Wisata'!S12:S622, 'Dataset_Wisata'!V12:V622, 'Dataset_Wisata'!V12:V622) + SUMPRODUCT('Dataset_Wisata'!T12:T622, 'Dataset_Wisata'!T12:T622, 'Dataset_Wisata'!W12:W622, 'Dataset_Wisata'!W12:W622)</f>
        <v/>
      </c>
      <c r="D8" s="28">
        <f>SUMPRODUCT('Dataset_Hotel'!K12:K478, 'Dataset_Hotel'!K12:K478, 'Dataset_Hotel'!N12:N478, 'Dataset_Hotel'!N12:N478) + SUMPRODUCT('Dataset_Hotel'!L12:L478, 'Dataset_Hotel'!L12:L478, 'Dataset_Hotel'!O12:O478, 'Dataset_Hotel'!O12:O478) + SUMPRODUCT('Dataset_Hotel'!M12:M478, 'Dataset_Hotel'!M12:M478, 'Dataset_Hotel'!P12:P478, 'Dataset_Hotel'!P12:P478)</f>
        <v/>
      </c>
      <c r="E8" s="28">
        <f>SUMPRODUCT('Dataset_Hotel'!R12:R478, 'Dataset_Hotel'!R12:R478, 'Dataset_Hotel'!U12:U478, 'Dataset_Hotel'!U12:U478) + SUMPRODUCT('Dataset_Hotel'!S12:S478, 'Dataset_Hotel'!S12:S478, 'Dataset_Hotel'!V12:V478, 'Dataset_Hotel'!V12:V478) + SUMPRODUCT('Dataset_Hotel'!T12:T478, 'Dataset_Hotel'!T12:T478, 'Dataset_Hotel'!W12:W478, 'Dataset_Hotel'!W12:W478)</f>
        <v/>
      </c>
      <c r="F8" s="28">
        <f>SUMPRODUCT('Dataset_Kuliner'!K12:K651, 'Dataset_Kuliner'!K12:K651, 'Dataset_Kuliner'!N12:N651, 'Dataset_Kuliner'!N12:N651) + SUMPRODUCT('Dataset_Kuliner'!L12:L651, 'Dataset_Kuliner'!L12:L651, 'Dataset_Kuliner'!O12:O651, 'Dataset_Kuliner'!O12:O651) + SUMPRODUCT('Dataset_Kuliner'!M12:M651, 'Dataset_Kuliner'!M12:M651, 'Dataset_Kuliner'!P12:P651, 'Dataset_Kuliner'!P12:P651)</f>
        <v/>
      </c>
      <c r="G8" s="28">
        <f>SUMPRODUCT('Dataset_Kuliner'!R12:R651, 'Dataset_Kuliner'!R12:R651, 'Dataset_Kuliner'!U12:U651, 'Dataset_Kuliner'!U12:U651) + SUMPRODUCT('Dataset_Kuliner'!S12:S651, 'Dataset_Kuliner'!S12:S651, 'Dataset_Kuliner'!V12:V651, 'Dataset_Kuliner'!V12:V651) + SUMPRODUCT('Dataset_Kuliner'!T12:T651, 'Dataset_Kuliner'!T12:T651, 'Dataset_Kuliner'!W12:W651, 'Dataset_Kuliner'!W12:W651)</f>
        <v/>
      </c>
    </row>
    <row r="9">
      <c r="A9" s="11" t="inlineStr">
        <is>
          <t>Separasi Centroid Minimum (sep) [Eq. 2.7]</t>
        </is>
      </c>
      <c r="B9" s="28">
        <f>MIN(('Dataset_Wisata'!F6-'Dataset_Wisata'!F7)^2, ('Dataset_Wisata'!F7-'Dataset_Wisata'!F8)^2, ('Dataset_Wisata'!F6-'Dataset_Wisata'!F8)^2)</f>
        <v/>
      </c>
      <c r="C9" s="28">
        <f>MIN(('Dataset_Wisata'!G6-'Dataset_Wisata'!G7)^2, ('Dataset_Wisata'!G7-'Dataset_Wisata'!G8)^2, ('Dataset_Wisata'!G6-'Dataset_Wisata'!G8)^2)</f>
        <v/>
      </c>
      <c r="D9" s="28">
        <f>MIN(('Dataset_Hotel'!F6-'Dataset_Hotel'!F7)^2, ('Dataset_Hotel'!F7-'Dataset_Hotel'!F8)^2, ('Dataset_Hotel'!F6-'Dataset_Hotel'!F8)^2)</f>
        <v/>
      </c>
      <c r="E9" s="28">
        <f>MIN(('Dataset_Hotel'!G6-'Dataset_Hotel'!G7)^2, ('Dataset_Hotel'!G7-'Dataset_Hotel'!G8)^2, ('Dataset_Hotel'!G6-'Dataset_Hotel'!G8)^2)</f>
        <v/>
      </c>
      <c r="F9" s="28">
        <f>MIN(('Dataset_Kuliner'!F6-'Dataset_Kuliner'!F7)^2, ('Dataset_Kuliner'!F7-'Dataset_Kuliner'!F8)^2, ('Dataset_Kuliner'!F6-'Dataset_Kuliner'!F8)^2)</f>
        <v/>
      </c>
      <c r="G9" s="28">
        <f>MIN(('Dataset_Kuliner'!G6-'Dataset_Kuliner'!G7)^2, ('Dataset_Kuliner'!G7-'Dataset_Kuliner'!G8)^2, ('Dataset_Kuliner'!G6-'Dataset_Kuliner'!G8)^2)</f>
        <v/>
      </c>
    </row>
    <row r="10">
      <c r="A10" s="33" t="inlineStr">
        <is>
          <t>Indeks Xie-Beni (XB) [Eq. 2.8]</t>
        </is>
      </c>
      <c r="B10" s="34">
        <f>IFERROR(B8 / (B6 * B9), 0)</f>
        <v/>
      </c>
      <c r="C10" s="34">
        <f>IFERROR(C8 / (C6 * C9), 0)</f>
        <v/>
      </c>
      <c r="D10" s="34">
        <f>IFERROR(D8 / (D6 * D9), 0)</f>
        <v/>
      </c>
      <c r="E10" s="34">
        <f>IFERROR(E8 / (E6 * E9), 0)</f>
        <v/>
      </c>
      <c r="F10" s="34">
        <f>IFERROR(F8 / (F6 * F9), 0)</f>
        <v/>
      </c>
      <c r="G10" s="34">
        <f>IFERROR(G8 / (G6 * G9), 0)</f>
        <v/>
      </c>
    </row>
  </sheetData>
  <mergeCells count="2">
    <mergeCell ref="A4:H4"/>
    <mergeCell ref="A1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45" customWidth="1" min="3" max="3"/>
    <col width="20" customWidth="1" min="4" max="4"/>
    <col width="20" customWidth="1" min="5" max="5"/>
    <col width="42" customWidth="1" min="6" max="6"/>
    <col width="21" customWidth="1" min="7" max="7"/>
    <col width="21" customWidth="1" min="8" max="8"/>
    <col width="33" customWidth="1" min="9" max="9"/>
    <col width="22" customWidth="1" min="10" max="10"/>
    <col width="22" customWidth="1" min="11" max="11"/>
    <col width="23" customWidth="1" min="12" max="12"/>
    <col width="23" customWidth="1" min="13" max="13"/>
    <col width="28" customWidth="1" min="14" max="14"/>
    <col width="19" customWidth="1" min="15" max="15"/>
    <col width="19" customWidth="1" min="16" max="16"/>
  </cols>
  <sheetData>
    <row r="1">
      <c r="A1" s="1" t="inlineStr">
        <is>
          <t>WORKFLOW SIMULASI REKOMENDASI - BUDGETFIRST</t>
        </is>
      </c>
    </row>
    <row r="2"/>
    <row r="3"/>
    <row r="4">
      <c r="A4" s="2" t="inlineStr">
        <is>
          <t>RUJUKAN KENDALA ANGGARAN &amp; KAPASITAS (FORMULA DARI DASHBOARD)</t>
        </is>
      </c>
    </row>
    <row r="5">
      <c r="A5" s="11" t="inlineStr">
        <is>
          <t>Total Budget Wisatawan</t>
        </is>
      </c>
      <c r="B5" s="35">
        <f>'Dashboard'!C5</f>
        <v/>
      </c>
    </row>
    <row r="6">
      <c r="A6" s="15" t="inlineStr">
        <is>
          <t>Jumlah Orang (Peserta)</t>
        </is>
      </c>
      <c r="B6" s="14">
        <f>'Dashboard'!C6</f>
        <v/>
      </c>
    </row>
    <row r="7">
      <c r="A7" s="15" t="inlineStr">
        <is>
          <t>Durasi Liburan (Hari)</t>
        </is>
      </c>
      <c r="B7" s="14">
        <f>'Dashboard'!C7</f>
        <v/>
      </c>
    </row>
    <row r="8">
      <c r="A8" s="15" t="inlineStr">
        <is>
          <t>Kamar Hotel yang Butuh</t>
        </is>
      </c>
      <c r="B8" s="14">
        <f>ROUNDUP('Dashboard'!C6/2, 0)</f>
        <v/>
      </c>
    </row>
    <row r="9">
      <c r="A9" s="15" t="inlineStr">
        <is>
          <t>Malam Menginap</t>
        </is>
      </c>
      <c r="B9" s="14">
        <f>MAX('Dashboard'!C7-1, 1)</f>
        <v/>
      </c>
    </row>
    <row r="10"/>
    <row r="11">
      <c r="A11" s="24" t="inlineStr">
        <is>
          <t>Kelas Paket</t>
        </is>
      </c>
      <c r="B11" s="24" t="inlineStr">
        <is>
          <t>No</t>
        </is>
      </c>
      <c r="C11" s="24" t="inlineStr">
        <is>
          <t>Nama Hotel</t>
        </is>
      </c>
      <c r="D11" s="24" t="inlineStr">
        <is>
          <t>Harga Hotel/Malam</t>
        </is>
      </c>
      <c r="E11" s="24" t="inlineStr">
        <is>
          <t>Biaya Hotel Total</t>
        </is>
      </c>
      <c r="F11" s="24" t="inlineStr">
        <is>
          <t>Nama Wisata Pilihan</t>
        </is>
      </c>
      <c r="G11" s="24" t="inlineStr">
        <is>
          <t>Harga Tiket Satuan</t>
        </is>
      </c>
      <c r="H11" s="24" t="inlineStr">
        <is>
          <t>Biaya Wisata Total</t>
        </is>
      </c>
      <c r="I11" s="24" t="inlineStr">
        <is>
          <t>Nama Kuliner Pilihan</t>
        </is>
      </c>
      <c r="J11" s="24" t="inlineStr">
        <is>
          <t>Harga Kuliner/Porsi</t>
        </is>
      </c>
      <c r="K11" s="24" t="inlineStr">
        <is>
          <t>Biaya Kuliner Total</t>
        </is>
      </c>
      <c r="L11" s="24" t="inlineStr">
        <is>
          <t>Rute Geospasial (km)</t>
        </is>
      </c>
      <c r="M11" s="24" t="inlineStr">
        <is>
          <t>Estimasi Ongkir (Rp)</t>
        </is>
      </c>
      <c r="N11" s="24" t="inlineStr">
        <is>
          <t>ESTIMASI TOTAL BIAYA (Rp)</t>
        </is>
      </c>
      <c r="O11" s="24" t="inlineStr">
        <is>
          <t>SISA BUDGET (Rp)</t>
        </is>
      </c>
      <c r="P11" s="24" t="inlineStr">
        <is>
          <t>STATUS KELAYAKAN</t>
        </is>
      </c>
    </row>
    <row r="12">
      <c r="A12" s="36" t="inlineStr">
        <is>
          <t>HEMAT</t>
        </is>
      </c>
      <c r="B12" s="14" t="inlineStr">
        <is>
          <t>Opsi 1</t>
        </is>
      </c>
      <c r="C12" s="7" t="inlineStr">
        <is>
          <t>SR Guesthouse</t>
        </is>
      </c>
      <c r="D12" s="21" t="n">
        <v>173966</v>
      </c>
      <c r="E12" s="21">
        <f>D12 * B$9 * B$8</f>
        <v/>
      </c>
      <c r="F12" s="7" t="inlineStr">
        <is>
          <t>Kusuma Edukasi Pertanian</t>
        </is>
      </c>
      <c r="G12" s="21" t="n">
        <v>25000</v>
      </c>
      <c r="H12" s="21">
        <f>G12 * B$6</f>
        <v/>
      </c>
      <c r="I12" s="7" t="inlineStr">
        <is>
          <t>Warung Bu Mariani</t>
        </is>
      </c>
      <c r="J12" s="21" t="n">
        <v>15000</v>
      </c>
      <c r="K12" s="21">
        <f>J12 * B$6 * 3 * B$7</f>
        <v/>
      </c>
      <c r="L12" s="29">
        <f>(6371 * 2 * ASIN(SQRT(SIN(RADIANS((-7.8805418)-(-7.8630288))/2)^2 + COS(RADIANS(-7.8630288)) * COS(RADIANS(-7.8805418)) * SIN(RADIANS((112.5140954)-(112.5116416))/2)^2)) * 1.3) + (6371 * 2 * ASIN(SQRT(SIN(RADIANS((-7.859017)-(-7.8805418))/2)^2 + COS(RADIANS(-7.8805418)) * COS(RADIANS(-7.859017)) * SIN(RADIANS((112.509584)-(112.5140954))/2)^2)) * 1.3) + (6371 * 2 * ASIN(SQRT(SIN(RADIANS((-7.8630288)-(-7.859017))/2)^2 + COS(RADIANS(-7.859017)) * COS(RADIANS(-7.8630288)) * SIN(RADIANS((112.5116416)-(112.509584))/2)^2)) * 1.3)</f>
        <v/>
      </c>
      <c r="M12" s="21">
        <f>ROUND(L12 * IF(B$6&lt;=1, 2250, IF(B$6&lt;=4, 5150, 6000)), 0)</f>
        <v/>
      </c>
      <c r="N12" s="37">
        <f>E12 + H12 + K12 + M12</f>
        <v/>
      </c>
      <c r="O12" s="21">
        <f>B$5 - N12</f>
        <v/>
      </c>
      <c r="P12" s="38">
        <f>IF(N12&lt;=B$5, "✅ LAYAK (UNDER BUDGET)", "⚠️ TIDAK LAYAK (OVER BUDGET)")</f>
        <v/>
      </c>
    </row>
    <row r="13">
      <c r="A13" s="36" t="inlineStr">
        <is>
          <t>HEMAT</t>
        </is>
      </c>
      <c r="B13" s="14" t="inlineStr">
        <is>
          <t>Opsi 2</t>
        </is>
      </c>
      <c r="C13" s="7" t="inlineStr">
        <is>
          <t>RedDoorz Plus near Balai Kota Batu 2</t>
        </is>
      </c>
      <c r="D13" s="21" t="n">
        <v>180000</v>
      </c>
      <c r="E13" s="21">
        <f>D13 * B$9 * B$8</f>
        <v/>
      </c>
      <c r="F13" s="7" t="inlineStr">
        <is>
          <t>Kusuma Edukasi Pertanian</t>
        </is>
      </c>
      <c r="G13" s="21" t="n">
        <v>25000</v>
      </c>
      <c r="H13" s="21">
        <f>G13 * B$6</f>
        <v/>
      </c>
      <c r="I13" s="7" t="inlineStr">
        <is>
          <t>Warung Bu Mariani</t>
        </is>
      </c>
      <c r="J13" s="21" t="n">
        <v>15000</v>
      </c>
      <c r="K13" s="21">
        <f>J13 * B$6 * 3 * B$7</f>
        <v/>
      </c>
      <c r="L13" s="29">
        <f>(6371 * 2 * ASIN(SQRT(SIN(RADIANS((-7.8805418)-(-7.8650022))/2)^2 + COS(RADIANS(-7.8650022)) * COS(RADIANS(-7.8805418)) * SIN(RADIANS((112.5140954)-(112.506961))/2)^2)) * 1.3) + (6371 * 2 * ASIN(SQRT(SIN(RADIANS((-7.859017)-(-7.8805418))/2)^2 + COS(RADIANS(-7.8805418)) * COS(RADIANS(-7.859017)) * SIN(RADIANS((112.509584)-(112.5140954))/2)^2)) * 1.3) + (6371 * 2 * ASIN(SQRT(SIN(RADIANS((-7.8650022)-(-7.859017))/2)^2 + COS(RADIANS(-7.859017)) * COS(RADIANS(-7.8650022)) * SIN(RADIANS((112.506961)-(112.509584))/2)^2)) * 1.3)</f>
        <v/>
      </c>
      <c r="M13" s="21">
        <f>ROUND(L13 * IF(B$6&lt;=1, 2250, IF(B$6&lt;=4, 5150, 6000)), 0)</f>
        <v/>
      </c>
      <c r="N13" s="37">
        <f>E13 + H13 + K13 + M13</f>
        <v/>
      </c>
      <c r="O13" s="21">
        <f>B$5 - N13</f>
        <v/>
      </c>
      <c r="P13" s="38">
        <f>IF(N13&lt;=B$5, "✅ LAYAK (UNDER BUDGET)", "⚠️ TIDAK LAYAK (OVER BUDGET)")</f>
        <v/>
      </c>
    </row>
    <row r="14">
      <c r="A14" s="36" t="inlineStr">
        <is>
          <t>HEMAT</t>
        </is>
      </c>
      <c r="B14" s="14" t="inlineStr">
        <is>
          <t>Opsi 3</t>
        </is>
      </c>
      <c r="C14" s="7" t="inlineStr">
        <is>
          <t>SR Guesthouse</t>
        </is>
      </c>
      <c r="D14" s="21" t="n">
        <v>173966</v>
      </c>
      <c r="E14" s="21">
        <f>D14 * B$9 * B$8</f>
        <v/>
      </c>
      <c r="F14" s="7" t="inlineStr">
        <is>
          <t>Kusuma Waterpark</t>
        </is>
      </c>
      <c r="G14" s="21" t="n">
        <v>25000</v>
      </c>
      <c r="H14" s="21">
        <f>G14 * B$6</f>
        <v/>
      </c>
      <c r="I14" s="7" t="inlineStr">
        <is>
          <t>Warung Bu Mariani</t>
        </is>
      </c>
      <c r="J14" s="21" t="n">
        <v>15000</v>
      </c>
      <c r="K14" s="21">
        <f>J14 * B$6 * 3 * B$7</f>
        <v/>
      </c>
      <c r="L14" s="29">
        <f>(6371 * 2 * ASIN(SQRT(SIN(RADIANS((-7.8816345)-(-7.8630288))/2)^2 + COS(RADIANS(-7.8630288)) * COS(RADIANS(-7.8816345)) * SIN(RADIANS((112.5148178)-(112.5116416))/2)^2)) * 1.3) + (6371 * 2 * ASIN(SQRT(SIN(RADIANS((-7.859017)-(-7.8816345))/2)^2 + COS(RADIANS(-7.8816345)) * COS(RADIANS(-7.859017)) * SIN(RADIANS((112.509584)-(112.5148178))/2)^2)) * 1.3) + (6371 * 2 * ASIN(SQRT(SIN(RADIANS((-7.8630288)-(-7.859017))/2)^2 + COS(RADIANS(-7.859017)) * COS(RADIANS(-7.8630288)) * SIN(RADIANS((112.5116416)-(112.509584))/2)^2)) * 1.3)</f>
        <v/>
      </c>
      <c r="M14" s="21">
        <f>ROUND(L14 * IF(B$6&lt;=1, 2250, IF(B$6&lt;=4, 5150, 6000)), 0)</f>
        <v/>
      </c>
      <c r="N14" s="37">
        <f>E14 + H14 + K14 + M14</f>
        <v/>
      </c>
      <c r="O14" s="21">
        <f>B$5 - N14</f>
        <v/>
      </c>
      <c r="P14" s="38">
        <f>IF(N14&lt;=B$5, "✅ LAYAK (UNDER BUDGET)", "⚠️ TIDAK LAYAK (OVER BUDGET)")</f>
        <v/>
      </c>
    </row>
    <row r="15">
      <c r="A15" s="36" t="inlineStr">
        <is>
          <t>HEMAT</t>
        </is>
      </c>
      <c r="B15" s="14" t="inlineStr">
        <is>
          <t>Opsi 4</t>
        </is>
      </c>
      <c r="C15" s="7" t="inlineStr">
        <is>
          <t>RedDoorz Plus near Balai Kota Batu 2</t>
        </is>
      </c>
      <c r="D15" s="21" t="n">
        <v>180000</v>
      </c>
      <c r="E15" s="21">
        <f>D15 * B$9 * B$8</f>
        <v/>
      </c>
      <c r="F15" s="7" t="inlineStr">
        <is>
          <t>Kusuma Waterpark</t>
        </is>
      </c>
      <c r="G15" s="21" t="n">
        <v>25000</v>
      </c>
      <c r="H15" s="21">
        <f>G15 * B$6</f>
        <v/>
      </c>
      <c r="I15" s="7" t="inlineStr">
        <is>
          <t>Warung Bu Mariani</t>
        </is>
      </c>
      <c r="J15" s="21" t="n">
        <v>15000</v>
      </c>
      <c r="K15" s="21">
        <f>J15 * B$6 * 3 * B$7</f>
        <v/>
      </c>
      <c r="L15" s="29">
        <f>(6371 * 2 * ASIN(SQRT(SIN(RADIANS((-7.8816345)-(-7.8650022))/2)^2 + COS(RADIANS(-7.8650022)) * COS(RADIANS(-7.8816345)) * SIN(RADIANS((112.5148178)-(112.506961))/2)^2)) * 1.3) + (6371 * 2 * ASIN(SQRT(SIN(RADIANS((-7.859017)-(-7.8816345))/2)^2 + COS(RADIANS(-7.8816345)) * COS(RADIANS(-7.859017)) * SIN(RADIANS((112.509584)-(112.5148178))/2)^2)) * 1.3) + (6371 * 2 * ASIN(SQRT(SIN(RADIANS((-7.8650022)-(-7.859017))/2)^2 + COS(RADIANS(-7.859017)) * COS(RADIANS(-7.8650022)) * SIN(RADIANS((112.506961)-(112.509584))/2)^2)) * 1.3)</f>
        <v/>
      </c>
      <c r="M15" s="21">
        <f>ROUND(L15 * IF(B$6&lt;=1, 2250, IF(B$6&lt;=4, 5150, 6000)), 0)</f>
        <v/>
      </c>
      <c r="N15" s="37">
        <f>E15 + H15 + K15 + M15</f>
        <v/>
      </c>
      <c r="O15" s="21">
        <f>B$5 - N15</f>
        <v/>
      </c>
      <c r="P15" s="38">
        <f>IF(N15&lt;=B$5, "✅ LAYAK (UNDER BUDGET)", "⚠️ TIDAK LAYAK (OVER BUDGET)")</f>
        <v/>
      </c>
    </row>
    <row r="16">
      <c r="A16" s="36" t="inlineStr">
        <is>
          <t>HEMAT</t>
        </is>
      </c>
      <c r="B16" s="14" t="inlineStr">
        <is>
          <t>Opsi 5</t>
        </is>
      </c>
      <c r="C16" s="7" t="inlineStr">
        <is>
          <t>SR Guesthouse</t>
        </is>
      </c>
      <c r="D16" s="21" t="n">
        <v>173966</v>
      </c>
      <c r="E16" s="21">
        <f>D16 * B$9 * B$8</f>
        <v/>
      </c>
      <c r="F16" s="7" t="inlineStr">
        <is>
          <t>wisata petik jeruk super agro kota batu</t>
        </is>
      </c>
      <c r="G16" s="21" t="n">
        <v>25000</v>
      </c>
      <c r="H16" s="21">
        <f>G16 * B$6</f>
        <v/>
      </c>
      <c r="I16" s="7" t="inlineStr">
        <is>
          <t>Warung Bu Mariani</t>
        </is>
      </c>
      <c r="J16" s="21" t="n">
        <v>15000</v>
      </c>
      <c r="K16" s="21">
        <f>J16 * B$6 * 3 * B$7</f>
        <v/>
      </c>
      <c r="L16" s="29">
        <f>(6371 * 2 * ASIN(SQRT(SIN(RADIANS((-7.8333467)-(-7.8630288))/2)^2 + COS(RADIANS(-7.8630288)) * COS(RADIANS(-7.8333467)) * SIN(RADIANS((112.5216271)-(112.5116416))/2)^2)) * 1.3) + (6371 * 2 * ASIN(SQRT(SIN(RADIANS((-7.859017)-(-7.8333467))/2)^2 + COS(RADIANS(-7.8333467)) * COS(RADIANS(-7.859017)) * SIN(RADIANS((112.509584)-(112.5216271))/2)^2)) * 1.3) + (6371 * 2 * ASIN(SQRT(SIN(RADIANS((-7.8630288)-(-7.859017))/2)^2 + COS(RADIANS(-7.859017)) * COS(RADIANS(-7.8630288)) * SIN(RADIANS((112.5116416)-(112.509584))/2)^2)) * 1.3)</f>
        <v/>
      </c>
      <c r="M16" s="21">
        <f>ROUND(L16 * IF(B$6&lt;=1, 2250, IF(B$6&lt;=4, 5150, 6000)), 0)</f>
        <v/>
      </c>
      <c r="N16" s="37">
        <f>E16 + H16 + K16 + M16</f>
        <v/>
      </c>
      <c r="O16" s="21">
        <f>B$5 - N16</f>
        <v/>
      </c>
      <c r="P16" s="38">
        <f>IF(N16&lt;=B$5, "✅ LAYAK (UNDER BUDGET)", "⚠️ TIDAK LAYAK (OVER BUDGET)")</f>
        <v/>
      </c>
    </row>
    <row r="17">
      <c r="A17" s="39" t="inlineStr">
        <is>
          <t>BALANCED</t>
        </is>
      </c>
      <c r="B17" s="14" t="inlineStr">
        <is>
          <t>Opsi 1</t>
        </is>
      </c>
      <c r="C17" s="7" t="inlineStr">
        <is>
          <t>D'Fresh Guest House and Resto</t>
        </is>
      </c>
      <c r="D17" s="21" t="n">
        <v>327600</v>
      </c>
      <c r="E17" s="21">
        <f>D17 * B$9 * B$8</f>
        <v/>
      </c>
      <c r="F17" s="7" t="inlineStr">
        <is>
          <t>Hawai Waterpark</t>
        </is>
      </c>
      <c r="G17" s="21" t="n">
        <v>85000</v>
      </c>
      <c r="H17" s="21">
        <f>G17 * B$6</f>
        <v/>
      </c>
      <c r="I17" s="7" t="inlineStr">
        <is>
          <t>Depot Mentari</t>
        </is>
      </c>
      <c r="J17" s="21" t="n">
        <v>25000</v>
      </c>
      <c r="K17" s="21">
        <f>J17 * B$6 * 3 * B$7</f>
        <v/>
      </c>
      <c r="L17" s="29">
        <f>(6371 * 2 * ASIN(SQRT(SIN(RADIANS((-7.9234101)-(-7.9396721))/2)^2 + COS(RADIANS(-7.9396721)) * COS(RADIANS(-7.9234101)) * SIN(RADIANS((112.657862)-(112.633534))/2)^2)) * 1.3) + (6371 * 2 * ASIN(SQRT(SIN(RADIANS((-7.9387725)-(-7.9234101))/2)^2 + COS(RADIANS(-7.9234101)) * COS(RADIANS(-7.9387725)) * SIN(RADIANS((112.6333279)-(112.657862))/2)^2)) * 1.3) + (6371 * 2 * ASIN(SQRT(SIN(RADIANS((-7.9396721)-(-7.9387725))/2)^2 + COS(RADIANS(-7.9387725)) * COS(RADIANS(-7.9396721)) * SIN(RADIANS((112.633534)-(112.6333279))/2)^2)) * 1.3)</f>
        <v/>
      </c>
      <c r="M17" s="21">
        <f>ROUND(L17 * IF(B$6&lt;=1, 2250, IF(B$6&lt;=4, 5150, 6000)), 0)</f>
        <v/>
      </c>
      <c r="N17" s="37">
        <f>E17 + H17 + K17 + M17</f>
        <v/>
      </c>
      <c r="O17" s="21">
        <f>B$5 - N17</f>
        <v/>
      </c>
      <c r="P17" s="38">
        <f>IF(N17&lt;=B$5, "✅ LAYAK (UNDER BUDGET)", "⚠️ TIDAK LAYAK (OVER BUDGET)")</f>
        <v/>
      </c>
    </row>
    <row r="18">
      <c r="A18" s="39" t="inlineStr">
        <is>
          <t>BALANCED</t>
        </is>
      </c>
      <c r="B18" s="14" t="inlineStr">
        <is>
          <t>Opsi 2</t>
        </is>
      </c>
      <c r="C18" s="7" t="inlineStr">
        <is>
          <t>D'Fresh Guest House and Resto</t>
        </is>
      </c>
      <c r="D18" s="21" t="n">
        <v>327600</v>
      </c>
      <c r="E18" s="21">
        <f>D18 * B$9 * B$8</f>
        <v/>
      </c>
      <c r="F18" s="7" t="inlineStr">
        <is>
          <t>Hawai Waterpark</t>
        </is>
      </c>
      <c r="G18" s="21" t="n">
        <v>85000</v>
      </c>
      <c r="H18" s="21">
        <f>G18 * B$6</f>
        <v/>
      </c>
      <c r="I18" s="7" t="inlineStr">
        <is>
          <t>Depot Semangkok</t>
        </is>
      </c>
      <c r="J18" s="21" t="n">
        <v>25000</v>
      </c>
      <c r="K18" s="21">
        <f>J18 * B$6 * 3 * B$7</f>
        <v/>
      </c>
      <c r="L18" s="29">
        <f>(6371 * 2 * ASIN(SQRT(SIN(RADIANS((-7.9234101)-(-7.9396721))/2)^2 + COS(RADIANS(-7.9396721)) * COS(RADIANS(-7.9234101)) * SIN(RADIANS((112.657862)-(112.633534))/2)^2)) * 1.3) + (6371 * 2 * ASIN(SQRT(SIN(RADIANS((-7.9385565)-(-7.9234101))/2)^2 + COS(RADIANS(-7.9234101)) * COS(RADIANS(-7.9385565)) * SIN(RADIANS((112.6372841)-(112.657862))/2)^2)) * 1.3) + (6371 * 2 * ASIN(SQRT(SIN(RADIANS((-7.9396721)-(-7.9385565))/2)^2 + COS(RADIANS(-7.9385565)) * COS(RADIANS(-7.9396721)) * SIN(RADIANS((112.633534)-(112.6372841))/2)^2)) * 1.3)</f>
        <v/>
      </c>
      <c r="M18" s="21">
        <f>ROUND(L18 * IF(B$6&lt;=1, 2250, IF(B$6&lt;=4, 5150, 6000)), 0)</f>
        <v/>
      </c>
      <c r="N18" s="37">
        <f>E18 + H18 + K18 + M18</f>
        <v/>
      </c>
      <c r="O18" s="21">
        <f>B$5 - N18</f>
        <v/>
      </c>
      <c r="P18" s="38">
        <f>IF(N18&lt;=B$5, "✅ LAYAK (UNDER BUDGET)", "⚠️ TIDAK LAYAK (OVER BUDGET)")</f>
        <v/>
      </c>
    </row>
    <row r="19">
      <c r="A19" s="39" t="inlineStr">
        <is>
          <t>BALANCED</t>
        </is>
      </c>
      <c r="B19" s="14" t="inlineStr">
        <is>
          <t>Opsi 3</t>
        </is>
      </c>
      <c r="C19" s="7" t="inlineStr">
        <is>
          <t>Hotel Grage Malang</t>
        </is>
      </c>
      <c r="D19" s="21" t="n">
        <v>315315</v>
      </c>
      <c r="E19" s="21">
        <f>D19 * B$9 * B$8</f>
        <v/>
      </c>
      <c r="F19" s="7" t="inlineStr">
        <is>
          <t>Hawai Waterpark</t>
        </is>
      </c>
      <c r="G19" s="21" t="n">
        <v>85000</v>
      </c>
      <c r="H19" s="21">
        <f>G19 * B$6</f>
        <v/>
      </c>
      <c r="I19" s="7" t="inlineStr">
        <is>
          <t>Depot Mentari</t>
        </is>
      </c>
      <c r="J19" s="21" t="n">
        <v>25000</v>
      </c>
      <c r="K19" s="21">
        <f>J19 * B$6 * 3 * B$7</f>
        <v/>
      </c>
      <c r="L19" s="29">
        <f>(6371 * 2 * ASIN(SQRT(SIN(RADIANS((-7.9234101)-(-7.9119162))/2)^2 + COS(RADIANS(-7.9119162)) * COS(RADIANS(-7.9234101)) * SIN(RADIANS((112.657862)-(112.6404563))/2)^2)) * 1.3) + (6371 * 2 * ASIN(SQRT(SIN(RADIANS((-7.9387725)-(-7.9234101))/2)^2 + COS(RADIANS(-7.9234101)) * COS(RADIANS(-7.9387725)) * SIN(RADIANS((112.6333279)-(112.657862))/2)^2)) * 1.3) + (6371 * 2 * ASIN(SQRT(SIN(RADIANS((-7.9119162)-(-7.9387725))/2)^2 + COS(RADIANS(-7.9387725)) * COS(RADIANS(-7.9119162)) * SIN(RADIANS((112.6404563)-(112.6333279))/2)^2)) * 1.3)</f>
        <v/>
      </c>
      <c r="M19" s="21">
        <f>ROUND(L19 * IF(B$6&lt;=1, 2250, IF(B$6&lt;=4, 5150, 6000)), 0)</f>
        <v/>
      </c>
      <c r="N19" s="37">
        <f>E19 + H19 + K19 + M19</f>
        <v/>
      </c>
      <c r="O19" s="21">
        <f>B$5 - N19</f>
        <v/>
      </c>
      <c r="P19" s="38">
        <f>IF(N19&lt;=B$5, "✅ LAYAK (UNDER BUDGET)", "⚠️ TIDAK LAYAK (OVER BUDGET)")</f>
        <v/>
      </c>
    </row>
    <row r="20">
      <c r="A20" s="39" t="inlineStr">
        <is>
          <t>BALANCED</t>
        </is>
      </c>
      <c r="B20" s="14" t="inlineStr">
        <is>
          <t>Opsi 4</t>
        </is>
      </c>
      <c r="C20" s="7" t="inlineStr">
        <is>
          <t>Hotel Grage Malang</t>
        </is>
      </c>
      <c r="D20" s="21" t="n">
        <v>315315</v>
      </c>
      <c r="E20" s="21">
        <f>D20 * B$9 * B$8</f>
        <v/>
      </c>
      <c r="F20" s="7" t="inlineStr">
        <is>
          <t>Hawai Waterpark</t>
        </is>
      </c>
      <c r="G20" s="21" t="n">
        <v>85000</v>
      </c>
      <c r="H20" s="21">
        <f>G20 * B$6</f>
        <v/>
      </c>
      <c r="I20" s="7" t="inlineStr">
        <is>
          <t>Depot Semangkok</t>
        </is>
      </c>
      <c r="J20" s="21" t="n">
        <v>25000</v>
      </c>
      <c r="K20" s="21">
        <f>J20 * B$6 * 3 * B$7</f>
        <v/>
      </c>
      <c r="L20" s="29">
        <f>(6371 * 2 * ASIN(SQRT(SIN(RADIANS((-7.9234101)-(-7.9119162))/2)^2 + COS(RADIANS(-7.9119162)) * COS(RADIANS(-7.9234101)) * SIN(RADIANS((112.657862)-(112.6404563))/2)^2)) * 1.3) + (6371 * 2 * ASIN(SQRT(SIN(RADIANS((-7.9385565)-(-7.9234101))/2)^2 + COS(RADIANS(-7.9234101)) * COS(RADIANS(-7.9385565)) * SIN(RADIANS((112.6372841)-(112.657862))/2)^2)) * 1.3) + (6371 * 2 * ASIN(SQRT(SIN(RADIANS((-7.9119162)-(-7.9385565))/2)^2 + COS(RADIANS(-7.9385565)) * COS(RADIANS(-7.9119162)) * SIN(RADIANS((112.6404563)-(112.6372841))/2)^2)) * 1.3)</f>
        <v/>
      </c>
      <c r="M20" s="21">
        <f>ROUND(L20 * IF(B$6&lt;=1, 2250, IF(B$6&lt;=4, 5150, 6000)), 0)</f>
        <v/>
      </c>
      <c r="N20" s="37">
        <f>E20 + H20 + K20 + M20</f>
        <v/>
      </c>
      <c r="O20" s="21">
        <f>B$5 - N20</f>
        <v/>
      </c>
      <c r="P20" s="38">
        <f>IF(N20&lt;=B$5, "✅ LAYAK (UNDER BUDGET)", "⚠️ TIDAK LAYAK (OVER BUDGET)")</f>
        <v/>
      </c>
    </row>
    <row r="21">
      <c r="A21" s="39" t="inlineStr">
        <is>
          <t>BALANCED</t>
        </is>
      </c>
      <c r="B21" s="14" t="inlineStr">
        <is>
          <t>Opsi 5</t>
        </is>
      </c>
      <c r="C21" s="7" t="inlineStr">
        <is>
          <t>Everyday Smart Hotel Malang</t>
        </is>
      </c>
      <c r="D21" s="21" t="n">
        <v>309517</v>
      </c>
      <c r="E21" s="21">
        <f>D21 * B$9 * B$8</f>
        <v/>
      </c>
      <c r="F21" s="7" t="inlineStr">
        <is>
          <t>Hawai Waterpark</t>
        </is>
      </c>
      <c r="G21" s="21" t="n">
        <v>85000</v>
      </c>
      <c r="H21" s="21">
        <f>G21 * B$6</f>
        <v/>
      </c>
      <c r="I21" s="7" t="inlineStr">
        <is>
          <t>Depot Mentari</t>
        </is>
      </c>
      <c r="J21" s="21" t="n">
        <v>25000</v>
      </c>
      <c r="K21" s="21">
        <f>J21 * B$6 * 3 * B$7</f>
        <v/>
      </c>
      <c r="L21" s="29">
        <f>(6371 * 2 * ASIN(SQRT(SIN(RADIANS((-7.9234101)-(-7.9492297))/2)^2 + COS(RADIANS(-7.9492297)) * COS(RADIANS(-7.9234101)) * SIN(RADIANS((112.657862)-(112.6165786))/2)^2)) * 1.3) + (6371 * 2 * ASIN(SQRT(SIN(RADIANS((-7.9387725)-(-7.9234101))/2)^2 + COS(RADIANS(-7.9234101)) * COS(RADIANS(-7.9387725)) * SIN(RADIANS((112.6333279)-(112.657862))/2)^2)) * 1.3) + (6371 * 2 * ASIN(SQRT(SIN(RADIANS((-7.9492297)-(-7.9387725))/2)^2 + COS(RADIANS(-7.9387725)) * COS(RADIANS(-7.9492297)) * SIN(RADIANS((112.6165786)-(112.6333279))/2)^2)) * 1.3)</f>
        <v/>
      </c>
      <c r="M21" s="21">
        <f>ROUND(L21 * IF(B$6&lt;=1, 2250, IF(B$6&lt;=4, 5150, 6000)), 0)</f>
        <v/>
      </c>
      <c r="N21" s="37">
        <f>E21 + H21 + K21 + M21</f>
        <v/>
      </c>
      <c r="O21" s="21">
        <f>B$5 - N21</f>
        <v/>
      </c>
      <c r="P21" s="38">
        <f>IF(N21&lt;=B$5, "✅ LAYAK (UNDER BUDGET)", "⚠️ TIDAK LAYAK (OVER BUDGET)")</f>
        <v/>
      </c>
    </row>
    <row r="22">
      <c r="A22" s="40" t="inlineStr">
        <is>
          <t>PREMIUM</t>
        </is>
      </c>
      <c r="B22" s="14" t="inlineStr">
        <is>
          <t>Opsi 1</t>
        </is>
      </c>
      <c r="C22" s="7" t="inlineStr">
        <is>
          <t>Hanoman Kota Batu</t>
        </is>
      </c>
      <c r="D22" s="21" t="n">
        <v>717973</v>
      </c>
      <c r="E22" s="21">
        <f>D22 * B$9 * B$8</f>
        <v/>
      </c>
      <c r="F22" s="7" t="inlineStr">
        <is>
          <t>BatuPaintball</t>
        </is>
      </c>
      <c r="G22" s="21" t="n">
        <v>130000</v>
      </c>
      <c r="H22" s="21">
        <f>G22 * B$6</f>
        <v/>
      </c>
      <c r="I22" s="7" t="inlineStr">
        <is>
          <t>Gubug asape Asapan dan bakaran</t>
        </is>
      </c>
      <c r="J22" s="21" t="n">
        <v>37800</v>
      </c>
      <c r="K22" s="21">
        <f>J22 * B$6 * 3 * B$7</f>
        <v/>
      </c>
      <c r="L22" s="29">
        <f>(6371 * 2 * ASIN(SQRT(SIN(RADIANS((-7.8886675)-(-7.8608203))/2)^2 + COS(RADIANS(-7.8608203)) * COS(RADIANS(-7.8886675)) * SIN(RADIANS((112.5610424)-(112.5270133))/2)^2)) * 1.3) + (6371 * 2 * ASIN(SQRT(SIN(RADIANS((-7.874505)-(-7.8886675))/2)^2 + COS(RADIANS(-7.8886675)) * COS(RADIANS(-7.874505)) * SIN(RADIANS((112.539181)-(112.5610424))/2)^2)) * 1.3) + (6371 * 2 * ASIN(SQRT(SIN(RADIANS((-7.8608203)-(-7.874505))/2)^2 + COS(RADIANS(-7.874505)) * COS(RADIANS(-7.8608203)) * SIN(RADIANS((112.5270133)-(112.539181))/2)^2)) * 1.3)</f>
        <v/>
      </c>
      <c r="M22" s="21">
        <f>ROUND(L22 * IF(B$6&lt;=1, 2250, IF(B$6&lt;=4, 5150, 6000)), 0)</f>
        <v/>
      </c>
      <c r="N22" s="37">
        <f>E22 + H22 + K22 + M22</f>
        <v/>
      </c>
      <c r="O22" s="21">
        <f>B$5 - N22</f>
        <v/>
      </c>
      <c r="P22" s="38">
        <f>IF(N22&lt;=B$5, "✅ LAYAK (UNDER BUDGET)", "⚠️ TIDAK LAYAK (OVER BUDGET)")</f>
        <v/>
      </c>
    </row>
    <row r="23">
      <c r="A23" s="40" t="inlineStr">
        <is>
          <t>PREMIUM</t>
        </is>
      </c>
      <c r="B23" s="14" t="inlineStr">
        <is>
          <t>Opsi 2</t>
        </is>
      </c>
      <c r="C23" s="7" t="inlineStr">
        <is>
          <t>Oak Tree Glamping Resort</t>
        </is>
      </c>
      <c r="D23" s="21" t="n">
        <v>710100</v>
      </c>
      <c r="E23" s="21">
        <f>D23 * B$9 * B$8</f>
        <v/>
      </c>
      <c r="F23" s="7" t="inlineStr">
        <is>
          <t>BatuPaintball</t>
        </is>
      </c>
      <c r="G23" s="21" t="n">
        <v>130000</v>
      </c>
      <c r="H23" s="21">
        <f>G23 * B$6</f>
        <v/>
      </c>
      <c r="I23" s="7" t="inlineStr">
        <is>
          <t>Gubug asape Asapan dan bakaran</t>
        </is>
      </c>
      <c r="J23" s="21" t="n">
        <v>37800</v>
      </c>
      <c r="K23" s="21">
        <f>J23 * B$6 * 3 * B$7</f>
        <v/>
      </c>
      <c r="L23" s="29">
        <f>(6371 * 2 * ASIN(SQRT(SIN(RADIANS((-7.8886675)-(-7.8656221))/2)^2 + COS(RADIANS(-7.8656221)) * COS(RADIANS(-7.8886675)) * SIN(RADIANS((112.5610424)-(112.5264326))/2)^2)) * 1.3) + (6371 * 2 * ASIN(SQRT(SIN(RADIANS((-7.874505)-(-7.8886675))/2)^2 + COS(RADIANS(-7.8886675)) * COS(RADIANS(-7.874505)) * SIN(RADIANS((112.539181)-(112.5610424))/2)^2)) * 1.3) + (6371 * 2 * ASIN(SQRT(SIN(RADIANS((-7.8656221)-(-7.874505))/2)^2 + COS(RADIANS(-7.874505)) * COS(RADIANS(-7.8656221)) * SIN(RADIANS((112.5264326)-(112.539181))/2)^2)) * 1.3)</f>
        <v/>
      </c>
      <c r="M23" s="21">
        <f>ROUND(L23 * IF(B$6&lt;=1, 2250, IF(B$6&lt;=4, 5150, 6000)), 0)</f>
        <v/>
      </c>
      <c r="N23" s="37">
        <f>E23 + H23 + K23 + M23</f>
        <v/>
      </c>
      <c r="O23" s="21">
        <f>B$5 - N23</f>
        <v/>
      </c>
      <c r="P23" s="38">
        <f>IF(N23&lt;=B$5, "✅ LAYAK (UNDER BUDGET)", "⚠️ TIDAK LAYAK (OVER BUDGET)")</f>
        <v/>
      </c>
    </row>
    <row r="24">
      <c r="A24" s="40" t="inlineStr">
        <is>
          <t>PREMIUM</t>
        </is>
      </c>
      <c r="B24" s="14" t="inlineStr">
        <is>
          <t>Opsi 3</t>
        </is>
      </c>
      <c r="C24" s="7" t="inlineStr">
        <is>
          <t>Kusuma Agrowisata Resort &amp; Convention Hotel</t>
        </is>
      </c>
      <c r="D24" s="21" t="n">
        <v>657777</v>
      </c>
      <c r="E24" s="21">
        <f>D24 * B$9 * B$8</f>
        <v/>
      </c>
      <c r="F24" s="7" t="inlineStr">
        <is>
          <t>BatuPaintball</t>
        </is>
      </c>
      <c r="G24" s="21" t="n">
        <v>130000</v>
      </c>
      <c r="H24" s="21">
        <f>G24 * B$6</f>
        <v/>
      </c>
      <c r="I24" s="7" t="inlineStr">
        <is>
          <t>Iga Bakar Saudara</t>
        </is>
      </c>
      <c r="J24" s="21" t="n">
        <v>40000</v>
      </c>
      <c r="K24" s="21">
        <f>J24 * B$6 * 3 * B$7</f>
        <v/>
      </c>
      <c r="L24" s="29">
        <f>(6371 * 2 * ASIN(SQRT(SIN(RADIANS((-7.8886675)-(-7.8835495))/2)^2 + COS(RADIANS(-7.8835495)) * COS(RADIANS(-7.8886675)) * SIN(RADIANS((112.5610424)-(112.5146808))/2)^2)) * 1.3) + (6371 * 2 * ASIN(SQRT(SIN(RADIANS((-7.8875185)-(-7.8886675))/2)^2 + COS(RADIANS(-7.8886675)) * COS(RADIANS(-7.8875185)) * SIN(RADIANS((112.5440439)-(112.5610424))/2)^2)) * 1.3) + (6371 * 2 * ASIN(SQRT(SIN(RADIANS((-7.8835495)-(-7.8875185))/2)^2 + COS(RADIANS(-7.8875185)) * COS(RADIANS(-7.8835495)) * SIN(RADIANS((112.5146808)-(112.5440439))/2)^2)) * 1.3)</f>
        <v/>
      </c>
      <c r="M24" s="21">
        <f>ROUND(L24 * IF(B$6&lt;=1, 2250, IF(B$6&lt;=4, 5150, 6000)), 0)</f>
        <v/>
      </c>
      <c r="N24" s="37">
        <f>E24 + H24 + K24 + M24</f>
        <v/>
      </c>
      <c r="O24" s="21">
        <f>B$5 - N24</f>
        <v/>
      </c>
      <c r="P24" s="38">
        <f>IF(N24&lt;=B$5, "✅ LAYAK (UNDER BUDGET)", "⚠️ TIDAK LAYAK (OVER BUDGET)")</f>
        <v/>
      </c>
    </row>
    <row r="25">
      <c r="A25" s="40" t="inlineStr">
        <is>
          <t>PREMIUM</t>
        </is>
      </c>
      <c r="B25" s="14" t="inlineStr">
        <is>
          <t>Opsi 4</t>
        </is>
      </c>
      <c r="C25" s="7" t="inlineStr">
        <is>
          <t>Kusuma Agrowisata Resort &amp; Convention Hotel</t>
        </is>
      </c>
      <c r="D25" s="21" t="n">
        <v>657777</v>
      </c>
      <c r="E25" s="21">
        <f>D25 * B$9 * B$8</f>
        <v/>
      </c>
      <c r="F25" s="7" t="inlineStr">
        <is>
          <t>BatuPaintball</t>
        </is>
      </c>
      <c r="G25" s="21" t="n">
        <v>130000</v>
      </c>
      <c r="H25" s="21">
        <f>G25 * B$6</f>
        <v/>
      </c>
      <c r="I25" s="7" t="inlineStr">
        <is>
          <t>Gubug asape Asapan dan bakaran</t>
        </is>
      </c>
      <c r="J25" s="21" t="n">
        <v>37800</v>
      </c>
      <c r="K25" s="21">
        <f>J25 * B$6 * 3 * B$7</f>
        <v/>
      </c>
      <c r="L25" s="29">
        <f>(6371 * 2 * ASIN(SQRT(SIN(RADIANS((-7.8886675)-(-7.8835495))/2)^2 + COS(RADIANS(-7.8835495)) * COS(RADIANS(-7.8886675)) * SIN(RADIANS((112.5610424)-(112.5146808))/2)^2)) * 1.3) + (6371 * 2 * ASIN(SQRT(SIN(RADIANS((-7.874505)-(-7.8886675))/2)^2 + COS(RADIANS(-7.8886675)) * COS(RADIANS(-7.874505)) * SIN(RADIANS((112.539181)-(112.5610424))/2)^2)) * 1.3) + (6371 * 2 * ASIN(SQRT(SIN(RADIANS((-7.8835495)-(-7.874505))/2)^2 + COS(RADIANS(-7.874505)) * COS(RADIANS(-7.8835495)) * SIN(RADIANS((112.5146808)-(112.539181))/2)^2)) * 1.3)</f>
        <v/>
      </c>
      <c r="M25" s="21">
        <f>ROUND(L25 * IF(B$6&lt;=1, 2250, IF(B$6&lt;=4, 5150, 6000)), 0)</f>
        <v/>
      </c>
      <c r="N25" s="37">
        <f>E25 + H25 + K25 + M25</f>
        <v/>
      </c>
      <c r="O25" s="21">
        <f>B$5 - N25</f>
        <v/>
      </c>
      <c r="P25" s="38">
        <f>IF(N25&lt;=B$5, "✅ LAYAK (UNDER BUDGET)", "⚠️ TIDAK LAYAK (OVER BUDGET)")</f>
        <v/>
      </c>
    </row>
    <row r="26">
      <c r="A26" s="40" t="inlineStr">
        <is>
          <t>PREMIUM</t>
        </is>
      </c>
      <c r="B26" s="14" t="inlineStr">
        <is>
          <t>Opsi 5</t>
        </is>
      </c>
      <c r="C26" s="7" t="inlineStr">
        <is>
          <t>Kusuma Agrowisata Resort &amp; Convention Hotel</t>
        </is>
      </c>
      <c r="D26" s="21" t="n">
        <v>657777</v>
      </c>
      <c r="E26" s="21">
        <f>D26 * B$9 * B$8</f>
        <v/>
      </c>
      <c r="F26" s="7" t="inlineStr">
        <is>
          <t>BatuPaintball</t>
        </is>
      </c>
      <c r="G26" s="21" t="n">
        <v>130000</v>
      </c>
      <c r="H26" s="21">
        <f>G26 * B$6</f>
        <v/>
      </c>
      <c r="I26" s="7" t="inlineStr">
        <is>
          <t>Rumah Makan Cairo</t>
        </is>
      </c>
      <c r="J26" s="21" t="n">
        <v>38500</v>
      </c>
      <c r="K26" s="21">
        <f>J26 * B$6 * 3 * B$7</f>
        <v/>
      </c>
      <c r="L26" s="29">
        <f>(6371 * 2 * ASIN(SQRT(SIN(RADIANS((-7.8886675)-(-7.8835495))/2)^2 + COS(RADIANS(-7.8835495)) * COS(RADIANS(-7.8886675)) * SIN(RADIANS((112.5610424)-(112.5146808))/2)^2)) * 1.3) + (6371 * 2 * ASIN(SQRT(SIN(RADIANS((-7.8689906)-(-7.8886675))/2)^2 + COS(RADIANS(-7.8886675)) * COS(RADIANS(-7.8689906)) * SIN(RADIANS((112.5208458)-(112.5610424))/2)^2)) * 1.3) + (6371 * 2 * ASIN(SQRT(SIN(RADIANS((-7.8835495)-(-7.8689906))/2)^2 + COS(RADIANS(-7.8689906)) * COS(RADIANS(-7.8835495)) * SIN(RADIANS((112.5146808)-(112.5208458))/2)^2)) * 1.3)</f>
        <v/>
      </c>
      <c r="M26" s="21">
        <f>ROUND(L26 * IF(B$6&lt;=1, 2250, IF(B$6&lt;=4, 5150, 6000)), 0)</f>
        <v/>
      </c>
      <c r="N26" s="37">
        <f>E26 + H26 + K26 + M26</f>
        <v/>
      </c>
      <c r="O26" s="21">
        <f>B$5 - N26</f>
        <v/>
      </c>
      <c r="P26" s="38">
        <f>IF(N26&lt;=B$5, "✅ LAYAK (UNDER BUDGET)", "⚠️ TIDAK LAYAK (OVER BUDGET)")</f>
        <v/>
      </c>
    </row>
  </sheetData>
  <mergeCells count="7">
    <mergeCell ref="A1:N2"/>
    <mergeCell ref="A8"/>
    <mergeCell ref="A6"/>
    <mergeCell ref="A4:E4"/>
    <mergeCell ref="A9"/>
    <mergeCell ref="A7"/>
    <mergeCell ref="A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45" customWidth="1" min="3" max="3"/>
    <col width="20" customWidth="1" min="4" max="4"/>
    <col width="20" customWidth="1" min="5" max="5"/>
    <col width="38" customWidth="1" min="6" max="6"/>
    <col width="21" customWidth="1" min="7" max="7"/>
    <col width="21" customWidth="1" min="8" max="8"/>
    <col width="26" customWidth="1" min="9" max="9"/>
    <col width="22" customWidth="1" min="10" max="10"/>
    <col width="22" customWidth="1" min="11" max="11"/>
    <col width="23" customWidth="1" min="12" max="12"/>
    <col width="23" customWidth="1" min="13" max="13"/>
    <col width="28" customWidth="1" min="14" max="14"/>
    <col width="19" customWidth="1" min="15" max="15"/>
    <col width="32" customWidth="1" min="16" max="16"/>
  </cols>
  <sheetData>
    <row r="1">
      <c r="A1" s="1" t="inlineStr">
        <is>
          <t>WORKFLOW SIMULASI REKOMENDASI - FLEXIBLE</t>
        </is>
      </c>
    </row>
    <row r="2"/>
    <row r="3"/>
    <row r="4">
      <c r="A4" s="2" t="inlineStr">
        <is>
          <t>RUJUKAN KENDALA ANGGARAN &amp; KAPASITAS (FORMULA DARI DASHBOARD)</t>
        </is>
      </c>
    </row>
    <row r="5">
      <c r="A5" s="11" t="inlineStr">
        <is>
          <t>Total Budget Wisatawan</t>
        </is>
      </c>
      <c r="B5" s="35">
        <f>'Dashboard'!C5</f>
        <v/>
      </c>
    </row>
    <row r="6">
      <c r="A6" s="15" t="inlineStr">
        <is>
          <t>Jumlah Orang (Peserta)</t>
        </is>
      </c>
      <c r="B6" s="14">
        <f>'Dashboard'!C6</f>
        <v/>
      </c>
    </row>
    <row r="7">
      <c r="A7" s="15" t="inlineStr">
        <is>
          <t>Durasi Liburan (Hari)</t>
        </is>
      </c>
      <c r="B7" s="14">
        <f>'Dashboard'!C7</f>
        <v/>
      </c>
    </row>
    <row r="8">
      <c r="A8" s="15" t="inlineStr">
        <is>
          <t>Kamar Hotel yang Butuh</t>
        </is>
      </c>
      <c r="B8" s="14">
        <f>ROUNDUP('Dashboard'!C6/2, 0)</f>
        <v/>
      </c>
    </row>
    <row r="9">
      <c r="A9" s="15" t="inlineStr">
        <is>
          <t>Malam Menginap</t>
        </is>
      </c>
      <c r="B9" s="14">
        <f>MAX('Dashboard'!C7-1, 1)</f>
        <v/>
      </c>
    </row>
    <row r="10"/>
    <row r="11">
      <c r="A11" s="24" t="inlineStr">
        <is>
          <t>Kelas Paket</t>
        </is>
      </c>
      <c r="B11" s="24" t="inlineStr">
        <is>
          <t>No</t>
        </is>
      </c>
      <c r="C11" s="24" t="inlineStr">
        <is>
          <t>Nama Hotel</t>
        </is>
      </c>
      <c r="D11" s="24" t="inlineStr">
        <is>
          <t>Harga Hotel/Malam</t>
        </is>
      </c>
      <c r="E11" s="24" t="inlineStr">
        <is>
          <t>Biaya Hotel Total</t>
        </is>
      </c>
      <c r="F11" s="24" t="inlineStr">
        <is>
          <t>Nama Wisata Pilihan</t>
        </is>
      </c>
      <c r="G11" s="24" t="inlineStr">
        <is>
          <t>Harga Tiket Satuan</t>
        </is>
      </c>
      <c r="H11" s="24" t="inlineStr">
        <is>
          <t>Biaya Wisata Total</t>
        </is>
      </c>
      <c r="I11" s="24" t="inlineStr">
        <is>
          <t>Nama Kuliner Pilihan</t>
        </is>
      </c>
      <c r="J11" s="24" t="inlineStr">
        <is>
          <t>Harga Kuliner/Porsi</t>
        </is>
      </c>
      <c r="K11" s="24" t="inlineStr">
        <is>
          <t>Biaya Kuliner Total</t>
        </is>
      </c>
      <c r="L11" s="24" t="inlineStr">
        <is>
          <t>Rute Geospasial (km)</t>
        </is>
      </c>
      <c r="M11" s="24" t="inlineStr">
        <is>
          <t>Estimasi Ongkir (Rp)</t>
        </is>
      </c>
      <c r="N11" s="24" t="inlineStr">
        <is>
          <t>ESTIMASI TOTAL BIAYA (Rp)</t>
        </is>
      </c>
      <c r="O11" s="24" t="inlineStr">
        <is>
          <t>SISA BUDGET (Rp)</t>
        </is>
      </c>
      <c r="P11" s="24" t="inlineStr">
        <is>
          <t>STATUS KELAYAKAN</t>
        </is>
      </c>
    </row>
    <row r="12">
      <c r="A12" s="36" t="inlineStr">
        <is>
          <t>HEMAT</t>
        </is>
      </c>
      <c r="B12" s="14" t="inlineStr">
        <is>
          <t>Opsi 1</t>
        </is>
      </c>
      <c r="C12" s="7" t="inlineStr">
        <is>
          <t>RedDoorz Syariah near Batu Night Spectacular 3</t>
        </is>
      </c>
      <c r="D12" s="21" t="n">
        <v>115851</v>
      </c>
      <c r="E12" s="21">
        <f>D12 * B$9 * B$8</f>
        <v/>
      </c>
      <c r="F12" s="7" t="inlineStr">
        <is>
          <t>Bukit Nirwana</t>
        </is>
      </c>
      <c r="G12" s="21" t="n">
        <v>10000</v>
      </c>
      <c r="H12" s="21">
        <f>G12 * B$6</f>
        <v/>
      </c>
      <c r="I12" s="7" t="inlineStr">
        <is>
          <t>Warung Nico</t>
        </is>
      </c>
      <c r="J12" s="21" t="n">
        <v>13000</v>
      </c>
      <c r="K12" s="21">
        <f>J12 * B$6 * 3 * B$7</f>
        <v/>
      </c>
      <c r="L12" s="29">
        <f>(6371 * 2 * ASIN(SQRT(SIN(RADIANS((-7.8617098)-(-7.9150622))/2)^2 + COS(RADIANS(-7.9150622)) * COS(RADIANS(-7.8617098)) * SIN(RADIANS((112.4600165)-(112.5379164))/2)^2)) * 1.3) + (6371 * 2 * ASIN(SQRT(SIN(RADIANS((-7.8618552)-(-7.8617098))/2)^2 + COS(RADIANS(-7.8617098)) * COS(RADIANS(-7.8618552)) * SIN(RADIANS((112.4886422)-(112.4600165))/2)^2)) * 1.3) + (6371 * 2 * ASIN(SQRT(SIN(RADIANS((-7.9150622)-(-7.8618552))/2)^2 + COS(RADIANS(-7.8618552)) * COS(RADIANS(-7.9150622)) * SIN(RADIANS((112.5379164)-(112.4886422))/2)^2)) * 1.3)</f>
        <v/>
      </c>
      <c r="M12" s="21">
        <f>ROUND(L12 * IF(B$6&lt;=1, 2250, IF(B$6&lt;=4, 5150, 6000)), 0)</f>
        <v/>
      </c>
      <c r="N12" s="37">
        <f>E12 + H12 + K12 + M12</f>
        <v/>
      </c>
      <c r="O12" s="32" t="inlineStr">
        <is>
          <t>-</t>
        </is>
      </c>
      <c r="P12" s="41" t="inlineStr">
        <is>
          <t>EKSPLORASI SPASIAL (FLEXIBLE)</t>
        </is>
      </c>
    </row>
    <row r="13">
      <c r="A13" s="36" t="inlineStr">
        <is>
          <t>HEMAT</t>
        </is>
      </c>
      <c r="B13" s="14" t="inlineStr">
        <is>
          <t>Opsi 2</t>
        </is>
      </c>
      <c r="C13" s="7" t="inlineStr">
        <is>
          <t>RedDoorz Syariah near Batu Night Spectacular 3</t>
        </is>
      </c>
      <c r="D13" s="21" t="n">
        <v>115851</v>
      </c>
      <c r="E13" s="21">
        <f>D13 * B$9 * B$8</f>
        <v/>
      </c>
      <c r="F13" s="7" t="inlineStr">
        <is>
          <t>Bukit Nirwana</t>
        </is>
      </c>
      <c r="G13" s="21" t="n">
        <v>10000</v>
      </c>
      <c r="H13" s="21">
        <f>G13 * B$6</f>
        <v/>
      </c>
      <c r="I13" s="7" t="inlineStr">
        <is>
          <t>Mbak Is Kedai Makan</t>
        </is>
      </c>
      <c r="J13" s="21" t="n">
        <v>13250</v>
      </c>
      <c r="K13" s="21">
        <f>J13 * B$6 * 3 * B$7</f>
        <v/>
      </c>
      <c r="L13" s="29">
        <f>(6371 * 2 * ASIN(SQRT(SIN(RADIANS((-7.8617098)-(-7.9150622))/2)^2 + COS(RADIANS(-7.9150622)) * COS(RADIANS(-7.8617098)) * SIN(RADIANS((112.4600165)-(112.5379164))/2)^2)) * 1.3) + (6371 * 2 * ASIN(SQRT(SIN(RADIANS((-7.8733183)-(-7.8617098))/2)^2 + COS(RADIANS(-7.8617098)) * COS(RADIANS(-7.8733183)) * SIN(RADIANS((112.5228461)-(112.4600165))/2)^2)) * 1.3) + (6371 * 2 * ASIN(SQRT(SIN(RADIANS((-7.9150622)-(-7.8733183))/2)^2 + COS(RADIANS(-7.8733183)) * COS(RADIANS(-7.9150622)) * SIN(RADIANS((112.5379164)-(112.5228461))/2)^2)) * 1.3)</f>
        <v/>
      </c>
      <c r="M13" s="21">
        <f>ROUND(L13 * IF(B$6&lt;=1, 2250, IF(B$6&lt;=4, 5150, 6000)), 0)</f>
        <v/>
      </c>
      <c r="N13" s="37">
        <f>E13 + H13 + K13 + M13</f>
        <v/>
      </c>
      <c r="O13" s="32" t="inlineStr">
        <is>
          <t>-</t>
        </is>
      </c>
      <c r="P13" s="41" t="inlineStr">
        <is>
          <t>EKSPLORASI SPASIAL (FLEXIBLE)</t>
        </is>
      </c>
    </row>
    <row r="14">
      <c r="A14" s="36" t="inlineStr">
        <is>
          <t>HEMAT</t>
        </is>
      </c>
      <c r="B14" s="14" t="inlineStr">
        <is>
          <t>Opsi 3</t>
        </is>
      </c>
      <c r="C14" s="7" t="inlineStr">
        <is>
          <t>RedDoorz Syariah near Batu Night Spectacular 3</t>
        </is>
      </c>
      <c r="D14" s="21" t="n">
        <v>115851</v>
      </c>
      <c r="E14" s="21">
        <f>D14 * B$9 * B$8</f>
        <v/>
      </c>
      <c r="F14" s="7" t="inlineStr">
        <is>
          <t>Bukit Nirwana</t>
        </is>
      </c>
      <c r="G14" s="21" t="n">
        <v>10000</v>
      </c>
      <c r="H14" s="21">
        <f>G14 * B$6</f>
        <v/>
      </c>
      <c r="I14" s="7" t="inlineStr">
        <is>
          <t>Warung Rini</t>
        </is>
      </c>
      <c r="J14" s="21" t="n">
        <v>13000</v>
      </c>
      <c r="K14" s="21">
        <f>J14 * B$6 * 3 * B$7</f>
        <v/>
      </c>
      <c r="L14" s="29">
        <f>(6371 * 2 * ASIN(SQRT(SIN(RADIANS((-7.8617098)-(-7.9150622))/2)^2 + COS(RADIANS(-7.9150622)) * COS(RADIANS(-7.8617098)) * SIN(RADIANS((112.4600165)-(112.5379164))/2)^2)) * 1.3) + (6371 * 2 * ASIN(SQRT(SIN(RADIANS((-7.8490859)-(-7.8617098))/2)^2 + COS(RADIANS(-7.8617098)) * COS(RADIANS(-7.8490859)) * SIN(RADIANS((112.4787033)-(112.4600165))/2)^2)) * 1.3) + (6371 * 2 * ASIN(SQRT(SIN(RADIANS((-7.9150622)-(-7.8490859))/2)^2 + COS(RADIANS(-7.8490859)) * COS(RADIANS(-7.9150622)) * SIN(RADIANS((112.5379164)-(112.4787033))/2)^2)) * 1.3)</f>
        <v/>
      </c>
      <c r="M14" s="21">
        <f>ROUND(L14 * IF(B$6&lt;=1, 2250, IF(B$6&lt;=4, 5150, 6000)), 0)</f>
        <v/>
      </c>
      <c r="N14" s="37">
        <f>E14 + H14 + K14 + M14</f>
        <v/>
      </c>
      <c r="O14" s="32" t="inlineStr">
        <is>
          <t>-</t>
        </is>
      </c>
      <c r="P14" s="41" t="inlineStr">
        <is>
          <t>EKSPLORASI SPASIAL (FLEXIBLE)</t>
        </is>
      </c>
    </row>
    <row r="15">
      <c r="A15" s="36" t="inlineStr">
        <is>
          <t>HEMAT</t>
        </is>
      </c>
      <c r="B15" s="14" t="inlineStr">
        <is>
          <t>Opsi 4</t>
        </is>
      </c>
      <c r="C15" s="7" t="inlineStr">
        <is>
          <t>RedDoorz Syariah near Batu Night Spectacular 3</t>
        </is>
      </c>
      <c r="D15" s="21" t="n">
        <v>115851</v>
      </c>
      <c r="E15" s="21">
        <f>D15 * B$9 * B$8</f>
        <v/>
      </c>
      <c r="F15" s="7" t="inlineStr">
        <is>
          <t>Wisata Desa BONPI / de' Asmorondono</t>
        </is>
      </c>
      <c r="G15" s="21" t="n">
        <v>10000</v>
      </c>
      <c r="H15" s="21">
        <f>G15 * B$6</f>
        <v/>
      </c>
      <c r="I15" s="7" t="inlineStr">
        <is>
          <t>Warung Nico</t>
        </is>
      </c>
      <c r="J15" s="21" t="n">
        <v>13000</v>
      </c>
      <c r="K15" s="21">
        <f>J15 * B$6 * 3 * B$7</f>
        <v/>
      </c>
      <c r="L15" s="29">
        <f>(6371 * 2 * ASIN(SQRT(SIN(RADIANS((-7.8386369)-(-7.9150622))/2)^2 + COS(RADIANS(-7.9150622)) * COS(RADIANS(-7.8386369)) * SIN(RADIANS((112.4540645)-(112.5379164))/2)^2)) * 1.3) + (6371 * 2 * ASIN(SQRT(SIN(RADIANS((-7.8618552)-(-7.8386369))/2)^2 + COS(RADIANS(-7.8386369)) * COS(RADIANS(-7.8618552)) * SIN(RADIANS((112.4886422)-(112.4540645))/2)^2)) * 1.3) + (6371 * 2 * ASIN(SQRT(SIN(RADIANS((-7.9150622)-(-7.8618552))/2)^2 + COS(RADIANS(-7.8618552)) * COS(RADIANS(-7.9150622)) * SIN(RADIANS((112.5379164)-(112.4886422))/2)^2)) * 1.3)</f>
        <v/>
      </c>
      <c r="M15" s="21">
        <f>ROUND(L15 * IF(B$6&lt;=1, 2250, IF(B$6&lt;=4, 5150, 6000)), 0)</f>
        <v/>
      </c>
      <c r="N15" s="37">
        <f>E15 + H15 + K15 + M15</f>
        <v/>
      </c>
      <c r="O15" s="32" t="inlineStr">
        <is>
          <t>-</t>
        </is>
      </c>
      <c r="P15" s="41" t="inlineStr">
        <is>
          <t>EKSPLORASI SPASIAL (FLEXIBLE)</t>
        </is>
      </c>
    </row>
    <row r="16">
      <c r="A16" s="36" t="inlineStr">
        <is>
          <t>HEMAT</t>
        </is>
      </c>
      <c r="B16" s="14" t="inlineStr">
        <is>
          <t>Opsi 5</t>
        </is>
      </c>
      <c r="C16" s="7" t="inlineStr">
        <is>
          <t>RedDoorz Syariah near Batu Night Spectacular 3</t>
        </is>
      </c>
      <c r="D16" s="21" t="n">
        <v>115851</v>
      </c>
      <c r="E16" s="21">
        <f>D16 * B$9 * B$8</f>
        <v/>
      </c>
      <c r="F16" s="7" t="inlineStr">
        <is>
          <t>Wisata Desa BONPI / de' Asmorondono</t>
        </is>
      </c>
      <c r="G16" s="21" t="n">
        <v>10000</v>
      </c>
      <c r="H16" s="21">
        <f>G16 * B$6</f>
        <v/>
      </c>
      <c r="I16" s="7" t="inlineStr">
        <is>
          <t>Warung Rini</t>
        </is>
      </c>
      <c r="J16" s="21" t="n">
        <v>13000</v>
      </c>
      <c r="K16" s="21">
        <f>J16 * B$6 * 3 * B$7</f>
        <v/>
      </c>
      <c r="L16" s="29">
        <f>(6371 * 2 * ASIN(SQRT(SIN(RADIANS((-7.8386369)-(-7.9150622))/2)^2 + COS(RADIANS(-7.9150622)) * COS(RADIANS(-7.8386369)) * SIN(RADIANS((112.4540645)-(112.5379164))/2)^2)) * 1.3) + (6371 * 2 * ASIN(SQRT(SIN(RADIANS((-7.8490859)-(-7.8386369))/2)^2 + COS(RADIANS(-7.8386369)) * COS(RADIANS(-7.8490859)) * SIN(RADIANS((112.4787033)-(112.4540645))/2)^2)) * 1.3) + (6371 * 2 * ASIN(SQRT(SIN(RADIANS((-7.9150622)-(-7.8490859))/2)^2 + COS(RADIANS(-7.8490859)) * COS(RADIANS(-7.9150622)) * SIN(RADIANS((112.5379164)-(112.4787033))/2)^2)) * 1.3)</f>
        <v/>
      </c>
      <c r="M16" s="21">
        <f>ROUND(L16 * IF(B$6&lt;=1, 2250, IF(B$6&lt;=4, 5150, 6000)), 0)</f>
        <v/>
      </c>
      <c r="N16" s="37">
        <f>E16 + H16 + K16 + M16</f>
        <v/>
      </c>
      <c r="O16" s="32" t="inlineStr">
        <is>
          <t>-</t>
        </is>
      </c>
      <c r="P16" s="41" t="inlineStr">
        <is>
          <t>EKSPLORASI SPASIAL (FLEXIBLE)</t>
        </is>
      </c>
    </row>
    <row r="17">
      <c r="A17" s="39" t="inlineStr">
        <is>
          <t>BALANCED</t>
        </is>
      </c>
      <c r="B17" s="14" t="inlineStr">
        <is>
          <t>Opsi 1</t>
        </is>
      </c>
      <c r="C17" s="7" t="inlineStr">
        <is>
          <t>Hidden Paradiso Hotel</t>
        </is>
      </c>
      <c r="D17" s="21" t="n">
        <v>244250</v>
      </c>
      <c r="E17" s="21">
        <f>D17 * B$9 * B$8</f>
        <v/>
      </c>
      <c r="F17" s="7" t="inlineStr">
        <is>
          <t>Kota Wisata Batu Jawa Timur</t>
        </is>
      </c>
      <c r="G17" s="21" t="n">
        <v>50000</v>
      </c>
      <c r="H17" s="21">
        <f>G17 * B$6</f>
        <v/>
      </c>
      <c r="I17" s="7" t="inlineStr">
        <is>
          <t>Depote</t>
        </is>
      </c>
      <c r="J17" s="21" t="n">
        <v>25000</v>
      </c>
      <c r="K17" s="21">
        <f>J17 * B$6 * 3 * B$7</f>
        <v/>
      </c>
      <c r="L17" s="29">
        <f>(6371 * 2 * ASIN(SQRT(SIN(RADIANS((-7.8717047)-(-7.8750799))/2)^2 + COS(RADIANS(-7.8750799)) * COS(RADIANS(-7.8717047)) * SIN(RADIANS((112.5234815)-(112.5261855))/2)^2)) * 1.3) + (6371 * 2 * ASIN(SQRT(SIN(RADIANS((-7.8608074)-(-7.8717047))/2)^2 + COS(RADIANS(-7.8717047)) * COS(RADIANS(-7.8608074)) * SIN(RADIANS((112.5270037)-(112.5234815))/2)^2)) * 1.3) + (6371 * 2 * ASIN(SQRT(SIN(RADIANS((-7.8750799)-(-7.8608074))/2)^2 + COS(RADIANS(-7.8608074)) * COS(RADIANS(-7.8750799)) * SIN(RADIANS((112.5261855)-(112.5270037))/2)^2)) * 1.3)</f>
        <v/>
      </c>
      <c r="M17" s="21">
        <f>ROUND(L17 * IF(B$6&lt;=1, 2250, IF(B$6&lt;=4, 5150, 6000)), 0)</f>
        <v/>
      </c>
      <c r="N17" s="37">
        <f>E17 + H17 + K17 + M17</f>
        <v/>
      </c>
      <c r="O17" s="32" t="inlineStr">
        <is>
          <t>-</t>
        </is>
      </c>
      <c r="P17" s="41" t="inlineStr">
        <is>
          <t>EKSPLORASI SPASIAL (FLEXIBLE)</t>
        </is>
      </c>
    </row>
    <row r="18">
      <c r="A18" s="39" t="inlineStr">
        <is>
          <t>BALANCED</t>
        </is>
      </c>
      <c r="B18" s="14" t="inlineStr">
        <is>
          <t>Opsi 2</t>
        </is>
      </c>
      <c r="C18" s="7" t="inlineStr">
        <is>
          <t>Alam Batu Village</t>
        </is>
      </c>
      <c r="D18" s="21" t="n">
        <v>247413</v>
      </c>
      <c r="E18" s="21">
        <f>D18 * B$9 * B$8</f>
        <v/>
      </c>
      <c r="F18" s="7" t="inlineStr">
        <is>
          <t>Kota Wisata Batu Jawa Timur</t>
        </is>
      </c>
      <c r="G18" s="21" t="n">
        <v>50000</v>
      </c>
      <c r="H18" s="21">
        <f>G18 * B$6</f>
        <v/>
      </c>
      <c r="I18" s="7" t="inlineStr">
        <is>
          <t>Depote</t>
        </is>
      </c>
      <c r="J18" s="21" t="n">
        <v>25000</v>
      </c>
      <c r="K18" s="21">
        <f>J18 * B$6 * 3 * B$7</f>
        <v/>
      </c>
      <c r="L18" s="29">
        <f>(6371 * 2 * ASIN(SQRT(SIN(RADIANS((-7.8717047)-(-7.8779029))/2)^2 + COS(RADIANS(-7.8779029)) * COS(RADIANS(-7.8717047)) * SIN(RADIANS((112.5234815)-(112.520874))/2)^2)) * 1.3) + (6371 * 2 * ASIN(SQRT(SIN(RADIANS((-7.8608074)-(-7.8717047))/2)^2 + COS(RADIANS(-7.8717047)) * COS(RADIANS(-7.8608074)) * SIN(RADIANS((112.5270037)-(112.5234815))/2)^2)) * 1.3) + (6371 * 2 * ASIN(SQRT(SIN(RADIANS((-7.8779029)-(-7.8608074))/2)^2 + COS(RADIANS(-7.8608074)) * COS(RADIANS(-7.8779029)) * SIN(RADIANS((112.520874)-(112.5270037))/2)^2)) * 1.3)</f>
        <v/>
      </c>
      <c r="M18" s="21">
        <f>ROUND(L18 * IF(B$6&lt;=1, 2250, IF(B$6&lt;=4, 5150, 6000)), 0)</f>
        <v/>
      </c>
      <c r="N18" s="37">
        <f>E18 + H18 + K18 + M18</f>
        <v/>
      </c>
      <c r="O18" s="32" t="inlineStr">
        <is>
          <t>-</t>
        </is>
      </c>
      <c r="P18" s="41" t="inlineStr">
        <is>
          <t>EKSPLORASI SPASIAL (FLEXIBLE)</t>
        </is>
      </c>
    </row>
    <row r="19">
      <c r="A19" s="39" t="inlineStr">
        <is>
          <t>BALANCED</t>
        </is>
      </c>
      <c r="B19" s="14" t="inlineStr">
        <is>
          <t>Opsi 3</t>
        </is>
      </c>
      <c r="C19" s="7" t="inlineStr">
        <is>
          <t>BaliKu Guest House</t>
        </is>
      </c>
      <c r="D19" s="21" t="n">
        <v>245700</v>
      </c>
      <c r="E19" s="21">
        <f>D19 * B$9 * B$8</f>
        <v/>
      </c>
      <c r="F19" s="7" t="inlineStr">
        <is>
          <t>Kota Wisata Batu Jawa Timur</t>
        </is>
      </c>
      <c r="G19" s="21" t="n">
        <v>50000</v>
      </c>
      <c r="H19" s="21">
        <f>G19 * B$6</f>
        <v/>
      </c>
      <c r="I19" s="7" t="inlineStr">
        <is>
          <t>Depote</t>
        </is>
      </c>
      <c r="J19" s="21" t="n">
        <v>25000</v>
      </c>
      <c r="K19" s="21">
        <f>J19 * B$6 * 3 * B$7</f>
        <v/>
      </c>
      <c r="L19" s="29">
        <f>(6371 * 2 * ASIN(SQRT(SIN(RADIANS((-7.8717047)-(-7.8812844))/2)^2 + COS(RADIANS(-7.8812844)) * COS(RADIANS(-7.8717047)) * SIN(RADIANS((112.5234815)-(112.5201419))/2)^2)) * 1.3) + (6371 * 2 * ASIN(SQRT(SIN(RADIANS((-7.8608074)-(-7.8717047))/2)^2 + COS(RADIANS(-7.8717047)) * COS(RADIANS(-7.8608074)) * SIN(RADIANS((112.5270037)-(112.5234815))/2)^2)) * 1.3) + (6371 * 2 * ASIN(SQRT(SIN(RADIANS((-7.8812844)-(-7.8608074))/2)^2 + COS(RADIANS(-7.8608074)) * COS(RADIANS(-7.8812844)) * SIN(RADIANS((112.5201419)-(112.5270037))/2)^2)) * 1.3)</f>
        <v/>
      </c>
      <c r="M19" s="21">
        <f>ROUND(L19 * IF(B$6&lt;=1, 2250, IF(B$6&lt;=4, 5150, 6000)), 0)</f>
        <v/>
      </c>
      <c r="N19" s="37">
        <f>E19 + H19 + K19 + M19</f>
        <v/>
      </c>
      <c r="O19" s="32" t="inlineStr">
        <is>
          <t>-</t>
        </is>
      </c>
      <c r="P19" s="41" t="inlineStr">
        <is>
          <t>EKSPLORASI SPASIAL (FLEXIBLE)</t>
        </is>
      </c>
    </row>
    <row r="20">
      <c r="A20" s="39" t="inlineStr">
        <is>
          <t>BALANCED</t>
        </is>
      </c>
      <c r="B20" s="14" t="inlineStr">
        <is>
          <t>Opsi 4</t>
        </is>
      </c>
      <c r="C20" s="7" t="inlineStr">
        <is>
          <t>BaliKu Guest House</t>
        </is>
      </c>
      <c r="D20" s="21" t="n">
        <v>245700</v>
      </c>
      <c r="E20" s="21">
        <f>D20 * B$9 * B$8</f>
        <v/>
      </c>
      <c r="F20" s="7" t="inlineStr">
        <is>
          <t>Kota Wisata Batu Jawa Timur</t>
        </is>
      </c>
      <c r="G20" s="21" t="n">
        <v>50000</v>
      </c>
      <c r="H20" s="21">
        <f>G20 * B$6</f>
        <v/>
      </c>
      <c r="I20" s="7" t="inlineStr">
        <is>
          <t>Bellis Kitchen &amp; Bar</t>
        </is>
      </c>
      <c r="J20" s="21" t="n">
        <v>25700</v>
      </c>
      <c r="K20" s="21">
        <f>J20 * B$6 * 3 * B$7</f>
        <v/>
      </c>
      <c r="L20" s="29">
        <f>(6371 * 2 * ASIN(SQRT(SIN(RADIANS((-7.8717047)-(-7.8812844))/2)^2 + COS(RADIANS(-7.8812844)) * COS(RADIANS(-7.8717047)) * SIN(RADIANS((112.5234815)-(112.5201419))/2)^2)) * 1.3) + (6371 * 2 * ASIN(SQRT(SIN(RADIANS((-7.8824911)-(-7.8717047))/2)^2 + COS(RADIANS(-7.8717047)) * COS(RADIANS(-7.8824911)) * SIN(RADIANS((112.5195533)-(112.5234815))/2)^2)) * 1.3) + (6371 * 2 * ASIN(SQRT(SIN(RADIANS((-7.8812844)-(-7.8824911))/2)^2 + COS(RADIANS(-7.8824911)) * COS(RADIANS(-7.8812844)) * SIN(RADIANS((112.5201419)-(112.5195533))/2)^2)) * 1.3)</f>
        <v/>
      </c>
      <c r="M20" s="21">
        <f>ROUND(L20 * IF(B$6&lt;=1, 2250, IF(B$6&lt;=4, 5150, 6000)), 0)</f>
        <v/>
      </c>
      <c r="N20" s="37">
        <f>E20 + H20 + K20 + M20</f>
        <v/>
      </c>
      <c r="O20" s="32" t="inlineStr">
        <is>
          <t>-</t>
        </is>
      </c>
      <c r="P20" s="41" t="inlineStr">
        <is>
          <t>EKSPLORASI SPASIAL (FLEXIBLE)</t>
        </is>
      </c>
    </row>
    <row r="21">
      <c r="A21" s="39" t="inlineStr">
        <is>
          <t>BALANCED</t>
        </is>
      </c>
      <c r="B21" s="14" t="inlineStr">
        <is>
          <t>Opsi 5</t>
        </is>
      </c>
      <c r="C21" s="7" t="inlineStr">
        <is>
          <t>Alam Batu Village</t>
        </is>
      </c>
      <c r="D21" s="21" t="n">
        <v>247413</v>
      </c>
      <c r="E21" s="21">
        <f>D21 * B$9 * B$8</f>
        <v/>
      </c>
      <c r="F21" s="7" t="inlineStr">
        <is>
          <t>Kota Wisata Batu Jawa Timur</t>
        </is>
      </c>
      <c r="G21" s="21" t="n">
        <v>50000</v>
      </c>
      <c r="H21" s="21">
        <f>G21 * B$6</f>
        <v/>
      </c>
      <c r="I21" s="7" t="inlineStr">
        <is>
          <t>Bellis Kitchen &amp; Bar</t>
        </is>
      </c>
      <c r="J21" s="21" t="n">
        <v>25700</v>
      </c>
      <c r="K21" s="21">
        <f>J21 * B$6 * 3 * B$7</f>
        <v/>
      </c>
      <c r="L21" s="29">
        <f>(6371 * 2 * ASIN(SQRT(SIN(RADIANS((-7.8717047)-(-7.8779029))/2)^2 + COS(RADIANS(-7.8779029)) * COS(RADIANS(-7.8717047)) * SIN(RADIANS((112.5234815)-(112.520874))/2)^2)) * 1.3) + (6371 * 2 * ASIN(SQRT(SIN(RADIANS((-7.8824911)-(-7.8717047))/2)^2 + COS(RADIANS(-7.8717047)) * COS(RADIANS(-7.8824911)) * SIN(RADIANS((112.5195533)-(112.5234815))/2)^2)) * 1.3) + (6371 * 2 * ASIN(SQRT(SIN(RADIANS((-7.8779029)-(-7.8824911))/2)^2 + COS(RADIANS(-7.8824911)) * COS(RADIANS(-7.8779029)) * SIN(RADIANS((112.520874)-(112.5195533))/2)^2)) * 1.3)</f>
        <v/>
      </c>
      <c r="M21" s="21">
        <f>ROUND(L21 * IF(B$6&lt;=1, 2250, IF(B$6&lt;=4, 5150, 6000)), 0)</f>
        <v/>
      </c>
      <c r="N21" s="37">
        <f>E21 + H21 + K21 + M21</f>
        <v/>
      </c>
      <c r="O21" s="32" t="inlineStr">
        <is>
          <t>-</t>
        </is>
      </c>
      <c r="P21" s="41" t="inlineStr">
        <is>
          <t>EKSPLORASI SPASIAL (FLEXIBLE)</t>
        </is>
      </c>
    </row>
    <row r="22">
      <c r="A22" s="40" t="inlineStr">
        <is>
          <t>PREMIUM</t>
        </is>
      </c>
      <c r="B22" s="14" t="inlineStr">
        <is>
          <t>Opsi 1</t>
        </is>
      </c>
      <c r="C22" s="7" t="inlineStr">
        <is>
          <t>Seulawah Resort &amp; Cafe</t>
        </is>
      </c>
      <c r="D22" s="21" t="n">
        <v>419661</v>
      </c>
      <c r="E22" s="21">
        <f>D22 * B$9 * B$8</f>
        <v/>
      </c>
      <c r="F22" s="7" t="inlineStr">
        <is>
          <t>Jawa Timur Park 2</t>
        </is>
      </c>
      <c r="G22" s="21" t="n">
        <v>155000</v>
      </c>
      <c r="H22" s="21">
        <f>G22 * B$6</f>
        <v/>
      </c>
      <c r="I22" s="7" t="inlineStr">
        <is>
          <t>A-yem Tiamkopi</t>
        </is>
      </c>
      <c r="J22" s="21" t="n">
        <v>49665</v>
      </c>
      <c r="K22" s="21">
        <f>J22 * B$6 * 3 * B$7</f>
        <v/>
      </c>
      <c r="L22" s="29">
        <f>(6371 * 2 * ASIN(SQRT(SIN(RADIANS((-7.888021)-(-7.867537))/2)^2 + COS(RADIANS(-7.867537)) * COS(RADIANS(-7.888021)) * SIN(RADIANS((112.5295442)-(112.505548))/2)^2)) * 1.3) + (6371 * 2 * ASIN(SQRT(SIN(RADIANS((-7.8657243)-(-7.888021))/2)^2 + COS(RADIANS(-7.888021)) * COS(RADIANS(-7.8657243)) * SIN(RADIANS((112.5105723)-(112.5295442))/2)^2)) * 1.3) + (6371 * 2 * ASIN(SQRT(SIN(RADIANS((-7.867537)-(-7.8657243))/2)^2 + COS(RADIANS(-7.8657243)) * COS(RADIANS(-7.867537)) * SIN(RADIANS((112.505548)-(112.5105723))/2)^2)) * 1.3)</f>
        <v/>
      </c>
      <c r="M22" s="21">
        <f>ROUND(L22 * IF(B$6&lt;=1, 2250, IF(B$6&lt;=4, 5150, 6000)), 0)</f>
        <v/>
      </c>
      <c r="N22" s="37">
        <f>E22 + H22 + K22 + M22</f>
        <v/>
      </c>
      <c r="O22" s="32" t="inlineStr">
        <is>
          <t>-</t>
        </is>
      </c>
      <c r="P22" s="41" t="inlineStr">
        <is>
          <t>EKSPLORASI SPASIAL (FLEXIBLE)</t>
        </is>
      </c>
    </row>
    <row r="23">
      <c r="A23" s="40" t="inlineStr">
        <is>
          <t>PREMIUM</t>
        </is>
      </c>
      <c r="B23" s="14" t="inlineStr">
        <is>
          <t>Opsi 2</t>
        </is>
      </c>
      <c r="C23" s="7" t="inlineStr">
        <is>
          <t>Seulawah Resort &amp; Cafe</t>
        </is>
      </c>
      <c r="D23" s="21" t="n">
        <v>419661</v>
      </c>
      <c r="E23" s="21">
        <f>D23 * B$9 * B$8</f>
        <v/>
      </c>
      <c r="F23" s="7" t="inlineStr">
        <is>
          <t>Jawa Timur Park 2</t>
        </is>
      </c>
      <c r="G23" s="21" t="n">
        <v>155000</v>
      </c>
      <c r="H23" s="21">
        <f>G23 * B$6</f>
        <v/>
      </c>
      <c r="I23" s="7" t="inlineStr">
        <is>
          <t>Depot Widari</t>
        </is>
      </c>
      <c r="J23" s="21" t="n">
        <v>50600</v>
      </c>
      <c r="K23" s="21">
        <f>J23 * B$6 * 3 * B$7</f>
        <v/>
      </c>
      <c r="L23" s="29">
        <f>(6371 * 2 * ASIN(SQRT(SIN(RADIANS((-7.888021)-(-7.867537))/2)^2 + COS(RADIANS(-7.867537)) * COS(RADIANS(-7.888021)) * SIN(RADIANS((112.5295442)-(112.505548))/2)^2)) * 1.3) + (6371 * 2 * ASIN(SQRT(SIN(RADIANS((-7.9754065)-(-7.888021))/2)^2 + COS(RADIANS(-7.888021)) * COS(RADIANS(-7.9754065)) * SIN(RADIANS((112.619517)-(112.5295442))/2)^2)) * 1.3) + (6371 * 2 * ASIN(SQRT(SIN(RADIANS((-7.867537)-(-7.9754065))/2)^2 + COS(RADIANS(-7.9754065)) * COS(RADIANS(-7.867537)) * SIN(RADIANS((112.505548)-(112.619517))/2)^2)) * 1.3)</f>
        <v/>
      </c>
      <c r="M23" s="21">
        <f>ROUND(L23 * IF(B$6&lt;=1, 2250, IF(B$6&lt;=4, 5150, 6000)), 0)</f>
        <v/>
      </c>
      <c r="N23" s="37">
        <f>E23 + H23 + K23 + M23</f>
        <v/>
      </c>
      <c r="O23" s="32" t="inlineStr">
        <is>
          <t>-</t>
        </is>
      </c>
      <c r="P23" s="41" t="inlineStr">
        <is>
          <t>EKSPLORASI SPASIAL (FLEXIBLE)</t>
        </is>
      </c>
    </row>
    <row r="24">
      <c r="A24" s="40" t="inlineStr">
        <is>
          <t>PREMIUM</t>
        </is>
      </c>
      <c r="B24" s="14" t="inlineStr">
        <is>
          <t>Opsi 3</t>
        </is>
      </c>
      <c r="C24" s="7" t="inlineStr">
        <is>
          <t>Seulawah Resort &amp; Cafe</t>
        </is>
      </c>
      <c r="D24" s="21" t="n">
        <v>419661</v>
      </c>
      <c r="E24" s="21">
        <f>D24 * B$9 * B$8</f>
        <v/>
      </c>
      <c r="F24" s="7" t="inlineStr">
        <is>
          <t>Jawa Timur Park 2</t>
        </is>
      </c>
      <c r="G24" s="21" t="n">
        <v>155000</v>
      </c>
      <c r="H24" s="21">
        <f>G24 * B$6</f>
        <v/>
      </c>
      <c r="I24" s="7" t="inlineStr">
        <is>
          <t>Depot Santai</t>
        </is>
      </c>
      <c r="J24" s="21" t="n">
        <v>50000</v>
      </c>
      <c r="K24" s="21">
        <f>J24 * B$6 * 3 * B$7</f>
        <v/>
      </c>
      <c r="L24" s="29">
        <f>(6371 * 2 * ASIN(SQRT(SIN(RADIANS((-7.888021)-(-7.867537))/2)^2 + COS(RADIANS(-7.867537)) * COS(RADIANS(-7.888021)) * SIN(RADIANS((112.5295442)-(112.505548))/2)^2)) * 1.3) + (6371 * 2 * ASIN(SQRT(SIN(RADIANS((-7.9667822)-(-7.888021))/2)^2 + COS(RADIANS(-7.888021)) * COS(RADIANS(-7.9667822)) * SIN(RADIANS((112.6289912)-(112.5295442))/2)^2)) * 1.3) + (6371 * 2 * ASIN(SQRT(SIN(RADIANS((-7.867537)-(-7.9667822))/2)^2 + COS(RADIANS(-7.9667822)) * COS(RADIANS(-7.867537)) * SIN(RADIANS((112.505548)-(112.6289912))/2)^2)) * 1.3)</f>
        <v/>
      </c>
      <c r="M24" s="21">
        <f>ROUND(L24 * IF(B$6&lt;=1, 2250, IF(B$6&lt;=4, 5150, 6000)), 0)</f>
        <v/>
      </c>
      <c r="N24" s="37">
        <f>E24 + H24 + K24 + M24</f>
        <v/>
      </c>
      <c r="O24" s="32" t="inlineStr">
        <is>
          <t>-</t>
        </is>
      </c>
      <c r="P24" s="41" t="inlineStr">
        <is>
          <t>EKSPLORASI SPASIAL (FLEXIBLE)</t>
        </is>
      </c>
    </row>
    <row r="25">
      <c r="A25" s="40" t="inlineStr">
        <is>
          <t>PREMIUM</t>
        </is>
      </c>
      <c r="B25" s="14" t="inlineStr">
        <is>
          <t>Opsi 4</t>
        </is>
      </c>
      <c r="C25" s="7" t="inlineStr">
        <is>
          <t>Seulawah Resort &amp; Cafe</t>
        </is>
      </c>
      <c r="D25" s="21" t="n">
        <v>419661</v>
      </c>
      <c r="E25" s="21">
        <f>D25 * B$9 * B$8</f>
        <v/>
      </c>
      <c r="F25" s="7" t="inlineStr">
        <is>
          <t>Jawa Timur Park 2</t>
        </is>
      </c>
      <c r="G25" s="21" t="n">
        <v>155000</v>
      </c>
      <c r="H25" s="21">
        <f>G25 * B$6</f>
        <v/>
      </c>
      <c r="I25" s="7" t="inlineStr">
        <is>
          <t>Ayam Penyet Ria, Malang</t>
        </is>
      </c>
      <c r="J25" s="21" t="n">
        <v>48000</v>
      </c>
      <c r="K25" s="21">
        <f>J25 * B$6 * 3 * B$7</f>
        <v/>
      </c>
      <c r="L25" s="29">
        <f>(6371 * 2 * ASIN(SQRT(SIN(RADIANS((-7.888021)-(-7.867537))/2)^2 + COS(RADIANS(-7.867537)) * COS(RADIANS(-7.888021)) * SIN(RADIANS((112.5295442)-(112.505548))/2)^2)) * 1.3) + (6371 * 2 * ASIN(SQRT(SIN(RADIANS((-7.971122)-(-7.888021))/2)^2 + COS(RADIANS(-7.888021)) * COS(RADIANS(-7.971122)) * SIN(RADIANS((112.636695)-(112.5295442))/2)^2)) * 1.3) + (6371 * 2 * ASIN(SQRT(SIN(RADIANS((-7.867537)-(-7.971122))/2)^2 + COS(RADIANS(-7.971122)) * COS(RADIANS(-7.867537)) * SIN(RADIANS((112.505548)-(112.636695))/2)^2)) * 1.3)</f>
        <v/>
      </c>
      <c r="M25" s="21">
        <f>ROUND(L25 * IF(B$6&lt;=1, 2250, IF(B$6&lt;=4, 5150, 6000)), 0)</f>
        <v/>
      </c>
      <c r="N25" s="37">
        <f>E25 + H25 + K25 + M25</f>
        <v/>
      </c>
      <c r="O25" s="32" t="inlineStr">
        <is>
          <t>-</t>
        </is>
      </c>
      <c r="P25" s="41" t="inlineStr">
        <is>
          <t>EKSPLORASI SPASIAL (FLEXIBLE)</t>
        </is>
      </c>
    </row>
    <row r="26">
      <c r="A26" s="40" t="inlineStr">
        <is>
          <t>PREMIUM</t>
        </is>
      </c>
      <c r="B26" s="14" t="inlineStr">
        <is>
          <t>Opsi 5</t>
        </is>
      </c>
      <c r="C26" s="7" t="inlineStr">
        <is>
          <t>Seulawah Resort &amp; Cafe</t>
        </is>
      </c>
      <c r="D26" s="21" t="n">
        <v>419661</v>
      </c>
      <c r="E26" s="21">
        <f>D26 * B$9 * B$8</f>
        <v/>
      </c>
      <c r="F26" s="7" t="inlineStr">
        <is>
          <t>Jawa Timur Park 2</t>
        </is>
      </c>
      <c r="G26" s="21" t="n">
        <v>155000</v>
      </c>
      <c r="H26" s="21">
        <f>G26 * B$6</f>
        <v/>
      </c>
      <c r="I26" s="7" t="inlineStr">
        <is>
          <t>Kashmir Kedai</t>
        </is>
      </c>
      <c r="J26" s="21" t="n">
        <v>47700</v>
      </c>
      <c r="K26" s="21">
        <f>J26 * B$6 * 3 * B$7</f>
        <v/>
      </c>
      <c r="L26" s="29">
        <f>(6371 * 2 * ASIN(SQRT(SIN(RADIANS((-7.888021)-(-7.867537))/2)^2 + COS(RADIANS(-7.867537)) * COS(RADIANS(-7.888021)) * SIN(RADIANS((112.5295442)-(112.505548))/2)^2)) * 1.3) + (6371 * 2 * ASIN(SQRT(SIN(RADIANS((-7.9936246)-(-7.888021))/2)^2 + COS(RADIANS(-7.888021)) * COS(RADIANS(-7.9936246)) * SIN(RADIANS((112.6205891)-(112.5295442))/2)^2)) * 1.3) + (6371 * 2 * ASIN(SQRT(SIN(RADIANS((-7.867537)-(-7.9936246))/2)^2 + COS(RADIANS(-7.9936246)) * COS(RADIANS(-7.867537)) * SIN(RADIANS((112.505548)-(112.6205891))/2)^2)) * 1.3)</f>
        <v/>
      </c>
      <c r="M26" s="21">
        <f>ROUND(L26 * IF(B$6&lt;=1, 2250, IF(B$6&lt;=4, 5150, 6000)), 0)</f>
        <v/>
      </c>
      <c r="N26" s="37">
        <f>E26 + H26 + K26 + M26</f>
        <v/>
      </c>
      <c r="O26" s="32" t="inlineStr">
        <is>
          <t>-</t>
        </is>
      </c>
      <c r="P26" s="41" t="inlineStr">
        <is>
          <t>EKSPLORASI SPASIAL (FLEXIBLE)</t>
        </is>
      </c>
    </row>
  </sheetData>
  <mergeCells count="7">
    <mergeCell ref="A1:N2"/>
    <mergeCell ref="A8"/>
    <mergeCell ref="A6"/>
    <mergeCell ref="A4:E4"/>
    <mergeCell ref="A9"/>
    <mergeCell ref="A7"/>
    <mergeCell ref="A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40" customWidth="1" min="3" max="3"/>
    <col width="20" customWidth="1" min="4" max="4"/>
    <col width="20" customWidth="1" min="5" max="5"/>
    <col width="33" customWidth="1" min="6" max="6"/>
    <col width="21" customWidth="1" min="7" max="7"/>
    <col width="21" customWidth="1" min="8" max="8"/>
    <col width="45" customWidth="1" min="9" max="9"/>
    <col width="22" customWidth="1" min="10" max="10"/>
    <col width="22" customWidth="1" min="11" max="11"/>
    <col width="23" customWidth="1" min="12" max="12"/>
    <col width="23" customWidth="1" min="13" max="13"/>
    <col width="28" customWidth="1" min="14" max="14"/>
    <col width="19" customWidth="1" min="15" max="15"/>
    <col width="19" customWidth="1" min="16" max="16"/>
  </cols>
  <sheetData>
    <row r="1">
      <c r="A1" s="1" t="inlineStr">
        <is>
          <t>WORKFLOW SIMULASI REKOMENDASI - DESTFIRST</t>
        </is>
      </c>
    </row>
    <row r="2"/>
    <row r="3"/>
    <row r="4">
      <c r="A4" s="2" t="inlineStr">
        <is>
          <t>RUJUKAN KENDALA ANGGARAN &amp; KAPASITAS (FORMULA DARI DASHBOARD)</t>
        </is>
      </c>
    </row>
    <row r="5">
      <c r="A5" s="11" t="inlineStr">
        <is>
          <t>Total Budget Wisatawan</t>
        </is>
      </c>
      <c r="B5" s="35">
        <f>'Dashboard'!C5</f>
        <v/>
      </c>
    </row>
    <row r="6">
      <c r="A6" s="15" t="inlineStr">
        <is>
          <t>Jumlah Orang (Peserta)</t>
        </is>
      </c>
      <c r="B6" s="14">
        <f>'Dashboard'!C6</f>
        <v/>
      </c>
    </row>
    <row r="7">
      <c r="A7" s="15" t="inlineStr">
        <is>
          <t>Durasi Liburan (Hari)</t>
        </is>
      </c>
      <c r="B7" s="14">
        <f>'Dashboard'!C7</f>
        <v/>
      </c>
    </row>
    <row r="8">
      <c r="A8" s="15" t="inlineStr">
        <is>
          <t>Kamar Hotel yang Butuh</t>
        </is>
      </c>
      <c r="B8" s="14">
        <f>ROUNDUP('Dashboard'!C6/2, 0)</f>
        <v/>
      </c>
    </row>
    <row r="9">
      <c r="A9" s="15" t="inlineStr">
        <is>
          <t>Malam Menginap</t>
        </is>
      </c>
      <c r="B9" s="14">
        <f>MAX('Dashboard'!C7-1, 1)</f>
        <v/>
      </c>
    </row>
    <row r="10"/>
    <row r="11">
      <c r="A11" s="24" t="inlineStr">
        <is>
          <t>Kelas Paket</t>
        </is>
      </c>
      <c r="B11" s="24" t="inlineStr">
        <is>
          <t>No</t>
        </is>
      </c>
      <c r="C11" s="24" t="inlineStr">
        <is>
          <t>Nama Hotel</t>
        </is>
      </c>
      <c r="D11" s="24" t="inlineStr">
        <is>
          <t>Harga Hotel/Malam</t>
        </is>
      </c>
      <c r="E11" s="24" t="inlineStr">
        <is>
          <t>Biaya Hotel Total</t>
        </is>
      </c>
      <c r="F11" s="24" t="inlineStr">
        <is>
          <t>Nama Wisata Pilihan</t>
        </is>
      </c>
      <c r="G11" s="24" t="inlineStr">
        <is>
          <t>Harga Tiket Satuan</t>
        </is>
      </c>
      <c r="H11" s="24" t="inlineStr">
        <is>
          <t>Biaya Wisata Total</t>
        </is>
      </c>
      <c r="I11" s="24" t="inlineStr">
        <is>
          <t>Nama Kuliner Pilihan</t>
        </is>
      </c>
      <c r="J11" s="24" t="inlineStr">
        <is>
          <t>Harga Kuliner/Porsi</t>
        </is>
      </c>
      <c r="K11" s="24" t="inlineStr">
        <is>
          <t>Biaya Kuliner Total</t>
        </is>
      </c>
      <c r="L11" s="24" t="inlineStr">
        <is>
          <t>Rute Geospasial (km)</t>
        </is>
      </c>
      <c r="M11" s="24" t="inlineStr">
        <is>
          <t>Estimasi Ongkir (Rp)</t>
        </is>
      </c>
      <c r="N11" s="24" t="inlineStr">
        <is>
          <t>ESTIMASI TOTAL BIAYA (Rp)</t>
        </is>
      </c>
      <c r="O11" s="24" t="inlineStr">
        <is>
          <t>SISA BUDGET (Rp)</t>
        </is>
      </c>
      <c r="P11" s="24" t="inlineStr">
        <is>
          <t>STATUS KELAYAKAN</t>
        </is>
      </c>
    </row>
    <row r="12">
      <c r="A12" s="36" t="inlineStr">
        <is>
          <t>HEMAT</t>
        </is>
      </c>
      <c r="B12" s="14" t="inlineStr">
        <is>
          <t>Opsi 1</t>
        </is>
      </c>
      <c r="C12" s="7" t="inlineStr">
        <is>
          <t>RedDoorz Plus near Balai Kota Batu 2</t>
        </is>
      </c>
      <c r="D12" s="21" t="n">
        <v>180000</v>
      </c>
      <c r="E12" s="21">
        <f>D12 * B$9 * B$8</f>
        <v/>
      </c>
      <c r="F12" s="7" t="inlineStr">
        <is>
          <t>Air Terjun Grojogan Sewu Pujon</t>
        </is>
      </c>
      <c r="G12" s="21" t="n">
        <v>2000</v>
      </c>
      <c r="H12" s="21">
        <f>G12 * B$6</f>
        <v/>
      </c>
      <c r="I12" s="7" t="inlineStr">
        <is>
          <t>Warung Sate Kelinci, Songgoriti Batu</t>
        </is>
      </c>
      <c r="J12" s="21" t="n">
        <v>17250</v>
      </c>
      <c r="K12" s="21">
        <f>J12 * B$6 * 3 * B$7</f>
        <v/>
      </c>
      <c r="L12" s="29">
        <f>(6371 * 2 * ASIN(SQRT(SIN(RADIANS((-7.8664128)-(-7.8650022))/2)^2 + COS(RADIANS(-7.8650022)) * COS(RADIANS(-7.8664128)) * SIN(RADIANS((112.4233498)-(112.506961))/2)^2)) * 1.3) + (6371 * 2 * ASIN(SQRT(SIN(RADIANS((-7.8652351)-(-7.8664128))/2)^2 + COS(RADIANS(-7.8664128)) * COS(RADIANS(-7.8652351)) * SIN(RADIANS((112.4934423)-(112.4233498))/2)^2)) * 1.3) + (6371 * 2 * ASIN(SQRT(SIN(RADIANS((-7.8650022)-(-7.8652351))/2)^2 + COS(RADIANS(-7.8652351)) * COS(RADIANS(-7.8650022)) * SIN(RADIANS((112.506961)-(112.4934423))/2)^2)) * 1.3)</f>
        <v/>
      </c>
      <c r="M12" s="21">
        <f>ROUND(L12 * IF(B$6&lt;=1, 2250, IF(B$6&lt;=4, 5150, 6000)), 0)</f>
        <v/>
      </c>
      <c r="N12" s="37">
        <f>E12 + H12 + K12 + M12</f>
        <v/>
      </c>
      <c r="O12" s="21">
        <f>B$5 - N12</f>
        <v/>
      </c>
      <c r="P12" s="38">
        <f>IF(N12&lt;=B$5, "✅ LAYAK (UNDER BUDGET)", "⚠️ TIDAK LAYAK (OVER BUDGET)")</f>
        <v/>
      </c>
    </row>
    <row r="13">
      <c r="A13" s="36" t="inlineStr">
        <is>
          <t>HEMAT</t>
        </is>
      </c>
      <c r="B13" s="14" t="inlineStr">
        <is>
          <t>Opsi 2</t>
        </is>
      </c>
      <c r="C13" s="7" t="inlineStr">
        <is>
          <t>RedDoorz Plus near Balai Kota Batu 2</t>
        </is>
      </c>
      <c r="D13" s="21" t="n">
        <v>180000</v>
      </c>
      <c r="E13" s="21">
        <f>D13 * B$9 * B$8</f>
        <v/>
      </c>
      <c r="F13" s="7" t="inlineStr">
        <is>
          <t>Air Terjun Grojogan Sewu Pujon</t>
        </is>
      </c>
      <c r="G13" s="21" t="n">
        <v>2000</v>
      </c>
      <c r="H13" s="21">
        <f>G13 * B$6</f>
        <v/>
      </c>
      <c r="I13" s="7" t="inlineStr">
        <is>
          <t>Cafe Sawah Pujonkidul</t>
        </is>
      </c>
      <c r="J13" s="21" t="n">
        <v>17500</v>
      </c>
      <c r="K13" s="21">
        <f>J13 * B$6 * 3 * B$7</f>
        <v/>
      </c>
      <c r="L13" s="29">
        <f>(6371 * 2 * ASIN(SQRT(SIN(RADIANS((-7.8664128)-(-7.8650022))/2)^2 + COS(RADIANS(-7.8650022)) * COS(RADIANS(-7.8664128)) * SIN(RADIANS((112.4233498)-(112.506961))/2)^2)) * 1.3) + (6371 * 2 * ASIN(SQRT(SIN(RADIANS((-7.8545719)-(-7.8664128))/2)^2 + COS(RADIANS(-7.8664128)) * COS(RADIANS(-7.8545719)) * SIN(RADIANS((112.4538339)-(112.4233498))/2)^2)) * 1.3) + (6371 * 2 * ASIN(SQRT(SIN(RADIANS((-7.8650022)-(-7.8545719))/2)^2 + COS(RADIANS(-7.8545719)) * COS(RADIANS(-7.8650022)) * SIN(RADIANS((112.506961)-(112.4538339))/2)^2)) * 1.3)</f>
        <v/>
      </c>
      <c r="M13" s="21">
        <f>ROUND(L13 * IF(B$6&lt;=1, 2250, IF(B$6&lt;=4, 5150, 6000)), 0)</f>
        <v/>
      </c>
      <c r="N13" s="37">
        <f>E13 + H13 + K13 + M13</f>
        <v/>
      </c>
      <c r="O13" s="21">
        <f>B$5 - N13</f>
        <v/>
      </c>
      <c r="P13" s="38">
        <f>IF(N13&lt;=B$5, "✅ LAYAK (UNDER BUDGET)", "⚠️ TIDAK LAYAK (OVER BUDGET)")</f>
        <v/>
      </c>
    </row>
    <row r="14">
      <c r="A14" s="36" t="inlineStr">
        <is>
          <t>HEMAT</t>
        </is>
      </c>
      <c r="B14" s="14" t="inlineStr">
        <is>
          <t>Opsi 3</t>
        </is>
      </c>
      <c r="C14" s="7" t="inlineStr">
        <is>
          <t>SR Guesthouse</t>
        </is>
      </c>
      <c r="D14" s="21" t="n">
        <v>173966</v>
      </c>
      <c r="E14" s="21">
        <f>D14 * B$9 * B$8</f>
        <v/>
      </c>
      <c r="F14" s="7" t="inlineStr">
        <is>
          <t>Air Terjun Grojogan Sewu Pujon</t>
        </is>
      </c>
      <c r="G14" s="21" t="n">
        <v>2000</v>
      </c>
      <c r="H14" s="21">
        <f>G14 * B$6</f>
        <v/>
      </c>
      <c r="I14" s="7" t="inlineStr">
        <is>
          <t>Warung Sate Kelinci, Songgoriti Batu</t>
        </is>
      </c>
      <c r="J14" s="21" t="n">
        <v>17250</v>
      </c>
      <c r="K14" s="21">
        <f>J14 * B$6 * 3 * B$7</f>
        <v/>
      </c>
      <c r="L14" s="29">
        <f>(6371 * 2 * ASIN(SQRT(SIN(RADIANS((-7.8664128)-(-7.8630288))/2)^2 + COS(RADIANS(-7.8630288)) * COS(RADIANS(-7.8664128)) * SIN(RADIANS((112.4233498)-(112.5116416))/2)^2)) * 1.3) + (6371 * 2 * ASIN(SQRT(SIN(RADIANS((-7.8652351)-(-7.8664128))/2)^2 + COS(RADIANS(-7.8664128)) * COS(RADIANS(-7.8652351)) * SIN(RADIANS((112.4934423)-(112.4233498))/2)^2)) * 1.3) + (6371 * 2 * ASIN(SQRT(SIN(RADIANS((-7.8630288)-(-7.8652351))/2)^2 + COS(RADIANS(-7.8652351)) * COS(RADIANS(-7.8630288)) * SIN(RADIANS((112.5116416)-(112.4934423))/2)^2)) * 1.3)</f>
        <v/>
      </c>
      <c r="M14" s="21">
        <f>ROUND(L14 * IF(B$6&lt;=1, 2250, IF(B$6&lt;=4, 5150, 6000)), 0)</f>
        <v/>
      </c>
      <c r="N14" s="37">
        <f>E14 + H14 + K14 + M14</f>
        <v/>
      </c>
      <c r="O14" s="21">
        <f>B$5 - N14</f>
        <v/>
      </c>
      <c r="P14" s="38">
        <f>IF(N14&lt;=B$5, "✅ LAYAK (UNDER BUDGET)", "⚠️ TIDAK LAYAK (OVER BUDGET)")</f>
        <v/>
      </c>
    </row>
    <row r="15">
      <c r="A15" s="36" t="inlineStr">
        <is>
          <t>HEMAT</t>
        </is>
      </c>
      <c r="B15" s="14" t="inlineStr">
        <is>
          <t>Opsi 4</t>
        </is>
      </c>
      <c r="C15" s="7" t="inlineStr">
        <is>
          <t>SR Guesthouse</t>
        </is>
      </c>
      <c r="D15" s="21" t="n">
        <v>173966</v>
      </c>
      <c r="E15" s="21">
        <f>D15 * B$9 * B$8</f>
        <v/>
      </c>
      <c r="F15" s="7" t="inlineStr">
        <is>
          <t>Air Terjun Grojogan Sewu Pujon</t>
        </is>
      </c>
      <c r="G15" s="21" t="n">
        <v>2000</v>
      </c>
      <c r="H15" s="21">
        <f>G15 * B$6</f>
        <v/>
      </c>
      <c r="I15" s="7" t="inlineStr">
        <is>
          <t>Cafe Sawah Pujonkidul</t>
        </is>
      </c>
      <c r="J15" s="21" t="n">
        <v>17500</v>
      </c>
      <c r="K15" s="21">
        <f>J15 * B$6 * 3 * B$7</f>
        <v/>
      </c>
      <c r="L15" s="29">
        <f>(6371 * 2 * ASIN(SQRT(SIN(RADIANS((-7.8664128)-(-7.8630288))/2)^2 + COS(RADIANS(-7.8630288)) * COS(RADIANS(-7.8664128)) * SIN(RADIANS((112.4233498)-(112.5116416))/2)^2)) * 1.3) + (6371 * 2 * ASIN(SQRT(SIN(RADIANS((-7.8545719)-(-7.8664128))/2)^2 + COS(RADIANS(-7.8664128)) * COS(RADIANS(-7.8545719)) * SIN(RADIANS((112.4538339)-(112.4233498))/2)^2)) * 1.3) + (6371 * 2 * ASIN(SQRT(SIN(RADIANS((-7.8630288)-(-7.8545719))/2)^2 + COS(RADIANS(-7.8545719)) * COS(RADIANS(-7.8630288)) * SIN(RADIANS((112.5116416)-(112.4538339))/2)^2)) * 1.3)</f>
        <v/>
      </c>
      <c r="M15" s="21">
        <f>ROUND(L15 * IF(B$6&lt;=1, 2250, IF(B$6&lt;=4, 5150, 6000)), 0)</f>
        <v/>
      </c>
      <c r="N15" s="37">
        <f>E15 + H15 + K15 + M15</f>
        <v/>
      </c>
      <c r="O15" s="21">
        <f>B$5 - N15</f>
        <v/>
      </c>
      <c r="P15" s="38">
        <f>IF(N15&lt;=B$5, "✅ LAYAK (UNDER BUDGET)", "⚠️ TIDAK LAYAK (OVER BUDGET)")</f>
        <v/>
      </c>
    </row>
    <row r="16">
      <c r="A16" s="36" t="inlineStr">
        <is>
          <t>HEMAT</t>
        </is>
      </c>
      <c r="B16" s="14" t="inlineStr">
        <is>
          <t>Opsi 5</t>
        </is>
      </c>
      <c r="C16" s="7" t="inlineStr">
        <is>
          <t>RedDoorz Plus near Balai Kota Batu 2</t>
        </is>
      </c>
      <c r="D16" s="21" t="n">
        <v>180000</v>
      </c>
      <c r="E16" s="21">
        <f>D16 * B$9 * B$8</f>
        <v/>
      </c>
      <c r="F16" s="7" t="inlineStr">
        <is>
          <t>Air Terjun Grojogan Sewu Pujon</t>
        </is>
      </c>
      <c r="G16" s="21" t="n">
        <v>2000</v>
      </c>
      <c r="H16" s="21">
        <f>G16 * B$6</f>
        <v/>
      </c>
      <c r="I16" s="7" t="inlineStr">
        <is>
          <t>Ayam Bakar Bu Mus Kota Batu</t>
        </is>
      </c>
      <c r="J16" s="21" t="n">
        <v>17500</v>
      </c>
      <c r="K16" s="21">
        <f>J16 * B$6 * 3 * B$7</f>
        <v/>
      </c>
      <c r="L16" s="29">
        <f>(6371 * 2 * ASIN(SQRT(SIN(RADIANS((-7.8664128)-(-7.8650022))/2)^2 + COS(RADIANS(-7.8650022)) * COS(RADIANS(-7.8664128)) * SIN(RADIANS((112.4233498)-(112.506961))/2)^2)) * 1.3) + (6371 * 2 * ASIN(SQRT(SIN(RADIANS((-7.874266)-(-7.8664128))/2)^2 + COS(RADIANS(-7.8664128)) * COS(RADIANS(-7.874266)) * SIN(RADIANS((112.5102811)-(112.4233498))/2)^2)) * 1.3) + (6371 * 2 * ASIN(SQRT(SIN(RADIANS((-7.8650022)-(-7.874266))/2)^2 + COS(RADIANS(-7.874266)) * COS(RADIANS(-7.8650022)) * SIN(RADIANS((112.506961)-(112.5102811))/2)^2)) * 1.3)</f>
        <v/>
      </c>
      <c r="M16" s="21">
        <f>ROUND(L16 * IF(B$6&lt;=1, 2250, IF(B$6&lt;=4, 5150, 6000)), 0)</f>
        <v/>
      </c>
      <c r="N16" s="37">
        <f>E16 + H16 + K16 + M16</f>
        <v/>
      </c>
      <c r="O16" s="21">
        <f>B$5 - N16</f>
        <v/>
      </c>
      <c r="P16" s="38">
        <f>IF(N16&lt;=B$5, "✅ LAYAK (UNDER BUDGET)", "⚠️ TIDAK LAYAK (OVER BUDGET)")</f>
        <v/>
      </c>
    </row>
    <row r="17">
      <c r="A17" s="39" t="inlineStr">
        <is>
          <t>BALANCED</t>
        </is>
      </c>
      <c r="B17" s="14" t="inlineStr">
        <is>
          <t>Opsi 1</t>
        </is>
      </c>
      <c r="C17" s="7" t="inlineStr">
        <is>
          <t>Urbanview Syariah Kanigara Guesthouse</t>
        </is>
      </c>
      <c r="D17" s="21" t="n">
        <v>314618</v>
      </c>
      <c r="E17" s="21">
        <f>D17 * B$9 * B$8</f>
        <v/>
      </c>
      <c r="F17" s="7" t="inlineStr">
        <is>
          <t>Air Terjun Grojogan Sewu Pujon</t>
        </is>
      </c>
      <c r="G17" s="21" t="n">
        <v>2000</v>
      </c>
      <c r="H17" s="21">
        <f>G17 * B$6</f>
        <v/>
      </c>
      <c r="I17" s="7" t="inlineStr">
        <is>
          <t>WARUNK WOW KWB</t>
        </is>
      </c>
      <c r="J17" s="21" t="n">
        <v>28875</v>
      </c>
      <c r="K17" s="21">
        <f>J17 * B$6 * 3 * B$7</f>
        <v/>
      </c>
      <c r="L17" s="29">
        <f>(6371 * 2 * ASIN(SQRT(SIN(RADIANS((-7.8664128)-(-7.8752511))/2)^2 + COS(RADIANS(-7.8752511)) * COS(RADIANS(-7.8664128)) * SIN(RADIANS((112.4233498)-(112.5185752))/2)^2)) * 1.3) + (6371 * 2 * ASIN(SQRT(SIN(RADIANS((-7.86937)-(-7.8664128))/2)^2 + COS(RADIANS(-7.8664128)) * COS(RADIANS(-7.86937)) * SIN(RADIANS((112.5210543)-(112.4233498))/2)^2)) * 1.3) + (6371 * 2 * ASIN(SQRT(SIN(RADIANS((-7.8752511)-(-7.86937))/2)^2 + COS(RADIANS(-7.86937)) * COS(RADIANS(-7.8752511)) * SIN(RADIANS((112.5185752)-(112.5210543))/2)^2)) * 1.3)</f>
        <v/>
      </c>
      <c r="M17" s="21">
        <f>ROUND(L17 * IF(B$6&lt;=1, 2250, IF(B$6&lt;=4, 5150, 6000)), 0)</f>
        <v/>
      </c>
      <c r="N17" s="37">
        <f>E17 + H17 + K17 + M17</f>
        <v/>
      </c>
      <c r="O17" s="21">
        <f>B$5 - N17</f>
        <v/>
      </c>
      <c r="P17" s="38">
        <f>IF(N17&lt;=B$5, "✅ LAYAK (UNDER BUDGET)", "⚠️ TIDAK LAYAK (OVER BUDGET)")</f>
        <v/>
      </c>
    </row>
    <row r="18">
      <c r="A18" s="39" t="inlineStr">
        <is>
          <t>BALANCED</t>
        </is>
      </c>
      <c r="B18" s="14" t="inlineStr">
        <is>
          <t>Opsi 2</t>
        </is>
      </c>
      <c r="C18" s="7" t="inlineStr">
        <is>
          <t>Grand Pujon View Hotel and Resort</t>
        </is>
      </c>
      <c r="D18" s="21" t="n">
        <v>314885</v>
      </c>
      <c r="E18" s="21">
        <f>D18 * B$9 * B$8</f>
        <v/>
      </c>
      <c r="F18" s="7" t="inlineStr">
        <is>
          <t>Air Terjun Grojogan Sewu Pujon</t>
        </is>
      </c>
      <c r="G18" s="21" t="n">
        <v>2000</v>
      </c>
      <c r="H18" s="21">
        <f>G18 * B$6</f>
        <v/>
      </c>
      <c r="I18" s="7" t="inlineStr">
        <is>
          <t>WARUNK WOW KWB</t>
        </is>
      </c>
      <c r="J18" s="21" t="n">
        <v>28875</v>
      </c>
      <c r="K18" s="21">
        <f>J18 * B$6 * 3 * B$7</f>
        <v/>
      </c>
      <c r="L18" s="29">
        <f>(6371 * 2 * ASIN(SQRT(SIN(RADIANS((-7.8664128)-(-7.8540616))/2)^2 + COS(RADIANS(-7.8540616)) * COS(RADIANS(-7.8664128)) * SIN(RADIANS((112.4233498)-(112.4925233))/2)^2)) * 1.3) + (6371 * 2 * ASIN(SQRT(SIN(RADIANS((-7.86937)-(-7.8664128))/2)^2 + COS(RADIANS(-7.8664128)) * COS(RADIANS(-7.86937)) * SIN(RADIANS((112.5210543)-(112.4233498))/2)^2)) * 1.3) + (6371 * 2 * ASIN(SQRT(SIN(RADIANS((-7.8540616)-(-7.86937))/2)^2 + COS(RADIANS(-7.86937)) * COS(RADIANS(-7.8540616)) * SIN(RADIANS((112.4925233)-(112.5210543))/2)^2)) * 1.3)</f>
        <v/>
      </c>
      <c r="M18" s="21">
        <f>ROUND(L18 * IF(B$6&lt;=1, 2250, IF(B$6&lt;=4, 5150, 6000)), 0)</f>
        <v/>
      </c>
      <c r="N18" s="37">
        <f>E18 + H18 + K18 + M18</f>
        <v/>
      </c>
      <c r="O18" s="21">
        <f>B$5 - N18</f>
        <v/>
      </c>
      <c r="P18" s="38">
        <f>IF(N18&lt;=B$5, "✅ LAYAK (UNDER BUDGET)", "⚠️ TIDAK LAYAK (OVER BUDGET)")</f>
        <v/>
      </c>
    </row>
    <row r="19">
      <c r="A19" s="39" t="inlineStr">
        <is>
          <t>BALANCED</t>
        </is>
      </c>
      <c r="B19" s="14" t="inlineStr">
        <is>
          <t>Opsi 3</t>
        </is>
      </c>
      <c r="C19" s="7" t="inlineStr">
        <is>
          <t>Grand Pujon View Hotel and Resort</t>
        </is>
      </c>
      <c r="D19" s="21" t="n">
        <v>314885</v>
      </c>
      <c r="E19" s="21">
        <f>D19 * B$9 * B$8</f>
        <v/>
      </c>
      <c r="F19" s="7" t="inlineStr">
        <is>
          <t>Air Terjun Grojogan Sewu Pujon</t>
        </is>
      </c>
      <c r="G19" s="21" t="n">
        <v>2000</v>
      </c>
      <c r="H19" s="21">
        <f>G19 * B$6</f>
        <v/>
      </c>
      <c r="I19" s="7" t="inlineStr">
        <is>
          <t>Warung Bang Joe</t>
        </is>
      </c>
      <c r="J19" s="21" t="n">
        <v>30000</v>
      </c>
      <c r="K19" s="21">
        <f>J19 * B$6 * 3 * B$7</f>
        <v/>
      </c>
      <c r="L19" s="29">
        <f>(6371 * 2 * ASIN(SQRT(SIN(RADIANS((-7.8664128)-(-7.8540616))/2)^2 + COS(RADIANS(-7.8540616)) * COS(RADIANS(-7.8664128)) * SIN(RADIANS((112.4233498)-(112.4925233))/2)^2)) * 1.3) + (6371 * 2 * ASIN(SQRT(SIN(RADIANS((-7.8640693)-(-7.8664128))/2)^2 + COS(RADIANS(-7.8664128)) * COS(RADIANS(-7.8640693)) * SIN(RADIANS((112.5065335)-(112.4233498))/2)^2)) * 1.3) + (6371 * 2 * ASIN(SQRT(SIN(RADIANS((-7.8540616)-(-7.8640693))/2)^2 + COS(RADIANS(-7.8640693)) * COS(RADIANS(-7.8540616)) * SIN(RADIANS((112.4925233)-(112.5065335))/2)^2)) * 1.3)</f>
        <v/>
      </c>
      <c r="M19" s="21">
        <f>ROUND(L19 * IF(B$6&lt;=1, 2250, IF(B$6&lt;=4, 5150, 6000)), 0)</f>
        <v/>
      </c>
      <c r="N19" s="37">
        <f>E19 + H19 + K19 + M19</f>
        <v/>
      </c>
      <c r="O19" s="21">
        <f>B$5 - N19</f>
        <v/>
      </c>
      <c r="P19" s="38">
        <f>IF(N19&lt;=B$5, "✅ LAYAK (UNDER BUDGET)", "⚠️ TIDAK LAYAK (OVER BUDGET)")</f>
        <v/>
      </c>
    </row>
    <row r="20">
      <c r="A20" s="39" t="inlineStr">
        <is>
          <t>BALANCED</t>
        </is>
      </c>
      <c r="B20" s="14" t="inlineStr">
        <is>
          <t>Opsi 4</t>
        </is>
      </c>
      <c r="C20" s="7" t="inlineStr">
        <is>
          <t>Urbanview Syariah Kanigara Guesthouse</t>
        </is>
      </c>
      <c r="D20" s="21" t="n">
        <v>314618</v>
      </c>
      <c r="E20" s="21">
        <f>D20 * B$9 * B$8</f>
        <v/>
      </c>
      <c r="F20" s="7" t="inlineStr">
        <is>
          <t>Air Terjun Grojogan Sewu Pujon</t>
        </is>
      </c>
      <c r="G20" s="21" t="n">
        <v>2000</v>
      </c>
      <c r="H20" s="21">
        <f>G20 * B$6</f>
        <v/>
      </c>
      <c r="I20" s="7" t="inlineStr">
        <is>
          <t>Warung Bang Joe</t>
        </is>
      </c>
      <c r="J20" s="21" t="n">
        <v>30000</v>
      </c>
      <c r="K20" s="21">
        <f>J20 * B$6 * 3 * B$7</f>
        <v/>
      </c>
      <c r="L20" s="29">
        <f>(6371 * 2 * ASIN(SQRT(SIN(RADIANS((-7.8664128)-(-7.8752511))/2)^2 + COS(RADIANS(-7.8752511)) * COS(RADIANS(-7.8664128)) * SIN(RADIANS((112.4233498)-(112.5185752))/2)^2)) * 1.3) + (6371 * 2 * ASIN(SQRT(SIN(RADIANS((-7.8640693)-(-7.8664128))/2)^2 + COS(RADIANS(-7.8664128)) * COS(RADIANS(-7.8640693)) * SIN(RADIANS((112.5065335)-(112.4233498))/2)^2)) * 1.3) + (6371 * 2 * ASIN(SQRT(SIN(RADIANS((-7.8752511)-(-7.8640693))/2)^2 + COS(RADIANS(-7.8640693)) * COS(RADIANS(-7.8752511)) * SIN(RADIANS((112.5185752)-(112.5065335))/2)^2)) * 1.3)</f>
        <v/>
      </c>
      <c r="M20" s="21">
        <f>ROUND(L20 * IF(B$6&lt;=1, 2250, IF(B$6&lt;=4, 5150, 6000)), 0)</f>
        <v/>
      </c>
      <c r="N20" s="37">
        <f>E20 + H20 + K20 + M20</f>
        <v/>
      </c>
      <c r="O20" s="21">
        <f>B$5 - N20</f>
        <v/>
      </c>
      <c r="P20" s="38">
        <f>IF(N20&lt;=B$5, "✅ LAYAK (UNDER BUDGET)", "⚠️ TIDAK LAYAK (OVER BUDGET)")</f>
        <v/>
      </c>
    </row>
    <row r="21">
      <c r="A21" s="39" t="inlineStr">
        <is>
          <t>BALANCED</t>
        </is>
      </c>
      <c r="B21" s="14" t="inlineStr">
        <is>
          <t>Opsi 5</t>
        </is>
      </c>
      <c r="C21" s="7" t="inlineStr">
        <is>
          <t>Urbanview Syariah Kanigara Guesthouse</t>
        </is>
      </c>
      <c r="D21" s="21" t="n">
        <v>314618</v>
      </c>
      <c r="E21" s="21">
        <f>D21 * B$9 * B$8</f>
        <v/>
      </c>
      <c r="F21" s="7" t="inlineStr">
        <is>
          <t>Air Terjun Grojogan Sewu Pujon</t>
        </is>
      </c>
      <c r="G21" s="21" t="n">
        <v>2000</v>
      </c>
      <c r="H21" s="21">
        <f>G21 * B$6</f>
        <v/>
      </c>
      <c r="I21" s="7" t="inlineStr">
        <is>
          <t>REMPAH - Warung Khas Batu - Wisata Kuliner Unik Khas Kota Batu</t>
        </is>
      </c>
      <c r="J21" s="21" t="n">
        <v>29250</v>
      </c>
      <c r="K21" s="21">
        <f>J21 * B$6 * 3 * B$7</f>
        <v/>
      </c>
      <c r="L21" s="29">
        <f>(6371 * 2 * ASIN(SQRT(SIN(RADIANS((-7.8664128)-(-7.8752511))/2)^2 + COS(RADIANS(-7.8752511)) * COS(RADIANS(-7.8664128)) * SIN(RADIANS((112.4233498)-(112.5185752))/2)^2)) * 1.3) + (6371 * 2 * ASIN(SQRT(SIN(RADIANS((-7.8792451)-(-7.8664128))/2)^2 + COS(RADIANS(-7.8664128)) * COS(RADIANS(-7.8792451)) * SIN(RADIANS((112.5227186)-(112.4233498))/2)^2)) * 1.3) + (6371 * 2 * ASIN(SQRT(SIN(RADIANS((-7.8752511)-(-7.8792451))/2)^2 + COS(RADIANS(-7.8792451)) * COS(RADIANS(-7.8752511)) * SIN(RADIANS((112.5185752)-(112.5227186))/2)^2)) * 1.3)</f>
        <v/>
      </c>
      <c r="M21" s="21">
        <f>ROUND(L21 * IF(B$6&lt;=1, 2250, IF(B$6&lt;=4, 5150, 6000)), 0)</f>
        <v/>
      </c>
      <c r="N21" s="37">
        <f>E21 + H21 + K21 + M21</f>
        <v/>
      </c>
      <c r="O21" s="21">
        <f>B$5 - N21</f>
        <v/>
      </c>
      <c r="P21" s="38">
        <f>IF(N21&lt;=B$5, "✅ LAYAK (UNDER BUDGET)", "⚠️ TIDAK LAYAK (OVER BUDGET)")</f>
        <v/>
      </c>
    </row>
    <row r="22">
      <c r="A22" s="40" t="inlineStr">
        <is>
          <t>PREMIUM</t>
        </is>
      </c>
      <c r="B22" s="14" t="inlineStr">
        <is>
          <t>Opsi 1</t>
        </is>
      </c>
      <c r="C22" s="7" t="inlineStr">
        <is>
          <t>Bobocabin Coban Rondo, Malang</t>
        </is>
      </c>
      <c r="D22" s="21" t="n">
        <v>813000</v>
      </c>
      <c r="E22" s="21">
        <f>D22 * B$9 * B$8</f>
        <v/>
      </c>
      <c r="F22" s="7" t="inlineStr">
        <is>
          <t>Air Terjun Grojogan Sewu Pujon</t>
        </is>
      </c>
      <c r="G22" s="21" t="n">
        <v>2000</v>
      </c>
      <c r="H22" s="21">
        <f>G22 * B$6</f>
        <v/>
      </c>
      <c r="I22" s="7" t="inlineStr">
        <is>
          <t>Warung Wisata</t>
        </is>
      </c>
      <c r="J22" s="21" t="n">
        <v>41337</v>
      </c>
      <c r="K22" s="21">
        <f>J22 * B$6 * 3 * B$7</f>
        <v/>
      </c>
      <c r="L22" s="29">
        <f>(6371 * 2 * ASIN(SQRT(SIN(RADIANS((-7.8664128)-(-7.8703726))/2)^2 + COS(RADIANS(-7.8703726)) * COS(RADIANS(-7.8664128)) * SIN(RADIANS((112.4233498)-(112.4867719))/2)^2)) * 1.3) + (6371 * 2 * ASIN(SQRT(SIN(RADIANS((-7.8678907)-(-7.8664128))/2)^2 + COS(RADIANS(-7.8664128)) * COS(RADIANS(-7.8678907)) * SIN(RADIANS((112.4952019)-(112.4233498))/2)^2)) * 1.3) + (6371 * 2 * ASIN(SQRT(SIN(RADIANS((-7.8703726)-(-7.8678907))/2)^2 + COS(RADIANS(-7.8678907)) * COS(RADIANS(-7.8703726)) * SIN(RADIANS((112.4867719)-(112.4952019))/2)^2)) * 1.3)</f>
        <v/>
      </c>
      <c r="M22" s="21">
        <f>ROUND(L22 * IF(B$6&lt;=1, 2250, IF(B$6&lt;=4, 5150, 6000)), 0)</f>
        <v/>
      </c>
      <c r="N22" s="37">
        <f>E22 + H22 + K22 + M22</f>
        <v/>
      </c>
      <c r="O22" s="21">
        <f>B$5 - N22</f>
        <v/>
      </c>
      <c r="P22" s="38">
        <f>IF(N22&lt;=B$5, "✅ LAYAK (UNDER BUDGET)", "⚠️ TIDAK LAYAK (OVER BUDGET)")</f>
        <v/>
      </c>
    </row>
    <row r="23">
      <c r="A23" s="40" t="inlineStr">
        <is>
          <t>PREMIUM</t>
        </is>
      </c>
      <c r="B23" s="14" t="inlineStr">
        <is>
          <t>Opsi 2</t>
        </is>
      </c>
      <c r="C23" s="7" t="inlineStr">
        <is>
          <t>Bobocabin Coban Rondo, Malang</t>
        </is>
      </c>
      <c r="D23" s="21" t="n">
        <v>813000</v>
      </c>
      <c r="E23" s="21">
        <f>D23 * B$9 * B$8</f>
        <v/>
      </c>
      <c r="F23" s="7" t="inlineStr">
        <is>
          <t>Air Terjun Grojogan Sewu Pujon</t>
        </is>
      </c>
      <c r="G23" s="21" t="n">
        <v>2000</v>
      </c>
      <c r="H23" s="21">
        <f>G23 * B$6</f>
        <v/>
      </c>
      <c r="I23" s="7" t="inlineStr">
        <is>
          <t>Depot Flamboyant</t>
        </is>
      </c>
      <c r="J23" s="21" t="n">
        <v>40000</v>
      </c>
      <c r="K23" s="21">
        <f>J23 * B$6 * 3 * B$7</f>
        <v/>
      </c>
      <c r="L23" s="29">
        <f>(6371 * 2 * ASIN(SQRT(SIN(RADIANS((-7.8664128)-(-7.8703726))/2)^2 + COS(RADIANS(-7.8703726)) * COS(RADIANS(-7.8664128)) * SIN(RADIANS((112.4233498)-(112.4867719))/2)^2)) * 1.3) + (6371 * 2 * ASIN(SQRT(SIN(RADIANS((-7.868462)-(-7.8664128))/2)^2 + COS(RADIANS(-7.8664128)) * COS(RADIANS(-7.868462)) * SIN(RADIANS((112.519597)-(112.4233498))/2)^2)) * 1.3) + (6371 * 2 * ASIN(SQRT(SIN(RADIANS((-7.8703726)-(-7.868462))/2)^2 + COS(RADIANS(-7.868462)) * COS(RADIANS(-7.8703726)) * SIN(RADIANS((112.4867719)-(112.519597))/2)^2)) * 1.3)</f>
        <v/>
      </c>
      <c r="M23" s="21">
        <f>ROUND(L23 * IF(B$6&lt;=1, 2250, IF(B$6&lt;=4, 5150, 6000)), 0)</f>
        <v/>
      </c>
      <c r="N23" s="37">
        <f>E23 + H23 + K23 + M23</f>
        <v/>
      </c>
      <c r="O23" s="21">
        <f>B$5 - N23</f>
        <v/>
      </c>
      <c r="P23" s="38">
        <f>IF(N23&lt;=B$5, "✅ LAYAK (UNDER BUDGET)", "⚠️ TIDAK LAYAK (OVER BUDGET)")</f>
        <v/>
      </c>
    </row>
    <row r="24">
      <c r="A24" s="40" t="inlineStr">
        <is>
          <t>PREMIUM</t>
        </is>
      </c>
      <c r="B24" s="14" t="inlineStr">
        <is>
          <t>Opsi 3</t>
        </is>
      </c>
      <c r="C24" s="7" t="inlineStr">
        <is>
          <t>Bobocabin Coban Rondo, Malang</t>
        </is>
      </c>
      <c r="D24" s="21" t="n">
        <v>813000</v>
      </c>
      <c r="E24" s="21">
        <f>D24 * B$9 * B$8</f>
        <v/>
      </c>
      <c r="F24" s="7" t="inlineStr">
        <is>
          <t>Air Terjun Grojogan Sewu Pujon</t>
        </is>
      </c>
      <c r="G24" s="21" t="n">
        <v>2000</v>
      </c>
      <c r="H24" s="21">
        <f>G24 * B$6</f>
        <v/>
      </c>
      <c r="I24" s="7" t="inlineStr">
        <is>
          <t>Warung Bedua</t>
        </is>
      </c>
      <c r="J24" s="21" t="n">
        <v>42000</v>
      </c>
      <c r="K24" s="21">
        <f>J24 * B$6 * 3 * B$7</f>
        <v/>
      </c>
      <c r="L24" s="29">
        <f>(6371 * 2 * ASIN(SQRT(SIN(RADIANS((-7.8664128)-(-7.8703726))/2)^2 + COS(RADIANS(-7.8703726)) * COS(RADIANS(-7.8664128)) * SIN(RADIANS((112.4233498)-(112.4867719))/2)^2)) * 1.3) + (6371 * 2 * ASIN(SQRT(SIN(RADIANS((-7.873562)-(-7.8664128))/2)^2 + COS(RADIANS(-7.8664128)) * COS(RADIANS(-7.873562)) * SIN(RADIANS((112.524247)-(112.4233498))/2)^2)) * 1.3) + (6371 * 2 * ASIN(SQRT(SIN(RADIANS((-7.8703726)-(-7.873562))/2)^2 + COS(RADIANS(-7.873562)) * COS(RADIANS(-7.8703726)) * SIN(RADIANS((112.4867719)-(112.524247))/2)^2)) * 1.3)</f>
        <v/>
      </c>
      <c r="M24" s="21">
        <f>ROUND(L24 * IF(B$6&lt;=1, 2250, IF(B$6&lt;=4, 5150, 6000)), 0)</f>
        <v/>
      </c>
      <c r="N24" s="37">
        <f>E24 + H24 + K24 + M24</f>
        <v/>
      </c>
      <c r="O24" s="21">
        <f>B$5 - N24</f>
        <v/>
      </c>
      <c r="P24" s="38">
        <f>IF(N24&lt;=B$5, "✅ LAYAK (UNDER BUDGET)", "⚠️ TIDAK LAYAK (OVER BUDGET)")</f>
        <v/>
      </c>
    </row>
    <row r="25">
      <c r="A25" s="40" t="inlineStr">
        <is>
          <t>PREMIUM</t>
        </is>
      </c>
      <c r="B25" s="14" t="inlineStr">
        <is>
          <t>Opsi 4</t>
        </is>
      </c>
      <c r="C25" s="7" t="inlineStr">
        <is>
          <t>Bobocabin Coban Rondo, Malang</t>
        </is>
      </c>
      <c r="D25" s="21" t="n">
        <v>813000</v>
      </c>
      <c r="E25" s="21">
        <f>D25 * B$9 * B$8</f>
        <v/>
      </c>
      <c r="F25" s="7" t="inlineStr">
        <is>
          <t>Air Terjun Grojogan Sewu Pujon</t>
        </is>
      </c>
      <c r="G25" s="21" t="n">
        <v>2000</v>
      </c>
      <c r="H25" s="21">
        <f>G25 * B$6</f>
        <v/>
      </c>
      <c r="I25" s="7" t="inlineStr">
        <is>
          <t>Bebek Goreng H.Slamet by Waroeng Kota Batu</t>
        </is>
      </c>
      <c r="J25" s="21" t="n">
        <v>41600</v>
      </c>
      <c r="K25" s="21">
        <f>J25 * B$6 * 3 * B$7</f>
        <v/>
      </c>
      <c r="L25" s="29">
        <f>(6371 * 2 * ASIN(SQRT(SIN(RADIANS((-7.8664128)-(-7.8703726))/2)^2 + COS(RADIANS(-7.8703726)) * COS(RADIANS(-7.8664128)) * SIN(RADIANS((112.4233498)-(112.4867719))/2)^2)) * 1.3) + (6371 * 2 * ASIN(SQRT(SIN(RADIANS((-7.8713783)-(-7.8664128))/2)^2 + COS(RADIANS(-7.8664128)) * COS(RADIANS(-7.8713783)) * SIN(RADIANS((112.5252218)-(112.4233498))/2)^2)) * 1.3) + (6371 * 2 * ASIN(SQRT(SIN(RADIANS((-7.8703726)-(-7.8713783))/2)^2 + COS(RADIANS(-7.8713783)) * COS(RADIANS(-7.8703726)) * SIN(RADIANS((112.4867719)-(112.5252218))/2)^2)) * 1.3)</f>
        <v/>
      </c>
      <c r="M25" s="21">
        <f>ROUND(L25 * IF(B$6&lt;=1, 2250, IF(B$6&lt;=4, 5150, 6000)), 0)</f>
        <v/>
      </c>
      <c r="N25" s="37">
        <f>E25 + H25 + K25 + M25</f>
        <v/>
      </c>
      <c r="O25" s="21">
        <f>B$5 - N25</f>
        <v/>
      </c>
      <c r="P25" s="38">
        <f>IF(N25&lt;=B$5, "✅ LAYAK (UNDER BUDGET)", "⚠️ TIDAK LAYAK (OVER BUDGET)")</f>
        <v/>
      </c>
    </row>
    <row r="26">
      <c r="A26" s="40" t="inlineStr">
        <is>
          <t>PREMIUM</t>
        </is>
      </c>
      <c r="B26" s="14" t="inlineStr">
        <is>
          <t>Opsi 5</t>
        </is>
      </c>
      <c r="C26" s="7" t="inlineStr">
        <is>
          <t>Bobocabin Coban Rondo, Malang</t>
        </is>
      </c>
      <c r="D26" s="21" t="n">
        <v>813000</v>
      </c>
      <c r="E26" s="21">
        <f>D26 * B$9 * B$8</f>
        <v/>
      </c>
      <c r="F26" s="7" t="inlineStr">
        <is>
          <t>Air Terjun Grojogan Sewu Pujon</t>
        </is>
      </c>
      <c r="G26" s="21" t="n">
        <v>2000</v>
      </c>
      <c r="H26" s="21">
        <f>G26 * B$6</f>
        <v/>
      </c>
      <c r="I26" s="7" t="inlineStr">
        <is>
          <t>Warung Pak Dai</t>
        </is>
      </c>
      <c r="J26" s="21" t="n">
        <v>41791</v>
      </c>
      <c r="K26" s="21">
        <f>J26 * B$6 * 3 * B$7</f>
        <v/>
      </c>
      <c r="L26" s="29">
        <f>(6371 * 2 * ASIN(SQRT(SIN(RADIANS((-7.8664128)-(-7.8703726))/2)^2 + COS(RADIANS(-7.8703726)) * COS(RADIANS(-7.8664128)) * SIN(RADIANS((112.4233498)-(112.4867719))/2)^2)) * 1.3) + (6371 * 2 * ASIN(SQRT(SIN(RADIANS((-7.8836204)-(-7.8664128))/2)^2 + COS(RADIANS(-7.8664128)) * COS(RADIANS(-7.8836204)) * SIN(RADIANS((112.3862486)-(112.4233498))/2)^2)) * 1.3) + (6371 * 2 * ASIN(SQRT(SIN(RADIANS((-7.8703726)-(-7.8836204))/2)^2 + COS(RADIANS(-7.8836204)) * COS(RADIANS(-7.8703726)) * SIN(RADIANS((112.4867719)-(112.3862486))/2)^2)) * 1.3)</f>
        <v/>
      </c>
      <c r="M26" s="21">
        <f>ROUND(L26 * IF(B$6&lt;=1, 2250, IF(B$6&lt;=4, 5150, 6000)), 0)</f>
        <v/>
      </c>
      <c r="N26" s="37">
        <f>E26 + H26 + K26 + M26</f>
        <v/>
      </c>
      <c r="O26" s="21">
        <f>B$5 - N26</f>
        <v/>
      </c>
      <c r="P26" s="38">
        <f>IF(N26&lt;=B$5, "✅ LAYAK (UNDER BUDGET)", "⚠️ TIDAK LAYAK (OVER BUDGET)")</f>
        <v/>
      </c>
    </row>
  </sheetData>
  <mergeCells count="7">
    <mergeCell ref="A1:N2"/>
    <mergeCell ref="A8"/>
    <mergeCell ref="A6"/>
    <mergeCell ref="A4:E4"/>
    <mergeCell ref="A9"/>
    <mergeCell ref="A7"/>
    <mergeCell ref="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2026-05-31T18:36:21Z</dcterms:created>
  <dcterms:modified xsi:type="dcterms:W3CDTF">2026-05-31T18:36:25Z</dcterms:modified>
</cp:coreProperties>
</file>